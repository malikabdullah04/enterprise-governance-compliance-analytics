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7.xml" ContentType="application/vnd.openxmlformats-officedocument.drawing+xml"/>
  <Override PartName="/xl/charts/chart7.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abdullahamirmalik/Documents/jp projects/Project_1_Governance/Excel/"/>
    </mc:Choice>
  </mc:AlternateContent>
  <xr:revisionPtr revIDLastSave="0" documentId="13_ncr:1_{575F4809-06E8-F241-B17E-2B25737584EC}" xr6:coauthVersionLast="47" xr6:coauthVersionMax="47" xr10:uidLastSave="{00000000-0000-0000-0000-000000000000}"/>
  <bookViews>
    <workbookView xWindow="0" yWindow="680" windowWidth="34200" windowHeight="19760" activeTab="6" xr2:uid="{00000000-000D-0000-FFFF-FFFF00000000}"/>
  </bookViews>
  <sheets>
    <sheet name="README" sheetId="1" r:id="rId1"/>
    <sheet name="PQ_Analysis" sheetId="10" r:id="rId2"/>
    <sheet name="PQ_Regional_Analysis" sheetId="12" r:id="rId3"/>
    <sheet name="PQ_Issue_Analysis" sheetId="13" r:id="rId4"/>
    <sheet name="PQ_Governance_Exceptions" sheetId="14" r:id="rId5"/>
    <sheet name="PQ_Cleaned_Controls" sheetId="9" r:id="rId6"/>
    <sheet name="Final_Dashboard" sheetId="16" r:id="rId7"/>
    <sheet name="Controls_Raw" sheetId="2" r:id="rId8"/>
    <sheet name="Cleaned_Controls" sheetId="3" r:id="rId9"/>
    <sheet name="Data_Quality" sheetId="4" r:id="rId10"/>
    <sheet name="Dashboard" sheetId="5" r:id="rId11"/>
    <sheet name="Power_Query_Steps" sheetId="6" r:id="rId12"/>
    <sheet name="PowerBI_Measures" sheetId="7" r:id="rId13"/>
    <sheet name="Sources" sheetId="8" r:id="rId14"/>
  </sheets>
  <definedNames>
    <definedName name="ExternalData_1" localSheetId="5" hidden="1">PQ_Cleaned_Controls!$A$1:$V$1501</definedName>
    <definedName name="Slicer_Business_Unit">#N/A</definedName>
    <definedName name="Slicer_Region">#N/A</definedName>
    <definedName name="Slicer_Risk_Level">#N/A</definedName>
    <definedName name="Slicer_Status">#N/A</definedName>
  </definedNames>
  <calcPr calcId="191029"/>
  <pivotCaches>
    <pivotCache cacheId="18"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04" i="4" l="1"/>
  <c r="G1504" i="4"/>
  <c r="F1504" i="4"/>
  <c r="E1504" i="4"/>
  <c r="D1504" i="4"/>
  <c r="C1504" i="4"/>
  <c r="A1504" i="4"/>
  <c r="B1504" i="4" s="1"/>
  <c r="I1504" i="4" s="1"/>
  <c r="H1503" i="4"/>
  <c r="G1503" i="4"/>
  <c r="F1503" i="4"/>
  <c r="E1503" i="4"/>
  <c r="D1503" i="4"/>
  <c r="C1503" i="4"/>
  <c r="A1503" i="4"/>
  <c r="B1503" i="4" s="1"/>
  <c r="I1503" i="4" s="1"/>
  <c r="H1502" i="4"/>
  <c r="G1502" i="4"/>
  <c r="F1502" i="4"/>
  <c r="E1502" i="4"/>
  <c r="D1502" i="4"/>
  <c r="C1502" i="4"/>
  <c r="B1502" i="4"/>
  <c r="I1502" i="4" s="1"/>
  <c r="A1502" i="4"/>
  <c r="H1501" i="4"/>
  <c r="G1501" i="4"/>
  <c r="F1501" i="4"/>
  <c r="E1501" i="4"/>
  <c r="D1501" i="4"/>
  <c r="C1501" i="4"/>
  <c r="B1501" i="4"/>
  <c r="I1501" i="4" s="1"/>
  <c r="A1501" i="4"/>
  <c r="H1500" i="4"/>
  <c r="G1500" i="4"/>
  <c r="F1500" i="4"/>
  <c r="E1500" i="4"/>
  <c r="D1500" i="4"/>
  <c r="C1500" i="4"/>
  <c r="A1500" i="4"/>
  <c r="B1500" i="4" s="1"/>
  <c r="I1500" i="4" s="1"/>
  <c r="H1499" i="4"/>
  <c r="G1499" i="4"/>
  <c r="F1499" i="4"/>
  <c r="E1499" i="4"/>
  <c r="D1499" i="4"/>
  <c r="C1499" i="4"/>
  <c r="B1499" i="4"/>
  <c r="I1499" i="4" s="1"/>
  <c r="A1499" i="4"/>
  <c r="H1498" i="4"/>
  <c r="G1498" i="4"/>
  <c r="F1498" i="4"/>
  <c r="E1498" i="4"/>
  <c r="D1498" i="4"/>
  <c r="C1498" i="4"/>
  <c r="A1498" i="4"/>
  <c r="B1498" i="4" s="1"/>
  <c r="I1498" i="4" s="1"/>
  <c r="H1497" i="4"/>
  <c r="G1497" i="4"/>
  <c r="F1497" i="4"/>
  <c r="E1497" i="4"/>
  <c r="D1497" i="4"/>
  <c r="C1497" i="4"/>
  <c r="B1497" i="4"/>
  <c r="A1497" i="4"/>
  <c r="H1496" i="4"/>
  <c r="G1496" i="4"/>
  <c r="F1496" i="4"/>
  <c r="E1496" i="4"/>
  <c r="D1496" i="4"/>
  <c r="C1496" i="4"/>
  <c r="A1496" i="4"/>
  <c r="B1496" i="4" s="1"/>
  <c r="I1496" i="4" s="1"/>
  <c r="H1495" i="4"/>
  <c r="G1495" i="4"/>
  <c r="F1495" i="4"/>
  <c r="E1495" i="4"/>
  <c r="D1495" i="4"/>
  <c r="C1495" i="4"/>
  <c r="A1495" i="4"/>
  <c r="B1495" i="4" s="1"/>
  <c r="I1495" i="4" s="1"/>
  <c r="H1494" i="4"/>
  <c r="G1494" i="4"/>
  <c r="F1494" i="4"/>
  <c r="E1494" i="4"/>
  <c r="D1494" i="4"/>
  <c r="C1494" i="4"/>
  <c r="B1494" i="4"/>
  <c r="I1494" i="4" s="1"/>
  <c r="A1494" i="4"/>
  <c r="H1493" i="4"/>
  <c r="G1493" i="4"/>
  <c r="F1493" i="4"/>
  <c r="E1493" i="4"/>
  <c r="D1493" i="4"/>
  <c r="C1493" i="4"/>
  <c r="B1493" i="4"/>
  <c r="I1493" i="4" s="1"/>
  <c r="A1493" i="4"/>
  <c r="H1492" i="4"/>
  <c r="G1492" i="4"/>
  <c r="F1492" i="4"/>
  <c r="E1492" i="4"/>
  <c r="D1492" i="4"/>
  <c r="C1492" i="4"/>
  <c r="A1492" i="4"/>
  <c r="B1492" i="4" s="1"/>
  <c r="I1492" i="4" s="1"/>
  <c r="H1491" i="4"/>
  <c r="G1491" i="4"/>
  <c r="F1491" i="4"/>
  <c r="E1491" i="4"/>
  <c r="D1491" i="4"/>
  <c r="C1491" i="4"/>
  <c r="B1491" i="4"/>
  <c r="I1491" i="4" s="1"/>
  <c r="A1491" i="4"/>
  <c r="H1490" i="4"/>
  <c r="G1490" i="4"/>
  <c r="F1490" i="4"/>
  <c r="E1490" i="4"/>
  <c r="D1490" i="4"/>
  <c r="C1490" i="4"/>
  <c r="A1490" i="4"/>
  <c r="B1490" i="4" s="1"/>
  <c r="I1490" i="4" s="1"/>
  <c r="H1489" i="4"/>
  <c r="G1489" i="4"/>
  <c r="F1489" i="4"/>
  <c r="E1489" i="4"/>
  <c r="D1489" i="4"/>
  <c r="C1489" i="4"/>
  <c r="B1489" i="4"/>
  <c r="I1489" i="4" s="1"/>
  <c r="A1489" i="4"/>
  <c r="H1488" i="4"/>
  <c r="G1488" i="4"/>
  <c r="F1488" i="4"/>
  <c r="E1488" i="4"/>
  <c r="D1488" i="4"/>
  <c r="C1488" i="4"/>
  <c r="A1488" i="4"/>
  <c r="B1488" i="4" s="1"/>
  <c r="I1488" i="4" s="1"/>
  <c r="H1487" i="4"/>
  <c r="G1487" i="4"/>
  <c r="F1487" i="4"/>
  <c r="E1487" i="4"/>
  <c r="D1487" i="4"/>
  <c r="C1487" i="4"/>
  <c r="A1487" i="4"/>
  <c r="B1487" i="4" s="1"/>
  <c r="I1487" i="4" s="1"/>
  <c r="H1486" i="4"/>
  <c r="G1486" i="4"/>
  <c r="F1486" i="4"/>
  <c r="E1486" i="4"/>
  <c r="D1486" i="4"/>
  <c r="C1486" i="4"/>
  <c r="B1486" i="4"/>
  <c r="I1486" i="4" s="1"/>
  <c r="A1486" i="4"/>
  <c r="H1485" i="4"/>
  <c r="G1485" i="4"/>
  <c r="F1485" i="4"/>
  <c r="E1485" i="4"/>
  <c r="D1485" i="4"/>
  <c r="C1485" i="4"/>
  <c r="B1485" i="4"/>
  <c r="I1485" i="4" s="1"/>
  <c r="A1485" i="4"/>
  <c r="H1484" i="4"/>
  <c r="G1484" i="4"/>
  <c r="F1484" i="4"/>
  <c r="E1484" i="4"/>
  <c r="D1484" i="4"/>
  <c r="C1484" i="4"/>
  <c r="A1484" i="4"/>
  <c r="B1484" i="4" s="1"/>
  <c r="I1484" i="4" s="1"/>
  <c r="H1483" i="4"/>
  <c r="G1483" i="4"/>
  <c r="F1483" i="4"/>
  <c r="E1483" i="4"/>
  <c r="D1483" i="4"/>
  <c r="C1483" i="4"/>
  <c r="B1483" i="4"/>
  <c r="I1483" i="4" s="1"/>
  <c r="A1483" i="4"/>
  <c r="H1482" i="4"/>
  <c r="G1482" i="4"/>
  <c r="F1482" i="4"/>
  <c r="E1482" i="4"/>
  <c r="D1482" i="4"/>
  <c r="C1482" i="4"/>
  <c r="A1482" i="4"/>
  <c r="B1482" i="4" s="1"/>
  <c r="I1482" i="4" s="1"/>
  <c r="H1481" i="4"/>
  <c r="G1481" i="4"/>
  <c r="F1481" i="4"/>
  <c r="E1481" i="4"/>
  <c r="D1481" i="4"/>
  <c r="C1481" i="4"/>
  <c r="B1481" i="4"/>
  <c r="I1481" i="4" s="1"/>
  <c r="A1481" i="4"/>
  <c r="H1480" i="4"/>
  <c r="G1480" i="4"/>
  <c r="F1480" i="4"/>
  <c r="E1480" i="4"/>
  <c r="D1480" i="4"/>
  <c r="C1480" i="4"/>
  <c r="A1480" i="4"/>
  <c r="B1480" i="4" s="1"/>
  <c r="I1480" i="4" s="1"/>
  <c r="H1479" i="4"/>
  <c r="G1479" i="4"/>
  <c r="F1479" i="4"/>
  <c r="E1479" i="4"/>
  <c r="D1479" i="4"/>
  <c r="C1479" i="4"/>
  <c r="A1479" i="4"/>
  <c r="B1479" i="4" s="1"/>
  <c r="I1479" i="4" s="1"/>
  <c r="H1478" i="4"/>
  <c r="G1478" i="4"/>
  <c r="F1478" i="4"/>
  <c r="E1478" i="4"/>
  <c r="D1478" i="4"/>
  <c r="C1478" i="4"/>
  <c r="B1478" i="4"/>
  <c r="I1478" i="4" s="1"/>
  <c r="A1478" i="4"/>
  <c r="H1477" i="4"/>
  <c r="G1477" i="4"/>
  <c r="F1477" i="4"/>
  <c r="E1477" i="4"/>
  <c r="D1477" i="4"/>
  <c r="C1477" i="4"/>
  <c r="B1477" i="4"/>
  <c r="I1477" i="4" s="1"/>
  <c r="A1477" i="4"/>
  <c r="H1476" i="4"/>
  <c r="G1476" i="4"/>
  <c r="F1476" i="4"/>
  <c r="E1476" i="4"/>
  <c r="D1476" i="4"/>
  <c r="C1476" i="4"/>
  <c r="A1476" i="4"/>
  <c r="B1476" i="4" s="1"/>
  <c r="I1476" i="4" s="1"/>
  <c r="H1475" i="4"/>
  <c r="G1475" i="4"/>
  <c r="F1475" i="4"/>
  <c r="E1475" i="4"/>
  <c r="D1475" i="4"/>
  <c r="C1475" i="4"/>
  <c r="B1475" i="4"/>
  <c r="I1475" i="4" s="1"/>
  <c r="A1475" i="4"/>
  <c r="H1474" i="4"/>
  <c r="G1474" i="4"/>
  <c r="F1474" i="4"/>
  <c r="E1474" i="4"/>
  <c r="D1474" i="4"/>
  <c r="C1474" i="4"/>
  <c r="A1474" i="4"/>
  <c r="B1474" i="4" s="1"/>
  <c r="I1474" i="4" s="1"/>
  <c r="H1473" i="4"/>
  <c r="G1473" i="4"/>
  <c r="F1473" i="4"/>
  <c r="E1473" i="4"/>
  <c r="D1473" i="4"/>
  <c r="C1473" i="4"/>
  <c r="B1473" i="4"/>
  <c r="I1473" i="4" s="1"/>
  <c r="A1473" i="4"/>
  <c r="H1472" i="4"/>
  <c r="G1472" i="4"/>
  <c r="F1472" i="4"/>
  <c r="E1472" i="4"/>
  <c r="D1472" i="4"/>
  <c r="C1472" i="4"/>
  <c r="A1472" i="4"/>
  <c r="B1472" i="4" s="1"/>
  <c r="I1472" i="4" s="1"/>
  <c r="H1471" i="4"/>
  <c r="G1471" i="4"/>
  <c r="F1471" i="4"/>
  <c r="E1471" i="4"/>
  <c r="D1471" i="4"/>
  <c r="C1471" i="4"/>
  <c r="A1471" i="4"/>
  <c r="B1471" i="4" s="1"/>
  <c r="I1471" i="4" s="1"/>
  <c r="H1470" i="4"/>
  <c r="G1470" i="4"/>
  <c r="F1470" i="4"/>
  <c r="E1470" i="4"/>
  <c r="D1470" i="4"/>
  <c r="C1470" i="4"/>
  <c r="B1470" i="4"/>
  <c r="I1470" i="4" s="1"/>
  <c r="A1470" i="4"/>
  <c r="H1469" i="4"/>
  <c r="G1469" i="4"/>
  <c r="F1469" i="4"/>
  <c r="E1469" i="4"/>
  <c r="D1469" i="4"/>
  <c r="C1469" i="4"/>
  <c r="B1469" i="4"/>
  <c r="I1469" i="4" s="1"/>
  <c r="A1469" i="4"/>
  <c r="H1468" i="4"/>
  <c r="G1468" i="4"/>
  <c r="F1468" i="4"/>
  <c r="E1468" i="4"/>
  <c r="D1468" i="4"/>
  <c r="C1468" i="4"/>
  <c r="A1468" i="4"/>
  <c r="B1468" i="4" s="1"/>
  <c r="I1468" i="4" s="1"/>
  <c r="H1467" i="4"/>
  <c r="G1467" i="4"/>
  <c r="F1467" i="4"/>
  <c r="E1467" i="4"/>
  <c r="D1467" i="4"/>
  <c r="C1467" i="4"/>
  <c r="B1467" i="4"/>
  <c r="I1467" i="4" s="1"/>
  <c r="A1467" i="4"/>
  <c r="H1466" i="4"/>
  <c r="G1466" i="4"/>
  <c r="F1466" i="4"/>
  <c r="E1466" i="4"/>
  <c r="D1466" i="4"/>
  <c r="C1466" i="4"/>
  <c r="A1466" i="4"/>
  <c r="B1466" i="4" s="1"/>
  <c r="I1466" i="4" s="1"/>
  <c r="H1465" i="4"/>
  <c r="G1465" i="4"/>
  <c r="F1465" i="4"/>
  <c r="E1465" i="4"/>
  <c r="D1465" i="4"/>
  <c r="C1465" i="4"/>
  <c r="B1465" i="4"/>
  <c r="I1465" i="4" s="1"/>
  <c r="A1465" i="4"/>
  <c r="H1464" i="4"/>
  <c r="G1464" i="4"/>
  <c r="F1464" i="4"/>
  <c r="E1464" i="4"/>
  <c r="D1464" i="4"/>
  <c r="C1464" i="4"/>
  <c r="A1464" i="4"/>
  <c r="B1464" i="4" s="1"/>
  <c r="I1464" i="4" s="1"/>
  <c r="H1463" i="4"/>
  <c r="G1463" i="4"/>
  <c r="F1463" i="4"/>
  <c r="E1463" i="4"/>
  <c r="D1463" i="4"/>
  <c r="C1463" i="4"/>
  <c r="A1463" i="4"/>
  <c r="B1463" i="4" s="1"/>
  <c r="I1463" i="4" s="1"/>
  <c r="H1462" i="4"/>
  <c r="G1462" i="4"/>
  <c r="F1462" i="4"/>
  <c r="E1462" i="4"/>
  <c r="D1462" i="4"/>
  <c r="C1462" i="4"/>
  <c r="B1462" i="4"/>
  <c r="I1462" i="4" s="1"/>
  <c r="A1462" i="4"/>
  <c r="H1461" i="4"/>
  <c r="G1461" i="4"/>
  <c r="F1461" i="4"/>
  <c r="E1461" i="4"/>
  <c r="D1461" i="4"/>
  <c r="C1461" i="4"/>
  <c r="B1461" i="4"/>
  <c r="I1461" i="4" s="1"/>
  <c r="A1461" i="4"/>
  <c r="H1460" i="4"/>
  <c r="G1460" i="4"/>
  <c r="F1460" i="4"/>
  <c r="E1460" i="4"/>
  <c r="D1460" i="4"/>
  <c r="C1460" i="4"/>
  <c r="A1460" i="4"/>
  <c r="B1460" i="4" s="1"/>
  <c r="I1460" i="4" s="1"/>
  <c r="H1459" i="4"/>
  <c r="G1459" i="4"/>
  <c r="F1459" i="4"/>
  <c r="E1459" i="4"/>
  <c r="D1459" i="4"/>
  <c r="C1459" i="4"/>
  <c r="B1459" i="4"/>
  <c r="I1459" i="4" s="1"/>
  <c r="A1459" i="4"/>
  <c r="H1458" i="4"/>
  <c r="G1458" i="4"/>
  <c r="F1458" i="4"/>
  <c r="E1458" i="4"/>
  <c r="D1458" i="4"/>
  <c r="C1458" i="4"/>
  <c r="A1458" i="4"/>
  <c r="B1458" i="4" s="1"/>
  <c r="H1457" i="4"/>
  <c r="G1457" i="4"/>
  <c r="F1457" i="4"/>
  <c r="E1457" i="4"/>
  <c r="D1457" i="4"/>
  <c r="C1457" i="4"/>
  <c r="B1457" i="4"/>
  <c r="I1457" i="4" s="1"/>
  <c r="A1457" i="4"/>
  <c r="H1456" i="4"/>
  <c r="G1456" i="4"/>
  <c r="F1456" i="4"/>
  <c r="E1456" i="4"/>
  <c r="D1456" i="4"/>
  <c r="C1456" i="4"/>
  <c r="A1456" i="4"/>
  <c r="B1456" i="4" s="1"/>
  <c r="I1456" i="4" s="1"/>
  <c r="H1455" i="4"/>
  <c r="G1455" i="4"/>
  <c r="F1455" i="4"/>
  <c r="E1455" i="4"/>
  <c r="D1455" i="4"/>
  <c r="C1455" i="4"/>
  <c r="A1455" i="4"/>
  <c r="B1455" i="4" s="1"/>
  <c r="I1455" i="4" s="1"/>
  <c r="H1454" i="4"/>
  <c r="G1454" i="4"/>
  <c r="F1454" i="4"/>
  <c r="E1454" i="4"/>
  <c r="D1454" i="4"/>
  <c r="C1454" i="4"/>
  <c r="B1454" i="4"/>
  <c r="I1454" i="4" s="1"/>
  <c r="A1454" i="4"/>
  <c r="H1453" i="4"/>
  <c r="G1453" i="4"/>
  <c r="F1453" i="4"/>
  <c r="E1453" i="4"/>
  <c r="D1453" i="4"/>
  <c r="C1453" i="4"/>
  <c r="B1453" i="4"/>
  <c r="I1453" i="4" s="1"/>
  <c r="A1453" i="4"/>
  <c r="H1452" i="4"/>
  <c r="G1452" i="4"/>
  <c r="F1452" i="4"/>
  <c r="E1452" i="4"/>
  <c r="D1452" i="4"/>
  <c r="C1452" i="4"/>
  <c r="A1452" i="4"/>
  <c r="B1452" i="4" s="1"/>
  <c r="I1452" i="4" s="1"/>
  <c r="H1451" i="4"/>
  <c r="G1451" i="4"/>
  <c r="F1451" i="4"/>
  <c r="E1451" i="4"/>
  <c r="D1451" i="4"/>
  <c r="C1451" i="4"/>
  <c r="B1451" i="4"/>
  <c r="I1451" i="4" s="1"/>
  <c r="A1451" i="4"/>
  <c r="H1450" i="4"/>
  <c r="G1450" i="4"/>
  <c r="F1450" i="4"/>
  <c r="E1450" i="4"/>
  <c r="D1450" i="4"/>
  <c r="C1450" i="4"/>
  <c r="A1450" i="4"/>
  <c r="B1450" i="4" s="1"/>
  <c r="H1449" i="4"/>
  <c r="G1449" i="4"/>
  <c r="F1449" i="4"/>
  <c r="E1449" i="4"/>
  <c r="D1449" i="4"/>
  <c r="C1449" i="4"/>
  <c r="B1449" i="4"/>
  <c r="I1449" i="4" s="1"/>
  <c r="A1449" i="4"/>
  <c r="H1448" i="4"/>
  <c r="G1448" i="4"/>
  <c r="F1448" i="4"/>
  <c r="E1448" i="4"/>
  <c r="D1448" i="4"/>
  <c r="C1448" i="4"/>
  <c r="A1448" i="4"/>
  <c r="B1448" i="4" s="1"/>
  <c r="I1448" i="4" s="1"/>
  <c r="H1447" i="4"/>
  <c r="G1447" i="4"/>
  <c r="F1447" i="4"/>
  <c r="E1447" i="4"/>
  <c r="D1447" i="4"/>
  <c r="C1447" i="4"/>
  <c r="A1447" i="4"/>
  <c r="B1447" i="4" s="1"/>
  <c r="I1447" i="4" s="1"/>
  <c r="H1446" i="4"/>
  <c r="G1446" i="4"/>
  <c r="F1446" i="4"/>
  <c r="E1446" i="4"/>
  <c r="D1446" i="4"/>
  <c r="C1446" i="4"/>
  <c r="B1446" i="4"/>
  <c r="I1446" i="4" s="1"/>
  <c r="A1446" i="4"/>
  <c r="H1445" i="4"/>
  <c r="G1445" i="4"/>
  <c r="F1445" i="4"/>
  <c r="E1445" i="4"/>
  <c r="D1445" i="4"/>
  <c r="C1445" i="4"/>
  <c r="B1445" i="4"/>
  <c r="I1445" i="4" s="1"/>
  <c r="A1445" i="4"/>
  <c r="H1444" i="4"/>
  <c r="G1444" i="4"/>
  <c r="F1444" i="4"/>
  <c r="E1444" i="4"/>
  <c r="D1444" i="4"/>
  <c r="C1444" i="4"/>
  <c r="A1444" i="4"/>
  <c r="B1444" i="4" s="1"/>
  <c r="I1444" i="4" s="1"/>
  <c r="H1443" i="4"/>
  <c r="G1443" i="4"/>
  <c r="F1443" i="4"/>
  <c r="E1443" i="4"/>
  <c r="D1443" i="4"/>
  <c r="C1443" i="4"/>
  <c r="B1443" i="4"/>
  <c r="I1443" i="4" s="1"/>
  <c r="A1443" i="4"/>
  <c r="H1442" i="4"/>
  <c r="G1442" i="4"/>
  <c r="F1442" i="4"/>
  <c r="E1442" i="4"/>
  <c r="D1442" i="4"/>
  <c r="C1442" i="4"/>
  <c r="A1442" i="4"/>
  <c r="B1442" i="4" s="1"/>
  <c r="I1442" i="4" s="1"/>
  <c r="H1441" i="4"/>
  <c r="G1441" i="4"/>
  <c r="F1441" i="4"/>
  <c r="E1441" i="4"/>
  <c r="D1441" i="4"/>
  <c r="C1441" i="4"/>
  <c r="B1441" i="4"/>
  <c r="I1441" i="4" s="1"/>
  <c r="A1441" i="4"/>
  <c r="H1440" i="4"/>
  <c r="G1440" i="4"/>
  <c r="F1440" i="4"/>
  <c r="E1440" i="4"/>
  <c r="D1440" i="4"/>
  <c r="C1440" i="4"/>
  <c r="A1440" i="4"/>
  <c r="B1440" i="4" s="1"/>
  <c r="I1440" i="4" s="1"/>
  <c r="H1439" i="4"/>
  <c r="G1439" i="4"/>
  <c r="F1439" i="4"/>
  <c r="E1439" i="4"/>
  <c r="D1439" i="4"/>
  <c r="C1439" i="4"/>
  <c r="A1439" i="4"/>
  <c r="B1439" i="4" s="1"/>
  <c r="I1439" i="4" s="1"/>
  <c r="H1438" i="4"/>
  <c r="G1438" i="4"/>
  <c r="F1438" i="4"/>
  <c r="E1438" i="4"/>
  <c r="D1438" i="4"/>
  <c r="C1438" i="4"/>
  <c r="B1438" i="4"/>
  <c r="I1438" i="4" s="1"/>
  <c r="A1438" i="4"/>
  <c r="H1437" i="4"/>
  <c r="G1437" i="4"/>
  <c r="F1437" i="4"/>
  <c r="E1437" i="4"/>
  <c r="D1437" i="4"/>
  <c r="C1437" i="4"/>
  <c r="B1437" i="4"/>
  <c r="I1437" i="4" s="1"/>
  <c r="A1437" i="4"/>
  <c r="H1436" i="4"/>
  <c r="G1436" i="4"/>
  <c r="F1436" i="4"/>
  <c r="E1436" i="4"/>
  <c r="D1436" i="4"/>
  <c r="C1436" i="4"/>
  <c r="A1436" i="4"/>
  <c r="B1436" i="4" s="1"/>
  <c r="I1436" i="4" s="1"/>
  <c r="H1435" i="4"/>
  <c r="G1435" i="4"/>
  <c r="F1435" i="4"/>
  <c r="E1435" i="4"/>
  <c r="D1435" i="4"/>
  <c r="C1435" i="4"/>
  <c r="B1435" i="4"/>
  <c r="I1435" i="4" s="1"/>
  <c r="A1435" i="4"/>
  <c r="H1434" i="4"/>
  <c r="G1434" i="4"/>
  <c r="F1434" i="4"/>
  <c r="E1434" i="4"/>
  <c r="D1434" i="4"/>
  <c r="C1434" i="4"/>
  <c r="A1434" i="4"/>
  <c r="B1434" i="4" s="1"/>
  <c r="H1433" i="4"/>
  <c r="G1433" i="4"/>
  <c r="F1433" i="4"/>
  <c r="E1433" i="4"/>
  <c r="D1433" i="4"/>
  <c r="C1433" i="4"/>
  <c r="B1433" i="4"/>
  <c r="I1433" i="4" s="1"/>
  <c r="A1433" i="4"/>
  <c r="H1432" i="4"/>
  <c r="G1432" i="4"/>
  <c r="F1432" i="4"/>
  <c r="E1432" i="4"/>
  <c r="D1432" i="4"/>
  <c r="C1432" i="4"/>
  <c r="A1432" i="4"/>
  <c r="B1432" i="4" s="1"/>
  <c r="I1432" i="4" s="1"/>
  <c r="H1431" i="4"/>
  <c r="G1431" i="4"/>
  <c r="F1431" i="4"/>
  <c r="E1431" i="4"/>
  <c r="D1431" i="4"/>
  <c r="C1431" i="4"/>
  <c r="A1431" i="4"/>
  <c r="B1431" i="4" s="1"/>
  <c r="I1431" i="4" s="1"/>
  <c r="H1430" i="4"/>
  <c r="G1430" i="4"/>
  <c r="F1430" i="4"/>
  <c r="E1430" i="4"/>
  <c r="D1430" i="4"/>
  <c r="C1430" i="4"/>
  <c r="B1430" i="4"/>
  <c r="I1430" i="4" s="1"/>
  <c r="A1430" i="4"/>
  <c r="H1429" i="4"/>
  <c r="G1429" i="4"/>
  <c r="F1429" i="4"/>
  <c r="E1429" i="4"/>
  <c r="D1429" i="4"/>
  <c r="C1429" i="4"/>
  <c r="B1429" i="4"/>
  <c r="I1429" i="4" s="1"/>
  <c r="A1429" i="4"/>
  <c r="H1428" i="4"/>
  <c r="G1428" i="4"/>
  <c r="F1428" i="4"/>
  <c r="E1428" i="4"/>
  <c r="D1428" i="4"/>
  <c r="C1428" i="4"/>
  <c r="A1428" i="4"/>
  <c r="B1428" i="4" s="1"/>
  <c r="I1428" i="4" s="1"/>
  <c r="H1427" i="4"/>
  <c r="G1427" i="4"/>
  <c r="F1427" i="4"/>
  <c r="E1427" i="4"/>
  <c r="D1427" i="4"/>
  <c r="C1427" i="4"/>
  <c r="B1427" i="4"/>
  <c r="I1427" i="4" s="1"/>
  <c r="A1427" i="4"/>
  <c r="H1426" i="4"/>
  <c r="G1426" i="4"/>
  <c r="F1426" i="4"/>
  <c r="E1426" i="4"/>
  <c r="D1426" i="4"/>
  <c r="C1426" i="4"/>
  <c r="A1426" i="4"/>
  <c r="B1426" i="4" s="1"/>
  <c r="H1425" i="4"/>
  <c r="G1425" i="4"/>
  <c r="F1425" i="4"/>
  <c r="E1425" i="4"/>
  <c r="D1425" i="4"/>
  <c r="C1425" i="4"/>
  <c r="B1425" i="4"/>
  <c r="I1425" i="4" s="1"/>
  <c r="A1425" i="4"/>
  <c r="H1424" i="4"/>
  <c r="G1424" i="4"/>
  <c r="F1424" i="4"/>
  <c r="E1424" i="4"/>
  <c r="D1424" i="4"/>
  <c r="C1424" i="4"/>
  <c r="A1424" i="4"/>
  <c r="B1424" i="4" s="1"/>
  <c r="I1424" i="4" s="1"/>
  <c r="H1423" i="4"/>
  <c r="G1423" i="4"/>
  <c r="F1423" i="4"/>
  <c r="E1423" i="4"/>
  <c r="D1423" i="4"/>
  <c r="C1423" i="4"/>
  <c r="A1423" i="4"/>
  <c r="B1423" i="4" s="1"/>
  <c r="I1423" i="4" s="1"/>
  <c r="H1422" i="4"/>
  <c r="G1422" i="4"/>
  <c r="F1422" i="4"/>
  <c r="E1422" i="4"/>
  <c r="D1422" i="4"/>
  <c r="C1422" i="4"/>
  <c r="B1422" i="4"/>
  <c r="I1422" i="4" s="1"/>
  <c r="A1422" i="4"/>
  <c r="H1421" i="4"/>
  <c r="G1421" i="4"/>
  <c r="F1421" i="4"/>
  <c r="E1421" i="4"/>
  <c r="D1421" i="4"/>
  <c r="C1421" i="4"/>
  <c r="B1421" i="4"/>
  <c r="I1421" i="4" s="1"/>
  <c r="A1421" i="4"/>
  <c r="H1420" i="4"/>
  <c r="G1420" i="4"/>
  <c r="F1420" i="4"/>
  <c r="E1420" i="4"/>
  <c r="D1420" i="4"/>
  <c r="C1420" i="4"/>
  <c r="A1420" i="4"/>
  <c r="B1420" i="4" s="1"/>
  <c r="I1420" i="4" s="1"/>
  <c r="H1419" i="4"/>
  <c r="G1419" i="4"/>
  <c r="F1419" i="4"/>
  <c r="E1419" i="4"/>
  <c r="D1419" i="4"/>
  <c r="C1419" i="4"/>
  <c r="B1419" i="4"/>
  <c r="I1419" i="4" s="1"/>
  <c r="A1419" i="4"/>
  <c r="H1418" i="4"/>
  <c r="G1418" i="4"/>
  <c r="F1418" i="4"/>
  <c r="E1418" i="4"/>
  <c r="D1418" i="4"/>
  <c r="C1418" i="4"/>
  <c r="A1418" i="4"/>
  <c r="B1418" i="4" s="1"/>
  <c r="H1417" i="4"/>
  <c r="G1417" i="4"/>
  <c r="F1417" i="4"/>
  <c r="E1417" i="4"/>
  <c r="D1417" i="4"/>
  <c r="C1417" i="4"/>
  <c r="B1417" i="4"/>
  <c r="I1417" i="4" s="1"/>
  <c r="A1417" i="4"/>
  <c r="H1416" i="4"/>
  <c r="G1416" i="4"/>
  <c r="F1416" i="4"/>
  <c r="E1416" i="4"/>
  <c r="D1416" i="4"/>
  <c r="C1416" i="4"/>
  <c r="A1416" i="4"/>
  <c r="B1416" i="4" s="1"/>
  <c r="I1416" i="4" s="1"/>
  <c r="H1415" i="4"/>
  <c r="G1415" i="4"/>
  <c r="F1415" i="4"/>
  <c r="E1415" i="4"/>
  <c r="D1415" i="4"/>
  <c r="C1415" i="4"/>
  <c r="A1415" i="4"/>
  <c r="B1415" i="4" s="1"/>
  <c r="I1415" i="4" s="1"/>
  <c r="H1414" i="4"/>
  <c r="G1414" i="4"/>
  <c r="F1414" i="4"/>
  <c r="E1414" i="4"/>
  <c r="D1414" i="4"/>
  <c r="C1414" i="4"/>
  <c r="B1414" i="4"/>
  <c r="I1414" i="4" s="1"/>
  <c r="A1414" i="4"/>
  <c r="H1413" i="4"/>
  <c r="G1413" i="4"/>
  <c r="F1413" i="4"/>
  <c r="E1413" i="4"/>
  <c r="D1413" i="4"/>
  <c r="C1413" i="4"/>
  <c r="B1413" i="4"/>
  <c r="I1413" i="4" s="1"/>
  <c r="A1413" i="4"/>
  <c r="H1412" i="4"/>
  <c r="G1412" i="4"/>
  <c r="F1412" i="4"/>
  <c r="E1412" i="4"/>
  <c r="D1412" i="4"/>
  <c r="C1412" i="4"/>
  <c r="A1412" i="4"/>
  <c r="B1412" i="4" s="1"/>
  <c r="I1412" i="4" s="1"/>
  <c r="H1411" i="4"/>
  <c r="G1411" i="4"/>
  <c r="F1411" i="4"/>
  <c r="E1411" i="4"/>
  <c r="D1411" i="4"/>
  <c r="C1411" i="4"/>
  <c r="B1411" i="4"/>
  <c r="I1411" i="4" s="1"/>
  <c r="A1411" i="4"/>
  <c r="H1410" i="4"/>
  <c r="G1410" i="4"/>
  <c r="F1410" i="4"/>
  <c r="E1410" i="4"/>
  <c r="D1410" i="4"/>
  <c r="C1410" i="4"/>
  <c r="A1410" i="4"/>
  <c r="B1410" i="4" s="1"/>
  <c r="I1410" i="4" s="1"/>
  <c r="H1409" i="4"/>
  <c r="G1409" i="4"/>
  <c r="F1409" i="4"/>
  <c r="E1409" i="4"/>
  <c r="D1409" i="4"/>
  <c r="C1409" i="4"/>
  <c r="B1409" i="4"/>
  <c r="I1409" i="4" s="1"/>
  <c r="A1409" i="4"/>
  <c r="H1408" i="4"/>
  <c r="G1408" i="4"/>
  <c r="F1408" i="4"/>
  <c r="E1408" i="4"/>
  <c r="D1408" i="4"/>
  <c r="C1408" i="4"/>
  <c r="A1408" i="4"/>
  <c r="B1408" i="4" s="1"/>
  <c r="I1408" i="4" s="1"/>
  <c r="H1407" i="4"/>
  <c r="G1407" i="4"/>
  <c r="F1407" i="4"/>
  <c r="E1407" i="4"/>
  <c r="D1407" i="4"/>
  <c r="C1407" i="4"/>
  <c r="A1407" i="4"/>
  <c r="B1407" i="4" s="1"/>
  <c r="I1407" i="4" s="1"/>
  <c r="H1406" i="4"/>
  <c r="G1406" i="4"/>
  <c r="F1406" i="4"/>
  <c r="E1406" i="4"/>
  <c r="D1406" i="4"/>
  <c r="C1406" i="4"/>
  <c r="B1406" i="4"/>
  <c r="I1406" i="4" s="1"/>
  <c r="A1406" i="4"/>
  <c r="H1405" i="4"/>
  <c r="G1405" i="4"/>
  <c r="F1405" i="4"/>
  <c r="E1405" i="4"/>
  <c r="D1405" i="4"/>
  <c r="C1405" i="4"/>
  <c r="B1405" i="4"/>
  <c r="I1405" i="4" s="1"/>
  <c r="A1405" i="4"/>
  <c r="H1404" i="4"/>
  <c r="G1404" i="4"/>
  <c r="F1404" i="4"/>
  <c r="E1404" i="4"/>
  <c r="D1404" i="4"/>
  <c r="C1404" i="4"/>
  <c r="A1404" i="4"/>
  <c r="B1404" i="4" s="1"/>
  <c r="I1404" i="4" s="1"/>
  <c r="H1403" i="4"/>
  <c r="G1403" i="4"/>
  <c r="F1403" i="4"/>
  <c r="E1403" i="4"/>
  <c r="D1403" i="4"/>
  <c r="C1403" i="4"/>
  <c r="B1403" i="4"/>
  <c r="I1403" i="4" s="1"/>
  <c r="A1403" i="4"/>
  <c r="H1402" i="4"/>
  <c r="G1402" i="4"/>
  <c r="F1402" i="4"/>
  <c r="E1402" i="4"/>
  <c r="D1402" i="4"/>
  <c r="C1402" i="4"/>
  <c r="A1402" i="4"/>
  <c r="B1402" i="4" s="1"/>
  <c r="H1401" i="4"/>
  <c r="G1401" i="4"/>
  <c r="F1401" i="4"/>
  <c r="E1401" i="4"/>
  <c r="D1401" i="4"/>
  <c r="C1401" i="4"/>
  <c r="B1401" i="4"/>
  <c r="I1401" i="4" s="1"/>
  <c r="A1401" i="4"/>
  <c r="H1400" i="4"/>
  <c r="G1400" i="4"/>
  <c r="F1400" i="4"/>
  <c r="E1400" i="4"/>
  <c r="D1400" i="4"/>
  <c r="C1400" i="4"/>
  <c r="A1400" i="4"/>
  <c r="B1400" i="4" s="1"/>
  <c r="I1400" i="4" s="1"/>
  <c r="H1399" i="4"/>
  <c r="G1399" i="4"/>
  <c r="F1399" i="4"/>
  <c r="E1399" i="4"/>
  <c r="D1399" i="4"/>
  <c r="C1399" i="4"/>
  <c r="A1399" i="4"/>
  <c r="B1399" i="4" s="1"/>
  <c r="I1399" i="4" s="1"/>
  <c r="H1398" i="4"/>
  <c r="G1398" i="4"/>
  <c r="F1398" i="4"/>
  <c r="E1398" i="4"/>
  <c r="D1398" i="4"/>
  <c r="C1398" i="4"/>
  <c r="B1398" i="4"/>
  <c r="I1398" i="4" s="1"/>
  <c r="A1398" i="4"/>
  <c r="H1397" i="4"/>
  <c r="G1397" i="4"/>
  <c r="F1397" i="4"/>
  <c r="E1397" i="4"/>
  <c r="D1397" i="4"/>
  <c r="C1397" i="4"/>
  <c r="B1397" i="4"/>
  <c r="I1397" i="4" s="1"/>
  <c r="A1397" i="4"/>
  <c r="H1396" i="4"/>
  <c r="G1396" i="4"/>
  <c r="F1396" i="4"/>
  <c r="E1396" i="4"/>
  <c r="D1396" i="4"/>
  <c r="C1396" i="4"/>
  <c r="A1396" i="4"/>
  <c r="B1396" i="4" s="1"/>
  <c r="I1396" i="4" s="1"/>
  <c r="H1395" i="4"/>
  <c r="G1395" i="4"/>
  <c r="F1395" i="4"/>
  <c r="E1395" i="4"/>
  <c r="D1395" i="4"/>
  <c r="C1395" i="4"/>
  <c r="B1395" i="4"/>
  <c r="I1395" i="4" s="1"/>
  <c r="A1395" i="4"/>
  <c r="H1394" i="4"/>
  <c r="G1394" i="4"/>
  <c r="F1394" i="4"/>
  <c r="E1394" i="4"/>
  <c r="D1394" i="4"/>
  <c r="C1394" i="4"/>
  <c r="A1394" i="4"/>
  <c r="B1394" i="4" s="1"/>
  <c r="H1393" i="4"/>
  <c r="G1393" i="4"/>
  <c r="F1393" i="4"/>
  <c r="E1393" i="4"/>
  <c r="D1393" i="4"/>
  <c r="C1393" i="4"/>
  <c r="B1393" i="4"/>
  <c r="I1393" i="4" s="1"/>
  <c r="A1393" i="4"/>
  <c r="H1392" i="4"/>
  <c r="G1392" i="4"/>
  <c r="F1392" i="4"/>
  <c r="E1392" i="4"/>
  <c r="D1392" i="4"/>
  <c r="C1392" i="4"/>
  <c r="A1392" i="4"/>
  <c r="B1392" i="4" s="1"/>
  <c r="I1392" i="4" s="1"/>
  <c r="H1391" i="4"/>
  <c r="G1391" i="4"/>
  <c r="F1391" i="4"/>
  <c r="E1391" i="4"/>
  <c r="D1391" i="4"/>
  <c r="C1391" i="4"/>
  <c r="A1391" i="4"/>
  <c r="B1391" i="4" s="1"/>
  <c r="I1391" i="4" s="1"/>
  <c r="H1390" i="4"/>
  <c r="G1390" i="4"/>
  <c r="F1390" i="4"/>
  <c r="E1390" i="4"/>
  <c r="D1390" i="4"/>
  <c r="C1390" i="4"/>
  <c r="B1390" i="4"/>
  <c r="I1390" i="4" s="1"/>
  <c r="A1390" i="4"/>
  <c r="H1389" i="4"/>
  <c r="G1389" i="4"/>
  <c r="F1389" i="4"/>
  <c r="E1389" i="4"/>
  <c r="D1389" i="4"/>
  <c r="C1389" i="4"/>
  <c r="B1389" i="4"/>
  <c r="I1389" i="4" s="1"/>
  <c r="A1389" i="4"/>
  <c r="H1388" i="4"/>
  <c r="G1388" i="4"/>
  <c r="F1388" i="4"/>
  <c r="E1388" i="4"/>
  <c r="D1388" i="4"/>
  <c r="C1388" i="4"/>
  <c r="A1388" i="4"/>
  <c r="B1388" i="4" s="1"/>
  <c r="I1388" i="4" s="1"/>
  <c r="H1387" i="4"/>
  <c r="G1387" i="4"/>
  <c r="F1387" i="4"/>
  <c r="E1387" i="4"/>
  <c r="D1387" i="4"/>
  <c r="C1387" i="4"/>
  <c r="B1387" i="4"/>
  <c r="I1387" i="4" s="1"/>
  <c r="A1387" i="4"/>
  <c r="H1386" i="4"/>
  <c r="G1386" i="4"/>
  <c r="F1386" i="4"/>
  <c r="E1386" i="4"/>
  <c r="D1386" i="4"/>
  <c r="C1386" i="4"/>
  <c r="A1386" i="4"/>
  <c r="B1386" i="4" s="1"/>
  <c r="H1385" i="4"/>
  <c r="G1385" i="4"/>
  <c r="F1385" i="4"/>
  <c r="E1385" i="4"/>
  <c r="D1385" i="4"/>
  <c r="C1385" i="4"/>
  <c r="B1385" i="4"/>
  <c r="I1385" i="4" s="1"/>
  <c r="A1385" i="4"/>
  <c r="H1384" i="4"/>
  <c r="G1384" i="4"/>
  <c r="F1384" i="4"/>
  <c r="E1384" i="4"/>
  <c r="D1384" i="4"/>
  <c r="C1384" i="4"/>
  <c r="A1384" i="4"/>
  <c r="B1384" i="4" s="1"/>
  <c r="I1384" i="4" s="1"/>
  <c r="H1383" i="4"/>
  <c r="G1383" i="4"/>
  <c r="F1383" i="4"/>
  <c r="E1383" i="4"/>
  <c r="D1383" i="4"/>
  <c r="C1383" i="4"/>
  <c r="A1383" i="4"/>
  <c r="B1383" i="4" s="1"/>
  <c r="I1383" i="4" s="1"/>
  <c r="H1382" i="4"/>
  <c r="G1382" i="4"/>
  <c r="F1382" i="4"/>
  <c r="E1382" i="4"/>
  <c r="D1382" i="4"/>
  <c r="C1382" i="4"/>
  <c r="B1382" i="4"/>
  <c r="I1382" i="4" s="1"/>
  <c r="A1382" i="4"/>
  <c r="H1381" i="4"/>
  <c r="G1381" i="4"/>
  <c r="F1381" i="4"/>
  <c r="E1381" i="4"/>
  <c r="D1381" i="4"/>
  <c r="C1381" i="4"/>
  <c r="B1381" i="4"/>
  <c r="I1381" i="4" s="1"/>
  <c r="A1381" i="4"/>
  <c r="H1380" i="4"/>
  <c r="G1380" i="4"/>
  <c r="F1380" i="4"/>
  <c r="E1380" i="4"/>
  <c r="D1380" i="4"/>
  <c r="C1380" i="4"/>
  <c r="A1380" i="4"/>
  <c r="B1380" i="4" s="1"/>
  <c r="I1380" i="4" s="1"/>
  <c r="H1379" i="4"/>
  <c r="G1379" i="4"/>
  <c r="F1379" i="4"/>
  <c r="E1379" i="4"/>
  <c r="D1379" i="4"/>
  <c r="C1379" i="4"/>
  <c r="B1379" i="4"/>
  <c r="I1379" i="4" s="1"/>
  <c r="A1379" i="4"/>
  <c r="H1378" i="4"/>
  <c r="G1378" i="4"/>
  <c r="F1378" i="4"/>
  <c r="E1378" i="4"/>
  <c r="D1378" i="4"/>
  <c r="C1378" i="4"/>
  <c r="B1378" i="4"/>
  <c r="A1378" i="4"/>
  <c r="H1377" i="4"/>
  <c r="G1377" i="4"/>
  <c r="F1377" i="4"/>
  <c r="E1377" i="4"/>
  <c r="D1377" i="4"/>
  <c r="C1377" i="4"/>
  <c r="B1377" i="4"/>
  <c r="A1377" i="4"/>
  <c r="H1376" i="4"/>
  <c r="G1376" i="4"/>
  <c r="F1376" i="4"/>
  <c r="E1376" i="4"/>
  <c r="D1376" i="4"/>
  <c r="C1376" i="4"/>
  <c r="A1376" i="4"/>
  <c r="B1376" i="4" s="1"/>
  <c r="H1375" i="4"/>
  <c r="G1375" i="4"/>
  <c r="F1375" i="4"/>
  <c r="E1375" i="4"/>
  <c r="D1375" i="4"/>
  <c r="C1375" i="4"/>
  <c r="A1375" i="4"/>
  <c r="B1375" i="4" s="1"/>
  <c r="H1374" i="4"/>
  <c r="G1374" i="4"/>
  <c r="F1374" i="4"/>
  <c r="E1374" i="4"/>
  <c r="D1374" i="4"/>
  <c r="C1374" i="4"/>
  <c r="B1374" i="4"/>
  <c r="I1374" i="4" s="1"/>
  <c r="A1374" i="4"/>
  <c r="H1373" i="4"/>
  <c r="G1373" i="4"/>
  <c r="F1373" i="4"/>
  <c r="E1373" i="4"/>
  <c r="D1373" i="4"/>
  <c r="C1373" i="4"/>
  <c r="B1373" i="4"/>
  <c r="A1373" i="4"/>
  <c r="H1372" i="4"/>
  <c r="G1372" i="4"/>
  <c r="F1372" i="4"/>
  <c r="E1372" i="4"/>
  <c r="D1372" i="4"/>
  <c r="C1372" i="4"/>
  <c r="A1372" i="4"/>
  <c r="B1372" i="4" s="1"/>
  <c r="I1372" i="4" s="1"/>
  <c r="H1371" i="4"/>
  <c r="G1371" i="4"/>
  <c r="F1371" i="4"/>
  <c r="E1371" i="4"/>
  <c r="D1371" i="4"/>
  <c r="C1371" i="4"/>
  <c r="B1371" i="4"/>
  <c r="I1371" i="4" s="1"/>
  <c r="A1371" i="4"/>
  <c r="H1370" i="4"/>
  <c r="G1370" i="4"/>
  <c r="F1370" i="4"/>
  <c r="E1370" i="4"/>
  <c r="D1370" i="4"/>
  <c r="C1370" i="4"/>
  <c r="A1370" i="4"/>
  <c r="B1370" i="4" s="1"/>
  <c r="I1370" i="4" s="1"/>
  <c r="H1369" i="4"/>
  <c r="G1369" i="4"/>
  <c r="F1369" i="4"/>
  <c r="E1369" i="4"/>
  <c r="D1369" i="4"/>
  <c r="C1369" i="4"/>
  <c r="B1369" i="4"/>
  <c r="A1369" i="4"/>
  <c r="H1368" i="4"/>
  <c r="G1368" i="4"/>
  <c r="F1368" i="4"/>
  <c r="E1368" i="4"/>
  <c r="D1368" i="4"/>
  <c r="C1368" i="4"/>
  <c r="A1368" i="4"/>
  <c r="B1368" i="4" s="1"/>
  <c r="H1367" i="4"/>
  <c r="G1367" i="4"/>
  <c r="F1367" i="4"/>
  <c r="E1367" i="4"/>
  <c r="D1367" i="4"/>
  <c r="C1367" i="4"/>
  <c r="A1367" i="4"/>
  <c r="B1367" i="4" s="1"/>
  <c r="I1367" i="4" s="1"/>
  <c r="H1366" i="4"/>
  <c r="G1366" i="4"/>
  <c r="F1366" i="4"/>
  <c r="E1366" i="4"/>
  <c r="D1366" i="4"/>
  <c r="C1366" i="4"/>
  <c r="B1366" i="4"/>
  <c r="A1366" i="4"/>
  <c r="H1365" i="4"/>
  <c r="G1365" i="4"/>
  <c r="F1365" i="4"/>
  <c r="E1365" i="4"/>
  <c r="D1365" i="4"/>
  <c r="C1365" i="4"/>
  <c r="B1365" i="4"/>
  <c r="A1365" i="4"/>
  <c r="H1364" i="4"/>
  <c r="G1364" i="4"/>
  <c r="F1364" i="4"/>
  <c r="E1364" i="4"/>
  <c r="D1364" i="4"/>
  <c r="C1364" i="4"/>
  <c r="A1364" i="4"/>
  <c r="B1364" i="4" s="1"/>
  <c r="H1363" i="4"/>
  <c r="G1363" i="4"/>
  <c r="F1363" i="4"/>
  <c r="E1363" i="4"/>
  <c r="D1363" i="4"/>
  <c r="C1363" i="4"/>
  <c r="B1363" i="4"/>
  <c r="I1363" i="4" s="1"/>
  <c r="A1363" i="4"/>
  <c r="H1362" i="4"/>
  <c r="G1362" i="4"/>
  <c r="F1362" i="4"/>
  <c r="E1362" i="4"/>
  <c r="D1362" i="4"/>
  <c r="C1362" i="4"/>
  <c r="A1362" i="4"/>
  <c r="B1362" i="4" s="1"/>
  <c r="I1362" i="4" s="1"/>
  <c r="H1361" i="4"/>
  <c r="G1361" i="4"/>
  <c r="F1361" i="4"/>
  <c r="E1361" i="4"/>
  <c r="D1361" i="4"/>
  <c r="C1361" i="4"/>
  <c r="B1361" i="4"/>
  <c r="A1361" i="4"/>
  <c r="H1360" i="4"/>
  <c r="G1360" i="4"/>
  <c r="F1360" i="4"/>
  <c r="E1360" i="4"/>
  <c r="D1360" i="4"/>
  <c r="C1360" i="4"/>
  <c r="A1360" i="4"/>
  <c r="B1360" i="4" s="1"/>
  <c r="H1359" i="4"/>
  <c r="G1359" i="4"/>
  <c r="F1359" i="4"/>
  <c r="E1359" i="4"/>
  <c r="D1359" i="4"/>
  <c r="C1359" i="4"/>
  <c r="A1359" i="4"/>
  <c r="B1359" i="4" s="1"/>
  <c r="H1358" i="4"/>
  <c r="G1358" i="4"/>
  <c r="F1358" i="4"/>
  <c r="E1358" i="4"/>
  <c r="D1358" i="4"/>
  <c r="C1358" i="4"/>
  <c r="B1358" i="4"/>
  <c r="A1358" i="4"/>
  <c r="H1357" i="4"/>
  <c r="G1357" i="4"/>
  <c r="F1357" i="4"/>
  <c r="E1357" i="4"/>
  <c r="D1357" i="4"/>
  <c r="C1357" i="4"/>
  <c r="B1357" i="4"/>
  <c r="A1357" i="4"/>
  <c r="H1356" i="4"/>
  <c r="I1356" i="4" s="1"/>
  <c r="G1356" i="4"/>
  <c r="F1356" i="4"/>
  <c r="E1356" i="4"/>
  <c r="D1356" i="4"/>
  <c r="C1356" i="4"/>
  <c r="A1356" i="4"/>
  <c r="B1356" i="4" s="1"/>
  <c r="H1355" i="4"/>
  <c r="G1355" i="4"/>
  <c r="F1355" i="4"/>
  <c r="E1355" i="4"/>
  <c r="D1355" i="4"/>
  <c r="C1355" i="4"/>
  <c r="A1355" i="4"/>
  <c r="B1355" i="4" s="1"/>
  <c r="I1355" i="4" s="1"/>
  <c r="H1354" i="4"/>
  <c r="G1354" i="4"/>
  <c r="F1354" i="4"/>
  <c r="E1354" i="4"/>
  <c r="D1354" i="4"/>
  <c r="C1354" i="4"/>
  <c r="B1354" i="4"/>
  <c r="I1354" i="4" s="1"/>
  <c r="A1354" i="4"/>
  <c r="H1353" i="4"/>
  <c r="G1353" i="4"/>
  <c r="F1353" i="4"/>
  <c r="E1353" i="4"/>
  <c r="D1353" i="4"/>
  <c r="C1353" i="4"/>
  <c r="B1353" i="4"/>
  <c r="I1353" i="4" s="1"/>
  <c r="A1353" i="4"/>
  <c r="H1352" i="4"/>
  <c r="G1352" i="4"/>
  <c r="F1352" i="4"/>
  <c r="E1352" i="4"/>
  <c r="D1352" i="4"/>
  <c r="C1352" i="4"/>
  <c r="A1352" i="4"/>
  <c r="B1352" i="4" s="1"/>
  <c r="I1352" i="4" s="1"/>
  <c r="H1351" i="4"/>
  <c r="G1351" i="4"/>
  <c r="F1351" i="4"/>
  <c r="E1351" i="4"/>
  <c r="D1351" i="4"/>
  <c r="C1351" i="4"/>
  <c r="A1351" i="4"/>
  <c r="B1351" i="4" s="1"/>
  <c r="I1351" i="4" s="1"/>
  <c r="H1350" i="4"/>
  <c r="G1350" i="4"/>
  <c r="F1350" i="4"/>
  <c r="E1350" i="4"/>
  <c r="D1350" i="4"/>
  <c r="C1350" i="4"/>
  <c r="B1350" i="4"/>
  <c r="I1350" i="4" s="1"/>
  <c r="A1350" i="4"/>
  <c r="H1349" i="4"/>
  <c r="G1349" i="4"/>
  <c r="F1349" i="4"/>
  <c r="E1349" i="4"/>
  <c r="D1349" i="4"/>
  <c r="C1349" i="4"/>
  <c r="B1349" i="4"/>
  <c r="I1349" i="4" s="1"/>
  <c r="A1349" i="4"/>
  <c r="H1348" i="4"/>
  <c r="G1348" i="4"/>
  <c r="F1348" i="4"/>
  <c r="E1348" i="4"/>
  <c r="D1348" i="4"/>
  <c r="C1348" i="4"/>
  <c r="A1348" i="4"/>
  <c r="B1348" i="4" s="1"/>
  <c r="I1348" i="4" s="1"/>
  <c r="H1347" i="4"/>
  <c r="G1347" i="4"/>
  <c r="F1347" i="4"/>
  <c r="E1347" i="4"/>
  <c r="D1347" i="4"/>
  <c r="C1347" i="4"/>
  <c r="B1347" i="4"/>
  <c r="I1347" i="4" s="1"/>
  <c r="A1347" i="4"/>
  <c r="H1346" i="4"/>
  <c r="G1346" i="4"/>
  <c r="F1346" i="4"/>
  <c r="E1346" i="4"/>
  <c r="D1346" i="4"/>
  <c r="C1346" i="4"/>
  <c r="B1346" i="4"/>
  <c r="A1346" i="4"/>
  <c r="H1345" i="4"/>
  <c r="G1345" i="4"/>
  <c r="F1345" i="4"/>
  <c r="E1345" i="4"/>
  <c r="D1345" i="4"/>
  <c r="C1345" i="4"/>
  <c r="B1345" i="4"/>
  <c r="A1345" i="4"/>
  <c r="H1344" i="4"/>
  <c r="G1344" i="4"/>
  <c r="F1344" i="4"/>
  <c r="E1344" i="4"/>
  <c r="D1344" i="4"/>
  <c r="C1344" i="4"/>
  <c r="A1344" i="4"/>
  <c r="B1344" i="4" s="1"/>
  <c r="H1343" i="4"/>
  <c r="G1343" i="4"/>
  <c r="F1343" i="4"/>
  <c r="E1343" i="4"/>
  <c r="D1343" i="4"/>
  <c r="C1343" i="4"/>
  <c r="A1343" i="4"/>
  <c r="B1343" i="4" s="1"/>
  <c r="I1343" i="4" s="1"/>
  <c r="H1342" i="4"/>
  <c r="G1342" i="4"/>
  <c r="F1342" i="4"/>
  <c r="E1342" i="4"/>
  <c r="D1342" i="4"/>
  <c r="C1342" i="4"/>
  <c r="B1342" i="4"/>
  <c r="I1342" i="4" s="1"/>
  <c r="A1342" i="4"/>
  <c r="H1341" i="4"/>
  <c r="G1341" i="4"/>
  <c r="F1341" i="4"/>
  <c r="E1341" i="4"/>
  <c r="D1341" i="4"/>
  <c r="C1341" i="4"/>
  <c r="B1341" i="4"/>
  <c r="A1341" i="4"/>
  <c r="H1340" i="4"/>
  <c r="G1340" i="4"/>
  <c r="F1340" i="4"/>
  <c r="E1340" i="4"/>
  <c r="D1340" i="4"/>
  <c r="C1340" i="4"/>
  <c r="I1340" i="4" s="1"/>
  <c r="A1340" i="4"/>
  <c r="B1340" i="4" s="1"/>
  <c r="H1339" i="4"/>
  <c r="G1339" i="4"/>
  <c r="F1339" i="4"/>
  <c r="E1339" i="4"/>
  <c r="D1339" i="4"/>
  <c r="C1339" i="4"/>
  <c r="A1339" i="4"/>
  <c r="B1339" i="4" s="1"/>
  <c r="H1338" i="4"/>
  <c r="G1338" i="4"/>
  <c r="F1338" i="4"/>
  <c r="E1338" i="4"/>
  <c r="D1338" i="4"/>
  <c r="C1338" i="4"/>
  <c r="B1338" i="4"/>
  <c r="A1338" i="4"/>
  <c r="H1337" i="4"/>
  <c r="G1337" i="4"/>
  <c r="F1337" i="4"/>
  <c r="E1337" i="4"/>
  <c r="D1337" i="4"/>
  <c r="C1337" i="4"/>
  <c r="B1337" i="4"/>
  <c r="A1337" i="4"/>
  <c r="H1336" i="4"/>
  <c r="G1336" i="4"/>
  <c r="F1336" i="4"/>
  <c r="E1336" i="4"/>
  <c r="D1336" i="4"/>
  <c r="C1336" i="4"/>
  <c r="A1336" i="4"/>
  <c r="B1336" i="4" s="1"/>
  <c r="H1335" i="4"/>
  <c r="G1335" i="4"/>
  <c r="F1335" i="4"/>
  <c r="E1335" i="4"/>
  <c r="D1335" i="4"/>
  <c r="C1335" i="4"/>
  <c r="A1335" i="4"/>
  <c r="B1335" i="4" s="1"/>
  <c r="I1335" i="4" s="1"/>
  <c r="H1334" i="4"/>
  <c r="G1334" i="4"/>
  <c r="F1334" i="4"/>
  <c r="E1334" i="4"/>
  <c r="D1334" i="4"/>
  <c r="C1334" i="4"/>
  <c r="B1334" i="4"/>
  <c r="A1334" i="4"/>
  <c r="H1333" i="4"/>
  <c r="G1333" i="4"/>
  <c r="F1333" i="4"/>
  <c r="E1333" i="4"/>
  <c r="D1333" i="4"/>
  <c r="C1333" i="4"/>
  <c r="B1333" i="4"/>
  <c r="I1333" i="4" s="1"/>
  <c r="A1333" i="4"/>
  <c r="H1332" i="4"/>
  <c r="G1332" i="4"/>
  <c r="F1332" i="4"/>
  <c r="E1332" i="4"/>
  <c r="D1332" i="4"/>
  <c r="C1332" i="4"/>
  <c r="A1332" i="4"/>
  <c r="B1332" i="4" s="1"/>
  <c r="H1331" i="4"/>
  <c r="G1331" i="4"/>
  <c r="F1331" i="4"/>
  <c r="E1331" i="4"/>
  <c r="D1331" i="4"/>
  <c r="C1331" i="4"/>
  <c r="A1331" i="4"/>
  <c r="B1331" i="4" s="1"/>
  <c r="I1331" i="4" s="1"/>
  <c r="H1330" i="4"/>
  <c r="G1330" i="4"/>
  <c r="F1330" i="4"/>
  <c r="E1330" i="4"/>
  <c r="D1330" i="4"/>
  <c r="C1330" i="4"/>
  <c r="B1330" i="4"/>
  <c r="I1330" i="4" s="1"/>
  <c r="A1330" i="4"/>
  <c r="H1329" i="4"/>
  <c r="G1329" i="4"/>
  <c r="F1329" i="4"/>
  <c r="E1329" i="4"/>
  <c r="D1329" i="4"/>
  <c r="C1329" i="4"/>
  <c r="B1329" i="4"/>
  <c r="A1329" i="4"/>
  <c r="H1328" i="4"/>
  <c r="G1328" i="4"/>
  <c r="F1328" i="4"/>
  <c r="E1328" i="4"/>
  <c r="D1328" i="4"/>
  <c r="C1328" i="4"/>
  <c r="A1328" i="4"/>
  <c r="B1328" i="4" s="1"/>
  <c r="H1327" i="4"/>
  <c r="G1327" i="4"/>
  <c r="F1327" i="4"/>
  <c r="E1327" i="4"/>
  <c r="D1327" i="4"/>
  <c r="C1327" i="4"/>
  <c r="A1327" i="4"/>
  <c r="B1327" i="4" s="1"/>
  <c r="H1326" i="4"/>
  <c r="G1326" i="4"/>
  <c r="F1326" i="4"/>
  <c r="E1326" i="4"/>
  <c r="D1326" i="4"/>
  <c r="C1326" i="4"/>
  <c r="B1326" i="4"/>
  <c r="A1326" i="4"/>
  <c r="H1325" i="4"/>
  <c r="G1325" i="4"/>
  <c r="F1325" i="4"/>
  <c r="E1325" i="4"/>
  <c r="D1325" i="4"/>
  <c r="C1325" i="4"/>
  <c r="B1325" i="4"/>
  <c r="A1325" i="4"/>
  <c r="H1324" i="4"/>
  <c r="I1324" i="4" s="1"/>
  <c r="G1324" i="4"/>
  <c r="F1324" i="4"/>
  <c r="E1324" i="4"/>
  <c r="D1324" i="4"/>
  <c r="C1324" i="4"/>
  <c r="A1324" i="4"/>
  <c r="B1324" i="4" s="1"/>
  <c r="H1323" i="4"/>
  <c r="G1323" i="4"/>
  <c r="F1323" i="4"/>
  <c r="E1323" i="4"/>
  <c r="D1323" i="4"/>
  <c r="C1323" i="4"/>
  <c r="A1323" i="4"/>
  <c r="B1323" i="4" s="1"/>
  <c r="I1323" i="4" s="1"/>
  <c r="H1322" i="4"/>
  <c r="G1322" i="4"/>
  <c r="F1322" i="4"/>
  <c r="E1322" i="4"/>
  <c r="D1322" i="4"/>
  <c r="C1322" i="4"/>
  <c r="B1322" i="4"/>
  <c r="I1322" i="4" s="1"/>
  <c r="A1322" i="4"/>
  <c r="H1321" i="4"/>
  <c r="G1321" i="4"/>
  <c r="F1321" i="4"/>
  <c r="E1321" i="4"/>
  <c r="D1321" i="4"/>
  <c r="C1321" i="4"/>
  <c r="B1321" i="4"/>
  <c r="I1321" i="4" s="1"/>
  <c r="A1321" i="4"/>
  <c r="H1320" i="4"/>
  <c r="G1320" i="4"/>
  <c r="F1320" i="4"/>
  <c r="E1320" i="4"/>
  <c r="D1320" i="4"/>
  <c r="C1320" i="4"/>
  <c r="A1320" i="4"/>
  <c r="B1320" i="4" s="1"/>
  <c r="I1320" i="4" s="1"/>
  <c r="H1319" i="4"/>
  <c r="G1319" i="4"/>
  <c r="F1319" i="4"/>
  <c r="E1319" i="4"/>
  <c r="D1319" i="4"/>
  <c r="C1319" i="4"/>
  <c r="A1319" i="4"/>
  <c r="B1319" i="4" s="1"/>
  <c r="I1319" i="4" s="1"/>
  <c r="H1318" i="4"/>
  <c r="G1318" i="4"/>
  <c r="F1318" i="4"/>
  <c r="E1318" i="4"/>
  <c r="D1318" i="4"/>
  <c r="C1318" i="4"/>
  <c r="B1318" i="4"/>
  <c r="I1318" i="4" s="1"/>
  <c r="A1318" i="4"/>
  <c r="H1317" i="4"/>
  <c r="G1317" i="4"/>
  <c r="F1317" i="4"/>
  <c r="E1317" i="4"/>
  <c r="D1317" i="4"/>
  <c r="C1317" i="4"/>
  <c r="B1317" i="4"/>
  <c r="I1317" i="4" s="1"/>
  <c r="A1317" i="4"/>
  <c r="H1316" i="4"/>
  <c r="G1316" i="4"/>
  <c r="F1316" i="4"/>
  <c r="E1316" i="4"/>
  <c r="D1316" i="4"/>
  <c r="C1316" i="4"/>
  <c r="I1316" i="4" s="1"/>
  <c r="A1316" i="4"/>
  <c r="B1316" i="4" s="1"/>
  <c r="H1315" i="4"/>
  <c r="G1315" i="4"/>
  <c r="F1315" i="4"/>
  <c r="E1315" i="4"/>
  <c r="D1315" i="4"/>
  <c r="C1315" i="4"/>
  <c r="A1315" i="4"/>
  <c r="B1315" i="4" s="1"/>
  <c r="I1315" i="4" s="1"/>
  <c r="H1314" i="4"/>
  <c r="G1314" i="4"/>
  <c r="F1314" i="4"/>
  <c r="E1314" i="4"/>
  <c r="D1314" i="4"/>
  <c r="C1314" i="4"/>
  <c r="B1314" i="4"/>
  <c r="A1314" i="4"/>
  <c r="H1313" i="4"/>
  <c r="G1313" i="4"/>
  <c r="F1313" i="4"/>
  <c r="E1313" i="4"/>
  <c r="D1313" i="4"/>
  <c r="C1313" i="4"/>
  <c r="B1313" i="4"/>
  <c r="A1313" i="4"/>
  <c r="H1312" i="4"/>
  <c r="G1312" i="4"/>
  <c r="F1312" i="4"/>
  <c r="E1312" i="4"/>
  <c r="D1312" i="4"/>
  <c r="C1312" i="4"/>
  <c r="A1312" i="4"/>
  <c r="B1312" i="4" s="1"/>
  <c r="H1311" i="4"/>
  <c r="G1311" i="4"/>
  <c r="F1311" i="4"/>
  <c r="E1311" i="4"/>
  <c r="D1311" i="4"/>
  <c r="C1311" i="4"/>
  <c r="A1311" i="4"/>
  <c r="B1311" i="4" s="1"/>
  <c r="I1311" i="4" s="1"/>
  <c r="H1310" i="4"/>
  <c r="G1310" i="4"/>
  <c r="F1310" i="4"/>
  <c r="E1310" i="4"/>
  <c r="D1310" i="4"/>
  <c r="C1310" i="4"/>
  <c r="B1310" i="4"/>
  <c r="I1310" i="4" s="1"/>
  <c r="A1310" i="4"/>
  <c r="H1309" i="4"/>
  <c r="G1309" i="4"/>
  <c r="F1309" i="4"/>
  <c r="E1309" i="4"/>
  <c r="D1309" i="4"/>
  <c r="C1309" i="4"/>
  <c r="B1309" i="4"/>
  <c r="A1309" i="4"/>
  <c r="I1308" i="4"/>
  <c r="H1308" i="4"/>
  <c r="G1308" i="4"/>
  <c r="F1308" i="4"/>
  <c r="E1308" i="4"/>
  <c r="D1308" i="4"/>
  <c r="C1308" i="4"/>
  <c r="A1308" i="4"/>
  <c r="B1308" i="4" s="1"/>
  <c r="H1307" i="4"/>
  <c r="G1307" i="4"/>
  <c r="F1307" i="4"/>
  <c r="E1307" i="4"/>
  <c r="D1307" i="4"/>
  <c r="C1307" i="4"/>
  <c r="A1307" i="4"/>
  <c r="B1307" i="4" s="1"/>
  <c r="I1307" i="4" s="1"/>
  <c r="H1306" i="4"/>
  <c r="G1306" i="4"/>
  <c r="F1306" i="4"/>
  <c r="E1306" i="4"/>
  <c r="D1306" i="4"/>
  <c r="C1306" i="4"/>
  <c r="B1306" i="4"/>
  <c r="A1306" i="4"/>
  <c r="H1305" i="4"/>
  <c r="G1305" i="4"/>
  <c r="F1305" i="4"/>
  <c r="E1305" i="4"/>
  <c r="D1305" i="4"/>
  <c r="C1305" i="4"/>
  <c r="B1305" i="4"/>
  <c r="I1305" i="4" s="1"/>
  <c r="A1305" i="4"/>
  <c r="H1304" i="4"/>
  <c r="G1304" i="4"/>
  <c r="F1304" i="4"/>
  <c r="E1304" i="4"/>
  <c r="D1304" i="4"/>
  <c r="C1304" i="4"/>
  <c r="A1304" i="4"/>
  <c r="B1304" i="4" s="1"/>
  <c r="H1303" i="4"/>
  <c r="G1303" i="4"/>
  <c r="F1303" i="4"/>
  <c r="E1303" i="4"/>
  <c r="D1303" i="4"/>
  <c r="C1303" i="4"/>
  <c r="A1303" i="4"/>
  <c r="B1303" i="4" s="1"/>
  <c r="H1302" i="4"/>
  <c r="G1302" i="4"/>
  <c r="F1302" i="4"/>
  <c r="E1302" i="4"/>
  <c r="D1302" i="4"/>
  <c r="C1302" i="4"/>
  <c r="B1302" i="4"/>
  <c r="A1302" i="4"/>
  <c r="H1301" i="4"/>
  <c r="G1301" i="4"/>
  <c r="F1301" i="4"/>
  <c r="E1301" i="4"/>
  <c r="D1301" i="4"/>
  <c r="C1301" i="4"/>
  <c r="B1301" i="4"/>
  <c r="A1301" i="4"/>
  <c r="H1300" i="4"/>
  <c r="G1300" i="4"/>
  <c r="F1300" i="4"/>
  <c r="E1300" i="4"/>
  <c r="D1300" i="4"/>
  <c r="C1300" i="4"/>
  <c r="A1300" i="4"/>
  <c r="B1300" i="4" s="1"/>
  <c r="H1299" i="4"/>
  <c r="G1299" i="4"/>
  <c r="F1299" i="4"/>
  <c r="E1299" i="4"/>
  <c r="D1299" i="4"/>
  <c r="C1299" i="4"/>
  <c r="A1299" i="4"/>
  <c r="B1299" i="4" s="1"/>
  <c r="I1299" i="4" s="1"/>
  <c r="H1298" i="4"/>
  <c r="G1298" i="4"/>
  <c r="F1298" i="4"/>
  <c r="E1298" i="4"/>
  <c r="D1298" i="4"/>
  <c r="C1298" i="4"/>
  <c r="B1298" i="4"/>
  <c r="A1298" i="4"/>
  <c r="H1297" i="4"/>
  <c r="G1297" i="4"/>
  <c r="F1297" i="4"/>
  <c r="E1297" i="4"/>
  <c r="D1297" i="4"/>
  <c r="C1297" i="4"/>
  <c r="B1297" i="4"/>
  <c r="A1297" i="4"/>
  <c r="H1296" i="4"/>
  <c r="G1296" i="4"/>
  <c r="F1296" i="4"/>
  <c r="E1296" i="4"/>
  <c r="D1296" i="4"/>
  <c r="C1296" i="4"/>
  <c r="A1296" i="4"/>
  <c r="B1296" i="4" s="1"/>
  <c r="I1296" i="4" s="1"/>
  <c r="H1295" i="4"/>
  <c r="G1295" i="4"/>
  <c r="F1295" i="4"/>
  <c r="E1295" i="4"/>
  <c r="D1295" i="4"/>
  <c r="C1295" i="4"/>
  <c r="A1295" i="4"/>
  <c r="B1295" i="4" s="1"/>
  <c r="H1294" i="4"/>
  <c r="G1294" i="4"/>
  <c r="F1294" i="4"/>
  <c r="E1294" i="4"/>
  <c r="D1294" i="4"/>
  <c r="C1294" i="4"/>
  <c r="B1294" i="4"/>
  <c r="A1294" i="4"/>
  <c r="H1293" i="4"/>
  <c r="G1293" i="4"/>
  <c r="F1293" i="4"/>
  <c r="E1293" i="4"/>
  <c r="D1293" i="4"/>
  <c r="C1293" i="4"/>
  <c r="B1293" i="4"/>
  <c r="A1293" i="4"/>
  <c r="H1292" i="4"/>
  <c r="G1292" i="4"/>
  <c r="F1292" i="4"/>
  <c r="E1292" i="4"/>
  <c r="D1292" i="4"/>
  <c r="C1292" i="4"/>
  <c r="I1292" i="4" s="1"/>
  <c r="A1292" i="4"/>
  <c r="B1292" i="4" s="1"/>
  <c r="H1291" i="4"/>
  <c r="G1291" i="4"/>
  <c r="F1291" i="4"/>
  <c r="E1291" i="4"/>
  <c r="D1291" i="4"/>
  <c r="C1291" i="4"/>
  <c r="A1291" i="4"/>
  <c r="B1291" i="4" s="1"/>
  <c r="I1291" i="4" s="1"/>
  <c r="H1290" i="4"/>
  <c r="G1290" i="4"/>
  <c r="F1290" i="4"/>
  <c r="E1290" i="4"/>
  <c r="D1290" i="4"/>
  <c r="C1290" i="4"/>
  <c r="B1290" i="4"/>
  <c r="I1290" i="4" s="1"/>
  <c r="A1290" i="4"/>
  <c r="H1289" i="4"/>
  <c r="G1289" i="4"/>
  <c r="F1289" i="4"/>
  <c r="E1289" i="4"/>
  <c r="D1289" i="4"/>
  <c r="C1289" i="4"/>
  <c r="B1289" i="4"/>
  <c r="A1289" i="4"/>
  <c r="H1288" i="4"/>
  <c r="G1288" i="4"/>
  <c r="F1288" i="4"/>
  <c r="E1288" i="4"/>
  <c r="D1288" i="4"/>
  <c r="C1288" i="4"/>
  <c r="A1288" i="4"/>
  <c r="B1288" i="4" s="1"/>
  <c r="H1287" i="4"/>
  <c r="G1287" i="4"/>
  <c r="F1287" i="4"/>
  <c r="E1287" i="4"/>
  <c r="D1287" i="4"/>
  <c r="C1287" i="4"/>
  <c r="A1287" i="4"/>
  <c r="B1287" i="4" s="1"/>
  <c r="I1287" i="4" s="1"/>
  <c r="H1286" i="4"/>
  <c r="G1286" i="4"/>
  <c r="F1286" i="4"/>
  <c r="E1286" i="4"/>
  <c r="D1286" i="4"/>
  <c r="C1286" i="4"/>
  <c r="B1286" i="4"/>
  <c r="I1286" i="4" s="1"/>
  <c r="A1286" i="4"/>
  <c r="H1285" i="4"/>
  <c r="G1285" i="4"/>
  <c r="F1285" i="4"/>
  <c r="E1285" i="4"/>
  <c r="D1285" i="4"/>
  <c r="C1285" i="4"/>
  <c r="B1285" i="4"/>
  <c r="I1285" i="4" s="1"/>
  <c r="A1285" i="4"/>
  <c r="H1284" i="4"/>
  <c r="G1284" i="4"/>
  <c r="F1284" i="4"/>
  <c r="E1284" i="4"/>
  <c r="D1284" i="4"/>
  <c r="C1284" i="4"/>
  <c r="I1284" i="4" s="1"/>
  <c r="A1284" i="4"/>
  <c r="B1284" i="4" s="1"/>
  <c r="H1283" i="4"/>
  <c r="G1283" i="4"/>
  <c r="F1283" i="4"/>
  <c r="E1283" i="4"/>
  <c r="D1283" i="4"/>
  <c r="C1283" i="4"/>
  <c r="A1283" i="4"/>
  <c r="B1283" i="4" s="1"/>
  <c r="I1283" i="4" s="1"/>
  <c r="H1282" i="4"/>
  <c r="G1282" i="4"/>
  <c r="F1282" i="4"/>
  <c r="E1282" i="4"/>
  <c r="D1282" i="4"/>
  <c r="C1282" i="4"/>
  <c r="B1282" i="4"/>
  <c r="A1282" i="4"/>
  <c r="H1281" i="4"/>
  <c r="G1281" i="4"/>
  <c r="F1281" i="4"/>
  <c r="E1281" i="4"/>
  <c r="D1281" i="4"/>
  <c r="C1281" i="4"/>
  <c r="B1281" i="4"/>
  <c r="A1281" i="4"/>
  <c r="H1280" i="4"/>
  <c r="G1280" i="4"/>
  <c r="F1280" i="4"/>
  <c r="E1280" i="4"/>
  <c r="D1280" i="4"/>
  <c r="C1280" i="4"/>
  <c r="A1280" i="4"/>
  <c r="B1280" i="4" s="1"/>
  <c r="H1279" i="4"/>
  <c r="G1279" i="4"/>
  <c r="F1279" i="4"/>
  <c r="E1279" i="4"/>
  <c r="D1279" i="4"/>
  <c r="C1279" i="4"/>
  <c r="A1279" i="4"/>
  <c r="B1279" i="4" s="1"/>
  <c r="I1279" i="4" s="1"/>
  <c r="H1278" i="4"/>
  <c r="G1278" i="4"/>
  <c r="F1278" i="4"/>
  <c r="E1278" i="4"/>
  <c r="D1278" i="4"/>
  <c r="C1278" i="4"/>
  <c r="B1278" i="4"/>
  <c r="I1278" i="4" s="1"/>
  <c r="A1278" i="4"/>
  <c r="H1277" i="4"/>
  <c r="G1277" i="4"/>
  <c r="F1277" i="4"/>
  <c r="E1277" i="4"/>
  <c r="D1277" i="4"/>
  <c r="C1277" i="4"/>
  <c r="B1277" i="4"/>
  <c r="A1277" i="4"/>
  <c r="H1276" i="4"/>
  <c r="G1276" i="4"/>
  <c r="F1276" i="4"/>
  <c r="E1276" i="4"/>
  <c r="D1276" i="4"/>
  <c r="C1276" i="4"/>
  <c r="I1276" i="4" s="1"/>
  <c r="A1276" i="4"/>
  <c r="B1276" i="4" s="1"/>
  <c r="H1275" i="4"/>
  <c r="G1275" i="4"/>
  <c r="F1275" i="4"/>
  <c r="E1275" i="4"/>
  <c r="D1275" i="4"/>
  <c r="C1275" i="4"/>
  <c r="A1275" i="4"/>
  <c r="B1275" i="4" s="1"/>
  <c r="I1275" i="4" s="1"/>
  <c r="H1274" i="4"/>
  <c r="G1274" i="4"/>
  <c r="F1274" i="4"/>
  <c r="E1274" i="4"/>
  <c r="D1274" i="4"/>
  <c r="C1274" i="4"/>
  <c r="B1274" i="4"/>
  <c r="I1274" i="4" s="1"/>
  <c r="A1274" i="4"/>
  <c r="H1273" i="4"/>
  <c r="G1273" i="4"/>
  <c r="F1273" i="4"/>
  <c r="E1273" i="4"/>
  <c r="D1273" i="4"/>
  <c r="C1273" i="4"/>
  <c r="B1273" i="4"/>
  <c r="I1273" i="4" s="1"/>
  <c r="A1273" i="4"/>
  <c r="H1272" i="4"/>
  <c r="G1272" i="4"/>
  <c r="F1272" i="4"/>
  <c r="E1272" i="4"/>
  <c r="D1272" i="4"/>
  <c r="C1272" i="4"/>
  <c r="A1272" i="4"/>
  <c r="B1272" i="4" s="1"/>
  <c r="I1272" i="4" s="1"/>
  <c r="H1271" i="4"/>
  <c r="G1271" i="4"/>
  <c r="F1271" i="4"/>
  <c r="E1271" i="4"/>
  <c r="D1271" i="4"/>
  <c r="C1271" i="4"/>
  <c r="A1271" i="4"/>
  <c r="B1271" i="4" s="1"/>
  <c r="H1270" i="4"/>
  <c r="G1270" i="4"/>
  <c r="F1270" i="4"/>
  <c r="E1270" i="4"/>
  <c r="D1270" i="4"/>
  <c r="C1270" i="4"/>
  <c r="B1270" i="4"/>
  <c r="A1270" i="4"/>
  <c r="H1269" i="4"/>
  <c r="G1269" i="4"/>
  <c r="F1269" i="4"/>
  <c r="E1269" i="4"/>
  <c r="D1269" i="4"/>
  <c r="C1269" i="4"/>
  <c r="B1269" i="4"/>
  <c r="A1269" i="4"/>
  <c r="I1268" i="4"/>
  <c r="H1268" i="4"/>
  <c r="G1268" i="4"/>
  <c r="F1268" i="4"/>
  <c r="E1268" i="4"/>
  <c r="D1268" i="4"/>
  <c r="C1268" i="4"/>
  <c r="A1268" i="4"/>
  <c r="B1268" i="4" s="1"/>
  <c r="H1267" i="4"/>
  <c r="G1267" i="4"/>
  <c r="F1267" i="4"/>
  <c r="E1267" i="4"/>
  <c r="D1267" i="4"/>
  <c r="C1267" i="4"/>
  <c r="A1267" i="4"/>
  <c r="B1267" i="4" s="1"/>
  <c r="I1267" i="4" s="1"/>
  <c r="H1266" i="4"/>
  <c r="G1266" i="4"/>
  <c r="F1266" i="4"/>
  <c r="E1266" i="4"/>
  <c r="D1266" i="4"/>
  <c r="C1266" i="4"/>
  <c r="B1266" i="4"/>
  <c r="A1266" i="4"/>
  <c r="H1265" i="4"/>
  <c r="G1265" i="4"/>
  <c r="F1265" i="4"/>
  <c r="E1265" i="4"/>
  <c r="D1265" i="4"/>
  <c r="C1265" i="4"/>
  <c r="B1265" i="4"/>
  <c r="A1265" i="4"/>
  <c r="H1264" i="4"/>
  <c r="G1264" i="4"/>
  <c r="F1264" i="4"/>
  <c r="E1264" i="4"/>
  <c r="D1264" i="4"/>
  <c r="C1264" i="4"/>
  <c r="A1264" i="4"/>
  <c r="B1264" i="4" s="1"/>
  <c r="H1263" i="4"/>
  <c r="G1263" i="4"/>
  <c r="F1263" i="4"/>
  <c r="E1263" i="4"/>
  <c r="D1263" i="4"/>
  <c r="C1263" i="4"/>
  <c r="A1263" i="4"/>
  <c r="B1263" i="4" s="1"/>
  <c r="H1262" i="4"/>
  <c r="G1262" i="4"/>
  <c r="F1262" i="4"/>
  <c r="E1262" i="4"/>
  <c r="D1262" i="4"/>
  <c r="C1262" i="4"/>
  <c r="B1262" i="4"/>
  <c r="A1262" i="4"/>
  <c r="H1261" i="4"/>
  <c r="G1261" i="4"/>
  <c r="F1261" i="4"/>
  <c r="E1261" i="4"/>
  <c r="D1261" i="4"/>
  <c r="C1261" i="4"/>
  <c r="B1261" i="4"/>
  <c r="A1261" i="4"/>
  <c r="H1260" i="4"/>
  <c r="G1260" i="4"/>
  <c r="I1260" i="4" s="1"/>
  <c r="F1260" i="4"/>
  <c r="E1260" i="4"/>
  <c r="D1260" i="4"/>
  <c r="C1260" i="4"/>
  <c r="A1260" i="4"/>
  <c r="B1260" i="4" s="1"/>
  <c r="H1259" i="4"/>
  <c r="I1259" i="4" s="1"/>
  <c r="G1259" i="4"/>
  <c r="F1259" i="4"/>
  <c r="E1259" i="4"/>
  <c r="D1259" i="4"/>
  <c r="C1259" i="4"/>
  <c r="A1259" i="4"/>
  <c r="B1259" i="4" s="1"/>
  <c r="H1258" i="4"/>
  <c r="G1258" i="4"/>
  <c r="F1258" i="4"/>
  <c r="E1258" i="4"/>
  <c r="D1258" i="4"/>
  <c r="C1258" i="4"/>
  <c r="A1258" i="4"/>
  <c r="B1258" i="4" s="1"/>
  <c r="I1258" i="4" s="1"/>
  <c r="H1257" i="4"/>
  <c r="G1257" i="4"/>
  <c r="F1257" i="4"/>
  <c r="E1257" i="4"/>
  <c r="D1257" i="4"/>
  <c r="C1257" i="4"/>
  <c r="B1257" i="4"/>
  <c r="A1257" i="4"/>
  <c r="H1256" i="4"/>
  <c r="G1256" i="4"/>
  <c r="F1256" i="4"/>
  <c r="E1256" i="4"/>
  <c r="D1256" i="4"/>
  <c r="C1256" i="4"/>
  <c r="A1256" i="4"/>
  <c r="B1256" i="4" s="1"/>
  <c r="H1255" i="4"/>
  <c r="G1255" i="4"/>
  <c r="F1255" i="4"/>
  <c r="E1255" i="4"/>
  <c r="D1255" i="4"/>
  <c r="I1255" i="4" s="1"/>
  <c r="C1255" i="4"/>
  <c r="A1255" i="4"/>
  <c r="B1255" i="4" s="1"/>
  <c r="H1254" i="4"/>
  <c r="G1254" i="4"/>
  <c r="F1254" i="4"/>
  <c r="E1254" i="4"/>
  <c r="D1254" i="4"/>
  <c r="C1254" i="4"/>
  <c r="A1254" i="4"/>
  <c r="B1254" i="4" s="1"/>
  <c r="I1254" i="4" s="1"/>
  <c r="H1253" i="4"/>
  <c r="G1253" i="4"/>
  <c r="F1253" i="4"/>
  <c r="E1253" i="4"/>
  <c r="D1253" i="4"/>
  <c r="C1253" i="4"/>
  <c r="B1253" i="4"/>
  <c r="A1253" i="4"/>
  <c r="H1252" i="4"/>
  <c r="G1252" i="4"/>
  <c r="I1252" i="4" s="1"/>
  <c r="F1252" i="4"/>
  <c r="E1252" i="4"/>
  <c r="D1252" i="4"/>
  <c r="C1252" i="4"/>
  <c r="A1252" i="4"/>
  <c r="B1252" i="4" s="1"/>
  <c r="H1251" i="4"/>
  <c r="G1251" i="4"/>
  <c r="F1251" i="4"/>
  <c r="E1251" i="4"/>
  <c r="D1251" i="4"/>
  <c r="C1251" i="4"/>
  <c r="A1251" i="4"/>
  <c r="B1251" i="4" s="1"/>
  <c r="I1251" i="4" s="1"/>
  <c r="H1250" i="4"/>
  <c r="G1250" i="4"/>
  <c r="F1250" i="4"/>
  <c r="E1250" i="4"/>
  <c r="D1250" i="4"/>
  <c r="C1250" i="4"/>
  <c r="B1250" i="4"/>
  <c r="I1250" i="4" s="1"/>
  <c r="A1250" i="4"/>
  <c r="H1249" i="4"/>
  <c r="G1249" i="4"/>
  <c r="F1249" i="4"/>
  <c r="E1249" i="4"/>
  <c r="D1249" i="4"/>
  <c r="C1249" i="4"/>
  <c r="B1249" i="4"/>
  <c r="I1249" i="4" s="1"/>
  <c r="A1249" i="4"/>
  <c r="H1248" i="4"/>
  <c r="G1248" i="4"/>
  <c r="F1248" i="4"/>
  <c r="E1248" i="4"/>
  <c r="D1248" i="4"/>
  <c r="C1248" i="4"/>
  <c r="A1248" i="4"/>
  <c r="B1248" i="4" s="1"/>
  <c r="I1248" i="4" s="1"/>
  <c r="H1247" i="4"/>
  <c r="G1247" i="4"/>
  <c r="F1247" i="4"/>
  <c r="E1247" i="4"/>
  <c r="D1247" i="4"/>
  <c r="C1247" i="4"/>
  <c r="A1247" i="4"/>
  <c r="B1247" i="4" s="1"/>
  <c r="H1246" i="4"/>
  <c r="G1246" i="4"/>
  <c r="F1246" i="4"/>
  <c r="E1246" i="4"/>
  <c r="D1246" i="4"/>
  <c r="C1246" i="4"/>
  <c r="B1246" i="4"/>
  <c r="A1246" i="4"/>
  <c r="H1245" i="4"/>
  <c r="G1245" i="4"/>
  <c r="F1245" i="4"/>
  <c r="E1245" i="4"/>
  <c r="D1245" i="4"/>
  <c r="C1245" i="4"/>
  <c r="B1245" i="4"/>
  <c r="A1245" i="4"/>
  <c r="H1244" i="4"/>
  <c r="G1244" i="4"/>
  <c r="F1244" i="4"/>
  <c r="E1244" i="4"/>
  <c r="D1244" i="4"/>
  <c r="I1244" i="4" s="1"/>
  <c r="C1244" i="4"/>
  <c r="A1244" i="4"/>
  <c r="B1244" i="4" s="1"/>
  <c r="H1243" i="4"/>
  <c r="G1243" i="4"/>
  <c r="F1243" i="4"/>
  <c r="E1243" i="4"/>
  <c r="D1243" i="4"/>
  <c r="I1243" i="4" s="1"/>
  <c r="C1243" i="4"/>
  <c r="A1243" i="4"/>
  <c r="B1243" i="4" s="1"/>
  <c r="H1242" i="4"/>
  <c r="G1242" i="4"/>
  <c r="F1242" i="4"/>
  <c r="E1242" i="4"/>
  <c r="D1242" i="4"/>
  <c r="C1242" i="4"/>
  <c r="B1242" i="4"/>
  <c r="A1242" i="4"/>
  <c r="H1241" i="4"/>
  <c r="G1241" i="4"/>
  <c r="F1241" i="4"/>
  <c r="E1241" i="4"/>
  <c r="D1241" i="4"/>
  <c r="C1241" i="4"/>
  <c r="B1241" i="4"/>
  <c r="A1241" i="4"/>
  <c r="H1240" i="4"/>
  <c r="G1240" i="4"/>
  <c r="F1240" i="4"/>
  <c r="E1240" i="4"/>
  <c r="D1240" i="4"/>
  <c r="C1240" i="4"/>
  <c r="A1240" i="4"/>
  <c r="B1240" i="4" s="1"/>
  <c r="H1239" i="4"/>
  <c r="G1239" i="4"/>
  <c r="F1239" i="4"/>
  <c r="E1239" i="4"/>
  <c r="D1239" i="4"/>
  <c r="C1239" i="4"/>
  <c r="A1239" i="4"/>
  <c r="B1239" i="4" s="1"/>
  <c r="H1238" i="4"/>
  <c r="G1238" i="4"/>
  <c r="F1238" i="4"/>
  <c r="E1238" i="4"/>
  <c r="D1238" i="4"/>
  <c r="C1238" i="4"/>
  <c r="B1238" i="4"/>
  <c r="A1238" i="4"/>
  <c r="H1237" i="4"/>
  <c r="G1237" i="4"/>
  <c r="F1237" i="4"/>
  <c r="E1237" i="4"/>
  <c r="D1237" i="4"/>
  <c r="C1237" i="4"/>
  <c r="B1237" i="4"/>
  <c r="A1237" i="4"/>
  <c r="H1236" i="4"/>
  <c r="G1236" i="4"/>
  <c r="F1236" i="4"/>
  <c r="E1236" i="4"/>
  <c r="D1236" i="4"/>
  <c r="C1236" i="4"/>
  <c r="I1236" i="4" s="1"/>
  <c r="A1236" i="4"/>
  <c r="B1236" i="4" s="1"/>
  <c r="H1235" i="4"/>
  <c r="G1235" i="4"/>
  <c r="F1235" i="4"/>
  <c r="E1235" i="4"/>
  <c r="D1235" i="4"/>
  <c r="C1235" i="4"/>
  <c r="A1235" i="4"/>
  <c r="B1235" i="4" s="1"/>
  <c r="I1235" i="4" s="1"/>
  <c r="H1234" i="4"/>
  <c r="G1234" i="4"/>
  <c r="F1234" i="4"/>
  <c r="E1234" i="4"/>
  <c r="D1234" i="4"/>
  <c r="C1234" i="4"/>
  <c r="B1234" i="4"/>
  <c r="A1234" i="4"/>
  <c r="H1233" i="4"/>
  <c r="G1233" i="4"/>
  <c r="F1233" i="4"/>
  <c r="E1233" i="4"/>
  <c r="D1233" i="4"/>
  <c r="C1233" i="4"/>
  <c r="B1233" i="4"/>
  <c r="A1233" i="4"/>
  <c r="H1232" i="4"/>
  <c r="G1232" i="4"/>
  <c r="F1232" i="4"/>
  <c r="E1232" i="4"/>
  <c r="D1232" i="4"/>
  <c r="C1232" i="4"/>
  <c r="B1232" i="4"/>
  <c r="A1232" i="4"/>
  <c r="H1231" i="4"/>
  <c r="G1231" i="4"/>
  <c r="F1231" i="4"/>
  <c r="E1231" i="4"/>
  <c r="D1231" i="4"/>
  <c r="C1231" i="4"/>
  <c r="I1231" i="4" s="1"/>
  <c r="A1231" i="4"/>
  <c r="B1231" i="4" s="1"/>
  <c r="H1230" i="4"/>
  <c r="G1230" i="4"/>
  <c r="F1230" i="4"/>
  <c r="E1230" i="4"/>
  <c r="D1230" i="4"/>
  <c r="C1230" i="4"/>
  <c r="A1230" i="4"/>
  <c r="B1230" i="4" s="1"/>
  <c r="I1230" i="4" s="1"/>
  <c r="H1229" i="4"/>
  <c r="G1229" i="4"/>
  <c r="F1229" i="4"/>
  <c r="E1229" i="4"/>
  <c r="D1229" i="4"/>
  <c r="C1229" i="4"/>
  <c r="B1229" i="4"/>
  <c r="A1229" i="4"/>
  <c r="H1228" i="4"/>
  <c r="G1228" i="4"/>
  <c r="F1228" i="4"/>
  <c r="E1228" i="4"/>
  <c r="D1228" i="4"/>
  <c r="C1228" i="4"/>
  <c r="A1228" i="4"/>
  <c r="B1228" i="4" s="1"/>
  <c r="I1228" i="4" s="1"/>
  <c r="H1227" i="4"/>
  <c r="G1227" i="4"/>
  <c r="F1227" i="4"/>
  <c r="E1227" i="4"/>
  <c r="D1227" i="4"/>
  <c r="C1227" i="4"/>
  <c r="B1227" i="4"/>
  <c r="A1227" i="4"/>
  <c r="H1226" i="4"/>
  <c r="G1226" i="4"/>
  <c r="F1226" i="4"/>
  <c r="E1226" i="4"/>
  <c r="D1226" i="4"/>
  <c r="C1226" i="4"/>
  <c r="A1226" i="4"/>
  <c r="B1226" i="4" s="1"/>
  <c r="H1225" i="4"/>
  <c r="G1225" i="4"/>
  <c r="F1225" i="4"/>
  <c r="E1225" i="4"/>
  <c r="D1225" i="4"/>
  <c r="C1225" i="4"/>
  <c r="B1225" i="4"/>
  <c r="A1225" i="4"/>
  <c r="H1224" i="4"/>
  <c r="G1224" i="4"/>
  <c r="F1224" i="4"/>
  <c r="E1224" i="4"/>
  <c r="D1224" i="4"/>
  <c r="C1224" i="4"/>
  <c r="B1224" i="4"/>
  <c r="A1224" i="4"/>
  <c r="H1223" i="4"/>
  <c r="G1223" i="4"/>
  <c r="F1223" i="4"/>
  <c r="E1223" i="4"/>
  <c r="D1223" i="4"/>
  <c r="I1223" i="4" s="1"/>
  <c r="C1223" i="4"/>
  <c r="A1223" i="4"/>
  <c r="B1223" i="4" s="1"/>
  <c r="H1222" i="4"/>
  <c r="G1222" i="4"/>
  <c r="F1222" i="4"/>
  <c r="E1222" i="4"/>
  <c r="D1222" i="4"/>
  <c r="I1222" i="4" s="1"/>
  <c r="C1222" i="4"/>
  <c r="A1222" i="4"/>
  <c r="B1222" i="4" s="1"/>
  <c r="H1221" i="4"/>
  <c r="G1221" i="4"/>
  <c r="F1221" i="4"/>
  <c r="E1221" i="4"/>
  <c r="D1221" i="4"/>
  <c r="C1221" i="4"/>
  <c r="B1221" i="4"/>
  <c r="A1221" i="4"/>
  <c r="H1220" i="4"/>
  <c r="G1220" i="4"/>
  <c r="F1220" i="4"/>
  <c r="E1220" i="4"/>
  <c r="D1220" i="4"/>
  <c r="C1220" i="4"/>
  <c r="A1220" i="4"/>
  <c r="B1220" i="4" s="1"/>
  <c r="H1219" i="4"/>
  <c r="G1219" i="4"/>
  <c r="F1219" i="4"/>
  <c r="E1219" i="4"/>
  <c r="D1219" i="4"/>
  <c r="C1219" i="4"/>
  <c r="B1219" i="4"/>
  <c r="A1219" i="4"/>
  <c r="H1218" i="4"/>
  <c r="G1218" i="4"/>
  <c r="F1218" i="4"/>
  <c r="E1218" i="4"/>
  <c r="D1218" i="4"/>
  <c r="C1218" i="4"/>
  <c r="A1218" i="4"/>
  <c r="B1218" i="4" s="1"/>
  <c r="I1218" i="4" s="1"/>
  <c r="H1217" i="4"/>
  <c r="G1217" i="4"/>
  <c r="F1217" i="4"/>
  <c r="E1217" i="4"/>
  <c r="D1217" i="4"/>
  <c r="C1217" i="4"/>
  <c r="B1217" i="4"/>
  <c r="A1217" i="4"/>
  <c r="H1216" i="4"/>
  <c r="G1216" i="4"/>
  <c r="F1216" i="4"/>
  <c r="E1216" i="4"/>
  <c r="D1216" i="4"/>
  <c r="C1216" i="4"/>
  <c r="B1216" i="4"/>
  <c r="A1216" i="4"/>
  <c r="H1215" i="4"/>
  <c r="G1215" i="4"/>
  <c r="F1215" i="4"/>
  <c r="E1215" i="4"/>
  <c r="D1215" i="4"/>
  <c r="C1215" i="4"/>
  <c r="A1215" i="4"/>
  <c r="B1215" i="4" s="1"/>
  <c r="H1214" i="4"/>
  <c r="G1214" i="4"/>
  <c r="F1214" i="4"/>
  <c r="E1214" i="4"/>
  <c r="D1214" i="4"/>
  <c r="C1214" i="4"/>
  <c r="A1214" i="4"/>
  <c r="B1214" i="4" s="1"/>
  <c r="H1213" i="4"/>
  <c r="G1213" i="4"/>
  <c r="F1213" i="4"/>
  <c r="E1213" i="4"/>
  <c r="D1213" i="4"/>
  <c r="C1213" i="4"/>
  <c r="B1213" i="4"/>
  <c r="A1213" i="4"/>
  <c r="H1212" i="4"/>
  <c r="G1212" i="4"/>
  <c r="F1212" i="4"/>
  <c r="E1212" i="4"/>
  <c r="D1212" i="4"/>
  <c r="C1212" i="4"/>
  <c r="A1212" i="4"/>
  <c r="B1212" i="4" s="1"/>
  <c r="I1212" i="4" s="1"/>
  <c r="H1211" i="4"/>
  <c r="G1211" i="4"/>
  <c r="F1211" i="4"/>
  <c r="E1211" i="4"/>
  <c r="D1211" i="4"/>
  <c r="C1211" i="4"/>
  <c r="B1211" i="4"/>
  <c r="I1211" i="4" s="1"/>
  <c r="A1211" i="4"/>
  <c r="H1210" i="4"/>
  <c r="G1210" i="4"/>
  <c r="F1210" i="4"/>
  <c r="E1210" i="4"/>
  <c r="D1210" i="4"/>
  <c r="C1210" i="4"/>
  <c r="A1210" i="4"/>
  <c r="B1210" i="4" s="1"/>
  <c r="I1210" i="4" s="1"/>
  <c r="H1209" i="4"/>
  <c r="G1209" i="4"/>
  <c r="F1209" i="4"/>
  <c r="E1209" i="4"/>
  <c r="D1209" i="4"/>
  <c r="C1209" i="4"/>
  <c r="B1209" i="4"/>
  <c r="A1209" i="4"/>
  <c r="H1208" i="4"/>
  <c r="G1208" i="4"/>
  <c r="F1208" i="4"/>
  <c r="E1208" i="4"/>
  <c r="D1208" i="4"/>
  <c r="C1208" i="4"/>
  <c r="B1208" i="4"/>
  <c r="A1208" i="4"/>
  <c r="H1207" i="4"/>
  <c r="G1207" i="4"/>
  <c r="F1207" i="4"/>
  <c r="E1207" i="4"/>
  <c r="I1207" i="4" s="1"/>
  <c r="D1207" i="4"/>
  <c r="C1207" i="4"/>
  <c r="A1207" i="4"/>
  <c r="B1207" i="4" s="1"/>
  <c r="H1206" i="4"/>
  <c r="G1206" i="4"/>
  <c r="F1206" i="4"/>
  <c r="E1206" i="4"/>
  <c r="D1206" i="4"/>
  <c r="C1206" i="4"/>
  <c r="A1206" i="4"/>
  <c r="B1206" i="4" s="1"/>
  <c r="I1206" i="4" s="1"/>
  <c r="H1205" i="4"/>
  <c r="G1205" i="4"/>
  <c r="F1205" i="4"/>
  <c r="E1205" i="4"/>
  <c r="D1205" i="4"/>
  <c r="C1205" i="4"/>
  <c r="B1205" i="4"/>
  <c r="A1205" i="4"/>
  <c r="H1204" i="4"/>
  <c r="G1204" i="4"/>
  <c r="F1204" i="4"/>
  <c r="E1204" i="4"/>
  <c r="D1204" i="4"/>
  <c r="C1204" i="4"/>
  <c r="A1204" i="4"/>
  <c r="B1204" i="4" s="1"/>
  <c r="H1203" i="4"/>
  <c r="G1203" i="4"/>
  <c r="F1203" i="4"/>
  <c r="E1203" i="4"/>
  <c r="D1203" i="4"/>
  <c r="C1203" i="4"/>
  <c r="B1203" i="4"/>
  <c r="A1203" i="4"/>
  <c r="H1202" i="4"/>
  <c r="G1202" i="4"/>
  <c r="F1202" i="4"/>
  <c r="E1202" i="4"/>
  <c r="I1202" i="4" s="1"/>
  <c r="D1202" i="4"/>
  <c r="C1202" i="4"/>
  <c r="A1202" i="4"/>
  <c r="B1202" i="4" s="1"/>
  <c r="H1201" i="4"/>
  <c r="G1201" i="4"/>
  <c r="F1201" i="4"/>
  <c r="E1201" i="4"/>
  <c r="D1201" i="4"/>
  <c r="C1201" i="4"/>
  <c r="B1201" i="4"/>
  <c r="A1201" i="4"/>
  <c r="H1200" i="4"/>
  <c r="G1200" i="4"/>
  <c r="F1200" i="4"/>
  <c r="E1200" i="4"/>
  <c r="D1200" i="4"/>
  <c r="C1200" i="4"/>
  <c r="B1200" i="4"/>
  <c r="A1200" i="4"/>
  <c r="H1199" i="4"/>
  <c r="G1199" i="4"/>
  <c r="F1199" i="4"/>
  <c r="E1199" i="4"/>
  <c r="I1199" i="4" s="1"/>
  <c r="D1199" i="4"/>
  <c r="C1199" i="4"/>
  <c r="A1199" i="4"/>
  <c r="B1199" i="4" s="1"/>
  <c r="H1198" i="4"/>
  <c r="G1198" i="4"/>
  <c r="F1198" i="4"/>
  <c r="E1198" i="4"/>
  <c r="D1198" i="4"/>
  <c r="C1198" i="4"/>
  <c r="A1198" i="4"/>
  <c r="B1198" i="4" s="1"/>
  <c r="H1197" i="4"/>
  <c r="G1197" i="4"/>
  <c r="F1197" i="4"/>
  <c r="E1197" i="4"/>
  <c r="D1197" i="4"/>
  <c r="C1197" i="4"/>
  <c r="B1197" i="4"/>
  <c r="A1197" i="4"/>
  <c r="H1196" i="4"/>
  <c r="G1196" i="4"/>
  <c r="I1196" i="4" s="1"/>
  <c r="F1196" i="4"/>
  <c r="E1196" i="4"/>
  <c r="D1196" i="4"/>
  <c r="C1196" i="4"/>
  <c r="A1196" i="4"/>
  <c r="B1196" i="4" s="1"/>
  <c r="H1195" i="4"/>
  <c r="G1195" i="4"/>
  <c r="F1195" i="4"/>
  <c r="E1195" i="4"/>
  <c r="D1195" i="4"/>
  <c r="C1195" i="4"/>
  <c r="A1195" i="4"/>
  <c r="B1195" i="4" s="1"/>
  <c r="I1195" i="4" s="1"/>
  <c r="H1194" i="4"/>
  <c r="G1194" i="4"/>
  <c r="F1194" i="4"/>
  <c r="E1194" i="4"/>
  <c r="D1194" i="4"/>
  <c r="C1194" i="4"/>
  <c r="B1194" i="4"/>
  <c r="A1194" i="4"/>
  <c r="H1193" i="4"/>
  <c r="G1193" i="4"/>
  <c r="F1193" i="4"/>
  <c r="E1193" i="4"/>
  <c r="D1193" i="4"/>
  <c r="C1193" i="4"/>
  <c r="A1193" i="4"/>
  <c r="B1193" i="4" s="1"/>
  <c r="I1193" i="4" s="1"/>
  <c r="H1192" i="4"/>
  <c r="G1192" i="4"/>
  <c r="F1192" i="4"/>
  <c r="E1192" i="4"/>
  <c r="D1192" i="4"/>
  <c r="C1192" i="4"/>
  <c r="B1192" i="4"/>
  <c r="A1192" i="4"/>
  <c r="H1191" i="4"/>
  <c r="G1191" i="4"/>
  <c r="F1191" i="4"/>
  <c r="E1191" i="4"/>
  <c r="D1191" i="4"/>
  <c r="C1191" i="4"/>
  <c r="A1191" i="4"/>
  <c r="B1191" i="4" s="1"/>
  <c r="I1191" i="4" s="1"/>
  <c r="H1190" i="4"/>
  <c r="G1190" i="4"/>
  <c r="F1190" i="4"/>
  <c r="E1190" i="4"/>
  <c r="D1190" i="4"/>
  <c r="C1190" i="4"/>
  <c r="B1190" i="4"/>
  <c r="I1190" i="4" s="1"/>
  <c r="A1190" i="4"/>
  <c r="H1189" i="4"/>
  <c r="G1189" i="4"/>
  <c r="F1189" i="4"/>
  <c r="E1189" i="4"/>
  <c r="D1189" i="4"/>
  <c r="C1189" i="4"/>
  <c r="B1189" i="4"/>
  <c r="I1189" i="4" s="1"/>
  <c r="A1189" i="4"/>
  <c r="H1188" i="4"/>
  <c r="G1188" i="4"/>
  <c r="F1188" i="4"/>
  <c r="E1188" i="4"/>
  <c r="D1188" i="4"/>
  <c r="C1188" i="4"/>
  <c r="A1188" i="4"/>
  <c r="B1188" i="4" s="1"/>
  <c r="I1188" i="4" s="1"/>
  <c r="H1187" i="4"/>
  <c r="G1187" i="4"/>
  <c r="F1187" i="4"/>
  <c r="E1187" i="4"/>
  <c r="D1187" i="4"/>
  <c r="C1187" i="4"/>
  <c r="B1187" i="4"/>
  <c r="I1187" i="4" s="1"/>
  <c r="A1187" i="4"/>
  <c r="H1186" i="4"/>
  <c r="G1186" i="4"/>
  <c r="F1186" i="4"/>
  <c r="E1186" i="4"/>
  <c r="D1186" i="4"/>
  <c r="C1186" i="4"/>
  <c r="A1186" i="4"/>
  <c r="B1186" i="4" s="1"/>
  <c r="I1186" i="4" s="1"/>
  <c r="H1185" i="4"/>
  <c r="G1185" i="4"/>
  <c r="F1185" i="4"/>
  <c r="E1185" i="4"/>
  <c r="D1185" i="4"/>
  <c r="C1185" i="4"/>
  <c r="B1185" i="4"/>
  <c r="A1185" i="4"/>
  <c r="H1184" i="4"/>
  <c r="G1184" i="4"/>
  <c r="F1184" i="4"/>
  <c r="E1184" i="4"/>
  <c r="D1184" i="4"/>
  <c r="C1184" i="4"/>
  <c r="B1184" i="4"/>
  <c r="A1184" i="4"/>
  <c r="H1183" i="4"/>
  <c r="G1183" i="4"/>
  <c r="F1183" i="4"/>
  <c r="E1183" i="4"/>
  <c r="D1183" i="4"/>
  <c r="C1183" i="4"/>
  <c r="I1183" i="4" s="1"/>
  <c r="A1183" i="4"/>
  <c r="B1183" i="4" s="1"/>
  <c r="H1182" i="4"/>
  <c r="G1182" i="4"/>
  <c r="F1182" i="4"/>
  <c r="E1182" i="4"/>
  <c r="D1182" i="4"/>
  <c r="C1182" i="4"/>
  <c r="A1182" i="4"/>
  <c r="B1182" i="4" s="1"/>
  <c r="I1182" i="4" s="1"/>
  <c r="H1181" i="4"/>
  <c r="G1181" i="4"/>
  <c r="F1181" i="4"/>
  <c r="E1181" i="4"/>
  <c r="D1181" i="4"/>
  <c r="C1181" i="4"/>
  <c r="B1181" i="4"/>
  <c r="A1181" i="4"/>
  <c r="H1180" i="4"/>
  <c r="G1180" i="4"/>
  <c r="F1180" i="4"/>
  <c r="E1180" i="4"/>
  <c r="D1180" i="4"/>
  <c r="C1180" i="4"/>
  <c r="A1180" i="4"/>
  <c r="B1180" i="4" s="1"/>
  <c r="I1180" i="4" s="1"/>
  <c r="H1179" i="4"/>
  <c r="G1179" i="4"/>
  <c r="F1179" i="4"/>
  <c r="E1179" i="4"/>
  <c r="D1179" i="4"/>
  <c r="C1179" i="4"/>
  <c r="B1179" i="4"/>
  <c r="I1179" i="4" s="1"/>
  <c r="A1179" i="4"/>
  <c r="H1178" i="4"/>
  <c r="G1178" i="4"/>
  <c r="F1178" i="4"/>
  <c r="E1178" i="4"/>
  <c r="D1178" i="4"/>
  <c r="C1178" i="4"/>
  <c r="A1178" i="4"/>
  <c r="B1178" i="4" s="1"/>
  <c r="H1177" i="4"/>
  <c r="G1177" i="4"/>
  <c r="F1177" i="4"/>
  <c r="E1177" i="4"/>
  <c r="D1177" i="4"/>
  <c r="C1177" i="4"/>
  <c r="B1177" i="4"/>
  <c r="I1177" i="4" s="1"/>
  <c r="A1177" i="4"/>
  <c r="H1176" i="4"/>
  <c r="G1176" i="4"/>
  <c r="F1176" i="4"/>
  <c r="E1176" i="4"/>
  <c r="D1176" i="4"/>
  <c r="C1176" i="4"/>
  <c r="B1176" i="4"/>
  <c r="A1176" i="4"/>
  <c r="H1175" i="4"/>
  <c r="G1175" i="4"/>
  <c r="F1175" i="4"/>
  <c r="E1175" i="4"/>
  <c r="D1175" i="4"/>
  <c r="C1175" i="4"/>
  <c r="A1175" i="4"/>
  <c r="B1175" i="4" s="1"/>
  <c r="I1175" i="4" s="1"/>
  <c r="H1174" i="4"/>
  <c r="G1174" i="4"/>
  <c r="F1174" i="4"/>
  <c r="E1174" i="4"/>
  <c r="D1174" i="4"/>
  <c r="C1174" i="4"/>
  <c r="B1174" i="4"/>
  <c r="A1174" i="4"/>
  <c r="H1173" i="4"/>
  <c r="G1173" i="4"/>
  <c r="F1173" i="4"/>
  <c r="E1173" i="4"/>
  <c r="D1173" i="4"/>
  <c r="C1173" i="4"/>
  <c r="B1173" i="4"/>
  <c r="A1173" i="4"/>
  <c r="H1172" i="4"/>
  <c r="G1172" i="4"/>
  <c r="F1172" i="4"/>
  <c r="E1172" i="4"/>
  <c r="D1172" i="4"/>
  <c r="C1172" i="4"/>
  <c r="A1172" i="4"/>
  <c r="B1172" i="4" s="1"/>
  <c r="H1171" i="4"/>
  <c r="G1171" i="4"/>
  <c r="F1171" i="4"/>
  <c r="E1171" i="4"/>
  <c r="D1171" i="4"/>
  <c r="C1171" i="4"/>
  <c r="B1171" i="4"/>
  <c r="A1171" i="4"/>
  <c r="H1170" i="4"/>
  <c r="G1170" i="4"/>
  <c r="F1170" i="4"/>
  <c r="E1170" i="4"/>
  <c r="D1170" i="4"/>
  <c r="C1170" i="4"/>
  <c r="A1170" i="4"/>
  <c r="B1170" i="4" s="1"/>
  <c r="I1170" i="4" s="1"/>
  <c r="H1169" i="4"/>
  <c r="G1169" i="4"/>
  <c r="F1169" i="4"/>
  <c r="E1169" i="4"/>
  <c r="D1169" i="4"/>
  <c r="C1169" i="4"/>
  <c r="B1169" i="4"/>
  <c r="I1169" i="4" s="1"/>
  <c r="A1169" i="4"/>
  <c r="H1168" i="4"/>
  <c r="G1168" i="4"/>
  <c r="F1168" i="4"/>
  <c r="E1168" i="4"/>
  <c r="D1168" i="4"/>
  <c r="C1168" i="4"/>
  <c r="B1168" i="4"/>
  <c r="A1168" i="4"/>
  <c r="H1167" i="4"/>
  <c r="G1167" i="4"/>
  <c r="F1167" i="4"/>
  <c r="E1167" i="4"/>
  <c r="D1167" i="4"/>
  <c r="C1167" i="4"/>
  <c r="A1167" i="4"/>
  <c r="B1167" i="4" s="1"/>
  <c r="I1167" i="4" s="1"/>
  <c r="H1166" i="4"/>
  <c r="G1166" i="4"/>
  <c r="F1166" i="4"/>
  <c r="E1166" i="4"/>
  <c r="D1166" i="4"/>
  <c r="C1166" i="4"/>
  <c r="A1166" i="4"/>
  <c r="B1166" i="4" s="1"/>
  <c r="I1166" i="4" s="1"/>
  <c r="H1165" i="4"/>
  <c r="G1165" i="4"/>
  <c r="F1165" i="4"/>
  <c r="E1165" i="4"/>
  <c r="D1165" i="4"/>
  <c r="C1165" i="4"/>
  <c r="B1165" i="4"/>
  <c r="A1165" i="4"/>
  <c r="H1164" i="4"/>
  <c r="G1164" i="4"/>
  <c r="F1164" i="4"/>
  <c r="E1164" i="4"/>
  <c r="D1164" i="4"/>
  <c r="C1164" i="4"/>
  <c r="A1164" i="4"/>
  <c r="B1164" i="4" s="1"/>
  <c r="I1164" i="4" s="1"/>
  <c r="H1163" i="4"/>
  <c r="G1163" i="4"/>
  <c r="F1163" i="4"/>
  <c r="E1163" i="4"/>
  <c r="D1163" i="4"/>
  <c r="C1163" i="4"/>
  <c r="B1163" i="4"/>
  <c r="I1163" i="4" s="1"/>
  <c r="A1163" i="4"/>
  <c r="H1162" i="4"/>
  <c r="G1162" i="4"/>
  <c r="F1162" i="4"/>
  <c r="E1162" i="4"/>
  <c r="D1162" i="4"/>
  <c r="C1162" i="4"/>
  <c r="B1162" i="4"/>
  <c r="A1162" i="4"/>
  <c r="I1161" i="4"/>
  <c r="H1161" i="4"/>
  <c r="G1161" i="4"/>
  <c r="F1161" i="4"/>
  <c r="E1161" i="4"/>
  <c r="D1161" i="4"/>
  <c r="C1161" i="4"/>
  <c r="A1161" i="4"/>
  <c r="B1161" i="4" s="1"/>
  <c r="H1160" i="4"/>
  <c r="G1160" i="4"/>
  <c r="F1160" i="4"/>
  <c r="E1160" i="4"/>
  <c r="D1160" i="4"/>
  <c r="C1160" i="4"/>
  <c r="A1160" i="4"/>
  <c r="B1160" i="4" s="1"/>
  <c r="I1160" i="4" s="1"/>
  <c r="H1159" i="4"/>
  <c r="G1159" i="4"/>
  <c r="F1159" i="4"/>
  <c r="E1159" i="4"/>
  <c r="D1159" i="4"/>
  <c r="C1159" i="4"/>
  <c r="B1159" i="4"/>
  <c r="I1159" i="4" s="1"/>
  <c r="A1159" i="4"/>
  <c r="H1158" i="4"/>
  <c r="G1158" i="4"/>
  <c r="F1158" i="4"/>
  <c r="E1158" i="4"/>
  <c r="D1158" i="4"/>
  <c r="C1158" i="4"/>
  <c r="B1158" i="4"/>
  <c r="I1158" i="4" s="1"/>
  <c r="A1158" i="4"/>
  <c r="H1157" i="4"/>
  <c r="G1157" i="4"/>
  <c r="F1157" i="4"/>
  <c r="E1157" i="4"/>
  <c r="D1157" i="4"/>
  <c r="C1157" i="4"/>
  <c r="A1157" i="4"/>
  <c r="B1157" i="4" s="1"/>
  <c r="I1157" i="4" s="1"/>
  <c r="H1156" i="4"/>
  <c r="G1156" i="4"/>
  <c r="F1156" i="4"/>
  <c r="E1156" i="4"/>
  <c r="D1156" i="4"/>
  <c r="C1156" i="4"/>
  <c r="A1156" i="4"/>
  <c r="B1156" i="4" s="1"/>
  <c r="I1156" i="4" s="1"/>
  <c r="H1155" i="4"/>
  <c r="G1155" i="4"/>
  <c r="F1155" i="4"/>
  <c r="E1155" i="4"/>
  <c r="D1155" i="4"/>
  <c r="C1155" i="4"/>
  <c r="B1155" i="4"/>
  <c r="A1155" i="4"/>
  <c r="H1154" i="4"/>
  <c r="G1154" i="4"/>
  <c r="F1154" i="4"/>
  <c r="E1154" i="4"/>
  <c r="D1154" i="4"/>
  <c r="C1154" i="4"/>
  <c r="B1154" i="4"/>
  <c r="A1154" i="4"/>
  <c r="H1153" i="4"/>
  <c r="G1153" i="4"/>
  <c r="I1153" i="4" s="1"/>
  <c r="F1153" i="4"/>
  <c r="E1153" i="4"/>
  <c r="D1153" i="4"/>
  <c r="C1153" i="4"/>
  <c r="A1153" i="4"/>
  <c r="B1153" i="4" s="1"/>
  <c r="H1152" i="4"/>
  <c r="G1152" i="4"/>
  <c r="I1152" i="4" s="1"/>
  <c r="F1152" i="4"/>
  <c r="E1152" i="4"/>
  <c r="D1152" i="4"/>
  <c r="C1152" i="4"/>
  <c r="A1152" i="4"/>
  <c r="B1152" i="4" s="1"/>
  <c r="H1151" i="4"/>
  <c r="G1151" i="4"/>
  <c r="F1151" i="4"/>
  <c r="E1151" i="4"/>
  <c r="D1151" i="4"/>
  <c r="C1151" i="4"/>
  <c r="B1151" i="4"/>
  <c r="A1151" i="4"/>
  <c r="I1150" i="4"/>
  <c r="H1150" i="4"/>
  <c r="G1150" i="4"/>
  <c r="F1150" i="4"/>
  <c r="E1150" i="4"/>
  <c r="D1150" i="4"/>
  <c r="C1150" i="4"/>
  <c r="A1150" i="4"/>
  <c r="B1150" i="4" s="1"/>
  <c r="H1149" i="4"/>
  <c r="G1149" i="4"/>
  <c r="F1149" i="4"/>
  <c r="E1149" i="4"/>
  <c r="D1149" i="4"/>
  <c r="C1149" i="4"/>
  <c r="B1149" i="4"/>
  <c r="I1149" i="4" s="1"/>
  <c r="A1149" i="4"/>
  <c r="H1148" i="4"/>
  <c r="G1148" i="4"/>
  <c r="F1148" i="4"/>
  <c r="E1148" i="4"/>
  <c r="D1148" i="4"/>
  <c r="C1148" i="4"/>
  <c r="B1148" i="4"/>
  <c r="A1148" i="4"/>
  <c r="H1147" i="4"/>
  <c r="G1147" i="4"/>
  <c r="F1147" i="4"/>
  <c r="E1147" i="4"/>
  <c r="D1147" i="4"/>
  <c r="C1147" i="4"/>
  <c r="A1147" i="4"/>
  <c r="B1147" i="4" s="1"/>
  <c r="H1146" i="4"/>
  <c r="G1146" i="4"/>
  <c r="F1146" i="4"/>
  <c r="E1146" i="4"/>
  <c r="D1146" i="4"/>
  <c r="C1146" i="4"/>
  <c r="B1146" i="4"/>
  <c r="A1146" i="4"/>
  <c r="H1145" i="4"/>
  <c r="G1145" i="4"/>
  <c r="F1145" i="4"/>
  <c r="E1145" i="4"/>
  <c r="I1145" i="4" s="1"/>
  <c r="D1145" i="4"/>
  <c r="C1145" i="4"/>
  <c r="A1145" i="4"/>
  <c r="B1145" i="4" s="1"/>
  <c r="H1144" i="4"/>
  <c r="G1144" i="4"/>
  <c r="F1144" i="4"/>
  <c r="E1144" i="4"/>
  <c r="D1144" i="4"/>
  <c r="C1144" i="4"/>
  <c r="A1144" i="4"/>
  <c r="B1144" i="4" s="1"/>
  <c r="H1143" i="4"/>
  <c r="G1143" i="4"/>
  <c r="F1143" i="4"/>
  <c r="E1143" i="4"/>
  <c r="D1143" i="4"/>
  <c r="C1143" i="4"/>
  <c r="B1143" i="4"/>
  <c r="A1143" i="4"/>
  <c r="I1142" i="4"/>
  <c r="H1142" i="4"/>
  <c r="G1142" i="4"/>
  <c r="F1142" i="4"/>
  <c r="E1142" i="4"/>
  <c r="D1142" i="4"/>
  <c r="C1142" i="4"/>
  <c r="A1142" i="4"/>
  <c r="B1142" i="4" s="1"/>
  <c r="H1141" i="4"/>
  <c r="G1141" i="4"/>
  <c r="F1141" i="4"/>
  <c r="E1141" i="4"/>
  <c r="D1141" i="4"/>
  <c r="C1141" i="4"/>
  <c r="B1141" i="4"/>
  <c r="I1141" i="4" s="1"/>
  <c r="A1141" i="4"/>
  <c r="H1140" i="4"/>
  <c r="G1140" i="4"/>
  <c r="F1140" i="4"/>
  <c r="E1140" i="4"/>
  <c r="D1140" i="4"/>
  <c r="C1140" i="4"/>
  <c r="A1140" i="4"/>
  <c r="B1140" i="4" s="1"/>
  <c r="I1140" i="4" s="1"/>
  <c r="H1139" i="4"/>
  <c r="G1139" i="4"/>
  <c r="F1139" i="4"/>
  <c r="E1139" i="4"/>
  <c r="D1139" i="4"/>
  <c r="C1139" i="4"/>
  <c r="B1139" i="4"/>
  <c r="I1139" i="4" s="1"/>
  <c r="A1139" i="4"/>
  <c r="H1138" i="4"/>
  <c r="G1138" i="4"/>
  <c r="F1138" i="4"/>
  <c r="E1138" i="4"/>
  <c r="D1138" i="4"/>
  <c r="C1138" i="4"/>
  <c r="B1138" i="4"/>
  <c r="I1138" i="4" s="1"/>
  <c r="A1138" i="4"/>
  <c r="H1137" i="4"/>
  <c r="G1137" i="4"/>
  <c r="F1137" i="4"/>
  <c r="E1137" i="4"/>
  <c r="D1137" i="4"/>
  <c r="C1137" i="4"/>
  <c r="A1137" i="4"/>
  <c r="B1137" i="4" s="1"/>
  <c r="I1137" i="4" s="1"/>
  <c r="H1136" i="4"/>
  <c r="G1136" i="4"/>
  <c r="F1136" i="4"/>
  <c r="E1136" i="4"/>
  <c r="D1136" i="4"/>
  <c r="C1136" i="4"/>
  <c r="B1136" i="4"/>
  <c r="A1136" i="4"/>
  <c r="H1135" i="4"/>
  <c r="G1135" i="4"/>
  <c r="F1135" i="4"/>
  <c r="E1135" i="4"/>
  <c r="D1135" i="4"/>
  <c r="C1135" i="4"/>
  <c r="A1135" i="4"/>
  <c r="B1135" i="4" s="1"/>
  <c r="I1135" i="4" s="1"/>
  <c r="H1134" i="4"/>
  <c r="G1134" i="4"/>
  <c r="F1134" i="4"/>
  <c r="E1134" i="4"/>
  <c r="D1134" i="4"/>
  <c r="C1134" i="4"/>
  <c r="A1134" i="4"/>
  <c r="B1134" i="4" s="1"/>
  <c r="I1134" i="4" s="1"/>
  <c r="H1133" i="4"/>
  <c r="G1133" i="4"/>
  <c r="F1133" i="4"/>
  <c r="E1133" i="4"/>
  <c r="D1133" i="4"/>
  <c r="C1133" i="4"/>
  <c r="B1133" i="4"/>
  <c r="A1133" i="4"/>
  <c r="H1132" i="4"/>
  <c r="G1132" i="4"/>
  <c r="F1132" i="4"/>
  <c r="E1132" i="4"/>
  <c r="D1132" i="4"/>
  <c r="C1132" i="4"/>
  <c r="A1132" i="4"/>
  <c r="B1132" i="4" s="1"/>
  <c r="I1132" i="4" s="1"/>
  <c r="H1131" i="4"/>
  <c r="G1131" i="4"/>
  <c r="F1131" i="4"/>
  <c r="E1131" i="4"/>
  <c r="D1131" i="4"/>
  <c r="C1131" i="4"/>
  <c r="B1131" i="4"/>
  <c r="I1131" i="4" s="1"/>
  <c r="A1131" i="4"/>
  <c r="H1130" i="4"/>
  <c r="G1130" i="4"/>
  <c r="F1130" i="4"/>
  <c r="E1130" i="4"/>
  <c r="D1130" i="4"/>
  <c r="C1130" i="4"/>
  <c r="B1130" i="4"/>
  <c r="I1130" i="4" s="1"/>
  <c r="A1130" i="4"/>
  <c r="H1129" i="4"/>
  <c r="G1129" i="4"/>
  <c r="F1129" i="4"/>
  <c r="E1129" i="4"/>
  <c r="D1129" i="4"/>
  <c r="C1129" i="4"/>
  <c r="I1129" i="4" s="1"/>
  <c r="A1129" i="4"/>
  <c r="B1129" i="4" s="1"/>
  <c r="H1128" i="4"/>
  <c r="G1128" i="4"/>
  <c r="F1128" i="4"/>
  <c r="E1128" i="4"/>
  <c r="D1128" i="4"/>
  <c r="C1128" i="4"/>
  <c r="A1128" i="4"/>
  <c r="B1128" i="4" s="1"/>
  <c r="I1128" i="4" s="1"/>
  <c r="H1127" i="4"/>
  <c r="G1127" i="4"/>
  <c r="F1127" i="4"/>
  <c r="E1127" i="4"/>
  <c r="D1127" i="4"/>
  <c r="C1127" i="4"/>
  <c r="B1127" i="4"/>
  <c r="I1127" i="4" s="1"/>
  <c r="A1127" i="4"/>
  <c r="H1126" i="4"/>
  <c r="G1126" i="4"/>
  <c r="F1126" i="4"/>
  <c r="E1126" i="4"/>
  <c r="D1126" i="4"/>
  <c r="C1126" i="4"/>
  <c r="B1126" i="4"/>
  <c r="I1126" i="4" s="1"/>
  <c r="A1126" i="4"/>
  <c r="H1125" i="4"/>
  <c r="G1125" i="4"/>
  <c r="F1125" i="4"/>
  <c r="E1125" i="4"/>
  <c r="D1125" i="4"/>
  <c r="C1125" i="4"/>
  <c r="A1125" i="4"/>
  <c r="B1125" i="4" s="1"/>
  <c r="I1125" i="4" s="1"/>
  <c r="H1124" i="4"/>
  <c r="G1124" i="4"/>
  <c r="F1124" i="4"/>
  <c r="E1124" i="4"/>
  <c r="D1124" i="4"/>
  <c r="C1124" i="4"/>
  <c r="A1124" i="4"/>
  <c r="B1124" i="4" s="1"/>
  <c r="I1124" i="4" s="1"/>
  <c r="H1123" i="4"/>
  <c r="G1123" i="4"/>
  <c r="F1123" i="4"/>
  <c r="E1123" i="4"/>
  <c r="D1123" i="4"/>
  <c r="C1123" i="4"/>
  <c r="B1123" i="4"/>
  <c r="A1123" i="4"/>
  <c r="H1122" i="4"/>
  <c r="G1122" i="4"/>
  <c r="F1122" i="4"/>
  <c r="E1122" i="4"/>
  <c r="D1122" i="4"/>
  <c r="C1122" i="4"/>
  <c r="B1122" i="4"/>
  <c r="A1122" i="4"/>
  <c r="I1121" i="4"/>
  <c r="H1121" i="4"/>
  <c r="G1121" i="4"/>
  <c r="F1121" i="4"/>
  <c r="E1121" i="4"/>
  <c r="D1121" i="4"/>
  <c r="C1121" i="4"/>
  <c r="A1121" i="4"/>
  <c r="B1121" i="4" s="1"/>
  <c r="H1120" i="4"/>
  <c r="G1120" i="4"/>
  <c r="F1120" i="4"/>
  <c r="E1120" i="4"/>
  <c r="D1120" i="4"/>
  <c r="C1120" i="4"/>
  <c r="A1120" i="4"/>
  <c r="B1120" i="4" s="1"/>
  <c r="I1120" i="4" s="1"/>
  <c r="H1119" i="4"/>
  <c r="G1119" i="4"/>
  <c r="F1119" i="4"/>
  <c r="E1119" i="4"/>
  <c r="D1119" i="4"/>
  <c r="C1119" i="4"/>
  <c r="B1119" i="4"/>
  <c r="A1119" i="4"/>
  <c r="H1118" i="4"/>
  <c r="G1118" i="4"/>
  <c r="F1118" i="4"/>
  <c r="E1118" i="4"/>
  <c r="D1118" i="4"/>
  <c r="C1118" i="4"/>
  <c r="A1118" i="4"/>
  <c r="B1118" i="4" s="1"/>
  <c r="I1118" i="4" s="1"/>
  <c r="H1117" i="4"/>
  <c r="G1117" i="4"/>
  <c r="F1117" i="4"/>
  <c r="E1117" i="4"/>
  <c r="D1117" i="4"/>
  <c r="C1117" i="4"/>
  <c r="B1117" i="4"/>
  <c r="I1117" i="4" s="1"/>
  <c r="A1117" i="4"/>
  <c r="H1116" i="4"/>
  <c r="G1116" i="4"/>
  <c r="F1116" i="4"/>
  <c r="E1116" i="4"/>
  <c r="D1116" i="4"/>
  <c r="C1116" i="4"/>
  <c r="B1116" i="4"/>
  <c r="I1116" i="4" s="1"/>
  <c r="A1116" i="4"/>
  <c r="H1115" i="4"/>
  <c r="G1115" i="4"/>
  <c r="F1115" i="4"/>
  <c r="E1115" i="4"/>
  <c r="D1115" i="4"/>
  <c r="C1115" i="4"/>
  <c r="A1115" i="4"/>
  <c r="B1115" i="4" s="1"/>
  <c r="I1115" i="4" s="1"/>
  <c r="H1114" i="4"/>
  <c r="G1114" i="4"/>
  <c r="F1114" i="4"/>
  <c r="E1114" i="4"/>
  <c r="D1114" i="4"/>
  <c r="C1114" i="4"/>
  <c r="B1114" i="4"/>
  <c r="A1114" i="4"/>
  <c r="I1113" i="4"/>
  <c r="H1113" i="4"/>
  <c r="G1113" i="4"/>
  <c r="F1113" i="4"/>
  <c r="E1113" i="4"/>
  <c r="D1113" i="4"/>
  <c r="C1113" i="4"/>
  <c r="A1113" i="4"/>
  <c r="B1113" i="4" s="1"/>
  <c r="H1112" i="4"/>
  <c r="G1112" i="4"/>
  <c r="F1112" i="4"/>
  <c r="E1112" i="4"/>
  <c r="D1112" i="4"/>
  <c r="C1112" i="4"/>
  <c r="A1112" i="4"/>
  <c r="B1112" i="4" s="1"/>
  <c r="I1112" i="4" s="1"/>
  <c r="H1111" i="4"/>
  <c r="G1111" i="4"/>
  <c r="F1111" i="4"/>
  <c r="E1111" i="4"/>
  <c r="D1111" i="4"/>
  <c r="C1111" i="4"/>
  <c r="B1111" i="4"/>
  <c r="A1111" i="4"/>
  <c r="H1110" i="4"/>
  <c r="G1110" i="4"/>
  <c r="F1110" i="4"/>
  <c r="E1110" i="4"/>
  <c r="D1110" i="4"/>
  <c r="C1110" i="4"/>
  <c r="A1110" i="4"/>
  <c r="B1110" i="4" s="1"/>
  <c r="I1110" i="4" s="1"/>
  <c r="H1109" i="4"/>
  <c r="G1109" i="4"/>
  <c r="F1109" i="4"/>
  <c r="E1109" i="4"/>
  <c r="D1109" i="4"/>
  <c r="C1109" i="4"/>
  <c r="B1109" i="4"/>
  <c r="A1109" i="4"/>
  <c r="H1108" i="4"/>
  <c r="G1108" i="4"/>
  <c r="F1108" i="4"/>
  <c r="E1108" i="4"/>
  <c r="D1108" i="4"/>
  <c r="C1108" i="4"/>
  <c r="A1108" i="4"/>
  <c r="B1108" i="4" s="1"/>
  <c r="I1108" i="4" s="1"/>
  <c r="H1107" i="4"/>
  <c r="G1107" i="4"/>
  <c r="F1107" i="4"/>
  <c r="E1107" i="4"/>
  <c r="D1107" i="4"/>
  <c r="C1107" i="4"/>
  <c r="B1107" i="4"/>
  <c r="I1107" i="4" s="1"/>
  <c r="A1107" i="4"/>
  <c r="H1106" i="4"/>
  <c r="G1106" i="4"/>
  <c r="F1106" i="4"/>
  <c r="E1106" i="4"/>
  <c r="D1106" i="4"/>
  <c r="C1106" i="4"/>
  <c r="B1106" i="4"/>
  <c r="I1106" i="4" s="1"/>
  <c r="A1106" i="4"/>
  <c r="H1105" i="4"/>
  <c r="G1105" i="4"/>
  <c r="F1105" i="4"/>
  <c r="E1105" i="4"/>
  <c r="D1105" i="4"/>
  <c r="C1105" i="4"/>
  <c r="A1105" i="4"/>
  <c r="B1105" i="4" s="1"/>
  <c r="I1105" i="4" s="1"/>
  <c r="H1104" i="4"/>
  <c r="G1104" i="4"/>
  <c r="F1104" i="4"/>
  <c r="E1104" i="4"/>
  <c r="D1104" i="4"/>
  <c r="C1104" i="4"/>
  <c r="B1104" i="4"/>
  <c r="I1104" i="4" s="1"/>
  <c r="A1104" i="4"/>
  <c r="H1103" i="4"/>
  <c r="G1103" i="4"/>
  <c r="F1103" i="4"/>
  <c r="E1103" i="4"/>
  <c r="D1103" i="4"/>
  <c r="C1103" i="4"/>
  <c r="A1103" i="4"/>
  <c r="B1103" i="4" s="1"/>
  <c r="I1103" i="4" s="1"/>
  <c r="I1102" i="4"/>
  <c r="H1102" i="4"/>
  <c r="G1102" i="4"/>
  <c r="F1102" i="4"/>
  <c r="E1102" i="4"/>
  <c r="D1102" i="4"/>
  <c r="C1102" i="4"/>
  <c r="A1102" i="4"/>
  <c r="B1102" i="4" s="1"/>
  <c r="H1101" i="4"/>
  <c r="G1101" i="4"/>
  <c r="F1101" i="4"/>
  <c r="E1101" i="4"/>
  <c r="D1101" i="4"/>
  <c r="C1101" i="4"/>
  <c r="B1101" i="4"/>
  <c r="A1101" i="4"/>
  <c r="I1100" i="4"/>
  <c r="H1100" i="4"/>
  <c r="G1100" i="4"/>
  <c r="F1100" i="4"/>
  <c r="E1100" i="4"/>
  <c r="D1100" i="4"/>
  <c r="C1100" i="4"/>
  <c r="A1100" i="4"/>
  <c r="B1100" i="4" s="1"/>
  <c r="H1099" i="4"/>
  <c r="G1099" i="4"/>
  <c r="F1099" i="4"/>
  <c r="E1099" i="4"/>
  <c r="D1099" i="4"/>
  <c r="C1099" i="4"/>
  <c r="B1099" i="4"/>
  <c r="A1099" i="4"/>
  <c r="H1098" i="4"/>
  <c r="G1098" i="4"/>
  <c r="F1098" i="4"/>
  <c r="E1098" i="4"/>
  <c r="D1098" i="4"/>
  <c r="C1098" i="4"/>
  <c r="B1098" i="4"/>
  <c r="A1098" i="4"/>
  <c r="I1097" i="4"/>
  <c r="H1097" i="4"/>
  <c r="G1097" i="4"/>
  <c r="F1097" i="4"/>
  <c r="E1097" i="4"/>
  <c r="D1097" i="4"/>
  <c r="C1097" i="4"/>
  <c r="A1097" i="4"/>
  <c r="B1097" i="4" s="1"/>
  <c r="I1096" i="4"/>
  <c r="H1096" i="4"/>
  <c r="G1096" i="4"/>
  <c r="F1096" i="4"/>
  <c r="E1096" i="4"/>
  <c r="D1096" i="4"/>
  <c r="C1096" i="4"/>
  <c r="A1096" i="4"/>
  <c r="B1096" i="4" s="1"/>
  <c r="I1095" i="4"/>
  <c r="H1095" i="4"/>
  <c r="G1095" i="4"/>
  <c r="F1095" i="4"/>
  <c r="E1095" i="4"/>
  <c r="D1095" i="4"/>
  <c r="C1095" i="4"/>
  <c r="A1095" i="4"/>
  <c r="B1095" i="4" s="1"/>
  <c r="H1094" i="4"/>
  <c r="G1094" i="4"/>
  <c r="F1094" i="4"/>
  <c r="E1094" i="4"/>
  <c r="D1094" i="4"/>
  <c r="C1094" i="4"/>
  <c r="B1094" i="4"/>
  <c r="I1094" i="4" s="1"/>
  <c r="A1094" i="4"/>
  <c r="H1093" i="4"/>
  <c r="G1093" i="4"/>
  <c r="F1093" i="4"/>
  <c r="E1093" i="4"/>
  <c r="D1093" i="4"/>
  <c r="C1093" i="4"/>
  <c r="A1093" i="4"/>
  <c r="B1093" i="4" s="1"/>
  <c r="I1093" i="4" s="1"/>
  <c r="I1092" i="4"/>
  <c r="H1092" i="4"/>
  <c r="G1092" i="4"/>
  <c r="F1092" i="4"/>
  <c r="E1092" i="4"/>
  <c r="D1092" i="4"/>
  <c r="C1092" i="4"/>
  <c r="A1092" i="4"/>
  <c r="B1092" i="4" s="1"/>
  <c r="H1091" i="4"/>
  <c r="G1091" i="4"/>
  <c r="F1091" i="4"/>
  <c r="E1091" i="4"/>
  <c r="D1091" i="4"/>
  <c r="C1091" i="4"/>
  <c r="B1091" i="4"/>
  <c r="A1091" i="4"/>
  <c r="H1090" i="4"/>
  <c r="G1090" i="4"/>
  <c r="F1090" i="4"/>
  <c r="E1090" i="4"/>
  <c r="D1090" i="4"/>
  <c r="C1090" i="4"/>
  <c r="B1090" i="4"/>
  <c r="A1090" i="4"/>
  <c r="I1089" i="4"/>
  <c r="H1089" i="4"/>
  <c r="G1089" i="4"/>
  <c r="F1089" i="4"/>
  <c r="E1089" i="4"/>
  <c r="D1089" i="4"/>
  <c r="C1089" i="4"/>
  <c r="A1089" i="4"/>
  <c r="B1089" i="4" s="1"/>
  <c r="H1088" i="4"/>
  <c r="G1088" i="4"/>
  <c r="F1088" i="4"/>
  <c r="E1088" i="4"/>
  <c r="D1088" i="4"/>
  <c r="C1088" i="4"/>
  <c r="A1088" i="4"/>
  <c r="B1088" i="4" s="1"/>
  <c r="I1088" i="4" s="1"/>
  <c r="H1087" i="4"/>
  <c r="G1087" i="4"/>
  <c r="F1087" i="4"/>
  <c r="E1087" i="4"/>
  <c r="D1087" i="4"/>
  <c r="C1087" i="4"/>
  <c r="B1087" i="4"/>
  <c r="I1087" i="4" s="1"/>
  <c r="A1087" i="4"/>
  <c r="H1086" i="4"/>
  <c r="G1086" i="4"/>
  <c r="F1086" i="4"/>
  <c r="E1086" i="4"/>
  <c r="D1086" i="4"/>
  <c r="C1086" i="4"/>
  <c r="A1086" i="4"/>
  <c r="B1086" i="4" s="1"/>
  <c r="I1086" i="4" s="1"/>
  <c r="H1085" i="4"/>
  <c r="G1085" i="4"/>
  <c r="F1085" i="4"/>
  <c r="E1085" i="4"/>
  <c r="D1085" i="4"/>
  <c r="C1085" i="4"/>
  <c r="B1085" i="4"/>
  <c r="I1085" i="4" s="1"/>
  <c r="A1085" i="4"/>
  <c r="H1084" i="4"/>
  <c r="G1084" i="4"/>
  <c r="F1084" i="4"/>
  <c r="E1084" i="4"/>
  <c r="D1084" i="4"/>
  <c r="C1084" i="4"/>
  <c r="B1084" i="4"/>
  <c r="I1084" i="4" s="1"/>
  <c r="A1084" i="4"/>
  <c r="H1083" i="4"/>
  <c r="G1083" i="4"/>
  <c r="F1083" i="4"/>
  <c r="E1083" i="4"/>
  <c r="D1083" i="4"/>
  <c r="C1083" i="4"/>
  <c r="A1083" i="4"/>
  <c r="B1083" i="4" s="1"/>
  <c r="I1083" i="4" s="1"/>
  <c r="H1082" i="4"/>
  <c r="G1082" i="4"/>
  <c r="F1082" i="4"/>
  <c r="E1082" i="4"/>
  <c r="D1082" i="4"/>
  <c r="C1082" i="4"/>
  <c r="B1082" i="4"/>
  <c r="A1082" i="4"/>
  <c r="I1081" i="4"/>
  <c r="H1081" i="4"/>
  <c r="G1081" i="4"/>
  <c r="F1081" i="4"/>
  <c r="E1081" i="4"/>
  <c r="D1081" i="4"/>
  <c r="C1081" i="4"/>
  <c r="A1081" i="4"/>
  <c r="B1081" i="4" s="1"/>
  <c r="H1080" i="4"/>
  <c r="G1080" i="4"/>
  <c r="F1080" i="4"/>
  <c r="E1080" i="4"/>
  <c r="D1080" i="4"/>
  <c r="C1080" i="4"/>
  <c r="A1080" i="4"/>
  <c r="B1080" i="4" s="1"/>
  <c r="I1080" i="4" s="1"/>
  <c r="H1079" i="4"/>
  <c r="G1079" i="4"/>
  <c r="F1079" i="4"/>
  <c r="E1079" i="4"/>
  <c r="D1079" i="4"/>
  <c r="C1079" i="4"/>
  <c r="B1079" i="4"/>
  <c r="I1079" i="4" s="1"/>
  <c r="A1079" i="4"/>
  <c r="H1078" i="4"/>
  <c r="G1078" i="4"/>
  <c r="F1078" i="4"/>
  <c r="E1078" i="4"/>
  <c r="D1078" i="4"/>
  <c r="C1078" i="4"/>
  <c r="B1078" i="4"/>
  <c r="I1078" i="4" s="1"/>
  <c r="A1078" i="4"/>
  <c r="H1077" i="4"/>
  <c r="G1077" i="4"/>
  <c r="F1077" i="4"/>
  <c r="E1077" i="4"/>
  <c r="D1077" i="4"/>
  <c r="C1077" i="4"/>
  <c r="B1077" i="4"/>
  <c r="A1077" i="4"/>
  <c r="H1076" i="4"/>
  <c r="G1076" i="4"/>
  <c r="F1076" i="4"/>
  <c r="E1076" i="4"/>
  <c r="D1076" i="4"/>
  <c r="C1076" i="4"/>
  <c r="A1076" i="4"/>
  <c r="B1076" i="4" s="1"/>
  <c r="H1075" i="4"/>
  <c r="G1075" i="4"/>
  <c r="F1075" i="4"/>
  <c r="E1075" i="4"/>
  <c r="D1075" i="4"/>
  <c r="C1075" i="4"/>
  <c r="B1075" i="4"/>
  <c r="A1075" i="4"/>
  <c r="H1074" i="4"/>
  <c r="G1074" i="4"/>
  <c r="F1074" i="4"/>
  <c r="E1074" i="4"/>
  <c r="D1074" i="4"/>
  <c r="C1074" i="4"/>
  <c r="B1074" i="4"/>
  <c r="A1074" i="4"/>
  <c r="H1073" i="4"/>
  <c r="G1073" i="4"/>
  <c r="F1073" i="4"/>
  <c r="E1073" i="4"/>
  <c r="D1073" i="4"/>
  <c r="C1073" i="4"/>
  <c r="A1073" i="4"/>
  <c r="B1073" i="4" s="1"/>
  <c r="H1072" i="4"/>
  <c r="G1072" i="4"/>
  <c r="F1072" i="4"/>
  <c r="E1072" i="4"/>
  <c r="D1072" i="4"/>
  <c r="C1072" i="4"/>
  <c r="B1072" i="4"/>
  <c r="I1072" i="4" s="1"/>
  <c r="A1072" i="4"/>
  <c r="H1071" i="4"/>
  <c r="G1071" i="4"/>
  <c r="F1071" i="4"/>
  <c r="E1071" i="4"/>
  <c r="D1071" i="4"/>
  <c r="C1071" i="4"/>
  <c r="A1071" i="4"/>
  <c r="B1071" i="4" s="1"/>
  <c r="H1070" i="4"/>
  <c r="G1070" i="4"/>
  <c r="F1070" i="4"/>
  <c r="E1070" i="4"/>
  <c r="D1070" i="4"/>
  <c r="C1070" i="4"/>
  <c r="A1070" i="4"/>
  <c r="B1070" i="4" s="1"/>
  <c r="I1070" i="4" s="1"/>
  <c r="H1069" i="4"/>
  <c r="G1069" i="4"/>
  <c r="F1069" i="4"/>
  <c r="E1069" i="4"/>
  <c r="D1069" i="4"/>
  <c r="C1069" i="4"/>
  <c r="B1069" i="4"/>
  <c r="I1069" i="4" s="1"/>
  <c r="A1069" i="4"/>
  <c r="H1068" i="4"/>
  <c r="G1068" i="4"/>
  <c r="F1068" i="4"/>
  <c r="E1068" i="4"/>
  <c r="D1068" i="4"/>
  <c r="C1068" i="4"/>
  <c r="B1068" i="4"/>
  <c r="I1068" i="4" s="1"/>
  <c r="A1068" i="4"/>
  <c r="H1067" i="4"/>
  <c r="G1067" i="4"/>
  <c r="F1067" i="4"/>
  <c r="E1067" i="4"/>
  <c r="D1067" i="4"/>
  <c r="C1067" i="4"/>
  <c r="B1067" i="4"/>
  <c r="A1067" i="4"/>
  <c r="H1066" i="4"/>
  <c r="G1066" i="4"/>
  <c r="F1066" i="4"/>
  <c r="E1066" i="4"/>
  <c r="D1066" i="4"/>
  <c r="C1066" i="4"/>
  <c r="B1066" i="4"/>
  <c r="A1066" i="4"/>
  <c r="H1065" i="4"/>
  <c r="G1065" i="4"/>
  <c r="F1065" i="4"/>
  <c r="E1065" i="4"/>
  <c r="D1065" i="4"/>
  <c r="C1065" i="4"/>
  <c r="A1065" i="4"/>
  <c r="B1065" i="4" s="1"/>
  <c r="H1064" i="4"/>
  <c r="G1064" i="4"/>
  <c r="F1064" i="4"/>
  <c r="E1064" i="4"/>
  <c r="D1064" i="4"/>
  <c r="C1064" i="4"/>
  <c r="A1064" i="4"/>
  <c r="B1064" i="4" s="1"/>
  <c r="H1063" i="4"/>
  <c r="G1063" i="4"/>
  <c r="F1063" i="4"/>
  <c r="E1063" i="4"/>
  <c r="D1063" i="4"/>
  <c r="C1063" i="4"/>
  <c r="B1063" i="4"/>
  <c r="I1063" i="4" s="1"/>
  <c r="A1063" i="4"/>
  <c r="H1062" i="4"/>
  <c r="G1062" i="4"/>
  <c r="F1062" i="4"/>
  <c r="E1062" i="4"/>
  <c r="D1062" i="4"/>
  <c r="C1062" i="4"/>
  <c r="B1062" i="4"/>
  <c r="A1062" i="4"/>
  <c r="H1061" i="4"/>
  <c r="G1061" i="4"/>
  <c r="F1061" i="4"/>
  <c r="E1061" i="4"/>
  <c r="D1061" i="4"/>
  <c r="C1061" i="4"/>
  <c r="A1061" i="4"/>
  <c r="B1061" i="4" s="1"/>
  <c r="H1060" i="4"/>
  <c r="G1060" i="4"/>
  <c r="F1060" i="4"/>
  <c r="E1060" i="4"/>
  <c r="D1060" i="4"/>
  <c r="C1060" i="4"/>
  <c r="A1060" i="4"/>
  <c r="B1060" i="4" s="1"/>
  <c r="H1059" i="4"/>
  <c r="G1059" i="4"/>
  <c r="F1059" i="4"/>
  <c r="E1059" i="4"/>
  <c r="D1059" i="4"/>
  <c r="C1059" i="4"/>
  <c r="B1059" i="4"/>
  <c r="I1059" i="4" s="1"/>
  <c r="A1059" i="4"/>
  <c r="H1058" i="4"/>
  <c r="G1058" i="4"/>
  <c r="F1058" i="4"/>
  <c r="E1058" i="4"/>
  <c r="D1058" i="4"/>
  <c r="C1058" i="4"/>
  <c r="B1058" i="4"/>
  <c r="A1058" i="4"/>
  <c r="H1057" i="4"/>
  <c r="G1057" i="4"/>
  <c r="F1057" i="4"/>
  <c r="E1057" i="4"/>
  <c r="D1057" i="4"/>
  <c r="C1057" i="4"/>
  <c r="A1057" i="4"/>
  <c r="B1057" i="4" s="1"/>
  <c r="I1057" i="4" s="1"/>
  <c r="H1056" i="4"/>
  <c r="G1056" i="4"/>
  <c r="F1056" i="4"/>
  <c r="E1056" i="4"/>
  <c r="D1056" i="4"/>
  <c r="C1056" i="4"/>
  <c r="B1056" i="4"/>
  <c r="A1056" i="4"/>
  <c r="H1055" i="4"/>
  <c r="G1055" i="4"/>
  <c r="F1055" i="4"/>
  <c r="E1055" i="4"/>
  <c r="D1055" i="4"/>
  <c r="C1055" i="4"/>
  <c r="B1055" i="4"/>
  <c r="A1055" i="4"/>
  <c r="H1054" i="4"/>
  <c r="G1054" i="4"/>
  <c r="F1054" i="4"/>
  <c r="E1054" i="4"/>
  <c r="D1054" i="4"/>
  <c r="C1054" i="4"/>
  <c r="A1054" i="4"/>
  <c r="B1054" i="4" s="1"/>
  <c r="I1054" i="4" s="1"/>
  <c r="H1053" i="4"/>
  <c r="G1053" i="4"/>
  <c r="F1053" i="4"/>
  <c r="E1053" i="4"/>
  <c r="D1053" i="4"/>
  <c r="C1053" i="4"/>
  <c r="B1053" i="4"/>
  <c r="I1053" i="4" s="1"/>
  <c r="A1053" i="4"/>
  <c r="H1052" i="4"/>
  <c r="G1052" i="4"/>
  <c r="F1052" i="4"/>
  <c r="E1052" i="4"/>
  <c r="D1052" i="4"/>
  <c r="C1052" i="4"/>
  <c r="B1052" i="4"/>
  <c r="A1052" i="4"/>
  <c r="H1051" i="4"/>
  <c r="G1051" i="4"/>
  <c r="F1051" i="4"/>
  <c r="E1051" i="4"/>
  <c r="D1051" i="4"/>
  <c r="C1051" i="4"/>
  <c r="A1051" i="4"/>
  <c r="B1051" i="4" s="1"/>
  <c r="H1050" i="4"/>
  <c r="G1050" i="4"/>
  <c r="F1050" i="4"/>
  <c r="E1050" i="4"/>
  <c r="D1050" i="4"/>
  <c r="C1050" i="4"/>
  <c r="B1050" i="4"/>
  <c r="A1050" i="4"/>
  <c r="H1049" i="4"/>
  <c r="G1049" i="4"/>
  <c r="F1049" i="4"/>
  <c r="E1049" i="4"/>
  <c r="D1049" i="4"/>
  <c r="C1049" i="4"/>
  <c r="A1049" i="4"/>
  <c r="B1049" i="4" s="1"/>
  <c r="H1048" i="4"/>
  <c r="G1048" i="4"/>
  <c r="F1048" i="4"/>
  <c r="E1048" i="4"/>
  <c r="D1048" i="4"/>
  <c r="C1048" i="4"/>
  <c r="A1048" i="4"/>
  <c r="B1048" i="4" s="1"/>
  <c r="I1048" i="4" s="1"/>
  <c r="H1047" i="4"/>
  <c r="G1047" i="4"/>
  <c r="F1047" i="4"/>
  <c r="E1047" i="4"/>
  <c r="D1047" i="4"/>
  <c r="C1047" i="4"/>
  <c r="B1047" i="4"/>
  <c r="A1047" i="4"/>
  <c r="H1046" i="4"/>
  <c r="G1046" i="4"/>
  <c r="F1046" i="4"/>
  <c r="E1046" i="4"/>
  <c r="D1046" i="4"/>
  <c r="C1046" i="4"/>
  <c r="A1046" i="4"/>
  <c r="B1046" i="4" s="1"/>
  <c r="I1046" i="4" s="1"/>
  <c r="H1045" i="4"/>
  <c r="G1045" i="4"/>
  <c r="F1045" i="4"/>
  <c r="E1045" i="4"/>
  <c r="D1045" i="4"/>
  <c r="C1045" i="4"/>
  <c r="B1045" i="4"/>
  <c r="A1045" i="4"/>
  <c r="I1044" i="4"/>
  <c r="H1044" i="4"/>
  <c r="G1044" i="4"/>
  <c r="F1044" i="4"/>
  <c r="E1044" i="4"/>
  <c r="D1044" i="4"/>
  <c r="C1044" i="4"/>
  <c r="A1044" i="4"/>
  <c r="B1044" i="4" s="1"/>
  <c r="H1043" i="4"/>
  <c r="G1043" i="4"/>
  <c r="F1043" i="4"/>
  <c r="E1043" i="4"/>
  <c r="D1043" i="4"/>
  <c r="C1043" i="4"/>
  <c r="A1043" i="4"/>
  <c r="B1043" i="4" s="1"/>
  <c r="I1043" i="4" s="1"/>
  <c r="H1042" i="4"/>
  <c r="G1042" i="4"/>
  <c r="F1042" i="4"/>
  <c r="E1042" i="4"/>
  <c r="D1042" i="4"/>
  <c r="C1042" i="4"/>
  <c r="B1042" i="4"/>
  <c r="I1042" i="4" s="1"/>
  <c r="A1042" i="4"/>
  <c r="H1041" i="4"/>
  <c r="G1041" i="4"/>
  <c r="F1041" i="4"/>
  <c r="E1041" i="4"/>
  <c r="D1041" i="4"/>
  <c r="C1041" i="4"/>
  <c r="A1041" i="4"/>
  <c r="B1041" i="4" s="1"/>
  <c r="I1041" i="4" s="1"/>
  <c r="H1040" i="4"/>
  <c r="G1040" i="4"/>
  <c r="F1040" i="4"/>
  <c r="E1040" i="4"/>
  <c r="D1040" i="4"/>
  <c r="C1040" i="4"/>
  <c r="B1040" i="4"/>
  <c r="A1040" i="4"/>
  <c r="H1039" i="4"/>
  <c r="G1039" i="4"/>
  <c r="F1039" i="4"/>
  <c r="E1039" i="4"/>
  <c r="D1039" i="4"/>
  <c r="C1039" i="4"/>
  <c r="A1039" i="4"/>
  <c r="B1039" i="4" s="1"/>
  <c r="I1038" i="4"/>
  <c r="H1038" i="4"/>
  <c r="G1038" i="4"/>
  <c r="F1038" i="4"/>
  <c r="E1038" i="4"/>
  <c r="D1038" i="4"/>
  <c r="C1038" i="4"/>
  <c r="A1038" i="4"/>
  <c r="B1038" i="4" s="1"/>
  <c r="I1037" i="4"/>
  <c r="H1037" i="4"/>
  <c r="G1037" i="4"/>
  <c r="F1037" i="4"/>
  <c r="E1037" i="4"/>
  <c r="D1037" i="4"/>
  <c r="C1037" i="4"/>
  <c r="A1037" i="4"/>
  <c r="B1037" i="4" s="1"/>
  <c r="H1036" i="4"/>
  <c r="G1036" i="4"/>
  <c r="F1036" i="4"/>
  <c r="E1036" i="4"/>
  <c r="D1036" i="4"/>
  <c r="C1036" i="4"/>
  <c r="A1036" i="4"/>
  <c r="B1036" i="4" s="1"/>
  <c r="I1036" i="4" s="1"/>
  <c r="H1035" i="4"/>
  <c r="G1035" i="4"/>
  <c r="F1035" i="4"/>
  <c r="E1035" i="4"/>
  <c r="D1035" i="4"/>
  <c r="C1035" i="4"/>
  <c r="B1035" i="4"/>
  <c r="A1035" i="4"/>
  <c r="H1034" i="4"/>
  <c r="G1034" i="4"/>
  <c r="F1034" i="4"/>
  <c r="E1034" i="4"/>
  <c r="D1034" i="4"/>
  <c r="C1034" i="4"/>
  <c r="B1034" i="4"/>
  <c r="A1034" i="4"/>
  <c r="H1033" i="4"/>
  <c r="G1033" i="4"/>
  <c r="F1033" i="4"/>
  <c r="E1033" i="4"/>
  <c r="D1033" i="4"/>
  <c r="C1033" i="4"/>
  <c r="A1033" i="4"/>
  <c r="B1033" i="4" s="1"/>
  <c r="H1032" i="4"/>
  <c r="G1032" i="4"/>
  <c r="F1032" i="4"/>
  <c r="E1032" i="4"/>
  <c r="D1032" i="4"/>
  <c r="C1032" i="4"/>
  <c r="A1032" i="4"/>
  <c r="B1032" i="4" s="1"/>
  <c r="I1032" i="4" s="1"/>
  <c r="H1031" i="4"/>
  <c r="G1031" i="4"/>
  <c r="F1031" i="4"/>
  <c r="E1031" i="4"/>
  <c r="D1031" i="4"/>
  <c r="C1031" i="4"/>
  <c r="B1031" i="4"/>
  <c r="I1031" i="4" s="1"/>
  <c r="A1031" i="4"/>
  <c r="H1030" i="4"/>
  <c r="G1030" i="4"/>
  <c r="F1030" i="4"/>
  <c r="E1030" i="4"/>
  <c r="D1030" i="4"/>
  <c r="C1030" i="4"/>
  <c r="B1030" i="4"/>
  <c r="A1030" i="4"/>
  <c r="H1029" i="4"/>
  <c r="G1029" i="4"/>
  <c r="F1029" i="4"/>
  <c r="E1029" i="4"/>
  <c r="D1029" i="4"/>
  <c r="C1029" i="4"/>
  <c r="A1029" i="4"/>
  <c r="B1029" i="4" s="1"/>
  <c r="I1029" i="4" s="1"/>
  <c r="H1028" i="4"/>
  <c r="G1028" i="4"/>
  <c r="F1028" i="4"/>
  <c r="E1028" i="4"/>
  <c r="D1028" i="4"/>
  <c r="C1028" i="4"/>
  <c r="A1028" i="4"/>
  <c r="B1028" i="4" s="1"/>
  <c r="H1027" i="4"/>
  <c r="G1027" i="4"/>
  <c r="F1027" i="4"/>
  <c r="E1027" i="4"/>
  <c r="D1027" i="4"/>
  <c r="C1027" i="4"/>
  <c r="B1027" i="4"/>
  <c r="I1027" i="4" s="1"/>
  <c r="A1027" i="4"/>
  <c r="H1026" i="4"/>
  <c r="G1026" i="4"/>
  <c r="F1026" i="4"/>
  <c r="E1026" i="4"/>
  <c r="D1026" i="4"/>
  <c r="C1026" i="4"/>
  <c r="B1026" i="4"/>
  <c r="A1026" i="4"/>
  <c r="I1025" i="4"/>
  <c r="H1025" i="4"/>
  <c r="G1025" i="4"/>
  <c r="F1025" i="4"/>
  <c r="E1025" i="4"/>
  <c r="D1025" i="4"/>
  <c r="C1025" i="4"/>
  <c r="A1025" i="4"/>
  <c r="B1025" i="4" s="1"/>
  <c r="I1024" i="4"/>
  <c r="H1024" i="4"/>
  <c r="G1024" i="4"/>
  <c r="F1024" i="4"/>
  <c r="E1024" i="4"/>
  <c r="D1024" i="4"/>
  <c r="C1024" i="4"/>
  <c r="A1024" i="4"/>
  <c r="B1024" i="4" s="1"/>
  <c r="H1023" i="4"/>
  <c r="G1023" i="4"/>
  <c r="F1023" i="4"/>
  <c r="E1023" i="4"/>
  <c r="D1023" i="4"/>
  <c r="C1023" i="4"/>
  <c r="B1023" i="4"/>
  <c r="A1023" i="4"/>
  <c r="H1022" i="4"/>
  <c r="G1022" i="4"/>
  <c r="F1022" i="4"/>
  <c r="E1022" i="4"/>
  <c r="D1022" i="4"/>
  <c r="C1022" i="4"/>
  <c r="A1022" i="4"/>
  <c r="B1022" i="4" s="1"/>
  <c r="H1021" i="4"/>
  <c r="G1021" i="4"/>
  <c r="F1021" i="4"/>
  <c r="E1021" i="4"/>
  <c r="D1021" i="4"/>
  <c r="C1021" i="4"/>
  <c r="B1021" i="4"/>
  <c r="A1021" i="4"/>
  <c r="H1020" i="4"/>
  <c r="G1020" i="4"/>
  <c r="F1020" i="4"/>
  <c r="E1020" i="4"/>
  <c r="D1020" i="4"/>
  <c r="C1020" i="4"/>
  <c r="B1020" i="4"/>
  <c r="I1020" i="4" s="1"/>
  <c r="A1020" i="4"/>
  <c r="H1019" i="4"/>
  <c r="G1019" i="4"/>
  <c r="F1019" i="4"/>
  <c r="E1019" i="4"/>
  <c r="D1019" i="4"/>
  <c r="C1019" i="4"/>
  <c r="A1019" i="4"/>
  <c r="B1019" i="4" s="1"/>
  <c r="I1019" i="4" s="1"/>
  <c r="H1018" i="4"/>
  <c r="G1018" i="4"/>
  <c r="F1018" i="4"/>
  <c r="E1018" i="4"/>
  <c r="D1018" i="4"/>
  <c r="C1018" i="4"/>
  <c r="B1018" i="4"/>
  <c r="A1018" i="4"/>
  <c r="H1017" i="4"/>
  <c r="G1017" i="4"/>
  <c r="F1017" i="4"/>
  <c r="E1017" i="4"/>
  <c r="D1017" i="4"/>
  <c r="C1017" i="4"/>
  <c r="A1017" i="4"/>
  <c r="B1017" i="4" s="1"/>
  <c r="H1016" i="4"/>
  <c r="G1016" i="4"/>
  <c r="F1016" i="4"/>
  <c r="E1016" i="4"/>
  <c r="D1016" i="4"/>
  <c r="C1016" i="4"/>
  <c r="A1016" i="4"/>
  <c r="B1016" i="4" s="1"/>
  <c r="H1015" i="4"/>
  <c r="G1015" i="4"/>
  <c r="F1015" i="4"/>
  <c r="E1015" i="4"/>
  <c r="D1015" i="4"/>
  <c r="C1015" i="4"/>
  <c r="B1015" i="4"/>
  <c r="A1015" i="4"/>
  <c r="H1014" i="4"/>
  <c r="G1014" i="4"/>
  <c r="F1014" i="4"/>
  <c r="E1014" i="4"/>
  <c r="D1014" i="4"/>
  <c r="C1014" i="4"/>
  <c r="B1014" i="4"/>
  <c r="A1014" i="4"/>
  <c r="H1013" i="4"/>
  <c r="G1013" i="4"/>
  <c r="F1013" i="4"/>
  <c r="E1013" i="4"/>
  <c r="D1013" i="4"/>
  <c r="C1013" i="4"/>
  <c r="B1013" i="4"/>
  <c r="A1013" i="4"/>
  <c r="H1012" i="4"/>
  <c r="G1012" i="4"/>
  <c r="F1012" i="4"/>
  <c r="E1012" i="4"/>
  <c r="D1012" i="4"/>
  <c r="I1012" i="4" s="1"/>
  <c r="C1012" i="4"/>
  <c r="A1012" i="4"/>
  <c r="B1012" i="4" s="1"/>
  <c r="H1011" i="4"/>
  <c r="G1011" i="4"/>
  <c r="F1011" i="4"/>
  <c r="E1011" i="4"/>
  <c r="D1011" i="4"/>
  <c r="C1011" i="4"/>
  <c r="A1011" i="4"/>
  <c r="B1011" i="4" s="1"/>
  <c r="H1010" i="4"/>
  <c r="G1010" i="4"/>
  <c r="F1010" i="4"/>
  <c r="E1010" i="4"/>
  <c r="D1010" i="4"/>
  <c r="C1010" i="4"/>
  <c r="B1010" i="4"/>
  <c r="A1010" i="4"/>
  <c r="H1009" i="4"/>
  <c r="G1009" i="4"/>
  <c r="F1009" i="4"/>
  <c r="E1009" i="4"/>
  <c r="D1009" i="4"/>
  <c r="C1009" i="4"/>
  <c r="A1009" i="4"/>
  <c r="B1009" i="4" s="1"/>
  <c r="H1008" i="4"/>
  <c r="G1008" i="4"/>
  <c r="F1008" i="4"/>
  <c r="E1008" i="4"/>
  <c r="D1008" i="4"/>
  <c r="C1008" i="4"/>
  <c r="B1008" i="4"/>
  <c r="A1008" i="4"/>
  <c r="H1007" i="4"/>
  <c r="G1007" i="4"/>
  <c r="F1007" i="4"/>
  <c r="E1007" i="4"/>
  <c r="D1007" i="4"/>
  <c r="C1007" i="4"/>
  <c r="A1007" i="4"/>
  <c r="B1007" i="4" s="1"/>
  <c r="H1006" i="4"/>
  <c r="G1006" i="4"/>
  <c r="F1006" i="4"/>
  <c r="E1006" i="4"/>
  <c r="D1006" i="4"/>
  <c r="C1006" i="4"/>
  <c r="A1006" i="4"/>
  <c r="B1006" i="4" s="1"/>
  <c r="I1006" i="4" s="1"/>
  <c r="H1005" i="4"/>
  <c r="G1005" i="4"/>
  <c r="F1005" i="4"/>
  <c r="E1005" i="4"/>
  <c r="D1005" i="4"/>
  <c r="C1005" i="4"/>
  <c r="B1005" i="4"/>
  <c r="I1005" i="4" s="1"/>
  <c r="A1005" i="4"/>
  <c r="H1004" i="4"/>
  <c r="G1004" i="4"/>
  <c r="F1004" i="4"/>
  <c r="E1004" i="4"/>
  <c r="D1004" i="4"/>
  <c r="C1004" i="4"/>
  <c r="A1004" i="4"/>
  <c r="B1004" i="4" s="1"/>
  <c r="I1004" i="4" s="1"/>
  <c r="H1003" i="4"/>
  <c r="G1003" i="4"/>
  <c r="F1003" i="4"/>
  <c r="E1003" i="4"/>
  <c r="D1003" i="4"/>
  <c r="C1003" i="4"/>
  <c r="B1003" i="4"/>
  <c r="A1003" i="4"/>
  <c r="H1002" i="4"/>
  <c r="G1002" i="4"/>
  <c r="F1002" i="4"/>
  <c r="E1002" i="4"/>
  <c r="D1002" i="4"/>
  <c r="C1002" i="4"/>
  <c r="B1002" i="4"/>
  <c r="A1002" i="4"/>
  <c r="H1001" i="4"/>
  <c r="G1001" i="4"/>
  <c r="F1001" i="4"/>
  <c r="E1001" i="4"/>
  <c r="D1001" i="4"/>
  <c r="C1001" i="4"/>
  <c r="A1001" i="4"/>
  <c r="B1001" i="4" s="1"/>
  <c r="H1000" i="4"/>
  <c r="G1000" i="4"/>
  <c r="F1000" i="4"/>
  <c r="E1000" i="4"/>
  <c r="D1000" i="4"/>
  <c r="C1000" i="4"/>
  <c r="A1000" i="4"/>
  <c r="B1000" i="4" s="1"/>
  <c r="H999" i="4"/>
  <c r="G999" i="4"/>
  <c r="F999" i="4"/>
  <c r="E999" i="4"/>
  <c r="D999" i="4"/>
  <c r="C999" i="4"/>
  <c r="B999" i="4"/>
  <c r="A999" i="4"/>
  <c r="H998" i="4"/>
  <c r="G998" i="4"/>
  <c r="F998" i="4"/>
  <c r="E998" i="4"/>
  <c r="D998" i="4"/>
  <c r="C998" i="4"/>
  <c r="B998" i="4"/>
  <c r="A998" i="4"/>
  <c r="H997" i="4"/>
  <c r="G997" i="4"/>
  <c r="F997" i="4"/>
  <c r="E997" i="4"/>
  <c r="D997" i="4"/>
  <c r="C997" i="4"/>
  <c r="A997" i="4"/>
  <c r="B997" i="4" s="1"/>
  <c r="H996" i="4"/>
  <c r="G996" i="4"/>
  <c r="F996" i="4"/>
  <c r="E996" i="4"/>
  <c r="D996" i="4"/>
  <c r="C996" i="4"/>
  <c r="A996" i="4"/>
  <c r="B996" i="4" s="1"/>
  <c r="I996" i="4" s="1"/>
  <c r="H995" i="4"/>
  <c r="G995" i="4"/>
  <c r="F995" i="4"/>
  <c r="E995" i="4"/>
  <c r="D995" i="4"/>
  <c r="C995" i="4"/>
  <c r="B995" i="4"/>
  <c r="I995" i="4" s="1"/>
  <c r="A995" i="4"/>
  <c r="H994" i="4"/>
  <c r="G994" i="4"/>
  <c r="F994" i="4"/>
  <c r="E994" i="4"/>
  <c r="D994" i="4"/>
  <c r="C994" i="4"/>
  <c r="B994" i="4"/>
  <c r="I994" i="4" s="1"/>
  <c r="A994" i="4"/>
  <c r="H993" i="4"/>
  <c r="G993" i="4"/>
  <c r="F993" i="4"/>
  <c r="E993" i="4"/>
  <c r="D993" i="4"/>
  <c r="C993" i="4"/>
  <c r="I993" i="4" s="1"/>
  <c r="A993" i="4"/>
  <c r="B993" i="4" s="1"/>
  <c r="H992" i="4"/>
  <c r="G992" i="4"/>
  <c r="F992" i="4"/>
  <c r="E992" i="4"/>
  <c r="D992" i="4"/>
  <c r="C992" i="4"/>
  <c r="A992" i="4"/>
  <c r="B992" i="4" s="1"/>
  <c r="I992" i="4" s="1"/>
  <c r="H991" i="4"/>
  <c r="G991" i="4"/>
  <c r="F991" i="4"/>
  <c r="E991" i="4"/>
  <c r="D991" i="4"/>
  <c r="C991" i="4"/>
  <c r="B991" i="4"/>
  <c r="A991" i="4"/>
  <c r="H990" i="4"/>
  <c r="G990" i="4"/>
  <c r="F990" i="4"/>
  <c r="E990" i="4"/>
  <c r="D990" i="4"/>
  <c r="C990" i="4"/>
  <c r="A990" i="4"/>
  <c r="B990" i="4" s="1"/>
  <c r="I990" i="4" s="1"/>
  <c r="H989" i="4"/>
  <c r="G989" i="4"/>
  <c r="F989" i="4"/>
  <c r="E989" i="4"/>
  <c r="D989" i="4"/>
  <c r="C989" i="4"/>
  <c r="B989" i="4"/>
  <c r="I989" i="4" s="1"/>
  <c r="A989" i="4"/>
  <c r="H988" i="4"/>
  <c r="G988" i="4"/>
  <c r="F988" i="4"/>
  <c r="E988" i="4"/>
  <c r="D988" i="4"/>
  <c r="C988" i="4"/>
  <c r="B988" i="4"/>
  <c r="I988" i="4" s="1"/>
  <c r="A988" i="4"/>
  <c r="H987" i="4"/>
  <c r="G987" i="4"/>
  <c r="F987" i="4"/>
  <c r="E987" i="4"/>
  <c r="D987" i="4"/>
  <c r="C987" i="4"/>
  <c r="A987" i="4"/>
  <c r="B987" i="4" s="1"/>
  <c r="I987" i="4" s="1"/>
  <c r="H986" i="4"/>
  <c r="G986" i="4"/>
  <c r="F986" i="4"/>
  <c r="E986" i="4"/>
  <c r="D986" i="4"/>
  <c r="C986" i="4"/>
  <c r="B986" i="4"/>
  <c r="A986" i="4"/>
  <c r="H985" i="4"/>
  <c r="G985" i="4"/>
  <c r="F985" i="4"/>
  <c r="E985" i="4"/>
  <c r="D985" i="4"/>
  <c r="I985" i="4" s="1"/>
  <c r="C985" i="4"/>
  <c r="A985" i="4"/>
  <c r="B985" i="4" s="1"/>
  <c r="H984" i="4"/>
  <c r="G984" i="4"/>
  <c r="F984" i="4"/>
  <c r="E984" i="4"/>
  <c r="D984" i="4"/>
  <c r="C984" i="4"/>
  <c r="A984" i="4"/>
  <c r="B984" i="4" s="1"/>
  <c r="I984" i="4" s="1"/>
  <c r="H983" i="4"/>
  <c r="G983" i="4"/>
  <c r="F983" i="4"/>
  <c r="E983" i="4"/>
  <c r="D983" i="4"/>
  <c r="C983" i="4"/>
  <c r="B983" i="4"/>
  <c r="I983" i="4" s="1"/>
  <c r="A983" i="4"/>
  <c r="H982" i="4"/>
  <c r="G982" i="4"/>
  <c r="F982" i="4"/>
  <c r="E982" i="4"/>
  <c r="D982" i="4"/>
  <c r="C982" i="4"/>
  <c r="B982" i="4"/>
  <c r="I982" i="4" s="1"/>
  <c r="A982" i="4"/>
  <c r="H981" i="4"/>
  <c r="G981" i="4"/>
  <c r="F981" i="4"/>
  <c r="E981" i="4"/>
  <c r="D981" i="4"/>
  <c r="C981" i="4"/>
  <c r="B981" i="4"/>
  <c r="I981" i="4" s="1"/>
  <c r="A981" i="4"/>
  <c r="H980" i="4"/>
  <c r="G980" i="4"/>
  <c r="F980" i="4"/>
  <c r="E980" i="4"/>
  <c r="D980" i="4"/>
  <c r="C980" i="4"/>
  <c r="I980" i="4" s="1"/>
  <c r="A980" i="4"/>
  <c r="B980" i="4" s="1"/>
  <c r="H979" i="4"/>
  <c r="G979" i="4"/>
  <c r="F979" i="4"/>
  <c r="E979" i="4"/>
  <c r="D979" i="4"/>
  <c r="C979" i="4"/>
  <c r="A979" i="4"/>
  <c r="B979" i="4" s="1"/>
  <c r="I979" i="4" s="1"/>
  <c r="H978" i="4"/>
  <c r="G978" i="4"/>
  <c r="F978" i="4"/>
  <c r="E978" i="4"/>
  <c r="D978" i="4"/>
  <c r="C978" i="4"/>
  <c r="B978" i="4"/>
  <c r="A978" i="4"/>
  <c r="H977" i="4"/>
  <c r="G977" i="4"/>
  <c r="F977" i="4"/>
  <c r="E977" i="4"/>
  <c r="D977" i="4"/>
  <c r="C977" i="4"/>
  <c r="A977" i="4"/>
  <c r="B977" i="4" s="1"/>
  <c r="H976" i="4"/>
  <c r="G976" i="4"/>
  <c r="F976" i="4"/>
  <c r="E976" i="4"/>
  <c r="D976" i="4"/>
  <c r="C976" i="4"/>
  <c r="B976" i="4"/>
  <c r="I976" i="4" s="1"/>
  <c r="A976" i="4"/>
  <c r="H975" i="4"/>
  <c r="G975" i="4"/>
  <c r="F975" i="4"/>
  <c r="E975" i="4"/>
  <c r="D975" i="4"/>
  <c r="C975" i="4"/>
  <c r="A975" i="4"/>
  <c r="B975" i="4" s="1"/>
  <c r="I975" i="4" s="1"/>
  <c r="H974" i="4"/>
  <c r="G974" i="4"/>
  <c r="F974" i="4"/>
  <c r="E974" i="4"/>
  <c r="D974" i="4"/>
  <c r="C974" i="4"/>
  <c r="A974" i="4"/>
  <c r="B974" i="4" s="1"/>
  <c r="I974" i="4" s="1"/>
  <c r="H973" i="4"/>
  <c r="G973" i="4"/>
  <c r="F973" i="4"/>
  <c r="E973" i="4"/>
  <c r="D973" i="4"/>
  <c r="C973" i="4"/>
  <c r="B973" i="4"/>
  <c r="I973" i="4" s="1"/>
  <c r="A973" i="4"/>
  <c r="H972" i="4"/>
  <c r="G972" i="4"/>
  <c r="F972" i="4"/>
  <c r="E972" i="4"/>
  <c r="D972" i="4"/>
  <c r="C972" i="4"/>
  <c r="B972" i="4"/>
  <c r="I972" i="4" s="1"/>
  <c r="A972" i="4"/>
  <c r="H971" i="4"/>
  <c r="G971" i="4"/>
  <c r="F971" i="4"/>
  <c r="E971" i="4"/>
  <c r="D971" i="4"/>
  <c r="C971" i="4"/>
  <c r="B971" i="4"/>
  <c r="A971" i="4"/>
  <c r="H970" i="4"/>
  <c r="G970" i="4"/>
  <c r="F970" i="4"/>
  <c r="E970" i="4"/>
  <c r="D970" i="4"/>
  <c r="C970" i="4"/>
  <c r="B970" i="4"/>
  <c r="I970" i="4" s="1"/>
  <c r="A970" i="4"/>
  <c r="H969" i="4"/>
  <c r="G969" i="4"/>
  <c r="F969" i="4"/>
  <c r="E969" i="4"/>
  <c r="D969" i="4"/>
  <c r="C969" i="4"/>
  <c r="I969" i="4" s="1"/>
  <c r="A969" i="4"/>
  <c r="B969" i="4" s="1"/>
  <c r="H968" i="4"/>
  <c r="G968" i="4"/>
  <c r="F968" i="4"/>
  <c r="E968" i="4"/>
  <c r="D968" i="4"/>
  <c r="C968" i="4"/>
  <c r="A968" i="4"/>
  <c r="B968" i="4" s="1"/>
  <c r="I968" i="4" s="1"/>
  <c r="H967" i="4"/>
  <c r="G967" i="4"/>
  <c r="F967" i="4"/>
  <c r="E967" i="4"/>
  <c r="D967" i="4"/>
  <c r="C967" i="4"/>
  <c r="B967" i="4"/>
  <c r="I967" i="4" s="1"/>
  <c r="A967" i="4"/>
  <c r="H966" i="4"/>
  <c r="G966" i="4"/>
  <c r="F966" i="4"/>
  <c r="E966" i="4"/>
  <c r="D966" i="4"/>
  <c r="C966" i="4"/>
  <c r="B966" i="4"/>
  <c r="I966" i="4" s="1"/>
  <c r="A966" i="4"/>
  <c r="H965" i="4"/>
  <c r="G965" i="4"/>
  <c r="F965" i="4"/>
  <c r="E965" i="4"/>
  <c r="D965" i="4"/>
  <c r="C965" i="4"/>
  <c r="A965" i="4"/>
  <c r="B965" i="4" s="1"/>
  <c r="I965" i="4" s="1"/>
  <c r="H964" i="4"/>
  <c r="G964" i="4"/>
  <c r="F964" i="4"/>
  <c r="E964" i="4"/>
  <c r="D964" i="4"/>
  <c r="C964" i="4"/>
  <c r="A964" i="4"/>
  <c r="B964" i="4" s="1"/>
  <c r="H963" i="4"/>
  <c r="G963" i="4"/>
  <c r="F963" i="4"/>
  <c r="E963" i="4"/>
  <c r="D963" i="4"/>
  <c r="C963" i="4"/>
  <c r="B963" i="4"/>
  <c r="A963" i="4"/>
  <c r="H962" i="4"/>
  <c r="G962" i="4"/>
  <c r="F962" i="4"/>
  <c r="E962" i="4"/>
  <c r="D962" i="4"/>
  <c r="C962" i="4"/>
  <c r="B962" i="4"/>
  <c r="A962" i="4"/>
  <c r="H961" i="4"/>
  <c r="G961" i="4"/>
  <c r="F961" i="4"/>
  <c r="E961" i="4"/>
  <c r="D961" i="4"/>
  <c r="C961" i="4"/>
  <c r="A961" i="4"/>
  <c r="B961" i="4" s="1"/>
  <c r="H960" i="4"/>
  <c r="G960" i="4"/>
  <c r="F960" i="4"/>
  <c r="E960" i="4"/>
  <c r="D960" i="4"/>
  <c r="C960" i="4"/>
  <c r="B960" i="4"/>
  <c r="A960" i="4"/>
  <c r="H959" i="4"/>
  <c r="G959" i="4"/>
  <c r="F959" i="4"/>
  <c r="E959" i="4"/>
  <c r="D959" i="4"/>
  <c r="C959" i="4"/>
  <c r="B959" i="4"/>
  <c r="I959" i="4" s="1"/>
  <c r="A959" i="4"/>
  <c r="H958" i="4"/>
  <c r="G958" i="4"/>
  <c r="F958" i="4"/>
  <c r="E958" i="4"/>
  <c r="D958" i="4"/>
  <c r="C958" i="4"/>
  <c r="I958" i="4" s="1"/>
  <c r="A958" i="4"/>
  <c r="B958" i="4" s="1"/>
  <c r="I957" i="4"/>
  <c r="H957" i="4"/>
  <c r="G957" i="4"/>
  <c r="F957" i="4"/>
  <c r="E957" i="4"/>
  <c r="D957" i="4"/>
  <c r="C957" i="4"/>
  <c r="A957" i="4"/>
  <c r="B957" i="4" s="1"/>
  <c r="H956" i="4"/>
  <c r="G956" i="4"/>
  <c r="F956" i="4"/>
  <c r="E956" i="4"/>
  <c r="D956" i="4"/>
  <c r="C956" i="4"/>
  <c r="B956" i="4"/>
  <c r="A956" i="4"/>
  <c r="H955" i="4"/>
  <c r="G955" i="4"/>
  <c r="F955" i="4"/>
  <c r="E955" i="4"/>
  <c r="D955" i="4"/>
  <c r="C955" i="4"/>
  <c r="A955" i="4"/>
  <c r="B955" i="4" s="1"/>
  <c r="I955" i="4" s="1"/>
  <c r="H954" i="4"/>
  <c r="G954" i="4"/>
  <c r="F954" i="4"/>
  <c r="E954" i="4"/>
  <c r="D954" i="4"/>
  <c r="C954" i="4"/>
  <c r="B954" i="4"/>
  <c r="A954" i="4"/>
  <c r="H953" i="4"/>
  <c r="G953" i="4"/>
  <c r="F953" i="4"/>
  <c r="E953" i="4"/>
  <c r="D953" i="4"/>
  <c r="C953" i="4"/>
  <c r="A953" i="4"/>
  <c r="B953" i="4" s="1"/>
  <c r="H952" i="4"/>
  <c r="G952" i="4"/>
  <c r="F952" i="4"/>
  <c r="E952" i="4"/>
  <c r="D952" i="4"/>
  <c r="C952" i="4"/>
  <c r="B952" i="4"/>
  <c r="I952" i="4" s="1"/>
  <c r="A952" i="4"/>
  <c r="H951" i="4"/>
  <c r="G951" i="4"/>
  <c r="F951" i="4"/>
  <c r="E951" i="4"/>
  <c r="D951" i="4"/>
  <c r="C951" i="4"/>
  <c r="B951" i="4"/>
  <c r="I951" i="4" s="1"/>
  <c r="A951" i="4"/>
  <c r="H950" i="4"/>
  <c r="G950" i="4"/>
  <c r="F950" i="4"/>
  <c r="E950" i="4"/>
  <c r="D950" i="4"/>
  <c r="C950" i="4"/>
  <c r="A950" i="4"/>
  <c r="B950" i="4" s="1"/>
  <c r="H949" i="4"/>
  <c r="G949" i="4"/>
  <c r="F949" i="4"/>
  <c r="E949" i="4"/>
  <c r="D949" i="4"/>
  <c r="C949" i="4"/>
  <c r="B949" i="4"/>
  <c r="A949" i="4"/>
  <c r="H948" i="4"/>
  <c r="G948" i="4"/>
  <c r="F948" i="4"/>
  <c r="E948" i="4"/>
  <c r="D948" i="4"/>
  <c r="C948" i="4"/>
  <c r="A948" i="4"/>
  <c r="B948" i="4" s="1"/>
  <c r="H947" i="4"/>
  <c r="G947" i="4"/>
  <c r="F947" i="4"/>
  <c r="E947" i="4"/>
  <c r="D947" i="4"/>
  <c r="C947" i="4"/>
  <c r="A947" i="4"/>
  <c r="B947" i="4" s="1"/>
  <c r="H946" i="4"/>
  <c r="G946" i="4"/>
  <c r="F946" i="4"/>
  <c r="E946" i="4"/>
  <c r="D946" i="4"/>
  <c r="C946" i="4"/>
  <c r="A946" i="4"/>
  <c r="B946" i="4" s="1"/>
  <c r="I946" i="4" s="1"/>
  <c r="H945" i="4"/>
  <c r="G945" i="4"/>
  <c r="F945" i="4"/>
  <c r="E945" i="4"/>
  <c r="D945" i="4"/>
  <c r="C945" i="4"/>
  <c r="B945" i="4"/>
  <c r="I945" i="4" s="1"/>
  <c r="A945" i="4"/>
  <c r="H944" i="4"/>
  <c r="G944" i="4"/>
  <c r="F944" i="4"/>
  <c r="E944" i="4"/>
  <c r="D944" i="4"/>
  <c r="C944" i="4"/>
  <c r="A944" i="4"/>
  <c r="B944" i="4" s="1"/>
  <c r="I944" i="4" s="1"/>
  <c r="H943" i="4"/>
  <c r="G943" i="4"/>
  <c r="F943" i="4"/>
  <c r="E943" i="4"/>
  <c r="D943" i="4"/>
  <c r="C943" i="4"/>
  <c r="B943" i="4"/>
  <c r="A943" i="4"/>
  <c r="H942" i="4"/>
  <c r="G942" i="4"/>
  <c r="F942" i="4"/>
  <c r="E942" i="4"/>
  <c r="D942" i="4"/>
  <c r="C942" i="4"/>
  <c r="B942" i="4"/>
  <c r="A942" i="4"/>
  <c r="H941" i="4"/>
  <c r="G941" i="4"/>
  <c r="F941" i="4"/>
  <c r="E941" i="4"/>
  <c r="D941" i="4"/>
  <c r="C941" i="4"/>
  <c r="B941" i="4"/>
  <c r="A941" i="4"/>
  <c r="H940" i="4"/>
  <c r="G940" i="4"/>
  <c r="F940" i="4"/>
  <c r="E940" i="4"/>
  <c r="D940" i="4"/>
  <c r="C940" i="4"/>
  <c r="A940" i="4"/>
  <c r="B940" i="4" s="1"/>
  <c r="H939" i="4"/>
  <c r="G939" i="4"/>
  <c r="F939" i="4"/>
  <c r="E939" i="4"/>
  <c r="D939" i="4"/>
  <c r="C939" i="4"/>
  <c r="B939" i="4"/>
  <c r="I939" i="4" s="1"/>
  <c r="A939" i="4"/>
  <c r="H938" i="4"/>
  <c r="G938" i="4"/>
  <c r="F938" i="4"/>
  <c r="E938" i="4"/>
  <c r="D938" i="4"/>
  <c r="C938" i="4"/>
  <c r="A938" i="4"/>
  <c r="B938" i="4" s="1"/>
  <c r="I938" i="4" s="1"/>
  <c r="H937" i="4"/>
  <c r="G937" i="4"/>
  <c r="F937" i="4"/>
  <c r="E937" i="4"/>
  <c r="D937" i="4"/>
  <c r="C937" i="4"/>
  <c r="B937" i="4"/>
  <c r="A937" i="4"/>
  <c r="H936" i="4"/>
  <c r="G936" i="4"/>
  <c r="F936" i="4"/>
  <c r="E936" i="4"/>
  <c r="D936" i="4"/>
  <c r="C936" i="4"/>
  <c r="A936" i="4"/>
  <c r="B936" i="4" s="1"/>
  <c r="I936" i="4" s="1"/>
  <c r="H935" i="4"/>
  <c r="G935" i="4"/>
  <c r="F935" i="4"/>
  <c r="E935" i="4"/>
  <c r="D935" i="4"/>
  <c r="C935" i="4"/>
  <c r="B935" i="4"/>
  <c r="A935" i="4"/>
  <c r="H934" i="4"/>
  <c r="G934" i="4"/>
  <c r="F934" i="4"/>
  <c r="E934" i="4"/>
  <c r="D934" i="4"/>
  <c r="C934" i="4"/>
  <c r="A934" i="4"/>
  <c r="B934" i="4" s="1"/>
  <c r="H933" i="4"/>
  <c r="G933" i="4"/>
  <c r="F933" i="4"/>
  <c r="E933" i="4"/>
  <c r="D933" i="4"/>
  <c r="C933" i="4"/>
  <c r="B933" i="4"/>
  <c r="A933" i="4"/>
  <c r="I932" i="4"/>
  <c r="H932" i="4"/>
  <c r="G932" i="4"/>
  <c r="F932" i="4"/>
  <c r="E932" i="4"/>
  <c r="D932" i="4"/>
  <c r="C932" i="4"/>
  <c r="A932" i="4"/>
  <c r="B932" i="4" s="1"/>
  <c r="I931" i="4"/>
  <c r="H931" i="4"/>
  <c r="G931" i="4"/>
  <c r="F931" i="4"/>
  <c r="E931" i="4"/>
  <c r="D931" i="4"/>
  <c r="C931" i="4"/>
  <c r="A931" i="4"/>
  <c r="B931" i="4" s="1"/>
  <c r="H930" i="4"/>
  <c r="G930" i="4"/>
  <c r="F930" i="4"/>
  <c r="E930" i="4"/>
  <c r="D930" i="4"/>
  <c r="C930" i="4"/>
  <c r="A930" i="4"/>
  <c r="B930" i="4" s="1"/>
  <c r="I930" i="4" s="1"/>
  <c r="H929" i="4"/>
  <c r="G929" i="4"/>
  <c r="F929" i="4"/>
  <c r="E929" i="4"/>
  <c r="D929" i="4"/>
  <c r="C929" i="4"/>
  <c r="B929" i="4"/>
  <c r="A929" i="4"/>
  <c r="H928" i="4"/>
  <c r="G928" i="4"/>
  <c r="F928" i="4"/>
  <c r="E928" i="4"/>
  <c r="D928" i="4"/>
  <c r="C928" i="4"/>
  <c r="A928" i="4"/>
  <c r="B928" i="4" s="1"/>
  <c r="I928" i="4" s="1"/>
  <c r="H927" i="4"/>
  <c r="G927" i="4"/>
  <c r="F927" i="4"/>
  <c r="E927" i="4"/>
  <c r="D927" i="4"/>
  <c r="C927" i="4"/>
  <c r="B927" i="4"/>
  <c r="I927" i="4" s="1"/>
  <c r="A927" i="4"/>
  <c r="H926" i="4"/>
  <c r="G926" i="4"/>
  <c r="F926" i="4"/>
  <c r="E926" i="4"/>
  <c r="D926" i="4"/>
  <c r="C926" i="4"/>
  <c r="B926" i="4"/>
  <c r="I926" i="4" s="1"/>
  <c r="A926" i="4"/>
  <c r="H925" i="4"/>
  <c r="G925" i="4"/>
  <c r="F925" i="4"/>
  <c r="E925" i="4"/>
  <c r="D925" i="4"/>
  <c r="C925" i="4"/>
  <c r="B925" i="4"/>
  <c r="I925" i="4" s="1"/>
  <c r="A925" i="4"/>
  <c r="H924" i="4"/>
  <c r="G924" i="4"/>
  <c r="F924" i="4"/>
  <c r="E924" i="4"/>
  <c r="D924" i="4"/>
  <c r="C924" i="4"/>
  <c r="A924" i="4"/>
  <c r="B924" i="4" s="1"/>
  <c r="I924" i="4" s="1"/>
  <c r="H923" i="4"/>
  <c r="G923" i="4"/>
  <c r="F923" i="4"/>
  <c r="E923" i="4"/>
  <c r="D923" i="4"/>
  <c r="C923" i="4"/>
  <c r="B923" i="4"/>
  <c r="A923" i="4"/>
  <c r="H922" i="4"/>
  <c r="G922" i="4"/>
  <c r="F922" i="4"/>
  <c r="E922" i="4"/>
  <c r="D922" i="4"/>
  <c r="C922" i="4"/>
  <c r="A922" i="4"/>
  <c r="B922" i="4" s="1"/>
  <c r="I922" i="4" s="1"/>
  <c r="H921" i="4"/>
  <c r="G921" i="4"/>
  <c r="F921" i="4"/>
  <c r="E921" i="4"/>
  <c r="D921" i="4"/>
  <c r="C921" i="4"/>
  <c r="B921" i="4"/>
  <c r="A921" i="4"/>
  <c r="H920" i="4"/>
  <c r="G920" i="4"/>
  <c r="F920" i="4"/>
  <c r="E920" i="4"/>
  <c r="D920" i="4"/>
  <c r="C920" i="4"/>
  <c r="A920" i="4"/>
  <c r="B920" i="4" s="1"/>
  <c r="I920" i="4" s="1"/>
  <c r="H919" i="4"/>
  <c r="G919" i="4"/>
  <c r="F919" i="4"/>
  <c r="E919" i="4"/>
  <c r="D919" i="4"/>
  <c r="C919" i="4"/>
  <c r="B919" i="4"/>
  <c r="A919" i="4"/>
  <c r="I918" i="4"/>
  <c r="H918" i="4"/>
  <c r="G918" i="4"/>
  <c r="F918" i="4"/>
  <c r="E918" i="4"/>
  <c r="D918" i="4"/>
  <c r="C918" i="4"/>
  <c r="A918" i="4"/>
  <c r="B918" i="4" s="1"/>
  <c r="I917" i="4"/>
  <c r="H917" i="4"/>
  <c r="G917" i="4"/>
  <c r="F917" i="4"/>
  <c r="E917" i="4"/>
  <c r="D917" i="4"/>
  <c r="C917" i="4"/>
  <c r="A917" i="4"/>
  <c r="B917" i="4" s="1"/>
  <c r="H916" i="4"/>
  <c r="G916" i="4"/>
  <c r="F916" i="4"/>
  <c r="E916" i="4"/>
  <c r="D916" i="4"/>
  <c r="C916" i="4"/>
  <c r="A916" i="4"/>
  <c r="B916" i="4" s="1"/>
  <c r="I916" i="4" s="1"/>
  <c r="H915" i="4"/>
  <c r="G915" i="4"/>
  <c r="F915" i="4"/>
  <c r="E915" i="4"/>
  <c r="D915" i="4"/>
  <c r="C915" i="4"/>
  <c r="B915" i="4"/>
  <c r="I915" i="4" s="1"/>
  <c r="A915" i="4"/>
  <c r="H914" i="4"/>
  <c r="G914" i="4"/>
  <c r="F914" i="4"/>
  <c r="E914" i="4"/>
  <c r="D914" i="4"/>
  <c r="C914" i="4"/>
  <c r="B914" i="4"/>
  <c r="I914" i="4" s="1"/>
  <c r="A914" i="4"/>
  <c r="H913" i="4"/>
  <c r="G913" i="4"/>
  <c r="F913" i="4"/>
  <c r="E913" i="4"/>
  <c r="D913" i="4"/>
  <c r="C913" i="4"/>
  <c r="B913" i="4"/>
  <c r="I913" i="4" s="1"/>
  <c r="A913" i="4"/>
  <c r="H912" i="4"/>
  <c r="G912" i="4"/>
  <c r="F912" i="4"/>
  <c r="E912" i="4"/>
  <c r="D912" i="4"/>
  <c r="C912" i="4"/>
  <c r="A912" i="4"/>
  <c r="B912" i="4" s="1"/>
  <c r="I912" i="4" s="1"/>
  <c r="H911" i="4"/>
  <c r="G911" i="4"/>
  <c r="F911" i="4"/>
  <c r="E911" i="4"/>
  <c r="D911" i="4"/>
  <c r="C911" i="4"/>
  <c r="B911" i="4"/>
  <c r="A911" i="4"/>
  <c r="H910" i="4"/>
  <c r="G910" i="4"/>
  <c r="F910" i="4"/>
  <c r="E910" i="4"/>
  <c r="D910" i="4"/>
  <c r="C910" i="4"/>
  <c r="A910" i="4"/>
  <c r="B910" i="4" s="1"/>
  <c r="I910" i="4" s="1"/>
  <c r="H909" i="4"/>
  <c r="G909" i="4"/>
  <c r="F909" i="4"/>
  <c r="E909" i="4"/>
  <c r="D909" i="4"/>
  <c r="C909" i="4"/>
  <c r="B909" i="4"/>
  <c r="A909" i="4"/>
  <c r="H908" i="4"/>
  <c r="G908" i="4"/>
  <c r="F908" i="4"/>
  <c r="E908" i="4"/>
  <c r="D908" i="4"/>
  <c r="C908" i="4"/>
  <c r="A908" i="4"/>
  <c r="B908" i="4" s="1"/>
  <c r="I908" i="4" s="1"/>
  <c r="H907" i="4"/>
  <c r="G907" i="4"/>
  <c r="F907" i="4"/>
  <c r="E907" i="4"/>
  <c r="D907" i="4"/>
  <c r="C907" i="4"/>
  <c r="A907" i="4"/>
  <c r="B907" i="4" s="1"/>
  <c r="I907" i="4" s="1"/>
  <c r="H906" i="4"/>
  <c r="G906" i="4"/>
  <c r="F906" i="4"/>
  <c r="E906" i="4"/>
  <c r="D906" i="4"/>
  <c r="C906" i="4"/>
  <c r="B906" i="4"/>
  <c r="I906" i="4" s="1"/>
  <c r="A906" i="4"/>
  <c r="H905" i="4"/>
  <c r="G905" i="4"/>
  <c r="F905" i="4"/>
  <c r="E905" i="4"/>
  <c r="D905" i="4"/>
  <c r="C905" i="4"/>
  <c r="B905" i="4"/>
  <c r="I905" i="4" s="1"/>
  <c r="A905" i="4"/>
  <c r="H904" i="4"/>
  <c r="G904" i="4"/>
  <c r="F904" i="4"/>
  <c r="E904" i="4"/>
  <c r="D904" i="4"/>
  <c r="C904" i="4"/>
  <c r="B904" i="4"/>
  <c r="I904" i="4" s="1"/>
  <c r="A904" i="4"/>
  <c r="H903" i="4"/>
  <c r="G903" i="4"/>
  <c r="F903" i="4"/>
  <c r="E903" i="4"/>
  <c r="D903" i="4"/>
  <c r="C903" i="4"/>
  <c r="B903" i="4"/>
  <c r="A903" i="4"/>
  <c r="H902" i="4"/>
  <c r="G902" i="4"/>
  <c r="F902" i="4"/>
  <c r="E902" i="4"/>
  <c r="D902" i="4"/>
  <c r="C902" i="4"/>
  <c r="A902" i="4"/>
  <c r="B902" i="4" s="1"/>
  <c r="H901" i="4"/>
  <c r="G901" i="4"/>
  <c r="F901" i="4"/>
  <c r="E901" i="4"/>
  <c r="D901" i="4"/>
  <c r="C901" i="4"/>
  <c r="B901" i="4"/>
  <c r="I901" i="4" s="1"/>
  <c r="A901" i="4"/>
  <c r="H900" i="4"/>
  <c r="G900" i="4"/>
  <c r="F900" i="4"/>
  <c r="E900" i="4"/>
  <c r="D900" i="4"/>
  <c r="C900" i="4"/>
  <c r="A900" i="4"/>
  <c r="B900" i="4" s="1"/>
  <c r="I900" i="4" s="1"/>
  <c r="H899" i="4"/>
  <c r="G899" i="4"/>
  <c r="F899" i="4"/>
  <c r="E899" i="4"/>
  <c r="D899" i="4"/>
  <c r="C899" i="4"/>
  <c r="B899" i="4"/>
  <c r="I899" i="4" s="1"/>
  <c r="A899" i="4"/>
  <c r="H898" i="4"/>
  <c r="G898" i="4"/>
  <c r="F898" i="4"/>
  <c r="E898" i="4"/>
  <c r="D898" i="4"/>
  <c r="C898" i="4"/>
  <c r="A898" i="4"/>
  <c r="B898" i="4" s="1"/>
  <c r="I898" i="4" s="1"/>
  <c r="H897" i="4"/>
  <c r="G897" i="4"/>
  <c r="F897" i="4"/>
  <c r="E897" i="4"/>
  <c r="D897" i="4"/>
  <c r="C897" i="4"/>
  <c r="A897" i="4"/>
  <c r="B897" i="4" s="1"/>
  <c r="I897" i="4" s="1"/>
  <c r="H896" i="4"/>
  <c r="G896" i="4"/>
  <c r="F896" i="4"/>
  <c r="E896" i="4"/>
  <c r="D896" i="4"/>
  <c r="C896" i="4"/>
  <c r="B896" i="4"/>
  <c r="I896" i="4" s="1"/>
  <c r="A896" i="4"/>
  <c r="H895" i="4"/>
  <c r="G895" i="4"/>
  <c r="F895" i="4"/>
  <c r="E895" i="4"/>
  <c r="D895" i="4"/>
  <c r="C895" i="4"/>
  <c r="B895" i="4"/>
  <c r="I895" i="4" s="1"/>
  <c r="A895" i="4"/>
  <c r="H894" i="4"/>
  <c r="G894" i="4"/>
  <c r="F894" i="4"/>
  <c r="E894" i="4"/>
  <c r="D894" i="4"/>
  <c r="C894" i="4"/>
  <c r="A894" i="4"/>
  <c r="B894" i="4" s="1"/>
  <c r="I894" i="4" s="1"/>
  <c r="H893" i="4"/>
  <c r="G893" i="4"/>
  <c r="F893" i="4"/>
  <c r="E893" i="4"/>
  <c r="D893" i="4"/>
  <c r="C893" i="4"/>
  <c r="B893" i="4"/>
  <c r="I893" i="4" s="1"/>
  <c r="A893" i="4"/>
  <c r="H892" i="4"/>
  <c r="G892" i="4"/>
  <c r="F892" i="4"/>
  <c r="E892" i="4"/>
  <c r="D892" i="4"/>
  <c r="C892" i="4"/>
  <c r="A892" i="4"/>
  <c r="B892" i="4" s="1"/>
  <c r="I892" i="4" s="1"/>
  <c r="H891" i="4"/>
  <c r="G891" i="4"/>
  <c r="F891" i="4"/>
  <c r="E891" i="4"/>
  <c r="D891" i="4"/>
  <c r="C891" i="4"/>
  <c r="B891" i="4"/>
  <c r="A891" i="4"/>
  <c r="H890" i="4"/>
  <c r="G890" i="4"/>
  <c r="F890" i="4"/>
  <c r="E890" i="4"/>
  <c r="I890" i="4" s="1"/>
  <c r="D890" i="4"/>
  <c r="C890" i="4"/>
  <c r="A890" i="4"/>
  <c r="B890" i="4" s="1"/>
  <c r="H889" i="4"/>
  <c r="G889" i="4"/>
  <c r="F889" i="4"/>
  <c r="E889" i="4"/>
  <c r="D889" i="4"/>
  <c r="C889" i="4"/>
  <c r="B889" i="4"/>
  <c r="A889" i="4"/>
  <c r="H888" i="4"/>
  <c r="G888" i="4"/>
  <c r="F888" i="4"/>
  <c r="E888" i="4"/>
  <c r="D888" i="4"/>
  <c r="C888" i="4"/>
  <c r="A888" i="4"/>
  <c r="B888" i="4" s="1"/>
  <c r="H887" i="4"/>
  <c r="G887" i="4"/>
  <c r="F887" i="4"/>
  <c r="E887" i="4"/>
  <c r="D887" i="4"/>
  <c r="C887" i="4"/>
  <c r="B887" i="4"/>
  <c r="A887" i="4"/>
  <c r="H886" i="4"/>
  <c r="G886" i="4"/>
  <c r="F886" i="4"/>
  <c r="E886" i="4"/>
  <c r="D886" i="4"/>
  <c r="I886" i="4" s="1"/>
  <c r="C886" i="4"/>
  <c r="A886" i="4"/>
  <c r="B886" i="4" s="1"/>
  <c r="H885" i="4"/>
  <c r="G885" i="4"/>
  <c r="F885" i="4"/>
  <c r="E885" i="4"/>
  <c r="D885" i="4"/>
  <c r="I885" i="4" s="1"/>
  <c r="C885" i="4"/>
  <c r="A885" i="4"/>
  <c r="B885" i="4" s="1"/>
  <c r="H884" i="4"/>
  <c r="G884" i="4"/>
  <c r="F884" i="4"/>
  <c r="E884" i="4"/>
  <c r="D884" i="4"/>
  <c r="C884" i="4"/>
  <c r="A884" i="4"/>
  <c r="B884" i="4" s="1"/>
  <c r="I884" i="4" s="1"/>
  <c r="H883" i="4"/>
  <c r="G883" i="4"/>
  <c r="F883" i="4"/>
  <c r="E883" i="4"/>
  <c r="D883" i="4"/>
  <c r="C883" i="4"/>
  <c r="A883" i="4"/>
  <c r="B883" i="4" s="1"/>
  <c r="I883" i="4" s="1"/>
  <c r="H882" i="4"/>
  <c r="G882" i="4"/>
  <c r="F882" i="4"/>
  <c r="E882" i="4"/>
  <c r="D882" i="4"/>
  <c r="C882" i="4"/>
  <c r="B882" i="4"/>
  <c r="I882" i="4" s="1"/>
  <c r="A882" i="4"/>
  <c r="H881" i="4"/>
  <c r="G881" i="4"/>
  <c r="F881" i="4"/>
  <c r="E881" i="4"/>
  <c r="D881" i="4"/>
  <c r="C881" i="4"/>
  <c r="B881" i="4"/>
  <c r="I881" i="4" s="1"/>
  <c r="A881" i="4"/>
  <c r="H880" i="4"/>
  <c r="G880" i="4"/>
  <c r="F880" i="4"/>
  <c r="E880" i="4"/>
  <c r="D880" i="4"/>
  <c r="C880" i="4"/>
  <c r="A880" i="4"/>
  <c r="B880" i="4" s="1"/>
  <c r="I880" i="4" s="1"/>
  <c r="H879" i="4"/>
  <c r="G879" i="4"/>
  <c r="F879" i="4"/>
  <c r="E879" i="4"/>
  <c r="D879" i="4"/>
  <c r="C879" i="4"/>
  <c r="B879" i="4"/>
  <c r="A879" i="4"/>
  <c r="H878" i="4"/>
  <c r="G878" i="4"/>
  <c r="F878" i="4"/>
  <c r="E878" i="4"/>
  <c r="D878" i="4"/>
  <c r="C878" i="4"/>
  <c r="A878" i="4"/>
  <c r="B878" i="4" s="1"/>
  <c r="H877" i="4"/>
  <c r="G877" i="4"/>
  <c r="F877" i="4"/>
  <c r="E877" i="4"/>
  <c r="D877" i="4"/>
  <c r="C877" i="4"/>
  <c r="B877" i="4"/>
  <c r="A877" i="4"/>
  <c r="H876" i="4"/>
  <c r="G876" i="4"/>
  <c r="F876" i="4"/>
  <c r="E876" i="4"/>
  <c r="D876" i="4"/>
  <c r="C876" i="4"/>
  <c r="A876" i="4"/>
  <c r="B876" i="4" s="1"/>
  <c r="I875" i="4"/>
  <c r="H875" i="4"/>
  <c r="G875" i="4"/>
  <c r="F875" i="4"/>
  <c r="E875" i="4"/>
  <c r="D875" i="4"/>
  <c r="C875" i="4"/>
  <c r="A875" i="4"/>
  <c r="B875" i="4" s="1"/>
  <c r="H874" i="4"/>
  <c r="G874" i="4"/>
  <c r="F874" i="4"/>
  <c r="E874" i="4"/>
  <c r="D874" i="4"/>
  <c r="C874" i="4"/>
  <c r="A874" i="4"/>
  <c r="B874" i="4" s="1"/>
  <c r="I874" i="4" s="1"/>
  <c r="H873" i="4"/>
  <c r="G873" i="4"/>
  <c r="F873" i="4"/>
  <c r="E873" i="4"/>
  <c r="D873" i="4"/>
  <c r="C873" i="4"/>
  <c r="B873" i="4"/>
  <c r="I873" i="4" s="1"/>
  <c r="A873" i="4"/>
  <c r="H872" i="4"/>
  <c r="G872" i="4"/>
  <c r="F872" i="4"/>
  <c r="E872" i="4"/>
  <c r="D872" i="4"/>
  <c r="C872" i="4"/>
  <c r="B872" i="4"/>
  <c r="I872" i="4" s="1"/>
  <c r="A872" i="4"/>
  <c r="H871" i="4"/>
  <c r="G871" i="4"/>
  <c r="F871" i="4"/>
  <c r="E871" i="4"/>
  <c r="D871" i="4"/>
  <c r="C871" i="4"/>
  <c r="B871" i="4"/>
  <c r="A871" i="4"/>
  <c r="H870" i="4"/>
  <c r="G870" i="4"/>
  <c r="F870" i="4"/>
  <c r="E870" i="4"/>
  <c r="D870" i="4"/>
  <c r="C870" i="4"/>
  <c r="A870" i="4"/>
  <c r="B870" i="4" s="1"/>
  <c r="H869" i="4"/>
  <c r="G869" i="4"/>
  <c r="F869" i="4"/>
  <c r="E869" i="4"/>
  <c r="D869" i="4"/>
  <c r="C869" i="4"/>
  <c r="B869" i="4"/>
  <c r="I869" i="4" s="1"/>
  <c r="A869" i="4"/>
  <c r="H868" i="4"/>
  <c r="G868" i="4"/>
  <c r="F868" i="4"/>
  <c r="E868" i="4"/>
  <c r="D868" i="4"/>
  <c r="C868" i="4"/>
  <c r="A868" i="4"/>
  <c r="B868" i="4" s="1"/>
  <c r="I868" i="4" s="1"/>
  <c r="H867" i="4"/>
  <c r="G867" i="4"/>
  <c r="F867" i="4"/>
  <c r="E867" i="4"/>
  <c r="D867" i="4"/>
  <c r="C867" i="4"/>
  <c r="B867" i="4"/>
  <c r="A867" i="4"/>
  <c r="H866" i="4"/>
  <c r="G866" i="4"/>
  <c r="F866" i="4"/>
  <c r="E866" i="4"/>
  <c r="D866" i="4"/>
  <c r="C866" i="4"/>
  <c r="A866" i="4"/>
  <c r="B866" i="4" s="1"/>
  <c r="I866" i="4" s="1"/>
  <c r="H865" i="4"/>
  <c r="G865" i="4"/>
  <c r="F865" i="4"/>
  <c r="E865" i="4"/>
  <c r="D865" i="4"/>
  <c r="C865" i="4"/>
  <c r="A865" i="4"/>
  <c r="B865" i="4" s="1"/>
  <c r="I865" i="4" s="1"/>
  <c r="H864" i="4"/>
  <c r="G864" i="4"/>
  <c r="F864" i="4"/>
  <c r="E864" i="4"/>
  <c r="D864" i="4"/>
  <c r="C864" i="4"/>
  <c r="B864" i="4"/>
  <c r="I864" i="4" s="1"/>
  <c r="A864" i="4"/>
  <c r="H863" i="4"/>
  <c r="G863" i="4"/>
  <c r="F863" i="4"/>
  <c r="E863" i="4"/>
  <c r="D863" i="4"/>
  <c r="C863" i="4"/>
  <c r="B863" i="4"/>
  <c r="I863" i="4" s="1"/>
  <c r="A863" i="4"/>
  <c r="H862" i="4"/>
  <c r="G862" i="4"/>
  <c r="F862" i="4"/>
  <c r="E862" i="4"/>
  <c r="D862" i="4"/>
  <c r="C862" i="4"/>
  <c r="A862" i="4"/>
  <c r="B862" i="4" s="1"/>
  <c r="I862" i="4" s="1"/>
  <c r="H861" i="4"/>
  <c r="G861" i="4"/>
  <c r="F861" i="4"/>
  <c r="E861" i="4"/>
  <c r="D861" i="4"/>
  <c r="C861" i="4"/>
  <c r="B861" i="4"/>
  <c r="I861" i="4" s="1"/>
  <c r="A861" i="4"/>
  <c r="H860" i="4"/>
  <c r="G860" i="4"/>
  <c r="F860" i="4"/>
  <c r="E860" i="4"/>
  <c r="D860" i="4"/>
  <c r="C860" i="4"/>
  <c r="A860" i="4"/>
  <c r="B860" i="4" s="1"/>
  <c r="I860" i="4" s="1"/>
  <c r="H859" i="4"/>
  <c r="G859" i="4"/>
  <c r="F859" i="4"/>
  <c r="E859" i="4"/>
  <c r="D859" i="4"/>
  <c r="C859" i="4"/>
  <c r="B859" i="4"/>
  <c r="A859" i="4"/>
  <c r="I858" i="4"/>
  <c r="H858" i="4"/>
  <c r="G858" i="4"/>
  <c r="F858" i="4"/>
  <c r="E858" i="4"/>
  <c r="D858" i="4"/>
  <c r="C858" i="4"/>
  <c r="A858" i="4"/>
  <c r="B858" i="4" s="1"/>
  <c r="H857" i="4"/>
  <c r="G857" i="4"/>
  <c r="F857" i="4"/>
  <c r="E857" i="4"/>
  <c r="D857" i="4"/>
  <c r="C857" i="4"/>
  <c r="B857" i="4"/>
  <c r="A857" i="4"/>
  <c r="H856" i="4"/>
  <c r="G856" i="4"/>
  <c r="F856" i="4"/>
  <c r="E856" i="4"/>
  <c r="D856" i="4"/>
  <c r="C856" i="4"/>
  <c r="A856" i="4"/>
  <c r="B856" i="4" s="1"/>
  <c r="H855" i="4"/>
  <c r="G855" i="4"/>
  <c r="F855" i="4"/>
  <c r="E855" i="4"/>
  <c r="D855" i="4"/>
  <c r="C855" i="4"/>
  <c r="B855" i="4"/>
  <c r="A855" i="4"/>
  <c r="H854" i="4"/>
  <c r="G854" i="4"/>
  <c r="F854" i="4"/>
  <c r="E854" i="4"/>
  <c r="D854" i="4"/>
  <c r="I854" i="4" s="1"/>
  <c r="C854" i="4"/>
  <c r="A854" i="4"/>
  <c r="B854" i="4" s="1"/>
  <c r="H853" i="4"/>
  <c r="G853" i="4"/>
  <c r="F853" i="4"/>
  <c r="E853" i="4"/>
  <c r="D853" i="4"/>
  <c r="I853" i="4" s="1"/>
  <c r="C853" i="4"/>
  <c r="A853" i="4"/>
  <c r="B853" i="4" s="1"/>
  <c r="H852" i="4"/>
  <c r="G852" i="4"/>
  <c r="F852" i="4"/>
  <c r="E852" i="4"/>
  <c r="D852" i="4"/>
  <c r="C852" i="4"/>
  <c r="A852" i="4"/>
  <c r="B852" i="4" s="1"/>
  <c r="I852" i="4" s="1"/>
  <c r="H851" i="4"/>
  <c r="G851" i="4"/>
  <c r="F851" i="4"/>
  <c r="E851" i="4"/>
  <c r="D851" i="4"/>
  <c r="C851" i="4"/>
  <c r="A851" i="4"/>
  <c r="B851" i="4" s="1"/>
  <c r="I851" i="4" s="1"/>
  <c r="H850" i="4"/>
  <c r="G850" i="4"/>
  <c r="F850" i="4"/>
  <c r="E850" i="4"/>
  <c r="D850" i="4"/>
  <c r="C850" i="4"/>
  <c r="B850" i="4"/>
  <c r="I850" i="4" s="1"/>
  <c r="A850" i="4"/>
  <c r="H849" i="4"/>
  <c r="G849" i="4"/>
  <c r="F849" i="4"/>
  <c r="E849" i="4"/>
  <c r="D849" i="4"/>
  <c r="C849" i="4"/>
  <c r="B849" i="4"/>
  <c r="I849" i="4" s="1"/>
  <c r="A849" i="4"/>
  <c r="H848" i="4"/>
  <c r="G848" i="4"/>
  <c r="F848" i="4"/>
  <c r="E848" i="4"/>
  <c r="D848" i="4"/>
  <c r="C848" i="4"/>
  <c r="A848" i="4"/>
  <c r="B848" i="4" s="1"/>
  <c r="I848" i="4" s="1"/>
  <c r="H847" i="4"/>
  <c r="G847" i="4"/>
  <c r="F847" i="4"/>
  <c r="E847" i="4"/>
  <c r="D847" i="4"/>
  <c r="C847" i="4"/>
  <c r="B847" i="4"/>
  <c r="A847" i="4"/>
  <c r="H846" i="4"/>
  <c r="G846" i="4"/>
  <c r="F846" i="4"/>
  <c r="E846" i="4"/>
  <c r="D846" i="4"/>
  <c r="C846" i="4"/>
  <c r="A846" i="4"/>
  <c r="B846" i="4" s="1"/>
  <c r="I846" i="4" s="1"/>
  <c r="H845" i="4"/>
  <c r="G845" i="4"/>
  <c r="F845" i="4"/>
  <c r="E845" i="4"/>
  <c r="D845" i="4"/>
  <c r="C845" i="4"/>
  <c r="B845" i="4"/>
  <c r="I845" i="4" s="1"/>
  <c r="A845" i="4"/>
  <c r="H844" i="4"/>
  <c r="G844" i="4"/>
  <c r="F844" i="4"/>
  <c r="E844" i="4"/>
  <c r="D844" i="4"/>
  <c r="C844" i="4"/>
  <c r="B844" i="4"/>
  <c r="A844" i="4"/>
  <c r="H843" i="4"/>
  <c r="G843" i="4"/>
  <c r="F843" i="4"/>
  <c r="E843" i="4"/>
  <c r="D843" i="4"/>
  <c r="C843" i="4"/>
  <c r="I843" i="4" s="1"/>
  <c r="A843" i="4"/>
  <c r="B843" i="4" s="1"/>
  <c r="H842" i="4"/>
  <c r="G842" i="4"/>
  <c r="F842" i="4"/>
  <c r="E842" i="4"/>
  <c r="D842" i="4"/>
  <c r="C842" i="4"/>
  <c r="A842" i="4"/>
  <c r="B842" i="4" s="1"/>
  <c r="I842" i="4" s="1"/>
  <c r="H841" i="4"/>
  <c r="G841" i="4"/>
  <c r="F841" i="4"/>
  <c r="E841" i="4"/>
  <c r="D841" i="4"/>
  <c r="C841" i="4"/>
  <c r="A841" i="4"/>
  <c r="B841" i="4" s="1"/>
  <c r="I841" i="4" s="1"/>
  <c r="H840" i="4"/>
  <c r="G840" i="4"/>
  <c r="F840" i="4"/>
  <c r="E840" i="4"/>
  <c r="D840" i="4"/>
  <c r="C840" i="4"/>
  <c r="B840" i="4"/>
  <c r="I840" i="4" s="1"/>
  <c r="A840" i="4"/>
  <c r="H839" i="4"/>
  <c r="G839" i="4"/>
  <c r="F839" i="4"/>
  <c r="E839" i="4"/>
  <c r="D839" i="4"/>
  <c r="C839" i="4"/>
  <c r="B839" i="4"/>
  <c r="I839" i="4" s="1"/>
  <c r="A839" i="4"/>
  <c r="H838" i="4"/>
  <c r="G838" i="4"/>
  <c r="F838" i="4"/>
  <c r="E838" i="4"/>
  <c r="D838" i="4"/>
  <c r="C838" i="4"/>
  <c r="A838" i="4"/>
  <c r="B838" i="4" s="1"/>
  <c r="I838" i="4" s="1"/>
  <c r="H837" i="4"/>
  <c r="G837" i="4"/>
  <c r="F837" i="4"/>
  <c r="E837" i="4"/>
  <c r="D837" i="4"/>
  <c r="C837" i="4"/>
  <c r="B837" i="4"/>
  <c r="A837" i="4"/>
  <c r="H836" i="4"/>
  <c r="G836" i="4"/>
  <c r="F836" i="4"/>
  <c r="E836" i="4"/>
  <c r="D836" i="4"/>
  <c r="C836" i="4"/>
  <c r="A836" i="4"/>
  <c r="B836" i="4" s="1"/>
  <c r="I836" i="4" s="1"/>
  <c r="H835" i="4"/>
  <c r="G835" i="4"/>
  <c r="F835" i="4"/>
  <c r="E835" i="4"/>
  <c r="D835" i="4"/>
  <c r="C835" i="4"/>
  <c r="B835" i="4"/>
  <c r="I835" i="4" s="1"/>
  <c r="A835" i="4"/>
  <c r="H834" i="4"/>
  <c r="G834" i="4"/>
  <c r="F834" i="4"/>
  <c r="E834" i="4"/>
  <c r="D834" i="4"/>
  <c r="C834" i="4"/>
  <c r="B834" i="4"/>
  <c r="I834" i="4" s="1"/>
  <c r="A834" i="4"/>
  <c r="H833" i="4"/>
  <c r="G833" i="4"/>
  <c r="F833" i="4"/>
  <c r="E833" i="4"/>
  <c r="D833" i="4"/>
  <c r="C833" i="4"/>
  <c r="A833" i="4"/>
  <c r="B833" i="4" s="1"/>
  <c r="H832" i="4"/>
  <c r="G832" i="4"/>
  <c r="F832" i="4"/>
  <c r="E832" i="4"/>
  <c r="D832" i="4"/>
  <c r="C832" i="4"/>
  <c r="B832" i="4"/>
  <c r="I832" i="4" s="1"/>
  <c r="A832" i="4"/>
  <c r="H831" i="4"/>
  <c r="G831" i="4"/>
  <c r="F831" i="4"/>
  <c r="E831" i="4"/>
  <c r="D831" i="4"/>
  <c r="C831" i="4"/>
  <c r="B831" i="4"/>
  <c r="A831" i="4"/>
  <c r="H830" i="4"/>
  <c r="G830" i="4"/>
  <c r="F830" i="4"/>
  <c r="E830" i="4"/>
  <c r="D830" i="4"/>
  <c r="C830" i="4"/>
  <c r="A830" i="4"/>
  <c r="B830" i="4" s="1"/>
  <c r="I830" i="4" s="1"/>
  <c r="H829" i="4"/>
  <c r="G829" i="4"/>
  <c r="F829" i="4"/>
  <c r="E829" i="4"/>
  <c r="D829" i="4"/>
  <c r="C829" i="4"/>
  <c r="B829" i="4"/>
  <c r="I829" i="4" s="1"/>
  <c r="A829" i="4"/>
  <c r="H828" i="4"/>
  <c r="G828" i="4"/>
  <c r="F828" i="4"/>
  <c r="E828" i="4"/>
  <c r="D828" i="4"/>
  <c r="C828" i="4"/>
  <c r="A828" i="4"/>
  <c r="B828" i="4" s="1"/>
  <c r="I828" i="4" s="1"/>
  <c r="H827" i="4"/>
  <c r="G827" i="4"/>
  <c r="F827" i="4"/>
  <c r="E827" i="4"/>
  <c r="D827" i="4"/>
  <c r="C827" i="4"/>
  <c r="B827" i="4"/>
  <c r="A827" i="4"/>
  <c r="H826" i="4"/>
  <c r="G826" i="4"/>
  <c r="F826" i="4"/>
  <c r="E826" i="4"/>
  <c r="D826" i="4"/>
  <c r="C826" i="4"/>
  <c r="A826" i="4"/>
  <c r="B826" i="4" s="1"/>
  <c r="I826" i="4" s="1"/>
  <c r="H825" i="4"/>
  <c r="G825" i="4"/>
  <c r="F825" i="4"/>
  <c r="E825" i="4"/>
  <c r="D825" i="4"/>
  <c r="C825" i="4"/>
  <c r="B825" i="4"/>
  <c r="I825" i="4" s="1"/>
  <c r="A825" i="4"/>
  <c r="H824" i="4"/>
  <c r="G824" i="4"/>
  <c r="F824" i="4"/>
  <c r="E824" i="4"/>
  <c r="D824" i="4"/>
  <c r="C824" i="4"/>
  <c r="B824" i="4"/>
  <c r="A824" i="4"/>
  <c r="H823" i="4"/>
  <c r="G823" i="4"/>
  <c r="F823" i="4"/>
  <c r="E823" i="4"/>
  <c r="D823" i="4"/>
  <c r="C823" i="4"/>
  <c r="B823" i="4"/>
  <c r="I823" i="4" s="1"/>
  <c r="A823" i="4"/>
  <c r="H822" i="4"/>
  <c r="G822" i="4"/>
  <c r="F822" i="4"/>
  <c r="E822" i="4"/>
  <c r="D822" i="4"/>
  <c r="C822" i="4"/>
  <c r="A822" i="4"/>
  <c r="B822" i="4" s="1"/>
  <c r="H821" i="4"/>
  <c r="G821" i="4"/>
  <c r="F821" i="4"/>
  <c r="E821" i="4"/>
  <c r="D821" i="4"/>
  <c r="C821" i="4"/>
  <c r="A821" i="4"/>
  <c r="B821" i="4" s="1"/>
  <c r="I821" i="4" s="1"/>
  <c r="H820" i="4"/>
  <c r="G820" i="4"/>
  <c r="F820" i="4"/>
  <c r="E820" i="4"/>
  <c r="D820" i="4"/>
  <c r="C820" i="4"/>
  <c r="B820" i="4"/>
  <c r="A820" i="4"/>
  <c r="H819" i="4"/>
  <c r="G819" i="4"/>
  <c r="F819" i="4"/>
  <c r="E819" i="4"/>
  <c r="D819" i="4"/>
  <c r="C819" i="4"/>
  <c r="A819" i="4"/>
  <c r="B819" i="4" s="1"/>
  <c r="H818" i="4"/>
  <c r="G818" i="4"/>
  <c r="F818" i="4"/>
  <c r="E818" i="4"/>
  <c r="D818" i="4"/>
  <c r="C818" i="4"/>
  <c r="A818" i="4"/>
  <c r="B818" i="4" s="1"/>
  <c r="I818" i="4" s="1"/>
  <c r="H817" i="4"/>
  <c r="G817" i="4"/>
  <c r="F817" i="4"/>
  <c r="E817" i="4"/>
  <c r="D817" i="4"/>
  <c r="C817" i="4"/>
  <c r="B817" i="4"/>
  <c r="A817" i="4"/>
  <c r="H816" i="4"/>
  <c r="G816" i="4"/>
  <c r="F816" i="4"/>
  <c r="E816" i="4"/>
  <c r="D816" i="4"/>
  <c r="C816" i="4"/>
  <c r="A816" i="4"/>
  <c r="B816" i="4" s="1"/>
  <c r="H815" i="4"/>
  <c r="G815" i="4"/>
  <c r="F815" i="4"/>
  <c r="E815" i="4"/>
  <c r="D815" i="4"/>
  <c r="C815" i="4"/>
  <c r="B815" i="4"/>
  <c r="A815" i="4"/>
  <c r="H814" i="4"/>
  <c r="G814" i="4"/>
  <c r="F814" i="4"/>
  <c r="E814" i="4"/>
  <c r="D814" i="4"/>
  <c r="C814" i="4"/>
  <c r="A814" i="4"/>
  <c r="B814" i="4" s="1"/>
  <c r="I814" i="4" s="1"/>
  <c r="H813" i="4"/>
  <c r="G813" i="4"/>
  <c r="F813" i="4"/>
  <c r="E813" i="4"/>
  <c r="D813" i="4"/>
  <c r="C813" i="4"/>
  <c r="B813" i="4"/>
  <c r="I813" i="4" s="1"/>
  <c r="A813" i="4"/>
  <c r="H812" i="4"/>
  <c r="G812" i="4"/>
  <c r="F812" i="4"/>
  <c r="E812" i="4"/>
  <c r="D812" i="4"/>
  <c r="C812" i="4"/>
  <c r="B812" i="4"/>
  <c r="I812" i="4" s="1"/>
  <c r="A812" i="4"/>
  <c r="H811" i="4"/>
  <c r="G811" i="4"/>
  <c r="F811" i="4"/>
  <c r="E811" i="4"/>
  <c r="D811" i="4"/>
  <c r="C811" i="4"/>
  <c r="A811" i="4"/>
  <c r="B811" i="4" s="1"/>
  <c r="I811" i="4" s="1"/>
  <c r="H810" i="4"/>
  <c r="G810" i="4"/>
  <c r="F810" i="4"/>
  <c r="E810" i="4"/>
  <c r="D810" i="4"/>
  <c r="C810" i="4"/>
  <c r="B810" i="4"/>
  <c r="A810" i="4"/>
  <c r="H809" i="4"/>
  <c r="G809" i="4"/>
  <c r="F809" i="4"/>
  <c r="E809" i="4"/>
  <c r="D809" i="4"/>
  <c r="C809" i="4"/>
  <c r="B809" i="4"/>
  <c r="A809" i="4"/>
  <c r="H808" i="4"/>
  <c r="G808" i="4"/>
  <c r="F808" i="4"/>
  <c r="E808" i="4"/>
  <c r="D808" i="4"/>
  <c r="C808" i="4"/>
  <c r="A808" i="4"/>
  <c r="B808" i="4" s="1"/>
  <c r="I808" i="4" s="1"/>
  <c r="H807" i="4"/>
  <c r="G807" i="4"/>
  <c r="F807" i="4"/>
  <c r="E807" i="4"/>
  <c r="D807" i="4"/>
  <c r="C807" i="4"/>
  <c r="B807" i="4"/>
  <c r="I807" i="4" s="1"/>
  <c r="A807" i="4"/>
  <c r="H806" i="4"/>
  <c r="G806" i="4"/>
  <c r="F806" i="4"/>
  <c r="E806" i="4"/>
  <c r="D806" i="4"/>
  <c r="C806" i="4"/>
  <c r="A806" i="4"/>
  <c r="B806" i="4" s="1"/>
  <c r="H805" i="4"/>
  <c r="G805" i="4"/>
  <c r="F805" i="4"/>
  <c r="E805" i="4"/>
  <c r="D805" i="4"/>
  <c r="C805" i="4"/>
  <c r="B805" i="4"/>
  <c r="A805" i="4"/>
  <c r="I804" i="4"/>
  <c r="H804" i="4"/>
  <c r="G804" i="4"/>
  <c r="F804" i="4"/>
  <c r="E804" i="4"/>
  <c r="D804" i="4"/>
  <c r="C804" i="4"/>
  <c r="A804" i="4"/>
  <c r="B804" i="4" s="1"/>
  <c r="I803" i="4"/>
  <c r="H803" i="4"/>
  <c r="G803" i="4"/>
  <c r="F803" i="4"/>
  <c r="E803" i="4"/>
  <c r="D803" i="4"/>
  <c r="C803" i="4"/>
  <c r="A803" i="4"/>
  <c r="B803" i="4" s="1"/>
  <c r="H802" i="4"/>
  <c r="G802" i="4"/>
  <c r="F802" i="4"/>
  <c r="E802" i="4"/>
  <c r="D802" i="4"/>
  <c r="C802" i="4"/>
  <c r="B802" i="4"/>
  <c r="A802" i="4"/>
  <c r="H801" i="4"/>
  <c r="G801" i="4"/>
  <c r="F801" i="4"/>
  <c r="E801" i="4"/>
  <c r="D801" i="4"/>
  <c r="C801" i="4"/>
  <c r="A801" i="4"/>
  <c r="B801" i="4" s="1"/>
  <c r="I801" i="4" s="1"/>
  <c r="H800" i="4"/>
  <c r="G800" i="4"/>
  <c r="F800" i="4"/>
  <c r="E800" i="4"/>
  <c r="D800" i="4"/>
  <c r="C800" i="4"/>
  <c r="B800" i="4"/>
  <c r="I800" i="4" s="1"/>
  <c r="A800" i="4"/>
  <c r="H799" i="4"/>
  <c r="G799" i="4"/>
  <c r="F799" i="4"/>
  <c r="E799" i="4"/>
  <c r="D799" i="4"/>
  <c r="C799" i="4"/>
  <c r="B799" i="4"/>
  <c r="I799" i="4" s="1"/>
  <c r="A799" i="4"/>
  <c r="H798" i="4"/>
  <c r="G798" i="4"/>
  <c r="F798" i="4"/>
  <c r="E798" i="4"/>
  <c r="D798" i="4"/>
  <c r="C798" i="4"/>
  <c r="A798" i="4"/>
  <c r="B798" i="4" s="1"/>
  <c r="I798" i="4" s="1"/>
  <c r="H797" i="4"/>
  <c r="G797" i="4"/>
  <c r="F797" i="4"/>
  <c r="E797" i="4"/>
  <c r="D797" i="4"/>
  <c r="C797" i="4"/>
  <c r="B797" i="4"/>
  <c r="I797" i="4" s="1"/>
  <c r="A797" i="4"/>
  <c r="H796" i="4"/>
  <c r="G796" i="4"/>
  <c r="F796" i="4"/>
  <c r="E796" i="4"/>
  <c r="D796" i="4"/>
  <c r="C796" i="4"/>
  <c r="A796" i="4"/>
  <c r="B796" i="4" s="1"/>
  <c r="I796" i="4" s="1"/>
  <c r="H795" i="4"/>
  <c r="G795" i="4"/>
  <c r="F795" i="4"/>
  <c r="E795" i="4"/>
  <c r="D795" i="4"/>
  <c r="C795" i="4"/>
  <c r="B795" i="4"/>
  <c r="A795" i="4"/>
  <c r="I794" i="4"/>
  <c r="H794" i="4"/>
  <c r="G794" i="4"/>
  <c r="F794" i="4"/>
  <c r="E794" i="4"/>
  <c r="D794" i="4"/>
  <c r="C794" i="4"/>
  <c r="A794" i="4"/>
  <c r="B794" i="4" s="1"/>
  <c r="I793" i="4"/>
  <c r="H793" i="4"/>
  <c r="G793" i="4"/>
  <c r="F793" i="4"/>
  <c r="E793" i="4"/>
  <c r="D793" i="4"/>
  <c r="C793" i="4"/>
  <c r="A793" i="4"/>
  <c r="B793" i="4" s="1"/>
  <c r="H792" i="4"/>
  <c r="G792" i="4"/>
  <c r="F792" i="4"/>
  <c r="E792" i="4"/>
  <c r="D792" i="4"/>
  <c r="C792" i="4"/>
  <c r="B792" i="4"/>
  <c r="A792" i="4"/>
  <c r="H791" i="4"/>
  <c r="G791" i="4"/>
  <c r="F791" i="4"/>
  <c r="E791" i="4"/>
  <c r="D791" i="4"/>
  <c r="C791" i="4"/>
  <c r="B791" i="4"/>
  <c r="A791" i="4"/>
  <c r="H790" i="4"/>
  <c r="G790" i="4"/>
  <c r="F790" i="4"/>
  <c r="I790" i="4" s="1"/>
  <c r="E790" i="4"/>
  <c r="D790" i="4"/>
  <c r="C790" i="4"/>
  <c r="A790" i="4"/>
  <c r="B790" i="4" s="1"/>
  <c r="H789" i="4"/>
  <c r="G789" i="4"/>
  <c r="F789" i="4"/>
  <c r="E789" i="4"/>
  <c r="D789" i="4"/>
  <c r="C789" i="4"/>
  <c r="B789" i="4"/>
  <c r="I789" i="4" s="1"/>
  <c r="A789" i="4"/>
  <c r="H788" i="4"/>
  <c r="G788" i="4"/>
  <c r="F788" i="4"/>
  <c r="E788" i="4"/>
  <c r="D788" i="4"/>
  <c r="C788" i="4"/>
  <c r="B788" i="4"/>
  <c r="A788" i="4"/>
  <c r="H787" i="4"/>
  <c r="G787" i="4"/>
  <c r="F787" i="4"/>
  <c r="E787" i="4"/>
  <c r="D787" i="4"/>
  <c r="C787" i="4"/>
  <c r="A787" i="4"/>
  <c r="B787" i="4" s="1"/>
  <c r="H786" i="4"/>
  <c r="G786" i="4"/>
  <c r="F786" i="4"/>
  <c r="E786" i="4"/>
  <c r="D786" i="4"/>
  <c r="C786" i="4"/>
  <c r="A786" i="4"/>
  <c r="B786" i="4" s="1"/>
  <c r="I786" i="4" s="1"/>
  <c r="H785" i="4"/>
  <c r="G785" i="4"/>
  <c r="F785" i="4"/>
  <c r="E785" i="4"/>
  <c r="D785" i="4"/>
  <c r="C785" i="4"/>
  <c r="B785" i="4"/>
  <c r="A785" i="4"/>
  <c r="H784" i="4"/>
  <c r="G784" i="4"/>
  <c r="F784" i="4"/>
  <c r="E784" i="4"/>
  <c r="D784" i="4"/>
  <c r="C784" i="4"/>
  <c r="A784" i="4"/>
  <c r="B784" i="4" s="1"/>
  <c r="H783" i="4"/>
  <c r="G783" i="4"/>
  <c r="F783" i="4"/>
  <c r="E783" i="4"/>
  <c r="D783" i="4"/>
  <c r="C783" i="4"/>
  <c r="B783" i="4"/>
  <c r="A783" i="4"/>
  <c r="H782" i="4"/>
  <c r="G782" i="4"/>
  <c r="F782" i="4"/>
  <c r="E782" i="4"/>
  <c r="D782" i="4"/>
  <c r="C782" i="4"/>
  <c r="A782" i="4"/>
  <c r="B782" i="4" s="1"/>
  <c r="I782" i="4" s="1"/>
  <c r="H781" i="4"/>
  <c r="G781" i="4"/>
  <c r="F781" i="4"/>
  <c r="E781" i="4"/>
  <c r="D781" i="4"/>
  <c r="C781" i="4"/>
  <c r="B781" i="4"/>
  <c r="A781" i="4"/>
  <c r="H780" i="4"/>
  <c r="G780" i="4"/>
  <c r="F780" i="4"/>
  <c r="E780" i="4"/>
  <c r="D780" i="4"/>
  <c r="C780" i="4"/>
  <c r="B780" i="4"/>
  <c r="A780" i="4"/>
  <c r="H779" i="4"/>
  <c r="G779" i="4"/>
  <c r="F779" i="4"/>
  <c r="E779" i="4"/>
  <c r="D779" i="4"/>
  <c r="C779" i="4"/>
  <c r="A779" i="4"/>
  <c r="B779" i="4" s="1"/>
  <c r="I778" i="4"/>
  <c r="H778" i="4"/>
  <c r="G778" i="4"/>
  <c r="F778" i="4"/>
  <c r="E778" i="4"/>
  <c r="D778" i="4"/>
  <c r="C778" i="4"/>
  <c r="A778" i="4"/>
  <c r="B778" i="4" s="1"/>
  <c r="H777" i="4"/>
  <c r="G777" i="4"/>
  <c r="F777" i="4"/>
  <c r="E777" i="4"/>
  <c r="D777" i="4"/>
  <c r="C777" i="4"/>
  <c r="B777" i="4"/>
  <c r="I777" i="4" s="1"/>
  <c r="A777" i="4"/>
  <c r="H776" i="4"/>
  <c r="G776" i="4"/>
  <c r="F776" i="4"/>
  <c r="E776" i="4"/>
  <c r="D776" i="4"/>
  <c r="C776" i="4"/>
  <c r="B776" i="4"/>
  <c r="A776" i="4"/>
  <c r="H775" i="4"/>
  <c r="G775" i="4"/>
  <c r="F775" i="4"/>
  <c r="E775" i="4"/>
  <c r="D775" i="4"/>
  <c r="C775" i="4"/>
  <c r="B775" i="4"/>
  <c r="A775" i="4"/>
  <c r="H774" i="4"/>
  <c r="G774" i="4"/>
  <c r="F774" i="4"/>
  <c r="E774" i="4"/>
  <c r="D774" i="4"/>
  <c r="C774" i="4"/>
  <c r="A774" i="4"/>
  <c r="B774" i="4" s="1"/>
  <c r="H773" i="4"/>
  <c r="G773" i="4"/>
  <c r="F773" i="4"/>
  <c r="E773" i="4"/>
  <c r="D773" i="4"/>
  <c r="C773" i="4"/>
  <c r="B773" i="4"/>
  <c r="I773" i="4" s="1"/>
  <c r="A773" i="4"/>
  <c r="H772" i="4"/>
  <c r="G772" i="4"/>
  <c r="F772" i="4"/>
  <c r="E772" i="4"/>
  <c r="D772" i="4"/>
  <c r="C772" i="4"/>
  <c r="A772" i="4"/>
  <c r="B772" i="4" s="1"/>
  <c r="H771" i="4"/>
  <c r="G771" i="4"/>
  <c r="F771" i="4"/>
  <c r="E771" i="4"/>
  <c r="D771" i="4"/>
  <c r="C771" i="4"/>
  <c r="B771" i="4"/>
  <c r="I771" i="4" s="1"/>
  <c r="A771" i="4"/>
  <c r="H770" i="4"/>
  <c r="G770" i="4"/>
  <c r="F770" i="4"/>
  <c r="E770" i="4"/>
  <c r="D770" i="4"/>
  <c r="C770" i="4"/>
  <c r="A770" i="4"/>
  <c r="B770" i="4" s="1"/>
  <c r="I769" i="4"/>
  <c r="H769" i="4"/>
  <c r="G769" i="4"/>
  <c r="F769" i="4"/>
  <c r="E769" i="4"/>
  <c r="D769" i="4"/>
  <c r="C769" i="4"/>
  <c r="A769" i="4"/>
  <c r="B769" i="4" s="1"/>
  <c r="H768" i="4"/>
  <c r="G768" i="4"/>
  <c r="F768" i="4"/>
  <c r="E768" i="4"/>
  <c r="D768" i="4"/>
  <c r="C768" i="4"/>
  <c r="B768" i="4"/>
  <c r="I768" i="4" s="1"/>
  <c r="A768" i="4"/>
  <c r="H767" i="4"/>
  <c r="G767" i="4"/>
  <c r="F767" i="4"/>
  <c r="E767" i="4"/>
  <c r="D767" i="4"/>
  <c r="C767" i="4"/>
  <c r="B767" i="4"/>
  <c r="I767" i="4" s="1"/>
  <c r="A767" i="4"/>
  <c r="H766" i="4"/>
  <c r="G766" i="4"/>
  <c r="F766" i="4"/>
  <c r="E766" i="4"/>
  <c r="D766" i="4"/>
  <c r="C766" i="4"/>
  <c r="A766" i="4"/>
  <c r="B766" i="4" s="1"/>
  <c r="I766" i="4" s="1"/>
  <c r="H765" i="4"/>
  <c r="G765" i="4"/>
  <c r="F765" i="4"/>
  <c r="E765" i="4"/>
  <c r="D765" i="4"/>
  <c r="C765" i="4"/>
  <c r="B765" i="4"/>
  <c r="I765" i="4" s="1"/>
  <c r="A765" i="4"/>
  <c r="H764" i="4"/>
  <c r="G764" i="4"/>
  <c r="F764" i="4"/>
  <c r="E764" i="4"/>
  <c r="D764" i="4"/>
  <c r="C764" i="4"/>
  <c r="A764" i="4"/>
  <c r="B764" i="4" s="1"/>
  <c r="I764" i="4" s="1"/>
  <c r="H763" i="4"/>
  <c r="G763" i="4"/>
  <c r="F763" i="4"/>
  <c r="E763" i="4"/>
  <c r="D763" i="4"/>
  <c r="C763" i="4"/>
  <c r="B763" i="4"/>
  <c r="A763" i="4"/>
  <c r="I762" i="4"/>
  <c r="H762" i="4"/>
  <c r="G762" i="4"/>
  <c r="F762" i="4"/>
  <c r="E762" i="4"/>
  <c r="D762" i="4"/>
  <c r="C762" i="4"/>
  <c r="A762" i="4"/>
  <c r="B762" i="4" s="1"/>
  <c r="I761" i="4"/>
  <c r="H761" i="4"/>
  <c r="G761" i="4"/>
  <c r="F761" i="4"/>
  <c r="E761" i="4"/>
  <c r="D761" i="4"/>
  <c r="C761" i="4"/>
  <c r="A761" i="4"/>
  <c r="B761" i="4" s="1"/>
  <c r="H760" i="4"/>
  <c r="G760" i="4"/>
  <c r="F760" i="4"/>
  <c r="E760" i="4"/>
  <c r="D760" i="4"/>
  <c r="C760" i="4"/>
  <c r="B760" i="4"/>
  <c r="A760" i="4"/>
  <c r="H759" i="4"/>
  <c r="G759" i="4"/>
  <c r="F759" i="4"/>
  <c r="E759" i="4"/>
  <c r="D759" i="4"/>
  <c r="C759" i="4"/>
  <c r="B759" i="4"/>
  <c r="A759" i="4"/>
  <c r="H758" i="4"/>
  <c r="G758" i="4"/>
  <c r="F758" i="4"/>
  <c r="E758" i="4"/>
  <c r="D758" i="4"/>
  <c r="C758" i="4"/>
  <c r="A758" i="4"/>
  <c r="B758" i="4" s="1"/>
  <c r="H757" i="4"/>
  <c r="G757" i="4"/>
  <c r="F757" i="4"/>
  <c r="E757" i="4"/>
  <c r="D757" i="4"/>
  <c r="C757" i="4"/>
  <c r="B757" i="4"/>
  <c r="A757" i="4"/>
  <c r="H756" i="4"/>
  <c r="G756" i="4"/>
  <c r="F756" i="4"/>
  <c r="E756" i="4"/>
  <c r="D756" i="4"/>
  <c r="C756" i="4"/>
  <c r="A756" i="4"/>
  <c r="B756" i="4" s="1"/>
  <c r="I756" i="4" s="1"/>
  <c r="H755" i="4"/>
  <c r="G755" i="4"/>
  <c r="F755" i="4"/>
  <c r="E755" i="4"/>
  <c r="D755" i="4"/>
  <c r="C755" i="4"/>
  <c r="A755" i="4"/>
  <c r="B755" i="4" s="1"/>
  <c r="I755" i="4" s="1"/>
  <c r="H754" i="4"/>
  <c r="G754" i="4"/>
  <c r="F754" i="4"/>
  <c r="E754" i="4"/>
  <c r="D754" i="4"/>
  <c r="C754" i="4"/>
  <c r="B754" i="4"/>
  <c r="I754" i="4" s="1"/>
  <c r="A754" i="4"/>
  <c r="H753" i="4"/>
  <c r="G753" i="4"/>
  <c r="F753" i="4"/>
  <c r="E753" i="4"/>
  <c r="D753" i="4"/>
  <c r="C753" i="4"/>
  <c r="B753" i="4"/>
  <c r="A753" i="4"/>
  <c r="H752" i="4"/>
  <c r="G752" i="4"/>
  <c r="F752" i="4"/>
  <c r="E752" i="4"/>
  <c r="D752" i="4"/>
  <c r="C752" i="4"/>
  <c r="A752" i="4"/>
  <c r="B752" i="4" s="1"/>
  <c r="H751" i="4"/>
  <c r="G751" i="4"/>
  <c r="F751" i="4"/>
  <c r="E751" i="4"/>
  <c r="D751" i="4"/>
  <c r="C751" i="4"/>
  <c r="B751" i="4"/>
  <c r="A751" i="4"/>
  <c r="H750" i="4"/>
  <c r="G750" i="4"/>
  <c r="F750" i="4"/>
  <c r="E750" i="4"/>
  <c r="D750" i="4"/>
  <c r="C750" i="4"/>
  <c r="A750" i="4"/>
  <c r="B750" i="4" s="1"/>
  <c r="I750" i="4" s="1"/>
  <c r="H749" i="4"/>
  <c r="G749" i="4"/>
  <c r="F749" i="4"/>
  <c r="E749" i="4"/>
  <c r="D749" i="4"/>
  <c r="C749" i="4"/>
  <c r="B749" i="4"/>
  <c r="A749" i="4"/>
  <c r="H748" i="4"/>
  <c r="G748" i="4"/>
  <c r="F748" i="4"/>
  <c r="E748" i="4"/>
  <c r="D748" i="4"/>
  <c r="C748" i="4"/>
  <c r="A748" i="4"/>
  <c r="B748" i="4" s="1"/>
  <c r="H747" i="4"/>
  <c r="G747" i="4"/>
  <c r="F747" i="4"/>
  <c r="E747" i="4"/>
  <c r="D747" i="4"/>
  <c r="C747" i="4"/>
  <c r="A747" i="4"/>
  <c r="B747" i="4" s="1"/>
  <c r="I747" i="4" s="1"/>
  <c r="H746" i="4"/>
  <c r="G746" i="4"/>
  <c r="F746" i="4"/>
  <c r="E746" i="4"/>
  <c r="D746" i="4"/>
  <c r="C746" i="4"/>
  <c r="B746" i="4"/>
  <c r="I746" i="4" s="1"/>
  <c r="A746" i="4"/>
  <c r="H745" i="4"/>
  <c r="G745" i="4"/>
  <c r="F745" i="4"/>
  <c r="E745" i="4"/>
  <c r="D745" i="4"/>
  <c r="C745" i="4"/>
  <c r="B745" i="4"/>
  <c r="A745" i="4"/>
  <c r="H744" i="4"/>
  <c r="G744" i="4"/>
  <c r="F744" i="4"/>
  <c r="E744" i="4"/>
  <c r="D744" i="4"/>
  <c r="C744" i="4"/>
  <c r="A744" i="4"/>
  <c r="B744" i="4" s="1"/>
  <c r="I744" i="4" s="1"/>
  <c r="H743" i="4"/>
  <c r="G743" i="4"/>
  <c r="F743" i="4"/>
  <c r="E743" i="4"/>
  <c r="D743" i="4"/>
  <c r="C743" i="4"/>
  <c r="B743" i="4"/>
  <c r="A743" i="4"/>
  <c r="H742" i="4"/>
  <c r="G742" i="4"/>
  <c r="F742" i="4"/>
  <c r="E742" i="4"/>
  <c r="D742" i="4"/>
  <c r="C742" i="4"/>
  <c r="A742" i="4"/>
  <c r="B742" i="4" s="1"/>
  <c r="H741" i="4"/>
  <c r="G741" i="4"/>
  <c r="F741" i="4"/>
  <c r="E741" i="4"/>
  <c r="D741" i="4"/>
  <c r="C741" i="4"/>
  <c r="B741" i="4"/>
  <c r="A741" i="4"/>
  <c r="H740" i="4"/>
  <c r="G740" i="4"/>
  <c r="F740" i="4"/>
  <c r="E740" i="4"/>
  <c r="D740" i="4"/>
  <c r="C740" i="4"/>
  <c r="A740" i="4"/>
  <c r="B740" i="4" s="1"/>
  <c r="H739" i="4"/>
  <c r="G739" i="4"/>
  <c r="F739" i="4"/>
  <c r="E739" i="4"/>
  <c r="D739" i="4"/>
  <c r="C739" i="4"/>
  <c r="B739" i="4"/>
  <c r="A739" i="4"/>
  <c r="H738" i="4"/>
  <c r="G738" i="4"/>
  <c r="F738" i="4"/>
  <c r="E738" i="4"/>
  <c r="D738" i="4"/>
  <c r="C738" i="4"/>
  <c r="A738" i="4"/>
  <c r="B738" i="4" s="1"/>
  <c r="I738" i="4" s="1"/>
  <c r="H737" i="4"/>
  <c r="G737" i="4"/>
  <c r="F737" i="4"/>
  <c r="E737" i="4"/>
  <c r="D737" i="4"/>
  <c r="C737" i="4"/>
  <c r="B737" i="4"/>
  <c r="I737" i="4" s="1"/>
  <c r="A737" i="4"/>
  <c r="H736" i="4"/>
  <c r="G736" i="4"/>
  <c r="F736" i="4"/>
  <c r="E736" i="4"/>
  <c r="D736" i="4"/>
  <c r="C736" i="4"/>
  <c r="B736" i="4"/>
  <c r="I736" i="4" s="1"/>
  <c r="A736" i="4"/>
  <c r="H735" i="4"/>
  <c r="G735" i="4"/>
  <c r="F735" i="4"/>
  <c r="E735" i="4"/>
  <c r="D735" i="4"/>
  <c r="C735" i="4"/>
  <c r="B735" i="4"/>
  <c r="I735" i="4" s="1"/>
  <c r="A735" i="4"/>
  <c r="H734" i="4"/>
  <c r="G734" i="4"/>
  <c r="F734" i="4"/>
  <c r="E734" i="4"/>
  <c r="D734" i="4"/>
  <c r="C734" i="4"/>
  <c r="A734" i="4"/>
  <c r="B734" i="4" s="1"/>
  <c r="H733" i="4"/>
  <c r="G733" i="4"/>
  <c r="F733" i="4"/>
  <c r="E733" i="4"/>
  <c r="D733" i="4"/>
  <c r="C733" i="4"/>
  <c r="A733" i="4"/>
  <c r="B733" i="4" s="1"/>
  <c r="I732" i="4"/>
  <c r="H732" i="4"/>
  <c r="G732" i="4"/>
  <c r="F732" i="4"/>
  <c r="E732" i="4"/>
  <c r="D732" i="4"/>
  <c r="C732" i="4"/>
  <c r="A732" i="4"/>
  <c r="B732" i="4" s="1"/>
  <c r="H731" i="4"/>
  <c r="G731" i="4"/>
  <c r="F731" i="4"/>
  <c r="E731" i="4"/>
  <c r="D731" i="4"/>
  <c r="C731" i="4"/>
  <c r="B731" i="4"/>
  <c r="A731" i="4"/>
  <c r="H730" i="4"/>
  <c r="G730" i="4"/>
  <c r="F730" i="4"/>
  <c r="E730" i="4"/>
  <c r="D730" i="4"/>
  <c r="C730" i="4"/>
  <c r="A730" i="4"/>
  <c r="B730" i="4" s="1"/>
  <c r="I730" i="4" s="1"/>
  <c r="H729" i="4"/>
  <c r="G729" i="4"/>
  <c r="F729" i="4"/>
  <c r="E729" i="4"/>
  <c r="D729" i="4"/>
  <c r="C729" i="4"/>
  <c r="B729" i="4"/>
  <c r="A729" i="4"/>
  <c r="H728" i="4"/>
  <c r="G728" i="4"/>
  <c r="F728" i="4"/>
  <c r="E728" i="4"/>
  <c r="D728" i="4"/>
  <c r="C728" i="4"/>
  <c r="B728" i="4"/>
  <c r="A728" i="4"/>
  <c r="H727" i="4"/>
  <c r="G727" i="4"/>
  <c r="F727" i="4"/>
  <c r="E727" i="4"/>
  <c r="D727" i="4"/>
  <c r="C727" i="4"/>
  <c r="B727" i="4"/>
  <c r="A727" i="4"/>
  <c r="H726" i="4"/>
  <c r="G726" i="4"/>
  <c r="F726" i="4"/>
  <c r="E726" i="4"/>
  <c r="D726" i="4"/>
  <c r="C726" i="4"/>
  <c r="A726" i="4"/>
  <c r="B726" i="4" s="1"/>
  <c r="H725" i="4"/>
  <c r="G725" i="4"/>
  <c r="F725" i="4"/>
  <c r="E725" i="4"/>
  <c r="D725" i="4"/>
  <c r="C725" i="4"/>
  <c r="B725" i="4"/>
  <c r="A725" i="4"/>
  <c r="I724" i="4"/>
  <c r="H724" i="4"/>
  <c r="G724" i="4"/>
  <c r="F724" i="4"/>
  <c r="E724" i="4"/>
  <c r="D724" i="4"/>
  <c r="C724" i="4"/>
  <c r="A724" i="4"/>
  <c r="B724" i="4" s="1"/>
  <c r="H723" i="4"/>
  <c r="G723" i="4"/>
  <c r="F723" i="4"/>
  <c r="E723" i="4"/>
  <c r="D723" i="4"/>
  <c r="C723" i="4"/>
  <c r="A723" i="4"/>
  <c r="B723" i="4" s="1"/>
  <c r="I723" i="4" s="1"/>
  <c r="H722" i="4"/>
  <c r="G722" i="4"/>
  <c r="F722" i="4"/>
  <c r="E722" i="4"/>
  <c r="D722" i="4"/>
  <c r="C722" i="4"/>
  <c r="B722" i="4"/>
  <c r="A722" i="4"/>
  <c r="H721" i="4"/>
  <c r="G721" i="4"/>
  <c r="F721" i="4"/>
  <c r="E721" i="4"/>
  <c r="D721" i="4"/>
  <c r="C721" i="4"/>
  <c r="B721" i="4"/>
  <c r="I721" i="4" s="1"/>
  <c r="A721" i="4"/>
  <c r="H720" i="4"/>
  <c r="G720" i="4"/>
  <c r="F720" i="4"/>
  <c r="E720" i="4"/>
  <c r="D720" i="4"/>
  <c r="C720" i="4"/>
  <c r="A720" i="4"/>
  <c r="B720" i="4" s="1"/>
  <c r="H719" i="4"/>
  <c r="G719" i="4"/>
  <c r="F719" i="4"/>
  <c r="E719" i="4"/>
  <c r="D719" i="4"/>
  <c r="C719" i="4"/>
  <c r="B719" i="4"/>
  <c r="A719" i="4"/>
  <c r="H718" i="4"/>
  <c r="G718" i="4"/>
  <c r="F718" i="4"/>
  <c r="E718" i="4"/>
  <c r="D718" i="4"/>
  <c r="C718" i="4"/>
  <c r="A718" i="4"/>
  <c r="B718" i="4" s="1"/>
  <c r="H717" i="4"/>
  <c r="G717" i="4"/>
  <c r="F717" i="4"/>
  <c r="E717" i="4"/>
  <c r="D717" i="4"/>
  <c r="C717" i="4"/>
  <c r="B717" i="4"/>
  <c r="A717" i="4"/>
  <c r="I716" i="4"/>
  <c r="H716" i="4"/>
  <c r="G716" i="4"/>
  <c r="F716" i="4"/>
  <c r="E716" i="4"/>
  <c r="D716" i="4"/>
  <c r="C716" i="4"/>
  <c r="A716" i="4"/>
  <c r="B716" i="4" s="1"/>
  <c r="H715" i="4"/>
  <c r="G715" i="4"/>
  <c r="F715" i="4"/>
  <c r="E715" i="4"/>
  <c r="D715" i="4"/>
  <c r="C715" i="4"/>
  <c r="B715" i="4"/>
  <c r="I715" i="4" s="1"/>
  <c r="A715" i="4"/>
  <c r="H714" i="4"/>
  <c r="G714" i="4"/>
  <c r="F714" i="4"/>
  <c r="E714" i="4"/>
  <c r="D714" i="4"/>
  <c r="C714" i="4"/>
  <c r="B714" i="4"/>
  <c r="A714" i="4"/>
  <c r="H713" i="4"/>
  <c r="G713" i="4"/>
  <c r="F713" i="4"/>
  <c r="E713" i="4"/>
  <c r="D713" i="4"/>
  <c r="C713" i="4"/>
  <c r="B713" i="4"/>
  <c r="I713" i="4" s="1"/>
  <c r="A713" i="4"/>
  <c r="I712" i="4"/>
  <c r="H712" i="4"/>
  <c r="G712" i="4"/>
  <c r="F712" i="4"/>
  <c r="E712" i="4"/>
  <c r="D712" i="4"/>
  <c r="C712" i="4"/>
  <c r="A712" i="4"/>
  <c r="B712" i="4" s="1"/>
  <c r="H711" i="4"/>
  <c r="G711" i="4"/>
  <c r="F711" i="4"/>
  <c r="E711" i="4"/>
  <c r="D711" i="4"/>
  <c r="C711" i="4"/>
  <c r="B711" i="4"/>
  <c r="A711" i="4"/>
  <c r="H710" i="4"/>
  <c r="G710" i="4"/>
  <c r="F710" i="4"/>
  <c r="E710" i="4"/>
  <c r="D710" i="4"/>
  <c r="C710" i="4"/>
  <c r="A710" i="4"/>
  <c r="B710" i="4" s="1"/>
  <c r="H709" i="4"/>
  <c r="G709" i="4"/>
  <c r="F709" i="4"/>
  <c r="E709" i="4"/>
  <c r="D709" i="4"/>
  <c r="C709" i="4"/>
  <c r="B709" i="4"/>
  <c r="A709" i="4"/>
  <c r="H708" i="4"/>
  <c r="G708" i="4"/>
  <c r="F708" i="4"/>
  <c r="E708" i="4"/>
  <c r="I708" i="4" s="1"/>
  <c r="D708" i="4"/>
  <c r="C708" i="4"/>
  <c r="A708" i="4"/>
  <c r="B708" i="4" s="1"/>
  <c r="H707" i="4"/>
  <c r="G707" i="4"/>
  <c r="F707" i="4"/>
  <c r="E707" i="4"/>
  <c r="D707" i="4"/>
  <c r="C707" i="4"/>
  <c r="A707" i="4"/>
  <c r="B707" i="4" s="1"/>
  <c r="I707" i="4" s="1"/>
  <c r="H706" i="4"/>
  <c r="G706" i="4"/>
  <c r="F706" i="4"/>
  <c r="E706" i="4"/>
  <c r="D706" i="4"/>
  <c r="C706" i="4"/>
  <c r="B706" i="4"/>
  <c r="I706" i="4" s="1"/>
  <c r="A706" i="4"/>
  <c r="H705" i="4"/>
  <c r="G705" i="4"/>
  <c r="F705" i="4"/>
  <c r="E705" i="4"/>
  <c r="D705" i="4"/>
  <c r="C705" i="4"/>
  <c r="B705" i="4"/>
  <c r="I705" i="4" s="1"/>
  <c r="A705" i="4"/>
  <c r="H704" i="4"/>
  <c r="G704" i="4"/>
  <c r="F704" i="4"/>
  <c r="E704" i="4"/>
  <c r="D704" i="4"/>
  <c r="C704" i="4"/>
  <c r="B704" i="4"/>
  <c r="I704" i="4" s="1"/>
  <c r="A704" i="4"/>
  <c r="H703" i="4"/>
  <c r="G703" i="4"/>
  <c r="F703" i="4"/>
  <c r="E703" i="4"/>
  <c r="D703" i="4"/>
  <c r="C703" i="4"/>
  <c r="B703" i="4"/>
  <c r="A703" i="4"/>
  <c r="I702" i="4"/>
  <c r="H702" i="4"/>
  <c r="G702" i="4"/>
  <c r="F702" i="4"/>
  <c r="E702" i="4"/>
  <c r="D702" i="4"/>
  <c r="C702" i="4"/>
  <c r="A702" i="4"/>
  <c r="B702" i="4" s="1"/>
  <c r="I701" i="4"/>
  <c r="H701" i="4"/>
  <c r="G701" i="4"/>
  <c r="F701" i="4"/>
  <c r="E701" i="4"/>
  <c r="D701" i="4"/>
  <c r="C701" i="4"/>
  <c r="A701" i="4"/>
  <c r="B701" i="4" s="1"/>
  <c r="H700" i="4"/>
  <c r="G700" i="4"/>
  <c r="F700" i="4"/>
  <c r="E700" i="4"/>
  <c r="D700" i="4"/>
  <c r="C700" i="4"/>
  <c r="B700" i="4"/>
  <c r="A700" i="4"/>
  <c r="H699" i="4"/>
  <c r="G699" i="4"/>
  <c r="F699" i="4"/>
  <c r="E699" i="4"/>
  <c r="D699" i="4"/>
  <c r="C699" i="4"/>
  <c r="B699" i="4"/>
  <c r="I699" i="4" s="1"/>
  <c r="A699" i="4"/>
  <c r="H698" i="4"/>
  <c r="G698" i="4"/>
  <c r="F698" i="4"/>
  <c r="E698" i="4"/>
  <c r="D698" i="4"/>
  <c r="C698" i="4"/>
  <c r="A698" i="4"/>
  <c r="B698" i="4" s="1"/>
  <c r="H697" i="4"/>
  <c r="G697" i="4"/>
  <c r="F697" i="4"/>
  <c r="E697" i="4"/>
  <c r="D697" i="4"/>
  <c r="C697" i="4"/>
  <c r="B697" i="4"/>
  <c r="A697" i="4"/>
  <c r="H696" i="4"/>
  <c r="G696" i="4"/>
  <c r="F696" i="4"/>
  <c r="E696" i="4"/>
  <c r="D696" i="4"/>
  <c r="C696" i="4"/>
  <c r="B696" i="4"/>
  <c r="I696" i="4" s="1"/>
  <c r="A696" i="4"/>
  <c r="H695" i="4"/>
  <c r="G695" i="4"/>
  <c r="F695" i="4"/>
  <c r="E695" i="4"/>
  <c r="D695" i="4"/>
  <c r="C695" i="4"/>
  <c r="B695" i="4"/>
  <c r="I695" i="4" s="1"/>
  <c r="A695" i="4"/>
  <c r="H694" i="4"/>
  <c r="G694" i="4"/>
  <c r="F694" i="4"/>
  <c r="E694" i="4"/>
  <c r="D694" i="4"/>
  <c r="C694" i="4"/>
  <c r="I694" i="4" s="1"/>
  <c r="A694" i="4"/>
  <c r="B694" i="4" s="1"/>
  <c r="H693" i="4"/>
  <c r="G693" i="4"/>
  <c r="F693" i="4"/>
  <c r="E693" i="4"/>
  <c r="D693" i="4"/>
  <c r="C693" i="4"/>
  <c r="A693" i="4"/>
  <c r="B693" i="4" s="1"/>
  <c r="I693" i="4" s="1"/>
  <c r="H692" i="4"/>
  <c r="G692" i="4"/>
  <c r="F692" i="4"/>
  <c r="E692" i="4"/>
  <c r="D692" i="4"/>
  <c r="C692" i="4"/>
  <c r="B692" i="4"/>
  <c r="I692" i="4" s="1"/>
  <c r="A692" i="4"/>
  <c r="H691" i="4"/>
  <c r="G691" i="4"/>
  <c r="F691" i="4"/>
  <c r="E691" i="4"/>
  <c r="D691" i="4"/>
  <c r="C691" i="4"/>
  <c r="B691" i="4"/>
  <c r="I691" i="4" s="1"/>
  <c r="A691" i="4"/>
  <c r="H690" i="4"/>
  <c r="G690" i="4"/>
  <c r="F690" i="4"/>
  <c r="E690" i="4"/>
  <c r="D690" i="4"/>
  <c r="C690" i="4"/>
  <c r="B690" i="4"/>
  <c r="A690" i="4"/>
  <c r="H689" i="4"/>
  <c r="G689" i="4"/>
  <c r="F689" i="4"/>
  <c r="E689" i="4"/>
  <c r="D689" i="4"/>
  <c r="C689" i="4"/>
  <c r="B689" i="4"/>
  <c r="A689" i="4"/>
  <c r="H688" i="4"/>
  <c r="G688" i="4"/>
  <c r="F688" i="4"/>
  <c r="E688" i="4"/>
  <c r="D688" i="4"/>
  <c r="I688" i="4" s="1"/>
  <c r="C688" i="4"/>
  <c r="A688" i="4"/>
  <c r="B688" i="4" s="1"/>
  <c r="H687" i="4"/>
  <c r="G687" i="4"/>
  <c r="F687" i="4"/>
  <c r="E687" i="4"/>
  <c r="D687" i="4"/>
  <c r="C687" i="4"/>
  <c r="B687" i="4"/>
  <c r="A687" i="4"/>
  <c r="H686" i="4"/>
  <c r="G686" i="4"/>
  <c r="F686" i="4"/>
  <c r="E686" i="4"/>
  <c r="D686" i="4"/>
  <c r="I686" i="4" s="1"/>
  <c r="C686" i="4"/>
  <c r="A686" i="4"/>
  <c r="B686" i="4" s="1"/>
  <c r="H685" i="4"/>
  <c r="G685" i="4"/>
  <c r="F685" i="4"/>
  <c r="E685" i="4"/>
  <c r="D685" i="4"/>
  <c r="I685" i="4" s="1"/>
  <c r="C685" i="4"/>
  <c r="A685" i="4"/>
  <c r="B685" i="4" s="1"/>
  <c r="H684" i="4"/>
  <c r="G684" i="4"/>
  <c r="F684" i="4"/>
  <c r="E684" i="4"/>
  <c r="D684" i="4"/>
  <c r="C684" i="4"/>
  <c r="A684" i="4"/>
  <c r="B684" i="4" s="1"/>
  <c r="I684" i="4" s="1"/>
  <c r="H683" i="4"/>
  <c r="G683" i="4"/>
  <c r="F683" i="4"/>
  <c r="E683" i="4"/>
  <c r="D683" i="4"/>
  <c r="C683" i="4"/>
  <c r="A683" i="4"/>
  <c r="B683" i="4" s="1"/>
  <c r="I683" i="4" s="1"/>
  <c r="H682" i="4"/>
  <c r="G682" i="4"/>
  <c r="F682" i="4"/>
  <c r="E682" i="4"/>
  <c r="D682" i="4"/>
  <c r="C682" i="4"/>
  <c r="B682" i="4"/>
  <c r="A682" i="4"/>
  <c r="H681" i="4"/>
  <c r="G681" i="4"/>
  <c r="F681" i="4"/>
  <c r="E681" i="4"/>
  <c r="D681" i="4"/>
  <c r="C681" i="4"/>
  <c r="A681" i="4"/>
  <c r="B681" i="4" s="1"/>
  <c r="I681" i="4" s="1"/>
  <c r="H680" i="4"/>
  <c r="G680" i="4"/>
  <c r="F680" i="4"/>
  <c r="E680" i="4"/>
  <c r="D680" i="4"/>
  <c r="C680" i="4"/>
  <c r="B680" i="4"/>
  <c r="I680" i="4" s="1"/>
  <c r="A680" i="4"/>
  <c r="H679" i="4"/>
  <c r="G679" i="4"/>
  <c r="F679" i="4"/>
  <c r="E679" i="4"/>
  <c r="D679" i="4"/>
  <c r="C679" i="4"/>
  <c r="B679" i="4"/>
  <c r="I679" i="4" s="1"/>
  <c r="A679" i="4"/>
  <c r="H678" i="4"/>
  <c r="G678" i="4"/>
  <c r="F678" i="4"/>
  <c r="E678" i="4"/>
  <c r="D678" i="4"/>
  <c r="C678" i="4"/>
  <c r="A678" i="4"/>
  <c r="B678" i="4" s="1"/>
  <c r="I678" i="4" s="1"/>
  <c r="H677" i="4"/>
  <c r="G677" i="4"/>
  <c r="F677" i="4"/>
  <c r="E677" i="4"/>
  <c r="D677" i="4"/>
  <c r="C677" i="4"/>
  <c r="B677" i="4"/>
  <c r="A677" i="4"/>
  <c r="H676" i="4"/>
  <c r="G676" i="4"/>
  <c r="F676" i="4"/>
  <c r="E676" i="4"/>
  <c r="D676" i="4"/>
  <c r="C676" i="4"/>
  <c r="A676" i="4"/>
  <c r="B676" i="4" s="1"/>
  <c r="I676" i="4" s="1"/>
  <c r="H675" i="4"/>
  <c r="G675" i="4"/>
  <c r="F675" i="4"/>
  <c r="E675" i="4"/>
  <c r="D675" i="4"/>
  <c r="C675" i="4"/>
  <c r="B675" i="4"/>
  <c r="I675" i="4" s="1"/>
  <c r="A675" i="4"/>
  <c r="H674" i="4"/>
  <c r="G674" i="4"/>
  <c r="F674" i="4"/>
  <c r="E674" i="4"/>
  <c r="D674" i="4"/>
  <c r="C674" i="4"/>
  <c r="B674" i="4"/>
  <c r="I674" i="4" s="1"/>
  <c r="A674" i="4"/>
  <c r="H673" i="4"/>
  <c r="G673" i="4"/>
  <c r="F673" i="4"/>
  <c r="E673" i="4"/>
  <c r="D673" i="4"/>
  <c r="C673" i="4"/>
  <c r="B673" i="4"/>
  <c r="I673" i="4" s="1"/>
  <c r="A673" i="4"/>
  <c r="I672" i="4"/>
  <c r="H672" i="4"/>
  <c r="G672" i="4"/>
  <c r="F672" i="4"/>
  <c r="E672" i="4"/>
  <c r="D672" i="4"/>
  <c r="C672" i="4"/>
  <c r="A672" i="4"/>
  <c r="B672" i="4" s="1"/>
  <c r="H671" i="4"/>
  <c r="G671" i="4"/>
  <c r="F671" i="4"/>
  <c r="E671" i="4"/>
  <c r="D671" i="4"/>
  <c r="C671" i="4"/>
  <c r="B671" i="4"/>
  <c r="A671" i="4"/>
  <c r="H670" i="4"/>
  <c r="G670" i="4"/>
  <c r="F670" i="4"/>
  <c r="I670" i="4" s="1"/>
  <c r="E670" i="4"/>
  <c r="D670" i="4"/>
  <c r="C670" i="4"/>
  <c r="A670" i="4"/>
  <c r="B670" i="4" s="1"/>
  <c r="H669" i="4"/>
  <c r="G669" i="4"/>
  <c r="F669" i="4"/>
  <c r="E669" i="4"/>
  <c r="D669" i="4"/>
  <c r="C669" i="4"/>
  <c r="A669" i="4"/>
  <c r="B669" i="4" s="1"/>
  <c r="I669" i="4" s="1"/>
  <c r="H668" i="4"/>
  <c r="G668" i="4"/>
  <c r="F668" i="4"/>
  <c r="E668" i="4"/>
  <c r="D668" i="4"/>
  <c r="C668" i="4"/>
  <c r="B668" i="4"/>
  <c r="I668" i="4" s="1"/>
  <c r="A668" i="4"/>
  <c r="H667" i="4"/>
  <c r="G667" i="4"/>
  <c r="F667" i="4"/>
  <c r="E667" i="4"/>
  <c r="D667" i="4"/>
  <c r="C667" i="4"/>
  <c r="B667" i="4"/>
  <c r="A667" i="4"/>
  <c r="H666" i="4"/>
  <c r="G666" i="4"/>
  <c r="F666" i="4"/>
  <c r="E666" i="4"/>
  <c r="D666" i="4"/>
  <c r="C666" i="4"/>
  <c r="A666" i="4"/>
  <c r="B666" i="4" s="1"/>
  <c r="H665" i="4"/>
  <c r="G665" i="4"/>
  <c r="F665" i="4"/>
  <c r="E665" i="4"/>
  <c r="D665" i="4"/>
  <c r="C665" i="4"/>
  <c r="B665" i="4"/>
  <c r="A665" i="4"/>
  <c r="H664" i="4"/>
  <c r="G664" i="4"/>
  <c r="F664" i="4"/>
  <c r="E664" i="4"/>
  <c r="D664" i="4"/>
  <c r="C664" i="4"/>
  <c r="A664" i="4"/>
  <c r="B664" i="4" s="1"/>
  <c r="I664" i="4" s="1"/>
  <c r="H663" i="4"/>
  <c r="G663" i="4"/>
  <c r="F663" i="4"/>
  <c r="E663" i="4"/>
  <c r="D663" i="4"/>
  <c r="C663" i="4"/>
  <c r="B663" i="4"/>
  <c r="A663" i="4"/>
  <c r="H662" i="4"/>
  <c r="G662" i="4"/>
  <c r="F662" i="4"/>
  <c r="E662" i="4"/>
  <c r="D662" i="4"/>
  <c r="C662" i="4"/>
  <c r="A662" i="4"/>
  <c r="B662" i="4" s="1"/>
  <c r="H661" i="4"/>
  <c r="G661" i="4"/>
  <c r="F661" i="4"/>
  <c r="E661" i="4"/>
  <c r="D661" i="4"/>
  <c r="C661" i="4"/>
  <c r="B661" i="4"/>
  <c r="A661" i="4"/>
  <c r="H660" i="4"/>
  <c r="G660" i="4"/>
  <c r="F660" i="4"/>
  <c r="E660" i="4"/>
  <c r="D660" i="4"/>
  <c r="C660" i="4"/>
  <c r="B660" i="4"/>
  <c r="I660" i="4" s="1"/>
  <c r="A660" i="4"/>
  <c r="H659" i="4"/>
  <c r="G659" i="4"/>
  <c r="F659" i="4"/>
  <c r="E659" i="4"/>
  <c r="D659" i="4"/>
  <c r="C659" i="4"/>
  <c r="A659" i="4"/>
  <c r="B659" i="4" s="1"/>
  <c r="H658" i="4"/>
  <c r="G658" i="4"/>
  <c r="F658" i="4"/>
  <c r="E658" i="4"/>
  <c r="D658" i="4"/>
  <c r="C658" i="4"/>
  <c r="A658" i="4"/>
  <c r="B658" i="4" s="1"/>
  <c r="H657" i="4"/>
  <c r="G657" i="4"/>
  <c r="F657" i="4"/>
  <c r="E657" i="4"/>
  <c r="D657" i="4"/>
  <c r="C657" i="4"/>
  <c r="B657" i="4"/>
  <c r="A657" i="4"/>
  <c r="H656" i="4"/>
  <c r="G656" i="4"/>
  <c r="F656" i="4"/>
  <c r="E656" i="4"/>
  <c r="D656" i="4"/>
  <c r="C656" i="4"/>
  <c r="A656" i="4"/>
  <c r="B656" i="4" s="1"/>
  <c r="I656" i="4" s="1"/>
  <c r="H655" i="4"/>
  <c r="G655" i="4"/>
  <c r="F655" i="4"/>
  <c r="E655" i="4"/>
  <c r="D655" i="4"/>
  <c r="C655" i="4"/>
  <c r="B655" i="4"/>
  <c r="A655" i="4"/>
  <c r="H654" i="4"/>
  <c r="G654" i="4"/>
  <c r="F654" i="4"/>
  <c r="E654" i="4"/>
  <c r="D654" i="4"/>
  <c r="C654" i="4"/>
  <c r="A654" i="4"/>
  <c r="B654" i="4" s="1"/>
  <c r="I654" i="4" s="1"/>
  <c r="H653" i="4"/>
  <c r="G653" i="4"/>
  <c r="F653" i="4"/>
  <c r="E653" i="4"/>
  <c r="D653" i="4"/>
  <c r="C653" i="4"/>
  <c r="B653" i="4"/>
  <c r="I653" i="4" s="1"/>
  <c r="A653" i="4"/>
  <c r="H652" i="4"/>
  <c r="G652" i="4"/>
  <c r="F652" i="4"/>
  <c r="E652" i="4"/>
  <c r="D652" i="4"/>
  <c r="C652" i="4"/>
  <c r="A652" i="4"/>
  <c r="B652" i="4" s="1"/>
  <c r="I652" i="4" s="1"/>
  <c r="H651" i="4"/>
  <c r="G651" i="4"/>
  <c r="F651" i="4"/>
  <c r="E651" i="4"/>
  <c r="D651" i="4"/>
  <c r="C651" i="4"/>
  <c r="B651" i="4"/>
  <c r="A651" i="4"/>
  <c r="H650" i="4"/>
  <c r="G650" i="4"/>
  <c r="F650" i="4"/>
  <c r="E650" i="4"/>
  <c r="D650" i="4"/>
  <c r="I650" i="4" s="1"/>
  <c r="C650" i="4"/>
  <c r="A650" i="4"/>
  <c r="B650" i="4" s="1"/>
  <c r="H649" i="4"/>
  <c r="G649" i="4"/>
  <c r="F649" i="4"/>
  <c r="E649" i="4"/>
  <c r="D649" i="4"/>
  <c r="C649" i="4"/>
  <c r="A649" i="4"/>
  <c r="B649" i="4" s="1"/>
  <c r="H648" i="4"/>
  <c r="G648" i="4"/>
  <c r="F648" i="4"/>
  <c r="E648" i="4"/>
  <c r="D648" i="4"/>
  <c r="C648" i="4"/>
  <c r="B648" i="4"/>
  <c r="A648" i="4"/>
  <c r="H647" i="4"/>
  <c r="G647" i="4"/>
  <c r="F647" i="4"/>
  <c r="E647" i="4"/>
  <c r="D647" i="4"/>
  <c r="C647" i="4"/>
  <c r="B647" i="4"/>
  <c r="A647" i="4"/>
  <c r="H646" i="4"/>
  <c r="G646" i="4"/>
  <c r="F646" i="4"/>
  <c r="E646" i="4"/>
  <c r="D646" i="4"/>
  <c r="C646" i="4"/>
  <c r="A646" i="4"/>
  <c r="B646" i="4" s="1"/>
  <c r="H645" i="4"/>
  <c r="G645" i="4"/>
  <c r="F645" i="4"/>
  <c r="E645" i="4"/>
  <c r="D645" i="4"/>
  <c r="C645" i="4"/>
  <c r="B645" i="4"/>
  <c r="A645" i="4"/>
  <c r="H644" i="4"/>
  <c r="G644" i="4"/>
  <c r="F644" i="4"/>
  <c r="E644" i="4"/>
  <c r="D644" i="4"/>
  <c r="C644" i="4"/>
  <c r="A644" i="4"/>
  <c r="B644" i="4" s="1"/>
  <c r="H643" i="4"/>
  <c r="G643" i="4"/>
  <c r="F643" i="4"/>
  <c r="E643" i="4"/>
  <c r="D643" i="4"/>
  <c r="C643" i="4"/>
  <c r="B643" i="4"/>
  <c r="I643" i="4" s="1"/>
  <c r="A643" i="4"/>
  <c r="H642" i="4"/>
  <c r="G642" i="4"/>
  <c r="F642" i="4"/>
  <c r="E642" i="4"/>
  <c r="D642" i="4"/>
  <c r="C642" i="4"/>
  <c r="A642" i="4"/>
  <c r="B642" i="4" s="1"/>
  <c r="I642" i="4" s="1"/>
  <c r="H641" i="4"/>
  <c r="G641" i="4"/>
  <c r="F641" i="4"/>
  <c r="E641" i="4"/>
  <c r="D641" i="4"/>
  <c r="C641" i="4"/>
  <c r="A641" i="4"/>
  <c r="B641" i="4" s="1"/>
  <c r="I641" i="4" s="1"/>
  <c r="H640" i="4"/>
  <c r="G640" i="4"/>
  <c r="F640" i="4"/>
  <c r="E640" i="4"/>
  <c r="D640" i="4"/>
  <c r="C640" i="4"/>
  <c r="B640" i="4"/>
  <c r="I640" i="4" s="1"/>
  <c r="A640" i="4"/>
  <c r="H639" i="4"/>
  <c r="G639" i="4"/>
  <c r="F639" i="4"/>
  <c r="E639" i="4"/>
  <c r="D639" i="4"/>
  <c r="C639" i="4"/>
  <c r="B639" i="4"/>
  <c r="I639" i="4" s="1"/>
  <c r="A639" i="4"/>
  <c r="H638" i="4"/>
  <c r="G638" i="4"/>
  <c r="F638" i="4"/>
  <c r="E638" i="4"/>
  <c r="D638" i="4"/>
  <c r="C638" i="4"/>
  <c r="A638" i="4"/>
  <c r="B638" i="4" s="1"/>
  <c r="I638" i="4" s="1"/>
  <c r="H637" i="4"/>
  <c r="G637" i="4"/>
  <c r="F637" i="4"/>
  <c r="E637" i="4"/>
  <c r="D637" i="4"/>
  <c r="C637" i="4"/>
  <c r="B637" i="4"/>
  <c r="I637" i="4" s="1"/>
  <c r="A637" i="4"/>
  <c r="H636" i="4"/>
  <c r="G636" i="4"/>
  <c r="F636" i="4"/>
  <c r="E636" i="4"/>
  <c r="D636" i="4"/>
  <c r="C636" i="4"/>
  <c r="B636" i="4"/>
  <c r="A636" i="4"/>
  <c r="H635" i="4"/>
  <c r="G635" i="4"/>
  <c r="F635" i="4"/>
  <c r="E635" i="4"/>
  <c r="D635" i="4"/>
  <c r="C635" i="4"/>
  <c r="B635" i="4"/>
  <c r="A635" i="4"/>
  <c r="H634" i="4"/>
  <c r="G634" i="4"/>
  <c r="F634" i="4"/>
  <c r="E634" i="4"/>
  <c r="D634" i="4"/>
  <c r="C634" i="4"/>
  <c r="A634" i="4"/>
  <c r="B634" i="4" s="1"/>
  <c r="H633" i="4"/>
  <c r="G633" i="4"/>
  <c r="F633" i="4"/>
  <c r="E633" i="4"/>
  <c r="D633" i="4"/>
  <c r="I633" i="4" s="1"/>
  <c r="C633" i="4"/>
  <c r="A633" i="4"/>
  <c r="B633" i="4" s="1"/>
  <c r="H632" i="4"/>
  <c r="G632" i="4"/>
  <c r="F632" i="4"/>
  <c r="E632" i="4"/>
  <c r="D632" i="4"/>
  <c r="C632" i="4"/>
  <c r="A632" i="4"/>
  <c r="B632" i="4" s="1"/>
  <c r="H631" i="4"/>
  <c r="G631" i="4"/>
  <c r="F631" i="4"/>
  <c r="E631" i="4"/>
  <c r="D631" i="4"/>
  <c r="C631" i="4"/>
  <c r="B631" i="4"/>
  <c r="A631" i="4"/>
  <c r="H630" i="4"/>
  <c r="G630" i="4"/>
  <c r="F630" i="4"/>
  <c r="E630" i="4"/>
  <c r="D630" i="4"/>
  <c r="C630" i="4"/>
  <c r="A630" i="4"/>
  <c r="B630" i="4" s="1"/>
  <c r="H629" i="4"/>
  <c r="G629" i="4"/>
  <c r="F629" i="4"/>
  <c r="E629" i="4"/>
  <c r="D629" i="4"/>
  <c r="C629" i="4"/>
  <c r="B629" i="4"/>
  <c r="I629" i="4" s="1"/>
  <c r="A629" i="4"/>
  <c r="H628" i="4"/>
  <c r="G628" i="4"/>
  <c r="F628" i="4"/>
  <c r="E628" i="4"/>
  <c r="D628" i="4"/>
  <c r="C628" i="4"/>
  <c r="A628" i="4"/>
  <c r="B628" i="4" s="1"/>
  <c r="H627" i="4"/>
  <c r="G627" i="4"/>
  <c r="F627" i="4"/>
  <c r="E627" i="4"/>
  <c r="D627" i="4"/>
  <c r="C627" i="4"/>
  <c r="A627" i="4"/>
  <c r="B627" i="4" s="1"/>
  <c r="I627" i="4" s="1"/>
  <c r="H626" i="4"/>
  <c r="G626" i="4"/>
  <c r="F626" i="4"/>
  <c r="E626" i="4"/>
  <c r="D626" i="4"/>
  <c r="C626" i="4"/>
  <c r="B626" i="4"/>
  <c r="I626" i="4" s="1"/>
  <c r="A626" i="4"/>
  <c r="H625" i="4"/>
  <c r="G625" i="4"/>
  <c r="F625" i="4"/>
  <c r="E625" i="4"/>
  <c r="D625" i="4"/>
  <c r="C625" i="4"/>
  <c r="B625" i="4"/>
  <c r="I625" i="4" s="1"/>
  <c r="A625" i="4"/>
  <c r="H624" i="4"/>
  <c r="G624" i="4"/>
  <c r="F624" i="4"/>
  <c r="E624" i="4"/>
  <c r="D624" i="4"/>
  <c r="C624" i="4"/>
  <c r="A624" i="4"/>
  <c r="B624" i="4" s="1"/>
  <c r="I624" i="4" s="1"/>
  <c r="H623" i="4"/>
  <c r="G623" i="4"/>
  <c r="F623" i="4"/>
  <c r="E623" i="4"/>
  <c r="D623" i="4"/>
  <c r="C623" i="4"/>
  <c r="B623" i="4"/>
  <c r="A623" i="4"/>
  <c r="H622" i="4"/>
  <c r="G622" i="4"/>
  <c r="F622" i="4"/>
  <c r="E622" i="4"/>
  <c r="D622" i="4"/>
  <c r="C622" i="4"/>
  <c r="A622" i="4"/>
  <c r="B622" i="4" s="1"/>
  <c r="H621" i="4"/>
  <c r="G621" i="4"/>
  <c r="F621" i="4"/>
  <c r="E621" i="4"/>
  <c r="D621" i="4"/>
  <c r="C621" i="4"/>
  <c r="B621" i="4"/>
  <c r="I621" i="4" s="1"/>
  <c r="A621" i="4"/>
  <c r="H620" i="4"/>
  <c r="G620" i="4"/>
  <c r="F620" i="4"/>
  <c r="E620" i="4"/>
  <c r="D620" i="4"/>
  <c r="C620" i="4"/>
  <c r="A620" i="4"/>
  <c r="B620" i="4" s="1"/>
  <c r="I620" i="4" s="1"/>
  <c r="H619" i="4"/>
  <c r="G619" i="4"/>
  <c r="F619" i="4"/>
  <c r="E619" i="4"/>
  <c r="D619" i="4"/>
  <c r="C619" i="4"/>
  <c r="B619" i="4"/>
  <c r="A619" i="4"/>
  <c r="H618" i="4"/>
  <c r="G618" i="4"/>
  <c r="F618" i="4"/>
  <c r="E618" i="4"/>
  <c r="D618" i="4"/>
  <c r="C618" i="4"/>
  <c r="B618" i="4"/>
  <c r="A618" i="4"/>
  <c r="H617" i="4"/>
  <c r="G617" i="4"/>
  <c r="F617" i="4"/>
  <c r="E617" i="4"/>
  <c r="D617" i="4"/>
  <c r="C617" i="4"/>
  <c r="A617" i="4"/>
  <c r="B617" i="4" s="1"/>
  <c r="H616" i="4"/>
  <c r="G616" i="4"/>
  <c r="F616" i="4"/>
  <c r="E616" i="4"/>
  <c r="D616" i="4"/>
  <c r="C616" i="4"/>
  <c r="A616" i="4"/>
  <c r="B616" i="4" s="1"/>
  <c r="I616" i="4" s="1"/>
  <c r="H615" i="4"/>
  <c r="G615" i="4"/>
  <c r="F615" i="4"/>
  <c r="E615" i="4"/>
  <c r="D615" i="4"/>
  <c r="C615" i="4"/>
  <c r="B615" i="4"/>
  <c r="A615" i="4"/>
  <c r="H614" i="4"/>
  <c r="G614" i="4"/>
  <c r="F614" i="4"/>
  <c r="E614" i="4"/>
  <c r="D614" i="4"/>
  <c r="C614" i="4"/>
  <c r="A614" i="4"/>
  <c r="B614" i="4" s="1"/>
  <c r="H613" i="4"/>
  <c r="G613" i="4"/>
  <c r="F613" i="4"/>
  <c r="E613" i="4"/>
  <c r="D613" i="4"/>
  <c r="C613" i="4"/>
  <c r="B613" i="4"/>
  <c r="I613" i="4" s="1"/>
  <c r="A613" i="4"/>
  <c r="H612" i="4"/>
  <c r="G612" i="4"/>
  <c r="F612" i="4"/>
  <c r="E612" i="4"/>
  <c r="D612" i="4"/>
  <c r="C612" i="4"/>
  <c r="B612" i="4"/>
  <c r="A612" i="4"/>
  <c r="H611" i="4"/>
  <c r="G611" i="4"/>
  <c r="F611" i="4"/>
  <c r="E611" i="4"/>
  <c r="D611" i="4"/>
  <c r="C611" i="4"/>
  <c r="B611" i="4"/>
  <c r="A611" i="4"/>
  <c r="H610" i="4"/>
  <c r="G610" i="4"/>
  <c r="F610" i="4"/>
  <c r="E610" i="4"/>
  <c r="D610" i="4"/>
  <c r="C610" i="4"/>
  <c r="A610" i="4"/>
  <c r="B610" i="4" s="1"/>
  <c r="H609" i="4"/>
  <c r="G609" i="4"/>
  <c r="F609" i="4"/>
  <c r="E609" i="4"/>
  <c r="D609" i="4"/>
  <c r="C609" i="4"/>
  <c r="A609" i="4"/>
  <c r="B609" i="4" s="1"/>
  <c r="I609" i="4" s="1"/>
  <c r="H608" i="4"/>
  <c r="G608" i="4"/>
  <c r="F608" i="4"/>
  <c r="E608" i="4"/>
  <c r="D608" i="4"/>
  <c r="C608" i="4"/>
  <c r="B608" i="4"/>
  <c r="A608" i="4"/>
  <c r="H607" i="4"/>
  <c r="G607" i="4"/>
  <c r="F607" i="4"/>
  <c r="E607" i="4"/>
  <c r="D607" i="4"/>
  <c r="C607" i="4"/>
  <c r="B607" i="4"/>
  <c r="A607" i="4"/>
  <c r="H606" i="4"/>
  <c r="G606" i="4"/>
  <c r="F606" i="4"/>
  <c r="E606" i="4"/>
  <c r="D606" i="4"/>
  <c r="C606" i="4"/>
  <c r="A606" i="4"/>
  <c r="B606" i="4" s="1"/>
  <c r="H605" i="4"/>
  <c r="G605" i="4"/>
  <c r="F605" i="4"/>
  <c r="E605" i="4"/>
  <c r="D605" i="4"/>
  <c r="C605" i="4"/>
  <c r="A605" i="4"/>
  <c r="B605" i="4" s="1"/>
  <c r="H604" i="4"/>
  <c r="G604" i="4"/>
  <c r="F604" i="4"/>
  <c r="E604" i="4"/>
  <c r="D604" i="4"/>
  <c r="C604" i="4"/>
  <c r="A604" i="4"/>
  <c r="B604" i="4" s="1"/>
  <c r="H603" i="4"/>
  <c r="G603" i="4"/>
  <c r="F603" i="4"/>
  <c r="E603" i="4"/>
  <c r="D603" i="4"/>
  <c r="C603" i="4"/>
  <c r="B603" i="4"/>
  <c r="I603" i="4" s="1"/>
  <c r="A603" i="4"/>
  <c r="H602" i="4"/>
  <c r="G602" i="4"/>
  <c r="F602" i="4"/>
  <c r="E602" i="4"/>
  <c r="D602" i="4"/>
  <c r="C602" i="4"/>
  <c r="A602" i="4"/>
  <c r="B602" i="4" s="1"/>
  <c r="I602" i="4" s="1"/>
  <c r="H601" i="4"/>
  <c r="G601" i="4"/>
  <c r="F601" i="4"/>
  <c r="E601" i="4"/>
  <c r="D601" i="4"/>
  <c r="C601" i="4"/>
  <c r="B601" i="4"/>
  <c r="A601" i="4"/>
  <c r="H600" i="4"/>
  <c r="G600" i="4"/>
  <c r="F600" i="4"/>
  <c r="E600" i="4"/>
  <c r="I600" i="4" s="1"/>
  <c r="D600" i="4"/>
  <c r="C600" i="4"/>
  <c r="A600" i="4"/>
  <c r="B600" i="4" s="1"/>
  <c r="H599" i="4"/>
  <c r="G599" i="4"/>
  <c r="F599" i="4"/>
  <c r="E599" i="4"/>
  <c r="D599" i="4"/>
  <c r="C599" i="4"/>
  <c r="B599" i="4"/>
  <c r="A599" i="4"/>
  <c r="H598" i="4"/>
  <c r="G598" i="4"/>
  <c r="F598" i="4"/>
  <c r="E598" i="4"/>
  <c r="I598" i="4" s="1"/>
  <c r="D598" i="4"/>
  <c r="C598" i="4"/>
  <c r="A598" i="4"/>
  <c r="B598" i="4" s="1"/>
  <c r="H597" i="4"/>
  <c r="G597" i="4"/>
  <c r="F597" i="4"/>
  <c r="E597" i="4"/>
  <c r="D597" i="4"/>
  <c r="C597" i="4"/>
  <c r="A597" i="4"/>
  <c r="B597" i="4" s="1"/>
  <c r="I597" i="4" s="1"/>
  <c r="H596" i="4"/>
  <c r="G596" i="4"/>
  <c r="F596" i="4"/>
  <c r="E596" i="4"/>
  <c r="D596" i="4"/>
  <c r="C596" i="4"/>
  <c r="B596" i="4"/>
  <c r="A596" i="4"/>
  <c r="H595" i="4"/>
  <c r="G595" i="4"/>
  <c r="F595" i="4"/>
  <c r="E595" i="4"/>
  <c r="D595" i="4"/>
  <c r="C595" i="4"/>
  <c r="A595" i="4"/>
  <c r="B595" i="4" s="1"/>
  <c r="H594" i="4"/>
  <c r="G594" i="4"/>
  <c r="F594" i="4"/>
  <c r="E594" i="4"/>
  <c r="I594" i="4" s="1"/>
  <c r="D594" i="4"/>
  <c r="C594" i="4"/>
  <c r="A594" i="4"/>
  <c r="B594" i="4" s="1"/>
  <c r="H593" i="4"/>
  <c r="G593" i="4"/>
  <c r="F593" i="4"/>
  <c r="E593" i="4"/>
  <c r="D593" i="4"/>
  <c r="C593" i="4"/>
  <c r="A593" i="4"/>
  <c r="B593" i="4" s="1"/>
  <c r="I593" i="4" s="1"/>
  <c r="H592" i="4"/>
  <c r="G592" i="4"/>
  <c r="F592" i="4"/>
  <c r="E592" i="4"/>
  <c r="D592" i="4"/>
  <c r="C592" i="4"/>
  <c r="B592" i="4"/>
  <c r="A592" i="4"/>
  <c r="H591" i="4"/>
  <c r="G591" i="4"/>
  <c r="F591" i="4"/>
  <c r="E591" i="4"/>
  <c r="D591" i="4"/>
  <c r="C591" i="4"/>
  <c r="B591" i="4"/>
  <c r="A591" i="4"/>
  <c r="H590" i="4"/>
  <c r="G590" i="4"/>
  <c r="F590" i="4"/>
  <c r="E590" i="4"/>
  <c r="D590" i="4"/>
  <c r="C590" i="4"/>
  <c r="A590" i="4"/>
  <c r="B590" i="4" s="1"/>
  <c r="I590" i="4" s="1"/>
  <c r="H589" i="4"/>
  <c r="G589" i="4"/>
  <c r="F589" i="4"/>
  <c r="E589" i="4"/>
  <c r="D589" i="4"/>
  <c r="C589" i="4"/>
  <c r="B589" i="4"/>
  <c r="A589" i="4"/>
  <c r="H588" i="4"/>
  <c r="G588" i="4"/>
  <c r="F588" i="4"/>
  <c r="E588" i="4"/>
  <c r="D588" i="4"/>
  <c r="C588" i="4"/>
  <c r="A588" i="4"/>
  <c r="B588" i="4" s="1"/>
  <c r="H587" i="4"/>
  <c r="G587" i="4"/>
  <c r="F587" i="4"/>
  <c r="E587" i="4"/>
  <c r="D587" i="4"/>
  <c r="C587" i="4"/>
  <c r="B587" i="4"/>
  <c r="I587" i="4" s="1"/>
  <c r="A587" i="4"/>
  <c r="H586" i="4"/>
  <c r="G586" i="4"/>
  <c r="F586" i="4"/>
  <c r="E586" i="4"/>
  <c r="D586" i="4"/>
  <c r="C586" i="4"/>
  <c r="B586" i="4"/>
  <c r="I586" i="4" s="1"/>
  <c r="A586" i="4"/>
  <c r="H585" i="4"/>
  <c r="G585" i="4"/>
  <c r="F585" i="4"/>
  <c r="E585" i="4"/>
  <c r="D585" i="4"/>
  <c r="C585" i="4"/>
  <c r="A585" i="4"/>
  <c r="B585" i="4" s="1"/>
  <c r="I585" i="4" s="1"/>
  <c r="H584" i="4"/>
  <c r="G584" i="4"/>
  <c r="F584" i="4"/>
  <c r="E584" i="4"/>
  <c r="D584" i="4"/>
  <c r="C584" i="4"/>
  <c r="A584" i="4"/>
  <c r="B584" i="4" s="1"/>
  <c r="I584" i="4" s="1"/>
  <c r="H583" i="4"/>
  <c r="G583" i="4"/>
  <c r="F583" i="4"/>
  <c r="E583" i="4"/>
  <c r="D583" i="4"/>
  <c r="C583" i="4"/>
  <c r="B583" i="4"/>
  <c r="A583" i="4"/>
  <c r="H582" i="4"/>
  <c r="G582" i="4"/>
  <c r="F582" i="4"/>
  <c r="E582" i="4"/>
  <c r="D582" i="4"/>
  <c r="C582" i="4"/>
  <c r="A582" i="4"/>
  <c r="B582" i="4" s="1"/>
  <c r="H581" i="4"/>
  <c r="G581" i="4"/>
  <c r="F581" i="4"/>
  <c r="E581" i="4"/>
  <c r="D581" i="4"/>
  <c r="C581" i="4"/>
  <c r="B581" i="4"/>
  <c r="A581" i="4"/>
  <c r="I580" i="4"/>
  <c r="H580" i="4"/>
  <c r="G580" i="4"/>
  <c r="F580" i="4"/>
  <c r="E580" i="4"/>
  <c r="D580" i="4"/>
  <c r="C580" i="4"/>
  <c r="A580" i="4"/>
  <c r="B580" i="4" s="1"/>
  <c r="H579" i="4"/>
  <c r="G579" i="4"/>
  <c r="F579" i="4"/>
  <c r="E579" i="4"/>
  <c r="D579" i="4"/>
  <c r="C579" i="4"/>
  <c r="B579" i="4"/>
  <c r="A579" i="4"/>
  <c r="I578" i="4"/>
  <c r="H578" i="4"/>
  <c r="G578" i="4"/>
  <c r="F578" i="4"/>
  <c r="E578" i="4"/>
  <c r="D578" i="4"/>
  <c r="C578" i="4"/>
  <c r="A578" i="4"/>
  <c r="B578" i="4" s="1"/>
  <c r="H577" i="4"/>
  <c r="G577" i="4"/>
  <c r="F577" i="4"/>
  <c r="E577" i="4"/>
  <c r="D577" i="4"/>
  <c r="C577" i="4"/>
  <c r="A577" i="4"/>
  <c r="B577" i="4" s="1"/>
  <c r="I577" i="4" s="1"/>
  <c r="H576" i="4"/>
  <c r="G576" i="4"/>
  <c r="F576" i="4"/>
  <c r="E576" i="4"/>
  <c r="D576" i="4"/>
  <c r="C576" i="4"/>
  <c r="B576" i="4"/>
  <c r="I576" i="4" s="1"/>
  <c r="A576" i="4"/>
  <c r="H575" i="4"/>
  <c r="G575" i="4"/>
  <c r="F575" i="4"/>
  <c r="E575" i="4"/>
  <c r="D575" i="4"/>
  <c r="C575" i="4"/>
  <c r="B575" i="4"/>
  <c r="I575" i="4" s="1"/>
  <c r="A575" i="4"/>
  <c r="H574" i="4"/>
  <c r="G574" i="4"/>
  <c r="F574" i="4"/>
  <c r="E574" i="4"/>
  <c r="D574" i="4"/>
  <c r="C574" i="4"/>
  <c r="A574" i="4"/>
  <c r="B574" i="4" s="1"/>
  <c r="H573" i="4"/>
  <c r="G573" i="4"/>
  <c r="F573" i="4"/>
  <c r="E573" i="4"/>
  <c r="D573" i="4"/>
  <c r="C573" i="4"/>
  <c r="A573" i="4"/>
  <c r="B573" i="4" s="1"/>
  <c r="H572" i="4"/>
  <c r="G572" i="4"/>
  <c r="I572" i="4" s="1"/>
  <c r="F572" i="4"/>
  <c r="E572" i="4"/>
  <c r="D572" i="4"/>
  <c r="C572" i="4"/>
  <c r="A572" i="4"/>
  <c r="B572" i="4" s="1"/>
  <c r="H571" i="4"/>
  <c r="I571" i="4" s="1"/>
  <c r="G571" i="4"/>
  <c r="F571" i="4"/>
  <c r="E571" i="4"/>
  <c r="D571" i="4"/>
  <c r="C571" i="4"/>
  <c r="A571" i="4"/>
  <c r="B571" i="4" s="1"/>
  <c r="H570" i="4"/>
  <c r="G570" i="4"/>
  <c r="F570" i="4"/>
  <c r="E570" i="4"/>
  <c r="D570" i="4"/>
  <c r="C570" i="4"/>
  <c r="A570" i="4"/>
  <c r="B570" i="4" s="1"/>
  <c r="I570" i="4" s="1"/>
  <c r="H569" i="4"/>
  <c r="G569" i="4"/>
  <c r="F569" i="4"/>
  <c r="E569" i="4"/>
  <c r="D569" i="4"/>
  <c r="C569" i="4"/>
  <c r="B569" i="4"/>
  <c r="A569" i="4"/>
  <c r="I568" i="4"/>
  <c r="H568" i="4"/>
  <c r="G568" i="4"/>
  <c r="F568" i="4"/>
  <c r="E568" i="4"/>
  <c r="D568" i="4"/>
  <c r="C568" i="4"/>
  <c r="A568" i="4"/>
  <c r="B568" i="4" s="1"/>
  <c r="H567" i="4"/>
  <c r="G567" i="4"/>
  <c r="F567" i="4"/>
  <c r="E567" i="4"/>
  <c r="D567" i="4"/>
  <c r="C567" i="4"/>
  <c r="B567" i="4"/>
  <c r="A567" i="4"/>
  <c r="I566" i="4"/>
  <c r="H566" i="4"/>
  <c r="G566" i="4"/>
  <c r="F566" i="4"/>
  <c r="E566" i="4"/>
  <c r="D566" i="4"/>
  <c r="C566" i="4"/>
  <c r="A566" i="4"/>
  <c r="B566" i="4" s="1"/>
  <c r="H565" i="4"/>
  <c r="G565" i="4"/>
  <c r="F565" i="4"/>
  <c r="E565" i="4"/>
  <c r="D565" i="4"/>
  <c r="C565" i="4"/>
  <c r="A565" i="4"/>
  <c r="B565" i="4" s="1"/>
  <c r="I565" i="4" s="1"/>
  <c r="H564" i="4"/>
  <c r="G564" i="4"/>
  <c r="F564" i="4"/>
  <c r="E564" i="4"/>
  <c r="D564" i="4"/>
  <c r="C564" i="4"/>
  <c r="B564" i="4"/>
  <c r="I564" i="4" s="1"/>
  <c r="A564" i="4"/>
  <c r="H563" i="4"/>
  <c r="G563" i="4"/>
  <c r="F563" i="4"/>
  <c r="E563" i="4"/>
  <c r="D563" i="4"/>
  <c r="C563" i="4"/>
  <c r="A563" i="4"/>
  <c r="B563" i="4" s="1"/>
  <c r="I563" i="4" s="1"/>
  <c r="H562" i="4"/>
  <c r="G562" i="4"/>
  <c r="F562" i="4"/>
  <c r="E562" i="4"/>
  <c r="D562" i="4"/>
  <c r="C562" i="4"/>
  <c r="A562" i="4"/>
  <c r="B562" i="4" s="1"/>
  <c r="I562" i="4" s="1"/>
  <c r="H561" i="4"/>
  <c r="G561" i="4"/>
  <c r="F561" i="4"/>
  <c r="E561" i="4"/>
  <c r="D561" i="4"/>
  <c r="C561" i="4"/>
  <c r="B561" i="4"/>
  <c r="I561" i="4" s="1"/>
  <c r="A561" i="4"/>
  <c r="H560" i="4"/>
  <c r="G560" i="4"/>
  <c r="F560" i="4"/>
  <c r="E560" i="4"/>
  <c r="D560" i="4"/>
  <c r="C560" i="4"/>
  <c r="B560" i="4"/>
  <c r="I560" i="4" s="1"/>
  <c r="A560" i="4"/>
  <c r="H559" i="4"/>
  <c r="G559" i="4"/>
  <c r="F559" i="4"/>
  <c r="E559" i="4"/>
  <c r="D559" i="4"/>
  <c r="C559" i="4"/>
  <c r="B559" i="4"/>
  <c r="I559" i="4" s="1"/>
  <c r="A559" i="4"/>
  <c r="H558" i="4"/>
  <c r="G558" i="4"/>
  <c r="F558" i="4"/>
  <c r="E558" i="4"/>
  <c r="D558" i="4"/>
  <c r="C558" i="4"/>
  <c r="A558" i="4"/>
  <c r="B558" i="4" s="1"/>
  <c r="I558" i="4" s="1"/>
  <c r="H557" i="4"/>
  <c r="G557" i="4"/>
  <c r="F557" i="4"/>
  <c r="E557" i="4"/>
  <c r="D557" i="4"/>
  <c r="C557" i="4"/>
  <c r="B557" i="4"/>
  <c r="I557" i="4" s="1"/>
  <c r="A557" i="4"/>
  <c r="H556" i="4"/>
  <c r="G556" i="4"/>
  <c r="F556" i="4"/>
  <c r="E556" i="4"/>
  <c r="D556" i="4"/>
  <c r="C556" i="4"/>
  <c r="A556" i="4"/>
  <c r="B556" i="4" s="1"/>
  <c r="H555" i="4"/>
  <c r="G555" i="4"/>
  <c r="F555" i="4"/>
  <c r="E555" i="4"/>
  <c r="D555" i="4"/>
  <c r="C555" i="4"/>
  <c r="B555" i="4"/>
  <c r="A555" i="4"/>
  <c r="H554" i="4"/>
  <c r="G554" i="4"/>
  <c r="F554" i="4"/>
  <c r="E554" i="4"/>
  <c r="D554" i="4"/>
  <c r="C554" i="4"/>
  <c r="B554" i="4"/>
  <c r="I554" i="4" s="1"/>
  <c r="A554" i="4"/>
  <c r="H553" i="4"/>
  <c r="G553" i="4"/>
  <c r="F553" i="4"/>
  <c r="E553" i="4"/>
  <c r="D553" i="4"/>
  <c r="C553" i="4"/>
  <c r="A553" i="4"/>
  <c r="B553" i="4" s="1"/>
  <c r="H552" i="4"/>
  <c r="G552" i="4"/>
  <c r="F552" i="4"/>
  <c r="E552" i="4"/>
  <c r="D552" i="4"/>
  <c r="C552" i="4"/>
  <c r="A552" i="4"/>
  <c r="B552" i="4" s="1"/>
  <c r="I552" i="4" s="1"/>
  <c r="H551" i="4"/>
  <c r="G551" i="4"/>
  <c r="F551" i="4"/>
  <c r="E551" i="4"/>
  <c r="D551" i="4"/>
  <c r="C551" i="4"/>
  <c r="B551" i="4"/>
  <c r="A551" i="4"/>
  <c r="H550" i="4"/>
  <c r="G550" i="4"/>
  <c r="F550" i="4"/>
  <c r="E550" i="4"/>
  <c r="D550" i="4"/>
  <c r="C550" i="4"/>
  <c r="A550" i="4"/>
  <c r="B550" i="4" s="1"/>
  <c r="H549" i="4"/>
  <c r="G549" i="4"/>
  <c r="F549" i="4"/>
  <c r="E549" i="4"/>
  <c r="D549" i="4"/>
  <c r="C549" i="4"/>
  <c r="B549" i="4"/>
  <c r="I549" i="4" s="1"/>
  <c r="A549" i="4"/>
  <c r="H548" i="4"/>
  <c r="G548" i="4"/>
  <c r="F548" i="4"/>
  <c r="E548" i="4"/>
  <c r="D548" i="4"/>
  <c r="C548" i="4"/>
  <c r="B548" i="4"/>
  <c r="A548" i="4"/>
  <c r="H547" i="4"/>
  <c r="G547" i="4"/>
  <c r="F547" i="4"/>
  <c r="E547" i="4"/>
  <c r="D547" i="4"/>
  <c r="C547" i="4"/>
  <c r="B547" i="4"/>
  <c r="A547" i="4"/>
  <c r="H546" i="4"/>
  <c r="G546" i="4"/>
  <c r="F546" i="4"/>
  <c r="E546" i="4"/>
  <c r="D546" i="4"/>
  <c r="C546" i="4"/>
  <c r="A546" i="4"/>
  <c r="B546" i="4" s="1"/>
  <c r="H545" i="4"/>
  <c r="G545" i="4"/>
  <c r="F545" i="4"/>
  <c r="E545" i="4"/>
  <c r="D545" i="4"/>
  <c r="C545" i="4"/>
  <c r="A545" i="4"/>
  <c r="B545" i="4" s="1"/>
  <c r="H544" i="4"/>
  <c r="G544" i="4"/>
  <c r="F544" i="4"/>
  <c r="E544" i="4"/>
  <c r="D544" i="4"/>
  <c r="C544" i="4"/>
  <c r="B544" i="4"/>
  <c r="A544" i="4"/>
  <c r="H543" i="4"/>
  <c r="G543" i="4"/>
  <c r="F543" i="4"/>
  <c r="E543" i="4"/>
  <c r="D543" i="4"/>
  <c r="C543" i="4"/>
  <c r="B543" i="4"/>
  <c r="A543" i="4"/>
  <c r="H542" i="4"/>
  <c r="G542" i="4"/>
  <c r="F542" i="4"/>
  <c r="E542" i="4"/>
  <c r="D542" i="4"/>
  <c r="I542" i="4" s="1"/>
  <c r="C542" i="4"/>
  <c r="A542" i="4"/>
  <c r="B542" i="4" s="1"/>
  <c r="H541" i="4"/>
  <c r="G541" i="4"/>
  <c r="F541" i="4"/>
  <c r="E541" i="4"/>
  <c r="D541" i="4"/>
  <c r="I541" i="4" s="1"/>
  <c r="C541" i="4"/>
  <c r="A541" i="4"/>
  <c r="B541" i="4" s="1"/>
  <c r="H540" i="4"/>
  <c r="G540" i="4"/>
  <c r="F540" i="4"/>
  <c r="E540" i="4"/>
  <c r="D540" i="4"/>
  <c r="C540" i="4"/>
  <c r="A540" i="4"/>
  <c r="B540" i="4" s="1"/>
  <c r="I540" i="4" s="1"/>
  <c r="H539" i="4"/>
  <c r="G539" i="4"/>
  <c r="F539" i="4"/>
  <c r="E539" i="4"/>
  <c r="D539" i="4"/>
  <c r="C539" i="4"/>
  <c r="B539" i="4"/>
  <c r="I539" i="4" s="1"/>
  <c r="A539" i="4"/>
  <c r="H538" i="4"/>
  <c r="G538" i="4"/>
  <c r="F538" i="4"/>
  <c r="E538" i="4"/>
  <c r="D538" i="4"/>
  <c r="C538" i="4"/>
  <c r="A538" i="4"/>
  <c r="B538" i="4" s="1"/>
  <c r="I538" i="4" s="1"/>
  <c r="H537" i="4"/>
  <c r="G537" i="4"/>
  <c r="F537" i="4"/>
  <c r="E537" i="4"/>
  <c r="D537" i="4"/>
  <c r="C537" i="4"/>
  <c r="B537" i="4"/>
  <c r="A537" i="4"/>
  <c r="H536" i="4"/>
  <c r="G536" i="4"/>
  <c r="F536" i="4"/>
  <c r="E536" i="4"/>
  <c r="D536" i="4"/>
  <c r="C536" i="4"/>
  <c r="A536" i="4"/>
  <c r="B536" i="4" s="1"/>
  <c r="I536" i="4" s="1"/>
  <c r="H535" i="4"/>
  <c r="G535" i="4"/>
  <c r="F535" i="4"/>
  <c r="E535" i="4"/>
  <c r="D535" i="4"/>
  <c r="C535" i="4"/>
  <c r="B535" i="4"/>
  <c r="A535" i="4"/>
  <c r="H534" i="4"/>
  <c r="G534" i="4"/>
  <c r="F534" i="4"/>
  <c r="E534" i="4"/>
  <c r="D534" i="4"/>
  <c r="C534" i="4"/>
  <c r="A534" i="4"/>
  <c r="B534" i="4" s="1"/>
  <c r="I534" i="4" s="1"/>
  <c r="H533" i="4"/>
  <c r="G533" i="4"/>
  <c r="F533" i="4"/>
  <c r="E533" i="4"/>
  <c r="D533" i="4"/>
  <c r="C533" i="4"/>
  <c r="B533" i="4"/>
  <c r="I533" i="4" s="1"/>
  <c r="A533" i="4"/>
  <c r="H532" i="4"/>
  <c r="G532" i="4"/>
  <c r="F532" i="4"/>
  <c r="E532" i="4"/>
  <c r="D532" i="4"/>
  <c r="C532" i="4"/>
  <c r="B532" i="4"/>
  <c r="I532" i="4" s="1"/>
  <c r="A532" i="4"/>
  <c r="H531" i="4"/>
  <c r="G531" i="4"/>
  <c r="F531" i="4"/>
  <c r="E531" i="4"/>
  <c r="D531" i="4"/>
  <c r="C531" i="4"/>
  <c r="A531" i="4"/>
  <c r="B531" i="4" s="1"/>
  <c r="I531" i="4" s="1"/>
  <c r="H530" i="4"/>
  <c r="G530" i="4"/>
  <c r="F530" i="4"/>
  <c r="E530" i="4"/>
  <c r="D530" i="4"/>
  <c r="C530" i="4"/>
  <c r="B530" i="4"/>
  <c r="I530" i="4" s="1"/>
  <c r="A530" i="4"/>
  <c r="H529" i="4"/>
  <c r="G529" i="4"/>
  <c r="F529" i="4"/>
  <c r="E529" i="4"/>
  <c r="D529" i="4"/>
  <c r="C529" i="4"/>
  <c r="A529" i="4"/>
  <c r="B529" i="4" s="1"/>
  <c r="I529" i="4" s="1"/>
  <c r="H528" i="4"/>
  <c r="G528" i="4"/>
  <c r="F528" i="4"/>
  <c r="E528" i="4"/>
  <c r="D528" i="4"/>
  <c r="C528" i="4"/>
  <c r="B528" i="4"/>
  <c r="A528" i="4"/>
  <c r="H527" i="4"/>
  <c r="G527" i="4"/>
  <c r="F527" i="4"/>
  <c r="E527" i="4"/>
  <c r="D527" i="4"/>
  <c r="C527" i="4"/>
  <c r="B527" i="4"/>
  <c r="A527" i="4"/>
  <c r="H526" i="4"/>
  <c r="G526" i="4"/>
  <c r="F526" i="4"/>
  <c r="E526" i="4"/>
  <c r="D526" i="4"/>
  <c r="C526" i="4"/>
  <c r="A526" i="4"/>
  <c r="B526" i="4" s="1"/>
  <c r="H525" i="4"/>
  <c r="G525" i="4"/>
  <c r="F525" i="4"/>
  <c r="E525" i="4"/>
  <c r="D525" i="4"/>
  <c r="C525" i="4"/>
  <c r="B525" i="4"/>
  <c r="A525" i="4"/>
  <c r="H524" i="4"/>
  <c r="G524" i="4"/>
  <c r="F524" i="4"/>
  <c r="E524" i="4"/>
  <c r="D524" i="4"/>
  <c r="C524" i="4"/>
  <c r="A524" i="4"/>
  <c r="B524" i="4" s="1"/>
  <c r="H523" i="4"/>
  <c r="G523" i="4"/>
  <c r="F523" i="4"/>
  <c r="E523" i="4"/>
  <c r="D523" i="4"/>
  <c r="C523" i="4"/>
  <c r="B523" i="4"/>
  <c r="I523" i="4" s="1"/>
  <c r="A523" i="4"/>
  <c r="H522" i="4"/>
  <c r="G522" i="4"/>
  <c r="F522" i="4"/>
  <c r="E522" i="4"/>
  <c r="D522" i="4"/>
  <c r="C522" i="4"/>
  <c r="B522" i="4"/>
  <c r="I522" i="4" s="1"/>
  <c r="A522" i="4"/>
  <c r="H521" i="4"/>
  <c r="G521" i="4"/>
  <c r="F521" i="4"/>
  <c r="E521" i="4"/>
  <c r="D521" i="4"/>
  <c r="C521" i="4"/>
  <c r="A521" i="4"/>
  <c r="B521" i="4" s="1"/>
  <c r="H520" i="4"/>
  <c r="G520" i="4"/>
  <c r="F520" i="4"/>
  <c r="E520" i="4"/>
  <c r="D520" i="4"/>
  <c r="C520" i="4"/>
  <c r="A520" i="4"/>
  <c r="B520" i="4" s="1"/>
  <c r="I520" i="4" s="1"/>
  <c r="H519" i="4"/>
  <c r="G519" i="4"/>
  <c r="F519" i="4"/>
  <c r="E519" i="4"/>
  <c r="D519" i="4"/>
  <c r="C519" i="4"/>
  <c r="B519" i="4"/>
  <c r="A519" i="4"/>
  <c r="I518" i="4"/>
  <c r="H518" i="4"/>
  <c r="G518" i="4"/>
  <c r="F518" i="4"/>
  <c r="E518" i="4"/>
  <c r="D518" i="4"/>
  <c r="C518" i="4"/>
  <c r="A518" i="4"/>
  <c r="B518" i="4" s="1"/>
  <c r="H517" i="4"/>
  <c r="G517" i="4"/>
  <c r="F517" i="4"/>
  <c r="E517" i="4"/>
  <c r="D517" i="4"/>
  <c r="C517" i="4"/>
  <c r="A517" i="4"/>
  <c r="B517" i="4" s="1"/>
  <c r="I517" i="4" s="1"/>
  <c r="H516" i="4"/>
  <c r="G516" i="4"/>
  <c r="F516" i="4"/>
  <c r="E516" i="4"/>
  <c r="D516" i="4"/>
  <c r="C516" i="4"/>
  <c r="B516" i="4"/>
  <c r="A516" i="4"/>
  <c r="H515" i="4"/>
  <c r="G515" i="4"/>
  <c r="F515" i="4"/>
  <c r="E515" i="4"/>
  <c r="D515" i="4"/>
  <c r="C515" i="4"/>
  <c r="B515" i="4"/>
  <c r="A515" i="4"/>
  <c r="H514" i="4"/>
  <c r="G514" i="4"/>
  <c r="F514" i="4"/>
  <c r="E514" i="4"/>
  <c r="D514" i="4"/>
  <c r="C514" i="4"/>
  <c r="I514" i="4" s="1"/>
  <c r="A514" i="4"/>
  <c r="B514" i="4" s="1"/>
  <c r="H513" i="4"/>
  <c r="G513" i="4"/>
  <c r="F513" i="4"/>
  <c r="E513" i="4"/>
  <c r="D513" i="4"/>
  <c r="C513" i="4"/>
  <c r="A513" i="4"/>
  <c r="B513" i="4" s="1"/>
  <c r="I513" i="4" s="1"/>
  <c r="H512" i="4"/>
  <c r="G512" i="4"/>
  <c r="F512" i="4"/>
  <c r="E512" i="4"/>
  <c r="D512" i="4"/>
  <c r="C512" i="4"/>
  <c r="B512" i="4"/>
  <c r="A512" i="4"/>
  <c r="H511" i="4"/>
  <c r="G511" i="4"/>
  <c r="F511" i="4"/>
  <c r="E511" i="4"/>
  <c r="D511" i="4"/>
  <c r="C511" i="4"/>
  <c r="B511" i="4"/>
  <c r="A511" i="4"/>
  <c r="H510" i="4"/>
  <c r="G510" i="4"/>
  <c r="F510" i="4"/>
  <c r="E510" i="4"/>
  <c r="D510" i="4"/>
  <c r="C510" i="4"/>
  <c r="I510" i="4" s="1"/>
  <c r="A510" i="4"/>
  <c r="B510" i="4" s="1"/>
  <c r="H509" i="4"/>
  <c r="G509" i="4"/>
  <c r="F509" i="4"/>
  <c r="E509" i="4"/>
  <c r="D509" i="4"/>
  <c r="C509" i="4"/>
  <c r="A509" i="4"/>
  <c r="B509" i="4" s="1"/>
  <c r="I509" i="4" s="1"/>
  <c r="H508" i="4"/>
  <c r="G508" i="4"/>
  <c r="F508" i="4"/>
  <c r="E508" i="4"/>
  <c r="D508" i="4"/>
  <c r="C508" i="4"/>
  <c r="B508" i="4"/>
  <c r="I508" i="4" s="1"/>
  <c r="A508" i="4"/>
  <c r="H507" i="4"/>
  <c r="G507" i="4"/>
  <c r="F507" i="4"/>
  <c r="E507" i="4"/>
  <c r="D507" i="4"/>
  <c r="C507" i="4"/>
  <c r="A507" i="4"/>
  <c r="B507" i="4" s="1"/>
  <c r="I507" i="4" s="1"/>
  <c r="H506" i="4"/>
  <c r="G506" i="4"/>
  <c r="F506" i="4"/>
  <c r="E506" i="4"/>
  <c r="D506" i="4"/>
  <c r="C506" i="4"/>
  <c r="B506" i="4"/>
  <c r="I506" i="4" s="1"/>
  <c r="A506" i="4"/>
  <c r="H505" i="4"/>
  <c r="G505" i="4"/>
  <c r="F505" i="4"/>
  <c r="E505" i="4"/>
  <c r="D505" i="4"/>
  <c r="C505" i="4"/>
  <c r="B505" i="4"/>
  <c r="A505" i="4"/>
  <c r="H504" i="4"/>
  <c r="G504" i="4"/>
  <c r="F504" i="4"/>
  <c r="E504" i="4"/>
  <c r="D504" i="4"/>
  <c r="C504" i="4"/>
  <c r="B504" i="4"/>
  <c r="A504" i="4"/>
  <c r="H503" i="4"/>
  <c r="G503" i="4"/>
  <c r="F503" i="4"/>
  <c r="E503" i="4"/>
  <c r="D503" i="4"/>
  <c r="C503" i="4"/>
  <c r="B503" i="4"/>
  <c r="A503" i="4"/>
  <c r="H502" i="4"/>
  <c r="G502" i="4"/>
  <c r="F502" i="4"/>
  <c r="E502" i="4"/>
  <c r="D502" i="4"/>
  <c r="C502" i="4"/>
  <c r="I502" i="4" s="1"/>
  <c r="A502" i="4"/>
  <c r="B502" i="4" s="1"/>
  <c r="H501" i="4"/>
  <c r="G501" i="4"/>
  <c r="F501" i="4"/>
  <c r="E501" i="4"/>
  <c r="D501" i="4"/>
  <c r="C501" i="4"/>
  <c r="A501" i="4"/>
  <c r="B501" i="4" s="1"/>
  <c r="I501" i="4" s="1"/>
  <c r="H500" i="4"/>
  <c r="G500" i="4"/>
  <c r="F500" i="4"/>
  <c r="E500" i="4"/>
  <c r="D500" i="4"/>
  <c r="C500" i="4"/>
  <c r="B500" i="4"/>
  <c r="A500" i="4"/>
  <c r="H499" i="4"/>
  <c r="G499" i="4"/>
  <c r="F499" i="4"/>
  <c r="E499" i="4"/>
  <c r="D499" i="4"/>
  <c r="C499" i="4"/>
  <c r="A499" i="4"/>
  <c r="B499" i="4" s="1"/>
  <c r="I499" i="4" s="1"/>
  <c r="H498" i="4"/>
  <c r="G498" i="4"/>
  <c r="F498" i="4"/>
  <c r="E498" i="4"/>
  <c r="D498" i="4"/>
  <c r="C498" i="4"/>
  <c r="B498" i="4"/>
  <c r="I498" i="4" s="1"/>
  <c r="A498" i="4"/>
  <c r="H497" i="4"/>
  <c r="G497" i="4"/>
  <c r="F497" i="4"/>
  <c r="E497" i="4"/>
  <c r="D497" i="4"/>
  <c r="C497" i="4"/>
  <c r="B497" i="4"/>
  <c r="I497" i="4" s="1"/>
  <c r="A497" i="4"/>
  <c r="H496" i="4"/>
  <c r="G496" i="4"/>
  <c r="F496" i="4"/>
  <c r="E496" i="4"/>
  <c r="D496" i="4"/>
  <c r="C496" i="4"/>
  <c r="A496" i="4"/>
  <c r="B496" i="4" s="1"/>
  <c r="I496" i="4" s="1"/>
  <c r="H495" i="4"/>
  <c r="G495" i="4"/>
  <c r="F495" i="4"/>
  <c r="E495" i="4"/>
  <c r="D495" i="4"/>
  <c r="C495" i="4"/>
  <c r="B495" i="4"/>
  <c r="A495" i="4"/>
  <c r="H494" i="4"/>
  <c r="G494" i="4"/>
  <c r="F494" i="4"/>
  <c r="E494" i="4"/>
  <c r="D494" i="4"/>
  <c r="C494" i="4"/>
  <c r="A494" i="4"/>
  <c r="B494" i="4" s="1"/>
  <c r="I494" i="4" s="1"/>
  <c r="H493" i="4"/>
  <c r="G493" i="4"/>
  <c r="F493" i="4"/>
  <c r="E493" i="4"/>
  <c r="D493" i="4"/>
  <c r="C493" i="4"/>
  <c r="B493" i="4"/>
  <c r="I493" i="4" s="1"/>
  <c r="A493" i="4"/>
  <c r="H492" i="4"/>
  <c r="G492" i="4"/>
  <c r="F492" i="4"/>
  <c r="E492" i="4"/>
  <c r="D492" i="4"/>
  <c r="C492" i="4"/>
  <c r="A492" i="4"/>
  <c r="B492" i="4" s="1"/>
  <c r="I492" i="4" s="1"/>
  <c r="H491" i="4"/>
  <c r="G491" i="4"/>
  <c r="F491" i="4"/>
  <c r="E491" i="4"/>
  <c r="D491" i="4"/>
  <c r="C491" i="4"/>
  <c r="B491" i="4"/>
  <c r="I491" i="4" s="1"/>
  <c r="A491" i="4"/>
  <c r="H490" i="4"/>
  <c r="G490" i="4"/>
  <c r="F490" i="4"/>
  <c r="E490" i="4"/>
  <c r="D490" i="4"/>
  <c r="C490" i="4"/>
  <c r="B490" i="4"/>
  <c r="I490" i="4" s="1"/>
  <c r="A490" i="4"/>
  <c r="H489" i="4"/>
  <c r="G489" i="4"/>
  <c r="F489" i="4"/>
  <c r="E489" i="4"/>
  <c r="D489" i="4"/>
  <c r="C489" i="4"/>
  <c r="A489" i="4"/>
  <c r="B489" i="4" s="1"/>
  <c r="I489" i="4" s="1"/>
  <c r="H488" i="4"/>
  <c r="G488" i="4"/>
  <c r="F488" i="4"/>
  <c r="E488" i="4"/>
  <c r="D488" i="4"/>
  <c r="C488" i="4"/>
  <c r="B488" i="4"/>
  <c r="A488" i="4"/>
  <c r="H487" i="4"/>
  <c r="G487" i="4"/>
  <c r="F487" i="4"/>
  <c r="E487" i="4"/>
  <c r="D487" i="4"/>
  <c r="C487" i="4"/>
  <c r="B487" i="4"/>
  <c r="A487" i="4"/>
  <c r="H486" i="4"/>
  <c r="G486" i="4"/>
  <c r="F486" i="4"/>
  <c r="E486" i="4"/>
  <c r="D486" i="4"/>
  <c r="C486" i="4"/>
  <c r="I486" i="4" s="1"/>
  <c r="A486" i="4"/>
  <c r="B486" i="4" s="1"/>
  <c r="H485" i="4"/>
  <c r="G485" i="4"/>
  <c r="F485" i="4"/>
  <c r="E485" i="4"/>
  <c r="D485" i="4"/>
  <c r="C485" i="4"/>
  <c r="A485" i="4"/>
  <c r="B485" i="4" s="1"/>
  <c r="I485" i="4" s="1"/>
  <c r="H484" i="4"/>
  <c r="G484" i="4"/>
  <c r="F484" i="4"/>
  <c r="E484" i="4"/>
  <c r="D484" i="4"/>
  <c r="C484" i="4"/>
  <c r="B484" i="4"/>
  <c r="I484" i="4" s="1"/>
  <c r="A484" i="4"/>
  <c r="H483" i="4"/>
  <c r="G483" i="4"/>
  <c r="F483" i="4"/>
  <c r="E483" i="4"/>
  <c r="D483" i="4"/>
  <c r="C483" i="4"/>
  <c r="A483" i="4"/>
  <c r="B483" i="4" s="1"/>
  <c r="I483" i="4" s="1"/>
  <c r="H482" i="4"/>
  <c r="G482" i="4"/>
  <c r="F482" i="4"/>
  <c r="E482" i="4"/>
  <c r="D482" i="4"/>
  <c r="C482" i="4"/>
  <c r="B482" i="4"/>
  <c r="I482" i="4" s="1"/>
  <c r="A482" i="4"/>
  <c r="H481" i="4"/>
  <c r="G481" i="4"/>
  <c r="F481" i="4"/>
  <c r="E481" i="4"/>
  <c r="D481" i="4"/>
  <c r="C481" i="4"/>
  <c r="B481" i="4"/>
  <c r="A481" i="4"/>
  <c r="H480" i="4"/>
  <c r="G480" i="4"/>
  <c r="F480" i="4"/>
  <c r="E480" i="4"/>
  <c r="D480" i="4"/>
  <c r="C480" i="4"/>
  <c r="B480" i="4"/>
  <c r="A480" i="4"/>
  <c r="H479" i="4"/>
  <c r="G479" i="4"/>
  <c r="F479" i="4"/>
  <c r="E479" i="4"/>
  <c r="D479" i="4"/>
  <c r="C479" i="4"/>
  <c r="B479" i="4"/>
  <c r="A479" i="4"/>
  <c r="H478" i="4"/>
  <c r="G478" i="4"/>
  <c r="F478" i="4"/>
  <c r="E478" i="4"/>
  <c r="D478" i="4"/>
  <c r="C478" i="4"/>
  <c r="A478" i="4"/>
  <c r="B478" i="4" s="1"/>
  <c r="H477" i="4"/>
  <c r="G477" i="4"/>
  <c r="F477" i="4"/>
  <c r="E477" i="4"/>
  <c r="D477" i="4"/>
  <c r="C477" i="4"/>
  <c r="B477" i="4"/>
  <c r="I477" i="4" s="1"/>
  <c r="A477" i="4"/>
  <c r="H476" i="4"/>
  <c r="G476" i="4"/>
  <c r="F476" i="4"/>
  <c r="E476" i="4"/>
  <c r="D476" i="4"/>
  <c r="C476" i="4"/>
  <c r="A476" i="4"/>
  <c r="B476" i="4" s="1"/>
  <c r="I476" i="4" s="1"/>
  <c r="H475" i="4"/>
  <c r="G475" i="4"/>
  <c r="F475" i="4"/>
  <c r="E475" i="4"/>
  <c r="D475" i="4"/>
  <c r="C475" i="4"/>
  <c r="B475" i="4"/>
  <c r="A475" i="4"/>
  <c r="H474" i="4"/>
  <c r="G474" i="4"/>
  <c r="F474" i="4"/>
  <c r="E474" i="4"/>
  <c r="D474" i="4"/>
  <c r="C474" i="4"/>
  <c r="A474" i="4"/>
  <c r="B474" i="4" s="1"/>
  <c r="H473" i="4"/>
  <c r="G473" i="4"/>
  <c r="F473" i="4"/>
  <c r="E473" i="4"/>
  <c r="D473" i="4"/>
  <c r="C473" i="4"/>
  <c r="B473" i="4"/>
  <c r="I473" i="4" s="1"/>
  <c r="A473" i="4"/>
  <c r="H472" i="4"/>
  <c r="G472" i="4"/>
  <c r="F472" i="4"/>
  <c r="E472" i="4"/>
  <c r="D472" i="4"/>
  <c r="C472" i="4"/>
  <c r="A472" i="4"/>
  <c r="B472" i="4" s="1"/>
  <c r="I472" i="4" s="1"/>
  <c r="H471" i="4"/>
  <c r="G471" i="4"/>
  <c r="F471" i="4"/>
  <c r="E471" i="4"/>
  <c r="D471" i="4"/>
  <c r="C471" i="4"/>
  <c r="B471" i="4"/>
  <c r="A471" i="4"/>
  <c r="H470" i="4"/>
  <c r="G470" i="4"/>
  <c r="F470" i="4"/>
  <c r="E470" i="4"/>
  <c r="D470" i="4"/>
  <c r="C470" i="4"/>
  <c r="A470" i="4"/>
  <c r="B470" i="4" s="1"/>
  <c r="I470" i="4" s="1"/>
  <c r="H469" i="4"/>
  <c r="G469" i="4"/>
  <c r="F469" i="4"/>
  <c r="E469" i="4"/>
  <c r="D469" i="4"/>
  <c r="C469" i="4"/>
  <c r="B469" i="4"/>
  <c r="I469" i="4" s="1"/>
  <c r="A469" i="4"/>
  <c r="H468" i="4"/>
  <c r="G468" i="4"/>
  <c r="F468" i="4"/>
  <c r="E468" i="4"/>
  <c r="D468" i="4"/>
  <c r="C468" i="4"/>
  <c r="A468" i="4"/>
  <c r="B468" i="4" s="1"/>
  <c r="I468" i="4" s="1"/>
  <c r="H467" i="4"/>
  <c r="G467" i="4"/>
  <c r="F467" i="4"/>
  <c r="E467" i="4"/>
  <c r="D467" i="4"/>
  <c r="C467" i="4"/>
  <c r="B467" i="4"/>
  <c r="I467" i="4" s="1"/>
  <c r="A467" i="4"/>
  <c r="H466" i="4"/>
  <c r="G466" i="4"/>
  <c r="F466" i="4"/>
  <c r="E466" i="4"/>
  <c r="D466" i="4"/>
  <c r="C466" i="4"/>
  <c r="B466" i="4"/>
  <c r="I466" i="4" s="1"/>
  <c r="A466" i="4"/>
  <c r="H465" i="4"/>
  <c r="G465" i="4"/>
  <c r="F465" i="4"/>
  <c r="E465" i="4"/>
  <c r="D465" i="4"/>
  <c r="C465" i="4"/>
  <c r="B465" i="4"/>
  <c r="A465" i="4"/>
  <c r="H464" i="4"/>
  <c r="G464" i="4"/>
  <c r="F464" i="4"/>
  <c r="E464" i="4"/>
  <c r="D464" i="4"/>
  <c r="C464" i="4"/>
  <c r="A464" i="4"/>
  <c r="B464" i="4" s="1"/>
  <c r="H463" i="4"/>
  <c r="G463" i="4"/>
  <c r="F463" i="4"/>
  <c r="E463" i="4"/>
  <c r="D463" i="4"/>
  <c r="C463" i="4"/>
  <c r="B463" i="4"/>
  <c r="A463" i="4"/>
  <c r="H462" i="4"/>
  <c r="G462" i="4"/>
  <c r="F462" i="4"/>
  <c r="E462" i="4"/>
  <c r="D462" i="4"/>
  <c r="C462" i="4"/>
  <c r="A462" i="4"/>
  <c r="B462" i="4" s="1"/>
  <c r="H461" i="4"/>
  <c r="G461" i="4"/>
  <c r="F461" i="4"/>
  <c r="E461" i="4"/>
  <c r="D461" i="4"/>
  <c r="C461" i="4"/>
  <c r="B461" i="4"/>
  <c r="A461" i="4"/>
  <c r="H460" i="4"/>
  <c r="G460" i="4"/>
  <c r="F460" i="4"/>
  <c r="E460" i="4"/>
  <c r="D460" i="4"/>
  <c r="C460" i="4"/>
  <c r="A460" i="4"/>
  <c r="B460" i="4" s="1"/>
  <c r="H459" i="4"/>
  <c r="G459" i="4"/>
  <c r="F459" i="4"/>
  <c r="E459" i="4"/>
  <c r="D459" i="4"/>
  <c r="C459" i="4"/>
  <c r="B459" i="4"/>
  <c r="A459" i="4"/>
  <c r="H458" i="4"/>
  <c r="G458" i="4"/>
  <c r="F458" i="4"/>
  <c r="E458" i="4"/>
  <c r="D458" i="4"/>
  <c r="C458" i="4"/>
  <c r="A458" i="4"/>
  <c r="B458" i="4" s="1"/>
  <c r="I458" i="4" s="1"/>
  <c r="H457" i="4"/>
  <c r="G457" i="4"/>
  <c r="F457" i="4"/>
  <c r="E457" i="4"/>
  <c r="D457" i="4"/>
  <c r="C457" i="4"/>
  <c r="B457" i="4"/>
  <c r="I457" i="4" s="1"/>
  <c r="A457" i="4"/>
  <c r="H456" i="4"/>
  <c r="G456" i="4"/>
  <c r="F456" i="4"/>
  <c r="E456" i="4"/>
  <c r="D456" i="4"/>
  <c r="C456" i="4"/>
  <c r="A456" i="4"/>
  <c r="B456" i="4" s="1"/>
  <c r="I456" i="4" s="1"/>
  <c r="H455" i="4"/>
  <c r="G455" i="4"/>
  <c r="F455" i="4"/>
  <c r="E455" i="4"/>
  <c r="D455" i="4"/>
  <c r="C455" i="4"/>
  <c r="B455" i="4"/>
  <c r="A455" i="4"/>
  <c r="H454" i="4"/>
  <c r="G454" i="4"/>
  <c r="F454" i="4"/>
  <c r="E454" i="4"/>
  <c r="D454" i="4"/>
  <c r="C454" i="4"/>
  <c r="A454" i="4"/>
  <c r="B454" i="4" s="1"/>
  <c r="H453" i="4"/>
  <c r="G453" i="4"/>
  <c r="F453" i="4"/>
  <c r="E453" i="4"/>
  <c r="D453" i="4"/>
  <c r="C453" i="4"/>
  <c r="B453" i="4"/>
  <c r="I453" i="4" s="1"/>
  <c r="A453" i="4"/>
  <c r="H452" i="4"/>
  <c r="G452" i="4"/>
  <c r="F452" i="4"/>
  <c r="E452" i="4"/>
  <c r="D452" i="4"/>
  <c r="C452" i="4"/>
  <c r="I452" i="4" s="1"/>
  <c r="A452" i="4"/>
  <c r="B452" i="4" s="1"/>
  <c r="H451" i="4"/>
  <c r="G451" i="4"/>
  <c r="F451" i="4"/>
  <c r="E451" i="4"/>
  <c r="D451" i="4"/>
  <c r="C451" i="4"/>
  <c r="A451" i="4"/>
  <c r="B451" i="4" s="1"/>
  <c r="I451" i="4" s="1"/>
  <c r="H450" i="4"/>
  <c r="G450" i="4"/>
  <c r="F450" i="4"/>
  <c r="E450" i="4"/>
  <c r="D450" i="4"/>
  <c r="C450" i="4"/>
  <c r="B450" i="4"/>
  <c r="I450" i="4" s="1"/>
  <c r="A450" i="4"/>
  <c r="H449" i="4"/>
  <c r="G449" i="4"/>
  <c r="F449" i="4"/>
  <c r="E449" i="4"/>
  <c r="D449" i="4"/>
  <c r="C449" i="4"/>
  <c r="B449" i="4"/>
  <c r="I449" i="4" s="1"/>
  <c r="A449" i="4"/>
  <c r="H448" i="4"/>
  <c r="G448" i="4"/>
  <c r="F448" i="4"/>
  <c r="E448" i="4"/>
  <c r="D448" i="4"/>
  <c r="C448" i="4"/>
  <c r="B448" i="4"/>
  <c r="I448" i="4" s="1"/>
  <c r="A448" i="4"/>
  <c r="H447" i="4"/>
  <c r="G447" i="4"/>
  <c r="F447" i="4"/>
  <c r="E447" i="4"/>
  <c r="D447" i="4"/>
  <c r="C447" i="4"/>
  <c r="B447" i="4"/>
  <c r="A447" i="4"/>
  <c r="H446" i="4"/>
  <c r="G446" i="4"/>
  <c r="F446" i="4"/>
  <c r="E446" i="4"/>
  <c r="I446" i="4" s="1"/>
  <c r="D446" i="4"/>
  <c r="C446" i="4"/>
  <c r="A446" i="4"/>
  <c r="B446" i="4" s="1"/>
  <c r="H445" i="4"/>
  <c r="G445" i="4"/>
  <c r="F445" i="4"/>
  <c r="E445" i="4"/>
  <c r="D445" i="4"/>
  <c r="C445" i="4"/>
  <c r="A445" i="4"/>
  <c r="B445" i="4" s="1"/>
  <c r="I445" i="4" s="1"/>
  <c r="H444" i="4"/>
  <c r="G444" i="4"/>
  <c r="F444" i="4"/>
  <c r="E444" i="4"/>
  <c r="D444" i="4"/>
  <c r="C444" i="4"/>
  <c r="B444" i="4"/>
  <c r="I444" i="4" s="1"/>
  <c r="A444" i="4"/>
  <c r="H443" i="4"/>
  <c r="G443" i="4"/>
  <c r="F443" i="4"/>
  <c r="E443" i="4"/>
  <c r="D443" i="4"/>
  <c r="C443" i="4"/>
  <c r="B443" i="4"/>
  <c r="A443" i="4"/>
  <c r="I442" i="4"/>
  <c r="H442" i="4"/>
  <c r="G442" i="4"/>
  <c r="F442" i="4"/>
  <c r="E442" i="4"/>
  <c r="D442" i="4"/>
  <c r="C442" i="4"/>
  <c r="A442" i="4"/>
  <c r="B442" i="4" s="1"/>
  <c r="I441" i="4"/>
  <c r="H441" i="4"/>
  <c r="G441" i="4"/>
  <c r="F441" i="4"/>
  <c r="E441" i="4"/>
  <c r="D441" i="4"/>
  <c r="C441" i="4"/>
  <c r="A441" i="4"/>
  <c r="B441" i="4" s="1"/>
  <c r="H440" i="4"/>
  <c r="G440" i="4"/>
  <c r="F440" i="4"/>
  <c r="E440" i="4"/>
  <c r="D440" i="4"/>
  <c r="C440" i="4"/>
  <c r="B440" i="4"/>
  <c r="I440" i="4" s="1"/>
  <c r="A440" i="4"/>
  <c r="H439" i="4"/>
  <c r="G439" i="4"/>
  <c r="F439" i="4"/>
  <c r="E439" i="4"/>
  <c r="D439" i="4"/>
  <c r="C439" i="4"/>
  <c r="B439" i="4"/>
  <c r="I439" i="4" s="1"/>
  <c r="A439" i="4"/>
  <c r="H438" i="4"/>
  <c r="G438" i="4"/>
  <c r="F438" i="4"/>
  <c r="E438" i="4"/>
  <c r="D438" i="4"/>
  <c r="C438" i="4"/>
  <c r="I438" i="4" s="1"/>
  <c r="A438" i="4"/>
  <c r="B438" i="4" s="1"/>
  <c r="H437" i="4"/>
  <c r="G437" i="4"/>
  <c r="F437" i="4"/>
  <c r="E437" i="4"/>
  <c r="D437" i="4"/>
  <c r="C437" i="4"/>
  <c r="A437" i="4"/>
  <c r="B437" i="4" s="1"/>
  <c r="I437" i="4" s="1"/>
  <c r="H436" i="4"/>
  <c r="G436" i="4"/>
  <c r="F436" i="4"/>
  <c r="E436" i="4"/>
  <c r="D436" i="4"/>
  <c r="C436" i="4"/>
  <c r="B436" i="4"/>
  <c r="I436" i="4" s="1"/>
  <c r="A436" i="4"/>
  <c r="H435" i="4"/>
  <c r="G435" i="4"/>
  <c r="F435" i="4"/>
  <c r="E435" i="4"/>
  <c r="D435" i="4"/>
  <c r="C435" i="4"/>
  <c r="A435" i="4"/>
  <c r="B435" i="4" s="1"/>
  <c r="I435" i="4" s="1"/>
  <c r="H434" i="4"/>
  <c r="G434" i="4"/>
  <c r="F434" i="4"/>
  <c r="E434" i="4"/>
  <c r="D434" i="4"/>
  <c r="C434" i="4"/>
  <c r="B434" i="4"/>
  <c r="A434" i="4"/>
  <c r="H433" i="4"/>
  <c r="G433" i="4"/>
  <c r="F433" i="4"/>
  <c r="E433" i="4"/>
  <c r="D433" i="4"/>
  <c r="C433" i="4"/>
  <c r="B433" i="4"/>
  <c r="A433" i="4"/>
  <c r="H432" i="4"/>
  <c r="G432" i="4"/>
  <c r="F432" i="4"/>
  <c r="E432" i="4"/>
  <c r="I432" i="4" s="1"/>
  <c r="D432" i="4"/>
  <c r="C432" i="4"/>
  <c r="A432" i="4"/>
  <c r="B432" i="4" s="1"/>
  <c r="H431" i="4"/>
  <c r="G431" i="4"/>
  <c r="F431" i="4"/>
  <c r="E431" i="4"/>
  <c r="D431" i="4"/>
  <c r="C431" i="4"/>
  <c r="B431" i="4"/>
  <c r="A431" i="4"/>
  <c r="H430" i="4"/>
  <c r="G430" i="4"/>
  <c r="F430" i="4"/>
  <c r="E430" i="4"/>
  <c r="D430" i="4"/>
  <c r="C430" i="4"/>
  <c r="A430" i="4"/>
  <c r="B430" i="4" s="1"/>
  <c r="H429" i="4"/>
  <c r="G429" i="4"/>
  <c r="F429" i="4"/>
  <c r="E429" i="4"/>
  <c r="D429" i="4"/>
  <c r="C429" i="4"/>
  <c r="A429" i="4"/>
  <c r="B429" i="4" s="1"/>
  <c r="I429" i="4" s="1"/>
  <c r="H428" i="4"/>
  <c r="G428" i="4"/>
  <c r="F428" i="4"/>
  <c r="E428" i="4"/>
  <c r="D428" i="4"/>
  <c r="C428" i="4"/>
  <c r="B428" i="4"/>
  <c r="I428" i="4" s="1"/>
  <c r="A428" i="4"/>
  <c r="H427" i="4"/>
  <c r="G427" i="4"/>
  <c r="F427" i="4"/>
  <c r="E427" i="4"/>
  <c r="D427" i="4"/>
  <c r="C427" i="4"/>
  <c r="A427" i="4"/>
  <c r="B427" i="4" s="1"/>
  <c r="I427" i="4" s="1"/>
  <c r="H426" i="4"/>
  <c r="G426" i="4"/>
  <c r="F426" i="4"/>
  <c r="E426" i="4"/>
  <c r="D426" i="4"/>
  <c r="C426" i="4"/>
  <c r="B426" i="4"/>
  <c r="I426" i="4" s="1"/>
  <c r="A426" i="4"/>
  <c r="H425" i="4"/>
  <c r="G425" i="4"/>
  <c r="F425" i="4"/>
  <c r="E425" i="4"/>
  <c r="D425" i="4"/>
  <c r="C425" i="4"/>
  <c r="A425" i="4"/>
  <c r="B425" i="4" s="1"/>
  <c r="I425" i="4" s="1"/>
  <c r="H424" i="4"/>
  <c r="G424" i="4"/>
  <c r="F424" i="4"/>
  <c r="E424" i="4"/>
  <c r="D424" i="4"/>
  <c r="C424" i="4"/>
  <c r="B424" i="4"/>
  <c r="I424" i="4" s="1"/>
  <c r="A424" i="4"/>
  <c r="H423" i="4"/>
  <c r="G423" i="4"/>
  <c r="F423" i="4"/>
  <c r="E423" i="4"/>
  <c r="D423" i="4"/>
  <c r="C423" i="4"/>
  <c r="B423" i="4"/>
  <c r="I423" i="4" s="1"/>
  <c r="A423" i="4"/>
  <c r="H422" i="4"/>
  <c r="G422" i="4"/>
  <c r="F422" i="4"/>
  <c r="E422" i="4"/>
  <c r="D422" i="4"/>
  <c r="C422" i="4"/>
  <c r="A422" i="4"/>
  <c r="B422" i="4" s="1"/>
  <c r="I422" i="4" s="1"/>
  <c r="H421" i="4"/>
  <c r="G421" i="4"/>
  <c r="F421" i="4"/>
  <c r="E421" i="4"/>
  <c r="D421" i="4"/>
  <c r="C421" i="4"/>
  <c r="B421" i="4"/>
  <c r="A421" i="4"/>
  <c r="H420" i="4"/>
  <c r="G420" i="4"/>
  <c r="F420" i="4"/>
  <c r="E420" i="4"/>
  <c r="D420" i="4"/>
  <c r="C420" i="4"/>
  <c r="A420" i="4"/>
  <c r="B420" i="4" s="1"/>
  <c r="I420" i="4" s="1"/>
  <c r="H419" i="4"/>
  <c r="G419" i="4"/>
  <c r="F419" i="4"/>
  <c r="E419" i="4"/>
  <c r="D419" i="4"/>
  <c r="C419" i="4"/>
  <c r="B419" i="4"/>
  <c r="A419" i="4"/>
  <c r="H418" i="4"/>
  <c r="G418" i="4"/>
  <c r="F418" i="4"/>
  <c r="E418" i="4"/>
  <c r="D418" i="4"/>
  <c r="C418" i="4"/>
  <c r="A418" i="4"/>
  <c r="B418" i="4" s="1"/>
  <c r="H417" i="4"/>
  <c r="G417" i="4"/>
  <c r="F417" i="4"/>
  <c r="E417" i="4"/>
  <c r="D417" i="4"/>
  <c r="C417" i="4"/>
  <c r="B417" i="4"/>
  <c r="A417" i="4"/>
  <c r="H416" i="4"/>
  <c r="G416" i="4"/>
  <c r="F416" i="4"/>
  <c r="E416" i="4"/>
  <c r="D416" i="4"/>
  <c r="C416" i="4"/>
  <c r="A416" i="4"/>
  <c r="B416" i="4" s="1"/>
  <c r="I416" i="4" s="1"/>
  <c r="H415" i="4"/>
  <c r="G415" i="4"/>
  <c r="F415" i="4"/>
  <c r="E415" i="4"/>
  <c r="D415" i="4"/>
  <c r="C415" i="4"/>
  <c r="B415" i="4"/>
  <c r="A415" i="4"/>
  <c r="H414" i="4"/>
  <c r="G414" i="4"/>
  <c r="F414" i="4"/>
  <c r="E414" i="4"/>
  <c r="D414" i="4"/>
  <c r="C414" i="4"/>
  <c r="A414" i="4"/>
  <c r="B414" i="4" s="1"/>
  <c r="H413" i="4"/>
  <c r="G413" i="4"/>
  <c r="F413" i="4"/>
  <c r="E413" i="4"/>
  <c r="D413" i="4"/>
  <c r="C413" i="4"/>
  <c r="B413" i="4"/>
  <c r="A413" i="4"/>
  <c r="I412" i="4"/>
  <c r="H412" i="4"/>
  <c r="G412" i="4"/>
  <c r="F412" i="4"/>
  <c r="E412" i="4"/>
  <c r="D412" i="4"/>
  <c r="C412" i="4"/>
  <c r="A412" i="4"/>
  <c r="B412" i="4" s="1"/>
  <c r="H411" i="4"/>
  <c r="G411" i="4"/>
  <c r="F411" i="4"/>
  <c r="E411" i="4"/>
  <c r="D411" i="4"/>
  <c r="C411" i="4"/>
  <c r="B411" i="4"/>
  <c r="A411" i="4"/>
  <c r="H410" i="4"/>
  <c r="G410" i="4"/>
  <c r="F410" i="4"/>
  <c r="E410" i="4"/>
  <c r="D410" i="4"/>
  <c r="C410" i="4"/>
  <c r="A410" i="4"/>
  <c r="B410" i="4" s="1"/>
  <c r="H409" i="4"/>
  <c r="G409" i="4"/>
  <c r="F409" i="4"/>
  <c r="E409" i="4"/>
  <c r="D409" i="4"/>
  <c r="C409" i="4"/>
  <c r="B409" i="4"/>
  <c r="A409" i="4"/>
  <c r="I408" i="4"/>
  <c r="H408" i="4"/>
  <c r="G408" i="4"/>
  <c r="F408" i="4"/>
  <c r="E408" i="4"/>
  <c r="D408" i="4"/>
  <c r="C408" i="4"/>
  <c r="A408" i="4"/>
  <c r="B408" i="4" s="1"/>
  <c r="H407" i="4"/>
  <c r="G407" i="4"/>
  <c r="F407" i="4"/>
  <c r="E407" i="4"/>
  <c r="D407" i="4"/>
  <c r="C407" i="4"/>
  <c r="B407" i="4"/>
  <c r="A407" i="4"/>
  <c r="H406" i="4"/>
  <c r="G406" i="4"/>
  <c r="F406" i="4"/>
  <c r="E406" i="4"/>
  <c r="D406" i="4"/>
  <c r="C406" i="4"/>
  <c r="A406" i="4"/>
  <c r="B406" i="4" s="1"/>
  <c r="H405" i="4"/>
  <c r="G405" i="4"/>
  <c r="F405" i="4"/>
  <c r="E405" i="4"/>
  <c r="D405" i="4"/>
  <c r="C405" i="4"/>
  <c r="B405" i="4"/>
  <c r="I405" i="4" s="1"/>
  <c r="A405" i="4"/>
  <c r="H404" i="4"/>
  <c r="G404" i="4"/>
  <c r="F404" i="4"/>
  <c r="E404" i="4"/>
  <c r="D404" i="4"/>
  <c r="C404" i="4"/>
  <c r="A404" i="4"/>
  <c r="B404" i="4" s="1"/>
  <c r="I404" i="4" s="1"/>
  <c r="H403" i="4"/>
  <c r="G403" i="4"/>
  <c r="F403" i="4"/>
  <c r="E403" i="4"/>
  <c r="D403" i="4"/>
  <c r="C403" i="4"/>
  <c r="B403" i="4"/>
  <c r="I403" i="4" s="1"/>
  <c r="A403" i="4"/>
  <c r="H402" i="4"/>
  <c r="G402" i="4"/>
  <c r="F402" i="4"/>
  <c r="E402" i="4"/>
  <c r="D402" i="4"/>
  <c r="C402" i="4"/>
  <c r="A402" i="4"/>
  <c r="B402" i="4" s="1"/>
  <c r="I402" i="4" s="1"/>
  <c r="H401" i="4"/>
  <c r="G401" i="4"/>
  <c r="F401" i="4"/>
  <c r="E401" i="4"/>
  <c r="D401" i="4"/>
  <c r="C401" i="4"/>
  <c r="B401" i="4"/>
  <c r="A401" i="4"/>
  <c r="H400" i="4"/>
  <c r="G400" i="4"/>
  <c r="F400" i="4"/>
  <c r="E400" i="4"/>
  <c r="D400" i="4"/>
  <c r="C400" i="4"/>
  <c r="A400" i="4"/>
  <c r="B400" i="4" s="1"/>
  <c r="H399" i="4"/>
  <c r="G399" i="4"/>
  <c r="F399" i="4"/>
  <c r="E399" i="4"/>
  <c r="D399" i="4"/>
  <c r="C399" i="4"/>
  <c r="B399" i="4"/>
  <c r="A399" i="4"/>
  <c r="H398" i="4"/>
  <c r="G398" i="4"/>
  <c r="F398" i="4"/>
  <c r="E398" i="4"/>
  <c r="D398" i="4"/>
  <c r="C398" i="4"/>
  <c r="A398" i="4"/>
  <c r="B398" i="4" s="1"/>
  <c r="H397" i="4"/>
  <c r="G397" i="4"/>
  <c r="F397" i="4"/>
  <c r="E397" i="4"/>
  <c r="D397" i="4"/>
  <c r="C397" i="4"/>
  <c r="B397" i="4"/>
  <c r="A397" i="4"/>
  <c r="H396" i="4"/>
  <c r="G396" i="4"/>
  <c r="F396" i="4"/>
  <c r="E396" i="4"/>
  <c r="D396" i="4"/>
  <c r="C396" i="4"/>
  <c r="A396" i="4"/>
  <c r="B396" i="4" s="1"/>
  <c r="I396" i="4" s="1"/>
  <c r="H395" i="4"/>
  <c r="G395" i="4"/>
  <c r="F395" i="4"/>
  <c r="E395" i="4"/>
  <c r="D395" i="4"/>
  <c r="C395" i="4"/>
  <c r="B395" i="4"/>
  <c r="I395" i="4" s="1"/>
  <c r="A395" i="4"/>
  <c r="H394" i="4"/>
  <c r="G394" i="4"/>
  <c r="F394" i="4"/>
  <c r="E394" i="4"/>
  <c r="D394" i="4"/>
  <c r="C394" i="4"/>
  <c r="A394" i="4"/>
  <c r="B394" i="4" s="1"/>
  <c r="I394" i="4" s="1"/>
  <c r="H393" i="4"/>
  <c r="G393" i="4"/>
  <c r="F393" i="4"/>
  <c r="E393" i="4"/>
  <c r="D393" i="4"/>
  <c r="C393" i="4"/>
  <c r="B393" i="4"/>
  <c r="I393" i="4" s="1"/>
  <c r="A393" i="4"/>
  <c r="H392" i="4"/>
  <c r="G392" i="4"/>
  <c r="F392" i="4"/>
  <c r="E392" i="4"/>
  <c r="D392" i="4"/>
  <c r="C392" i="4"/>
  <c r="A392" i="4"/>
  <c r="B392" i="4" s="1"/>
  <c r="I392" i="4" s="1"/>
  <c r="H391" i="4"/>
  <c r="G391" i="4"/>
  <c r="F391" i="4"/>
  <c r="E391" i="4"/>
  <c r="D391" i="4"/>
  <c r="C391" i="4"/>
  <c r="B391" i="4"/>
  <c r="A391" i="4"/>
  <c r="H390" i="4"/>
  <c r="G390" i="4"/>
  <c r="F390" i="4"/>
  <c r="E390" i="4"/>
  <c r="D390" i="4"/>
  <c r="C390" i="4"/>
  <c r="A390" i="4"/>
  <c r="B390" i="4" s="1"/>
  <c r="H389" i="4"/>
  <c r="G389" i="4"/>
  <c r="F389" i="4"/>
  <c r="E389" i="4"/>
  <c r="D389" i="4"/>
  <c r="C389" i="4"/>
  <c r="B389" i="4"/>
  <c r="A389" i="4"/>
  <c r="H388" i="4"/>
  <c r="G388" i="4"/>
  <c r="F388" i="4"/>
  <c r="E388" i="4"/>
  <c r="D388" i="4"/>
  <c r="C388" i="4"/>
  <c r="A388" i="4"/>
  <c r="B388" i="4" s="1"/>
  <c r="H387" i="4"/>
  <c r="G387" i="4"/>
  <c r="F387" i="4"/>
  <c r="E387" i="4"/>
  <c r="D387" i="4"/>
  <c r="C387" i="4"/>
  <c r="A387" i="4"/>
  <c r="B387" i="4" s="1"/>
  <c r="I387" i="4" s="1"/>
  <c r="H386" i="4"/>
  <c r="G386" i="4"/>
  <c r="F386" i="4"/>
  <c r="E386" i="4"/>
  <c r="D386" i="4"/>
  <c r="C386" i="4"/>
  <c r="B386" i="4"/>
  <c r="I386" i="4" s="1"/>
  <c r="A386" i="4"/>
  <c r="H385" i="4"/>
  <c r="G385" i="4"/>
  <c r="F385" i="4"/>
  <c r="E385" i="4"/>
  <c r="D385" i="4"/>
  <c r="C385" i="4"/>
  <c r="A385" i="4"/>
  <c r="B385" i="4" s="1"/>
  <c r="I385" i="4" s="1"/>
  <c r="H384" i="4"/>
  <c r="G384" i="4"/>
  <c r="F384" i="4"/>
  <c r="E384" i="4"/>
  <c r="D384" i="4"/>
  <c r="C384" i="4"/>
  <c r="B384" i="4"/>
  <c r="I384" i="4" s="1"/>
  <c r="A384" i="4"/>
  <c r="H383" i="4"/>
  <c r="G383" i="4"/>
  <c r="F383" i="4"/>
  <c r="E383" i="4"/>
  <c r="D383" i="4"/>
  <c r="C383" i="4"/>
  <c r="B383" i="4"/>
  <c r="I383" i="4" s="1"/>
  <c r="A383" i="4"/>
  <c r="H382" i="4"/>
  <c r="G382" i="4"/>
  <c r="F382" i="4"/>
  <c r="E382" i="4"/>
  <c r="D382" i="4"/>
  <c r="C382" i="4"/>
  <c r="I382" i="4" s="1"/>
  <c r="A382" i="4"/>
  <c r="B382" i="4" s="1"/>
  <c r="H381" i="4"/>
  <c r="G381" i="4"/>
  <c r="F381" i="4"/>
  <c r="E381" i="4"/>
  <c r="D381" i="4"/>
  <c r="C381" i="4"/>
  <c r="A381" i="4"/>
  <c r="B381" i="4" s="1"/>
  <c r="I381" i="4" s="1"/>
  <c r="H380" i="4"/>
  <c r="G380" i="4"/>
  <c r="F380" i="4"/>
  <c r="E380" i="4"/>
  <c r="D380" i="4"/>
  <c r="C380" i="4"/>
  <c r="B380" i="4"/>
  <c r="I380" i="4" s="1"/>
  <c r="A380" i="4"/>
  <c r="H379" i="4"/>
  <c r="G379" i="4"/>
  <c r="F379" i="4"/>
  <c r="E379" i="4"/>
  <c r="D379" i="4"/>
  <c r="C379" i="4"/>
  <c r="B379" i="4"/>
  <c r="I379" i="4" s="1"/>
  <c r="A379" i="4"/>
  <c r="H378" i="4"/>
  <c r="G378" i="4"/>
  <c r="F378" i="4"/>
  <c r="E378" i="4"/>
  <c r="D378" i="4"/>
  <c r="C378" i="4"/>
  <c r="I378" i="4" s="1"/>
  <c r="A378" i="4"/>
  <c r="B378" i="4" s="1"/>
  <c r="H377" i="4"/>
  <c r="G377" i="4"/>
  <c r="F377" i="4"/>
  <c r="E377" i="4"/>
  <c r="D377" i="4"/>
  <c r="C377" i="4"/>
  <c r="A377" i="4"/>
  <c r="B377" i="4" s="1"/>
  <c r="I377" i="4" s="1"/>
  <c r="H376" i="4"/>
  <c r="G376" i="4"/>
  <c r="F376" i="4"/>
  <c r="E376" i="4"/>
  <c r="D376" i="4"/>
  <c r="C376" i="4"/>
  <c r="B376" i="4"/>
  <c r="I376" i="4" s="1"/>
  <c r="A376" i="4"/>
  <c r="H375" i="4"/>
  <c r="G375" i="4"/>
  <c r="F375" i="4"/>
  <c r="E375" i="4"/>
  <c r="D375" i="4"/>
  <c r="C375" i="4"/>
  <c r="B375" i="4"/>
  <c r="I375" i="4" s="1"/>
  <c r="A375" i="4"/>
  <c r="H374" i="4"/>
  <c r="G374" i="4"/>
  <c r="F374" i="4"/>
  <c r="E374" i="4"/>
  <c r="D374" i="4"/>
  <c r="C374" i="4"/>
  <c r="A374" i="4"/>
  <c r="B374" i="4" s="1"/>
  <c r="H373" i="4"/>
  <c r="G373" i="4"/>
  <c r="F373" i="4"/>
  <c r="E373" i="4"/>
  <c r="D373" i="4"/>
  <c r="C373" i="4"/>
  <c r="A373" i="4"/>
  <c r="B373" i="4" s="1"/>
  <c r="H372" i="4"/>
  <c r="G372" i="4"/>
  <c r="F372" i="4"/>
  <c r="E372" i="4"/>
  <c r="D372" i="4"/>
  <c r="C372" i="4"/>
  <c r="B372" i="4"/>
  <c r="A372" i="4"/>
  <c r="I371" i="4"/>
  <c r="H371" i="4"/>
  <c r="G371" i="4"/>
  <c r="F371" i="4"/>
  <c r="E371" i="4"/>
  <c r="D371" i="4"/>
  <c r="C371" i="4"/>
  <c r="A371" i="4"/>
  <c r="B371" i="4" s="1"/>
  <c r="H370" i="4"/>
  <c r="G370" i="4"/>
  <c r="F370" i="4"/>
  <c r="E370" i="4"/>
  <c r="D370" i="4"/>
  <c r="C370" i="4"/>
  <c r="B370" i="4"/>
  <c r="I370" i="4" s="1"/>
  <c r="A370" i="4"/>
  <c r="H369" i="4"/>
  <c r="G369" i="4"/>
  <c r="F369" i="4"/>
  <c r="E369" i="4"/>
  <c r="D369" i="4"/>
  <c r="C369" i="4"/>
  <c r="B369" i="4"/>
  <c r="A369" i="4"/>
  <c r="I368" i="4"/>
  <c r="H368" i="4"/>
  <c r="G368" i="4"/>
  <c r="F368" i="4"/>
  <c r="E368" i="4"/>
  <c r="D368" i="4"/>
  <c r="C368" i="4"/>
  <c r="A368" i="4"/>
  <c r="B368" i="4" s="1"/>
  <c r="I367" i="4"/>
  <c r="H367" i="4"/>
  <c r="G367" i="4"/>
  <c r="F367" i="4"/>
  <c r="E367" i="4"/>
  <c r="D367" i="4"/>
  <c r="C367" i="4"/>
  <c r="A367" i="4"/>
  <c r="B367" i="4" s="1"/>
  <c r="H366" i="4"/>
  <c r="G366" i="4"/>
  <c r="F366" i="4"/>
  <c r="E366" i="4"/>
  <c r="D366" i="4"/>
  <c r="C366" i="4"/>
  <c r="B366" i="4"/>
  <c r="A366" i="4"/>
  <c r="I365" i="4"/>
  <c r="H365" i="4"/>
  <c r="G365" i="4"/>
  <c r="F365" i="4"/>
  <c r="E365" i="4"/>
  <c r="D365" i="4"/>
  <c r="C365" i="4"/>
  <c r="A365" i="4"/>
  <c r="B365" i="4" s="1"/>
  <c r="H364" i="4"/>
  <c r="G364" i="4"/>
  <c r="F364" i="4"/>
  <c r="E364" i="4"/>
  <c r="D364" i="4"/>
  <c r="C364" i="4"/>
  <c r="B364" i="4"/>
  <c r="I364" i="4" s="1"/>
  <c r="A364" i="4"/>
  <c r="H363" i="4"/>
  <c r="G363" i="4"/>
  <c r="F363" i="4"/>
  <c r="E363" i="4"/>
  <c r="D363" i="4"/>
  <c r="C363" i="4"/>
  <c r="A363" i="4"/>
  <c r="B363" i="4" s="1"/>
  <c r="H362" i="4"/>
  <c r="G362" i="4"/>
  <c r="F362" i="4"/>
  <c r="E362" i="4"/>
  <c r="D362" i="4"/>
  <c r="C362" i="4"/>
  <c r="B362" i="4"/>
  <c r="A362" i="4"/>
  <c r="H361" i="4"/>
  <c r="G361" i="4"/>
  <c r="F361" i="4"/>
  <c r="E361" i="4"/>
  <c r="D361" i="4"/>
  <c r="C361" i="4"/>
  <c r="B361" i="4"/>
  <c r="A361" i="4"/>
  <c r="H360" i="4"/>
  <c r="G360" i="4"/>
  <c r="I360" i="4" s="1"/>
  <c r="F360" i="4"/>
  <c r="E360" i="4"/>
  <c r="D360" i="4"/>
  <c r="C360" i="4"/>
  <c r="A360" i="4"/>
  <c r="B360" i="4" s="1"/>
  <c r="H359" i="4"/>
  <c r="G359" i="4"/>
  <c r="F359" i="4"/>
  <c r="E359" i="4"/>
  <c r="D359" i="4"/>
  <c r="C359" i="4"/>
  <c r="A359" i="4"/>
  <c r="B359" i="4" s="1"/>
  <c r="I359" i="4" s="1"/>
  <c r="H358" i="4"/>
  <c r="G358" i="4"/>
  <c r="F358" i="4"/>
  <c r="E358" i="4"/>
  <c r="D358" i="4"/>
  <c r="C358" i="4"/>
  <c r="B358" i="4"/>
  <c r="A358" i="4"/>
  <c r="H357" i="4"/>
  <c r="G357" i="4"/>
  <c r="F357" i="4"/>
  <c r="E357" i="4"/>
  <c r="D357" i="4"/>
  <c r="C357" i="4"/>
  <c r="A357" i="4"/>
  <c r="B357" i="4" s="1"/>
  <c r="I357" i="4" s="1"/>
  <c r="H356" i="4"/>
  <c r="G356" i="4"/>
  <c r="F356" i="4"/>
  <c r="E356" i="4"/>
  <c r="D356" i="4"/>
  <c r="C356" i="4"/>
  <c r="B356" i="4"/>
  <c r="I356" i="4" s="1"/>
  <c r="A356" i="4"/>
  <c r="H355" i="4"/>
  <c r="G355" i="4"/>
  <c r="F355" i="4"/>
  <c r="E355" i="4"/>
  <c r="D355" i="4"/>
  <c r="C355" i="4"/>
  <c r="A355" i="4"/>
  <c r="B355" i="4" s="1"/>
  <c r="I355" i="4" s="1"/>
  <c r="H354" i="4"/>
  <c r="G354" i="4"/>
  <c r="F354" i="4"/>
  <c r="E354" i="4"/>
  <c r="D354" i="4"/>
  <c r="C354" i="4"/>
  <c r="B354" i="4"/>
  <c r="I354" i="4" s="1"/>
  <c r="A354" i="4"/>
  <c r="H353" i="4"/>
  <c r="G353" i="4"/>
  <c r="F353" i="4"/>
  <c r="E353" i="4"/>
  <c r="D353" i="4"/>
  <c r="C353" i="4"/>
  <c r="B353" i="4"/>
  <c r="I353" i="4" s="1"/>
  <c r="A353" i="4"/>
  <c r="H352" i="4"/>
  <c r="G352" i="4"/>
  <c r="F352" i="4"/>
  <c r="E352" i="4"/>
  <c r="D352" i="4"/>
  <c r="C352" i="4"/>
  <c r="A352" i="4"/>
  <c r="B352" i="4" s="1"/>
  <c r="H351" i="4"/>
  <c r="G351" i="4"/>
  <c r="F351" i="4"/>
  <c r="E351" i="4"/>
  <c r="D351" i="4"/>
  <c r="C351" i="4"/>
  <c r="A351" i="4"/>
  <c r="B351" i="4" s="1"/>
  <c r="H350" i="4"/>
  <c r="G350" i="4"/>
  <c r="F350" i="4"/>
  <c r="E350" i="4"/>
  <c r="D350" i="4"/>
  <c r="C350" i="4"/>
  <c r="B350" i="4"/>
  <c r="A350" i="4"/>
  <c r="I349" i="4"/>
  <c r="H349" i="4"/>
  <c r="G349" i="4"/>
  <c r="F349" i="4"/>
  <c r="E349" i="4"/>
  <c r="D349" i="4"/>
  <c r="C349" i="4"/>
  <c r="A349" i="4"/>
  <c r="B349" i="4" s="1"/>
  <c r="H348" i="4"/>
  <c r="G348" i="4"/>
  <c r="F348" i="4"/>
  <c r="E348" i="4"/>
  <c r="D348" i="4"/>
  <c r="C348" i="4"/>
  <c r="B348" i="4"/>
  <c r="A348" i="4"/>
  <c r="I347" i="4"/>
  <c r="H347" i="4"/>
  <c r="G347" i="4"/>
  <c r="F347" i="4"/>
  <c r="E347" i="4"/>
  <c r="D347" i="4"/>
  <c r="C347" i="4"/>
  <c r="A347" i="4"/>
  <c r="B347" i="4" s="1"/>
  <c r="H346" i="4"/>
  <c r="G346" i="4"/>
  <c r="F346" i="4"/>
  <c r="E346" i="4"/>
  <c r="D346" i="4"/>
  <c r="C346" i="4"/>
  <c r="B346" i="4"/>
  <c r="A346" i="4"/>
  <c r="H345" i="4"/>
  <c r="G345" i="4"/>
  <c r="F345" i="4"/>
  <c r="E345" i="4"/>
  <c r="D345" i="4"/>
  <c r="C345" i="4"/>
  <c r="B345" i="4"/>
  <c r="A345" i="4"/>
  <c r="I344" i="4"/>
  <c r="H344" i="4"/>
  <c r="G344" i="4"/>
  <c r="F344" i="4"/>
  <c r="E344" i="4"/>
  <c r="D344" i="4"/>
  <c r="C344" i="4"/>
  <c r="A344" i="4"/>
  <c r="B344" i="4" s="1"/>
  <c r="I343" i="4"/>
  <c r="H343" i="4"/>
  <c r="G343" i="4"/>
  <c r="F343" i="4"/>
  <c r="E343" i="4"/>
  <c r="D343" i="4"/>
  <c r="C343" i="4"/>
  <c r="A343" i="4"/>
  <c r="B343" i="4" s="1"/>
  <c r="H342" i="4"/>
  <c r="G342" i="4"/>
  <c r="F342" i="4"/>
  <c r="E342" i="4"/>
  <c r="D342" i="4"/>
  <c r="C342" i="4"/>
  <c r="B342" i="4"/>
  <c r="I342" i="4" s="1"/>
  <c r="A342" i="4"/>
  <c r="H341" i="4"/>
  <c r="G341" i="4"/>
  <c r="F341" i="4"/>
  <c r="E341" i="4"/>
  <c r="D341" i="4"/>
  <c r="C341" i="4"/>
  <c r="A341" i="4"/>
  <c r="B341" i="4" s="1"/>
  <c r="H340" i="4"/>
  <c r="G340" i="4"/>
  <c r="F340" i="4"/>
  <c r="E340" i="4"/>
  <c r="D340" i="4"/>
  <c r="C340" i="4"/>
  <c r="B340" i="4"/>
  <c r="A340" i="4"/>
  <c r="H339" i="4"/>
  <c r="G339" i="4"/>
  <c r="F339" i="4"/>
  <c r="E339" i="4"/>
  <c r="D339" i="4"/>
  <c r="C339" i="4"/>
  <c r="A339" i="4"/>
  <c r="B339" i="4" s="1"/>
  <c r="I339" i="4" s="1"/>
  <c r="H338" i="4"/>
  <c r="G338" i="4"/>
  <c r="F338" i="4"/>
  <c r="E338" i="4"/>
  <c r="D338" i="4"/>
  <c r="C338" i="4"/>
  <c r="B338" i="4"/>
  <c r="A338" i="4"/>
  <c r="H337" i="4"/>
  <c r="G337" i="4"/>
  <c r="F337" i="4"/>
  <c r="E337" i="4"/>
  <c r="D337" i="4"/>
  <c r="C337" i="4"/>
  <c r="B337" i="4"/>
  <c r="A337" i="4"/>
  <c r="H336" i="4"/>
  <c r="G336" i="4"/>
  <c r="I336" i="4" s="1"/>
  <c r="F336" i="4"/>
  <c r="E336" i="4"/>
  <c r="D336" i="4"/>
  <c r="C336" i="4"/>
  <c r="A336" i="4"/>
  <c r="B336" i="4" s="1"/>
  <c r="H335" i="4"/>
  <c r="G335" i="4"/>
  <c r="F335" i="4"/>
  <c r="E335" i="4"/>
  <c r="D335" i="4"/>
  <c r="C335" i="4"/>
  <c r="A335" i="4"/>
  <c r="B335" i="4" s="1"/>
  <c r="I335" i="4" s="1"/>
  <c r="H334" i="4"/>
  <c r="G334" i="4"/>
  <c r="F334" i="4"/>
  <c r="E334" i="4"/>
  <c r="D334" i="4"/>
  <c r="C334" i="4"/>
  <c r="B334" i="4"/>
  <c r="A334" i="4"/>
  <c r="H333" i="4"/>
  <c r="G333" i="4"/>
  <c r="F333" i="4"/>
  <c r="E333" i="4"/>
  <c r="D333" i="4"/>
  <c r="C333" i="4"/>
  <c r="A333" i="4"/>
  <c r="B333" i="4" s="1"/>
  <c r="I333" i="4" s="1"/>
  <c r="H332" i="4"/>
  <c r="G332" i="4"/>
  <c r="F332" i="4"/>
  <c r="E332" i="4"/>
  <c r="D332" i="4"/>
  <c r="C332" i="4"/>
  <c r="B332" i="4"/>
  <c r="A332" i="4"/>
  <c r="H331" i="4"/>
  <c r="G331" i="4"/>
  <c r="F331" i="4"/>
  <c r="E331" i="4"/>
  <c r="D331" i="4"/>
  <c r="C331" i="4"/>
  <c r="A331" i="4"/>
  <c r="B331" i="4" s="1"/>
  <c r="H330" i="4"/>
  <c r="G330" i="4"/>
  <c r="F330" i="4"/>
  <c r="E330" i="4"/>
  <c r="D330" i="4"/>
  <c r="C330" i="4"/>
  <c r="B330" i="4"/>
  <c r="A330" i="4"/>
  <c r="H329" i="4"/>
  <c r="G329" i="4"/>
  <c r="F329" i="4"/>
  <c r="E329" i="4"/>
  <c r="D329" i="4"/>
  <c r="C329" i="4"/>
  <c r="B329" i="4"/>
  <c r="A329" i="4"/>
  <c r="H328" i="4"/>
  <c r="G328" i="4"/>
  <c r="I328" i="4" s="1"/>
  <c r="F328" i="4"/>
  <c r="E328" i="4"/>
  <c r="D328" i="4"/>
  <c r="C328" i="4"/>
  <c r="A328" i="4"/>
  <c r="B328" i="4" s="1"/>
  <c r="H327" i="4"/>
  <c r="G327" i="4"/>
  <c r="I327" i="4" s="1"/>
  <c r="F327" i="4"/>
  <c r="E327" i="4"/>
  <c r="D327" i="4"/>
  <c r="C327" i="4"/>
  <c r="A327" i="4"/>
  <c r="B327" i="4" s="1"/>
  <c r="H326" i="4"/>
  <c r="G326" i="4"/>
  <c r="F326" i="4"/>
  <c r="E326" i="4"/>
  <c r="D326" i="4"/>
  <c r="C326" i="4"/>
  <c r="B326" i="4"/>
  <c r="A326" i="4"/>
  <c r="H325" i="4"/>
  <c r="G325" i="4"/>
  <c r="F325" i="4"/>
  <c r="E325" i="4"/>
  <c r="D325" i="4"/>
  <c r="C325" i="4"/>
  <c r="I325" i="4" s="1"/>
  <c r="A325" i="4"/>
  <c r="B325" i="4" s="1"/>
  <c r="H324" i="4"/>
  <c r="G324" i="4"/>
  <c r="F324" i="4"/>
  <c r="E324" i="4"/>
  <c r="D324" i="4"/>
  <c r="C324" i="4"/>
  <c r="B324" i="4"/>
  <c r="I324" i="4" s="1"/>
  <c r="A324" i="4"/>
  <c r="H323" i="4"/>
  <c r="G323" i="4"/>
  <c r="F323" i="4"/>
  <c r="E323" i="4"/>
  <c r="D323" i="4"/>
  <c r="C323" i="4"/>
  <c r="I323" i="4" s="1"/>
  <c r="A323" i="4"/>
  <c r="B323" i="4" s="1"/>
  <c r="H322" i="4"/>
  <c r="G322" i="4"/>
  <c r="F322" i="4"/>
  <c r="E322" i="4"/>
  <c r="D322" i="4"/>
  <c r="C322" i="4"/>
  <c r="B322" i="4"/>
  <c r="I322" i="4" s="1"/>
  <c r="A322" i="4"/>
  <c r="H321" i="4"/>
  <c r="G321" i="4"/>
  <c r="F321" i="4"/>
  <c r="E321" i="4"/>
  <c r="D321" i="4"/>
  <c r="C321" i="4"/>
  <c r="B321" i="4"/>
  <c r="I321" i="4" s="1"/>
  <c r="A321" i="4"/>
  <c r="H320" i="4"/>
  <c r="G320" i="4"/>
  <c r="F320" i="4"/>
  <c r="E320" i="4"/>
  <c r="D320" i="4"/>
  <c r="C320" i="4"/>
  <c r="I320" i="4" s="1"/>
  <c r="A320" i="4"/>
  <c r="B320" i="4" s="1"/>
  <c r="H319" i="4"/>
  <c r="G319" i="4"/>
  <c r="F319" i="4"/>
  <c r="E319" i="4"/>
  <c r="D319" i="4"/>
  <c r="C319" i="4"/>
  <c r="A319" i="4"/>
  <c r="B319" i="4" s="1"/>
  <c r="I319" i="4" s="1"/>
  <c r="H318" i="4"/>
  <c r="G318" i="4"/>
  <c r="F318" i="4"/>
  <c r="E318" i="4"/>
  <c r="D318" i="4"/>
  <c r="C318" i="4"/>
  <c r="B318" i="4"/>
  <c r="A318" i="4"/>
  <c r="I317" i="4"/>
  <c r="H317" i="4"/>
  <c r="G317" i="4"/>
  <c r="F317" i="4"/>
  <c r="E317" i="4"/>
  <c r="D317" i="4"/>
  <c r="C317" i="4"/>
  <c r="A317" i="4"/>
  <c r="B317" i="4" s="1"/>
  <c r="H316" i="4"/>
  <c r="G316" i="4"/>
  <c r="F316" i="4"/>
  <c r="E316" i="4"/>
  <c r="D316" i="4"/>
  <c r="C316" i="4"/>
  <c r="B316" i="4"/>
  <c r="A316" i="4"/>
  <c r="I315" i="4"/>
  <c r="H315" i="4"/>
  <c r="G315" i="4"/>
  <c r="F315" i="4"/>
  <c r="E315" i="4"/>
  <c r="D315" i="4"/>
  <c r="C315" i="4"/>
  <c r="A315" i="4"/>
  <c r="B315" i="4" s="1"/>
  <c r="H314" i="4"/>
  <c r="G314" i="4"/>
  <c r="F314" i="4"/>
  <c r="E314" i="4"/>
  <c r="D314" i="4"/>
  <c r="C314" i="4"/>
  <c r="B314" i="4"/>
  <c r="A314" i="4"/>
  <c r="H313" i="4"/>
  <c r="G313" i="4"/>
  <c r="F313" i="4"/>
  <c r="E313" i="4"/>
  <c r="D313" i="4"/>
  <c r="C313" i="4"/>
  <c r="B313" i="4"/>
  <c r="A313" i="4"/>
  <c r="I312" i="4"/>
  <c r="H312" i="4"/>
  <c r="G312" i="4"/>
  <c r="F312" i="4"/>
  <c r="E312" i="4"/>
  <c r="D312" i="4"/>
  <c r="C312" i="4"/>
  <c r="A312" i="4"/>
  <c r="B312" i="4" s="1"/>
  <c r="I311" i="4"/>
  <c r="H311" i="4"/>
  <c r="G311" i="4"/>
  <c r="F311" i="4"/>
  <c r="E311" i="4"/>
  <c r="D311" i="4"/>
  <c r="C311" i="4"/>
  <c r="A311" i="4"/>
  <c r="B311" i="4" s="1"/>
  <c r="H310" i="4"/>
  <c r="G310" i="4"/>
  <c r="F310" i="4"/>
  <c r="E310" i="4"/>
  <c r="D310" i="4"/>
  <c r="C310" i="4"/>
  <c r="B310" i="4"/>
  <c r="A310" i="4"/>
  <c r="I309" i="4"/>
  <c r="H309" i="4"/>
  <c r="G309" i="4"/>
  <c r="F309" i="4"/>
  <c r="E309" i="4"/>
  <c r="D309" i="4"/>
  <c r="C309" i="4"/>
  <c r="A309" i="4"/>
  <c r="B309" i="4" s="1"/>
  <c r="H308" i="4"/>
  <c r="G308" i="4"/>
  <c r="F308" i="4"/>
  <c r="E308" i="4"/>
  <c r="D308" i="4"/>
  <c r="C308" i="4"/>
  <c r="B308" i="4"/>
  <c r="A308" i="4"/>
  <c r="H307" i="4"/>
  <c r="G307" i="4"/>
  <c r="F307" i="4"/>
  <c r="E307" i="4"/>
  <c r="D307" i="4"/>
  <c r="C307" i="4"/>
  <c r="A307" i="4"/>
  <c r="B307" i="4" s="1"/>
  <c r="I307" i="4" s="1"/>
  <c r="H306" i="4"/>
  <c r="G306" i="4"/>
  <c r="F306" i="4"/>
  <c r="E306" i="4"/>
  <c r="D306" i="4"/>
  <c r="C306" i="4"/>
  <c r="B306" i="4"/>
  <c r="A306" i="4"/>
  <c r="H305" i="4"/>
  <c r="G305" i="4"/>
  <c r="F305" i="4"/>
  <c r="E305" i="4"/>
  <c r="D305" i="4"/>
  <c r="C305" i="4"/>
  <c r="B305" i="4"/>
  <c r="A305" i="4"/>
  <c r="I304" i="4"/>
  <c r="H304" i="4"/>
  <c r="G304" i="4"/>
  <c r="F304" i="4"/>
  <c r="E304" i="4"/>
  <c r="D304" i="4"/>
  <c r="C304" i="4"/>
  <c r="A304" i="4"/>
  <c r="B304" i="4" s="1"/>
  <c r="H303" i="4"/>
  <c r="G303" i="4"/>
  <c r="F303" i="4"/>
  <c r="E303" i="4"/>
  <c r="D303" i="4"/>
  <c r="C303" i="4"/>
  <c r="A303" i="4"/>
  <c r="B303" i="4" s="1"/>
  <c r="I303" i="4" s="1"/>
  <c r="H302" i="4"/>
  <c r="G302" i="4"/>
  <c r="F302" i="4"/>
  <c r="E302" i="4"/>
  <c r="D302" i="4"/>
  <c r="C302" i="4"/>
  <c r="B302" i="4"/>
  <c r="A302" i="4"/>
  <c r="H301" i="4"/>
  <c r="G301" i="4"/>
  <c r="F301" i="4"/>
  <c r="E301" i="4"/>
  <c r="D301" i="4"/>
  <c r="C301" i="4"/>
  <c r="A301" i="4"/>
  <c r="B301" i="4" s="1"/>
  <c r="I301" i="4" s="1"/>
  <c r="H300" i="4"/>
  <c r="G300" i="4"/>
  <c r="F300" i="4"/>
  <c r="E300" i="4"/>
  <c r="D300" i="4"/>
  <c r="C300" i="4"/>
  <c r="B300" i="4"/>
  <c r="A300" i="4"/>
  <c r="H299" i="4"/>
  <c r="G299" i="4"/>
  <c r="F299" i="4"/>
  <c r="E299" i="4"/>
  <c r="D299" i="4"/>
  <c r="C299" i="4"/>
  <c r="A299" i="4"/>
  <c r="B299" i="4" s="1"/>
  <c r="I299" i="4" s="1"/>
  <c r="H298" i="4"/>
  <c r="G298" i="4"/>
  <c r="F298" i="4"/>
  <c r="E298" i="4"/>
  <c r="D298" i="4"/>
  <c r="C298" i="4"/>
  <c r="B298" i="4"/>
  <c r="A298" i="4"/>
  <c r="H297" i="4"/>
  <c r="G297" i="4"/>
  <c r="F297" i="4"/>
  <c r="E297" i="4"/>
  <c r="D297" i="4"/>
  <c r="C297" i="4"/>
  <c r="B297" i="4"/>
  <c r="A297" i="4"/>
  <c r="I296" i="4"/>
  <c r="H296" i="4"/>
  <c r="G296" i="4"/>
  <c r="F296" i="4"/>
  <c r="E296" i="4"/>
  <c r="D296" i="4"/>
  <c r="C296" i="4"/>
  <c r="A296" i="4"/>
  <c r="B296" i="4" s="1"/>
  <c r="H295" i="4"/>
  <c r="G295" i="4"/>
  <c r="F295" i="4"/>
  <c r="E295" i="4"/>
  <c r="D295" i="4"/>
  <c r="C295" i="4"/>
  <c r="A295" i="4"/>
  <c r="B295" i="4" s="1"/>
  <c r="I295" i="4" s="1"/>
  <c r="H294" i="4"/>
  <c r="G294" i="4"/>
  <c r="F294" i="4"/>
  <c r="E294" i="4"/>
  <c r="D294" i="4"/>
  <c r="C294" i="4"/>
  <c r="B294" i="4"/>
  <c r="A294" i="4"/>
  <c r="H293" i="4"/>
  <c r="G293" i="4"/>
  <c r="F293" i="4"/>
  <c r="E293" i="4"/>
  <c r="D293" i="4"/>
  <c r="C293" i="4"/>
  <c r="A293" i="4"/>
  <c r="B293" i="4" s="1"/>
  <c r="I293" i="4" s="1"/>
  <c r="H292" i="4"/>
  <c r="G292" i="4"/>
  <c r="F292" i="4"/>
  <c r="E292" i="4"/>
  <c r="D292" i="4"/>
  <c r="C292" i="4"/>
  <c r="B292" i="4"/>
  <c r="A292" i="4"/>
  <c r="H291" i="4"/>
  <c r="G291" i="4"/>
  <c r="F291" i="4"/>
  <c r="E291" i="4"/>
  <c r="D291" i="4"/>
  <c r="C291" i="4"/>
  <c r="A291" i="4"/>
  <c r="B291" i="4" s="1"/>
  <c r="I291" i="4" s="1"/>
  <c r="H290" i="4"/>
  <c r="G290" i="4"/>
  <c r="F290" i="4"/>
  <c r="E290" i="4"/>
  <c r="D290" i="4"/>
  <c r="C290" i="4"/>
  <c r="B290" i="4"/>
  <c r="A290" i="4"/>
  <c r="H289" i="4"/>
  <c r="G289" i="4"/>
  <c r="F289" i="4"/>
  <c r="E289" i="4"/>
  <c r="D289" i="4"/>
  <c r="C289" i="4"/>
  <c r="B289" i="4"/>
  <c r="A289" i="4"/>
  <c r="I288" i="4"/>
  <c r="H288" i="4"/>
  <c r="G288" i="4"/>
  <c r="F288" i="4"/>
  <c r="E288" i="4"/>
  <c r="D288" i="4"/>
  <c r="C288" i="4"/>
  <c r="A288" i="4"/>
  <c r="B288" i="4" s="1"/>
  <c r="H287" i="4"/>
  <c r="G287" i="4"/>
  <c r="F287" i="4"/>
  <c r="E287" i="4"/>
  <c r="D287" i="4"/>
  <c r="C287" i="4"/>
  <c r="A287" i="4"/>
  <c r="B287" i="4" s="1"/>
  <c r="I287" i="4" s="1"/>
  <c r="H286" i="4"/>
  <c r="G286" i="4"/>
  <c r="F286" i="4"/>
  <c r="E286" i="4"/>
  <c r="D286" i="4"/>
  <c r="C286" i="4"/>
  <c r="B286" i="4"/>
  <c r="A286" i="4"/>
  <c r="H285" i="4"/>
  <c r="G285" i="4"/>
  <c r="F285" i="4"/>
  <c r="E285" i="4"/>
  <c r="D285" i="4"/>
  <c r="C285" i="4"/>
  <c r="A285" i="4"/>
  <c r="B285" i="4" s="1"/>
  <c r="I285" i="4" s="1"/>
  <c r="H284" i="4"/>
  <c r="G284" i="4"/>
  <c r="F284" i="4"/>
  <c r="E284" i="4"/>
  <c r="D284" i="4"/>
  <c r="C284" i="4"/>
  <c r="B284" i="4"/>
  <c r="A284" i="4"/>
  <c r="H283" i="4"/>
  <c r="G283" i="4"/>
  <c r="F283" i="4"/>
  <c r="E283" i="4"/>
  <c r="D283" i="4"/>
  <c r="C283" i="4"/>
  <c r="A283" i="4"/>
  <c r="B283" i="4" s="1"/>
  <c r="I283" i="4" s="1"/>
  <c r="H282" i="4"/>
  <c r="G282" i="4"/>
  <c r="F282" i="4"/>
  <c r="E282" i="4"/>
  <c r="D282" i="4"/>
  <c r="C282" i="4"/>
  <c r="B282" i="4"/>
  <c r="I282" i="4" s="1"/>
  <c r="A282" i="4"/>
  <c r="H281" i="4"/>
  <c r="G281" i="4"/>
  <c r="F281" i="4"/>
  <c r="E281" i="4"/>
  <c r="D281" i="4"/>
  <c r="C281" i="4"/>
  <c r="B281" i="4"/>
  <c r="A281" i="4"/>
  <c r="I280" i="4"/>
  <c r="H280" i="4"/>
  <c r="G280" i="4"/>
  <c r="F280" i="4"/>
  <c r="E280" i="4"/>
  <c r="D280" i="4"/>
  <c r="C280" i="4"/>
  <c r="A280" i="4"/>
  <c r="B280" i="4" s="1"/>
  <c r="H279" i="4"/>
  <c r="G279" i="4"/>
  <c r="F279" i="4"/>
  <c r="E279" i="4"/>
  <c r="D279" i="4"/>
  <c r="C279" i="4"/>
  <c r="A279" i="4"/>
  <c r="B279" i="4" s="1"/>
  <c r="I279" i="4" s="1"/>
  <c r="H278" i="4"/>
  <c r="G278" i="4"/>
  <c r="F278" i="4"/>
  <c r="E278" i="4"/>
  <c r="D278" i="4"/>
  <c r="C278" i="4"/>
  <c r="B278" i="4"/>
  <c r="A278" i="4"/>
  <c r="H277" i="4"/>
  <c r="G277" i="4"/>
  <c r="F277" i="4"/>
  <c r="E277" i="4"/>
  <c r="D277" i="4"/>
  <c r="C277" i="4"/>
  <c r="A277" i="4"/>
  <c r="B277" i="4" s="1"/>
  <c r="I277" i="4" s="1"/>
  <c r="H276" i="4"/>
  <c r="G276" i="4"/>
  <c r="F276" i="4"/>
  <c r="E276" i="4"/>
  <c r="D276" i="4"/>
  <c r="C276" i="4"/>
  <c r="B276" i="4"/>
  <c r="I276" i="4" s="1"/>
  <c r="A276" i="4"/>
  <c r="H275" i="4"/>
  <c r="G275" i="4"/>
  <c r="F275" i="4"/>
  <c r="E275" i="4"/>
  <c r="D275" i="4"/>
  <c r="C275" i="4"/>
  <c r="A275" i="4"/>
  <c r="B275" i="4" s="1"/>
  <c r="I275" i="4" s="1"/>
  <c r="H274" i="4"/>
  <c r="G274" i="4"/>
  <c r="F274" i="4"/>
  <c r="E274" i="4"/>
  <c r="D274" i="4"/>
  <c r="C274" i="4"/>
  <c r="B274" i="4"/>
  <c r="I274" i="4" s="1"/>
  <c r="A274" i="4"/>
  <c r="H273" i="4"/>
  <c r="G273" i="4"/>
  <c r="F273" i="4"/>
  <c r="E273" i="4"/>
  <c r="D273" i="4"/>
  <c r="C273" i="4"/>
  <c r="A273" i="4"/>
  <c r="B273" i="4" s="1"/>
  <c r="I273" i="4" s="1"/>
  <c r="H272" i="4"/>
  <c r="G272" i="4"/>
  <c r="F272" i="4"/>
  <c r="E272" i="4"/>
  <c r="D272" i="4"/>
  <c r="C272" i="4"/>
  <c r="B272" i="4"/>
  <c r="I272" i="4" s="1"/>
  <c r="A272" i="4"/>
  <c r="H271" i="4"/>
  <c r="G271" i="4"/>
  <c r="F271" i="4"/>
  <c r="E271" i="4"/>
  <c r="D271" i="4"/>
  <c r="C271" i="4"/>
  <c r="A271" i="4"/>
  <c r="B271" i="4" s="1"/>
  <c r="I271" i="4" s="1"/>
  <c r="H270" i="4"/>
  <c r="G270" i="4"/>
  <c r="F270" i="4"/>
  <c r="E270" i="4"/>
  <c r="D270" i="4"/>
  <c r="C270" i="4"/>
  <c r="B270" i="4"/>
  <c r="I270" i="4" s="1"/>
  <c r="A270" i="4"/>
  <c r="H269" i="4"/>
  <c r="G269" i="4"/>
  <c r="F269" i="4"/>
  <c r="E269" i="4"/>
  <c r="D269" i="4"/>
  <c r="C269" i="4"/>
  <c r="A269" i="4"/>
  <c r="B269" i="4" s="1"/>
  <c r="I269" i="4" s="1"/>
  <c r="H268" i="4"/>
  <c r="G268" i="4"/>
  <c r="F268" i="4"/>
  <c r="E268" i="4"/>
  <c r="D268" i="4"/>
  <c r="C268" i="4"/>
  <c r="B268" i="4"/>
  <c r="I268" i="4" s="1"/>
  <c r="A268" i="4"/>
  <c r="H267" i="4"/>
  <c r="G267" i="4"/>
  <c r="F267" i="4"/>
  <c r="E267" i="4"/>
  <c r="D267" i="4"/>
  <c r="C267" i="4"/>
  <c r="A267" i="4"/>
  <c r="B267" i="4" s="1"/>
  <c r="I267" i="4" s="1"/>
  <c r="H266" i="4"/>
  <c r="G266" i="4"/>
  <c r="F266" i="4"/>
  <c r="E266" i="4"/>
  <c r="D266" i="4"/>
  <c r="C266" i="4"/>
  <c r="B266" i="4"/>
  <c r="I266" i="4" s="1"/>
  <c r="A266" i="4"/>
  <c r="H265" i="4"/>
  <c r="G265" i="4"/>
  <c r="F265" i="4"/>
  <c r="E265" i="4"/>
  <c r="D265" i="4"/>
  <c r="C265" i="4"/>
  <c r="A265" i="4"/>
  <c r="B265" i="4" s="1"/>
  <c r="I265" i="4" s="1"/>
  <c r="H264" i="4"/>
  <c r="G264" i="4"/>
  <c r="F264" i="4"/>
  <c r="E264" i="4"/>
  <c r="D264" i="4"/>
  <c r="C264" i="4"/>
  <c r="B264" i="4"/>
  <c r="I264" i="4" s="1"/>
  <c r="A264" i="4"/>
  <c r="H263" i="4"/>
  <c r="G263" i="4"/>
  <c r="F263" i="4"/>
  <c r="E263" i="4"/>
  <c r="D263" i="4"/>
  <c r="C263" i="4"/>
  <c r="A263" i="4"/>
  <c r="B263" i="4" s="1"/>
  <c r="I263" i="4" s="1"/>
  <c r="H262" i="4"/>
  <c r="G262" i="4"/>
  <c r="F262" i="4"/>
  <c r="E262" i="4"/>
  <c r="D262" i="4"/>
  <c r="C262" i="4"/>
  <c r="B262" i="4"/>
  <c r="I262" i="4" s="1"/>
  <c r="A262" i="4"/>
  <c r="H261" i="4"/>
  <c r="G261" i="4"/>
  <c r="F261" i="4"/>
  <c r="E261" i="4"/>
  <c r="D261" i="4"/>
  <c r="C261" i="4"/>
  <c r="A261" i="4"/>
  <c r="B261" i="4" s="1"/>
  <c r="I261" i="4" s="1"/>
  <c r="H260" i="4"/>
  <c r="G260" i="4"/>
  <c r="F260" i="4"/>
  <c r="E260" i="4"/>
  <c r="D260" i="4"/>
  <c r="C260" i="4"/>
  <c r="B260" i="4"/>
  <c r="I260" i="4" s="1"/>
  <c r="A260" i="4"/>
  <c r="H259" i="4"/>
  <c r="G259" i="4"/>
  <c r="F259" i="4"/>
  <c r="E259" i="4"/>
  <c r="D259" i="4"/>
  <c r="C259" i="4"/>
  <c r="A259" i="4"/>
  <c r="B259" i="4" s="1"/>
  <c r="I259" i="4" s="1"/>
  <c r="H258" i="4"/>
  <c r="G258" i="4"/>
  <c r="F258" i="4"/>
  <c r="E258" i="4"/>
  <c r="D258" i="4"/>
  <c r="C258" i="4"/>
  <c r="B258" i="4"/>
  <c r="I258" i="4" s="1"/>
  <c r="A258" i="4"/>
  <c r="H257" i="4"/>
  <c r="G257" i="4"/>
  <c r="F257" i="4"/>
  <c r="E257" i="4"/>
  <c r="D257" i="4"/>
  <c r="C257" i="4"/>
  <c r="A257" i="4"/>
  <c r="B257" i="4" s="1"/>
  <c r="I257" i="4" s="1"/>
  <c r="H256" i="4"/>
  <c r="G256" i="4"/>
  <c r="F256" i="4"/>
  <c r="E256" i="4"/>
  <c r="D256" i="4"/>
  <c r="C256" i="4"/>
  <c r="B256" i="4"/>
  <c r="I256" i="4" s="1"/>
  <c r="A256" i="4"/>
  <c r="H255" i="4"/>
  <c r="G255" i="4"/>
  <c r="F255" i="4"/>
  <c r="E255" i="4"/>
  <c r="D255" i="4"/>
  <c r="C255" i="4"/>
  <c r="A255" i="4"/>
  <c r="B255" i="4" s="1"/>
  <c r="I255" i="4" s="1"/>
  <c r="H254" i="4"/>
  <c r="G254" i="4"/>
  <c r="F254" i="4"/>
  <c r="E254" i="4"/>
  <c r="D254" i="4"/>
  <c r="C254" i="4"/>
  <c r="B254" i="4"/>
  <c r="I254" i="4" s="1"/>
  <c r="A254" i="4"/>
  <c r="H253" i="4"/>
  <c r="G253" i="4"/>
  <c r="F253" i="4"/>
  <c r="E253" i="4"/>
  <c r="D253" i="4"/>
  <c r="C253" i="4"/>
  <c r="A253" i="4"/>
  <c r="B253" i="4" s="1"/>
  <c r="I253" i="4" s="1"/>
  <c r="H252" i="4"/>
  <c r="G252" i="4"/>
  <c r="F252" i="4"/>
  <c r="E252" i="4"/>
  <c r="D252" i="4"/>
  <c r="C252" i="4"/>
  <c r="B252" i="4"/>
  <c r="I252" i="4" s="1"/>
  <c r="A252" i="4"/>
  <c r="H251" i="4"/>
  <c r="G251" i="4"/>
  <c r="F251" i="4"/>
  <c r="E251" i="4"/>
  <c r="D251" i="4"/>
  <c r="C251" i="4"/>
  <c r="A251" i="4"/>
  <c r="B251" i="4" s="1"/>
  <c r="I251" i="4" s="1"/>
  <c r="H250" i="4"/>
  <c r="G250" i="4"/>
  <c r="F250" i="4"/>
  <c r="E250" i="4"/>
  <c r="D250" i="4"/>
  <c r="C250" i="4"/>
  <c r="B250" i="4"/>
  <c r="I250" i="4" s="1"/>
  <c r="A250" i="4"/>
  <c r="H249" i="4"/>
  <c r="G249" i="4"/>
  <c r="F249" i="4"/>
  <c r="E249" i="4"/>
  <c r="D249" i="4"/>
  <c r="C249" i="4"/>
  <c r="A249" i="4"/>
  <c r="B249" i="4" s="1"/>
  <c r="I249" i="4" s="1"/>
  <c r="H248" i="4"/>
  <c r="G248" i="4"/>
  <c r="F248" i="4"/>
  <c r="E248" i="4"/>
  <c r="D248" i="4"/>
  <c r="C248" i="4"/>
  <c r="B248" i="4"/>
  <c r="I248" i="4" s="1"/>
  <c r="A248" i="4"/>
  <c r="H247" i="4"/>
  <c r="G247" i="4"/>
  <c r="F247" i="4"/>
  <c r="E247" i="4"/>
  <c r="D247" i="4"/>
  <c r="C247" i="4"/>
  <c r="A247" i="4"/>
  <c r="B247" i="4" s="1"/>
  <c r="I247" i="4" s="1"/>
  <c r="H246" i="4"/>
  <c r="G246" i="4"/>
  <c r="F246" i="4"/>
  <c r="E246" i="4"/>
  <c r="D246" i="4"/>
  <c r="C246" i="4"/>
  <c r="B246" i="4"/>
  <c r="I246" i="4" s="1"/>
  <c r="A246" i="4"/>
  <c r="H245" i="4"/>
  <c r="G245" i="4"/>
  <c r="F245" i="4"/>
  <c r="E245" i="4"/>
  <c r="D245" i="4"/>
  <c r="C245" i="4"/>
  <c r="A245" i="4"/>
  <c r="B245" i="4" s="1"/>
  <c r="I245" i="4" s="1"/>
  <c r="H244" i="4"/>
  <c r="G244" i="4"/>
  <c r="F244" i="4"/>
  <c r="E244" i="4"/>
  <c r="D244" i="4"/>
  <c r="C244" i="4"/>
  <c r="B244" i="4"/>
  <c r="I244" i="4" s="1"/>
  <c r="A244" i="4"/>
  <c r="H243" i="4"/>
  <c r="G243" i="4"/>
  <c r="F243" i="4"/>
  <c r="E243" i="4"/>
  <c r="D243" i="4"/>
  <c r="C243" i="4"/>
  <c r="A243" i="4"/>
  <c r="B243" i="4" s="1"/>
  <c r="I243" i="4" s="1"/>
  <c r="H242" i="4"/>
  <c r="G242" i="4"/>
  <c r="F242" i="4"/>
  <c r="E242" i="4"/>
  <c r="D242" i="4"/>
  <c r="C242" i="4"/>
  <c r="B242" i="4"/>
  <c r="I242" i="4" s="1"/>
  <c r="A242" i="4"/>
  <c r="H241" i="4"/>
  <c r="G241" i="4"/>
  <c r="F241" i="4"/>
  <c r="E241" i="4"/>
  <c r="D241" i="4"/>
  <c r="C241" i="4"/>
  <c r="A241" i="4"/>
  <c r="B241" i="4" s="1"/>
  <c r="I241" i="4" s="1"/>
  <c r="H240" i="4"/>
  <c r="G240" i="4"/>
  <c r="F240" i="4"/>
  <c r="E240" i="4"/>
  <c r="D240" i="4"/>
  <c r="C240" i="4"/>
  <c r="B240" i="4"/>
  <c r="I240" i="4" s="1"/>
  <c r="A240" i="4"/>
  <c r="H239" i="4"/>
  <c r="G239" i="4"/>
  <c r="F239" i="4"/>
  <c r="E239" i="4"/>
  <c r="D239" i="4"/>
  <c r="C239" i="4"/>
  <c r="A239" i="4"/>
  <c r="B239" i="4" s="1"/>
  <c r="I239" i="4" s="1"/>
  <c r="H238" i="4"/>
  <c r="G238" i="4"/>
  <c r="F238" i="4"/>
  <c r="E238" i="4"/>
  <c r="D238" i="4"/>
  <c r="C238" i="4"/>
  <c r="B238" i="4"/>
  <c r="I238" i="4" s="1"/>
  <c r="A238" i="4"/>
  <c r="H237" i="4"/>
  <c r="G237" i="4"/>
  <c r="F237" i="4"/>
  <c r="E237" i="4"/>
  <c r="D237" i="4"/>
  <c r="C237" i="4"/>
  <c r="A237" i="4"/>
  <c r="B237" i="4" s="1"/>
  <c r="I237" i="4" s="1"/>
  <c r="H236" i="4"/>
  <c r="G236" i="4"/>
  <c r="F236" i="4"/>
  <c r="E236" i="4"/>
  <c r="D236" i="4"/>
  <c r="C236" i="4"/>
  <c r="B236" i="4"/>
  <c r="I236" i="4" s="1"/>
  <c r="A236" i="4"/>
  <c r="H235" i="4"/>
  <c r="G235" i="4"/>
  <c r="F235" i="4"/>
  <c r="E235" i="4"/>
  <c r="D235" i="4"/>
  <c r="C235" i="4"/>
  <c r="A235" i="4"/>
  <c r="B235" i="4" s="1"/>
  <c r="I235" i="4" s="1"/>
  <c r="H234" i="4"/>
  <c r="G234" i="4"/>
  <c r="F234" i="4"/>
  <c r="E234" i="4"/>
  <c r="D234" i="4"/>
  <c r="C234" i="4"/>
  <c r="B234" i="4"/>
  <c r="I234" i="4" s="1"/>
  <c r="A234" i="4"/>
  <c r="H233" i="4"/>
  <c r="G233" i="4"/>
  <c r="F233" i="4"/>
  <c r="E233" i="4"/>
  <c r="D233" i="4"/>
  <c r="C233" i="4"/>
  <c r="A233" i="4"/>
  <c r="B233" i="4" s="1"/>
  <c r="I233" i="4" s="1"/>
  <c r="H232" i="4"/>
  <c r="G232" i="4"/>
  <c r="F232" i="4"/>
  <c r="E232" i="4"/>
  <c r="D232" i="4"/>
  <c r="C232" i="4"/>
  <c r="B232" i="4"/>
  <c r="I232" i="4" s="1"/>
  <c r="A232" i="4"/>
  <c r="H231" i="4"/>
  <c r="G231" i="4"/>
  <c r="F231" i="4"/>
  <c r="E231" i="4"/>
  <c r="D231" i="4"/>
  <c r="C231" i="4"/>
  <c r="A231" i="4"/>
  <c r="B231" i="4" s="1"/>
  <c r="I231" i="4" s="1"/>
  <c r="H230" i="4"/>
  <c r="G230" i="4"/>
  <c r="F230" i="4"/>
  <c r="E230" i="4"/>
  <c r="D230" i="4"/>
  <c r="C230" i="4"/>
  <c r="B230" i="4"/>
  <c r="I230" i="4" s="1"/>
  <c r="A230" i="4"/>
  <c r="H229" i="4"/>
  <c r="G229" i="4"/>
  <c r="F229" i="4"/>
  <c r="E229" i="4"/>
  <c r="D229" i="4"/>
  <c r="C229" i="4"/>
  <c r="A229" i="4"/>
  <c r="B229" i="4" s="1"/>
  <c r="I229" i="4" s="1"/>
  <c r="H228" i="4"/>
  <c r="G228" i="4"/>
  <c r="F228" i="4"/>
  <c r="E228" i="4"/>
  <c r="D228" i="4"/>
  <c r="C228" i="4"/>
  <c r="B228" i="4"/>
  <c r="I228" i="4" s="1"/>
  <c r="A228" i="4"/>
  <c r="H227" i="4"/>
  <c r="G227" i="4"/>
  <c r="F227" i="4"/>
  <c r="E227" i="4"/>
  <c r="D227" i="4"/>
  <c r="C227" i="4"/>
  <c r="A227" i="4"/>
  <c r="B227" i="4" s="1"/>
  <c r="I227" i="4" s="1"/>
  <c r="H226" i="4"/>
  <c r="G226" i="4"/>
  <c r="F226" i="4"/>
  <c r="E226" i="4"/>
  <c r="D226" i="4"/>
  <c r="C226" i="4"/>
  <c r="B226" i="4"/>
  <c r="I226" i="4" s="1"/>
  <c r="A226" i="4"/>
  <c r="H225" i="4"/>
  <c r="G225" i="4"/>
  <c r="F225" i="4"/>
  <c r="E225" i="4"/>
  <c r="D225" i="4"/>
  <c r="C225" i="4"/>
  <c r="A225" i="4"/>
  <c r="B225" i="4" s="1"/>
  <c r="I225" i="4" s="1"/>
  <c r="H224" i="4"/>
  <c r="G224" i="4"/>
  <c r="F224" i="4"/>
  <c r="E224" i="4"/>
  <c r="D224" i="4"/>
  <c r="C224" i="4"/>
  <c r="B224" i="4"/>
  <c r="I224" i="4" s="1"/>
  <c r="A224" i="4"/>
  <c r="H223" i="4"/>
  <c r="G223" i="4"/>
  <c r="F223" i="4"/>
  <c r="E223" i="4"/>
  <c r="D223" i="4"/>
  <c r="C223" i="4"/>
  <c r="A223" i="4"/>
  <c r="B223" i="4" s="1"/>
  <c r="I223" i="4" s="1"/>
  <c r="H222" i="4"/>
  <c r="G222" i="4"/>
  <c r="F222" i="4"/>
  <c r="E222" i="4"/>
  <c r="D222" i="4"/>
  <c r="C222" i="4"/>
  <c r="B222" i="4"/>
  <c r="I222" i="4" s="1"/>
  <c r="A222" i="4"/>
  <c r="H221" i="4"/>
  <c r="G221" i="4"/>
  <c r="F221" i="4"/>
  <c r="E221" i="4"/>
  <c r="D221" i="4"/>
  <c r="C221" i="4"/>
  <c r="A221" i="4"/>
  <c r="B221" i="4" s="1"/>
  <c r="I221" i="4" s="1"/>
  <c r="H220" i="4"/>
  <c r="G220" i="4"/>
  <c r="F220" i="4"/>
  <c r="E220" i="4"/>
  <c r="D220" i="4"/>
  <c r="C220" i="4"/>
  <c r="B220" i="4"/>
  <c r="I220" i="4" s="1"/>
  <c r="A220" i="4"/>
  <c r="H219" i="4"/>
  <c r="G219" i="4"/>
  <c r="F219" i="4"/>
  <c r="E219" i="4"/>
  <c r="D219" i="4"/>
  <c r="C219" i="4"/>
  <c r="A219" i="4"/>
  <c r="B219" i="4" s="1"/>
  <c r="I219" i="4" s="1"/>
  <c r="H218" i="4"/>
  <c r="G218" i="4"/>
  <c r="F218" i="4"/>
  <c r="E218" i="4"/>
  <c r="D218" i="4"/>
  <c r="C218" i="4"/>
  <c r="B218" i="4"/>
  <c r="I218" i="4" s="1"/>
  <c r="A218" i="4"/>
  <c r="H217" i="4"/>
  <c r="G217" i="4"/>
  <c r="F217" i="4"/>
  <c r="E217" i="4"/>
  <c r="D217" i="4"/>
  <c r="C217" i="4"/>
  <c r="A217" i="4"/>
  <c r="B217" i="4" s="1"/>
  <c r="I217" i="4" s="1"/>
  <c r="H216" i="4"/>
  <c r="G216" i="4"/>
  <c r="F216" i="4"/>
  <c r="E216" i="4"/>
  <c r="D216" i="4"/>
  <c r="C216" i="4"/>
  <c r="B216" i="4"/>
  <c r="I216" i="4" s="1"/>
  <c r="A216" i="4"/>
  <c r="H215" i="4"/>
  <c r="G215" i="4"/>
  <c r="F215" i="4"/>
  <c r="E215" i="4"/>
  <c r="D215" i="4"/>
  <c r="C215" i="4"/>
  <c r="A215" i="4"/>
  <c r="B215" i="4" s="1"/>
  <c r="I215" i="4" s="1"/>
  <c r="H214" i="4"/>
  <c r="G214" i="4"/>
  <c r="F214" i="4"/>
  <c r="E214" i="4"/>
  <c r="D214" i="4"/>
  <c r="C214" i="4"/>
  <c r="B214" i="4"/>
  <c r="I214" i="4" s="1"/>
  <c r="A214" i="4"/>
  <c r="H213" i="4"/>
  <c r="G213" i="4"/>
  <c r="F213" i="4"/>
  <c r="E213" i="4"/>
  <c r="D213" i="4"/>
  <c r="C213" i="4"/>
  <c r="A213" i="4"/>
  <c r="B213" i="4" s="1"/>
  <c r="I213" i="4" s="1"/>
  <c r="H212" i="4"/>
  <c r="G212" i="4"/>
  <c r="F212" i="4"/>
  <c r="E212" i="4"/>
  <c r="D212" i="4"/>
  <c r="C212" i="4"/>
  <c r="B212" i="4"/>
  <c r="I212" i="4" s="1"/>
  <c r="A212" i="4"/>
  <c r="H211" i="4"/>
  <c r="G211" i="4"/>
  <c r="F211" i="4"/>
  <c r="E211" i="4"/>
  <c r="D211" i="4"/>
  <c r="C211" i="4"/>
  <c r="A211" i="4"/>
  <c r="B211" i="4" s="1"/>
  <c r="I211" i="4" s="1"/>
  <c r="H210" i="4"/>
  <c r="G210" i="4"/>
  <c r="F210" i="4"/>
  <c r="E210" i="4"/>
  <c r="D210" i="4"/>
  <c r="C210" i="4"/>
  <c r="B210" i="4"/>
  <c r="I210" i="4" s="1"/>
  <c r="A210" i="4"/>
  <c r="H209" i="4"/>
  <c r="G209" i="4"/>
  <c r="F209" i="4"/>
  <c r="E209" i="4"/>
  <c r="D209" i="4"/>
  <c r="C209" i="4"/>
  <c r="A209" i="4"/>
  <c r="B209" i="4" s="1"/>
  <c r="I209" i="4" s="1"/>
  <c r="H208" i="4"/>
  <c r="G208" i="4"/>
  <c r="F208" i="4"/>
  <c r="E208" i="4"/>
  <c r="D208" i="4"/>
  <c r="C208" i="4"/>
  <c r="B208" i="4"/>
  <c r="I208" i="4" s="1"/>
  <c r="A208" i="4"/>
  <c r="H207" i="4"/>
  <c r="G207" i="4"/>
  <c r="F207" i="4"/>
  <c r="E207" i="4"/>
  <c r="D207" i="4"/>
  <c r="C207" i="4"/>
  <c r="A207" i="4"/>
  <c r="B207" i="4" s="1"/>
  <c r="I207" i="4" s="1"/>
  <c r="H206" i="4"/>
  <c r="G206" i="4"/>
  <c r="F206" i="4"/>
  <c r="E206" i="4"/>
  <c r="D206" i="4"/>
  <c r="C206" i="4"/>
  <c r="B206" i="4"/>
  <c r="I206" i="4" s="1"/>
  <c r="A206" i="4"/>
  <c r="H205" i="4"/>
  <c r="G205" i="4"/>
  <c r="F205" i="4"/>
  <c r="E205" i="4"/>
  <c r="D205" i="4"/>
  <c r="C205" i="4"/>
  <c r="A205" i="4"/>
  <c r="B205" i="4" s="1"/>
  <c r="I205" i="4" s="1"/>
  <c r="H204" i="4"/>
  <c r="G204" i="4"/>
  <c r="F204" i="4"/>
  <c r="E204" i="4"/>
  <c r="D204" i="4"/>
  <c r="C204" i="4"/>
  <c r="B204" i="4"/>
  <c r="I204" i="4" s="1"/>
  <c r="A204" i="4"/>
  <c r="H203" i="4"/>
  <c r="G203" i="4"/>
  <c r="F203" i="4"/>
  <c r="E203" i="4"/>
  <c r="D203" i="4"/>
  <c r="C203" i="4"/>
  <c r="A203" i="4"/>
  <c r="B203" i="4" s="1"/>
  <c r="I203" i="4" s="1"/>
  <c r="H202" i="4"/>
  <c r="G202" i="4"/>
  <c r="F202" i="4"/>
  <c r="E202" i="4"/>
  <c r="D202" i="4"/>
  <c r="C202" i="4"/>
  <c r="B202" i="4"/>
  <c r="I202" i="4" s="1"/>
  <c r="A202" i="4"/>
  <c r="H201" i="4"/>
  <c r="G201" i="4"/>
  <c r="F201" i="4"/>
  <c r="E201" i="4"/>
  <c r="D201" i="4"/>
  <c r="C201" i="4"/>
  <c r="A201" i="4"/>
  <c r="B201" i="4" s="1"/>
  <c r="I201" i="4" s="1"/>
  <c r="H200" i="4"/>
  <c r="G200" i="4"/>
  <c r="F200" i="4"/>
  <c r="E200" i="4"/>
  <c r="D200" i="4"/>
  <c r="C200" i="4"/>
  <c r="B200" i="4"/>
  <c r="I200" i="4" s="1"/>
  <c r="A200" i="4"/>
  <c r="H199" i="4"/>
  <c r="G199" i="4"/>
  <c r="F199" i="4"/>
  <c r="E199" i="4"/>
  <c r="D199" i="4"/>
  <c r="C199" i="4"/>
  <c r="A199" i="4"/>
  <c r="B199" i="4" s="1"/>
  <c r="I199" i="4" s="1"/>
  <c r="H198" i="4"/>
  <c r="G198" i="4"/>
  <c r="F198" i="4"/>
  <c r="E198" i="4"/>
  <c r="D198" i="4"/>
  <c r="C198" i="4"/>
  <c r="B198" i="4"/>
  <c r="I198" i="4" s="1"/>
  <c r="A198" i="4"/>
  <c r="H197" i="4"/>
  <c r="G197" i="4"/>
  <c r="F197" i="4"/>
  <c r="E197" i="4"/>
  <c r="D197" i="4"/>
  <c r="C197" i="4"/>
  <c r="A197" i="4"/>
  <c r="B197" i="4" s="1"/>
  <c r="I197" i="4" s="1"/>
  <c r="H196" i="4"/>
  <c r="G196" i="4"/>
  <c r="F196" i="4"/>
  <c r="E196" i="4"/>
  <c r="D196" i="4"/>
  <c r="C196" i="4"/>
  <c r="B196" i="4"/>
  <c r="I196" i="4" s="1"/>
  <c r="A196" i="4"/>
  <c r="H195" i="4"/>
  <c r="G195" i="4"/>
  <c r="F195" i="4"/>
  <c r="E195" i="4"/>
  <c r="D195" i="4"/>
  <c r="C195" i="4"/>
  <c r="A195" i="4"/>
  <c r="B195" i="4" s="1"/>
  <c r="I195" i="4" s="1"/>
  <c r="H194" i="4"/>
  <c r="G194" i="4"/>
  <c r="F194" i="4"/>
  <c r="E194" i="4"/>
  <c r="D194" i="4"/>
  <c r="C194" i="4"/>
  <c r="B194" i="4"/>
  <c r="I194" i="4" s="1"/>
  <c r="A194" i="4"/>
  <c r="H193" i="4"/>
  <c r="G193" i="4"/>
  <c r="F193" i="4"/>
  <c r="E193" i="4"/>
  <c r="D193" i="4"/>
  <c r="C193" i="4"/>
  <c r="A193" i="4"/>
  <c r="B193" i="4" s="1"/>
  <c r="I193" i="4" s="1"/>
  <c r="H192" i="4"/>
  <c r="G192" i="4"/>
  <c r="F192" i="4"/>
  <c r="E192" i="4"/>
  <c r="D192" i="4"/>
  <c r="C192" i="4"/>
  <c r="B192" i="4"/>
  <c r="I192" i="4" s="1"/>
  <c r="A192" i="4"/>
  <c r="H191" i="4"/>
  <c r="G191" i="4"/>
  <c r="F191" i="4"/>
  <c r="E191" i="4"/>
  <c r="D191" i="4"/>
  <c r="C191" i="4"/>
  <c r="A191" i="4"/>
  <c r="B191" i="4" s="1"/>
  <c r="I191" i="4" s="1"/>
  <c r="H190" i="4"/>
  <c r="G190" i="4"/>
  <c r="F190" i="4"/>
  <c r="E190" i="4"/>
  <c r="D190" i="4"/>
  <c r="C190" i="4"/>
  <c r="B190" i="4"/>
  <c r="I190" i="4" s="1"/>
  <c r="A190" i="4"/>
  <c r="H189" i="4"/>
  <c r="G189" i="4"/>
  <c r="F189" i="4"/>
  <c r="E189" i="4"/>
  <c r="D189" i="4"/>
  <c r="C189" i="4"/>
  <c r="A189" i="4"/>
  <c r="B189" i="4" s="1"/>
  <c r="I189" i="4" s="1"/>
  <c r="H188" i="4"/>
  <c r="G188" i="4"/>
  <c r="F188" i="4"/>
  <c r="E188" i="4"/>
  <c r="D188" i="4"/>
  <c r="C188" i="4"/>
  <c r="B188" i="4"/>
  <c r="I188" i="4" s="1"/>
  <c r="A188" i="4"/>
  <c r="H187" i="4"/>
  <c r="G187" i="4"/>
  <c r="F187" i="4"/>
  <c r="E187" i="4"/>
  <c r="D187" i="4"/>
  <c r="C187" i="4"/>
  <c r="A187" i="4"/>
  <c r="B187" i="4" s="1"/>
  <c r="I187" i="4" s="1"/>
  <c r="H186" i="4"/>
  <c r="G186" i="4"/>
  <c r="F186" i="4"/>
  <c r="E186" i="4"/>
  <c r="D186" i="4"/>
  <c r="C186" i="4"/>
  <c r="B186" i="4"/>
  <c r="I186" i="4" s="1"/>
  <c r="A186" i="4"/>
  <c r="H185" i="4"/>
  <c r="G185" i="4"/>
  <c r="F185" i="4"/>
  <c r="E185" i="4"/>
  <c r="D185" i="4"/>
  <c r="C185" i="4"/>
  <c r="A185" i="4"/>
  <c r="B185" i="4" s="1"/>
  <c r="I185" i="4" s="1"/>
  <c r="H184" i="4"/>
  <c r="G184" i="4"/>
  <c r="F184" i="4"/>
  <c r="E184" i="4"/>
  <c r="D184" i="4"/>
  <c r="C184" i="4"/>
  <c r="B184" i="4"/>
  <c r="I184" i="4" s="1"/>
  <c r="A184" i="4"/>
  <c r="H183" i="4"/>
  <c r="G183" i="4"/>
  <c r="F183" i="4"/>
  <c r="E183" i="4"/>
  <c r="D183" i="4"/>
  <c r="C183" i="4"/>
  <c r="A183" i="4"/>
  <c r="B183" i="4" s="1"/>
  <c r="I183" i="4" s="1"/>
  <c r="H182" i="4"/>
  <c r="G182" i="4"/>
  <c r="F182" i="4"/>
  <c r="E182" i="4"/>
  <c r="D182" i="4"/>
  <c r="C182" i="4"/>
  <c r="B182" i="4"/>
  <c r="I182" i="4" s="1"/>
  <c r="A182" i="4"/>
  <c r="H181" i="4"/>
  <c r="G181" i="4"/>
  <c r="F181" i="4"/>
  <c r="E181" i="4"/>
  <c r="D181" i="4"/>
  <c r="C181" i="4"/>
  <c r="A181" i="4"/>
  <c r="B181" i="4" s="1"/>
  <c r="I181" i="4" s="1"/>
  <c r="H180" i="4"/>
  <c r="G180" i="4"/>
  <c r="F180" i="4"/>
  <c r="E180" i="4"/>
  <c r="D180" i="4"/>
  <c r="C180" i="4"/>
  <c r="B180" i="4"/>
  <c r="I180" i="4" s="1"/>
  <c r="A180" i="4"/>
  <c r="H179" i="4"/>
  <c r="G179" i="4"/>
  <c r="F179" i="4"/>
  <c r="E179" i="4"/>
  <c r="D179" i="4"/>
  <c r="C179" i="4"/>
  <c r="A179" i="4"/>
  <c r="B179" i="4" s="1"/>
  <c r="I179" i="4" s="1"/>
  <c r="H178" i="4"/>
  <c r="G178" i="4"/>
  <c r="F178" i="4"/>
  <c r="E178" i="4"/>
  <c r="D178" i="4"/>
  <c r="C178" i="4"/>
  <c r="B178" i="4"/>
  <c r="I178" i="4" s="1"/>
  <c r="A178" i="4"/>
  <c r="H177" i="4"/>
  <c r="G177" i="4"/>
  <c r="F177" i="4"/>
  <c r="E177" i="4"/>
  <c r="D177" i="4"/>
  <c r="C177" i="4"/>
  <c r="A177" i="4"/>
  <c r="B177" i="4" s="1"/>
  <c r="I177" i="4" s="1"/>
  <c r="H176" i="4"/>
  <c r="G176" i="4"/>
  <c r="F176" i="4"/>
  <c r="E176" i="4"/>
  <c r="D176" i="4"/>
  <c r="C176" i="4"/>
  <c r="B176" i="4"/>
  <c r="I176" i="4" s="1"/>
  <c r="A176" i="4"/>
  <c r="H175" i="4"/>
  <c r="G175" i="4"/>
  <c r="F175" i="4"/>
  <c r="E175" i="4"/>
  <c r="D175" i="4"/>
  <c r="C175" i="4"/>
  <c r="A175" i="4"/>
  <c r="B175" i="4" s="1"/>
  <c r="I175" i="4" s="1"/>
  <c r="H174" i="4"/>
  <c r="G174" i="4"/>
  <c r="F174" i="4"/>
  <c r="E174" i="4"/>
  <c r="D174" i="4"/>
  <c r="C174" i="4"/>
  <c r="B174" i="4"/>
  <c r="I174" i="4" s="1"/>
  <c r="A174" i="4"/>
  <c r="H173" i="4"/>
  <c r="G173" i="4"/>
  <c r="F173" i="4"/>
  <c r="E173" i="4"/>
  <c r="D173" i="4"/>
  <c r="C173" i="4"/>
  <c r="A173" i="4"/>
  <c r="B173" i="4" s="1"/>
  <c r="I173" i="4" s="1"/>
  <c r="H172" i="4"/>
  <c r="G172" i="4"/>
  <c r="F172" i="4"/>
  <c r="E172" i="4"/>
  <c r="D172" i="4"/>
  <c r="C172" i="4"/>
  <c r="B172" i="4"/>
  <c r="I172" i="4" s="1"/>
  <c r="A172" i="4"/>
  <c r="H171" i="4"/>
  <c r="G171" i="4"/>
  <c r="F171" i="4"/>
  <c r="E171" i="4"/>
  <c r="D171" i="4"/>
  <c r="C171" i="4"/>
  <c r="A171" i="4"/>
  <c r="B171" i="4" s="1"/>
  <c r="I171" i="4" s="1"/>
  <c r="H170" i="4"/>
  <c r="G170" i="4"/>
  <c r="F170" i="4"/>
  <c r="E170" i="4"/>
  <c r="D170" i="4"/>
  <c r="C170" i="4"/>
  <c r="B170" i="4"/>
  <c r="I170" i="4" s="1"/>
  <c r="A170" i="4"/>
  <c r="H169" i="4"/>
  <c r="G169" i="4"/>
  <c r="F169" i="4"/>
  <c r="E169" i="4"/>
  <c r="D169" i="4"/>
  <c r="C169" i="4"/>
  <c r="A169" i="4"/>
  <c r="B169" i="4" s="1"/>
  <c r="I169" i="4" s="1"/>
  <c r="H168" i="4"/>
  <c r="G168" i="4"/>
  <c r="F168" i="4"/>
  <c r="E168" i="4"/>
  <c r="D168" i="4"/>
  <c r="C168" i="4"/>
  <c r="B168" i="4"/>
  <c r="I168" i="4" s="1"/>
  <c r="A168" i="4"/>
  <c r="H167" i="4"/>
  <c r="G167" i="4"/>
  <c r="F167" i="4"/>
  <c r="E167" i="4"/>
  <c r="D167" i="4"/>
  <c r="C167" i="4"/>
  <c r="A167" i="4"/>
  <c r="B167" i="4" s="1"/>
  <c r="I167" i="4" s="1"/>
  <c r="H166" i="4"/>
  <c r="G166" i="4"/>
  <c r="F166" i="4"/>
  <c r="E166" i="4"/>
  <c r="D166" i="4"/>
  <c r="C166" i="4"/>
  <c r="B166" i="4"/>
  <c r="I166" i="4" s="1"/>
  <c r="A166" i="4"/>
  <c r="H165" i="4"/>
  <c r="G165" i="4"/>
  <c r="F165" i="4"/>
  <c r="E165" i="4"/>
  <c r="D165" i="4"/>
  <c r="C165" i="4"/>
  <c r="A165" i="4"/>
  <c r="B165" i="4" s="1"/>
  <c r="I165" i="4" s="1"/>
  <c r="H164" i="4"/>
  <c r="G164" i="4"/>
  <c r="F164" i="4"/>
  <c r="E164" i="4"/>
  <c r="D164" i="4"/>
  <c r="C164" i="4"/>
  <c r="B164" i="4"/>
  <c r="I164" i="4" s="1"/>
  <c r="A164" i="4"/>
  <c r="H163" i="4"/>
  <c r="G163" i="4"/>
  <c r="F163" i="4"/>
  <c r="E163" i="4"/>
  <c r="D163" i="4"/>
  <c r="C163" i="4"/>
  <c r="A163" i="4"/>
  <c r="B163" i="4" s="1"/>
  <c r="I163" i="4" s="1"/>
  <c r="H162" i="4"/>
  <c r="G162" i="4"/>
  <c r="F162" i="4"/>
  <c r="E162" i="4"/>
  <c r="D162" i="4"/>
  <c r="C162" i="4"/>
  <c r="B162" i="4"/>
  <c r="I162" i="4" s="1"/>
  <c r="A162" i="4"/>
  <c r="H161" i="4"/>
  <c r="G161" i="4"/>
  <c r="F161" i="4"/>
  <c r="E161" i="4"/>
  <c r="D161" i="4"/>
  <c r="C161" i="4"/>
  <c r="A161" i="4"/>
  <c r="B161" i="4" s="1"/>
  <c r="I161" i="4" s="1"/>
  <c r="H160" i="4"/>
  <c r="G160" i="4"/>
  <c r="F160" i="4"/>
  <c r="E160" i="4"/>
  <c r="D160" i="4"/>
  <c r="C160" i="4"/>
  <c r="B160" i="4"/>
  <c r="I160" i="4" s="1"/>
  <c r="A160" i="4"/>
  <c r="H159" i="4"/>
  <c r="G159" i="4"/>
  <c r="F159" i="4"/>
  <c r="E159" i="4"/>
  <c r="D159" i="4"/>
  <c r="C159" i="4"/>
  <c r="A159" i="4"/>
  <c r="B159" i="4" s="1"/>
  <c r="I159" i="4" s="1"/>
  <c r="H158" i="4"/>
  <c r="G158" i="4"/>
  <c r="F158" i="4"/>
  <c r="E158" i="4"/>
  <c r="D158" i="4"/>
  <c r="C158" i="4"/>
  <c r="B158" i="4"/>
  <c r="I158" i="4" s="1"/>
  <c r="A158" i="4"/>
  <c r="H157" i="4"/>
  <c r="G157" i="4"/>
  <c r="F157" i="4"/>
  <c r="E157" i="4"/>
  <c r="D157" i="4"/>
  <c r="C157" i="4"/>
  <c r="A157" i="4"/>
  <c r="B157" i="4" s="1"/>
  <c r="I157" i="4" s="1"/>
  <c r="H156" i="4"/>
  <c r="G156" i="4"/>
  <c r="F156" i="4"/>
  <c r="E156" i="4"/>
  <c r="D156" i="4"/>
  <c r="C156" i="4"/>
  <c r="B156" i="4"/>
  <c r="I156" i="4" s="1"/>
  <c r="A156" i="4"/>
  <c r="H155" i="4"/>
  <c r="G155" i="4"/>
  <c r="F155" i="4"/>
  <c r="E155" i="4"/>
  <c r="D155" i="4"/>
  <c r="C155" i="4"/>
  <c r="A155" i="4"/>
  <c r="B155" i="4" s="1"/>
  <c r="I155" i="4" s="1"/>
  <c r="H154" i="4"/>
  <c r="G154" i="4"/>
  <c r="F154" i="4"/>
  <c r="E154" i="4"/>
  <c r="D154" i="4"/>
  <c r="C154" i="4"/>
  <c r="B154" i="4"/>
  <c r="I154" i="4" s="1"/>
  <c r="A154" i="4"/>
  <c r="H153" i="4"/>
  <c r="G153" i="4"/>
  <c r="F153" i="4"/>
  <c r="E153" i="4"/>
  <c r="D153" i="4"/>
  <c r="C153" i="4"/>
  <c r="A153" i="4"/>
  <c r="B153" i="4" s="1"/>
  <c r="I153" i="4" s="1"/>
  <c r="H152" i="4"/>
  <c r="G152" i="4"/>
  <c r="F152" i="4"/>
  <c r="E152" i="4"/>
  <c r="D152" i="4"/>
  <c r="C152" i="4"/>
  <c r="B152" i="4"/>
  <c r="I152" i="4" s="1"/>
  <c r="A152" i="4"/>
  <c r="H151" i="4"/>
  <c r="G151" i="4"/>
  <c r="F151" i="4"/>
  <c r="E151" i="4"/>
  <c r="D151" i="4"/>
  <c r="C151" i="4"/>
  <c r="A151" i="4"/>
  <c r="B151" i="4" s="1"/>
  <c r="I151" i="4" s="1"/>
  <c r="H150" i="4"/>
  <c r="G150" i="4"/>
  <c r="F150" i="4"/>
  <c r="E150" i="4"/>
  <c r="D150" i="4"/>
  <c r="C150" i="4"/>
  <c r="B150" i="4"/>
  <c r="I150" i="4" s="1"/>
  <c r="A150" i="4"/>
  <c r="H149" i="4"/>
  <c r="G149" i="4"/>
  <c r="F149" i="4"/>
  <c r="E149" i="4"/>
  <c r="D149" i="4"/>
  <c r="C149" i="4"/>
  <c r="A149" i="4"/>
  <c r="B149" i="4" s="1"/>
  <c r="I149" i="4" s="1"/>
  <c r="H148" i="4"/>
  <c r="G148" i="4"/>
  <c r="F148" i="4"/>
  <c r="E148" i="4"/>
  <c r="D148" i="4"/>
  <c r="C148" i="4"/>
  <c r="B148" i="4"/>
  <c r="I148" i="4" s="1"/>
  <c r="A148" i="4"/>
  <c r="H147" i="4"/>
  <c r="G147" i="4"/>
  <c r="F147" i="4"/>
  <c r="E147" i="4"/>
  <c r="D147" i="4"/>
  <c r="C147" i="4"/>
  <c r="A147" i="4"/>
  <c r="B147" i="4" s="1"/>
  <c r="I147" i="4" s="1"/>
  <c r="H146" i="4"/>
  <c r="G146" i="4"/>
  <c r="F146" i="4"/>
  <c r="E146" i="4"/>
  <c r="D146" i="4"/>
  <c r="C146" i="4"/>
  <c r="A146" i="4"/>
  <c r="B146" i="4" s="1"/>
  <c r="I146" i="4" s="1"/>
  <c r="H145" i="4"/>
  <c r="G145" i="4"/>
  <c r="F145" i="4"/>
  <c r="E145" i="4"/>
  <c r="D145" i="4"/>
  <c r="C145" i="4"/>
  <c r="B145" i="4"/>
  <c r="I145" i="4" s="1"/>
  <c r="A145" i="4"/>
  <c r="H144" i="4"/>
  <c r="G144" i="4"/>
  <c r="F144" i="4"/>
  <c r="E144" i="4"/>
  <c r="D144" i="4"/>
  <c r="C144" i="4"/>
  <c r="B144" i="4"/>
  <c r="I144" i="4" s="1"/>
  <c r="A144" i="4"/>
  <c r="H143" i="4"/>
  <c r="G143" i="4"/>
  <c r="F143" i="4"/>
  <c r="E143" i="4"/>
  <c r="D143" i="4"/>
  <c r="C143" i="4"/>
  <c r="A143" i="4"/>
  <c r="B143" i="4" s="1"/>
  <c r="I143" i="4" s="1"/>
  <c r="H142" i="4"/>
  <c r="G142" i="4"/>
  <c r="F142" i="4"/>
  <c r="E142" i="4"/>
  <c r="D142" i="4"/>
  <c r="C142" i="4"/>
  <c r="B142" i="4"/>
  <c r="I142" i="4" s="1"/>
  <c r="A142" i="4"/>
  <c r="H141" i="4"/>
  <c r="G141" i="4"/>
  <c r="F141" i="4"/>
  <c r="E141" i="4"/>
  <c r="D141" i="4"/>
  <c r="C141" i="4"/>
  <c r="A141" i="4"/>
  <c r="B141" i="4" s="1"/>
  <c r="I141" i="4" s="1"/>
  <c r="H140" i="4"/>
  <c r="G140" i="4"/>
  <c r="F140" i="4"/>
  <c r="E140" i="4"/>
  <c r="D140" i="4"/>
  <c r="C140" i="4"/>
  <c r="B140" i="4"/>
  <c r="I140" i="4" s="1"/>
  <c r="A140" i="4"/>
  <c r="H139" i="4"/>
  <c r="G139" i="4"/>
  <c r="F139" i="4"/>
  <c r="E139" i="4"/>
  <c r="D139" i="4"/>
  <c r="C139" i="4"/>
  <c r="A139" i="4"/>
  <c r="B139" i="4" s="1"/>
  <c r="I139" i="4" s="1"/>
  <c r="H138" i="4"/>
  <c r="G138" i="4"/>
  <c r="F138" i="4"/>
  <c r="E138" i="4"/>
  <c r="D138" i="4"/>
  <c r="C138" i="4"/>
  <c r="B138" i="4"/>
  <c r="I138" i="4" s="1"/>
  <c r="A138" i="4"/>
  <c r="H137" i="4"/>
  <c r="G137" i="4"/>
  <c r="F137" i="4"/>
  <c r="E137" i="4"/>
  <c r="D137" i="4"/>
  <c r="C137" i="4"/>
  <c r="A137" i="4"/>
  <c r="B137" i="4" s="1"/>
  <c r="I137" i="4" s="1"/>
  <c r="H136" i="4"/>
  <c r="G136" i="4"/>
  <c r="F136" i="4"/>
  <c r="E136" i="4"/>
  <c r="D136" i="4"/>
  <c r="C136" i="4"/>
  <c r="B136" i="4"/>
  <c r="A136" i="4"/>
  <c r="H135" i="4"/>
  <c r="G135" i="4"/>
  <c r="F135" i="4"/>
  <c r="E135" i="4"/>
  <c r="D135" i="4"/>
  <c r="C135" i="4"/>
  <c r="A135" i="4"/>
  <c r="B135" i="4" s="1"/>
  <c r="I135" i="4" s="1"/>
  <c r="H134" i="4"/>
  <c r="G134" i="4"/>
  <c r="F134" i="4"/>
  <c r="E134" i="4"/>
  <c r="D134" i="4"/>
  <c r="C134" i="4"/>
  <c r="B134" i="4"/>
  <c r="A134" i="4"/>
  <c r="H133" i="4"/>
  <c r="G133" i="4"/>
  <c r="F133" i="4"/>
  <c r="E133" i="4"/>
  <c r="D133" i="4"/>
  <c r="C133" i="4"/>
  <c r="A133" i="4"/>
  <c r="B133" i="4" s="1"/>
  <c r="I133" i="4" s="1"/>
  <c r="H132" i="4"/>
  <c r="G132" i="4"/>
  <c r="F132" i="4"/>
  <c r="E132" i="4"/>
  <c r="D132" i="4"/>
  <c r="C132" i="4"/>
  <c r="B132" i="4"/>
  <c r="A132" i="4"/>
  <c r="H131" i="4"/>
  <c r="G131" i="4"/>
  <c r="F131" i="4"/>
  <c r="E131" i="4"/>
  <c r="D131" i="4"/>
  <c r="C131" i="4"/>
  <c r="A131" i="4"/>
  <c r="B131" i="4" s="1"/>
  <c r="I131" i="4" s="1"/>
  <c r="H130" i="4"/>
  <c r="G130" i="4"/>
  <c r="F130" i="4"/>
  <c r="E130" i="4"/>
  <c r="D130" i="4"/>
  <c r="C130" i="4"/>
  <c r="B130" i="4"/>
  <c r="I130" i="4" s="1"/>
  <c r="A130" i="4"/>
  <c r="H129" i="4"/>
  <c r="G129" i="4"/>
  <c r="F129" i="4"/>
  <c r="E129" i="4"/>
  <c r="D129" i="4"/>
  <c r="C129" i="4"/>
  <c r="A129" i="4"/>
  <c r="B129" i="4" s="1"/>
  <c r="I129" i="4" s="1"/>
  <c r="H128" i="4"/>
  <c r="G128" i="4"/>
  <c r="F128" i="4"/>
  <c r="E128" i="4"/>
  <c r="D128" i="4"/>
  <c r="C128" i="4"/>
  <c r="B128" i="4"/>
  <c r="A128" i="4"/>
  <c r="H127" i="4"/>
  <c r="G127" i="4"/>
  <c r="F127" i="4"/>
  <c r="E127" i="4"/>
  <c r="D127" i="4"/>
  <c r="C127" i="4"/>
  <c r="A127" i="4"/>
  <c r="B127" i="4" s="1"/>
  <c r="I127" i="4" s="1"/>
  <c r="H126" i="4"/>
  <c r="G126" i="4"/>
  <c r="F126" i="4"/>
  <c r="E126" i="4"/>
  <c r="D126" i="4"/>
  <c r="C126" i="4"/>
  <c r="B126" i="4"/>
  <c r="A126" i="4"/>
  <c r="H125" i="4"/>
  <c r="G125" i="4"/>
  <c r="F125" i="4"/>
  <c r="E125" i="4"/>
  <c r="D125" i="4"/>
  <c r="C125" i="4"/>
  <c r="A125" i="4"/>
  <c r="B125" i="4" s="1"/>
  <c r="I125" i="4" s="1"/>
  <c r="H124" i="4"/>
  <c r="G124" i="4"/>
  <c r="F124" i="4"/>
  <c r="E124" i="4"/>
  <c r="D124" i="4"/>
  <c r="C124" i="4"/>
  <c r="B124" i="4"/>
  <c r="A124" i="4"/>
  <c r="H123" i="4"/>
  <c r="G123" i="4"/>
  <c r="F123" i="4"/>
  <c r="E123" i="4"/>
  <c r="D123" i="4"/>
  <c r="C123" i="4"/>
  <c r="A123" i="4"/>
  <c r="B123" i="4" s="1"/>
  <c r="I123" i="4" s="1"/>
  <c r="H122" i="4"/>
  <c r="G122" i="4"/>
  <c r="F122" i="4"/>
  <c r="E122" i="4"/>
  <c r="D122" i="4"/>
  <c r="C122" i="4"/>
  <c r="B122" i="4"/>
  <c r="I122" i="4" s="1"/>
  <c r="A122" i="4"/>
  <c r="H121" i="4"/>
  <c r="G121" i="4"/>
  <c r="F121" i="4"/>
  <c r="E121" i="4"/>
  <c r="D121" i="4"/>
  <c r="C121" i="4"/>
  <c r="A121" i="4"/>
  <c r="B121" i="4" s="1"/>
  <c r="I121" i="4" s="1"/>
  <c r="H120" i="4"/>
  <c r="G120" i="4"/>
  <c r="F120" i="4"/>
  <c r="E120" i="4"/>
  <c r="D120" i="4"/>
  <c r="C120" i="4"/>
  <c r="B120" i="4"/>
  <c r="A120" i="4"/>
  <c r="I119" i="4"/>
  <c r="H119" i="4"/>
  <c r="G119" i="4"/>
  <c r="F119" i="4"/>
  <c r="E119" i="4"/>
  <c r="D119" i="4"/>
  <c r="C119" i="4"/>
  <c r="A119" i="4"/>
  <c r="B119" i="4" s="1"/>
  <c r="H118" i="4"/>
  <c r="G118" i="4"/>
  <c r="F118" i="4"/>
  <c r="E118" i="4"/>
  <c r="D118" i="4"/>
  <c r="C118" i="4"/>
  <c r="B118" i="4"/>
  <c r="A118" i="4"/>
  <c r="I117" i="4"/>
  <c r="H117" i="4"/>
  <c r="G117" i="4"/>
  <c r="F117" i="4"/>
  <c r="E117" i="4"/>
  <c r="D117" i="4"/>
  <c r="C117" i="4"/>
  <c r="A117" i="4"/>
  <c r="B117" i="4" s="1"/>
  <c r="H116" i="4"/>
  <c r="G116" i="4"/>
  <c r="F116" i="4"/>
  <c r="E116" i="4"/>
  <c r="D116" i="4"/>
  <c r="C116" i="4"/>
  <c r="B116" i="4"/>
  <c r="A116" i="4"/>
  <c r="I115" i="4"/>
  <c r="H115" i="4"/>
  <c r="G115" i="4"/>
  <c r="F115" i="4"/>
  <c r="E115" i="4"/>
  <c r="D115" i="4"/>
  <c r="C115" i="4"/>
  <c r="A115" i="4"/>
  <c r="B115" i="4" s="1"/>
  <c r="H114" i="4"/>
  <c r="G114" i="4"/>
  <c r="F114" i="4"/>
  <c r="E114" i="4"/>
  <c r="D114" i="4"/>
  <c r="C114" i="4"/>
  <c r="A114" i="4"/>
  <c r="B114" i="4" s="1"/>
  <c r="I114" i="4" s="1"/>
  <c r="H113" i="4"/>
  <c r="G113" i="4"/>
  <c r="F113" i="4"/>
  <c r="E113" i="4"/>
  <c r="D113" i="4"/>
  <c r="C113" i="4"/>
  <c r="B113" i="4"/>
  <c r="I113" i="4" s="1"/>
  <c r="A113" i="4"/>
  <c r="H112" i="4"/>
  <c r="G112" i="4"/>
  <c r="F112" i="4"/>
  <c r="E112" i="4"/>
  <c r="D112" i="4"/>
  <c r="C112" i="4"/>
  <c r="B112" i="4"/>
  <c r="I112" i="4" s="1"/>
  <c r="A112" i="4"/>
  <c r="H111" i="4"/>
  <c r="G111" i="4"/>
  <c r="F111" i="4"/>
  <c r="E111" i="4"/>
  <c r="D111" i="4"/>
  <c r="C111" i="4"/>
  <c r="A111" i="4"/>
  <c r="B111" i="4" s="1"/>
  <c r="I111" i="4" s="1"/>
  <c r="H110" i="4"/>
  <c r="G110" i="4"/>
  <c r="F110" i="4"/>
  <c r="E110" i="4"/>
  <c r="D110" i="4"/>
  <c r="C110" i="4"/>
  <c r="B110" i="4"/>
  <c r="I110" i="4" s="1"/>
  <c r="A110" i="4"/>
  <c r="H109" i="4"/>
  <c r="G109" i="4"/>
  <c r="F109" i="4"/>
  <c r="E109" i="4"/>
  <c r="D109" i="4"/>
  <c r="C109" i="4"/>
  <c r="A109" i="4"/>
  <c r="B109" i="4" s="1"/>
  <c r="I109" i="4" s="1"/>
  <c r="H108" i="4"/>
  <c r="G108" i="4"/>
  <c r="F108" i="4"/>
  <c r="E108" i="4"/>
  <c r="D108" i="4"/>
  <c r="C108" i="4"/>
  <c r="B108" i="4"/>
  <c r="I108" i="4" s="1"/>
  <c r="A108" i="4"/>
  <c r="H107" i="4"/>
  <c r="G107" i="4"/>
  <c r="F107" i="4"/>
  <c r="E107" i="4"/>
  <c r="D107" i="4"/>
  <c r="C107" i="4"/>
  <c r="A107" i="4"/>
  <c r="B107" i="4" s="1"/>
  <c r="I107" i="4" s="1"/>
  <c r="H106" i="4"/>
  <c r="G106" i="4"/>
  <c r="F106" i="4"/>
  <c r="E106" i="4"/>
  <c r="D106" i="4"/>
  <c r="C106" i="4"/>
  <c r="B106" i="4"/>
  <c r="I106" i="4" s="1"/>
  <c r="A106" i="4"/>
  <c r="H105" i="4"/>
  <c r="G105" i="4"/>
  <c r="F105" i="4"/>
  <c r="E105" i="4"/>
  <c r="D105" i="4"/>
  <c r="C105" i="4"/>
  <c r="A105" i="4"/>
  <c r="B105" i="4" s="1"/>
  <c r="I105" i="4" s="1"/>
  <c r="H104" i="4"/>
  <c r="G104" i="4"/>
  <c r="F104" i="4"/>
  <c r="E104" i="4"/>
  <c r="D104" i="4"/>
  <c r="C104" i="4"/>
  <c r="B104" i="4"/>
  <c r="A104" i="4"/>
  <c r="H103" i="4"/>
  <c r="G103" i="4"/>
  <c r="F103" i="4"/>
  <c r="E103" i="4"/>
  <c r="D103" i="4"/>
  <c r="C103" i="4"/>
  <c r="A103" i="4"/>
  <c r="B103" i="4" s="1"/>
  <c r="I103" i="4" s="1"/>
  <c r="H102" i="4"/>
  <c r="G102" i="4"/>
  <c r="F102" i="4"/>
  <c r="E102" i="4"/>
  <c r="D102" i="4"/>
  <c r="C102" i="4"/>
  <c r="B102" i="4"/>
  <c r="A102" i="4"/>
  <c r="H101" i="4"/>
  <c r="G101" i="4"/>
  <c r="F101" i="4"/>
  <c r="E101" i="4"/>
  <c r="D101" i="4"/>
  <c r="C101" i="4"/>
  <c r="A101" i="4"/>
  <c r="B101" i="4" s="1"/>
  <c r="I101" i="4" s="1"/>
  <c r="H100" i="4"/>
  <c r="G100" i="4"/>
  <c r="F100" i="4"/>
  <c r="E100" i="4"/>
  <c r="D100" i="4"/>
  <c r="C100" i="4"/>
  <c r="B100" i="4"/>
  <c r="A100" i="4"/>
  <c r="H99" i="4"/>
  <c r="G99" i="4"/>
  <c r="F99" i="4"/>
  <c r="E99" i="4"/>
  <c r="D99" i="4"/>
  <c r="C99" i="4"/>
  <c r="A99" i="4"/>
  <c r="B99" i="4" s="1"/>
  <c r="I99" i="4" s="1"/>
  <c r="H98" i="4"/>
  <c r="G98" i="4"/>
  <c r="F98" i="4"/>
  <c r="E98" i="4"/>
  <c r="D98" i="4"/>
  <c r="C98" i="4"/>
  <c r="B98" i="4"/>
  <c r="I98" i="4" s="1"/>
  <c r="A98" i="4"/>
  <c r="H97" i="4"/>
  <c r="G97" i="4"/>
  <c r="F97" i="4"/>
  <c r="E97" i="4"/>
  <c r="D97" i="4"/>
  <c r="C97" i="4"/>
  <c r="A97" i="4"/>
  <c r="B97" i="4" s="1"/>
  <c r="I97" i="4" s="1"/>
  <c r="H96" i="4"/>
  <c r="G96" i="4"/>
  <c r="F96" i="4"/>
  <c r="E96" i="4"/>
  <c r="D96" i="4"/>
  <c r="C96" i="4"/>
  <c r="B96" i="4"/>
  <c r="A96" i="4"/>
  <c r="H95" i="4"/>
  <c r="G95" i="4"/>
  <c r="F95" i="4"/>
  <c r="E95" i="4"/>
  <c r="D95" i="4"/>
  <c r="C95" i="4"/>
  <c r="A95" i="4"/>
  <c r="B95" i="4" s="1"/>
  <c r="I95" i="4" s="1"/>
  <c r="H94" i="4"/>
  <c r="G94" i="4"/>
  <c r="F94" i="4"/>
  <c r="E94" i="4"/>
  <c r="D94" i="4"/>
  <c r="C94" i="4"/>
  <c r="B94" i="4"/>
  <c r="A94" i="4"/>
  <c r="H93" i="4"/>
  <c r="G93" i="4"/>
  <c r="F93" i="4"/>
  <c r="E93" i="4"/>
  <c r="D93" i="4"/>
  <c r="C93" i="4"/>
  <c r="A93" i="4"/>
  <c r="B93" i="4" s="1"/>
  <c r="I93" i="4" s="1"/>
  <c r="H92" i="4"/>
  <c r="G92" i="4"/>
  <c r="F92" i="4"/>
  <c r="E92" i="4"/>
  <c r="D92" i="4"/>
  <c r="C92" i="4"/>
  <c r="B92" i="4"/>
  <c r="A92" i="4"/>
  <c r="H91" i="4"/>
  <c r="G91" i="4"/>
  <c r="F91" i="4"/>
  <c r="E91" i="4"/>
  <c r="D91" i="4"/>
  <c r="C91" i="4"/>
  <c r="A91" i="4"/>
  <c r="B91" i="4" s="1"/>
  <c r="I91" i="4" s="1"/>
  <c r="H90" i="4"/>
  <c r="G90" i="4"/>
  <c r="F90" i="4"/>
  <c r="E90" i="4"/>
  <c r="D90" i="4"/>
  <c r="C90" i="4"/>
  <c r="B90" i="4"/>
  <c r="I90" i="4" s="1"/>
  <c r="A90" i="4"/>
  <c r="H89" i="4"/>
  <c r="G89" i="4"/>
  <c r="F89" i="4"/>
  <c r="E89" i="4"/>
  <c r="D89" i="4"/>
  <c r="C89" i="4"/>
  <c r="A89" i="4"/>
  <c r="B89" i="4" s="1"/>
  <c r="I89" i="4" s="1"/>
  <c r="H88" i="4"/>
  <c r="G88" i="4"/>
  <c r="F88" i="4"/>
  <c r="E88" i="4"/>
  <c r="D88" i="4"/>
  <c r="C88" i="4"/>
  <c r="B88" i="4"/>
  <c r="A88" i="4"/>
  <c r="I87" i="4"/>
  <c r="H87" i="4"/>
  <c r="G87" i="4"/>
  <c r="F87" i="4"/>
  <c r="E87" i="4"/>
  <c r="D87" i="4"/>
  <c r="C87" i="4"/>
  <c r="A87" i="4"/>
  <c r="B87" i="4" s="1"/>
  <c r="H86" i="4"/>
  <c r="G86" i="4"/>
  <c r="F86" i="4"/>
  <c r="E86" i="4"/>
  <c r="D86" i="4"/>
  <c r="C86" i="4"/>
  <c r="B86" i="4"/>
  <c r="A86" i="4"/>
  <c r="I85" i="4"/>
  <c r="H85" i="4"/>
  <c r="G85" i="4"/>
  <c r="F85" i="4"/>
  <c r="E85" i="4"/>
  <c r="D85" i="4"/>
  <c r="C85" i="4"/>
  <c r="A85" i="4"/>
  <c r="B85" i="4" s="1"/>
  <c r="H84" i="4"/>
  <c r="G84" i="4"/>
  <c r="F84" i="4"/>
  <c r="E84" i="4"/>
  <c r="D84" i="4"/>
  <c r="C84" i="4"/>
  <c r="B84" i="4"/>
  <c r="A84" i="4"/>
  <c r="I83" i="4"/>
  <c r="H83" i="4"/>
  <c r="G83" i="4"/>
  <c r="F83" i="4"/>
  <c r="E83" i="4"/>
  <c r="D83" i="4"/>
  <c r="C83" i="4"/>
  <c r="A83" i="4"/>
  <c r="B83" i="4" s="1"/>
  <c r="H82" i="4"/>
  <c r="G82" i="4"/>
  <c r="F82" i="4"/>
  <c r="E82" i="4"/>
  <c r="D82" i="4"/>
  <c r="C82" i="4"/>
  <c r="A82" i="4"/>
  <c r="B82" i="4" s="1"/>
  <c r="I82" i="4" s="1"/>
  <c r="H81" i="4"/>
  <c r="G81" i="4"/>
  <c r="F81" i="4"/>
  <c r="E81" i="4"/>
  <c r="D81" i="4"/>
  <c r="C81" i="4"/>
  <c r="B81" i="4"/>
  <c r="I81" i="4" s="1"/>
  <c r="A81" i="4"/>
  <c r="H80" i="4"/>
  <c r="G80" i="4"/>
  <c r="F80" i="4"/>
  <c r="E80" i="4"/>
  <c r="D80" i="4"/>
  <c r="C80" i="4"/>
  <c r="B80" i="4"/>
  <c r="I80" i="4" s="1"/>
  <c r="A80" i="4"/>
  <c r="H79" i="4"/>
  <c r="G79" i="4"/>
  <c r="F79" i="4"/>
  <c r="E79" i="4"/>
  <c r="D79" i="4"/>
  <c r="C79" i="4"/>
  <c r="A79" i="4"/>
  <c r="B79" i="4" s="1"/>
  <c r="I79" i="4" s="1"/>
  <c r="H78" i="4"/>
  <c r="G78" i="4"/>
  <c r="F78" i="4"/>
  <c r="E78" i="4"/>
  <c r="D78" i="4"/>
  <c r="C78" i="4"/>
  <c r="B78" i="4"/>
  <c r="I78" i="4" s="1"/>
  <c r="A78" i="4"/>
  <c r="H77" i="4"/>
  <c r="G77" i="4"/>
  <c r="F77" i="4"/>
  <c r="E77" i="4"/>
  <c r="D77" i="4"/>
  <c r="C77" i="4"/>
  <c r="A77" i="4"/>
  <c r="B77" i="4" s="1"/>
  <c r="I77" i="4" s="1"/>
  <c r="H76" i="4"/>
  <c r="G76" i="4"/>
  <c r="F76" i="4"/>
  <c r="E76" i="4"/>
  <c r="D76" i="4"/>
  <c r="C76" i="4"/>
  <c r="B76" i="4"/>
  <c r="I76" i="4" s="1"/>
  <c r="A76" i="4"/>
  <c r="H75" i="4"/>
  <c r="G75" i="4"/>
  <c r="F75" i="4"/>
  <c r="E75" i="4"/>
  <c r="D75" i="4"/>
  <c r="C75" i="4"/>
  <c r="A75" i="4"/>
  <c r="B75" i="4" s="1"/>
  <c r="I75" i="4" s="1"/>
  <c r="H74" i="4"/>
  <c r="G74" i="4"/>
  <c r="F74" i="4"/>
  <c r="E74" i="4"/>
  <c r="D74" i="4"/>
  <c r="C74" i="4"/>
  <c r="B74" i="4"/>
  <c r="I74" i="4" s="1"/>
  <c r="A74" i="4"/>
  <c r="H73" i="4"/>
  <c r="G73" i="4"/>
  <c r="F73" i="4"/>
  <c r="E73" i="4"/>
  <c r="D73" i="4"/>
  <c r="C73" i="4"/>
  <c r="A73" i="4"/>
  <c r="B73" i="4" s="1"/>
  <c r="I73" i="4" s="1"/>
  <c r="H72" i="4"/>
  <c r="G72" i="4"/>
  <c r="F72" i="4"/>
  <c r="E72" i="4"/>
  <c r="D72" i="4"/>
  <c r="C72" i="4"/>
  <c r="B72" i="4"/>
  <c r="A72" i="4"/>
  <c r="H71" i="4"/>
  <c r="G71" i="4"/>
  <c r="F71" i="4"/>
  <c r="E71" i="4"/>
  <c r="D71" i="4"/>
  <c r="C71" i="4"/>
  <c r="A71" i="4"/>
  <c r="B71" i="4" s="1"/>
  <c r="I71" i="4" s="1"/>
  <c r="H70" i="4"/>
  <c r="G70" i="4"/>
  <c r="F70" i="4"/>
  <c r="E70" i="4"/>
  <c r="D70" i="4"/>
  <c r="C70" i="4"/>
  <c r="B70" i="4"/>
  <c r="A70" i="4"/>
  <c r="H69" i="4"/>
  <c r="G69" i="4"/>
  <c r="F69" i="4"/>
  <c r="E69" i="4"/>
  <c r="D69" i="4"/>
  <c r="C69" i="4"/>
  <c r="A69" i="4"/>
  <c r="B69" i="4" s="1"/>
  <c r="I69" i="4" s="1"/>
  <c r="H68" i="4"/>
  <c r="G68" i="4"/>
  <c r="F68" i="4"/>
  <c r="E68" i="4"/>
  <c r="D68" i="4"/>
  <c r="C68" i="4"/>
  <c r="B68" i="4"/>
  <c r="A68" i="4"/>
  <c r="H67" i="4"/>
  <c r="G67" i="4"/>
  <c r="F67" i="4"/>
  <c r="E67" i="4"/>
  <c r="D67" i="4"/>
  <c r="C67" i="4"/>
  <c r="A67" i="4"/>
  <c r="B67" i="4" s="1"/>
  <c r="I67" i="4" s="1"/>
  <c r="H66" i="4"/>
  <c r="G66" i="4"/>
  <c r="F66" i="4"/>
  <c r="E66" i="4"/>
  <c r="D66" i="4"/>
  <c r="C66" i="4"/>
  <c r="B66" i="4"/>
  <c r="I66" i="4" s="1"/>
  <c r="A66" i="4"/>
  <c r="H65" i="4"/>
  <c r="G65" i="4"/>
  <c r="F65" i="4"/>
  <c r="E65" i="4"/>
  <c r="D65" i="4"/>
  <c r="C65" i="4"/>
  <c r="A65" i="4"/>
  <c r="B65" i="4" s="1"/>
  <c r="I65" i="4" s="1"/>
  <c r="H64" i="4"/>
  <c r="G64" i="4"/>
  <c r="F64" i="4"/>
  <c r="E64" i="4"/>
  <c r="D64" i="4"/>
  <c r="C64" i="4"/>
  <c r="B64" i="4"/>
  <c r="A64" i="4"/>
  <c r="H63" i="4"/>
  <c r="G63" i="4"/>
  <c r="F63" i="4"/>
  <c r="E63" i="4"/>
  <c r="D63" i="4"/>
  <c r="C63" i="4"/>
  <c r="A63" i="4"/>
  <c r="B63" i="4" s="1"/>
  <c r="I63" i="4" s="1"/>
  <c r="H62" i="4"/>
  <c r="G62" i="4"/>
  <c r="F62" i="4"/>
  <c r="E62" i="4"/>
  <c r="D62" i="4"/>
  <c r="C62" i="4"/>
  <c r="B62" i="4"/>
  <c r="A62" i="4"/>
  <c r="H61" i="4"/>
  <c r="G61" i="4"/>
  <c r="F61" i="4"/>
  <c r="E61" i="4"/>
  <c r="D61" i="4"/>
  <c r="C61" i="4"/>
  <c r="A61" i="4"/>
  <c r="B61" i="4" s="1"/>
  <c r="I61" i="4" s="1"/>
  <c r="H60" i="4"/>
  <c r="G60" i="4"/>
  <c r="F60" i="4"/>
  <c r="E60" i="4"/>
  <c r="D60" i="4"/>
  <c r="C60" i="4"/>
  <c r="B60" i="4"/>
  <c r="A60" i="4"/>
  <c r="H59" i="4"/>
  <c r="G59" i="4"/>
  <c r="F59" i="4"/>
  <c r="E59" i="4"/>
  <c r="D59" i="4"/>
  <c r="C59" i="4"/>
  <c r="A59" i="4"/>
  <c r="B59" i="4" s="1"/>
  <c r="I59" i="4" s="1"/>
  <c r="H58" i="4"/>
  <c r="G58" i="4"/>
  <c r="F58" i="4"/>
  <c r="E58" i="4"/>
  <c r="D58" i="4"/>
  <c r="C58" i="4"/>
  <c r="B58" i="4"/>
  <c r="I58" i="4" s="1"/>
  <c r="A58" i="4"/>
  <c r="H57" i="4"/>
  <c r="G57" i="4"/>
  <c r="F57" i="4"/>
  <c r="E57" i="4"/>
  <c r="D57" i="4"/>
  <c r="C57" i="4"/>
  <c r="A57" i="4"/>
  <c r="B57" i="4" s="1"/>
  <c r="I57" i="4" s="1"/>
  <c r="H56" i="4"/>
  <c r="G56" i="4"/>
  <c r="F56" i="4"/>
  <c r="E56" i="4"/>
  <c r="D56" i="4"/>
  <c r="C56" i="4"/>
  <c r="B56" i="4"/>
  <c r="A56" i="4"/>
  <c r="I55" i="4"/>
  <c r="H55" i="4"/>
  <c r="G55" i="4"/>
  <c r="F55" i="4"/>
  <c r="E55" i="4"/>
  <c r="D55" i="4"/>
  <c r="C55" i="4"/>
  <c r="A55" i="4"/>
  <c r="B55" i="4" s="1"/>
  <c r="H54" i="4"/>
  <c r="G54" i="4"/>
  <c r="F54" i="4"/>
  <c r="E54" i="4"/>
  <c r="D54" i="4"/>
  <c r="C54" i="4"/>
  <c r="B54" i="4"/>
  <c r="A54" i="4"/>
  <c r="I53" i="4"/>
  <c r="H53" i="4"/>
  <c r="G53" i="4"/>
  <c r="F53" i="4"/>
  <c r="E53" i="4"/>
  <c r="D53" i="4"/>
  <c r="C53" i="4"/>
  <c r="A53" i="4"/>
  <c r="B53" i="4" s="1"/>
  <c r="H52" i="4"/>
  <c r="G52" i="4"/>
  <c r="F52" i="4"/>
  <c r="E52" i="4"/>
  <c r="D52" i="4"/>
  <c r="C52" i="4"/>
  <c r="B52" i="4"/>
  <c r="A52" i="4"/>
  <c r="I51" i="4"/>
  <c r="H51" i="4"/>
  <c r="G51" i="4"/>
  <c r="F51" i="4"/>
  <c r="E51" i="4"/>
  <c r="D51" i="4"/>
  <c r="C51" i="4"/>
  <c r="A51" i="4"/>
  <c r="B51" i="4" s="1"/>
  <c r="H50" i="4"/>
  <c r="G50" i="4"/>
  <c r="F50" i="4"/>
  <c r="E50" i="4"/>
  <c r="D50" i="4"/>
  <c r="C50" i="4"/>
  <c r="A50" i="4"/>
  <c r="B50" i="4" s="1"/>
  <c r="I50" i="4" s="1"/>
  <c r="H49" i="4"/>
  <c r="G49" i="4"/>
  <c r="F49" i="4"/>
  <c r="E49" i="4"/>
  <c r="D49" i="4"/>
  <c r="C49" i="4"/>
  <c r="B49" i="4"/>
  <c r="I49" i="4" s="1"/>
  <c r="A49" i="4"/>
  <c r="H48" i="4"/>
  <c r="G48" i="4"/>
  <c r="F48" i="4"/>
  <c r="E48" i="4"/>
  <c r="D48" i="4"/>
  <c r="C48" i="4"/>
  <c r="B48" i="4"/>
  <c r="I48" i="4" s="1"/>
  <c r="A48" i="4"/>
  <c r="H47" i="4"/>
  <c r="G47" i="4"/>
  <c r="F47" i="4"/>
  <c r="E47" i="4"/>
  <c r="D47" i="4"/>
  <c r="C47" i="4"/>
  <c r="A47" i="4"/>
  <c r="B47" i="4" s="1"/>
  <c r="I47" i="4" s="1"/>
  <c r="H46" i="4"/>
  <c r="G46" i="4"/>
  <c r="F46" i="4"/>
  <c r="E46" i="4"/>
  <c r="D46" i="4"/>
  <c r="C46" i="4"/>
  <c r="B46" i="4"/>
  <c r="I46" i="4" s="1"/>
  <c r="A46" i="4"/>
  <c r="H45" i="4"/>
  <c r="G45" i="4"/>
  <c r="F45" i="4"/>
  <c r="E45" i="4"/>
  <c r="D45" i="4"/>
  <c r="C45" i="4"/>
  <c r="A45" i="4"/>
  <c r="B45" i="4" s="1"/>
  <c r="I45" i="4" s="1"/>
  <c r="H44" i="4"/>
  <c r="G44" i="4"/>
  <c r="F44" i="4"/>
  <c r="E44" i="4"/>
  <c r="D44" i="4"/>
  <c r="C44" i="4"/>
  <c r="B44" i="4"/>
  <c r="I44" i="4" s="1"/>
  <c r="A44" i="4"/>
  <c r="H43" i="4"/>
  <c r="G43" i="4"/>
  <c r="F43" i="4"/>
  <c r="E43" i="4"/>
  <c r="D43" i="4"/>
  <c r="C43" i="4"/>
  <c r="A43" i="4"/>
  <c r="B43" i="4" s="1"/>
  <c r="I43" i="4" s="1"/>
  <c r="H42" i="4"/>
  <c r="G42" i="4"/>
  <c r="F42" i="4"/>
  <c r="E42" i="4"/>
  <c r="D42" i="4"/>
  <c r="C42" i="4"/>
  <c r="B42" i="4"/>
  <c r="I42" i="4" s="1"/>
  <c r="A42" i="4"/>
  <c r="H41" i="4"/>
  <c r="G41" i="4"/>
  <c r="F41" i="4"/>
  <c r="E41" i="4"/>
  <c r="D41" i="4"/>
  <c r="C41" i="4"/>
  <c r="A41" i="4"/>
  <c r="B41" i="4" s="1"/>
  <c r="I41" i="4" s="1"/>
  <c r="H40" i="4"/>
  <c r="G40" i="4"/>
  <c r="F40" i="4"/>
  <c r="E40" i="4"/>
  <c r="D40" i="4"/>
  <c r="C40" i="4"/>
  <c r="B40" i="4"/>
  <c r="A40" i="4"/>
  <c r="H39" i="4"/>
  <c r="G39" i="4"/>
  <c r="F39" i="4"/>
  <c r="E39" i="4"/>
  <c r="D39" i="4"/>
  <c r="C39" i="4"/>
  <c r="A39" i="4"/>
  <c r="B39" i="4" s="1"/>
  <c r="I39" i="4" s="1"/>
  <c r="H38" i="4"/>
  <c r="G38" i="4"/>
  <c r="F38" i="4"/>
  <c r="E38" i="4"/>
  <c r="D38" i="4"/>
  <c r="C38" i="4"/>
  <c r="B38" i="4"/>
  <c r="A38" i="4"/>
  <c r="H37" i="4"/>
  <c r="G37" i="4"/>
  <c r="F37" i="4"/>
  <c r="E37" i="4"/>
  <c r="D37" i="4"/>
  <c r="C37" i="4"/>
  <c r="A37" i="4"/>
  <c r="B37" i="4" s="1"/>
  <c r="I37" i="4" s="1"/>
  <c r="H36" i="4"/>
  <c r="G36" i="4"/>
  <c r="F36" i="4"/>
  <c r="E36" i="4"/>
  <c r="D36" i="4"/>
  <c r="C36" i="4"/>
  <c r="B36" i="4"/>
  <c r="A36" i="4"/>
  <c r="H35" i="4"/>
  <c r="G35" i="4"/>
  <c r="F35" i="4"/>
  <c r="E35" i="4"/>
  <c r="D35" i="4"/>
  <c r="C35" i="4"/>
  <c r="A35" i="4"/>
  <c r="B35" i="4" s="1"/>
  <c r="I35" i="4" s="1"/>
  <c r="H34" i="4"/>
  <c r="G34" i="4"/>
  <c r="F34" i="4"/>
  <c r="E34" i="4"/>
  <c r="D34" i="4"/>
  <c r="C34" i="4"/>
  <c r="B34" i="4"/>
  <c r="I34" i="4" s="1"/>
  <c r="A34" i="4"/>
  <c r="H33" i="4"/>
  <c r="G33" i="4"/>
  <c r="F33" i="4"/>
  <c r="E33" i="4"/>
  <c r="D33" i="4"/>
  <c r="C33" i="4"/>
  <c r="A33" i="4"/>
  <c r="B33" i="4" s="1"/>
  <c r="I33" i="4" s="1"/>
  <c r="H32" i="4"/>
  <c r="G32" i="4"/>
  <c r="F32" i="4"/>
  <c r="E32" i="4"/>
  <c r="D32" i="4"/>
  <c r="C32" i="4"/>
  <c r="B32" i="4"/>
  <c r="A32" i="4"/>
  <c r="H31" i="4"/>
  <c r="G31" i="4"/>
  <c r="F31" i="4"/>
  <c r="E31" i="4"/>
  <c r="D31" i="4"/>
  <c r="C31" i="4"/>
  <c r="A31" i="4"/>
  <c r="B31" i="4" s="1"/>
  <c r="I31" i="4" s="1"/>
  <c r="H30" i="4"/>
  <c r="G30" i="4"/>
  <c r="F30" i="4"/>
  <c r="E30" i="4"/>
  <c r="D30" i="4"/>
  <c r="C30" i="4"/>
  <c r="B30" i="4"/>
  <c r="A30" i="4"/>
  <c r="H29" i="4"/>
  <c r="G29" i="4"/>
  <c r="F29" i="4"/>
  <c r="E29" i="4"/>
  <c r="D29" i="4"/>
  <c r="C29" i="4"/>
  <c r="A29" i="4"/>
  <c r="B29" i="4" s="1"/>
  <c r="I29" i="4" s="1"/>
  <c r="H28" i="4"/>
  <c r="G28" i="4"/>
  <c r="F28" i="4"/>
  <c r="E28" i="4"/>
  <c r="D28" i="4"/>
  <c r="C28" i="4"/>
  <c r="B28" i="4"/>
  <c r="A28" i="4"/>
  <c r="H27" i="4"/>
  <c r="G27" i="4"/>
  <c r="F27" i="4"/>
  <c r="E27" i="4"/>
  <c r="D27" i="4"/>
  <c r="C27" i="4"/>
  <c r="A27" i="4"/>
  <c r="B27" i="4" s="1"/>
  <c r="I27" i="4" s="1"/>
  <c r="H26" i="4"/>
  <c r="G26" i="4"/>
  <c r="F26" i="4"/>
  <c r="E26" i="4"/>
  <c r="D26" i="4"/>
  <c r="C26" i="4"/>
  <c r="B26" i="4"/>
  <c r="I26" i="4" s="1"/>
  <c r="A26" i="4"/>
  <c r="H25" i="4"/>
  <c r="G25" i="4"/>
  <c r="F25" i="4"/>
  <c r="E25" i="4"/>
  <c r="D25" i="4"/>
  <c r="C25" i="4"/>
  <c r="A25" i="4"/>
  <c r="B25" i="4" s="1"/>
  <c r="I25" i="4" s="1"/>
  <c r="H24" i="4"/>
  <c r="G24" i="4"/>
  <c r="F24" i="4"/>
  <c r="E24" i="4"/>
  <c r="D24" i="4"/>
  <c r="C24" i="4"/>
  <c r="B24" i="4"/>
  <c r="A24" i="4"/>
  <c r="I23" i="4"/>
  <c r="H23" i="4"/>
  <c r="G23" i="4"/>
  <c r="F23" i="4"/>
  <c r="E23" i="4"/>
  <c r="D23" i="4"/>
  <c r="C23" i="4"/>
  <c r="A23" i="4"/>
  <c r="B23" i="4" s="1"/>
  <c r="H22" i="4"/>
  <c r="G22" i="4"/>
  <c r="F22" i="4"/>
  <c r="E22" i="4"/>
  <c r="D22" i="4"/>
  <c r="C22" i="4"/>
  <c r="B22" i="4"/>
  <c r="A22" i="4"/>
  <c r="I21" i="4"/>
  <c r="H21" i="4"/>
  <c r="G21" i="4"/>
  <c r="F21" i="4"/>
  <c r="E21" i="4"/>
  <c r="D21" i="4"/>
  <c r="C21" i="4"/>
  <c r="A21" i="4"/>
  <c r="B21" i="4" s="1"/>
  <c r="H20" i="4"/>
  <c r="G20" i="4"/>
  <c r="F20" i="4"/>
  <c r="E20" i="4"/>
  <c r="D20" i="4"/>
  <c r="C20" i="4"/>
  <c r="B20" i="4"/>
  <c r="A20" i="4"/>
  <c r="I19" i="4"/>
  <c r="H19" i="4"/>
  <c r="G19" i="4"/>
  <c r="F19" i="4"/>
  <c r="E19" i="4"/>
  <c r="D19" i="4"/>
  <c r="C19" i="4"/>
  <c r="A19" i="4"/>
  <c r="B19" i="4" s="1"/>
  <c r="H18" i="4"/>
  <c r="G18" i="4"/>
  <c r="F18" i="4"/>
  <c r="E18" i="4"/>
  <c r="D18" i="4"/>
  <c r="C18" i="4"/>
  <c r="A18" i="4"/>
  <c r="B18" i="4" s="1"/>
  <c r="I18" i="4" s="1"/>
  <c r="H17" i="4"/>
  <c r="G17" i="4"/>
  <c r="F17" i="4"/>
  <c r="E17" i="4"/>
  <c r="D17" i="4"/>
  <c r="C17" i="4"/>
  <c r="B17" i="4"/>
  <c r="I17" i="4" s="1"/>
  <c r="A17" i="4"/>
  <c r="H16" i="4"/>
  <c r="G16" i="4"/>
  <c r="F16" i="4"/>
  <c r="E16" i="4"/>
  <c r="D16" i="4"/>
  <c r="C16" i="4"/>
  <c r="B16" i="4"/>
  <c r="I16" i="4" s="1"/>
  <c r="A16" i="4"/>
  <c r="H15" i="4"/>
  <c r="G15" i="4"/>
  <c r="F15" i="4"/>
  <c r="E15" i="4"/>
  <c r="D15" i="4"/>
  <c r="C15" i="4"/>
  <c r="A15" i="4"/>
  <c r="B15" i="4" s="1"/>
  <c r="I15" i="4" s="1"/>
  <c r="H14" i="4"/>
  <c r="G14" i="4"/>
  <c r="F14" i="4"/>
  <c r="E14" i="4"/>
  <c r="D14" i="4"/>
  <c r="C14" i="4"/>
  <c r="B14" i="4"/>
  <c r="I14" i="4" s="1"/>
  <c r="A14" i="4"/>
  <c r="H13" i="4"/>
  <c r="G13" i="4"/>
  <c r="F13" i="4"/>
  <c r="E13" i="4"/>
  <c r="D13" i="4"/>
  <c r="C13" i="4"/>
  <c r="A13" i="4"/>
  <c r="B13" i="4" s="1"/>
  <c r="I13" i="4" s="1"/>
  <c r="H12" i="4"/>
  <c r="G12" i="4"/>
  <c r="F12" i="4"/>
  <c r="E12" i="4"/>
  <c r="D12" i="4"/>
  <c r="C12" i="4"/>
  <c r="B12" i="4"/>
  <c r="I12" i="4" s="1"/>
  <c r="A12" i="4"/>
  <c r="H11" i="4"/>
  <c r="G11" i="4"/>
  <c r="F11" i="4"/>
  <c r="E11" i="4"/>
  <c r="D11" i="4"/>
  <c r="C11" i="4"/>
  <c r="A11" i="4"/>
  <c r="B11" i="4" s="1"/>
  <c r="I11" i="4" s="1"/>
  <c r="H10" i="4"/>
  <c r="G10" i="4"/>
  <c r="F10" i="4"/>
  <c r="E10" i="4"/>
  <c r="D10" i="4"/>
  <c r="C10" i="4"/>
  <c r="B10" i="4"/>
  <c r="I10" i="4" s="1"/>
  <c r="A10" i="4"/>
  <c r="H9" i="4"/>
  <c r="G9" i="4"/>
  <c r="F9" i="4"/>
  <c r="E9" i="4"/>
  <c r="D9" i="4"/>
  <c r="C9" i="4"/>
  <c r="A9" i="4"/>
  <c r="B9" i="4" s="1"/>
  <c r="I9" i="4" s="1"/>
  <c r="H8" i="4"/>
  <c r="G8" i="4"/>
  <c r="F8" i="4"/>
  <c r="E8" i="4"/>
  <c r="D8" i="4"/>
  <c r="C8" i="4"/>
  <c r="B8" i="4"/>
  <c r="A8" i="4"/>
  <c r="H7" i="4"/>
  <c r="G7" i="4"/>
  <c r="F7" i="4"/>
  <c r="E7" i="4"/>
  <c r="D7" i="4"/>
  <c r="C7" i="4"/>
  <c r="A7" i="4"/>
  <c r="B7" i="4" s="1"/>
  <c r="I7" i="4" s="1"/>
  <c r="H6" i="4"/>
  <c r="G6" i="4"/>
  <c r="F6" i="4"/>
  <c r="E6" i="4"/>
  <c r="D6" i="4"/>
  <c r="C6" i="4"/>
  <c r="B6" i="4"/>
  <c r="A6" i="4"/>
  <c r="H5" i="4"/>
  <c r="G5" i="4"/>
  <c r="F5" i="4"/>
  <c r="E5" i="4"/>
  <c r="D5" i="4"/>
  <c r="C5" i="4"/>
  <c r="A5" i="4"/>
  <c r="B5" i="4" s="1"/>
  <c r="I5" i="4" s="1"/>
  <c r="I28" i="4" l="1"/>
  <c r="I30" i="4"/>
  <c r="I32" i="4"/>
  <c r="I60" i="4"/>
  <c r="I62" i="4"/>
  <c r="I64" i="4"/>
  <c r="I92" i="4"/>
  <c r="I94" i="4"/>
  <c r="I96" i="4"/>
  <c r="I124" i="4"/>
  <c r="I126" i="4"/>
  <c r="I128" i="4"/>
  <c r="I351" i="4"/>
  <c r="I352" i="4"/>
  <c r="I414" i="4"/>
  <c r="I459" i="4"/>
  <c r="I481" i="4"/>
  <c r="I341" i="4"/>
  <c r="I345" i="4"/>
  <c r="I346" i="4"/>
  <c r="I348" i="4"/>
  <c r="I350" i="4"/>
  <c r="I389" i="4"/>
  <c r="I410" i="4"/>
  <c r="I413" i="4"/>
  <c r="I434" i="4"/>
  <c r="I478" i="4"/>
  <c r="I6" i="4"/>
  <c r="I8" i="4"/>
  <c r="I36" i="4"/>
  <c r="I38" i="4"/>
  <c r="I40" i="4"/>
  <c r="I68" i="4"/>
  <c r="I70" i="4"/>
  <c r="I72" i="4"/>
  <c r="I100" i="4"/>
  <c r="I102" i="4"/>
  <c r="I104" i="4"/>
  <c r="I132" i="4"/>
  <c r="I134" i="4"/>
  <c r="I136" i="4"/>
  <c r="I331" i="4"/>
  <c r="I332" i="4"/>
  <c r="I334" i="4"/>
  <c r="I337" i="4"/>
  <c r="I338" i="4"/>
  <c r="I340" i="4"/>
  <c r="I388" i="4"/>
  <c r="I406" i="4"/>
  <c r="I409" i="4"/>
  <c r="I474" i="4"/>
  <c r="I326" i="4"/>
  <c r="I330" i="4"/>
  <c r="I278" i="4"/>
  <c r="I281" i="4"/>
  <c r="I284" i="4"/>
  <c r="I286" i="4"/>
  <c r="I289" i="4"/>
  <c r="I290" i="4"/>
  <c r="I292" i="4"/>
  <c r="I294" i="4"/>
  <c r="I297" i="4"/>
  <c r="I298" i="4"/>
  <c r="I300" i="4"/>
  <c r="I302" i="4"/>
  <c r="I305" i="4"/>
  <c r="I306" i="4"/>
  <c r="I308" i="4"/>
  <c r="I310" i="4"/>
  <c r="I313" i="4"/>
  <c r="I314" i="4"/>
  <c r="I316" i="4"/>
  <c r="I318" i="4"/>
  <c r="I373" i="4"/>
  <c r="I374" i="4"/>
  <c r="I400" i="4"/>
  <c r="I430" i="4"/>
  <c r="I464" i="4"/>
  <c r="I20" i="4"/>
  <c r="I22" i="4"/>
  <c r="I24" i="4"/>
  <c r="I52" i="4"/>
  <c r="I54" i="4"/>
  <c r="I56" i="4"/>
  <c r="I84" i="4"/>
  <c r="I86" i="4"/>
  <c r="I88" i="4"/>
  <c r="I116" i="4"/>
  <c r="I118" i="4"/>
  <c r="I120" i="4"/>
  <c r="I363" i="4"/>
  <c r="I366" i="4"/>
  <c r="I369" i="4"/>
  <c r="I372" i="4"/>
  <c r="I398" i="4"/>
  <c r="I418" i="4"/>
  <c r="I419" i="4"/>
  <c r="I462" i="4"/>
  <c r="I358" i="4"/>
  <c r="I362" i="4"/>
  <c r="I397" i="4"/>
  <c r="I417" i="4"/>
  <c r="I460" i="4"/>
  <c r="I461" i="4"/>
  <c r="I329" i="4"/>
  <c r="I361" i="4"/>
  <c r="I433" i="4"/>
  <c r="I447" i="4"/>
  <c r="I553" i="4"/>
  <c r="I555" i="4"/>
  <c r="I617" i="4"/>
  <c r="I618" i="4"/>
  <c r="I619" i="4"/>
  <c r="I634" i="4"/>
  <c r="I390" i="4"/>
  <c r="I391" i="4"/>
  <c r="I465" i="4"/>
  <c r="I479" i="4"/>
  <c r="I480" i="4"/>
  <c r="I632" i="4"/>
  <c r="I649" i="4"/>
  <c r="I503" i="4"/>
  <c r="I504" i="4"/>
  <c r="I505" i="4"/>
  <c r="I526" i="4"/>
  <c r="I527" i="4"/>
  <c r="I528" i="4"/>
  <c r="I550" i="4"/>
  <c r="I551" i="4"/>
  <c r="I591" i="4"/>
  <c r="I592" i="4"/>
  <c r="I614" i="4"/>
  <c r="I662" i="4"/>
  <c r="I407" i="4"/>
  <c r="I421" i="4"/>
  <c r="I454" i="4"/>
  <c r="I455" i="4"/>
  <c r="I524" i="4"/>
  <c r="I525" i="4"/>
  <c r="I547" i="4"/>
  <c r="I548" i="4"/>
  <c r="I588" i="4"/>
  <c r="I612" i="4"/>
  <c r="I628" i="4"/>
  <c r="I661" i="4"/>
  <c r="I545" i="4"/>
  <c r="I546" i="4"/>
  <c r="I610" i="4"/>
  <c r="I658" i="4"/>
  <c r="I411" i="4"/>
  <c r="I471" i="4"/>
  <c r="I487" i="4"/>
  <c r="I488" i="4"/>
  <c r="I511" i="4"/>
  <c r="I515" i="4"/>
  <c r="I516" i="4"/>
  <c r="I521" i="4"/>
  <c r="I443" i="4"/>
  <c r="I582" i="4"/>
  <c r="I401" i="4"/>
  <c r="I415" i="4"/>
  <c r="I475" i="4"/>
  <c r="I495" i="4"/>
  <c r="I556" i="4"/>
  <c r="I569" i="4"/>
  <c r="I581" i="4"/>
  <c r="I604" i="4"/>
  <c r="I622" i="4"/>
  <c r="I623" i="4"/>
  <c r="I630" i="4"/>
  <c r="I631" i="4"/>
  <c r="I646" i="4"/>
  <c r="I647" i="4"/>
  <c r="I648" i="4"/>
  <c r="I697" i="4"/>
  <c r="I745" i="4"/>
  <c r="I770" i="4"/>
  <c r="I822" i="4"/>
  <c r="I635" i="4"/>
  <c r="I636" i="4"/>
  <c r="I644" i="4"/>
  <c r="I645" i="4"/>
  <c r="I651" i="4"/>
  <c r="I819" i="4"/>
  <c r="I820" i="4"/>
  <c r="I659" i="4"/>
  <c r="I666" i="4"/>
  <c r="I667" i="4"/>
  <c r="I740" i="4"/>
  <c r="I787" i="4"/>
  <c r="I788" i="4"/>
  <c r="I816" i="4"/>
  <c r="I512" i="4"/>
  <c r="I537" i="4"/>
  <c r="I573" i="4"/>
  <c r="I574" i="4"/>
  <c r="I579" i="4"/>
  <c r="I665" i="4"/>
  <c r="I733" i="4"/>
  <c r="I734" i="4"/>
  <c r="I739" i="4"/>
  <c r="I758" i="4"/>
  <c r="I759" i="4"/>
  <c r="I760" i="4"/>
  <c r="I784" i="4"/>
  <c r="I833" i="4"/>
  <c r="I757" i="4"/>
  <c r="I589" i="4"/>
  <c r="I595" i="4"/>
  <c r="I596" i="4"/>
  <c r="I682" i="4"/>
  <c r="I722" i="4"/>
  <c r="I726" i="4"/>
  <c r="I728" i="4"/>
  <c r="I729" i="4"/>
  <c r="I752" i="4"/>
  <c r="I753" i="4"/>
  <c r="I779" i="4"/>
  <c r="I780" i="4"/>
  <c r="I781" i="4"/>
  <c r="I809" i="4"/>
  <c r="I810" i="4"/>
  <c r="I399" i="4"/>
  <c r="I431" i="4"/>
  <c r="I463" i="4"/>
  <c r="I500" i="4"/>
  <c r="I519" i="4"/>
  <c r="I543" i="4"/>
  <c r="I544" i="4"/>
  <c r="I601" i="4"/>
  <c r="I607" i="4"/>
  <c r="I608" i="4"/>
  <c r="I718" i="4"/>
  <c r="I720" i="4"/>
  <c r="I725" i="4"/>
  <c r="I776" i="4"/>
  <c r="I605" i="4"/>
  <c r="I606" i="4"/>
  <c r="I611" i="4"/>
  <c r="I690" i="4"/>
  <c r="I698" i="4"/>
  <c r="I700" i="4"/>
  <c r="I714" i="4"/>
  <c r="I717" i="4"/>
  <c r="I748" i="4"/>
  <c r="I749" i="4"/>
  <c r="I772" i="4"/>
  <c r="I824" i="4"/>
  <c r="I947" i="4"/>
  <c r="I535" i="4"/>
  <c r="I567" i="4"/>
  <c r="I599" i="4"/>
  <c r="I663" i="4"/>
  <c r="I677" i="4"/>
  <c r="I710" i="4"/>
  <c r="I711" i="4"/>
  <c r="I785" i="4"/>
  <c r="I802" i="4"/>
  <c r="I806" i="4"/>
  <c r="I827" i="4"/>
  <c r="I909" i="4"/>
  <c r="I921" i="4"/>
  <c r="I923" i="4"/>
  <c r="I929" i="4"/>
  <c r="I934" i="4"/>
  <c r="I935" i="4"/>
  <c r="I937" i="4"/>
  <c r="I709" i="4"/>
  <c r="I742" i="4"/>
  <c r="I743" i="4"/>
  <c r="I805" i="4"/>
  <c r="I856" i="4"/>
  <c r="I857" i="4"/>
  <c r="I859" i="4"/>
  <c r="I727" i="4"/>
  <c r="I741" i="4"/>
  <c r="I774" i="4"/>
  <c r="I775" i="4"/>
  <c r="I831" i="4"/>
  <c r="I855" i="4"/>
  <c r="I870" i="4"/>
  <c r="I871" i="4"/>
  <c r="I948" i="4"/>
  <c r="I867" i="4"/>
  <c r="I878" i="4"/>
  <c r="I583" i="4"/>
  <c r="I615" i="4"/>
  <c r="I657" i="4"/>
  <c r="I671" i="4"/>
  <c r="I731" i="4"/>
  <c r="I791" i="4"/>
  <c r="I792" i="4"/>
  <c r="I817" i="4"/>
  <c r="I837" i="4"/>
  <c r="I876" i="4"/>
  <c r="I877" i="4"/>
  <c r="I689" i="4"/>
  <c r="I703" i="4"/>
  <c r="I763" i="4"/>
  <c r="I795" i="4"/>
  <c r="I888" i="4"/>
  <c r="I889" i="4"/>
  <c r="I891" i="4"/>
  <c r="I953" i="4"/>
  <c r="I844" i="4"/>
  <c r="I902" i="4"/>
  <c r="I903" i="4"/>
  <c r="I942" i="4"/>
  <c r="I943" i="4"/>
  <c r="I950" i="4"/>
  <c r="I964" i="4"/>
  <c r="I1028" i="4"/>
  <c r="I887" i="4"/>
  <c r="I919" i="4"/>
  <c r="I933" i="4"/>
  <c r="I961" i="4"/>
  <c r="I962" i="4"/>
  <c r="I963" i="4"/>
  <c r="I1022" i="4"/>
  <c r="I1026" i="4"/>
  <c r="I956" i="4"/>
  <c r="I960" i="4"/>
  <c r="I1021" i="4"/>
  <c r="I1066" i="4"/>
  <c r="I655" i="4"/>
  <c r="I687" i="4"/>
  <c r="I719" i="4"/>
  <c r="I751" i="4"/>
  <c r="I783" i="4"/>
  <c r="I815" i="4"/>
  <c r="I847" i="4"/>
  <c r="I879" i="4"/>
  <c r="I911" i="4"/>
  <c r="I954" i="4"/>
  <c r="I1047" i="4"/>
  <c r="I1049" i="4"/>
  <c r="I1064" i="4"/>
  <c r="I1065" i="4"/>
  <c r="I940" i="4"/>
  <c r="I941" i="4"/>
  <c r="I1000" i="4"/>
  <c r="I1001" i="4"/>
  <c r="I1016" i="4"/>
  <c r="I971" i="4"/>
  <c r="I977" i="4"/>
  <c r="I978" i="4"/>
  <c r="I997" i="4"/>
  <c r="I999" i="4"/>
  <c r="I1014" i="4"/>
  <c r="I1015" i="4"/>
  <c r="I1017" i="4"/>
  <c r="I1034" i="4"/>
  <c r="I1035" i="4"/>
  <c r="I1060" i="4"/>
  <c r="I1011" i="4"/>
  <c r="I1033" i="4"/>
  <c r="I1076" i="4"/>
  <c r="I1030" i="4"/>
  <c r="I1056" i="4"/>
  <c r="I1075" i="4"/>
  <c r="I949" i="4"/>
  <c r="I991" i="4"/>
  <c r="I1039" i="4"/>
  <c r="I1040" i="4"/>
  <c r="I1045" i="4"/>
  <c r="I1090" i="4"/>
  <c r="I1091" i="4"/>
  <c r="I1098" i="4"/>
  <c r="I1099" i="4"/>
  <c r="I1101" i="4"/>
  <c r="I1214" i="4"/>
  <c r="I1215" i="4"/>
  <c r="I998" i="4"/>
  <c r="I1051" i="4"/>
  <c r="I1052" i="4"/>
  <c r="I1147" i="4"/>
  <c r="I1148" i="4"/>
  <c r="I1151" i="4"/>
  <c r="I1155" i="4"/>
  <c r="I1178" i="4"/>
  <c r="I1002" i="4"/>
  <c r="I1003" i="4"/>
  <c r="I1009" i="4"/>
  <c r="I1010" i="4"/>
  <c r="I1055" i="4"/>
  <c r="I1226" i="4"/>
  <c r="I1227" i="4"/>
  <c r="I1007" i="4"/>
  <c r="I1008" i="4"/>
  <c r="I1013" i="4"/>
  <c r="I1058" i="4"/>
  <c r="I1061" i="4"/>
  <c r="I1062" i="4"/>
  <c r="I1144" i="4"/>
  <c r="I1174" i="4"/>
  <c r="I1194" i="4"/>
  <c r="I1198" i="4"/>
  <c r="I1067" i="4"/>
  <c r="I1073" i="4"/>
  <c r="I1074" i="4"/>
  <c r="I1143" i="4"/>
  <c r="I1171" i="4"/>
  <c r="I1023" i="4"/>
  <c r="I1071" i="4"/>
  <c r="I1077" i="4"/>
  <c r="I1136" i="4"/>
  <c r="I1133" i="4"/>
  <c r="I1109" i="4"/>
  <c r="I1111" i="4"/>
  <c r="I1119" i="4"/>
  <c r="I1122" i="4"/>
  <c r="I1123" i="4"/>
  <c r="I1162" i="4"/>
  <c r="I1165" i="4"/>
  <c r="I1204" i="4"/>
  <c r="I1205" i="4"/>
  <c r="I1264" i="4"/>
  <c r="I1265" i="4"/>
  <c r="I1266" i="4"/>
  <c r="I1269" i="4"/>
  <c r="I1270" i="4"/>
  <c r="I1304" i="4"/>
  <c r="I1306" i="4"/>
  <c r="I1309" i="4"/>
  <c r="I1326" i="4"/>
  <c r="I1341" i="4"/>
  <c r="I1394" i="4"/>
  <c r="I1426" i="4"/>
  <c r="I1458" i="4"/>
  <c r="I986" i="4"/>
  <c r="I1018" i="4"/>
  <c r="I1050" i="4"/>
  <c r="I1082" i="4"/>
  <c r="I1114" i="4"/>
  <c r="I1146" i="4"/>
  <c r="I1200" i="4"/>
  <c r="I1201" i="4"/>
  <c r="I1203" i="4"/>
  <c r="I1208" i="4"/>
  <c r="I1209" i="4"/>
  <c r="I1247" i="4"/>
  <c r="I1253" i="4"/>
  <c r="I1256" i="4"/>
  <c r="I1257" i="4"/>
  <c r="I1263" i="4"/>
  <c r="I1303" i="4"/>
  <c r="I1339" i="4"/>
  <c r="I1168" i="4"/>
  <c r="I1172" i="4"/>
  <c r="I1173" i="4"/>
  <c r="I1220" i="4"/>
  <c r="I1224" i="4"/>
  <c r="I1225" i="4"/>
  <c r="I1240" i="4"/>
  <c r="I1241" i="4"/>
  <c r="I1242" i="4"/>
  <c r="I1245" i="4"/>
  <c r="I1246" i="4"/>
  <c r="I1261" i="4"/>
  <c r="I1262" i="4"/>
  <c r="I1301" i="4"/>
  <c r="I1302" i="4"/>
  <c r="I1336" i="4"/>
  <c r="I1337" i="4"/>
  <c r="I1338" i="4"/>
  <c r="I1364" i="4"/>
  <c r="I1366" i="4"/>
  <c r="I1386" i="4"/>
  <c r="I1418" i="4"/>
  <c r="I1450" i="4"/>
  <c r="I1176" i="4"/>
  <c r="I1216" i="4"/>
  <c r="I1217" i="4"/>
  <c r="I1219" i="4"/>
  <c r="I1239" i="4"/>
  <c r="I1300" i="4"/>
  <c r="I1232" i="4"/>
  <c r="I1233" i="4"/>
  <c r="I1234" i="4"/>
  <c r="I1237" i="4"/>
  <c r="I1238" i="4"/>
  <c r="I1280" i="4"/>
  <c r="I1281" i="4"/>
  <c r="I1282" i="4"/>
  <c r="I1297" i="4"/>
  <c r="I1298" i="4"/>
  <c r="I1334" i="4"/>
  <c r="I1378" i="4"/>
  <c r="I1288" i="4"/>
  <c r="I1289" i="4"/>
  <c r="I1295" i="4"/>
  <c r="I1332" i="4"/>
  <c r="I1359" i="4"/>
  <c r="I1375" i="4"/>
  <c r="I1184" i="4"/>
  <c r="I1185" i="4"/>
  <c r="I1192" i="4"/>
  <c r="I1277" i="4"/>
  <c r="I1293" i="4"/>
  <c r="I1294" i="4"/>
  <c r="I1312" i="4"/>
  <c r="I1313" i="4"/>
  <c r="I1314" i="4"/>
  <c r="I1344" i="4"/>
  <c r="I1345" i="4"/>
  <c r="I1346" i="4"/>
  <c r="I1358" i="4"/>
  <c r="I1402" i="4"/>
  <c r="I1434" i="4"/>
  <c r="I1154" i="4"/>
  <c r="I1271" i="4"/>
  <c r="I1327" i="4"/>
  <c r="I1365" i="4"/>
  <c r="I1368" i="4"/>
  <c r="I1369" i="4"/>
  <c r="I1221" i="4"/>
  <c r="I1373" i="4"/>
  <c r="I1376" i="4"/>
  <c r="I1377" i="4"/>
  <c r="I1497" i="4"/>
  <c r="I1181" i="4"/>
  <c r="I1197" i="4"/>
  <c r="I1213" i="4"/>
  <c r="I1229" i="4"/>
  <c r="I1325" i="4"/>
  <c r="I1328" i="4"/>
  <c r="I1329" i="4"/>
  <c r="I1357" i="4"/>
  <c r="I1360" i="4"/>
  <c r="I136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8B4EE4-8793-F74E-9D84-2238222BF685}" keepAlive="1" name="Query - Controls_Clean" description="Connection to the 'Controls_Clean' query in the workbook." type="5" refreshedVersion="8" background="1" saveData="1">
    <dbPr connection="Provider=Microsoft.Mashup.OleDb.1;Data Source=$Workbook$;Location=Controls_Clean;Extended Properties=&quot;&quot;" command="SELECT * FROM [Controls_Clean]"/>
  </connection>
</connections>
</file>

<file path=xl/sharedStrings.xml><?xml version="1.0" encoding="utf-8"?>
<sst xmlns="http://schemas.openxmlformats.org/spreadsheetml/2006/main" count="69053" uniqueCount="3166">
  <si>
    <t>Enterprise Data Governance &amp; Compliance Operations Hub</t>
  </si>
  <si>
    <t>Project objective</t>
  </si>
  <si>
    <t>Synthetic portfolio project demonstrating governance data maintenance, exception reporting, SharePoint-ready structure, automation design, Power BI-ready metrics, and executive communication.</t>
  </si>
  <si>
    <t>Reporting snapshot</t>
  </si>
  <si>
    <t>Data status</t>
  </si>
  <si>
    <t>Synthetic / simulated; no employer data.</t>
  </si>
  <si>
    <t>Workflow</t>
  </si>
  <si>
    <t>Controls_Raw → Power Query → Cleaned_Controls → SharePoint → Power Automate → Power BI → PowerPoint</t>
  </si>
  <si>
    <t>Public reference basis</t>
  </si>
  <si>
    <t>NIST Cybersecurity Framework 2.0 taxonomy; ISO 3166 country standardization; Microsoft implementation documentation.</t>
  </si>
  <si>
    <t>Controls Raw</t>
  </si>
  <si>
    <t>Control_ID</t>
  </si>
  <si>
    <t>Control_Name</t>
  </si>
  <si>
    <t>CSF_Function</t>
  </si>
  <si>
    <t>CSF_Category</t>
  </si>
  <si>
    <t>Business_Unit</t>
  </si>
  <si>
    <t>Region</t>
  </si>
  <si>
    <t>Country</t>
  </si>
  <si>
    <t>Risk_Level</t>
  </si>
  <si>
    <t>Control_Owner</t>
  </si>
  <si>
    <t>Review_Frequency</t>
  </si>
  <si>
    <t>Last_Review_Date</t>
  </si>
  <si>
    <t>Next_Review_Date</t>
  </si>
  <si>
    <t>Status</t>
  </si>
  <si>
    <t>Evidence_Status</t>
  </si>
  <si>
    <t>Issue_Count</t>
  </si>
  <si>
    <t>Remediation_Owner</t>
  </si>
  <si>
    <t>Remediation_Due_Date</t>
  </si>
  <si>
    <t>Remediation_Status</t>
  </si>
  <si>
    <t>CTRL-0001</t>
  </si>
  <si>
    <t>Data Control 1</t>
  </si>
  <si>
    <t>GOVERN</t>
  </si>
  <si>
    <t>GV.RM</t>
  </si>
  <si>
    <t xml:space="preserve">Finance </t>
  </si>
  <si>
    <t>Asia Pacific</t>
  </si>
  <si>
    <t>Singapore</t>
  </si>
  <si>
    <t>High</t>
  </si>
  <si>
    <t>Semiannual</t>
  </si>
  <si>
    <t>Overdue</t>
  </si>
  <si>
    <t>Alex Chen</t>
  </si>
  <si>
    <t>CTRL-0002</t>
  </si>
  <si>
    <t>Policy Control 2</t>
  </si>
  <si>
    <t>PROTECT</t>
  </si>
  <si>
    <t>PR.AA</t>
  </si>
  <si>
    <t>Technology</t>
  </si>
  <si>
    <t>North America</t>
  </si>
  <si>
    <t>United States</t>
  </si>
  <si>
    <t>Low</t>
  </si>
  <si>
    <t>Quarterly</t>
  </si>
  <si>
    <t>Missing</t>
  </si>
  <si>
    <t>Jordan Lee</t>
  </si>
  <si>
    <t>CTRL-0003</t>
  </si>
  <si>
    <t>Reconciliation Control 3</t>
  </si>
  <si>
    <t>Operations</t>
  </si>
  <si>
    <t>Sam Rivera</t>
  </si>
  <si>
    <t>Complete</t>
  </si>
  <si>
    <t>Taylor Morgan</t>
  </si>
  <si>
    <t>Not Required</t>
  </si>
  <si>
    <t>CTRL-0004</t>
  </si>
  <si>
    <t>Access Control 4</t>
  </si>
  <si>
    <t>Human Resources</t>
  </si>
  <si>
    <t>Canada</t>
  </si>
  <si>
    <t>Emma Schmidt</t>
  </si>
  <si>
    <t>Annual</t>
  </si>
  <si>
    <t>Completed</t>
  </si>
  <si>
    <t>CTRL-0005</t>
  </si>
  <si>
    <t>Incident Control 5</t>
  </si>
  <si>
    <t>Europe</t>
  </si>
  <si>
    <t>United Kingdom</t>
  </si>
  <si>
    <t>Not Started</t>
  </si>
  <si>
    <t>Maya Patel</t>
  </si>
  <si>
    <t>CTRL-0006</t>
  </si>
  <si>
    <t>Policy Control 6</t>
  </si>
  <si>
    <t>DETECT</t>
  </si>
  <si>
    <t>DE.CM</t>
  </si>
  <si>
    <t>Pending</t>
  </si>
  <si>
    <t>CTRL-0007</t>
  </si>
  <si>
    <t>Incident Control 7</t>
  </si>
  <si>
    <t>RESPOND</t>
  </si>
  <si>
    <t>RS.MA</t>
  </si>
  <si>
    <t>Risk &amp; Compliance</t>
  </si>
  <si>
    <t>CTRL-0008</t>
  </si>
  <si>
    <t>Data Control 8</t>
  </si>
  <si>
    <t>GV.RR</t>
  </si>
  <si>
    <t>In Progress</t>
  </si>
  <si>
    <t>CTRL-0009</t>
  </si>
  <si>
    <t>Incident Control 9</t>
  </si>
  <si>
    <t>GV.OC</t>
  </si>
  <si>
    <t>Medium</t>
  </si>
  <si>
    <t>CTRL-0010</t>
  </si>
  <si>
    <t>Data Control 10</t>
  </si>
  <si>
    <t>Commercial</t>
  </si>
  <si>
    <t>CTRL-0011</t>
  </si>
  <si>
    <t>Policy Control 11</t>
  </si>
  <si>
    <t>CTRL-0012</t>
  </si>
  <si>
    <t>Data Control 12</t>
  </si>
  <si>
    <t>RECOVER</t>
  </si>
  <si>
    <t>RC.RP</t>
  </si>
  <si>
    <t>Critical</t>
  </si>
  <si>
    <t>CTRL-0013</t>
  </si>
  <si>
    <t>Access Control 13</t>
  </si>
  <si>
    <t>CTRL-0014</t>
  </si>
  <si>
    <t>Access Control 14</t>
  </si>
  <si>
    <t>IDENTIFY</t>
  </si>
  <si>
    <t>ID.AM</t>
  </si>
  <si>
    <t>Finance</t>
  </si>
  <si>
    <t>Noah Williams</t>
  </si>
  <si>
    <t>CTRL-0015</t>
  </si>
  <si>
    <t>Change Control 15</t>
  </si>
  <si>
    <t>CTRL-0016</t>
  </si>
  <si>
    <t>Incident Control 16</t>
  </si>
  <si>
    <t>Liam Brown</t>
  </si>
  <si>
    <t>CTRL-0017</t>
  </si>
  <si>
    <t>Vendor Control 17</t>
  </si>
  <si>
    <t>CTRL-0018</t>
  </si>
  <si>
    <t>Vendor Control 18</t>
  </si>
  <si>
    <t>CTRL-0019</t>
  </si>
  <si>
    <t>Incident Control 19</t>
  </si>
  <si>
    <t>Germany</t>
  </si>
  <si>
    <t>CTRL-0020</t>
  </si>
  <si>
    <t>Vendor Control 20</t>
  </si>
  <si>
    <t>CTRL-0021</t>
  </si>
  <si>
    <t>Incident Control 21</t>
  </si>
  <si>
    <t>CTRL-0022</t>
  </si>
  <si>
    <t>Reconciliation Control 22</t>
  </si>
  <si>
    <t>CTRL-0023</t>
  </si>
  <si>
    <t>Access Control 23</t>
  </si>
  <si>
    <t>CTRL-0024</t>
  </si>
  <si>
    <t>Access Control 24</t>
  </si>
  <si>
    <t>CTRL-0025</t>
  </si>
  <si>
    <t>Access Control 25</t>
  </si>
  <si>
    <t>CTRL-0026</t>
  </si>
  <si>
    <t>Reconciliation Control 26</t>
  </si>
  <si>
    <t>CTRL-0027</t>
  </si>
  <si>
    <t>Change Control 27</t>
  </si>
  <si>
    <t>CTRL-0028</t>
  </si>
  <si>
    <t>Reconciliation Control 28</t>
  </si>
  <si>
    <t>CTRL-0029</t>
  </si>
  <si>
    <t>Access Control 29</t>
  </si>
  <si>
    <t>CTRL-0030</t>
  </si>
  <si>
    <t>Reconciliation Control 30</t>
  </si>
  <si>
    <t>CTRL-0031</t>
  </si>
  <si>
    <t>Incident Control 31</t>
  </si>
  <si>
    <t>CTRL-0032</t>
  </si>
  <si>
    <t>Reconciliation Control 32</t>
  </si>
  <si>
    <t>CTRL-0033</t>
  </si>
  <si>
    <t>Access Control 33</t>
  </si>
  <si>
    <t>CTRL-0034</t>
  </si>
  <si>
    <t>Vendor Control 34</t>
  </si>
  <si>
    <t>CTRL-0035</t>
  </si>
  <si>
    <t>Vendor Control 35</t>
  </si>
  <si>
    <t>Policy Control 36</t>
  </si>
  <si>
    <t>Change Control 37</t>
  </si>
  <si>
    <t>Vendor Control 38</t>
  </si>
  <si>
    <t>Vendor Control 39</t>
  </si>
  <si>
    <t>Access Control 40</t>
  </si>
  <si>
    <t>Reconciliation Control 41</t>
  </si>
  <si>
    <t>Change Control 42</t>
  </si>
  <si>
    <t>Policy Control 43</t>
  </si>
  <si>
    <t>Policy Control 44</t>
  </si>
  <si>
    <t>Incident Control 45</t>
  </si>
  <si>
    <t>Reconciliation Control 46</t>
  </si>
  <si>
    <t>Data Control 47</t>
  </si>
  <si>
    <t>Access Control 48</t>
  </si>
  <si>
    <t>Reconciliation Control 49</t>
  </si>
  <si>
    <t>Access Control 50</t>
  </si>
  <si>
    <t>Access Control 51</t>
  </si>
  <si>
    <t>Change Control 52</t>
  </si>
  <si>
    <t>Policy Control 53</t>
  </si>
  <si>
    <t>Change Control 54</t>
  </si>
  <si>
    <t>UK</t>
  </si>
  <si>
    <t>Access Control 55</t>
  </si>
  <si>
    <t>CTRL-0056</t>
  </si>
  <si>
    <t>Data Control 56</t>
  </si>
  <si>
    <t>CTRL-0057</t>
  </si>
  <si>
    <t>Incident Control 57</t>
  </si>
  <si>
    <t>CTRL-0058</t>
  </si>
  <si>
    <t>Vendor Control 58</t>
  </si>
  <si>
    <t>CTRL-0059</t>
  </si>
  <si>
    <t>Vendor Control 59</t>
  </si>
  <si>
    <t>CTRL-0060</t>
  </si>
  <si>
    <t>Incident Control 60</t>
  </si>
  <si>
    <t>CTRL-0061</t>
  </si>
  <si>
    <t>Vendor Control 61</t>
  </si>
  <si>
    <t>CTRL-0062</t>
  </si>
  <si>
    <t>Access Control 62</t>
  </si>
  <si>
    <t>CTRL-0063</t>
  </si>
  <si>
    <t>Vendor Control 63</t>
  </si>
  <si>
    <t>CTRL-0064</t>
  </si>
  <si>
    <t>Policy Control 64</t>
  </si>
  <si>
    <t>CTRL-0065</t>
  </si>
  <si>
    <t>Vendor Control 65</t>
  </si>
  <si>
    <t>CTRL-0066</t>
  </si>
  <si>
    <t>Data Control 66</t>
  </si>
  <si>
    <t>CTRL-0067</t>
  </si>
  <si>
    <t>Reconciliation Control 67</t>
  </si>
  <si>
    <t>CTRL-0068</t>
  </si>
  <si>
    <t>Incident Control 68</t>
  </si>
  <si>
    <t>CTRL-0069</t>
  </si>
  <si>
    <t>Reconciliation Control 69</t>
  </si>
  <si>
    <t>CTRL-0070</t>
  </si>
  <si>
    <t>Change Control 70</t>
  </si>
  <si>
    <t>CTRL-0071</t>
  </si>
  <si>
    <t>Data Control 71</t>
  </si>
  <si>
    <t>CTRL-0072</t>
  </si>
  <si>
    <t>Incident Control 72</t>
  </si>
  <si>
    <t>CTRL-0073</t>
  </si>
  <si>
    <t>Data Control 73</t>
  </si>
  <si>
    <t>CTRL-0074</t>
  </si>
  <si>
    <t>Access Control 74</t>
  </si>
  <si>
    <t xml:space="preserve">Human Resources </t>
  </si>
  <si>
    <t>CTRL-0075</t>
  </si>
  <si>
    <t>Data Control 75</t>
  </si>
  <si>
    <t>CTRL-0076</t>
  </si>
  <si>
    <t>Policy Control 76</t>
  </si>
  <si>
    <t>CTRL-0077</t>
  </si>
  <si>
    <t>Access Control 77</t>
  </si>
  <si>
    <t>CTRL-0078</t>
  </si>
  <si>
    <t>Incident Control 78</t>
  </si>
  <si>
    <t>CTRL-0079</t>
  </si>
  <si>
    <t>Reconciliation Control 79</t>
  </si>
  <si>
    <t>CTRL-0080</t>
  </si>
  <si>
    <t>Vendor Control 80</t>
  </si>
  <si>
    <t>CTRL-0081</t>
  </si>
  <si>
    <t>Access Control 81</t>
  </si>
  <si>
    <t>CTRL-0082</t>
  </si>
  <si>
    <t>Reconciliation Control 82</t>
  </si>
  <si>
    <t>CTRL-0083</t>
  </si>
  <si>
    <t>Change Control 83</t>
  </si>
  <si>
    <t>CTRL-0084</t>
  </si>
  <si>
    <t>Data Control 84</t>
  </si>
  <si>
    <t>CTRL-0085</t>
  </si>
  <si>
    <t>Data Control 85</t>
  </si>
  <si>
    <t>CTRL-0086</t>
  </si>
  <si>
    <t>Policy Control 86</t>
  </si>
  <si>
    <t>CTRL-0087</t>
  </si>
  <si>
    <t>Reconciliation Control 87</t>
  </si>
  <si>
    <t>CTRL-0088</t>
  </si>
  <si>
    <t>Data Control 88</t>
  </si>
  <si>
    <t>CTRL-0089</t>
  </si>
  <si>
    <t>Change Control 89</t>
  </si>
  <si>
    <t>CTRL-0090</t>
  </si>
  <si>
    <t>Access Control 90</t>
  </si>
  <si>
    <t>CTRL-0091</t>
  </si>
  <si>
    <t>Access Control 91</t>
  </si>
  <si>
    <t>CTRL-0092</t>
  </si>
  <si>
    <t>Change Control 92</t>
  </si>
  <si>
    <t>CTRL-0093</t>
  </si>
  <si>
    <t>Access Control 93</t>
  </si>
  <si>
    <t>CTRL-0094</t>
  </si>
  <si>
    <t>Access Control 94</t>
  </si>
  <si>
    <t>CTRL-0095</t>
  </si>
  <si>
    <t>Access Control 95</t>
  </si>
  <si>
    <t>CTRL-0096</t>
  </si>
  <si>
    <t>Access Control 96</t>
  </si>
  <si>
    <t>CTRL-0097</t>
  </si>
  <si>
    <t>Access Control 97</t>
  </si>
  <si>
    <t>CTRL-0098</t>
  </si>
  <si>
    <t>Policy Control 98</t>
  </si>
  <si>
    <t>CTRL-0099</t>
  </si>
  <si>
    <t>Change Control 99</t>
  </si>
  <si>
    <t>CTRL-0100</t>
  </si>
  <si>
    <t>Vendor Control 100</t>
  </si>
  <si>
    <t>CTRL-0101</t>
  </si>
  <si>
    <t>Reconciliation Control 101</t>
  </si>
  <si>
    <t>CTRL-0102</t>
  </si>
  <si>
    <t>Vendor Control 102</t>
  </si>
  <si>
    <t>CTRL-0103</t>
  </si>
  <si>
    <t>Reconciliation Control 103</t>
  </si>
  <si>
    <t>CTRL-0104</t>
  </si>
  <si>
    <t>Incident Control 104</t>
  </si>
  <si>
    <t>CTRL-0105</t>
  </si>
  <si>
    <t>Change Control 105</t>
  </si>
  <si>
    <t>CTRL-0106</t>
  </si>
  <si>
    <t>Incident Control 106</t>
  </si>
  <si>
    <t>CTRL-0107</t>
  </si>
  <si>
    <t>Policy Control 107</t>
  </si>
  <si>
    <t>CTRL-0108</t>
  </si>
  <si>
    <t>Incident Control 108</t>
  </si>
  <si>
    <t>CTRL-0109</t>
  </si>
  <si>
    <t>Policy Control 109</t>
  </si>
  <si>
    <t>CTRL-0110</t>
  </si>
  <si>
    <t>Reconciliation Control 110</t>
  </si>
  <si>
    <t>CTRL-0111</t>
  </si>
  <si>
    <t>Access Control 111</t>
  </si>
  <si>
    <t>CTRL-0112</t>
  </si>
  <si>
    <t>Access Control 112</t>
  </si>
  <si>
    <t>CTRL-0113</t>
  </si>
  <si>
    <t>Data Control 113</t>
  </si>
  <si>
    <t>CTRL-0114</t>
  </si>
  <si>
    <t>Access Control 114</t>
  </si>
  <si>
    <t>CTRL-0115</t>
  </si>
  <si>
    <t>Change Control 115</t>
  </si>
  <si>
    <t>CTRL-0116</t>
  </si>
  <si>
    <t>Access Control 116</t>
  </si>
  <si>
    <t>CTRL-0117</t>
  </si>
  <si>
    <t>Reconciliation Control 117</t>
  </si>
  <si>
    <t>CTRL-0118</t>
  </si>
  <si>
    <t>Vendor Control 118</t>
  </si>
  <si>
    <t>CTRL-0119</t>
  </si>
  <si>
    <t>Incident Control 119</t>
  </si>
  <si>
    <t>CTRL-0120</t>
  </si>
  <si>
    <t>Access Control 120</t>
  </si>
  <si>
    <t>CTRL-0121</t>
  </si>
  <si>
    <t>Data Control 121</t>
  </si>
  <si>
    <t>CTRL-0122</t>
  </si>
  <si>
    <t>Access Control 122</t>
  </si>
  <si>
    <t>CTRL-0123</t>
  </si>
  <si>
    <t>Policy Control 123</t>
  </si>
  <si>
    <t>CTRL-0124</t>
  </si>
  <si>
    <t>Reconciliation Control 124</t>
  </si>
  <si>
    <t>CTRL-0125</t>
  </si>
  <si>
    <t>Data Control 125</t>
  </si>
  <si>
    <t>CTRL-0126</t>
  </si>
  <si>
    <t>Incident Control 126</t>
  </si>
  <si>
    <t>CTRL-0127</t>
  </si>
  <si>
    <t>Reconciliation Control 127</t>
  </si>
  <si>
    <t>CTRL-0128</t>
  </si>
  <si>
    <t>Data Control 128</t>
  </si>
  <si>
    <t>CTRL-0129</t>
  </si>
  <si>
    <t>Access Control 129</t>
  </si>
  <si>
    <t>CTRL-0130</t>
  </si>
  <si>
    <t>Reconciliation Control 130</t>
  </si>
  <si>
    <t>CTRL-0131</t>
  </si>
  <si>
    <t>Incident Control 131</t>
  </si>
  <si>
    <t>CTRL-0132</t>
  </si>
  <si>
    <t>Vendor Control 132</t>
  </si>
  <si>
    <t>CTRL-0133</t>
  </si>
  <si>
    <t>Vendor Control 133</t>
  </si>
  <si>
    <t>CTRL-0134</t>
  </si>
  <si>
    <t>Vendor Control 134</t>
  </si>
  <si>
    <t>CTRL-0135</t>
  </si>
  <si>
    <t>Policy Control 135</t>
  </si>
  <si>
    <t>CTRL-0136</t>
  </si>
  <si>
    <t>Data Control 136</t>
  </si>
  <si>
    <t>CTRL-0137</t>
  </si>
  <si>
    <t>Change Control 137</t>
  </si>
  <si>
    <t>CTRL-0138</t>
  </si>
  <si>
    <t>Vendor Control 138</t>
  </si>
  <si>
    <t>CTRL-0139</t>
  </si>
  <si>
    <t>Change Control 139</t>
  </si>
  <si>
    <t>CTRL-0140</t>
  </si>
  <si>
    <t>Policy Control 140</t>
  </si>
  <si>
    <t>CTRL-0141</t>
  </si>
  <si>
    <t>Data Control 141</t>
  </si>
  <si>
    <t>CTRL-0142</t>
  </si>
  <si>
    <t>Reconciliation Control 142</t>
  </si>
  <si>
    <t>CTRL-0143</t>
  </si>
  <si>
    <t>Reconciliation Control 143</t>
  </si>
  <si>
    <t>CTRL-0144</t>
  </si>
  <si>
    <t>Change Control 144</t>
  </si>
  <si>
    <t>CTRL-0145</t>
  </si>
  <si>
    <t>Vendor Control 145</t>
  </si>
  <si>
    <t>CTRL-0146</t>
  </si>
  <si>
    <t>Change Control 146</t>
  </si>
  <si>
    <t>CTRL-0147</t>
  </si>
  <si>
    <t>Reconciliation Control 147</t>
  </si>
  <si>
    <t xml:space="preserve">Risk &amp; Compliance </t>
  </si>
  <si>
    <t>CTRL-0148</t>
  </si>
  <si>
    <t>Incident Control 148</t>
  </si>
  <si>
    <t>CTRL-0149</t>
  </si>
  <si>
    <t>Change Control 149</t>
  </si>
  <si>
    <t>CTRL-0150</t>
  </si>
  <si>
    <t>Reconciliation Control 150</t>
  </si>
  <si>
    <t>CTRL-0151</t>
  </si>
  <si>
    <t>Reconciliation Control 151</t>
  </si>
  <si>
    <t>CTRL-0152</t>
  </si>
  <si>
    <t>Data Control 152</t>
  </si>
  <si>
    <t>CTRL-0153</t>
  </si>
  <si>
    <t>Incident Control 153</t>
  </si>
  <si>
    <t>CTRL-0154</t>
  </si>
  <si>
    <t>Incident Control 154</t>
  </si>
  <si>
    <t>CTRL-0155</t>
  </si>
  <si>
    <t>Change Control 155</t>
  </si>
  <si>
    <t>CTRL-0156</t>
  </si>
  <si>
    <t>Access Control 156</t>
  </si>
  <si>
    <t>CTRL-0157</t>
  </si>
  <si>
    <t>Policy Control 157</t>
  </si>
  <si>
    <t>CTRL-0158</t>
  </si>
  <si>
    <t>Vendor Control 158</t>
  </si>
  <si>
    <t>CTRL-0159</t>
  </si>
  <si>
    <t>Data Control 159</t>
  </si>
  <si>
    <t>CTRL-0160</t>
  </si>
  <si>
    <t>Incident Control 160</t>
  </si>
  <si>
    <t>CTRL-0161</t>
  </si>
  <si>
    <t>Vendor Control 161</t>
  </si>
  <si>
    <t>CTRL-0162</t>
  </si>
  <si>
    <t>Vendor Control 162</t>
  </si>
  <si>
    <t>CTRL-0163</t>
  </si>
  <si>
    <t>Policy Control 163</t>
  </si>
  <si>
    <t>CTRL-0164</t>
  </si>
  <si>
    <t>Change Control 164</t>
  </si>
  <si>
    <t>CTRL-0165</t>
  </si>
  <si>
    <t>Vendor Control 165</t>
  </si>
  <si>
    <t>CTRL-0166</t>
  </si>
  <si>
    <t>Reconciliation Control 166</t>
  </si>
  <si>
    <t>CTRL-0167</t>
  </si>
  <si>
    <t>Vendor Control 167</t>
  </si>
  <si>
    <t>CTRL-0168</t>
  </si>
  <si>
    <t>Policy Control 168</t>
  </si>
  <si>
    <t>CTRL-0169</t>
  </si>
  <si>
    <t>Incident Control 169</t>
  </si>
  <si>
    <t>CTRL-0170</t>
  </si>
  <si>
    <t>Data Control 170</t>
  </si>
  <si>
    <t>CTRL-0171</t>
  </si>
  <si>
    <t>Incident Control 171</t>
  </si>
  <si>
    <t>CTRL-0172</t>
  </si>
  <si>
    <t>Incident Control 172</t>
  </si>
  <si>
    <t>CTRL-0173</t>
  </si>
  <si>
    <t>Change Control 173</t>
  </si>
  <si>
    <t>CTRL-0174</t>
  </si>
  <si>
    <t>Incident Control 174</t>
  </si>
  <si>
    <t>CTRL-0175</t>
  </si>
  <si>
    <t>Access Control 175</t>
  </si>
  <si>
    <t>CTRL-0176</t>
  </si>
  <si>
    <t>Policy Control 176</t>
  </si>
  <si>
    <t>CTRL-0177</t>
  </si>
  <si>
    <t>Vendor Control 177</t>
  </si>
  <si>
    <t>CTRL-0178</t>
  </si>
  <si>
    <t>Data Control 178</t>
  </si>
  <si>
    <t>CTRL-0179</t>
  </si>
  <si>
    <t>Reconciliation Control 179</t>
  </si>
  <si>
    <t>CTRL-0180</t>
  </si>
  <si>
    <t>Vendor Control 180</t>
  </si>
  <si>
    <t>CTRL-0181</t>
  </si>
  <si>
    <t>Reconciliation Control 181</t>
  </si>
  <si>
    <t>CTRL-0182</t>
  </si>
  <si>
    <t>Reconciliation Control 182</t>
  </si>
  <si>
    <t>CTRL-0183</t>
  </si>
  <si>
    <t>Policy Control 183</t>
  </si>
  <si>
    <t>CTRL-0184</t>
  </si>
  <si>
    <t>Data Control 184</t>
  </si>
  <si>
    <t>CTRL-0185</t>
  </si>
  <si>
    <t>Policy Control 185</t>
  </si>
  <si>
    <t>CTRL-0186</t>
  </si>
  <si>
    <t>Vendor Control 186</t>
  </si>
  <si>
    <t>CTRL-0187</t>
  </si>
  <si>
    <t>Vendor Control 187</t>
  </si>
  <si>
    <t>CTRL-0188</t>
  </si>
  <si>
    <t>Incident Control 188</t>
  </si>
  <si>
    <t>CTRL-0189</t>
  </si>
  <si>
    <t>Incident Control 189</t>
  </si>
  <si>
    <t>CTRL-0190</t>
  </si>
  <si>
    <t>Data Control 190</t>
  </si>
  <si>
    <t>CTRL-0191</t>
  </si>
  <si>
    <t>Reconciliation Control 191</t>
  </si>
  <si>
    <t>CTRL-0192</t>
  </si>
  <si>
    <t>Access Control 192</t>
  </si>
  <si>
    <t>CTRL-0193</t>
  </si>
  <si>
    <t>Data Control 193</t>
  </si>
  <si>
    <t>CTRL-0194</t>
  </si>
  <si>
    <t>Change Control 194</t>
  </si>
  <si>
    <t>CTRL-0195</t>
  </si>
  <si>
    <t>Reconciliation Control 195</t>
  </si>
  <si>
    <t>CTRL-0196</t>
  </si>
  <si>
    <t>Data Control 196</t>
  </si>
  <si>
    <t>CTRL-0197</t>
  </si>
  <si>
    <t>Vendor Control 197</t>
  </si>
  <si>
    <t>CTRL-0198</t>
  </si>
  <si>
    <t>Data Control 198</t>
  </si>
  <si>
    <t>CTRL-0199</t>
  </si>
  <si>
    <t>Policy Control 199</t>
  </si>
  <si>
    <t>CTRL-0200</t>
  </si>
  <si>
    <t>Incident Control 200</t>
  </si>
  <si>
    <t>CTRL-0201</t>
  </si>
  <si>
    <t>Change Control 201</t>
  </si>
  <si>
    <t>CTRL-0202</t>
  </si>
  <si>
    <t>Access Control 202</t>
  </si>
  <si>
    <t>CTRL-0203</t>
  </si>
  <si>
    <t>Access Control 203</t>
  </si>
  <si>
    <t>CTRL-0204</t>
  </si>
  <si>
    <t>Access Control 204</t>
  </si>
  <si>
    <t>CTRL-0205</t>
  </si>
  <si>
    <t>Access Control 205</t>
  </si>
  <si>
    <t>CTRL-0206</t>
  </si>
  <si>
    <t>Data Control 206</t>
  </si>
  <si>
    <t>CTRL-0207</t>
  </si>
  <si>
    <t>Change Control 207</t>
  </si>
  <si>
    <t>CTRL-0208</t>
  </si>
  <si>
    <t>Policy Control 208</t>
  </si>
  <si>
    <t>CTRL-0209</t>
  </si>
  <si>
    <t>Data Control 209</t>
  </si>
  <si>
    <t>CTRL-0210</t>
  </si>
  <si>
    <t>Access Control 210</t>
  </si>
  <si>
    <t>CTRL-0211</t>
  </si>
  <si>
    <t>Data Control 211</t>
  </si>
  <si>
    <t>CTRL-0212</t>
  </si>
  <si>
    <t>Vendor Control 212</t>
  </si>
  <si>
    <t>CTRL-0213</t>
  </si>
  <si>
    <t>Change Control 213</t>
  </si>
  <si>
    <t>CTRL-0214</t>
  </si>
  <si>
    <t>Vendor Control 214</t>
  </si>
  <si>
    <t>CTRL-0215</t>
  </si>
  <si>
    <t>Access Control 215</t>
  </si>
  <si>
    <t>CTRL-0216</t>
  </si>
  <si>
    <t>Incident Control 216</t>
  </si>
  <si>
    <t>CTRL-0217</t>
  </si>
  <si>
    <t>Vendor Control 217</t>
  </si>
  <si>
    <t>CTRL-0218</t>
  </si>
  <si>
    <t>Policy Control 218</t>
  </si>
  <si>
    <t>CTRL-0219</t>
  </si>
  <si>
    <t>Vendor Control 219</t>
  </si>
  <si>
    <t>CTRL-0220</t>
  </si>
  <si>
    <t>Data Control 220</t>
  </si>
  <si>
    <t>CTRL-0221</t>
  </si>
  <si>
    <t>Incident Control 221</t>
  </si>
  <si>
    <t>CTRL-0222</t>
  </si>
  <si>
    <t>Access Control 222</t>
  </si>
  <si>
    <t>CTRL-0223</t>
  </si>
  <si>
    <t>Change Control 223</t>
  </si>
  <si>
    <t>CTRL-0224</t>
  </si>
  <si>
    <t>Access Control 224</t>
  </si>
  <si>
    <t>CTRL-0225</t>
  </si>
  <si>
    <t>Policy Control 225</t>
  </si>
  <si>
    <t>CTRL-0226</t>
  </si>
  <si>
    <t>Policy Control 226</t>
  </si>
  <si>
    <t>CTRL-0227</t>
  </si>
  <si>
    <t>Access Control 227</t>
  </si>
  <si>
    <t>CTRL-0228</t>
  </si>
  <si>
    <t>Incident Control 228</t>
  </si>
  <si>
    <t>CTRL-0229</t>
  </si>
  <si>
    <t>Access Control 229</t>
  </si>
  <si>
    <t>CTRL-0230</t>
  </si>
  <si>
    <t>Data Control 230</t>
  </si>
  <si>
    <t>CTRL-0231</t>
  </si>
  <si>
    <t>Policy Control 231</t>
  </si>
  <si>
    <t>CTRL-0232</t>
  </si>
  <si>
    <t>Policy Control 232</t>
  </si>
  <si>
    <t>CTRL-0233</t>
  </si>
  <si>
    <t>Data Control 233</t>
  </si>
  <si>
    <t>CTRL-0234</t>
  </si>
  <si>
    <t>Change Control 234</t>
  </si>
  <si>
    <t>CTRL-0235</t>
  </si>
  <si>
    <t>Policy Control 235</t>
  </si>
  <si>
    <t>CTRL-0236</t>
  </si>
  <si>
    <t>Policy Control 236</t>
  </si>
  <si>
    <t>CTRL-0237</t>
  </si>
  <si>
    <t>Vendor Control 237</t>
  </si>
  <si>
    <t>CTRL-0238</t>
  </si>
  <si>
    <t>Change Control 238</t>
  </si>
  <si>
    <t>CTRL-0239</t>
  </si>
  <si>
    <t>Reconciliation Control 239</t>
  </si>
  <si>
    <t>CTRL-0240</t>
  </si>
  <si>
    <t>Change Control 240</t>
  </si>
  <si>
    <t>CTRL-0241</t>
  </si>
  <si>
    <t>Vendor Control 241</t>
  </si>
  <si>
    <t>CTRL-0242</t>
  </si>
  <si>
    <t>Vendor Control 242</t>
  </si>
  <si>
    <t>CTRL-0243</t>
  </si>
  <si>
    <t>Vendor Control 243</t>
  </si>
  <si>
    <t>CTRL-0244</t>
  </si>
  <si>
    <t>Policy Control 244</t>
  </si>
  <si>
    <t>CTRL-0245</t>
  </si>
  <si>
    <t>Access Control 245</t>
  </si>
  <si>
    <t>CTRL-0246</t>
  </si>
  <si>
    <t>Access Control 246</t>
  </si>
  <si>
    <t>CTRL-0247</t>
  </si>
  <si>
    <t>Data Control 247</t>
  </si>
  <si>
    <t>CTRL-0248</t>
  </si>
  <si>
    <t>Access Control 248</t>
  </si>
  <si>
    <t>CTRL-0249</t>
  </si>
  <si>
    <t>Reconciliation Control 249</t>
  </si>
  <si>
    <t>CTRL-0250</t>
  </si>
  <si>
    <t>Policy Control 250</t>
  </si>
  <si>
    <t>CTRL-0251</t>
  </si>
  <si>
    <t>Data Control 251</t>
  </si>
  <si>
    <t>CTRL-0252</t>
  </si>
  <si>
    <t>Vendor Control 252</t>
  </si>
  <si>
    <t>CTRL-0253</t>
  </si>
  <si>
    <t>Reconciliation Control 253</t>
  </si>
  <si>
    <t>CTRL-0254</t>
  </si>
  <si>
    <t>Change Control 254</t>
  </si>
  <si>
    <t>CTRL-0255</t>
  </si>
  <si>
    <t>Incident Control 255</t>
  </si>
  <si>
    <t>CTRL-0256</t>
  </si>
  <si>
    <t>Vendor Control 256</t>
  </si>
  <si>
    <t>CTRL-0257</t>
  </si>
  <si>
    <t>Reconciliation Control 257</t>
  </si>
  <si>
    <t>CTRL-0258</t>
  </si>
  <si>
    <t>Access Control 258</t>
  </si>
  <si>
    <t>CTRL-0259</t>
  </si>
  <si>
    <t>Data Control 259</t>
  </si>
  <si>
    <t>CTRL-0260</t>
  </si>
  <si>
    <t>Reconciliation Control 260</t>
  </si>
  <si>
    <t>CTRL-0261</t>
  </si>
  <si>
    <t>Change Control 261</t>
  </si>
  <si>
    <t>CTRL-0262</t>
  </si>
  <si>
    <t>Vendor Control 262</t>
  </si>
  <si>
    <t>CTRL-0263</t>
  </si>
  <si>
    <t>Change Control 263</t>
  </si>
  <si>
    <t>CTRL-0264</t>
  </si>
  <si>
    <t>Data Control 264</t>
  </si>
  <si>
    <t>CTRL-0265</t>
  </si>
  <si>
    <t>Incident Control 265</t>
  </si>
  <si>
    <t>CTRL-0266</t>
  </si>
  <si>
    <t>Change Control 266</t>
  </si>
  <si>
    <t>CTRL-0267</t>
  </si>
  <si>
    <t>Access Control 267</t>
  </si>
  <si>
    <t>CTRL-0268</t>
  </si>
  <si>
    <t>Data Control 268</t>
  </si>
  <si>
    <t>CTRL-0269</t>
  </si>
  <si>
    <t>Incident Control 269</t>
  </si>
  <si>
    <t>CTRL-0270</t>
  </si>
  <si>
    <t>Policy Control 270</t>
  </si>
  <si>
    <t>CTRL-0271</t>
  </si>
  <si>
    <t>Change Control 271</t>
  </si>
  <si>
    <t>CTRL-0272</t>
  </si>
  <si>
    <t>Incident Control 272</t>
  </si>
  <si>
    <t>CTRL-0273</t>
  </si>
  <si>
    <t>Policy Control 273</t>
  </si>
  <si>
    <t>CTRL-0274</t>
  </si>
  <si>
    <t>Incident Control 274</t>
  </si>
  <si>
    <t>CTRL-0275</t>
  </si>
  <si>
    <t>Policy Control 275</t>
  </si>
  <si>
    <t>CTRL-0276</t>
  </si>
  <si>
    <t>Vendor Control 276</t>
  </si>
  <si>
    <t>CTRL-0277</t>
  </si>
  <si>
    <t>Vendor Control 277</t>
  </si>
  <si>
    <t>CTRL-0278</t>
  </si>
  <si>
    <t>Policy Control 278</t>
  </si>
  <si>
    <t>CTRL-0279</t>
  </si>
  <si>
    <t>Vendor Control 279</t>
  </si>
  <si>
    <t>CTRL-0280</t>
  </si>
  <si>
    <t>Access Control 280</t>
  </si>
  <si>
    <t>CTRL-0281</t>
  </si>
  <si>
    <t>Incident Control 281</t>
  </si>
  <si>
    <t>CTRL-0282</t>
  </si>
  <si>
    <t>Access Control 282</t>
  </si>
  <si>
    <t>CTRL-0283</t>
  </si>
  <si>
    <t>Incident Control 283</t>
  </si>
  <si>
    <t>CTRL-0284</t>
  </si>
  <si>
    <t>Access Control 284</t>
  </si>
  <si>
    <t>CTRL-0285</t>
  </si>
  <si>
    <t>Data Control 285</t>
  </si>
  <si>
    <t>CTRL-0286</t>
  </si>
  <si>
    <t>Change Control 286</t>
  </si>
  <si>
    <t>CTRL-0287</t>
  </si>
  <si>
    <t>Data Control 287</t>
  </si>
  <si>
    <t>CTRL-0288</t>
  </si>
  <si>
    <t>Policy Control 288</t>
  </si>
  <si>
    <t>CTRL-0289</t>
  </si>
  <si>
    <t>Incident Control 289</t>
  </si>
  <si>
    <t>CTRL-0290</t>
  </si>
  <si>
    <t>Change Control 290</t>
  </si>
  <si>
    <t>CTRL-0291</t>
  </si>
  <si>
    <t>Change Control 291</t>
  </si>
  <si>
    <t>CTRL-0292</t>
  </si>
  <si>
    <t>Access Control 292</t>
  </si>
  <si>
    <t>CTRL-0293</t>
  </si>
  <si>
    <t>Data Control 293</t>
  </si>
  <si>
    <t xml:space="preserve">Commercial </t>
  </si>
  <si>
    <t>CTRL-0294</t>
  </si>
  <si>
    <t>Data Control 294</t>
  </si>
  <si>
    <t>CTRL-0295</t>
  </si>
  <si>
    <t>Access Control 295</t>
  </si>
  <si>
    <t>CTRL-0296</t>
  </si>
  <si>
    <t>Change Control 296</t>
  </si>
  <si>
    <t>CTRL-0297</t>
  </si>
  <si>
    <t>Access Control 297</t>
  </si>
  <si>
    <t>CTRL-0298</t>
  </si>
  <si>
    <t>Reconciliation Control 298</t>
  </si>
  <si>
    <t>CTRL-0299</t>
  </si>
  <si>
    <t>Data Control 299</t>
  </si>
  <si>
    <t>CTRL-0300</t>
  </si>
  <si>
    <t>Data Control 300</t>
  </si>
  <si>
    <t>CTRL-0301</t>
  </si>
  <si>
    <t>Data Control 301</t>
  </si>
  <si>
    <t>CTRL-0302</t>
  </si>
  <si>
    <t>Change Control 302</t>
  </si>
  <si>
    <t>CTRL-0303</t>
  </si>
  <si>
    <t>Reconciliation Control 303</t>
  </si>
  <si>
    <t>CTRL-0304</t>
  </si>
  <si>
    <t>Data Control 304</t>
  </si>
  <si>
    <t>CTRL-0305</t>
  </si>
  <si>
    <t>Incident Control 305</t>
  </si>
  <si>
    <t>CTRL-0306</t>
  </si>
  <si>
    <t>Data Control 306</t>
  </si>
  <si>
    <t>CTRL-0307</t>
  </si>
  <si>
    <t>Policy Control 307</t>
  </si>
  <si>
    <t>CTRL-0308</t>
  </si>
  <si>
    <t>Change Control 308</t>
  </si>
  <si>
    <t>CTRL-0309</t>
  </si>
  <si>
    <t>Change Control 309</t>
  </si>
  <si>
    <t>CTRL-0310</t>
  </si>
  <si>
    <t>Data Control 310</t>
  </si>
  <si>
    <t>CTRL-0311</t>
  </si>
  <si>
    <t>Vendor Control 311</t>
  </si>
  <si>
    <t>CTRL-0312</t>
  </si>
  <si>
    <t>Data Control 312</t>
  </si>
  <si>
    <t>CTRL-0313</t>
  </si>
  <si>
    <t>Incident Control 313</t>
  </si>
  <si>
    <t>CTRL-0314</t>
  </si>
  <si>
    <t>Change Control 314</t>
  </si>
  <si>
    <t>CTRL-0315</t>
  </si>
  <si>
    <t>Access Control 315</t>
  </si>
  <si>
    <t>CTRL-0316</t>
  </si>
  <si>
    <t>Vendor Control 316</t>
  </si>
  <si>
    <t>CTRL-0317</t>
  </si>
  <si>
    <t>Data Control 317</t>
  </si>
  <si>
    <t>CTRL-0318</t>
  </si>
  <si>
    <t>Reconciliation Control 318</t>
  </si>
  <si>
    <t>CTRL-0319</t>
  </si>
  <si>
    <t>Reconciliation Control 319</t>
  </si>
  <si>
    <t>CTRL-0320</t>
  </si>
  <si>
    <t>Vendor Control 320</t>
  </si>
  <si>
    <t>CTRL-0321</t>
  </si>
  <si>
    <t>Policy Control 321</t>
  </si>
  <si>
    <t>CTRL-0322</t>
  </si>
  <si>
    <t>Policy Control 322</t>
  </si>
  <si>
    <t>CTRL-0323</t>
  </si>
  <si>
    <t>Incident Control 323</t>
  </si>
  <si>
    <t>CTRL-0324</t>
  </si>
  <si>
    <t>Vendor Control 324</t>
  </si>
  <si>
    <t>CTRL-0325</t>
  </si>
  <si>
    <t>Data Control 325</t>
  </si>
  <si>
    <t>CTRL-0326</t>
  </si>
  <si>
    <t>Incident Control 326</t>
  </si>
  <si>
    <t>CTRL-0327</t>
  </si>
  <si>
    <t>Data Control 327</t>
  </si>
  <si>
    <t>CTRL-0328</t>
  </si>
  <si>
    <t>Data Control 328</t>
  </si>
  <si>
    <t>CTRL-0329</t>
  </si>
  <si>
    <t>Access Control 329</t>
  </si>
  <si>
    <t>CTRL-0330</t>
  </si>
  <si>
    <t>Change Control 330</t>
  </si>
  <si>
    <t>CTRL-0331</t>
  </si>
  <si>
    <t>Vendor Control 331</t>
  </si>
  <si>
    <t>CTRL-0332</t>
  </si>
  <si>
    <t>Access Control 332</t>
  </si>
  <si>
    <t>CTRL-0333</t>
  </si>
  <si>
    <t>Vendor Control 333</t>
  </si>
  <si>
    <t>CTRL-0334</t>
  </si>
  <si>
    <t>Incident Control 334</t>
  </si>
  <si>
    <t>CTRL-0335</t>
  </si>
  <si>
    <t>Change Control 335</t>
  </si>
  <si>
    <t>CTRL-0336</t>
  </si>
  <si>
    <t>Data Control 336</t>
  </si>
  <si>
    <t>CTRL-0337</t>
  </si>
  <si>
    <t>Vendor Control 337</t>
  </si>
  <si>
    <t>CTRL-0338</t>
  </si>
  <si>
    <t>Vendor Control 338</t>
  </si>
  <si>
    <t>CTRL-0339</t>
  </si>
  <si>
    <t>Data Control 339</t>
  </si>
  <si>
    <t>CTRL-0340</t>
  </si>
  <si>
    <t>Vendor Control 340</t>
  </si>
  <si>
    <t>CTRL-0341</t>
  </si>
  <si>
    <t>Incident Control 341</t>
  </si>
  <si>
    <t>CTRL-0342</t>
  </si>
  <si>
    <t>Change Control 342</t>
  </si>
  <si>
    <t>CTRL-0343</t>
  </si>
  <si>
    <t>Vendor Control 343</t>
  </si>
  <si>
    <t>CTRL-0344</t>
  </si>
  <si>
    <t>Vendor Control 344</t>
  </si>
  <si>
    <t>CTRL-0345</t>
  </si>
  <si>
    <t>Change Control 345</t>
  </si>
  <si>
    <t>CTRL-0346</t>
  </si>
  <si>
    <t>Vendor Control 346</t>
  </si>
  <si>
    <t>CTRL-0347</t>
  </si>
  <si>
    <t>Policy Control 347</t>
  </si>
  <si>
    <t>CTRL-0348</t>
  </si>
  <si>
    <t>Change Control 348</t>
  </si>
  <si>
    <t>CTRL-0349</t>
  </si>
  <si>
    <t>Change Control 349</t>
  </si>
  <si>
    <t>CTRL-0350</t>
  </si>
  <si>
    <t>Reconciliation Control 350</t>
  </si>
  <si>
    <t>CTRL-0351</t>
  </si>
  <si>
    <t>Reconciliation Control 351</t>
  </si>
  <si>
    <t>CTRL-0352</t>
  </si>
  <si>
    <t>Policy Control 352</t>
  </si>
  <si>
    <t>CTRL-0353</t>
  </si>
  <si>
    <t>Reconciliation Control 353</t>
  </si>
  <si>
    <t>CTRL-0354</t>
  </si>
  <si>
    <t>Policy Control 354</t>
  </si>
  <si>
    <t>CTRL-0355</t>
  </si>
  <si>
    <t>Access Control 355</t>
  </si>
  <si>
    <t>CTRL-0356</t>
  </si>
  <si>
    <t>Policy Control 356</t>
  </si>
  <si>
    <t>CTRL-0357</t>
  </si>
  <si>
    <t>Change Control 357</t>
  </si>
  <si>
    <t>CTRL-0358</t>
  </si>
  <si>
    <t>Reconciliation Control 358</t>
  </si>
  <si>
    <t>CTRL-0359</t>
  </si>
  <si>
    <t>Incident Control 359</t>
  </si>
  <si>
    <t>CTRL-0360</t>
  </si>
  <si>
    <t>Access Control 360</t>
  </si>
  <si>
    <t>CTRL-0361</t>
  </si>
  <si>
    <t>Access Control 361</t>
  </si>
  <si>
    <t>CTRL-0362</t>
  </si>
  <si>
    <t>Policy Control 362</t>
  </si>
  <si>
    <t>CTRL-0363</t>
  </si>
  <si>
    <t>Data Control 363</t>
  </si>
  <si>
    <t>CTRL-0364</t>
  </si>
  <si>
    <t>Access Control 364</t>
  </si>
  <si>
    <t>CTRL-0365</t>
  </si>
  <si>
    <t>Policy Control 365</t>
  </si>
  <si>
    <t>CTRL-0366</t>
  </si>
  <si>
    <t>Vendor Control 366</t>
  </si>
  <si>
    <t>CTRL-0367</t>
  </si>
  <si>
    <t>Access Control 367</t>
  </si>
  <si>
    <t>CTRL-0368</t>
  </si>
  <si>
    <t>Incident Control 368</t>
  </si>
  <si>
    <t>CTRL-0369</t>
  </si>
  <si>
    <t>Policy Control 369</t>
  </si>
  <si>
    <t>CTRL-0370</t>
  </si>
  <si>
    <t>Reconciliation Control 370</t>
  </si>
  <si>
    <t>CTRL-0371</t>
  </si>
  <si>
    <t>Change Control 371</t>
  </si>
  <si>
    <t>CTRL-0372</t>
  </si>
  <si>
    <t>Policy Control 372</t>
  </si>
  <si>
    <t>CTRL-0373</t>
  </si>
  <si>
    <t>Reconciliation Control 373</t>
  </si>
  <si>
    <t>CTRL-0374</t>
  </si>
  <si>
    <t>Reconciliation Control 374</t>
  </si>
  <si>
    <t>CTRL-0375</t>
  </si>
  <si>
    <t>Change Control 375</t>
  </si>
  <si>
    <t>CTRL-0376</t>
  </si>
  <si>
    <t>Data Control 376</t>
  </si>
  <si>
    <t>CTRL-0377</t>
  </si>
  <si>
    <t>Policy Control 377</t>
  </si>
  <si>
    <t>CTRL-0378</t>
  </si>
  <si>
    <t>Change Control 378</t>
  </si>
  <si>
    <t>CTRL-0379</t>
  </si>
  <si>
    <t>Vendor Control 379</t>
  </si>
  <si>
    <t>CTRL-0380</t>
  </si>
  <si>
    <t>Data Control 380</t>
  </si>
  <si>
    <t>CTRL-0381</t>
  </si>
  <si>
    <t>Vendor Control 381</t>
  </si>
  <si>
    <t>CTRL-0382</t>
  </si>
  <si>
    <t>Incident Control 382</t>
  </si>
  <si>
    <t>CTRL-0383</t>
  </si>
  <si>
    <t>Vendor Control 383</t>
  </si>
  <si>
    <t>CTRL-0384</t>
  </si>
  <si>
    <t>Data Control 384</t>
  </si>
  <si>
    <t>CTRL-0385</t>
  </si>
  <si>
    <t>Vendor Control 385</t>
  </si>
  <si>
    <t>CTRL-0386</t>
  </si>
  <si>
    <t>Change Control 386</t>
  </si>
  <si>
    <t>CTRL-0387</t>
  </si>
  <si>
    <t>Data Control 387</t>
  </si>
  <si>
    <t>CTRL-0388</t>
  </si>
  <si>
    <t>Change Control 388</t>
  </si>
  <si>
    <t>CTRL-0389</t>
  </si>
  <si>
    <t>Change Control 389</t>
  </si>
  <si>
    <t>CTRL-0390</t>
  </si>
  <si>
    <t>Incident Control 390</t>
  </si>
  <si>
    <t>CTRL-0391</t>
  </si>
  <si>
    <t>Vendor Control 391</t>
  </si>
  <si>
    <t>CTRL-0392</t>
  </si>
  <si>
    <t>Reconciliation Control 392</t>
  </si>
  <si>
    <t>CTRL-0393</t>
  </si>
  <si>
    <t>Data Control 393</t>
  </si>
  <si>
    <t>CTRL-0394</t>
  </si>
  <si>
    <t>Access Control 394</t>
  </si>
  <si>
    <t>CTRL-0395</t>
  </si>
  <si>
    <t>Vendor Control 395</t>
  </si>
  <si>
    <t>CTRL-0396</t>
  </si>
  <si>
    <t>Policy Control 396</t>
  </si>
  <si>
    <t>CTRL-0397</t>
  </si>
  <si>
    <t>Data Control 397</t>
  </si>
  <si>
    <t>CTRL-0398</t>
  </si>
  <si>
    <t>Data Control 398</t>
  </si>
  <si>
    <t>CTRL-0399</t>
  </si>
  <si>
    <t>Incident Control 399</t>
  </si>
  <si>
    <t>CTRL-0400</t>
  </si>
  <si>
    <t>Policy Control 400</t>
  </si>
  <si>
    <t>CTRL-0401</t>
  </si>
  <si>
    <t>Vendor Control 401</t>
  </si>
  <si>
    <t>CTRL-0402</t>
  </si>
  <si>
    <t>Data Control 402</t>
  </si>
  <si>
    <t>CTRL-0403</t>
  </si>
  <si>
    <t>Vendor Control 403</t>
  </si>
  <si>
    <t>CTRL-0404</t>
  </si>
  <si>
    <t>Access Control 404</t>
  </si>
  <si>
    <t>CTRL-0405</t>
  </si>
  <si>
    <t>Vendor Control 405</t>
  </si>
  <si>
    <t>CTRL-0406</t>
  </si>
  <si>
    <t>Policy Control 406</t>
  </si>
  <si>
    <t>CTRL-0407</t>
  </si>
  <si>
    <t>Access Control 407</t>
  </si>
  <si>
    <t>CTRL-0408</t>
  </si>
  <si>
    <t>Change Control 408</t>
  </si>
  <si>
    <t>CTRL-0409</t>
  </si>
  <si>
    <t>Reconciliation Control 409</t>
  </si>
  <si>
    <t>CTRL-0410</t>
  </si>
  <si>
    <t>Access Control 410</t>
  </si>
  <si>
    <t>CTRL-0411</t>
  </si>
  <si>
    <t>Access Control 411</t>
  </si>
  <si>
    <t>CTRL-0412</t>
  </si>
  <si>
    <t>Change Control 412</t>
  </si>
  <si>
    <t>CTRL-0413</t>
  </si>
  <si>
    <t>Data Control 413</t>
  </si>
  <si>
    <t>CTRL-0414</t>
  </si>
  <si>
    <t>Data Control 414</t>
  </si>
  <si>
    <t>CTRL-0415</t>
  </si>
  <si>
    <t>Incident Control 415</t>
  </si>
  <si>
    <t>CTRL-0416</t>
  </si>
  <si>
    <t>Access Control 416</t>
  </si>
  <si>
    <t>CTRL-0417</t>
  </si>
  <si>
    <t>Data Control 417</t>
  </si>
  <si>
    <t>CTRL-0418</t>
  </si>
  <si>
    <t>Data Control 418</t>
  </si>
  <si>
    <t>CTRL-0419</t>
  </si>
  <si>
    <t>Incident Control 419</t>
  </si>
  <si>
    <t>CTRL-0420</t>
  </si>
  <si>
    <t>Reconciliation Control 420</t>
  </si>
  <si>
    <t>CTRL-0421</t>
  </si>
  <si>
    <t>Policy Control 421</t>
  </si>
  <si>
    <t>CTRL-0422</t>
  </si>
  <si>
    <t>Policy Control 422</t>
  </si>
  <si>
    <t>CTRL-0423</t>
  </si>
  <si>
    <t>Change Control 423</t>
  </si>
  <si>
    <t>CTRL-0424</t>
  </si>
  <si>
    <t>Data Control 424</t>
  </si>
  <si>
    <t>CTRL-0425</t>
  </si>
  <si>
    <t>Incident Control 425</t>
  </si>
  <si>
    <t>CTRL-0426</t>
  </si>
  <si>
    <t>Access Control 426</t>
  </si>
  <si>
    <t>CTRL-0427</t>
  </si>
  <si>
    <t>Incident Control 427</t>
  </si>
  <si>
    <t>CTRL-0428</t>
  </si>
  <si>
    <t>Policy Control 428</t>
  </si>
  <si>
    <t>CTRL-0429</t>
  </si>
  <si>
    <t>Vendor Control 429</t>
  </si>
  <si>
    <t>CTRL-0430</t>
  </si>
  <si>
    <t>Vendor Control 430</t>
  </si>
  <si>
    <t>CTRL-0431</t>
  </si>
  <si>
    <t>Policy Control 431</t>
  </si>
  <si>
    <t>CTRL-0432</t>
  </si>
  <si>
    <t>Reconciliation Control 432</t>
  </si>
  <si>
    <t>CTRL-0433</t>
  </si>
  <si>
    <t>Reconciliation Control 433</t>
  </si>
  <si>
    <t>CTRL-0434</t>
  </si>
  <si>
    <t>Incident Control 434</t>
  </si>
  <si>
    <t>CTRL-0435</t>
  </si>
  <si>
    <t>Reconciliation Control 435</t>
  </si>
  <si>
    <t>CTRL-0436</t>
  </si>
  <si>
    <t>Change Control 436</t>
  </si>
  <si>
    <t>CTRL-0437</t>
  </si>
  <si>
    <t>Change Control 437</t>
  </si>
  <si>
    <t>CTRL-0438</t>
  </si>
  <si>
    <t>Vendor Control 438</t>
  </si>
  <si>
    <t>CTRL-0439</t>
  </si>
  <si>
    <t>Access Control 439</t>
  </si>
  <si>
    <t>CTRL-0440</t>
  </si>
  <si>
    <t>Reconciliation Control 440</t>
  </si>
  <si>
    <t>CTRL-0441</t>
  </si>
  <si>
    <t>Incident Control 441</t>
  </si>
  <si>
    <t>CTRL-0442</t>
  </si>
  <si>
    <t>Reconciliation Control 442</t>
  </si>
  <si>
    <t>CTRL-0443</t>
  </si>
  <si>
    <t>Access Control 443</t>
  </si>
  <si>
    <t>CTRL-0444</t>
  </si>
  <si>
    <t>Vendor Control 444</t>
  </si>
  <si>
    <t>CTRL-0445</t>
  </si>
  <si>
    <t>Reconciliation Control 445</t>
  </si>
  <si>
    <t>CTRL-0446</t>
  </si>
  <si>
    <t>Change Control 446</t>
  </si>
  <si>
    <t>CTRL-0447</t>
  </si>
  <si>
    <t>Incident Control 447</t>
  </si>
  <si>
    <t>CTRL-0448</t>
  </si>
  <si>
    <t>Data Control 448</t>
  </si>
  <si>
    <t>CTRL-0449</t>
  </si>
  <si>
    <t>Reconciliation Control 449</t>
  </si>
  <si>
    <t>CTRL-0450</t>
  </si>
  <si>
    <t>Reconciliation Control 450</t>
  </si>
  <si>
    <t>CTRL-0451</t>
  </si>
  <si>
    <t>Access Control 451</t>
  </si>
  <si>
    <t>CTRL-0452</t>
  </si>
  <si>
    <t>Policy Control 452</t>
  </si>
  <si>
    <t>CTRL-0453</t>
  </si>
  <si>
    <t>Change Control 453</t>
  </si>
  <si>
    <t>CTRL-0454</t>
  </si>
  <si>
    <t>Vendor Control 454</t>
  </si>
  <si>
    <t>CTRL-0455</t>
  </si>
  <si>
    <t>Reconciliation Control 455</t>
  </si>
  <si>
    <t>CTRL-0456</t>
  </si>
  <si>
    <t>Access Control 456</t>
  </si>
  <si>
    <t>CTRL-0457</t>
  </si>
  <si>
    <t>Incident Control 457</t>
  </si>
  <si>
    <t>CTRL-0458</t>
  </si>
  <si>
    <t>Vendor Control 458</t>
  </si>
  <si>
    <t>CTRL-0459</t>
  </si>
  <si>
    <t>Vendor Control 459</t>
  </si>
  <si>
    <t>CTRL-0460</t>
  </si>
  <si>
    <t>Incident Control 460</t>
  </si>
  <si>
    <t>CTRL-0461</t>
  </si>
  <si>
    <t>Change Control 461</t>
  </si>
  <si>
    <t>CTRL-0462</t>
  </si>
  <si>
    <t>Reconciliation Control 462</t>
  </si>
  <si>
    <t>CTRL-0463</t>
  </si>
  <si>
    <t>Change Control 463</t>
  </si>
  <si>
    <t>CTRL-0464</t>
  </si>
  <si>
    <t>Data Control 464</t>
  </si>
  <si>
    <t>CTRL-0465</t>
  </si>
  <si>
    <t>Access Control 465</t>
  </si>
  <si>
    <t>CTRL-0466</t>
  </si>
  <si>
    <t>Change Control 466</t>
  </si>
  <si>
    <t>CTRL-0467</t>
  </si>
  <si>
    <t>Change Control 467</t>
  </si>
  <si>
    <t>CTRL-0468</t>
  </si>
  <si>
    <t>Incident Control 468</t>
  </si>
  <si>
    <t>CTRL-0469</t>
  </si>
  <si>
    <t>Policy Control 469</t>
  </si>
  <si>
    <t>CTRL-0470</t>
  </si>
  <si>
    <t>Reconciliation Control 470</t>
  </si>
  <si>
    <t>CTRL-0471</t>
  </si>
  <si>
    <t>Vendor Control 471</t>
  </si>
  <si>
    <t>CTRL-0472</t>
  </si>
  <si>
    <t>Incident Control 472</t>
  </si>
  <si>
    <t>CTRL-0473</t>
  </si>
  <si>
    <t>Reconciliation Control 473</t>
  </si>
  <si>
    <t>CTRL-0474</t>
  </si>
  <si>
    <t>Policy Control 474</t>
  </si>
  <si>
    <t>CTRL-0475</t>
  </si>
  <si>
    <t>Reconciliation Control 475</t>
  </si>
  <si>
    <t>CTRL-0476</t>
  </si>
  <si>
    <t>Change Control 476</t>
  </si>
  <si>
    <t>CTRL-0477</t>
  </si>
  <si>
    <t>Access Control 477</t>
  </si>
  <si>
    <t>CTRL-0478</t>
  </si>
  <si>
    <t>Access Control 478</t>
  </si>
  <si>
    <t>CTRL-0479</t>
  </si>
  <si>
    <t>Reconciliation Control 479</t>
  </si>
  <si>
    <t>CTRL-0480</t>
  </si>
  <si>
    <t>Vendor Control 480</t>
  </si>
  <si>
    <t>CTRL-0481</t>
  </si>
  <si>
    <t>Data Control 481</t>
  </si>
  <si>
    <t>CTRL-0482</t>
  </si>
  <si>
    <t>Vendor Control 482</t>
  </si>
  <si>
    <t>CTRL-0483</t>
  </si>
  <si>
    <t>Access Control 483</t>
  </si>
  <si>
    <t>CTRL-0484</t>
  </si>
  <si>
    <t>Change Control 484</t>
  </si>
  <si>
    <t>CTRL-0485</t>
  </si>
  <si>
    <t>Access Control 485</t>
  </si>
  <si>
    <t>CTRL-0486</t>
  </si>
  <si>
    <t>Data Control 486</t>
  </si>
  <si>
    <t>CTRL-0487</t>
  </si>
  <si>
    <t>Data Control 487</t>
  </si>
  <si>
    <t>CTRL-0488</t>
  </si>
  <si>
    <t>Data Control 488</t>
  </si>
  <si>
    <t>CTRL-0489</t>
  </si>
  <si>
    <t>Access Control 489</t>
  </si>
  <si>
    <t>CTRL-0490</t>
  </si>
  <si>
    <t>Data Control 490</t>
  </si>
  <si>
    <t>CTRL-0491</t>
  </si>
  <si>
    <t>Change Control 491</t>
  </si>
  <si>
    <t>CTRL-0492</t>
  </si>
  <si>
    <t>Reconciliation Control 492</t>
  </si>
  <si>
    <t>CTRL-0493</t>
  </si>
  <si>
    <t>Vendor Control 493</t>
  </si>
  <si>
    <t>CTRL-0494</t>
  </si>
  <si>
    <t>Policy Control 494</t>
  </si>
  <si>
    <t>CTRL-0495</t>
  </si>
  <si>
    <t>Vendor Control 495</t>
  </si>
  <si>
    <t>CTRL-0496</t>
  </si>
  <si>
    <t>Vendor Control 496</t>
  </si>
  <si>
    <t>CTRL-0497</t>
  </si>
  <si>
    <t>Vendor Control 497</t>
  </si>
  <si>
    <t>CTRL-0498</t>
  </si>
  <si>
    <t>Change Control 498</t>
  </si>
  <si>
    <t>CTRL-0499</t>
  </si>
  <si>
    <t>Change Control 499</t>
  </si>
  <si>
    <t>CTRL-0500</t>
  </si>
  <si>
    <t>Data Control 500</t>
  </si>
  <si>
    <t>CTRL-0501</t>
  </si>
  <si>
    <t>Access Control 501</t>
  </si>
  <si>
    <t>CTRL-0502</t>
  </si>
  <si>
    <t>Policy Control 502</t>
  </si>
  <si>
    <t>CTRL-0503</t>
  </si>
  <si>
    <t>Data Control 503</t>
  </si>
  <si>
    <t>CTRL-0504</t>
  </si>
  <si>
    <t>Change Control 504</t>
  </si>
  <si>
    <t>CTRL-0505</t>
  </si>
  <si>
    <t>Change Control 505</t>
  </si>
  <si>
    <t>CTRL-0506</t>
  </si>
  <si>
    <t>Policy Control 506</t>
  </si>
  <si>
    <t>CTRL-0507</t>
  </si>
  <si>
    <t>Change Control 507</t>
  </si>
  <si>
    <t>CTRL-0508</t>
  </si>
  <si>
    <t>Incident Control 508</t>
  </si>
  <si>
    <t>CTRL-0509</t>
  </si>
  <si>
    <t>Incident Control 509</t>
  </si>
  <si>
    <t>CTRL-0510</t>
  </si>
  <si>
    <t>Policy Control 510</t>
  </si>
  <si>
    <t>CTRL-0511</t>
  </si>
  <si>
    <t>Vendor Control 511</t>
  </si>
  <si>
    <t>CTRL-0512</t>
  </si>
  <si>
    <t>Reconciliation Control 512</t>
  </si>
  <si>
    <t>CTRL-0513</t>
  </si>
  <si>
    <t>Data Control 513</t>
  </si>
  <si>
    <t>CTRL-0514</t>
  </si>
  <si>
    <t>Reconciliation Control 514</t>
  </si>
  <si>
    <t>CTRL-0515</t>
  </si>
  <si>
    <t>Policy Control 515</t>
  </si>
  <si>
    <t>CTRL-0516</t>
  </si>
  <si>
    <t>Data Control 516</t>
  </si>
  <si>
    <t>CTRL-0517</t>
  </si>
  <si>
    <t>Reconciliation Control 517</t>
  </si>
  <si>
    <t>CTRL-0518</t>
  </si>
  <si>
    <t>Reconciliation Control 518</t>
  </si>
  <si>
    <t>CTRL-0519</t>
  </si>
  <si>
    <t>Access Control 519</t>
  </si>
  <si>
    <t>CTRL-0520</t>
  </si>
  <si>
    <t>Data Control 520</t>
  </si>
  <si>
    <t>CTRL-0521</t>
  </si>
  <si>
    <t>Policy Control 521</t>
  </si>
  <si>
    <t>CTRL-0522</t>
  </si>
  <si>
    <t>Access Control 522</t>
  </si>
  <si>
    <t>CTRL-0523</t>
  </si>
  <si>
    <t>Access Control 523</t>
  </si>
  <si>
    <t>CTRL-0524</t>
  </si>
  <si>
    <t>Data Control 524</t>
  </si>
  <si>
    <t>CTRL-0525</t>
  </si>
  <si>
    <t>Change Control 525</t>
  </si>
  <si>
    <t>CTRL-0526</t>
  </si>
  <si>
    <t>Data Control 526</t>
  </si>
  <si>
    <t>CTRL-0527</t>
  </si>
  <si>
    <t>Access Control 527</t>
  </si>
  <si>
    <t>CTRL-0528</t>
  </si>
  <si>
    <t>Access Control 528</t>
  </si>
  <si>
    <t>CTRL-0529</t>
  </si>
  <si>
    <t>Change Control 529</t>
  </si>
  <si>
    <t>CTRL-0530</t>
  </si>
  <si>
    <t>Access Control 530</t>
  </si>
  <si>
    <t>CTRL-0531</t>
  </si>
  <si>
    <t>Change Control 531</t>
  </si>
  <si>
    <t>CTRL-0532</t>
  </si>
  <si>
    <t>Change Control 532</t>
  </si>
  <si>
    <t>CTRL-0533</t>
  </si>
  <si>
    <t>Data Control 533</t>
  </si>
  <si>
    <t>CTRL-0534</t>
  </si>
  <si>
    <t>Vendor Control 534</t>
  </si>
  <si>
    <t>CTRL-0535</t>
  </si>
  <si>
    <t>Policy Control 535</t>
  </si>
  <si>
    <t>CTRL-0536</t>
  </si>
  <si>
    <t>Reconciliation Control 536</t>
  </si>
  <si>
    <t>CTRL-0537</t>
  </si>
  <si>
    <t>Incident Control 537</t>
  </si>
  <si>
    <t>CTRL-0538</t>
  </si>
  <si>
    <t>Policy Control 538</t>
  </si>
  <si>
    <t>CTRL-0539</t>
  </si>
  <si>
    <t>Incident Control 539</t>
  </si>
  <si>
    <t>CTRL-0540</t>
  </si>
  <si>
    <t>Vendor Control 540</t>
  </si>
  <si>
    <t>CTRL-0541</t>
  </si>
  <si>
    <t>Data Control 541</t>
  </si>
  <si>
    <t>CTRL-0542</t>
  </si>
  <si>
    <t>Access Control 542</t>
  </si>
  <si>
    <t>CTRL-0543</t>
  </si>
  <si>
    <t>Vendor Control 543</t>
  </si>
  <si>
    <t>CTRL-0544</t>
  </si>
  <si>
    <t>Data Control 544</t>
  </si>
  <si>
    <t>CTRL-0545</t>
  </si>
  <si>
    <t>Data Control 545</t>
  </si>
  <si>
    <t>CTRL-0546</t>
  </si>
  <si>
    <t>Reconciliation Control 546</t>
  </si>
  <si>
    <t>CTRL-0547</t>
  </si>
  <si>
    <t>Vendor Control 547</t>
  </si>
  <si>
    <t>CTRL-0548</t>
  </si>
  <si>
    <t>Incident Control 548</t>
  </si>
  <si>
    <t>CTRL-0549</t>
  </si>
  <si>
    <t>Policy Control 549</t>
  </si>
  <si>
    <t>CTRL-0550</t>
  </si>
  <si>
    <t>Policy Control 550</t>
  </si>
  <si>
    <t>CTRL-0551</t>
  </si>
  <si>
    <t>Reconciliation Control 551</t>
  </si>
  <si>
    <t>CTRL-0552</t>
  </si>
  <si>
    <t>Incident Control 552</t>
  </si>
  <si>
    <t>CTRL-0553</t>
  </si>
  <si>
    <t>Incident Control 553</t>
  </si>
  <si>
    <t>CTRL-0554</t>
  </si>
  <si>
    <t>Incident Control 554</t>
  </si>
  <si>
    <t>CTRL-0555</t>
  </si>
  <si>
    <t>Access Control 555</t>
  </si>
  <si>
    <t>CTRL-0556</t>
  </si>
  <si>
    <t>Access Control 556</t>
  </si>
  <si>
    <t>CTRL-0557</t>
  </si>
  <si>
    <t>Policy Control 557</t>
  </si>
  <si>
    <t>CTRL-0558</t>
  </si>
  <si>
    <t>Reconciliation Control 558</t>
  </si>
  <si>
    <t>CTRL-0559</t>
  </si>
  <si>
    <t>Policy Control 559</t>
  </si>
  <si>
    <t>CTRL-0560</t>
  </si>
  <si>
    <t>Policy Control 560</t>
  </si>
  <si>
    <t>CTRL-0561</t>
  </si>
  <si>
    <t>Change Control 561</t>
  </si>
  <si>
    <t>CTRL-0562</t>
  </si>
  <si>
    <t>Access Control 562</t>
  </si>
  <si>
    <t>CTRL-0563</t>
  </si>
  <si>
    <t>Reconciliation Control 563</t>
  </si>
  <si>
    <t>CTRL-0564</t>
  </si>
  <si>
    <t>Policy Control 564</t>
  </si>
  <si>
    <t>CTRL-0565</t>
  </si>
  <si>
    <t>Access Control 565</t>
  </si>
  <si>
    <t>CTRL-0566</t>
  </si>
  <si>
    <t>Data Control 566</t>
  </si>
  <si>
    <t>CTRL-0567</t>
  </si>
  <si>
    <t>Access Control 567</t>
  </si>
  <si>
    <t>CTRL-0568</t>
  </si>
  <si>
    <t>Reconciliation Control 568</t>
  </si>
  <si>
    <t>CTRL-0569</t>
  </si>
  <si>
    <t>Change Control 569</t>
  </si>
  <si>
    <t>CTRL-0570</t>
  </si>
  <si>
    <t>Access Control 570</t>
  </si>
  <si>
    <t>CTRL-0571</t>
  </si>
  <si>
    <t>Access Control 571</t>
  </si>
  <si>
    <t>CTRL-0572</t>
  </si>
  <si>
    <t>Reconciliation Control 572</t>
  </si>
  <si>
    <t>CTRL-0573</t>
  </si>
  <si>
    <t>Policy Control 573</t>
  </si>
  <si>
    <t>CTRL-0574</t>
  </si>
  <si>
    <t>Data Control 574</t>
  </si>
  <si>
    <t>CTRL-0575</t>
  </si>
  <si>
    <t>Vendor Control 575</t>
  </si>
  <si>
    <t>USA</t>
  </si>
  <si>
    <t>CTRL-0576</t>
  </si>
  <si>
    <t>Access Control 576</t>
  </si>
  <si>
    <t>CTRL-0577</t>
  </si>
  <si>
    <t>Data Control 577</t>
  </si>
  <si>
    <t>CTRL-0578</t>
  </si>
  <si>
    <t>Access Control 578</t>
  </si>
  <si>
    <t>CTRL-0579</t>
  </si>
  <si>
    <t>Policy Control 579</t>
  </si>
  <si>
    <t>CTRL-0580</t>
  </si>
  <si>
    <t>Access Control 580</t>
  </si>
  <si>
    <t>CTRL-0581</t>
  </si>
  <si>
    <t>Data Control 581</t>
  </si>
  <si>
    <t>CTRL-0582</t>
  </si>
  <si>
    <t>Policy Control 582</t>
  </si>
  <si>
    <t>CTRL-0583</t>
  </si>
  <si>
    <t>Reconciliation Control 583</t>
  </si>
  <si>
    <t>CTRL-0584</t>
  </si>
  <si>
    <t>Change Control 584</t>
  </si>
  <si>
    <t>CTRL-0585</t>
  </si>
  <si>
    <t>Change Control 585</t>
  </si>
  <si>
    <t>CTRL-0586</t>
  </si>
  <si>
    <t>Access Control 586</t>
  </si>
  <si>
    <t>CTRL-0587</t>
  </si>
  <si>
    <t>Reconciliation Control 587</t>
  </si>
  <si>
    <t>CTRL-0588</t>
  </si>
  <si>
    <t>Vendor Control 588</t>
  </si>
  <si>
    <t>CTRL-0589</t>
  </si>
  <si>
    <t>Vendor Control 589</t>
  </si>
  <si>
    <t>CTRL-0590</t>
  </si>
  <si>
    <t>Vendor Control 590</t>
  </si>
  <si>
    <t>CTRL-0591</t>
  </si>
  <si>
    <t>Change Control 591</t>
  </si>
  <si>
    <t>CTRL-0592</t>
  </si>
  <si>
    <t>Access Control 592</t>
  </si>
  <si>
    <t>CTRL-0593</t>
  </si>
  <si>
    <t>Policy Control 593</t>
  </si>
  <si>
    <t>CTRL-0594</t>
  </si>
  <si>
    <t>Change Control 594</t>
  </si>
  <si>
    <t>CTRL-0595</t>
  </si>
  <si>
    <t>Policy Control 595</t>
  </si>
  <si>
    <t>CTRL-0596</t>
  </si>
  <si>
    <t>Incident Control 596</t>
  </si>
  <si>
    <t>CTRL-0597</t>
  </si>
  <si>
    <t>Policy Control 597</t>
  </si>
  <si>
    <t>CTRL-0598</t>
  </si>
  <si>
    <t>Policy Control 598</t>
  </si>
  <si>
    <t>CTRL-0599</t>
  </si>
  <si>
    <t>Incident Control 599</t>
  </si>
  <si>
    <t>CTRL-0600</t>
  </si>
  <si>
    <t>Vendor Control 600</t>
  </si>
  <si>
    <t>CTRL-0601</t>
  </si>
  <si>
    <t>Vendor Control 601</t>
  </si>
  <si>
    <t>CTRL-0602</t>
  </si>
  <si>
    <t>Access Control 602</t>
  </si>
  <si>
    <t>CTRL-0603</t>
  </si>
  <si>
    <t>Change Control 603</t>
  </si>
  <si>
    <t>CTRL-0604</t>
  </si>
  <si>
    <t>Vendor Control 604</t>
  </si>
  <si>
    <t>CTRL-0605</t>
  </si>
  <si>
    <t>Reconciliation Control 605</t>
  </si>
  <si>
    <t>CTRL-0606</t>
  </si>
  <si>
    <t>Vendor Control 606</t>
  </si>
  <si>
    <t>CTRL-0607</t>
  </si>
  <si>
    <t>Change Control 607</t>
  </si>
  <si>
    <t>CTRL-0608</t>
  </si>
  <si>
    <t>Incident Control 608</t>
  </si>
  <si>
    <t>CTRL-0609</t>
  </si>
  <si>
    <t>Vendor Control 609</t>
  </si>
  <si>
    <t>CTRL-0610</t>
  </si>
  <si>
    <t>Change Control 610</t>
  </si>
  <si>
    <t>CTRL-0611</t>
  </si>
  <si>
    <t>Data Control 611</t>
  </si>
  <si>
    <t>CTRL-0612</t>
  </si>
  <si>
    <t>Vendor Control 612</t>
  </si>
  <si>
    <t>CTRL-0613</t>
  </si>
  <si>
    <t>Vendor Control 613</t>
  </si>
  <si>
    <t>CTRL-0614</t>
  </si>
  <si>
    <t>Vendor Control 614</t>
  </si>
  <si>
    <t>CTRL-0615</t>
  </si>
  <si>
    <t>Access Control 615</t>
  </si>
  <si>
    <t>CTRL-0616</t>
  </si>
  <si>
    <t>Reconciliation Control 616</t>
  </si>
  <si>
    <t>CTRL-0617</t>
  </si>
  <si>
    <t>Policy Control 617</t>
  </si>
  <si>
    <t>CTRL-0618</t>
  </si>
  <si>
    <t>Vendor Control 618</t>
  </si>
  <si>
    <t>CTRL-0619</t>
  </si>
  <si>
    <t>Vendor Control 619</t>
  </si>
  <si>
    <t>CTRL-0620</t>
  </si>
  <si>
    <t>Access Control 620</t>
  </si>
  <si>
    <t>CTRL-0621</t>
  </si>
  <si>
    <t>Policy Control 621</t>
  </si>
  <si>
    <t>CTRL-0622</t>
  </si>
  <si>
    <t>Change Control 622</t>
  </si>
  <si>
    <t>CTRL-0623</t>
  </si>
  <si>
    <t>Vendor Control 623</t>
  </si>
  <si>
    <t>CTRL-0624</t>
  </si>
  <si>
    <t>Policy Control 624</t>
  </si>
  <si>
    <t>CTRL-0625</t>
  </si>
  <si>
    <t>Data Control 625</t>
  </si>
  <si>
    <t>CTRL-0626</t>
  </si>
  <si>
    <t>Change Control 626</t>
  </si>
  <si>
    <t>CTRL-0627</t>
  </si>
  <si>
    <t>Reconciliation Control 627</t>
  </si>
  <si>
    <t>CTRL-0628</t>
  </si>
  <si>
    <t>Access Control 628</t>
  </si>
  <si>
    <t>CTRL-0629</t>
  </si>
  <si>
    <t>Incident Control 629</t>
  </si>
  <si>
    <t>CTRL-0630</t>
  </si>
  <si>
    <t>Vendor Control 630</t>
  </si>
  <si>
    <t>CTRL-0631</t>
  </si>
  <si>
    <t>Policy Control 631</t>
  </si>
  <si>
    <t>CTRL-0632</t>
  </si>
  <si>
    <t>Access Control 632</t>
  </si>
  <si>
    <t>CTRL-0633</t>
  </si>
  <si>
    <t>Vendor Control 633</t>
  </si>
  <si>
    <t>CTRL-0634</t>
  </si>
  <si>
    <t>Incident Control 634</t>
  </si>
  <si>
    <t>CTRL-0635</t>
  </si>
  <si>
    <t>Incident Control 635</t>
  </si>
  <si>
    <t>CTRL-0636</t>
  </si>
  <si>
    <t>Incident Control 636</t>
  </si>
  <si>
    <t>CTRL-0637</t>
  </si>
  <si>
    <t>Data Control 637</t>
  </si>
  <si>
    <t>CTRL-0638</t>
  </si>
  <si>
    <t>Change Control 638</t>
  </si>
  <si>
    <t>CTRL-0639</t>
  </si>
  <si>
    <t>Incident Control 639</t>
  </si>
  <si>
    <t>CTRL-0640</t>
  </si>
  <si>
    <t>Reconciliation Control 640</t>
  </si>
  <si>
    <t>CTRL-0641</t>
  </si>
  <si>
    <t>Vendor Control 641</t>
  </si>
  <si>
    <t>CTRL-0642</t>
  </si>
  <si>
    <t>Data Control 642</t>
  </si>
  <si>
    <t>CTRL-0643</t>
  </si>
  <si>
    <t>Reconciliation Control 643</t>
  </si>
  <si>
    <t>CTRL-0644</t>
  </si>
  <si>
    <t>Data Control 644</t>
  </si>
  <si>
    <t>CTRL-0645</t>
  </si>
  <si>
    <t>Incident Control 645</t>
  </si>
  <si>
    <t>CTRL-0646</t>
  </si>
  <si>
    <t>Change Control 646</t>
  </si>
  <si>
    <t>CTRL-0647</t>
  </si>
  <si>
    <t>Access Control 647</t>
  </si>
  <si>
    <t>CTRL-0648</t>
  </si>
  <si>
    <t>Access Control 648</t>
  </si>
  <si>
    <t>CTRL-0649</t>
  </si>
  <si>
    <t>Access Control 649</t>
  </si>
  <si>
    <t>CTRL-0650</t>
  </si>
  <si>
    <t>Policy Control 650</t>
  </si>
  <si>
    <t>CTRL-0651</t>
  </si>
  <si>
    <t>Reconciliation Control 651</t>
  </si>
  <si>
    <t>CTRL-0652</t>
  </si>
  <si>
    <t>Reconciliation Control 652</t>
  </si>
  <si>
    <t>CTRL-0653</t>
  </si>
  <si>
    <t>Policy Control 653</t>
  </si>
  <si>
    <t>CTRL-0654</t>
  </si>
  <si>
    <t>Vendor Control 654</t>
  </si>
  <si>
    <t>CTRL-0655</t>
  </si>
  <si>
    <t>Incident Control 655</t>
  </si>
  <si>
    <t>CTRL-0656</t>
  </si>
  <si>
    <t>Incident Control 656</t>
  </si>
  <si>
    <t>CTRL-0657</t>
  </si>
  <si>
    <t>Change Control 657</t>
  </si>
  <si>
    <t>CTRL-0658</t>
  </si>
  <si>
    <t>Reconciliation Control 658</t>
  </si>
  <si>
    <t>CTRL-0659</t>
  </si>
  <si>
    <t>Policy Control 659</t>
  </si>
  <si>
    <t>CTRL-0660</t>
  </si>
  <si>
    <t>Vendor Control 660</t>
  </si>
  <si>
    <t>CTRL-0661</t>
  </si>
  <si>
    <t>Access Control 661</t>
  </si>
  <si>
    <t>CTRL-0662</t>
  </si>
  <si>
    <t>Data Control 662</t>
  </si>
  <si>
    <t>CTRL-0663</t>
  </si>
  <si>
    <t>Incident Control 663</t>
  </si>
  <si>
    <t>CTRL-0664</t>
  </si>
  <si>
    <t>Change Control 664</t>
  </si>
  <si>
    <t>CTRL-0665</t>
  </si>
  <si>
    <t>Reconciliation Control 665</t>
  </si>
  <si>
    <t>CTRL-0666</t>
  </si>
  <si>
    <t>Policy Control 666</t>
  </si>
  <si>
    <t>CTRL-0667</t>
  </si>
  <si>
    <t>Reconciliation Control 667</t>
  </si>
  <si>
    <t>CTRL-0668</t>
  </si>
  <si>
    <t>Incident Control 668</t>
  </si>
  <si>
    <t>CTRL-0669</t>
  </si>
  <si>
    <t>Vendor Control 669</t>
  </si>
  <si>
    <t>CTRL-0670</t>
  </si>
  <si>
    <t>Incident Control 670</t>
  </si>
  <si>
    <t>CTRL-0671</t>
  </si>
  <si>
    <t>Reconciliation Control 671</t>
  </si>
  <si>
    <t>CTRL-0672</t>
  </si>
  <si>
    <t>Data Control 672</t>
  </si>
  <si>
    <t>CTRL-0673</t>
  </si>
  <si>
    <t>Change Control 673</t>
  </si>
  <si>
    <t>CTRL-0674</t>
  </si>
  <si>
    <t>Vendor Control 674</t>
  </si>
  <si>
    <t>CTRL-0675</t>
  </si>
  <si>
    <t>Change Control 675</t>
  </si>
  <si>
    <t>CTRL-0676</t>
  </si>
  <si>
    <t>Reconciliation Control 676</t>
  </si>
  <si>
    <t>CTRL-0677</t>
  </si>
  <si>
    <t>Change Control 677</t>
  </si>
  <si>
    <t>CTRL-0678</t>
  </si>
  <si>
    <t>Access Control 678</t>
  </si>
  <si>
    <t>CTRL-0679</t>
  </si>
  <si>
    <t>Incident Control 679</t>
  </si>
  <si>
    <t>CTRL-0680</t>
  </si>
  <si>
    <t>Data Control 680</t>
  </si>
  <si>
    <t>CTRL-0681</t>
  </si>
  <si>
    <t>Vendor Control 681</t>
  </si>
  <si>
    <t>CTRL-0682</t>
  </si>
  <si>
    <t>Policy Control 682</t>
  </si>
  <si>
    <t>CTRL-0683</t>
  </si>
  <si>
    <t>Policy Control 683</t>
  </si>
  <si>
    <t>CTRL-0684</t>
  </si>
  <si>
    <t>Policy Control 684</t>
  </si>
  <si>
    <t>CTRL-0685</t>
  </si>
  <si>
    <t>Reconciliation Control 685</t>
  </si>
  <si>
    <t>CTRL-0686</t>
  </si>
  <si>
    <t>Reconciliation Control 686</t>
  </si>
  <si>
    <t>CTRL-0687</t>
  </si>
  <si>
    <t>Incident Control 687</t>
  </si>
  <si>
    <t>CTRL-0688</t>
  </si>
  <si>
    <t>Incident Control 688</t>
  </si>
  <si>
    <t>CTRL-0689</t>
  </si>
  <si>
    <t>Access Control 689</t>
  </si>
  <si>
    <t>CTRL-0690</t>
  </si>
  <si>
    <t>Change Control 690</t>
  </si>
  <si>
    <t>CTRL-0691</t>
  </si>
  <si>
    <t>Change Control 691</t>
  </si>
  <si>
    <t>CTRL-0692</t>
  </si>
  <si>
    <t>Data Control 692</t>
  </si>
  <si>
    <t>CTRL-0693</t>
  </si>
  <si>
    <t>Reconciliation Control 693</t>
  </si>
  <si>
    <t>CTRL-0694</t>
  </si>
  <si>
    <t>Incident Control 694</t>
  </si>
  <si>
    <t>CTRL-0695</t>
  </si>
  <si>
    <t>Data Control 695</t>
  </si>
  <si>
    <t>CTRL-0696</t>
  </si>
  <si>
    <t>Change Control 696</t>
  </si>
  <si>
    <t>CTRL-0697</t>
  </si>
  <si>
    <t>Incident Control 697</t>
  </si>
  <si>
    <t>CTRL-0698</t>
  </si>
  <si>
    <t>Incident Control 698</t>
  </si>
  <si>
    <t>CTRL-0699</t>
  </si>
  <si>
    <t>Change Control 699</t>
  </si>
  <si>
    <t>CTRL-0700</t>
  </si>
  <si>
    <t>Policy Control 700</t>
  </si>
  <si>
    <t>CTRL-0701</t>
  </si>
  <si>
    <t>Access Control 701</t>
  </si>
  <si>
    <t>CTRL-0702</t>
  </si>
  <si>
    <t>Incident Control 702</t>
  </si>
  <si>
    <t>CTRL-0703</t>
  </si>
  <si>
    <t>Access Control 703</t>
  </si>
  <si>
    <t>CTRL-0704</t>
  </si>
  <si>
    <t>Reconciliation Control 704</t>
  </si>
  <si>
    <t>CTRL-0705</t>
  </si>
  <si>
    <t>Policy Control 705</t>
  </si>
  <si>
    <t>CTRL-0706</t>
  </si>
  <si>
    <t>Incident Control 706</t>
  </si>
  <si>
    <t>CTRL-0707</t>
  </si>
  <si>
    <t>Data Control 707</t>
  </si>
  <si>
    <t>CTRL-0708</t>
  </si>
  <si>
    <t>Reconciliation Control 708</t>
  </si>
  <si>
    <t>CTRL-0709</t>
  </si>
  <si>
    <t>Incident Control 709</t>
  </si>
  <si>
    <t>CTRL-0710</t>
  </si>
  <si>
    <t>Access Control 710</t>
  </si>
  <si>
    <t>CTRL-0711</t>
  </si>
  <si>
    <t>Vendor Control 711</t>
  </si>
  <si>
    <t>CTRL-0712</t>
  </si>
  <si>
    <t>Policy Control 712</t>
  </si>
  <si>
    <t>CTRL-0713</t>
  </si>
  <si>
    <t>Change Control 713</t>
  </si>
  <si>
    <t>CTRL-0714</t>
  </si>
  <si>
    <t>Policy Control 714</t>
  </si>
  <si>
    <t>CTRL-0715</t>
  </si>
  <si>
    <t>Data Control 715</t>
  </si>
  <si>
    <t>CTRL-0716</t>
  </si>
  <si>
    <t>Data Control 716</t>
  </si>
  <si>
    <t>CTRL-0717</t>
  </si>
  <si>
    <t>Incident Control 717</t>
  </si>
  <si>
    <t>CTRL-0718</t>
  </si>
  <si>
    <t>Reconciliation Control 718</t>
  </si>
  <si>
    <t>CTRL-0719</t>
  </si>
  <si>
    <t>Data Control 719</t>
  </si>
  <si>
    <t>CTRL-0720</t>
  </si>
  <si>
    <t>Access Control 720</t>
  </si>
  <si>
    <t>CTRL-0721</t>
  </si>
  <si>
    <t>Incident Control 721</t>
  </si>
  <si>
    <t>CTRL-0722</t>
  </si>
  <si>
    <t>Vendor Control 722</t>
  </si>
  <si>
    <t>CTRL-0723</t>
  </si>
  <si>
    <t>Change Control 723</t>
  </si>
  <si>
    <t>CTRL-0724</t>
  </si>
  <si>
    <t>Access Control 724</t>
  </si>
  <si>
    <t>CTRL-0725</t>
  </si>
  <si>
    <t>Change Control 725</t>
  </si>
  <si>
    <t>CTRL-0726</t>
  </si>
  <si>
    <t>Access Control 726</t>
  </si>
  <si>
    <t>CTRL-0727</t>
  </si>
  <si>
    <t>Change Control 727</t>
  </si>
  <si>
    <t>CTRL-0728</t>
  </si>
  <si>
    <t>Access Control 728</t>
  </si>
  <si>
    <t>CTRL-0729</t>
  </si>
  <si>
    <t>Policy Control 729</t>
  </si>
  <si>
    <t>CTRL-0730</t>
  </si>
  <si>
    <t>Reconciliation Control 730</t>
  </si>
  <si>
    <t>CTRL-0731</t>
  </si>
  <si>
    <t>Change Control 731</t>
  </si>
  <si>
    <t>CTRL-0732</t>
  </si>
  <si>
    <t>Reconciliation Control 732</t>
  </si>
  <si>
    <t>CTRL-0733</t>
  </si>
  <si>
    <t>Reconciliation Control 733</t>
  </si>
  <si>
    <t>CTRL-0734</t>
  </si>
  <si>
    <t>Incident Control 734</t>
  </si>
  <si>
    <t>CTRL-0735</t>
  </si>
  <si>
    <t>Policy Control 735</t>
  </si>
  <si>
    <t>CTRL-0736</t>
  </si>
  <si>
    <t>Incident Control 736</t>
  </si>
  <si>
    <t>CTRL-0737</t>
  </si>
  <si>
    <t>Change Control 737</t>
  </si>
  <si>
    <t>CTRL-0738</t>
  </si>
  <si>
    <t>Vendor Control 738</t>
  </si>
  <si>
    <t>CTRL-0739</t>
  </si>
  <si>
    <t>Access Control 739</t>
  </si>
  <si>
    <t>CTRL-0740</t>
  </si>
  <si>
    <t>Change Control 740</t>
  </si>
  <si>
    <t>CTRL-0741</t>
  </si>
  <si>
    <t>Change Control 741</t>
  </si>
  <si>
    <t>CTRL-0742</t>
  </si>
  <si>
    <t>Policy Control 742</t>
  </si>
  <si>
    <t>CTRL-0743</t>
  </si>
  <si>
    <t>Incident Control 743</t>
  </si>
  <si>
    <t>CTRL-0744</t>
  </si>
  <si>
    <t>Access Control 744</t>
  </si>
  <si>
    <t>CTRL-0745</t>
  </si>
  <si>
    <t>Change Control 745</t>
  </si>
  <si>
    <t>CTRL-0746</t>
  </si>
  <si>
    <t>Change Control 746</t>
  </si>
  <si>
    <t>CTRL-0747</t>
  </si>
  <si>
    <t>Data Control 747</t>
  </si>
  <si>
    <t>CTRL-0748</t>
  </si>
  <si>
    <t>Data Control 748</t>
  </si>
  <si>
    <t>CTRL-0749</t>
  </si>
  <si>
    <t>Incident Control 749</t>
  </si>
  <si>
    <t>CTRL-0750</t>
  </si>
  <si>
    <t>Data Control 750</t>
  </si>
  <si>
    <t>CTRL-0751</t>
  </si>
  <si>
    <t>Incident Control 751</t>
  </si>
  <si>
    <t>CTRL-0752</t>
  </si>
  <si>
    <t>Data Control 752</t>
  </si>
  <si>
    <t>CTRL-0753</t>
  </si>
  <si>
    <t>Access Control 753</t>
  </si>
  <si>
    <t>CTRL-0754</t>
  </si>
  <si>
    <t>Vendor Control 754</t>
  </si>
  <si>
    <t>CTRL-0755</t>
  </si>
  <si>
    <t>Policy Control 755</t>
  </si>
  <si>
    <t>CTRL-0756</t>
  </si>
  <si>
    <t>Incident Control 756</t>
  </si>
  <si>
    <t>CTRL-0757</t>
  </si>
  <si>
    <t>Access Control 757</t>
  </si>
  <si>
    <t>CTRL-0758</t>
  </si>
  <si>
    <t>Change Control 758</t>
  </si>
  <si>
    <t>CTRL-0759</t>
  </si>
  <si>
    <t>Access Control 759</t>
  </si>
  <si>
    <t>CTRL-0760</t>
  </si>
  <si>
    <t>Policy Control 760</t>
  </si>
  <si>
    <t>CTRL-0761</t>
  </si>
  <si>
    <t>Vendor Control 761</t>
  </si>
  <si>
    <t>CTRL-0762</t>
  </si>
  <si>
    <t>Reconciliation Control 762</t>
  </si>
  <si>
    <t>CTRL-0763</t>
  </si>
  <si>
    <t>Access Control 763</t>
  </si>
  <si>
    <t>CTRL-0764</t>
  </si>
  <si>
    <t>Access Control 764</t>
  </si>
  <si>
    <t>CTRL-0765</t>
  </si>
  <si>
    <t>Reconciliation Control 765</t>
  </si>
  <si>
    <t>CTRL-0766</t>
  </si>
  <si>
    <t>Incident Control 766</t>
  </si>
  <si>
    <t>CTRL-0767</t>
  </si>
  <si>
    <t>Incident Control 767</t>
  </si>
  <si>
    <t>CTRL-0768</t>
  </si>
  <si>
    <t>Policy Control 768</t>
  </si>
  <si>
    <t>CTRL-0769</t>
  </si>
  <si>
    <t>Reconciliation Control 769</t>
  </si>
  <si>
    <t>CTRL-0770</t>
  </si>
  <si>
    <t>Reconciliation Control 770</t>
  </si>
  <si>
    <t>CTRL-0771</t>
  </si>
  <si>
    <t>Reconciliation Control 771</t>
  </si>
  <si>
    <t>CTRL-0772</t>
  </si>
  <si>
    <t>Reconciliation Control 772</t>
  </si>
  <si>
    <t>CTRL-0773</t>
  </si>
  <si>
    <t>Reconciliation Control 773</t>
  </si>
  <si>
    <t>CTRL-0774</t>
  </si>
  <si>
    <t>Vendor Control 774</t>
  </si>
  <si>
    <t>CTRL-0775</t>
  </si>
  <si>
    <t>Change Control 775</t>
  </si>
  <si>
    <t>CTRL-0776</t>
  </si>
  <si>
    <t>Vendor Control 776</t>
  </si>
  <si>
    <t>CTRL-0777</t>
  </si>
  <si>
    <t>Policy Control 777</t>
  </si>
  <si>
    <t>CTRL-0778</t>
  </si>
  <si>
    <t>Access Control 778</t>
  </si>
  <si>
    <t>CTRL-0779</t>
  </si>
  <si>
    <t>Access Control 779</t>
  </si>
  <si>
    <t>CTRL-0780</t>
  </si>
  <si>
    <t>Access Control 780</t>
  </si>
  <si>
    <t>CTRL-0781</t>
  </si>
  <si>
    <t>Reconciliation Control 781</t>
  </si>
  <si>
    <t>CTRL-0782</t>
  </si>
  <si>
    <t>Change Control 782</t>
  </si>
  <si>
    <t>CTRL-0783</t>
  </si>
  <si>
    <t>Change Control 783</t>
  </si>
  <si>
    <t>CTRL-0784</t>
  </si>
  <si>
    <t>Vendor Control 784</t>
  </si>
  <si>
    <t>CTRL-0785</t>
  </si>
  <si>
    <t>Policy Control 785</t>
  </si>
  <si>
    <t>CTRL-0786</t>
  </si>
  <si>
    <t>Vendor Control 786</t>
  </si>
  <si>
    <t>CTRL-0787</t>
  </si>
  <si>
    <t>Incident Control 787</t>
  </si>
  <si>
    <t>CTRL-0788</t>
  </si>
  <si>
    <t>Reconciliation Control 788</t>
  </si>
  <si>
    <t>CTRL-0789</t>
  </si>
  <si>
    <t>Vendor Control 789</t>
  </si>
  <si>
    <t>CTRL-0790</t>
  </si>
  <si>
    <t>Access Control 790</t>
  </si>
  <si>
    <t>CTRL-0791</t>
  </si>
  <si>
    <t>Incident Control 791</t>
  </si>
  <si>
    <t>CTRL-0792</t>
  </si>
  <si>
    <t>Change Control 792</t>
  </si>
  <si>
    <t>CTRL-0793</t>
  </si>
  <si>
    <t>Vendor Control 793</t>
  </si>
  <si>
    <t>CTRL-0794</t>
  </si>
  <si>
    <t>Data Control 794</t>
  </si>
  <si>
    <t>CTRL-0795</t>
  </si>
  <si>
    <t>Policy Control 795</t>
  </si>
  <si>
    <t>CTRL-0796</t>
  </si>
  <si>
    <t>Change Control 796</t>
  </si>
  <si>
    <t>CTRL-0797</t>
  </si>
  <si>
    <t>Policy Control 797</t>
  </si>
  <si>
    <t>CTRL-0798</t>
  </si>
  <si>
    <t>Vendor Control 798</t>
  </si>
  <si>
    <t>CTRL-0799</t>
  </si>
  <si>
    <t>Reconciliation Control 799</t>
  </si>
  <si>
    <t>CTRL-0800</t>
  </si>
  <si>
    <t>Vendor Control 800</t>
  </si>
  <si>
    <t>CTRL-0801</t>
  </si>
  <si>
    <t>Incident Control 801</t>
  </si>
  <si>
    <t>CTRL-0802</t>
  </si>
  <si>
    <t>Change Control 802</t>
  </si>
  <si>
    <t>CTRL-0803</t>
  </si>
  <si>
    <t>Vendor Control 803</t>
  </si>
  <si>
    <t>CTRL-0804</t>
  </si>
  <si>
    <t>Access Control 804</t>
  </si>
  <si>
    <t xml:space="preserve">Operations </t>
  </si>
  <si>
    <t>CTRL-0805</t>
  </si>
  <si>
    <t>Incident Control 805</t>
  </si>
  <si>
    <t>CTRL-0806</t>
  </si>
  <si>
    <t>Access Control 806</t>
  </si>
  <si>
    <t>CTRL-0807</t>
  </si>
  <si>
    <t>Policy Control 807</t>
  </si>
  <si>
    <t>CTRL-0808</t>
  </si>
  <si>
    <t>Data Control 808</t>
  </si>
  <si>
    <t>CTRL-0809</t>
  </si>
  <si>
    <t>Policy Control 809</t>
  </si>
  <si>
    <t>CTRL-0810</t>
  </si>
  <si>
    <t>Change Control 810</t>
  </si>
  <si>
    <t>CTRL-0811</t>
  </si>
  <si>
    <t>Reconciliation Control 811</t>
  </si>
  <si>
    <t>CTRL-0812</t>
  </si>
  <si>
    <t>Data Control 812</t>
  </si>
  <si>
    <t>CTRL-0813</t>
  </si>
  <si>
    <t>Data Control 813</t>
  </si>
  <si>
    <t>CTRL-0814</t>
  </si>
  <si>
    <t>Change Control 814</t>
  </si>
  <si>
    <t>CTRL-0815</t>
  </si>
  <si>
    <t>Reconciliation Control 815</t>
  </si>
  <si>
    <t>CTRL-0816</t>
  </si>
  <si>
    <t>Reconciliation Control 816</t>
  </si>
  <si>
    <t>CTRL-0817</t>
  </si>
  <si>
    <t>Vendor Control 817</t>
  </si>
  <si>
    <t>CTRL-0818</t>
  </si>
  <si>
    <t>Data Control 818</t>
  </si>
  <si>
    <t>CTRL-0819</t>
  </si>
  <si>
    <t>Data Control 819</t>
  </si>
  <si>
    <t>CTRL-0820</t>
  </si>
  <si>
    <t>Change Control 820</t>
  </si>
  <si>
    <t>CTRL-0821</t>
  </si>
  <si>
    <t>Data Control 821</t>
  </si>
  <si>
    <t>CTRL-0822</t>
  </si>
  <si>
    <t>Policy Control 822</t>
  </si>
  <si>
    <t>CTRL-0823</t>
  </si>
  <si>
    <t>Change Control 823</t>
  </si>
  <si>
    <t>CTRL-0824</t>
  </si>
  <si>
    <t>Vendor Control 824</t>
  </si>
  <si>
    <t>CTRL-0825</t>
  </si>
  <si>
    <t>Incident Control 825</t>
  </si>
  <si>
    <t>CTRL-0826</t>
  </si>
  <si>
    <t>Change Control 826</t>
  </si>
  <si>
    <t>CTRL-0827</t>
  </si>
  <si>
    <t>Reconciliation Control 827</t>
  </si>
  <si>
    <t>CTRL-0828</t>
  </si>
  <si>
    <t>Access Control 828</t>
  </si>
  <si>
    <t>CTRL-0829</t>
  </si>
  <si>
    <t>Change Control 829</t>
  </si>
  <si>
    <t>CTRL-0830</t>
  </si>
  <si>
    <t>Reconciliation Control 830</t>
  </si>
  <si>
    <t>CTRL-0831</t>
  </si>
  <si>
    <t>Vendor Control 831</t>
  </si>
  <si>
    <t>CTRL-0832</t>
  </si>
  <si>
    <t>Reconciliation Control 832</t>
  </si>
  <si>
    <t>CTRL-0833</t>
  </si>
  <si>
    <t>Data Control 833</t>
  </si>
  <si>
    <t>CTRL-0834</t>
  </si>
  <si>
    <t>Data Control 834</t>
  </si>
  <si>
    <t>CTRL-0835</t>
  </si>
  <si>
    <t>Incident Control 835</t>
  </si>
  <si>
    <t>CTRL-0836</t>
  </si>
  <si>
    <t>Reconciliation Control 836</t>
  </si>
  <si>
    <t>CTRL-0837</t>
  </si>
  <si>
    <t>Incident Control 837</t>
  </si>
  <si>
    <t>CTRL-0838</t>
  </si>
  <si>
    <t>Reconciliation Control 838</t>
  </si>
  <si>
    <t>CTRL-0839</t>
  </si>
  <si>
    <t>Reconciliation Control 839</t>
  </si>
  <si>
    <t>CTRL-0840</t>
  </si>
  <si>
    <t>Access Control 840</t>
  </si>
  <si>
    <t>CTRL-0841</t>
  </si>
  <si>
    <t>Reconciliation Control 841</t>
  </si>
  <si>
    <t>CTRL-0842</t>
  </si>
  <si>
    <t>Reconciliation Control 842</t>
  </si>
  <si>
    <t>CTRL-0843</t>
  </si>
  <si>
    <t>Policy Control 843</t>
  </si>
  <si>
    <t>CTRL-0844</t>
  </si>
  <si>
    <t>Reconciliation Control 844</t>
  </si>
  <si>
    <t>CTRL-0845</t>
  </si>
  <si>
    <t>Data Control 845</t>
  </si>
  <si>
    <t>CTRL-0846</t>
  </si>
  <si>
    <t>Data Control 846</t>
  </si>
  <si>
    <t>CTRL-0847</t>
  </si>
  <si>
    <t>Change Control 847</t>
  </si>
  <si>
    <t>CTRL-0848</t>
  </si>
  <si>
    <t>Policy Control 848</t>
  </si>
  <si>
    <t>CTRL-0849</t>
  </si>
  <si>
    <t>Reconciliation Control 849</t>
  </si>
  <si>
    <t>CTRL-0850</t>
  </si>
  <si>
    <t>Change Control 850</t>
  </si>
  <si>
    <t>CTRL-0851</t>
  </si>
  <si>
    <t>Vendor Control 851</t>
  </si>
  <si>
    <t>CTRL-0852</t>
  </si>
  <si>
    <t>Vendor Control 852</t>
  </si>
  <si>
    <t>CTRL-0853</t>
  </si>
  <si>
    <t>Reconciliation Control 853</t>
  </si>
  <si>
    <t>CTRL-0854</t>
  </si>
  <si>
    <t>Reconciliation Control 854</t>
  </si>
  <si>
    <t>CTRL-0855</t>
  </si>
  <si>
    <t>Access Control 855</t>
  </si>
  <si>
    <t>CTRL-0856</t>
  </si>
  <si>
    <t>Policy Control 856</t>
  </si>
  <si>
    <t>CTRL-0857</t>
  </si>
  <si>
    <t>Incident Control 857</t>
  </si>
  <si>
    <t>CTRL-0858</t>
  </si>
  <si>
    <t>Data Control 858</t>
  </si>
  <si>
    <t>CTRL-0859</t>
  </si>
  <si>
    <t>Incident Control 859</t>
  </si>
  <si>
    <t>CTRL-0860</t>
  </si>
  <si>
    <t>Vendor Control 860</t>
  </si>
  <si>
    <t>CTRL-0861</t>
  </si>
  <si>
    <t>Data Control 861</t>
  </si>
  <si>
    <t>CTRL-0862</t>
  </si>
  <si>
    <t>Policy Control 862</t>
  </si>
  <si>
    <t>CTRL-0863</t>
  </si>
  <si>
    <t>Access Control 863</t>
  </si>
  <si>
    <t>CTRL-0864</t>
  </si>
  <si>
    <t>Incident Control 864</t>
  </si>
  <si>
    <t>CTRL-0865</t>
  </si>
  <si>
    <t>Reconciliation Control 865</t>
  </si>
  <si>
    <t>CTRL-0866</t>
  </si>
  <si>
    <t>Data Control 866</t>
  </si>
  <si>
    <t>CTRL-0867</t>
  </si>
  <si>
    <t>Vendor Control 867</t>
  </si>
  <si>
    <t>CTRL-0868</t>
  </si>
  <si>
    <t>Data Control 868</t>
  </si>
  <si>
    <t>CTRL-0869</t>
  </si>
  <si>
    <t>Policy Control 869</t>
  </si>
  <si>
    <t>CTRL-0870</t>
  </si>
  <si>
    <t>Access Control 870</t>
  </si>
  <si>
    <t>CTRL-0871</t>
  </si>
  <si>
    <t>Incident Control 871</t>
  </si>
  <si>
    <t>CTRL-0872</t>
  </si>
  <si>
    <t>Reconciliation Control 872</t>
  </si>
  <si>
    <t>CTRL-0873</t>
  </si>
  <si>
    <t>Vendor Control 873</t>
  </si>
  <si>
    <t>CTRL-0874</t>
  </si>
  <si>
    <t>Data Control 874</t>
  </si>
  <si>
    <t>CTRL-0875</t>
  </si>
  <si>
    <t>Policy Control 875</t>
  </si>
  <si>
    <t>CTRL-0876</t>
  </si>
  <si>
    <t>Vendor Control 876</t>
  </si>
  <si>
    <t>CTRL-0877</t>
  </si>
  <si>
    <t>Incident Control 877</t>
  </si>
  <si>
    <t>CTRL-0878</t>
  </si>
  <si>
    <t>Reconciliation Control 878</t>
  </si>
  <si>
    <t>CTRL-0879</t>
  </si>
  <si>
    <t>Vendor Control 879</t>
  </si>
  <si>
    <t>CTRL-0880</t>
  </si>
  <si>
    <t>Access Control 880</t>
  </si>
  <si>
    <t>CTRL-0881</t>
  </si>
  <si>
    <t>Change Control 881</t>
  </si>
  <si>
    <t>CTRL-0882</t>
  </si>
  <si>
    <t>Data Control 882</t>
  </si>
  <si>
    <t>CTRL-0883</t>
  </si>
  <si>
    <t>Change Control 883</t>
  </si>
  <si>
    <t>CTRL-0884</t>
  </si>
  <si>
    <t>Vendor Control 884</t>
  </si>
  <si>
    <t>CTRL-0885</t>
  </si>
  <si>
    <t>Access Control 885</t>
  </si>
  <si>
    <t>CTRL-0886</t>
  </si>
  <si>
    <t>Change Control 886</t>
  </si>
  <si>
    <t>CTRL-0887</t>
  </si>
  <si>
    <t>Access Control 887</t>
  </si>
  <si>
    <t>CTRL-0888</t>
  </si>
  <si>
    <t>Policy Control 888</t>
  </si>
  <si>
    <t>CTRL-0889</t>
  </si>
  <si>
    <t>Reconciliation Control 889</t>
  </si>
  <si>
    <t>CTRL-0890</t>
  </si>
  <si>
    <t>Access Control 890</t>
  </si>
  <si>
    <t>CTRL-0891</t>
  </si>
  <si>
    <t>Incident Control 891</t>
  </si>
  <si>
    <t>CTRL-0892</t>
  </si>
  <si>
    <t>Vendor Control 892</t>
  </si>
  <si>
    <t>CTRL-0893</t>
  </si>
  <si>
    <t>Change Control 893</t>
  </si>
  <si>
    <t>CTRL-0894</t>
  </si>
  <si>
    <t>Policy Control 894</t>
  </si>
  <si>
    <t>CTRL-0895</t>
  </si>
  <si>
    <t>Data Control 895</t>
  </si>
  <si>
    <t>CTRL-0896</t>
  </si>
  <si>
    <t>Change Control 896</t>
  </si>
  <si>
    <t>CTRL-0897</t>
  </si>
  <si>
    <t>Vendor Control 897</t>
  </si>
  <si>
    <t>CTRL-0898</t>
  </si>
  <si>
    <t>Change Control 898</t>
  </si>
  <si>
    <t>CTRL-0899</t>
  </si>
  <si>
    <t>Reconciliation Control 899</t>
  </si>
  <si>
    <t>CTRL-0900</t>
  </si>
  <si>
    <t>Policy Control 900</t>
  </si>
  <si>
    <t>CTRL-0901</t>
  </si>
  <si>
    <t>Incident Control 901</t>
  </si>
  <si>
    <t>CTRL-0902</t>
  </si>
  <si>
    <t>Vendor Control 902</t>
  </si>
  <si>
    <t>CTRL-0903</t>
  </si>
  <si>
    <t>Policy Control 903</t>
  </si>
  <si>
    <t>CTRL-0904</t>
  </si>
  <si>
    <t>Reconciliation Control 904</t>
  </si>
  <si>
    <t>CTRL-0905</t>
  </si>
  <si>
    <t>Reconciliation Control 905</t>
  </si>
  <si>
    <t>CTRL-0906</t>
  </si>
  <si>
    <t>Incident Control 906</t>
  </si>
  <si>
    <t>CTRL-0907</t>
  </si>
  <si>
    <t>Reconciliation Control 907</t>
  </si>
  <si>
    <t>CTRL-0908</t>
  </si>
  <si>
    <t>Access Control 908</t>
  </si>
  <si>
    <t>CTRL-0909</t>
  </si>
  <si>
    <t>Policy Control 909</t>
  </si>
  <si>
    <t>CTRL-0910</t>
  </si>
  <si>
    <t>Policy Control 910</t>
  </si>
  <si>
    <t>CTRL-0911</t>
  </si>
  <si>
    <t>Data Control 911</t>
  </si>
  <si>
    <t>CTRL-0912</t>
  </si>
  <si>
    <t>Data Control 912</t>
  </si>
  <si>
    <t>CTRL-0913</t>
  </si>
  <si>
    <t>Vendor Control 913</t>
  </si>
  <si>
    <t>CTRL-0914</t>
  </si>
  <si>
    <t>Data Control 914</t>
  </si>
  <si>
    <t>CTRL-0915</t>
  </si>
  <si>
    <t>Reconciliation Control 915</t>
  </si>
  <si>
    <t>CTRL-0916</t>
  </si>
  <si>
    <t>Vendor Control 916</t>
  </si>
  <si>
    <t>CTRL-0917</t>
  </si>
  <si>
    <t>Reconciliation Control 917</t>
  </si>
  <si>
    <t>CTRL-0918</t>
  </si>
  <si>
    <t>Data Control 918</t>
  </si>
  <si>
    <t>CTRL-0919</t>
  </si>
  <si>
    <t>Reconciliation Control 919</t>
  </si>
  <si>
    <t>CTRL-0920</t>
  </si>
  <si>
    <t>Vendor Control 920</t>
  </si>
  <si>
    <t>CTRL-0921</t>
  </si>
  <si>
    <t>Policy Control 921</t>
  </si>
  <si>
    <t>CTRL-0922</t>
  </si>
  <si>
    <t>Reconciliation Control 922</t>
  </si>
  <si>
    <t>CTRL-0923</t>
  </si>
  <si>
    <t>Access Control 923</t>
  </si>
  <si>
    <t>CTRL-0924</t>
  </si>
  <si>
    <t>Reconciliation Control 924</t>
  </si>
  <si>
    <t>CTRL-0925</t>
  </si>
  <si>
    <t>Data Control 925</t>
  </si>
  <si>
    <t>CTRL-0926</t>
  </si>
  <si>
    <t>Policy Control 926</t>
  </si>
  <si>
    <t>CTRL-0927</t>
  </si>
  <si>
    <t>Change Control 927</t>
  </si>
  <si>
    <t>CTRL-0928</t>
  </si>
  <si>
    <t>Access Control 928</t>
  </si>
  <si>
    <t>CTRL-0929</t>
  </si>
  <si>
    <t>Data Control 929</t>
  </si>
  <si>
    <t>CTRL-0930</t>
  </si>
  <si>
    <t>Incident Control 930</t>
  </si>
  <si>
    <t>CTRL-0931</t>
  </si>
  <si>
    <t>Access Control 931</t>
  </si>
  <si>
    <t>CTRL-0932</t>
  </si>
  <si>
    <t>Change Control 932</t>
  </si>
  <si>
    <t>CTRL-0933</t>
  </si>
  <si>
    <t>Change Control 933</t>
  </si>
  <si>
    <t>CTRL-0934</t>
  </si>
  <si>
    <t>Access Control 934</t>
  </si>
  <si>
    <t>CTRL-0935</t>
  </si>
  <si>
    <t>Data Control 935</t>
  </si>
  <si>
    <t>CTRL-0936</t>
  </si>
  <si>
    <t>Vendor Control 936</t>
  </si>
  <si>
    <t>CTRL-0937</t>
  </si>
  <si>
    <t>Policy Control 937</t>
  </si>
  <si>
    <t>CTRL-0938</t>
  </si>
  <si>
    <t>Change Control 938</t>
  </si>
  <si>
    <t>CTRL-0939</t>
  </si>
  <si>
    <t>Data Control 939</t>
  </si>
  <si>
    <t>CTRL-0940</t>
  </si>
  <si>
    <t>Access Control 940</t>
  </si>
  <si>
    <t>CTRL-0941</t>
  </si>
  <si>
    <t>Change Control 941</t>
  </si>
  <si>
    <t>CTRL-0942</t>
  </si>
  <si>
    <t>Reconciliation Control 942</t>
  </si>
  <si>
    <t>CTRL-0943</t>
  </si>
  <si>
    <t>Policy Control 943</t>
  </si>
  <si>
    <t>CTRL-0944</t>
  </si>
  <si>
    <t>Reconciliation Control 944</t>
  </si>
  <si>
    <t>CTRL-0945</t>
  </si>
  <si>
    <t>Policy Control 945</t>
  </si>
  <si>
    <t>CTRL-0946</t>
  </si>
  <si>
    <t>Incident Control 946</t>
  </si>
  <si>
    <t>CTRL-0947</t>
  </si>
  <si>
    <t>Reconciliation Control 947</t>
  </si>
  <si>
    <t>CTRL-0948</t>
  </si>
  <si>
    <t>Incident Control 948</t>
  </si>
  <si>
    <t>CTRL-0949</t>
  </si>
  <si>
    <t>Policy Control 949</t>
  </si>
  <si>
    <t>CTRL-0950</t>
  </si>
  <si>
    <t>Data Control 950</t>
  </si>
  <si>
    <t xml:space="preserve">Technology </t>
  </si>
  <si>
    <t>CTRL-0951</t>
  </si>
  <si>
    <t>Data Control 951</t>
  </si>
  <si>
    <t>CTRL-0952</t>
  </si>
  <si>
    <t>Access Control 952</t>
  </si>
  <si>
    <t>CTRL-0953</t>
  </si>
  <si>
    <t>Incident Control 953</t>
  </si>
  <si>
    <t>CTRL-0954</t>
  </si>
  <si>
    <t>Change Control 954</t>
  </si>
  <si>
    <t>CTRL-0955</t>
  </si>
  <si>
    <t>Incident Control 955</t>
  </si>
  <si>
    <t>CTRL-0956</t>
  </si>
  <si>
    <t>Vendor Control 956</t>
  </si>
  <si>
    <t>CTRL-0957</t>
  </si>
  <si>
    <t>Policy Control 957</t>
  </si>
  <si>
    <t>CTRL-0958</t>
  </si>
  <si>
    <t>Data Control 958</t>
  </si>
  <si>
    <t>CTRL-0959</t>
  </si>
  <si>
    <t>Data Control 959</t>
  </si>
  <si>
    <t>CTRL-0960</t>
  </si>
  <si>
    <t>Policy Control 960</t>
  </si>
  <si>
    <t>CTRL-0961</t>
  </si>
  <si>
    <t>Policy Control 961</t>
  </si>
  <si>
    <t>CTRL-0962</t>
  </si>
  <si>
    <t>Incident Control 962</t>
  </si>
  <si>
    <t>CTRL-0963</t>
  </si>
  <si>
    <t>Data Control 963</t>
  </si>
  <si>
    <t>CTRL-0964</t>
  </si>
  <si>
    <t>Access Control 964</t>
  </si>
  <si>
    <t>CTRL-0965</t>
  </si>
  <si>
    <t>Change Control 965</t>
  </si>
  <si>
    <t>CTRL-0966</t>
  </si>
  <si>
    <t>Data Control 966</t>
  </si>
  <si>
    <t>CTRL-0967</t>
  </si>
  <si>
    <t>Change Control 967</t>
  </si>
  <si>
    <t>CTRL-0968</t>
  </si>
  <si>
    <t>Vendor Control 968</t>
  </si>
  <si>
    <t>CTRL-0969</t>
  </si>
  <si>
    <t>Reconciliation Control 969</t>
  </si>
  <si>
    <t>CTRL-0970</t>
  </si>
  <si>
    <t>Data Control 970</t>
  </si>
  <si>
    <t>CTRL-0971</t>
  </si>
  <si>
    <t>Vendor Control 971</t>
  </si>
  <si>
    <t>CTRL-0972</t>
  </si>
  <si>
    <t>Incident Control 972</t>
  </si>
  <si>
    <t>CTRL-0973</t>
  </si>
  <si>
    <t>Reconciliation Control 973</t>
  </si>
  <si>
    <t>CTRL-0974</t>
  </si>
  <si>
    <t>Data Control 974</t>
  </si>
  <si>
    <t>CTRL-0975</t>
  </si>
  <si>
    <t>Access Control 975</t>
  </si>
  <si>
    <t>CTRL-0976</t>
  </si>
  <si>
    <t>Vendor Control 976</t>
  </si>
  <si>
    <t>CTRL-0977</t>
  </si>
  <si>
    <t>Data Control 977</t>
  </si>
  <si>
    <t>CTRL-0978</t>
  </si>
  <si>
    <t>Change Control 978</t>
  </si>
  <si>
    <t>CTRL-0979</t>
  </si>
  <si>
    <t>Data Control 979</t>
  </si>
  <si>
    <t>CTRL-0980</t>
  </si>
  <si>
    <t>Data Control 980</t>
  </si>
  <si>
    <t>CTRL-0981</t>
  </si>
  <si>
    <t>Reconciliation Control 981</t>
  </si>
  <si>
    <t>CTRL-0982</t>
  </si>
  <si>
    <t>Incident Control 982</t>
  </si>
  <si>
    <t>CTRL-0983</t>
  </si>
  <si>
    <t>Vendor Control 983</t>
  </si>
  <si>
    <t>CTRL-0984</t>
  </si>
  <si>
    <t>Policy Control 984</t>
  </si>
  <si>
    <t>CTRL-0985</t>
  </si>
  <si>
    <t>Incident Control 985</t>
  </si>
  <si>
    <t>CTRL-0986</t>
  </si>
  <si>
    <t>Change Control 986</t>
  </si>
  <si>
    <t>CTRL-0987</t>
  </si>
  <si>
    <t>Change Control 987</t>
  </si>
  <si>
    <t>CTRL-0988</t>
  </si>
  <si>
    <t>Access Control 988</t>
  </si>
  <si>
    <t>CTRL-0989</t>
  </si>
  <si>
    <t>Vendor Control 989</t>
  </si>
  <si>
    <t>CTRL-0990</t>
  </si>
  <si>
    <t>Incident Control 990</t>
  </si>
  <si>
    <t>CTRL-0991</t>
  </si>
  <si>
    <t>Incident Control 991</t>
  </si>
  <si>
    <t>CTRL-0992</t>
  </si>
  <si>
    <t>Change Control 992</t>
  </si>
  <si>
    <t>CTRL-0993</t>
  </si>
  <si>
    <t>Vendor Control 993</t>
  </si>
  <si>
    <t>CTRL-0994</t>
  </si>
  <si>
    <t>Reconciliation Control 994</t>
  </si>
  <si>
    <t>CTRL-0995</t>
  </si>
  <si>
    <t>Incident Control 995</t>
  </si>
  <si>
    <t>CTRL-0996</t>
  </si>
  <si>
    <t>Data Control 996</t>
  </si>
  <si>
    <t>CTRL-0997</t>
  </si>
  <si>
    <t>Incident Control 997</t>
  </si>
  <si>
    <t>CTRL-0998</t>
  </si>
  <si>
    <t>Access Control 998</t>
  </si>
  <si>
    <t>CTRL-0999</t>
  </si>
  <si>
    <t>Vendor Control 999</t>
  </si>
  <si>
    <t>CTRL-1000</t>
  </si>
  <si>
    <t>Change Control 1000</t>
  </si>
  <si>
    <t>CTRL-1001</t>
  </si>
  <si>
    <t>Vendor Control 1001</t>
  </si>
  <si>
    <t>CTRL-1002</t>
  </si>
  <si>
    <t>Vendor Control 1002</t>
  </si>
  <si>
    <t>CTRL-1003</t>
  </si>
  <si>
    <t>Data Control 1003</t>
  </si>
  <si>
    <t>CTRL-1004</t>
  </si>
  <si>
    <t>Incident Control 1004</t>
  </si>
  <si>
    <t>CTRL-1005</t>
  </si>
  <si>
    <t>Access Control 1005</t>
  </si>
  <si>
    <t>CTRL-1006</t>
  </si>
  <si>
    <t>Data Control 1006</t>
  </si>
  <si>
    <t>CTRL-1007</t>
  </si>
  <si>
    <t>Change Control 1007</t>
  </si>
  <si>
    <t>CTRL-1008</t>
  </si>
  <si>
    <t>Vendor Control 1008</t>
  </si>
  <si>
    <t>CTRL-1009</t>
  </si>
  <si>
    <t>Incident Control 1009</t>
  </si>
  <si>
    <t>CTRL-1010</t>
  </si>
  <si>
    <t>Incident Control 1010</t>
  </si>
  <si>
    <t>CTRL-1011</t>
  </si>
  <si>
    <t>Data Control 1011</t>
  </si>
  <si>
    <t>CTRL-1012</t>
  </si>
  <si>
    <t>Data Control 1012</t>
  </si>
  <si>
    <t>CTRL-1013</t>
  </si>
  <si>
    <t>Incident Control 1013</t>
  </si>
  <si>
    <t>CTRL-1014</t>
  </si>
  <si>
    <t>Incident Control 1014</t>
  </si>
  <si>
    <t>CTRL-1015</t>
  </si>
  <si>
    <t>Policy Control 1015</t>
  </si>
  <si>
    <t>CTRL-1016</t>
  </si>
  <si>
    <t>Incident Control 1016</t>
  </si>
  <si>
    <t>CTRL-1017</t>
  </si>
  <si>
    <t>Reconciliation Control 1017</t>
  </si>
  <si>
    <t>CTRL-1018</t>
  </si>
  <si>
    <t>Access Control 1018</t>
  </si>
  <si>
    <t>CTRL-1019</t>
  </si>
  <si>
    <t>Policy Control 1019</t>
  </si>
  <si>
    <t>CTRL-1020</t>
  </si>
  <si>
    <t>Policy Control 1020</t>
  </si>
  <si>
    <t>CTRL-1021</t>
  </si>
  <si>
    <t>Reconciliation Control 1021</t>
  </si>
  <si>
    <t>CTRL-1022</t>
  </si>
  <si>
    <t>Vendor Control 1022</t>
  </si>
  <si>
    <t>CTRL-1023</t>
  </si>
  <si>
    <t>Vendor Control 1023</t>
  </si>
  <si>
    <t>CTRL-1024</t>
  </si>
  <si>
    <t>Vendor Control 1024</t>
  </si>
  <si>
    <t>CTRL-1025</t>
  </si>
  <si>
    <t>Change Control 1025</t>
  </si>
  <si>
    <t>CTRL-1026</t>
  </si>
  <si>
    <t>Vendor Control 1026</t>
  </si>
  <si>
    <t>CTRL-1027</t>
  </si>
  <si>
    <t>Policy Control 1027</t>
  </si>
  <si>
    <t>CTRL-1028</t>
  </si>
  <si>
    <t>Reconciliation Control 1028</t>
  </si>
  <si>
    <t>CTRL-1029</t>
  </si>
  <si>
    <t>Policy Control 1029</t>
  </si>
  <si>
    <t>CTRL-1030</t>
  </si>
  <si>
    <t>Incident Control 1030</t>
  </si>
  <si>
    <t>CTRL-1031</t>
  </si>
  <si>
    <t>Data Control 1031</t>
  </si>
  <si>
    <t>CTRL-1032</t>
  </si>
  <si>
    <t>Change Control 1032</t>
  </si>
  <si>
    <t>CTRL-1033</t>
  </si>
  <si>
    <t>Policy Control 1033</t>
  </si>
  <si>
    <t>CTRL-1034</t>
  </si>
  <si>
    <t>Change Control 1034</t>
  </si>
  <si>
    <t>CTRL-1035</t>
  </si>
  <si>
    <t>Policy Control 1035</t>
  </si>
  <si>
    <t>CTRL-1036</t>
  </si>
  <si>
    <t>Access Control 1036</t>
  </si>
  <si>
    <t>CTRL-1037</t>
  </si>
  <si>
    <t>Data Control 1037</t>
  </si>
  <si>
    <t>CTRL-1038</t>
  </si>
  <si>
    <t>Incident Control 1038</t>
  </si>
  <si>
    <t>CTRL-1039</t>
  </si>
  <si>
    <t>Incident Control 1039</t>
  </si>
  <si>
    <t>CTRL-1040</t>
  </si>
  <si>
    <t>Access Control 1040</t>
  </si>
  <si>
    <t>CTRL-1041</t>
  </si>
  <si>
    <t>Access Control 1041</t>
  </si>
  <si>
    <t>CTRL-1042</t>
  </si>
  <si>
    <t>Access Control 1042</t>
  </si>
  <si>
    <t>CTRL-1043</t>
  </si>
  <si>
    <t>Reconciliation Control 1043</t>
  </si>
  <si>
    <t>CTRL-1044</t>
  </si>
  <si>
    <t>Vendor Control 1044</t>
  </si>
  <si>
    <t>CTRL-1045</t>
  </si>
  <si>
    <t>Policy Control 1045</t>
  </si>
  <si>
    <t>CTRL-1046</t>
  </si>
  <si>
    <t>Change Control 1046</t>
  </si>
  <si>
    <t>CTRL-1047</t>
  </si>
  <si>
    <t>Policy Control 1047</t>
  </si>
  <si>
    <t>CTRL-1048</t>
  </si>
  <si>
    <t>Vendor Control 1048</t>
  </si>
  <si>
    <t>CTRL-1049</t>
  </si>
  <si>
    <t>Access Control 1049</t>
  </si>
  <si>
    <t>CTRL-1050</t>
  </si>
  <si>
    <t>Incident Control 1050</t>
  </si>
  <si>
    <t>CTRL-1051</t>
  </si>
  <si>
    <t>Vendor Control 1051</t>
  </si>
  <si>
    <t>CTRL-1052</t>
  </si>
  <si>
    <t>Access Control 1052</t>
  </si>
  <si>
    <t>CTRL-1053</t>
  </si>
  <si>
    <t>Policy Control 1053</t>
  </si>
  <si>
    <t>CTRL-1054</t>
  </si>
  <si>
    <t>Incident Control 1054</t>
  </si>
  <si>
    <t>CTRL-1055</t>
  </si>
  <si>
    <t>Incident Control 1055</t>
  </si>
  <si>
    <t>CTRL-1056</t>
  </si>
  <si>
    <t>Access Control 1056</t>
  </si>
  <si>
    <t>CTRL-1057</t>
  </si>
  <si>
    <t>Access Control 1057</t>
  </si>
  <si>
    <t>CTRL-1058</t>
  </si>
  <si>
    <t>Data Control 1058</t>
  </si>
  <si>
    <t>CTRL-1059</t>
  </si>
  <si>
    <t>Vendor Control 1059</t>
  </si>
  <si>
    <t>CTRL-1060</t>
  </si>
  <si>
    <t>Access Control 1060</t>
  </si>
  <si>
    <t>CTRL-1061</t>
  </si>
  <si>
    <t>Incident Control 1061</t>
  </si>
  <si>
    <t>CTRL-1062</t>
  </si>
  <si>
    <t>Access Control 1062</t>
  </si>
  <si>
    <t>CTRL-1063</t>
  </si>
  <si>
    <t>Vendor Control 1063</t>
  </si>
  <si>
    <t>CTRL-1064</t>
  </si>
  <si>
    <t>Access Control 1064</t>
  </si>
  <si>
    <t>CTRL-1065</t>
  </si>
  <si>
    <t>Access Control 1065</t>
  </si>
  <si>
    <t>CTRL-1066</t>
  </si>
  <si>
    <t>Policy Control 1066</t>
  </si>
  <si>
    <t>CTRL-1067</t>
  </si>
  <si>
    <t>Policy Control 1067</t>
  </si>
  <si>
    <t>CTRL-1068</t>
  </si>
  <si>
    <t>Access Control 1068</t>
  </si>
  <si>
    <t>CTRL-1069</t>
  </si>
  <si>
    <t>Access Control 1069</t>
  </si>
  <si>
    <t>CTRL-1070</t>
  </si>
  <si>
    <t>Change Control 1070</t>
  </si>
  <si>
    <t>CTRL-1071</t>
  </si>
  <si>
    <t>Data Control 1071</t>
  </si>
  <si>
    <t>CTRL-1072</t>
  </si>
  <si>
    <t>Access Control 1072</t>
  </si>
  <si>
    <t>CTRL-1073</t>
  </si>
  <si>
    <t>Vendor Control 1073</t>
  </si>
  <si>
    <t>CTRL-1074</t>
  </si>
  <si>
    <t>Data Control 1074</t>
  </si>
  <si>
    <t>CTRL-1075</t>
  </si>
  <si>
    <t>Policy Control 1075</t>
  </si>
  <si>
    <t>CTRL-1076</t>
  </si>
  <si>
    <t>Incident Control 1076</t>
  </si>
  <si>
    <t>CTRL-1077</t>
  </si>
  <si>
    <t>Incident Control 1077</t>
  </si>
  <si>
    <t>CTRL-1078</t>
  </si>
  <si>
    <t>Vendor Control 1078</t>
  </si>
  <si>
    <t>CTRL-1079</t>
  </si>
  <si>
    <t>Change Control 1079</t>
  </si>
  <si>
    <t>CTRL-1080</t>
  </si>
  <si>
    <t>Change Control 1080</t>
  </si>
  <si>
    <t>CTRL-1081</t>
  </si>
  <si>
    <t>Change Control 1081</t>
  </si>
  <si>
    <t>CTRL-1082</t>
  </si>
  <si>
    <t>Access Control 1082</t>
  </si>
  <si>
    <t>CTRL-1083</t>
  </si>
  <si>
    <t>Change Control 1083</t>
  </si>
  <si>
    <t>CTRL-1084</t>
  </si>
  <si>
    <t>Access Control 1084</t>
  </si>
  <si>
    <t>CTRL-1085</t>
  </si>
  <si>
    <t>Data Control 1085</t>
  </si>
  <si>
    <t>CTRL-1086</t>
  </si>
  <si>
    <t>Policy Control 1086</t>
  </si>
  <si>
    <t>CTRL-1087</t>
  </si>
  <si>
    <t>Policy Control 1087</t>
  </si>
  <si>
    <t>CTRL-1088</t>
  </si>
  <si>
    <t>Incident Control 1088</t>
  </si>
  <si>
    <t>CTRL-1089</t>
  </si>
  <si>
    <t>Policy Control 1089</t>
  </si>
  <si>
    <t>CTRL-1090</t>
  </si>
  <si>
    <t>Data Control 1090</t>
  </si>
  <si>
    <t>CTRL-1091</t>
  </si>
  <si>
    <t>Change Control 1091</t>
  </si>
  <si>
    <t>CTRL-1092</t>
  </si>
  <si>
    <t>Vendor Control 1092</t>
  </si>
  <si>
    <t>CTRL-1093</t>
  </si>
  <si>
    <t>Policy Control 1093</t>
  </si>
  <si>
    <t>CTRL-1094</t>
  </si>
  <si>
    <t>Vendor Control 1094</t>
  </si>
  <si>
    <t>CTRL-1095</t>
  </si>
  <si>
    <t>Data Control 1095</t>
  </si>
  <si>
    <t>CTRL-1096</t>
  </si>
  <si>
    <t>Data Control 1096</t>
  </si>
  <si>
    <t>CTRL-1097</t>
  </si>
  <si>
    <t>Data Control 1097</t>
  </si>
  <si>
    <t>CTRL-1098</t>
  </si>
  <si>
    <t>Change Control 1098</t>
  </si>
  <si>
    <t>CTRL-1099</t>
  </si>
  <si>
    <t>Data Control 1099</t>
  </si>
  <si>
    <t>CTRL-1100</t>
  </si>
  <si>
    <t>Change Control 1100</t>
  </si>
  <si>
    <t>CTRL-1101</t>
  </si>
  <si>
    <t>Access Control 1101</t>
  </si>
  <si>
    <t>CTRL-1102</t>
  </si>
  <si>
    <t>Change Control 1102</t>
  </si>
  <si>
    <t>CTRL-1103</t>
  </si>
  <si>
    <t>Change Control 1103</t>
  </si>
  <si>
    <t>CTRL-1104</t>
  </si>
  <si>
    <t>Policy Control 1104</t>
  </si>
  <si>
    <t>CTRL-1105</t>
  </si>
  <si>
    <t>Data Control 1105</t>
  </si>
  <si>
    <t>CTRL-1106</t>
  </si>
  <si>
    <t>Vendor Control 1106</t>
  </si>
  <si>
    <t>CTRL-1107</t>
  </si>
  <si>
    <t>Access Control 1107</t>
  </si>
  <si>
    <t>CTRL-1108</t>
  </si>
  <si>
    <t>Vendor Control 1108</t>
  </si>
  <si>
    <t>CTRL-1109</t>
  </si>
  <si>
    <t>Incident Control 1109</t>
  </si>
  <si>
    <t>CTRL-1110</t>
  </si>
  <si>
    <t>Policy Control 1110</t>
  </si>
  <si>
    <t>CTRL-1111</t>
  </si>
  <si>
    <t>Policy Control 1111</t>
  </si>
  <si>
    <t>CTRL-1112</t>
  </si>
  <si>
    <t>Incident Control 1112</t>
  </si>
  <si>
    <t>CTRL-1113</t>
  </si>
  <si>
    <t>Vendor Control 1113</t>
  </si>
  <si>
    <t>CTRL-1114</t>
  </si>
  <si>
    <t>Vendor Control 1114</t>
  </si>
  <si>
    <t>CTRL-1115</t>
  </si>
  <si>
    <t>Access Control 1115</t>
  </si>
  <si>
    <t>CTRL-1116</t>
  </si>
  <si>
    <t>Incident Control 1116</t>
  </si>
  <si>
    <t>CTRL-1117</t>
  </si>
  <si>
    <t>Policy Control 1117</t>
  </si>
  <si>
    <t>CTRL-1118</t>
  </si>
  <si>
    <t>Change Control 1118</t>
  </si>
  <si>
    <t>CTRL-1119</t>
  </si>
  <si>
    <t>Data Control 1119</t>
  </si>
  <si>
    <t>CTRL-1120</t>
  </si>
  <si>
    <t>Incident Control 1120</t>
  </si>
  <si>
    <t>CTRL-1121</t>
  </si>
  <si>
    <t>Incident Control 1121</t>
  </si>
  <si>
    <t>CTRL-1122</t>
  </si>
  <si>
    <t>Change Control 1122</t>
  </si>
  <si>
    <t>CTRL-1123</t>
  </si>
  <si>
    <t>Incident Control 1123</t>
  </si>
  <si>
    <t>CTRL-1124</t>
  </si>
  <si>
    <t>Data Control 1124</t>
  </si>
  <si>
    <t>CTRL-1125</t>
  </si>
  <si>
    <t>Reconciliation Control 1125</t>
  </si>
  <si>
    <t>CTRL-1126</t>
  </si>
  <si>
    <t>Vendor Control 1126</t>
  </si>
  <si>
    <t>CTRL-1127</t>
  </si>
  <si>
    <t>Reconciliation Control 1127</t>
  </si>
  <si>
    <t>CTRL-1128</t>
  </si>
  <si>
    <t>Data Control 1128</t>
  </si>
  <si>
    <t>CTRL-1129</t>
  </si>
  <si>
    <t>Access Control 1129</t>
  </si>
  <si>
    <t>CTRL-1130</t>
  </si>
  <si>
    <t>Data Control 1130</t>
  </si>
  <si>
    <t>CTRL-1131</t>
  </si>
  <si>
    <t>Incident Control 1131</t>
  </si>
  <si>
    <t>CTRL-1132</t>
  </si>
  <si>
    <t>Change Control 1132</t>
  </si>
  <si>
    <t>CTRL-1133</t>
  </si>
  <si>
    <t>Data Control 1133</t>
  </si>
  <si>
    <t>CTRL-1134</t>
  </si>
  <si>
    <t>Data Control 1134</t>
  </si>
  <si>
    <t>CTRL-1135</t>
  </si>
  <si>
    <t>Change Control 1135</t>
  </si>
  <si>
    <t>CTRL-1136</t>
  </si>
  <si>
    <t>Reconciliation Control 1136</t>
  </si>
  <si>
    <t>CTRL-1137</t>
  </si>
  <si>
    <t>Reconciliation Control 1137</t>
  </si>
  <si>
    <t>CTRL-1138</t>
  </si>
  <si>
    <t>Access Control 1138</t>
  </si>
  <si>
    <t>CTRL-1139</t>
  </si>
  <si>
    <t>Incident Control 1139</t>
  </si>
  <si>
    <t>CTRL-1140</t>
  </si>
  <si>
    <t>Access Control 1140</t>
  </si>
  <si>
    <t>CTRL-1141</t>
  </si>
  <si>
    <t>Access Control 1141</t>
  </si>
  <si>
    <t>CTRL-1142</t>
  </si>
  <si>
    <t>Policy Control 1142</t>
  </si>
  <si>
    <t>CTRL-1143</t>
  </si>
  <si>
    <t>Data Control 1143</t>
  </si>
  <si>
    <t>CTRL-1144</t>
  </si>
  <si>
    <t>Access Control 1144</t>
  </si>
  <si>
    <t>CTRL-1145</t>
  </si>
  <si>
    <t>Access Control 1145</t>
  </si>
  <si>
    <t>CTRL-1146</t>
  </si>
  <si>
    <t>Reconciliation Control 1146</t>
  </si>
  <si>
    <t>CTRL-1147</t>
  </si>
  <si>
    <t>Access Control 1147</t>
  </si>
  <si>
    <t>CTRL-1148</t>
  </si>
  <si>
    <t>Incident Control 1148</t>
  </si>
  <si>
    <t>CTRL-1149</t>
  </si>
  <si>
    <t>Policy Control 1149</t>
  </si>
  <si>
    <t>CTRL-1150</t>
  </si>
  <si>
    <t>Vendor Control 1150</t>
  </si>
  <si>
    <t>CTRL-1151</t>
  </si>
  <si>
    <t>Vendor Control 1151</t>
  </si>
  <si>
    <t>CTRL-1152</t>
  </si>
  <si>
    <t>Change Control 1152</t>
  </si>
  <si>
    <t>CTRL-1153</t>
  </si>
  <si>
    <t>Policy Control 1153</t>
  </si>
  <si>
    <t>CTRL-1154</t>
  </si>
  <si>
    <t>Data Control 1154</t>
  </si>
  <si>
    <t>CTRL-1155</t>
  </si>
  <si>
    <t>Incident Control 1155</t>
  </si>
  <si>
    <t>CTRL-1156</t>
  </si>
  <si>
    <t>Incident Control 1156</t>
  </si>
  <si>
    <t>CTRL-1157</t>
  </si>
  <si>
    <t>Reconciliation Control 1157</t>
  </si>
  <si>
    <t>CTRL-1158</t>
  </si>
  <si>
    <t>Change Control 1158</t>
  </si>
  <si>
    <t>CTRL-1159</t>
  </si>
  <si>
    <t>Reconciliation Control 1159</t>
  </si>
  <si>
    <t>CTRL-1160</t>
  </si>
  <si>
    <t>Policy Control 1160</t>
  </si>
  <si>
    <t>CTRL-1161</t>
  </si>
  <si>
    <t>Data Control 1161</t>
  </si>
  <si>
    <t>CTRL-1162</t>
  </si>
  <si>
    <t>Change Control 1162</t>
  </si>
  <si>
    <t>CTRL-1163</t>
  </si>
  <si>
    <t>Change Control 1163</t>
  </si>
  <si>
    <t>CTRL-1164</t>
  </si>
  <si>
    <t>Vendor Control 1164</t>
  </si>
  <si>
    <t>CTRL-1165</t>
  </si>
  <si>
    <t>Incident Control 1165</t>
  </si>
  <si>
    <t>CTRL-1166</t>
  </si>
  <si>
    <t>Incident Control 1166</t>
  </si>
  <si>
    <t>CTRL-1167</t>
  </si>
  <si>
    <t>Change Control 1167</t>
  </si>
  <si>
    <t>CTRL-1168</t>
  </si>
  <si>
    <t>Change Control 1168</t>
  </si>
  <si>
    <t>CTRL-1169</t>
  </si>
  <si>
    <t>Change Control 1169</t>
  </si>
  <si>
    <t>CTRL-1170</t>
  </si>
  <si>
    <t>Change Control 1170</t>
  </si>
  <si>
    <t>CTRL-1171</t>
  </si>
  <si>
    <t>Reconciliation Control 1171</t>
  </si>
  <si>
    <t>CTRL-1172</t>
  </si>
  <si>
    <t>Reconciliation Control 1172</t>
  </si>
  <si>
    <t>CTRL-1173</t>
  </si>
  <si>
    <t>Change Control 1173</t>
  </si>
  <si>
    <t>CTRL-1174</t>
  </si>
  <si>
    <t>Access Control 1174</t>
  </si>
  <si>
    <t>CTRL-1175</t>
  </si>
  <si>
    <t>Change Control 1175</t>
  </si>
  <si>
    <t>CTRL-1176</t>
  </si>
  <si>
    <t>Incident Control 1176</t>
  </si>
  <si>
    <t>CTRL-1177</t>
  </si>
  <si>
    <t>Policy Control 1177</t>
  </si>
  <si>
    <t>CTRL-1178</t>
  </si>
  <si>
    <t>Data Control 1178</t>
  </si>
  <si>
    <t>CTRL-1179</t>
  </si>
  <si>
    <t>Data Control 1179</t>
  </si>
  <si>
    <t>CTRL-1180</t>
  </si>
  <si>
    <t>Policy Control 1180</t>
  </si>
  <si>
    <t>CTRL-1181</t>
  </si>
  <si>
    <t>Policy Control 1181</t>
  </si>
  <si>
    <t>CTRL-1182</t>
  </si>
  <si>
    <t>Vendor Control 1182</t>
  </si>
  <si>
    <t>CTRL-1183</t>
  </si>
  <si>
    <t>Data Control 1183</t>
  </si>
  <si>
    <t>CTRL-1184</t>
  </si>
  <si>
    <t>Policy Control 1184</t>
  </si>
  <si>
    <t>CTRL-1185</t>
  </si>
  <si>
    <t>Policy Control 1185</t>
  </si>
  <si>
    <t>CTRL-1186</t>
  </si>
  <si>
    <t>Data Control 1186</t>
  </si>
  <si>
    <t>CTRL-1187</t>
  </si>
  <si>
    <t>Policy Control 1187</t>
  </si>
  <si>
    <t>CTRL-1188</t>
  </si>
  <si>
    <t>Change Control 1188</t>
  </si>
  <si>
    <t>CTRL-1189</t>
  </si>
  <si>
    <t>Reconciliation Control 1189</t>
  </si>
  <si>
    <t>CTRL-1190</t>
  </si>
  <si>
    <t>Change Control 1190</t>
  </si>
  <si>
    <t>CTRL-1191</t>
  </si>
  <si>
    <t>Data Control 1191</t>
  </si>
  <si>
    <t>CTRL-1192</t>
  </si>
  <si>
    <t>Vendor Control 1192</t>
  </si>
  <si>
    <t>CTRL-1193</t>
  </si>
  <si>
    <t>Policy Control 1193</t>
  </si>
  <si>
    <t>CTRL-1194</t>
  </si>
  <si>
    <t>Access Control 1194</t>
  </si>
  <si>
    <t>CTRL-1195</t>
  </si>
  <si>
    <t>Access Control 1195</t>
  </si>
  <si>
    <t>CTRL-1196</t>
  </si>
  <si>
    <t>Vendor Control 1196</t>
  </si>
  <si>
    <t>CTRL-1197</t>
  </si>
  <si>
    <t>Policy Control 1197</t>
  </si>
  <si>
    <t>CTRL-1198</t>
  </si>
  <si>
    <t>Access Control 1198</t>
  </si>
  <si>
    <t>CTRL-1199</t>
  </si>
  <si>
    <t>Reconciliation Control 1199</t>
  </si>
  <si>
    <t>CTRL-1200</t>
  </si>
  <si>
    <t>Change Control 1200</t>
  </si>
  <si>
    <t>CTRL-1201</t>
  </si>
  <si>
    <t>Change Control 1201</t>
  </si>
  <si>
    <t>CTRL-1202</t>
  </si>
  <si>
    <t>Change Control 1202</t>
  </si>
  <si>
    <t>CTRL-1203</t>
  </si>
  <si>
    <t>Incident Control 1203</t>
  </si>
  <si>
    <t>CTRL-1204</t>
  </si>
  <si>
    <t>Change Control 1204</t>
  </si>
  <si>
    <t>CTRL-1205</t>
  </si>
  <si>
    <t>Data Control 1205</t>
  </si>
  <si>
    <t>CTRL-1206</t>
  </si>
  <si>
    <t>Data Control 1206</t>
  </si>
  <si>
    <t>CTRL-1207</t>
  </si>
  <si>
    <t>Vendor Control 1207</t>
  </si>
  <si>
    <t>CTRL-1208</t>
  </si>
  <si>
    <t>Policy Control 1208</t>
  </si>
  <si>
    <t>CTRL-1209</t>
  </si>
  <si>
    <t>Vendor Control 1209</t>
  </si>
  <si>
    <t>CTRL-1210</t>
  </si>
  <si>
    <t>Reconciliation Control 1210</t>
  </si>
  <si>
    <t>CTRL-1211</t>
  </si>
  <si>
    <t>Reconciliation Control 1211</t>
  </si>
  <si>
    <t>CTRL-1212</t>
  </si>
  <si>
    <t>Policy Control 1212</t>
  </si>
  <si>
    <t>CTRL-1213</t>
  </si>
  <si>
    <t>Change Control 1213</t>
  </si>
  <si>
    <t>CTRL-1214</t>
  </si>
  <si>
    <t>Access Control 1214</t>
  </si>
  <si>
    <t>CTRL-1215</t>
  </si>
  <si>
    <t>Vendor Control 1215</t>
  </si>
  <si>
    <t>CTRL-1216</t>
  </si>
  <si>
    <t>Reconciliation Control 1216</t>
  </si>
  <si>
    <t>CTRL-1217</t>
  </si>
  <si>
    <t>Data Control 1217</t>
  </si>
  <si>
    <t>CTRL-1218</t>
  </si>
  <si>
    <t>Data Control 1218</t>
  </si>
  <si>
    <t>CTRL-1219</t>
  </si>
  <si>
    <t>Data Control 1219</t>
  </si>
  <si>
    <t>CTRL-1220</t>
  </si>
  <si>
    <t>Vendor Control 1220</t>
  </si>
  <si>
    <t>CTRL-1221</t>
  </si>
  <si>
    <t>Access Control 1221</t>
  </si>
  <si>
    <t>CTRL-1222</t>
  </si>
  <si>
    <t>Incident Control 1222</t>
  </si>
  <si>
    <t>CTRL-1223</t>
  </si>
  <si>
    <t>Policy Control 1223</t>
  </si>
  <si>
    <t>CTRL-1224</t>
  </si>
  <si>
    <t>Policy Control 1224</t>
  </si>
  <si>
    <t>CTRL-1225</t>
  </si>
  <si>
    <t>Incident Control 1225</t>
  </si>
  <si>
    <t>CTRL-1226</t>
  </si>
  <si>
    <t>Policy Control 1226</t>
  </si>
  <si>
    <t>CTRL-1227</t>
  </si>
  <si>
    <t>Access Control 1227</t>
  </si>
  <si>
    <t>CTRL-1228</t>
  </si>
  <si>
    <t>Vendor Control 1228</t>
  </si>
  <si>
    <t>CTRL-1229</t>
  </si>
  <si>
    <t>Policy Control 1229</t>
  </si>
  <si>
    <t>CTRL-1230</t>
  </si>
  <si>
    <t>Policy Control 1230</t>
  </si>
  <si>
    <t>CTRL-1231</t>
  </si>
  <si>
    <t>Reconciliation Control 1231</t>
  </si>
  <si>
    <t>CTRL-1232</t>
  </si>
  <si>
    <t>Policy Control 1232</t>
  </si>
  <si>
    <t>CTRL-1233</t>
  </si>
  <si>
    <t>Vendor Control 1233</t>
  </si>
  <si>
    <t>CTRL-1234</t>
  </si>
  <si>
    <t>Data Control 1234</t>
  </si>
  <si>
    <t>CTRL-1235</t>
  </si>
  <si>
    <t>Incident Control 1235</t>
  </si>
  <si>
    <t>CTRL-1236</t>
  </si>
  <si>
    <t>Policy Control 1236</t>
  </si>
  <si>
    <t>CTRL-1237</t>
  </si>
  <si>
    <t>Reconciliation Control 1237</t>
  </si>
  <si>
    <t>CTRL-1238</t>
  </si>
  <si>
    <t>Policy Control 1238</t>
  </si>
  <si>
    <t>CTRL-1239</t>
  </si>
  <si>
    <t>Data Control 1239</t>
  </si>
  <si>
    <t>CTRL-1240</t>
  </si>
  <si>
    <t>Reconciliation Control 1240</t>
  </si>
  <si>
    <t>CTRL-1241</t>
  </si>
  <si>
    <t>Change Control 1241</t>
  </si>
  <si>
    <t>CTRL-1242</t>
  </si>
  <si>
    <t>Policy Control 1242</t>
  </si>
  <si>
    <t>CTRL-1243</t>
  </si>
  <si>
    <t>Access Control 1243</t>
  </si>
  <si>
    <t>CTRL-1244</t>
  </si>
  <si>
    <t>Reconciliation Control 1244</t>
  </si>
  <si>
    <t>CTRL-1245</t>
  </si>
  <si>
    <t>Vendor Control 1245</t>
  </si>
  <si>
    <t>CTRL-1246</t>
  </si>
  <si>
    <t>Incident Control 1246</t>
  </si>
  <si>
    <t>CTRL-1247</t>
  </si>
  <si>
    <t>Incident Control 1247</t>
  </si>
  <si>
    <t>CTRL-1248</t>
  </si>
  <si>
    <t>Access Control 1248</t>
  </si>
  <si>
    <t>CTRL-1249</t>
  </si>
  <si>
    <t>Incident Control 1249</t>
  </si>
  <si>
    <t>CTRL-1250</t>
  </si>
  <si>
    <t>Policy Control 1250</t>
  </si>
  <si>
    <t>CTRL-1251</t>
  </si>
  <si>
    <t>Incident Control 1251</t>
  </si>
  <si>
    <t>CTRL-1252</t>
  </si>
  <si>
    <t>Change Control 1252</t>
  </si>
  <si>
    <t>CTRL-1253</t>
  </si>
  <si>
    <t>Data Control 1253</t>
  </si>
  <si>
    <t>CTRL-1254</t>
  </si>
  <si>
    <t>Reconciliation Control 1254</t>
  </si>
  <si>
    <t>CTRL-1255</t>
  </si>
  <si>
    <t>Reconciliation Control 1255</t>
  </si>
  <si>
    <t>CTRL-1256</t>
  </si>
  <si>
    <t>Policy Control 1256</t>
  </si>
  <si>
    <t>CTRL-1257</t>
  </si>
  <si>
    <t>Change Control 1257</t>
  </si>
  <si>
    <t>CTRL-1258</t>
  </si>
  <si>
    <t>Reconciliation Control 1258</t>
  </si>
  <si>
    <t>CTRL-1259</t>
  </si>
  <si>
    <t>Reconciliation Control 1259</t>
  </si>
  <si>
    <t>CTRL-1260</t>
  </si>
  <si>
    <t>Access Control 1260</t>
  </si>
  <si>
    <t>CTRL-1261</t>
  </si>
  <si>
    <t>Access Control 1261</t>
  </si>
  <si>
    <t>CTRL-1262</t>
  </si>
  <si>
    <t>Access Control 1262</t>
  </si>
  <si>
    <t>CTRL-1263</t>
  </si>
  <si>
    <t>Access Control 1263</t>
  </si>
  <si>
    <t>CTRL-1264</t>
  </si>
  <si>
    <t>Data Control 1264</t>
  </si>
  <si>
    <t>CTRL-1265</t>
  </si>
  <si>
    <t>Incident Control 1265</t>
  </si>
  <si>
    <t>CTRL-1266</t>
  </si>
  <si>
    <t>Incident Control 1266</t>
  </si>
  <si>
    <t>CTRL-1267</t>
  </si>
  <si>
    <t>Reconciliation Control 1267</t>
  </si>
  <si>
    <t>CTRL-1268</t>
  </si>
  <si>
    <t>Change Control 1268</t>
  </si>
  <si>
    <t>CTRL-1269</t>
  </si>
  <si>
    <t>Incident Control 1269</t>
  </si>
  <si>
    <t>CTRL-1270</t>
  </si>
  <si>
    <t>Vendor Control 1270</t>
  </si>
  <si>
    <t>CTRL-1271</t>
  </si>
  <si>
    <t>Policy Control 1271</t>
  </si>
  <si>
    <t>CTRL-1272</t>
  </si>
  <si>
    <t>Reconciliation Control 1272</t>
  </si>
  <si>
    <t>CTRL-1273</t>
  </si>
  <si>
    <t>Change Control 1273</t>
  </si>
  <si>
    <t>CTRL-1274</t>
  </si>
  <si>
    <t>Access Control 1274</t>
  </si>
  <si>
    <t>CTRL-1275</t>
  </si>
  <si>
    <t>Data Control 1275</t>
  </si>
  <si>
    <t>CTRL-1276</t>
  </si>
  <si>
    <t>Access Control 1276</t>
  </si>
  <si>
    <t>CTRL-1277</t>
  </si>
  <si>
    <t>Change Control 1277</t>
  </si>
  <si>
    <t>CTRL-1278</t>
  </si>
  <si>
    <t>Access Control 1278</t>
  </si>
  <si>
    <t>CTRL-1279</t>
  </si>
  <si>
    <t>Vendor Control 1279</t>
  </si>
  <si>
    <t>CTRL-1280</t>
  </si>
  <si>
    <t>Vendor Control 1280</t>
  </si>
  <si>
    <t>CTRL-1281</t>
  </si>
  <si>
    <t>Incident Control 1281</t>
  </si>
  <si>
    <t>CTRL-1282</t>
  </si>
  <si>
    <t>Data Control 1282</t>
  </si>
  <si>
    <t>CTRL-1283</t>
  </si>
  <si>
    <t>Policy Control 1283</t>
  </si>
  <si>
    <t>CTRL-1284</t>
  </si>
  <si>
    <t>Data Control 1284</t>
  </si>
  <si>
    <t>CTRL-1285</t>
  </si>
  <si>
    <t>Change Control 1285</t>
  </si>
  <si>
    <t>CTRL-1286</t>
  </si>
  <si>
    <t>Vendor Control 1286</t>
  </si>
  <si>
    <t>CTRL-1287</t>
  </si>
  <si>
    <t>Access Control 1287</t>
  </si>
  <si>
    <t>CTRL-1288</t>
  </si>
  <si>
    <t>Access Control 1288</t>
  </si>
  <si>
    <t>CTRL-1289</t>
  </si>
  <si>
    <t>Vendor Control 1289</t>
  </si>
  <si>
    <t>CTRL-1290</t>
  </si>
  <si>
    <t>Vendor Control 1290</t>
  </si>
  <si>
    <t>CTRL-1291</t>
  </si>
  <si>
    <t>Change Control 1291</t>
  </si>
  <si>
    <t>CTRL-1292</t>
  </si>
  <si>
    <t>Incident Control 1292</t>
  </si>
  <si>
    <t>CTRL-1293</t>
  </si>
  <si>
    <t>Vendor Control 1293</t>
  </si>
  <si>
    <t>CTRL-1294</t>
  </si>
  <si>
    <t>Change Control 1294</t>
  </si>
  <si>
    <t>CTRL-1295</t>
  </si>
  <si>
    <t>Change Control 1295</t>
  </si>
  <si>
    <t>CTRL-1296</t>
  </si>
  <si>
    <t>Access Control 1296</t>
  </si>
  <si>
    <t>CTRL-1297</t>
  </si>
  <si>
    <t>Policy Control 1297</t>
  </si>
  <si>
    <t>CTRL-1298</t>
  </si>
  <si>
    <t>Policy Control 1298</t>
  </si>
  <si>
    <t>CTRL-1299</t>
  </si>
  <si>
    <t>Reconciliation Control 1299</t>
  </si>
  <si>
    <t>CTRL-1300</t>
  </si>
  <si>
    <t>Vendor Control 1300</t>
  </si>
  <si>
    <t>CTRL-1301</t>
  </si>
  <si>
    <t>Incident Control 1301</t>
  </si>
  <si>
    <t>CTRL-1302</t>
  </si>
  <si>
    <t>Policy Control 1302</t>
  </si>
  <si>
    <t>CTRL-1303</t>
  </si>
  <si>
    <t>Reconciliation Control 1303</t>
  </si>
  <si>
    <t>CTRL-1304</t>
  </si>
  <si>
    <t>Access Control 1304</t>
  </si>
  <si>
    <t>CTRL-1305</t>
  </si>
  <si>
    <t>Vendor Control 1305</t>
  </si>
  <si>
    <t>CTRL-1306</t>
  </si>
  <si>
    <t>Reconciliation Control 1306</t>
  </si>
  <si>
    <t>CTRL-1307</t>
  </si>
  <si>
    <t>Vendor Control 1307</t>
  </si>
  <si>
    <t>CTRL-1308</t>
  </si>
  <si>
    <t>Reconciliation Control 1308</t>
  </si>
  <si>
    <t>CTRL-1309</t>
  </si>
  <si>
    <t>Vendor Control 1309</t>
  </si>
  <si>
    <t>CTRL-1310</t>
  </si>
  <si>
    <t>Access Control 1310</t>
  </si>
  <si>
    <t>CTRL-1311</t>
  </si>
  <si>
    <t>Reconciliation Control 1311</t>
  </si>
  <si>
    <t>CTRL-1312</t>
  </si>
  <si>
    <t>Access Control 1312</t>
  </si>
  <si>
    <t>CTRL-1313</t>
  </si>
  <si>
    <t>Data Control 1313</t>
  </si>
  <si>
    <t>CTRL-1314</t>
  </si>
  <si>
    <t>Change Control 1314</t>
  </si>
  <si>
    <t>CTRL-1315</t>
  </si>
  <si>
    <t>Change Control 1315</t>
  </si>
  <si>
    <t>CTRL-1316</t>
  </si>
  <si>
    <t>Reconciliation Control 1316</t>
  </si>
  <si>
    <t>CTRL-1317</t>
  </si>
  <si>
    <t>Access Control 1317</t>
  </si>
  <si>
    <t>CTRL-1318</t>
  </si>
  <si>
    <t>Change Control 1318</t>
  </si>
  <si>
    <t>CTRL-1319</t>
  </si>
  <si>
    <t>Vendor Control 1319</t>
  </si>
  <si>
    <t>CTRL-1320</t>
  </si>
  <si>
    <t>Policy Control 1320</t>
  </si>
  <si>
    <t>CTRL-1321</t>
  </si>
  <si>
    <t>Reconciliation Control 1321</t>
  </si>
  <si>
    <t>CTRL-1322</t>
  </si>
  <si>
    <t>Data Control 1322</t>
  </si>
  <si>
    <t>CTRL-1323</t>
  </si>
  <si>
    <t>Vendor Control 1323</t>
  </si>
  <si>
    <t>CTRL-1324</t>
  </si>
  <si>
    <t>Policy Control 1324</t>
  </si>
  <si>
    <t>CTRL-1325</t>
  </si>
  <si>
    <t>Vendor Control 1325</t>
  </si>
  <si>
    <t>CTRL-1326</t>
  </si>
  <si>
    <t>Incident Control 1326</t>
  </si>
  <si>
    <t>CTRL-1327</t>
  </si>
  <si>
    <t>Change Control 1327</t>
  </si>
  <si>
    <t>CTRL-1328</t>
  </si>
  <si>
    <t>Change Control 1328</t>
  </si>
  <si>
    <t>CTRL-1329</t>
  </si>
  <si>
    <t>Access Control 1329</t>
  </si>
  <si>
    <t>CTRL-1330</t>
  </si>
  <si>
    <t>Access Control 1330</t>
  </si>
  <si>
    <t>CTRL-1331</t>
  </si>
  <si>
    <t>Reconciliation Control 1331</t>
  </si>
  <si>
    <t>CTRL-1332</t>
  </si>
  <si>
    <t>Reconciliation Control 1332</t>
  </si>
  <si>
    <t>CTRL-1333</t>
  </si>
  <si>
    <t>Access Control 1333</t>
  </si>
  <si>
    <t>CTRL-1334</t>
  </si>
  <si>
    <t>Policy Control 1334</t>
  </si>
  <si>
    <t>CTRL-1335</t>
  </si>
  <si>
    <t>Data Control 1335</t>
  </si>
  <si>
    <t>CTRL-1336</t>
  </si>
  <si>
    <t>Vendor Control 1336</t>
  </si>
  <si>
    <t>CTRL-1337</t>
  </si>
  <si>
    <t>Change Control 1337</t>
  </si>
  <si>
    <t>CTRL-1338</t>
  </si>
  <si>
    <t>Data Control 1338</t>
  </si>
  <si>
    <t>CTRL-1339</t>
  </si>
  <si>
    <t>Reconciliation Control 1339</t>
  </si>
  <si>
    <t>CTRL-1340</t>
  </si>
  <si>
    <t>Change Control 1340</t>
  </si>
  <si>
    <t>CTRL-1341</t>
  </si>
  <si>
    <t>Incident Control 1341</t>
  </si>
  <si>
    <t>CTRL-1342</t>
  </si>
  <si>
    <t>Incident Control 1342</t>
  </si>
  <si>
    <t>CTRL-1343</t>
  </si>
  <si>
    <t>Reconciliation Control 1343</t>
  </si>
  <si>
    <t>CTRL-1344</t>
  </si>
  <si>
    <t>Change Control 1344</t>
  </si>
  <si>
    <t>CTRL-1345</t>
  </si>
  <si>
    <t>Access Control 1345</t>
  </si>
  <si>
    <t>CTRL-1346</t>
  </si>
  <si>
    <t>Policy Control 1346</t>
  </si>
  <si>
    <t>CTRL-1347</t>
  </si>
  <si>
    <t>Data Control 1347</t>
  </si>
  <si>
    <t>CTRL-1348</t>
  </si>
  <si>
    <t>Policy Control 1348</t>
  </si>
  <si>
    <t>CTRL-1349</t>
  </si>
  <si>
    <t>Change Control 1349</t>
  </si>
  <si>
    <t>CTRL-1350</t>
  </si>
  <si>
    <t>Change Control 1350</t>
  </si>
  <si>
    <t>CTRL-1351</t>
  </si>
  <si>
    <t>Data Control 1351</t>
  </si>
  <si>
    <t>CTRL-1352</t>
  </si>
  <si>
    <t>Reconciliation Control 1352</t>
  </si>
  <si>
    <t>CTRL-1353</t>
  </si>
  <si>
    <t>Vendor Control 1353</t>
  </si>
  <si>
    <t>CTRL-1354</t>
  </si>
  <si>
    <t>Policy Control 1354</t>
  </si>
  <si>
    <t>CTRL-1355</t>
  </si>
  <si>
    <t>Vendor Control 1355</t>
  </si>
  <si>
    <t>CTRL-1356</t>
  </si>
  <si>
    <t>Change Control 1356</t>
  </si>
  <si>
    <t>CTRL-1357</t>
  </si>
  <si>
    <t>Change Control 1357</t>
  </si>
  <si>
    <t>CTRL-1358</t>
  </si>
  <si>
    <t>Reconciliation Control 1358</t>
  </si>
  <si>
    <t>CTRL-1359</t>
  </si>
  <si>
    <t>Policy Control 1359</t>
  </si>
  <si>
    <t>CTRL-1360</t>
  </si>
  <si>
    <t>Reconciliation Control 1360</t>
  </si>
  <si>
    <t>CTRL-1361</t>
  </si>
  <si>
    <t>Access Control 1361</t>
  </si>
  <si>
    <t>CTRL-1362</t>
  </si>
  <si>
    <t>Reconciliation Control 1362</t>
  </si>
  <si>
    <t>CTRL-1363</t>
  </si>
  <si>
    <t>Policy Control 1363</t>
  </si>
  <si>
    <t>CTRL-1364</t>
  </si>
  <si>
    <t>Incident Control 1364</t>
  </si>
  <si>
    <t>CTRL-1365</t>
  </si>
  <si>
    <t>Vendor Control 1365</t>
  </si>
  <si>
    <t>CTRL-1366</t>
  </si>
  <si>
    <t>Reconciliation Control 1366</t>
  </si>
  <si>
    <t>CTRL-1367</t>
  </si>
  <si>
    <t>Reconciliation Control 1367</t>
  </si>
  <si>
    <t>CTRL-1368</t>
  </si>
  <si>
    <t>Data Control 1368</t>
  </si>
  <si>
    <t>CTRL-1369</t>
  </si>
  <si>
    <t>Vendor Control 1369</t>
  </si>
  <si>
    <t>CTRL-1370</t>
  </si>
  <si>
    <t>Vendor Control 1370</t>
  </si>
  <si>
    <t>CTRL-1371</t>
  </si>
  <si>
    <t>Vendor Control 1371</t>
  </si>
  <si>
    <t>CTRL-1372</t>
  </si>
  <si>
    <t>Access Control 1372</t>
  </si>
  <si>
    <t>CTRL-1373</t>
  </si>
  <si>
    <t>Change Control 1373</t>
  </si>
  <si>
    <t>CTRL-1374</t>
  </si>
  <si>
    <t>Incident Control 1374</t>
  </si>
  <si>
    <t>CTRL-1375</t>
  </si>
  <si>
    <t>Reconciliation Control 1375</t>
  </si>
  <si>
    <t>CTRL-1376</t>
  </si>
  <si>
    <t>Data Control 1376</t>
  </si>
  <si>
    <t>CTRL-1377</t>
  </si>
  <si>
    <t>Vendor Control 1377</t>
  </si>
  <si>
    <t>CTRL-1378</t>
  </si>
  <si>
    <t>Incident Control 1378</t>
  </si>
  <si>
    <t>CTRL-1379</t>
  </si>
  <si>
    <t>Vendor Control 1379</t>
  </si>
  <si>
    <t>CTRL-1380</t>
  </si>
  <si>
    <t>Data Control 1380</t>
  </si>
  <si>
    <t>CTRL-1381</t>
  </si>
  <si>
    <t>Vendor Control 1381</t>
  </si>
  <si>
    <t>CTRL-1382</t>
  </si>
  <si>
    <t>Vendor Control 1382</t>
  </si>
  <si>
    <t>CTRL-1383</t>
  </si>
  <si>
    <t>Data Control 1383</t>
  </si>
  <si>
    <t>CTRL-1384</t>
  </si>
  <si>
    <t>Data Control 1384</t>
  </si>
  <si>
    <t>CTRL-1385</t>
  </si>
  <si>
    <t>Access Control 1385</t>
  </si>
  <si>
    <t>CTRL-1386</t>
  </si>
  <si>
    <t>Change Control 1386</t>
  </si>
  <si>
    <t>CTRL-1387</t>
  </si>
  <si>
    <t>Data Control 1387</t>
  </si>
  <si>
    <t>CTRL-1388</t>
  </si>
  <si>
    <t>Policy Control 1388</t>
  </si>
  <si>
    <t>CTRL-1389</t>
  </si>
  <si>
    <t>Change Control 1389</t>
  </si>
  <si>
    <t>CTRL-1390</t>
  </si>
  <si>
    <t>Reconciliation Control 1390</t>
  </si>
  <si>
    <t>CTRL-1391</t>
  </si>
  <si>
    <t>Vendor Control 1391</t>
  </si>
  <si>
    <t>CTRL-1392</t>
  </si>
  <si>
    <t>Reconciliation Control 1392</t>
  </si>
  <si>
    <t>CTRL-1393</t>
  </si>
  <si>
    <t>Policy Control 1393</t>
  </si>
  <si>
    <t>CTRL-1394</t>
  </si>
  <si>
    <t>Reconciliation Control 1394</t>
  </si>
  <si>
    <t>CTRL-1395</t>
  </si>
  <si>
    <t>Reconciliation Control 1395</t>
  </si>
  <si>
    <t>CTRL-1396</t>
  </si>
  <si>
    <t>Vendor Control 1396</t>
  </si>
  <si>
    <t>CTRL-1397</t>
  </si>
  <si>
    <t>Incident Control 1397</t>
  </si>
  <si>
    <t>CTRL-1398</t>
  </si>
  <si>
    <t>Policy Control 1398</t>
  </si>
  <si>
    <t>CTRL-1399</t>
  </si>
  <si>
    <t>Access Control 1399</t>
  </si>
  <si>
    <t>CTRL-1400</t>
  </si>
  <si>
    <t>Vendor Control 1400</t>
  </si>
  <si>
    <t>CTRL-1401</t>
  </si>
  <si>
    <t>Data Control 1401</t>
  </si>
  <si>
    <t>CTRL-1402</t>
  </si>
  <si>
    <t>Reconciliation Control 1402</t>
  </si>
  <si>
    <t>CTRL-1403</t>
  </si>
  <si>
    <t>Change Control 1403</t>
  </si>
  <si>
    <t>CTRL-1404</t>
  </si>
  <si>
    <t>Data Control 1404</t>
  </si>
  <si>
    <t>CTRL-1405</t>
  </si>
  <si>
    <t>Data Control 1405</t>
  </si>
  <si>
    <t>CTRL-1406</t>
  </si>
  <si>
    <t>Policy Control 1406</t>
  </si>
  <si>
    <t>CTRL-1407</t>
  </si>
  <si>
    <t>Incident Control 1407</t>
  </si>
  <si>
    <t>CTRL-1408</t>
  </si>
  <si>
    <t>Change Control 1408</t>
  </si>
  <si>
    <t>CTRL-1409</t>
  </si>
  <si>
    <t>Data Control 1409</t>
  </si>
  <si>
    <t>CTRL-1410</t>
  </si>
  <si>
    <t>Vendor Control 1410</t>
  </si>
  <si>
    <t>CTRL-1411</t>
  </si>
  <si>
    <t>Vendor Control 1411</t>
  </si>
  <si>
    <t>CTRL-1412</t>
  </si>
  <si>
    <t>Change Control 1412</t>
  </si>
  <si>
    <t>CTRL-1413</t>
  </si>
  <si>
    <t>Policy Control 1413</t>
  </si>
  <si>
    <t>CTRL-1414</t>
  </si>
  <si>
    <t>Vendor Control 1414</t>
  </si>
  <si>
    <t>CTRL-1415</t>
  </si>
  <si>
    <t>Data Control 1415</t>
  </si>
  <si>
    <t>CTRL-1416</t>
  </si>
  <si>
    <t>Reconciliation Control 1416</t>
  </si>
  <si>
    <t>CTRL-1417</t>
  </si>
  <si>
    <t>Policy Control 1417</t>
  </si>
  <si>
    <t>CTRL-1418</t>
  </si>
  <si>
    <t>Vendor Control 1418</t>
  </si>
  <si>
    <t>CTRL-1419</t>
  </si>
  <si>
    <t>Incident Control 1419</t>
  </si>
  <si>
    <t>CTRL-1420</t>
  </si>
  <si>
    <t>Reconciliation Control 1420</t>
  </si>
  <si>
    <t>CTRL-1421</t>
  </si>
  <si>
    <t>Policy Control 1421</t>
  </si>
  <si>
    <t>CTRL-1422</t>
  </si>
  <si>
    <t>Vendor Control 1422</t>
  </si>
  <si>
    <t>CTRL-1423</t>
  </si>
  <si>
    <t>Incident Control 1423</t>
  </si>
  <si>
    <t>CTRL-1424</t>
  </si>
  <si>
    <t>Data Control 1424</t>
  </si>
  <si>
    <t>CTRL-1425</t>
  </si>
  <si>
    <t>Incident Control 1425</t>
  </si>
  <si>
    <t>CTRL-1426</t>
  </si>
  <si>
    <t>Policy Control 1426</t>
  </si>
  <si>
    <t>CTRL-1427</t>
  </si>
  <si>
    <t>Incident Control 1427</t>
  </si>
  <si>
    <t>CTRL-1428</t>
  </si>
  <si>
    <t>Policy Control 1428</t>
  </si>
  <si>
    <t>CTRL-1429</t>
  </si>
  <si>
    <t>Change Control 1429</t>
  </si>
  <si>
    <t>CTRL-1430</t>
  </si>
  <si>
    <t>Access Control 1430</t>
  </si>
  <si>
    <t>CTRL-1431</t>
  </si>
  <si>
    <t>Change Control 1431</t>
  </si>
  <si>
    <t>CTRL-1432</t>
  </si>
  <si>
    <t>Data Control 1432</t>
  </si>
  <si>
    <t>CTRL-1433</t>
  </si>
  <si>
    <t>Change Control 1433</t>
  </si>
  <si>
    <t>CTRL-1434</t>
  </si>
  <si>
    <t>Access Control 1434</t>
  </si>
  <si>
    <t>CTRL-1435</t>
  </si>
  <si>
    <t>Data Control 1435</t>
  </si>
  <si>
    <t>CTRL-1436</t>
  </si>
  <si>
    <t>Change Control 1436</t>
  </si>
  <si>
    <t>CTRL-1437</t>
  </si>
  <si>
    <t>Policy Control 1437</t>
  </si>
  <si>
    <t>CTRL-1438</t>
  </si>
  <si>
    <t>Incident Control 1438</t>
  </si>
  <si>
    <t>CTRL-1439</t>
  </si>
  <si>
    <t>Data Control 1439</t>
  </si>
  <si>
    <t>CTRL-1440</t>
  </si>
  <si>
    <t>Change Control 1440</t>
  </si>
  <si>
    <t>CTRL-1441</t>
  </si>
  <si>
    <t>Change Control 1441</t>
  </si>
  <si>
    <t>CTRL-1442</t>
  </si>
  <si>
    <t>Vendor Control 1442</t>
  </si>
  <si>
    <t>CTRL-1443</t>
  </si>
  <si>
    <t>Incident Control 1443</t>
  </si>
  <si>
    <t>CTRL-1444</t>
  </si>
  <si>
    <t>Policy Control 1444</t>
  </si>
  <si>
    <t>CTRL-1445</t>
  </si>
  <si>
    <t>Vendor Control 1445</t>
  </si>
  <si>
    <t>CTRL-1446</t>
  </si>
  <si>
    <t>Vendor Control 1446</t>
  </si>
  <si>
    <t>CTRL-1447</t>
  </si>
  <si>
    <t>Change Control 1447</t>
  </si>
  <si>
    <t>CTRL-1448</t>
  </si>
  <si>
    <t>Change Control 1448</t>
  </si>
  <si>
    <t>CTRL-1449</t>
  </si>
  <si>
    <t>Access Control 1449</t>
  </si>
  <si>
    <t>CTRL-1450</t>
  </si>
  <si>
    <t>Policy Control 1450</t>
  </si>
  <si>
    <t>CTRL-1451</t>
  </si>
  <si>
    <t>Data Control 1451</t>
  </si>
  <si>
    <t>CTRL-1452</t>
  </si>
  <si>
    <t>Policy Control 1452</t>
  </si>
  <si>
    <t>CTRL-1453</t>
  </si>
  <si>
    <t>Incident Control 1453</t>
  </si>
  <si>
    <t>CTRL-1454</t>
  </si>
  <si>
    <t>Policy Control 1454</t>
  </si>
  <si>
    <t>CTRL-1455</t>
  </si>
  <si>
    <t>Vendor Control 1455</t>
  </si>
  <si>
    <t>CTRL-1456</t>
  </si>
  <si>
    <t>Data Control 1456</t>
  </si>
  <si>
    <t>CTRL-1457</t>
  </si>
  <si>
    <t>Change Control 1457</t>
  </si>
  <si>
    <t>CTRL-1458</t>
  </si>
  <si>
    <t>Reconciliation Control 1458</t>
  </si>
  <si>
    <t>CTRL-1459</t>
  </si>
  <si>
    <t>Access Control 1459</t>
  </si>
  <si>
    <t>CTRL-1460</t>
  </si>
  <si>
    <t>Access Control 1460</t>
  </si>
  <si>
    <t>CTRL-1461</t>
  </si>
  <si>
    <t>Data Control 1461</t>
  </si>
  <si>
    <t>CTRL-1462</t>
  </si>
  <si>
    <t>Access Control 1462</t>
  </si>
  <si>
    <t>CTRL-1463</t>
  </si>
  <si>
    <t>Change Control 1463</t>
  </si>
  <si>
    <t>CTRL-1464</t>
  </si>
  <si>
    <t>Incident Control 1464</t>
  </si>
  <si>
    <t>CTRL-1465</t>
  </si>
  <si>
    <t>Access Control 1465</t>
  </si>
  <si>
    <t>CTRL-1466</t>
  </si>
  <si>
    <t>Data Control 1466</t>
  </si>
  <si>
    <t>CTRL-1467</t>
  </si>
  <si>
    <t>Access Control 1467</t>
  </si>
  <si>
    <t>CTRL-1468</t>
  </si>
  <si>
    <t>Change Control 1468</t>
  </si>
  <si>
    <t>CTRL-1469</t>
  </si>
  <si>
    <t>Reconciliation Control 1469</t>
  </si>
  <si>
    <t>CTRL-1470</t>
  </si>
  <si>
    <t>Access Control 1470</t>
  </si>
  <si>
    <t>CTRL-1471</t>
  </si>
  <si>
    <t>Policy Control 1471</t>
  </si>
  <si>
    <t>CTRL-1472</t>
  </si>
  <si>
    <t>Change Control 1472</t>
  </si>
  <si>
    <t>CTRL-1473</t>
  </si>
  <si>
    <t>Access Control 1473</t>
  </si>
  <si>
    <t>CTRL-1474</t>
  </si>
  <si>
    <t>Vendor Control 1474</t>
  </si>
  <si>
    <t>CTRL-1475</t>
  </si>
  <si>
    <t>Policy Control 1475</t>
  </si>
  <si>
    <t>CTRL-1476</t>
  </si>
  <si>
    <t>Data Control 1476</t>
  </si>
  <si>
    <t>CTRL-1477</t>
  </si>
  <si>
    <t>Data Control 1477</t>
  </si>
  <si>
    <t>CTRL-1478</t>
  </si>
  <si>
    <t>Reconciliation Control 1478</t>
  </si>
  <si>
    <t>CTRL-1479</t>
  </si>
  <si>
    <t>Vendor Control 1479</t>
  </si>
  <si>
    <t>CTRL-1480</t>
  </si>
  <si>
    <t>Data Control 1480</t>
  </si>
  <si>
    <t>CTRL-1481</t>
  </si>
  <si>
    <t>Vendor Control 1481</t>
  </si>
  <si>
    <t>CTRL-1482</t>
  </si>
  <si>
    <t>Reconciliation Control 1482</t>
  </si>
  <si>
    <t>CTRL-1483</t>
  </si>
  <si>
    <t>Change Control 1483</t>
  </si>
  <si>
    <t>CTRL-1484</t>
  </si>
  <si>
    <t>Access Control 1484</t>
  </si>
  <si>
    <t>CTRL-1485</t>
  </si>
  <si>
    <t>Vendor Control 1485</t>
  </si>
  <si>
    <t>CTRL-1486</t>
  </si>
  <si>
    <t>Access Control 1486</t>
  </si>
  <si>
    <t>CTRL-1487</t>
  </si>
  <si>
    <t>Policy Control 1487</t>
  </si>
  <si>
    <t>CTRL-1488</t>
  </si>
  <si>
    <t>Change Control 1488</t>
  </si>
  <si>
    <t>CTRL-1489</t>
  </si>
  <si>
    <t>Change Control 1489</t>
  </si>
  <si>
    <t>CTRL-1490</t>
  </si>
  <si>
    <t>Change Control 1490</t>
  </si>
  <si>
    <t>CTRL-1491</t>
  </si>
  <si>
    <t>Change Control 1491</t>
  </si>
  <si>
    <t>CTRL-1492</t>
  </si>
  <si>
    <t>Data Control 1492</t>
  </si>
  <si>
    <t>CTRL-1493</t>
  </si>
  <si>
    <t>Incident Control 1493</t>
  </si>
  <si>
    <t>CTRL-1494</t>
  </si>
  <si>
    <t>Policy Control 1494</t>
  </si>
  <si>
    <t>CTRL-1495</t>
  </si>
  <si>
    <t>Change Control 1495</t>
  </si>
  <si>
    <t>CTRL-1496</t>
  </si>
  <si>
    <t>Access Control 1496</t>
  </si>
  <si>
    <t>CTRL-1497</t>
  </si>
  <si>
    <t>Reconciliation Control 1497</t>
  </si>
  <si>
    <t>CTRL-1498</t>
  </si>
  <si>
    <t>Access Control 1498</t>
  </si>
  <si>
    <t>CTRL-1499</t>
  </si>
  <si>
    <t>Vendor Control 1499</t>
  </si>
  <si>
    <t>CTRL-1500</t>
  </si>
  <si>
    <t>Incident Control 1500</t>
  </si>
  <si>
    <t>Cleaned Controls</t>
  </si>
  <si>
    <t>Data Quality &amp; Exception Checks</t>
  </si>
  <si>
    <t>Duplicate_Flag</t>
  </si>
  <si>
    <t>Missing_Owner</t>
  </si>
  <si>
    <t>Missing_Evidence</t>
  </si>
  <si>
    <t>Country_Issue</t>
  </si>
  <si>
    <t>BU_Whitespace</t>
  </si>
  <si>
    <t>Overdue_Review</t>
  </si>
  <si>
    <t>Overdue_Remediation</t>
  </si>
  <si>
    <t>Overall_Result</t>
  </si>
  <si>
    <t>Governance &amp; Compliance Dashboard</t>
  </si>
  <si>
    <t>Total Controls</t>
  </si>
  <si>
    <t>High/Critical</t>
  </si>
  <si>
    <t>Overdue Reviews</t>
  </si>
  <si>
    <t>Missing Owners</t>
  </si>
  <si>
    <t>Controls</t>
  </si>
  <si>
    <t>Power Query Build Steps</t>
  </si>
  <si>
    <t>Step</t>
  </si>
  <si>
    <t>Action</t>
  </si>
  <si>
    <t>Instruction</t>
  </si>
  <si>
    <t>1</t>
  </si>
  <si>
    <t>Open source</t>
  </si>
  <si>
    <t>Controls_Raw → click inside table → Data → From Table/Range.</t>
  </si>
  <si>
    <t>2</t>
  </si>
  <si>
    <t>Set types</t>
  </si>
  <si>
    <t>Set date fields to Date, Issue_Count to Whole Number, identifiers/text to Text.</t>
  </si>
  <si>
    <t>3</t>
  </si>
  <si>
    <t>Trim/Clean</t>
  </si>
  <si>
    <t>Transform → Format → Trim/Clean on business unit, country, owner, evidence fields.</t>
  </si>
  <si>
    <t>4</t>
  </si>
  <si>
    <t>Standardize</t>
  </si>
  <si>
    <t>Replace USA with United States and UK with United Kingdom.</t>
  </si>
  <si>
    <t>5</t>
  </si>
  <si>
    <t>Inspect duplicates</t>
  </si>
  <si>
    <t>Select Control_ID → Keep Duplicates for review; do not delete blindly.</t>
  </si>
  <si>
    <t>6</t>
  </si>
  <si>
    <t>Preserve exceptions</t>
  </si>
  <si>
    <t>Do not invent missing owners/evidence; keep them visible for governance follow-up.</t>
  </si>
  <si>
    <t>7</t>
  </si>
  <si>
    <t>Load</t>
  </si>
  <si>
    <t>Close &amp; Load to a new table and compare with Cleaned_Controls.</t>
  </si>
  <si>
    <t>8</t>
  </si>
  <si>
    <t>Refresh test</t>
  </si>
  <si>
    <t>Change a raw record and Data → Refresh All.</t>
  </si>
  <si>
    <t>Power BI Starter Measures</t>
  </si>
  <si>
    <t>Measure</t>
  </si>
  <si>
    <t>DAX</t>
  </si>
  <si>
    <t>Use</t>
  </si>
  <si>
    <t>Total Controls = COUNTROWS(Controls)</t>
  </si>
  <si>
    <t>Executive reporting</t>
  </si>
  <si>
    <t>Completed Controls</t>
  </si>
  <si>
    <t>Completed Controls = CALCULATE([Total Controls], Controls[Status] = "Completed")</t>
  </si>
  <si>
    <t>Completion Rate</t>
  </si>
  <si>
    <t>Completion Rate = DIVIDE([Completed Controls],[Total Controls],0)</t>
  </si>
  <si>
    <t>High Critical Controls</t>
  </si>
  <si>
    <t>High Critical Controls = CALCULATE([Total Controls], Controls[Risk_Level] IN {"High","Critical"})</t>
  </si>
  <si>
    <t>Total Issues</t>
  </si>
  <si>
    <t>Total Issues = SUM(Controls[Issue_Count])</t>
  </si>
  <si>
    <t>Sources &amp; Data Provenance</t>
  </si>
  <si>
    <t>Source</t>
  </si>
  <si>
    <t>How Used</t>
  </si>
  <si>
    <t>URL</t>
  </si>
  <si>
    <t>Authority</t>
  </si>
  <si>
    <t>NIST Cybersecurity Framework 2.0</t>
  </si>
  <si>
    <t>Taxonomy/reference basis</t>
  </si>
  <si>
    <t>https://nvlpubs.nist.gov/nistpubs/CSWP/NIST.CSWP.29.pdf</t>
  </si>
  <si>
    <t>Official NIST</t>
  </si>
  <si>
    <t>ISO 3166 Country Codes</t>
  </si>
  <si>
    <t>Country standardization reference</t>
  </si>
  <si>
    <t>https://www.iso.org/iso-3166-country-codes.html</t>
  </si>
  <si>
    <t>Official ISO</t>
  </si>
  <si>
    <t>Microsoft Power BI SharePoint List</t>
  </si>
  <si>
    <t>Implementation guidance</t>
  </si>
  <si>
    <t>https://learn.microsoft.com/en-us/power-bi/connect-data/desktop-sharepoint-online-list</t>
  </si>
  <si>
    <t>Microsoft Learn</t>
  </si>
  <si>
    <t>Power Automate Approvals</t>
  </si>
  <si>
    <t>Approval workflow guidance</t>
  </si>
  <si>
    <t>https://learn.microsoft.com/en-us/power-automate/modern-approvals</t>
  </si>
  <si>
    <t>Review_Flag</t>
  </si>
  <si>
    <t>Ownership_Flag</t>
  </si>
  <si>
    <t>Evidence_Flag</t>
  </si>
  <si>
    <t>Risk_Flag</t>
  </si>
  <si>
    <t>Missing Owner</t>
  </si>
  <si>
    <t>Missing Evidence</t>
  </si>
  <si>
    <t>Elevated</t>
  </si>
  <si>
    <t>Assigned</t>
  </si>
  <si>
    <t>Standard</t>
  </si>
  <si>
    <t>Current</t>
  </si>
  <si>
    <t>United StatesA</t>
  </si>
  <si>
    <t>Row Labels</t>
  </si>
  <si>
    <t>Grand Total</t>
  </si>
  <si>
    <t>Count of Control_ID</t>
  </si>
  <si>
    <t xml:space="preserve">Risk Levels </t>
  </si>
  <si>
    <t>Regions</t>
  </si>
  <si>
    <t>Sum of Issue_Count</t>
  </si>
  <si>
    <t>ENTERPRISE DATA GOVERNANCE &amp; COMPLIANCE</t>
  </si>
  <si>
    <t>Management Control Monitoring Dashboard</t>
  </si>
  <si>
    <t>Synthetic Portfolio Case Study | Reporting Snapshot: 30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</si>
</sst>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color theme="1"/>
      <name val="Calibri"/>
      <family val="2"/>
      <scheme val="minor"/>
    </font>
    <font>
      <b/>
      <sz val="18"/>
      <color rgb="FFFFFFFF"/>
      <name val="Calibri"/>
      <family val="2"/>
    </font>
    <font>
      <b/>
      <sz val="11"/>
      <color rgb="FF17365D"/>
      <name val="Calibri"/>
      <family val="2"/>
    </font>
    <font>
      <b/>
      <sz val="11"/>
      <color rgb="FFFFFFFF"/>
      <name val="Calibri"/>
      <family val="2"/>
    </font>
    <font>
      <b/>
      <sz val="20"/>
      <color rgb="FF17365D"/>
      <name val="Calibri"/>
      <family val="2"/>
    </font>
    <font>
      <sz val="11"/>
      <color rgb="FF000000"/>
      <name val="Calibri"/>
      <family val="2"/>
      <scheme val="minor"/>
    </font>
    <font>
      <b/>
      <sz val="18"/>
      <color theme="1"/>
      <name val="Calibri (Body)"/>
    </font>
    <font>
      <b/>
      <sz val="14"/>
      <color theme="1"/>
      <name val="Calibri"/>
      <family val="2"/>
      <scheme val="minor"/>
    </font>
    <font>
      <sz val="12"/>
      <color theme="1"/>
      <name val="Arial Unicode MS"/>
      <family val="2"/>
    </font>
  </fonts>
  <fills count="5">
    <fill>
      <patternFill patternType="none"/>
    </fill>
    <fill>
      <patternFill patternType="gray125"/>
    </fill>
    <fill>
      <patternFill patternType="solid">
        <fgColor rgb="FF17365D"/>
      </patternFill>
    </fill>
    <fill>
      <patternFill patternType="solid">
        <fgColor rgb="FFEAF0F7"/>
      </patternFill>
    </fill>
    <fill>
      <patternFill patternType="solid">
        <fgColor rgb="FF2F75B5"/>
      </patternFill>
    </fill>
  </fills>
  <borders count="1">
    <border>
      <left/>
      <right/>
      <top/>
      <bottom/>
      <diagonal/>
    </border>
  </borders>
  <cellStyleXfs count="1">
    <xf numFmtId="0" fontId="0" fillId="0" borderId="0"/>
  </cellStyleXfs>
  <cellXfs count="22">
    <xf numFmtId="0" fontId="0" fillId="0" borderId="0" xfId="0"/>
    <xf numFmtId="0" fontId="2" fillId="3" borderId="0" xfId="0" applyFont="1" applyFill="1"/>
    <xf numFmtId="164" fontId="0" fillId="0" borderId="0" xfId="0" applyNumberFormat="1"/>
    <xf numFmtId="0" fontId="3" fillId="2" borderId="0" xfId="0" applyFont="1" applyFill="1" applyAlignment="1">
      <alignment horizontal="center" vertical="center" wrapText="1"/>
    </xf>
    <xf numFmtId="14" fontId="0" fillId="0" borderId="0" xfId="0" applyNumberFormat="1"/>
    <xf numFmtId="0" fontId="1" fillId="2" borderId="0" xfId="0" applyFont="1" applyFill="1" applyAlignment="1">
      <alignment vertical="center"/>
    </xf>
    <xf numFmtId="0" fontId="0" fillId="0" borderId="0" xfId="0"/>
    <xf numFmtId="0" fontId="3" fillId="4" borderId="0" xfId="0" applyFont="1" applyFill="1"/>
    <xf numFmtId="0" fontId="4" fillId="0" borderId="0" xfId="0" applyFon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5" fillId="0" borderId="0" xfId="0" pivotButton="1" applyFont="1"/>
    <xf numFmtId="0" fontId="5" fillId="0" borderId="0" xfId="0" applyFont="1"/>
    <xf numFmtId="0" fontId="5" fillId="0" borderId="0" xfId="0" applyNumberFormat="1" applyFont="1"/>
    <xf numFmtId="0" fontId="5" fillId="0" borderId="0" xfId="0" applyFont="1" applyFill="1" applyBorder="1" applyAlignment="1"/>
    <xf numFmtId="0" fontId="5" fillId="0" borderId="0" xfId="0" applyNumberFormat="1" applyFont="1" applyFill="1" applyBorder="1" applyAlignment="1"/>
    <xf numFmtId="0" fontId="5" fillId="0" borderId="0" xfId="0" applyFont="1" applyFill="1" applyBorder="1" applyAlignment="1">
      <alignment horizontal="left"/>
    </xf>
    <xf numFmtId="0" fontId="6" fillId="0" borderId="0" xfId="0" applyFont="1"/>
    <xf numFmtId="0" fontId="7" fillId="0" borderId="0" xfId="0" applyFont="1"/>
    <xf numFmtId="0" fontId="8" fillId="0" borderId="0" xfId="0" applyFont="1"/>
    <xf numFmtId="0" fontId="5" fillId="0" borderId="0" xfId="0" applyFont="1" applyAlignment="1">
      <alignment horizontal="left"/>
    </xf>
  </cellXfs>
  <cellStyles count="1">
    <cellStyle name="Normal" xfId="0" builtinId="0"/>
  </cellStyles>
  <dxfs count="3629">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color rgb="FF000000"/>
      </font>
    </dxf>
    <dxf>
      <font>
        <color rgb="FF000000"/>
      </font>
    </dxf>
    <dxf>
      <font>
        <color rgb="FF000000"/>
      </font>
    </dxf>
    <dxf>
      <font>
        <color rgb="FF000000"/>
      </font>
    </dxf>
    <dxf>
      <font>
        <color rgb="FF000000"/>
      </font>
    </dxf>
    <dxf>
      <font>
        <color rgb="FF000000"/>
      </font>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color rgb="FF000000"/>
      </font>
    </dxf>
    <dxf>
      <font>
        <color rgb="FF000000"/>
      </font>
    </dxf>
    <dxf>
      <font>
        <color rgb="FF000000"/>
      </font>
    </dxf>
    <dxf>
      <font>
        <color rgb="FF000000"/>
      </font>
    </dxf>
    <dxf>
      <font>
        <color rgb="FF000000"/>
      </font>
    </dxf>
    <dxf>
      <font>
        <color rgb="FF000000"/>
      </font>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color rgb="FF000000"/>
      </font>
    </dxf>
    <dxf>
      <font>
        <color rgb="FF000000"/>
      </font>
    </dxf>
    <dxf>
      <font>
        <color rgb="FF000000"/>
      </font>
    </dxf>
    <dxf>
      <font>
        <color rgb="FF000000"/>
      </font>
    </dxf>
    <dxf>
      <font>
        <color rgb="FF000000"/>
      </font>
    </dxf>
    <dxf>
      <font>
        <color rgb="FF000000"/>
      </font>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color rgb="FF000000"/>
      </font>
    </dxf>
    <dxf>
      <font>
        <color rgb="FF000000"/>
      </font>
    </dxf>
    <dxf>
      <font>
        <color rgb="FF000000"/>
      </font>
    </dxf>
    <dxf>
      <font>
        <color rgb="FF000000"/>
      </font>
    </dxf>
    <dxf>
      <font>
        <color rgb="FF000000"/>
      </font>
    </dxf>
    <dxf>
      <font>
        <color rgb="FF000000"/>
      </font>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color rgb="FF000000"/>
      </font>
    </dxf>
    <dxf>
      <font>
        <color rgb="FF000000"/>
      </font>
    </dxf>
    <dxf>
      <font>
        <color rgb="FF000000"/>
      </font>
    </dxf>
    <dxf>
      <font>
        <color rgb="FF000000"/>
      </font>
    </dxf>
    <dxf>
      <font>
        <color rgb="FF000000"/>
      </font>
    </dxf>
    <dxf>
      <font>
        <color rgb="FF000000"/>
      </font>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color rgb="FF000000"/>
      </font>
    </dxf>
    <dxf>
      <font>
        <color rgb="FF000000"/>
      </font>
    </dxf>
    <dxf>
      <font>
        <color rgb="FF000000"/>
      </font>
    </dxf>
    <dxf>
      <font>
        <color rgb="FF000000"/>
      </font>
    </dxf>
    <dxf>
      <font>
        <color rgb="FF000000"/>
      </font>
    </dxf>
    <dxf>
      <font>
        <color rgb="FF000000"/>
      </font>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color rgb="FF000000"/>
      </font>
    </dxf>
    <dxf>
      <font>
        <color rgb="FF000000"/>
      </font>
    </dxf>
    <dxf>
      <font>
        <color rgb="FF000000"/>
      </font>
    </dxf>
    <dxf>
      <font>
        <color rgb="FF000000"/>
      </font>
    </dxf>
    <dxf>
      <font>
        <color rgb="FF000000"/>
      </font>
    </dxf>
    <dxf>
      <font>
        <color rgb="FF000000"/>
      </font>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color rgb="FF000000"/>
      </font>
    </dxf>
    <dxf>
      <font>
        <color rgb="FF000000"/>
      </font>
    </dxf>
    <dxf>
      <font>
        <color rgb="FF000000"/>
      </font>
    </dxf>
    <dxf>
      <font>
        <color rgb="FF000000"/>
      </font>
    </dxf>
    <dxf>
      <font>
        <color rgb="FF000000"/>
      </font>
    </dxf>
    <dxf>
      <font>
        <color rgb="FF000000"/>
      </font>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color rgb="FF000000"/>
      </font>
    </dxf>
    <dxf>
      <font>
        <color rgb="FF000000"/>
      </font>
    </dxf>
    <dxf>
      <font>
        <color rgb="FF000000"/>
      </font>
    </dxf>
    <dxf>
      <font>
        <color rgb="FF000000"/>
      </font>
    </dxf>
    <dxf>
      <font>
        <color rgb="FF000000"/>
      </font>
    </dxf>
    <dxf>
      <font>
        <color rgb="FF000000"/>
      </font>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color rgb="FF000000"/>
      </font>
    </dxf>
    <dxf>
      <font>
        <color rgb="FF000000"/>
      </font>
    </dxf>
    <dxf>
      <font>
        <color rgb="FF000000"/>
      </font>
    </dxf>
    <dxf>
      <font>
        <color rgb="FF000000"/>
      </font>
    </dxf>
    <dxf>
      <font>
        <color rgb="FF000000"/>
      </font>
    </dxf>
    <dxf>
      <font>
        <color rgb="FF000000"/>
      </font>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color rgb="FF000000"/>
      </font>
    </dxf>
    <dxf>
      <font>
        <color rgb="FF000000"/>
      </font>
    </dxf>
    <dxf>
      <font>
        <color rgb="FF000000"/>
      </font>
    </dxf>
    <dxf>
      <font>
        <color rgb="FF000000"/>
      </font>
    </dxf>
    <dxf>
      <font>
        <color rgb="FF000000"/>
      </font>
    </dxf>
    <dxf>
      <font>
        <color rgb="FF000000"/>
      </font>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color rgb="FF000000"/>
      </font>
    </dxf>
    <dxf>
      <font>
        <color rgb="FF000000"/>
      </font>
    </dxf>
    <dxf>
      <font>
        <color rgb="FF000000"/>
      </font>
    </dxf>
    <dxf>
      <font>
        <color rgb="FF000000"/>
      </font>
    </dxf>
    <dxf>
      <font>
        <color rgb="FF000000"/>
      </font>
    </dxf>
    <dxf>
      <font>
        <color rgb="FF000000"/>
      </font>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color rgb="FF000000"/>
      </font>
    </dxf>
    <dxf>
      <font>
        <color rgb="FF000000"/>
      </font>
    </dxf>
    <dxf>
      <font>
        <color rgb="FF000000"/>
      </font>
    </dxf>
    <dxf>
      <font>
        <color rgb="FF000000"/>
      </font>
    </dxf>
    <dxf>
      <font>
        <color rgb="FF000000"/>
      </font>
    </dxf>
    <dxf>
      <font>
        <color rgb="FF000000"/>
      </font>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color rgb="FF000000"/>
      </font>
    </dxf>
    <dxf>
      <font>
        <color rgb="FF000000"/>
      </font>
    </dxf>
    <dxf>
      <font>
        <color rgb="FF000000"/>
      </font>
    </dxf>
    <dxf>
      <font>
        <color rgb="FF000000"/>
      </font>
    </dxf>
    <dxf>
      <font>
        <color rgb="FF000000"/>
      </font>
    </dxf>
    <dxf>
      <font>
        <color rgb="FF000000"/>
      </font>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color rgb="FF000000"/>
      </font>
    </dxf>
    <dxf>
      <font>
        <color rgb="FF000000"/>
      </font>
    </dxf>
    <dxf>
      <font>
        <color rgb="FF000000"/>
      </font>
    </dxf>
    <dxf>
      <font>
        <color rgb="FF000000"/>
      </font>
    </dxf>
    <dxf>
      <font>
        <color rgb="FF000000"/>
      </font>
    </dxf>
    <dxf>
      <font>
        <color rgb="FF000000"/>
      </font>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color rgb="FF000000"/>
      </font>
    </dxf>
    <dxf>
      <font>
        <color rgb="FF000000"/>
      </font>
    </dxf>
    <dxf>
      <font>
        <color rgb="FF000000"/>
      </font>
    </dxf>
    <dxf>
      <font>
        <color rgb="FF000000"/>
      </font>
    </dxf>
    <dxf>
      <font>
        <color rgb="FF000000"/>
      </font>
    </dxf>
    <dxf>
      <font>
        <color rgb="FF000000"/>
      </font>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color rgb="FF000000"/>
      </font>
    </dxf>
    <dxf>
      <font>
        <color rgb="FF000000"/>
      </font>
    </dxf>
    <dxf>
      <font>
        <color rgb="FF000000"/>
      </font>
    </dxf>
    <dxf>
      <font>
        <color rgb="FF000000"/>
      </font>
    </dxf>
    <dxf>
      <font>
        <color rgb="FF000000"/>
      </font>
    </dxf>
    <dxf>
      <font>
        <color rgb="FF000000"/>
      </font>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color rgb="FF000000"/>
      </font>
    </dxf>
    <dxf>
      <font>
        <color rgb="FF000000"/>
      </font>
    </dxf>
    <dxf>
      <font>
        <color rgb="FF000000"/>
      </font>
    </dxf>
    <dxf>
      <font>
        <color rgb="FF000000"/>
      </font>
    </dxf>
    <dxf>
      <font>
        <color rgb="FF000000"/>
      </font>
    </dxf>
    <dxf>
      <font>
        <color rgb="FF000000"/>
      </font>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color rgb="FF000000"/>
      </font>
    </dxf>
    <dxf>
      <font>
        <color rgb="FF000000"/>
      </font>
    </dxf>
    <dxf>
      <font>
        <color rgb="FF000000"/>
      </font>
    </dxf>
    <dxf>
      <font>
        <color rgb="FF000000"/>
      </font>
    </dxf>
    <dxf>
      <font>
        <color rgb="FF000000"/>
      </font>
    </dxf>
    <dxf>
      <font>
        <color rgb="FF000000"/>
      </font>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color rgb="FF000000"/>
      </font>
    </dxf>
    <dxf>
      <font>
        <color rgb="FF000000"/>
      </font>
    </dxf>
    <dxf>
      <font>
        <color rgb="FF000000"/>
      </font>
    </dxf>
    <dxf>
      <font>
        <color rgb="FF000000"/>
      </font>
    </dxf>
    <dxf>
      <font>
        <color rgb="FF000000"/>
      </font>
    </dxf>
    <dxf>
      <font>
        <color rgb="FF000000"/>
      </font>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font>
        <color rgb="FF000000"/>
      </font>
    </dxf>
    <dxf>
      <font>
        <color rgb="FF000000"/>
      </font>
    </dxf>
    <dxf>
      <font>
        <color rgb="FF000000"/>
      </font>
    </dxf>
    <dxf>
      <font>
        <color rgb="FF000000"/>
      </font>
    </dxf>
    <dxf>
      <font>
        <color rgb="FF000000"/>
      </font>
    </dxf>
    <dxf>
      <font>
        <color rgb="FF000000"/>
      </font>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font>
        <name val="Calibri"/>
      </font>
    </dxf>
    <dxf>
      <font>
        <name val="Calibri"/>
      </font>
    </dxf>
    <dxf>
      <font>
        <name val="Calibri"/>
      </font>
    </dxf>
    <dxf>
      <font>
        <name val="Calibri"/>
      </font>
    </dxf>
    <dxf>
      <font>
        <name val="Calibri"/>
      </font>
    </dxf>
    <dxf>
      <font>
        <name val="Calibri"/>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i val="0"/>
      </font>
    </dxf>
    <dxf>
      <font>
        <i val="0"/>
      </font>
    </dxf>
    <dxf>
      <font>
        <i val="0"/>
      </font>
    </dxf>
    <dxf>
      <font>
        <i val="0"/>
      </font>
    </dxf>
    <dxf>
      <font>
        <i val="0"/>
      </font>
    </dxf>
    <dxf>
      <font>
        <i val="0"/>
      </font>
    </dxf>
    <dxf>
      <font>
        <color rgb="FF000000"/>
      </font>
    </dxf>
    <dxf>
      <font>
        <color rgb="FF000000"/>
      </font>
    </dxf>
    <dxf>
      <font>
        <color rgb="FF000000"/>
      </font>
    </dxf>
    <dxf>
      <font>
        <color rgb="FF000000"/>
      </font>
    </dxf>
    <dxf>
      <font>
        <color rgb="FF000000"/>
      </font>
    </dxf>
    <dxf>
      <font>
        <color rgb="FF000000"/>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alignment vertical="bottom"/>
    </dxf>
    <dxf>
      <alignment vertical="bottom"/>
    </dxf>
    <dxf>
      <alignment vertical="bottom"/>
    </dxf>
    <dxf>
      <alignment vertical="bottom"/>
    </dxf>
    <dxf>
      <alignment vertical="bottom"/>
    </dxf>
    <dxf>
      <alignment vertical="bottom"/>
    </dxf>
    <dxf>
      <alignment wrapText="0"/>
    </dxf>
    <dxf>
      <alignment wrapText="0"/>
    </dxf>
    <dxf>
      <alignment wrapText="0"/>
    </dxf>
    <dxf>
      <alignment wrapText="0"/>
    </dxf>
    <dxf>
      <alignment wrapText="0"/>
    </dxf>
    <dxf>
      <alignment wrapText="0"/>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alignment horizontal="general"/>
    </dxf>
    <dxf>
      <alignment horizontal="general"/>
    </dxf>
    <dxf>
      <alignment horizontal="left"/>
    </dxf>
    <dxf>
      <alignment horizontal="left"/>
    </dxf>
    <dxf>
      <alignment horizontal="general"/>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[01_Enterprise_Governance_FINAL.xlsx]PQ_Analysis!PivotTable1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Controls</a:t>
            </a:r>
            <a:r>
              <a:rPr lang="en-US" baseline="0"/>
              <a:t> by Risk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PQ_Analysis!$B$3</c:f>
              <c:strCache>
                <c:ptCount val="1"/>
                <c:pt idx="0">
                  <c:v>Total</c:v>
                </c:pt>
              </c:strCache>
            </c:strRef>
          </c:tx>
          <c:spPr>
            <a:solidFill>
              <a:schemeClr val="accent1"/>
            </a:solidFill>
            <a:ln>
              <a:noFill/>
            </a:ln>
            <a:effectLst/>
          </c:spPr>
          <c:invertIfNegative val="0"/>
          <c:cat>
            <c:strRef>
              <c:f>PQ_Analysis!$A$4:$A$8</c:f>
              <c:strCache>
                <c:ptCount val="4"/>
                <c:pt idx="0">
                  <c:v>Critical</c:v>
                </c:pt>
                <c:pt idx="1">
                  <c:v>High</c:v>
                </c:pt>
                <c:pt idx="2">
                  <c:v>Low</c:v>
                </c:pt>
                <c:pt idx="3">
                  <c:v>Medium</c:v>
                </c:pt>
              </c:strCache>
            </c:strRef>
          </c:cat>
          <c:val>
            <c:numRef>
              <c:f>PQ_Analysis!$B$4:$B$8</c:f>
              <c:numCache>
                <c:formatCode>General</c:formatCode>
                <c:ptCount val="4"/>
                <c:pt idx="0">
                  <c:v>126</c:v>
                </c:pt>
                <c:pt idx="1">
                  <c:v>317</c:v>
                </c:pt>
                <c:pt idx="2">
                  <c:v>438</c:v>
                </c:pt>
                <c:pt idx="3">
                  <c:v>619</c:v>
                </c:pt>
              </c:numCache>
            </c:numRef>
          </c:val>
          <c:extLst>
            <c:ext xmlns:c16="http://schemas.microsoft.com/office/drawing/2014/chart" uri="{C3380CC4-5D6E-409C-BE32-E72D297353CC}">
              <c16:uniqueId val="{00000000-D7D6-8844-B294-3AD02E9FA730}"/>
            </c:ext>
          </c:extLst>
        </c:ser>
        <c:dLbls>
          <c:showLegendKey val="0"/>
          <c:showVal val="0"/>
          <c:showCatName val="0"/>
          <c:showSerName val="0"/>
          <c:showPercent val="0"/>
          <c:showBubbleSize val="0"/>
        </c:dLbls>
        <c:gapWidth val="219"/>
        <c:axId val="1103146815"/>
        <c:axId val="955809791"/>
      </c:barChart>
      <c:catAx>
        <c:axId val="110314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955809791"/>
        <c:crosses val="autoZero"/>
        <c:auto val="1"/>
        <c:lblAlgn val="ctr"/>
        <c:lblOffset val="100"/>
        <c:noMultiLvlLbl val="0"/>
      </c:catAx>
      <c:valAx>
        <c:axId val="95580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10314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[01_Enterprise_Governance_FINAL.xlsx]PQ_Regional_Analysis!PivotTable3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251160912578233E-2"/>
          <c:y val="0.12693498452012383"/>
          <c:w val="0.82819460067491568"/>
          <c:h val="0.80124375319958074"/>
        </c:manualLayout>
      </c:layout>
      <c:barChart>
        <c:barDir val="col"/>
        <c:grouping val="clustered"/>
        <c:varyColors val="0"/>
        <c:ser>
          <c:idx val="0"/>
          <c:order val="0"/>
          <c:tx>
            <c:strRef>
              <c:f>PQ_Regional_Analysis!$B$3:$B$4</c:f>
              <c:strCache>
                <c:ptCount val="1"/>
                <c:pt idx="0">
                  <c:v>Critical</c:v>
                </c:pt>
              </c:strCache>
            </c:strRef>
          </c:tx>
          <c:spPr>
            <a:solidFill>
              <a:schemeClr val="accent1"/>
            </a:solidFill>
            <a:ln>
              <a:noFill/>
            </a:ln>
            <a:effectLst/>
          </c:spPr>
          <c:invertIfNegative val="0"/>
          <c:cat>
            <c:strRef>
              <c:f>PQ_Regional_Analysis!$A$5:$A$8</c:f>
              <c:strCache>
                <c:ptCount val="3"/>
                <c:pt idx="0">
                  <c:v>Asia Pacific</c:v>
                </c:pt>
                <c:pt idx="1">
                  <c:v>Europe</c:v>
                </c:pt>
                <c:pt idx="2">
                  <c:v>North America</c:v>
                </c:pt>
              </c:strCache>
            </c:strRef>
          </c:cat>
          <c:val>
            <c:numRef>
              <c:f>PQ_Regional_Analysis!$B$5:$B$8</c:f>
              <c:numCache>
                <c:formatCode>General</c:formatCode>
                <c:ptCount val="3"/>
                <c:pt idx="0">
                  <c:v>35</c:v>
                </c:pt>
                <c:pt idx="1">
                  <c:v>46</c:v>
                </c:pt>
                <c:pt idx="2">
                  <c:v>45</c:v>
                </c:pt>
              </c:numCache>
            </c:numRef>
          </c:val>
          <c:extLst>
            <c:ext xmlns:c16="http://schemas.microsoft.com/office/drawing/2014/chart" uri="{C3380CC4-5D6E-409C-BE32-E72D297353CC}">
              <c16:uniqueId val="{00000000-14B9-FF48-A9E4-976B71B3FE94}"/>
            </c:ext>
          </c:extLst>
        </c:ser>
        <c:ser>
          <c:idx val="1"/>
          <c:order val="1"/>
          <c:tx>
            <c:strRef>
              <c:f>PQ_Regional_Analysis!$C$3:$C$4</c:f>
              <c:strCache>
                <c:ptCount val="1"/>
                <c:pt idx="0">
                  <c:v>High</c:v>
                </c:pt>
              </c:strCache>
            </c:strRef>
          </c:tx>
          <c:spPr>
            <a:solidFill>
              <a:schemeClr val="accent2"/>
            </a:solidFill>
            <a:ln>
              <a:noFill/>
            </a:ln>
            <a:effectLst/>
          </c:spPr>
          <c:invertIfNegative val="0"/>
          <c:cat>
            <c:strRef>
              <c:f>PQ_Regional_Analysis!$A$5:$A$8</c:f>
              <c:strCache>
                <c:ptCount val="3"/>
                <c:pt idx="0">
                  <c:v>Asia Pacific</c:v>
                </c:pt>
                <c:pt idx="1">
                  <c:v>Europe</c:v>
                </c:pt>
                <c:pt idx="2">
                  <c:v>North America</c:v>
                </c:pt>
              </c:strCache>
            </c:strRef>
          </c:cat>
          <c:val>
            <c:numRef>
              <c:f>PQ_Regional_Analysis!$C$5:$C$8</c:f>
              <c:numCache>
                <c:formatCode>General</c:formatCode>
                <c:ptCount val="3"/>
                <c:pt idx="0">
                  <c:v>95</c:v>
                </c:pt>
                <c:pt idx="1">
                  <c:v>127</c:v>
                </c:pt>
                <c:pt idx="2">
                  <c:v>95</c:v>
                </c:pt>
              </c:numCache>
            </c:numRef>
          </c:val>
          <c:extLst>
            <c:ext xmlns:c16="http://schemas.microsoft.com/office/drawing/2014/chart" uri="{C3380CC4-5D6E-409C-BE32-E72D297353CC}">
              <c16:uniqueId val="{00000005-14B9-FF48-A9E4-976B71B3FE94}"/>
            </c:ext>
          </c:extLst>
        </c:ser>
        <c:ser>
          <c:idx val="2"/>
          <c:order val="2"/>
          <c:tx>
            <c:strRef>
              <c:f>PQ_Regional_Analysis!$D$3:$D$4</c:f>
              <c:strCache>
                <c:ptCount val="1"/>
                <c:pt idx="0">
                  <c:v>Low</c:v>
                </c:pt>
              </c:strCache>
            </c:strRef>
          </c:tx>
          <c:spPr>
            <a:solidFill>
              <a:schemeClr val="accent3"/>
            </a:solidFill>
            <a:ln>
              <a:noFill/>
            </a:ln>
            <a:effectLst/>
          </c:spPr>
          <c:invertIfNegative val="0"/>
          <c:cat>
            <c:strRef>
              <c:f>PQ_Regional_Analysis!$A$5:$A$8</c:f>
              <c:strCache>
                <c:ptCount val="3"/>
                <c:pt idx="0">
                  <c:v>Asia Pacific</c:v>
                </c:pt>
                <c:pt idx="1">
                  <c:v>Europe</c:v>
                </c:pt>
                <c:pt idx="2">
                  <c:v>North America</c:v>
                </c:pt>
              </c:strCache>
            </c:strRef>
          </c:cat>
          <c:val>
            <c:numRef>
              <c:f>PQ_Regional_Analysis!$D$5:$D$8</c:f>
              <c:numCache>
                <c:formatCode>General</c:formatCode>
                <c:ptCount val="3"/>
                <c:pt idx="0">
                  <c:v>149</c:v>
                </c:pt>
                <c:pt idx="1">
                  <c:v>157</c:v>
                </c:pt>
                <c:pt idx="2">
                  <c:v>132</c:v>
                </c:pt>
              </c:numCache>
            </c:numRef>
          </c:val>
          <c:extLst>
            <c:ext xmlns:c16="http://schemas.microsoft.com/office/drawing/2014/chart" uri="{C3380CC4-5D6E-409C-BE32-E72D297353CC}">
              <c16:uniqueId val="{00000006-14B9-FF48-A9E4-976B71B3FE94}"/>
            </c:ext>
          </c:extLst>
        </c:ser>
        <c:ser>
          <c:idx val="3"/>
          <c:order val="3"/>
          <c:tx>
            <c:strRef>
              <c:f>PQ_Regional_Analysis!$E$3:$E$4</c:f>
              <c:strCache>
                <c:ptCount val="1"/>
                <c:pt idx="0">
                  <c:v>Medium</c:v>
                </c:pt>
              </c:strCache>
            </c:strRef>
          </c:tx>
          <c:spPr>
            <a:solidFill>
              <a:schemeClr val="accent4"/>
            </a:solidFill>
            <a:ln>
              <a:noFill/>
            </a:ln>
            <a:effectLst/>
          </c:spPr>
          <c:invertIfNegative val="0"/>
          <c:cat>
            <c:strRef>
              <c:f>PQ_Regional_Analysis!$A$5:$A$8</c:f>
              <c:strCache>
                <c:ptCount val="3"/>
                <c:pt idx="0">
                  <c:v>Asia Pacific</c:v>
                </c:pt>
                <c:pt idx="1">
                  <c:v>Europe</c:v>
                </c:pt>
                <c:pt idx="2">
                  <c:v>North America</c:v>
                </c:pt>
              </c:strCache>
            </c:strRef>
          </c:cat>
          <c:val>
            <c:numRef>
              <c:f>PQ_Regional_Analysis!$E$5:$E$8</c:f>
              <c:numCache>
                <c:formatCode>General</c:formatCode>
                <c:ptCount val="3"/>
                <c:pt idx="0">
                  <c:v>206</c:v>
                </c:pt>
                <c:pt idx="1">
                  <c:v>207</c:v>
                </c:pt>
                <c:pt idx="2">
                  <c:v>206</c:v>
                </c:pt>
              </c:numCache>
            </c:numRef>
          </c:val>
          <c:extLst>
            <c:ext xmlns:c16="http://schemas.microsoft.com/office/drawing/2014/chart" uri="{C3380CC4-5D6E-409C-BE32-E72D297353CC}">
              <c16:uniqueId val="{00000007-14B9-FF48-A9E4-976B71B3FE94}"/>
            </c:ext>
          </c:extLst>
        </c:ser>
        <c:dLbls>
          <c:showLegendKey val="0"/>
          <c:showVal val="0"/>
          <c:showCatName val="0"/>
          <c:showSerName val="0"/>
          <c:showPercent val="0"/>
          <c:showBubbleSize val="0"/>
        </c:dLbls>
        <c:gapWidth val="219"/>
        <c:overlap val="-27"/>
        <c:axId val="933982911"/>
        <c:axId val="933984703"/>
      </c:barChart>
      <c:catAx>
        <c:axId val="93398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933984703"/>
        <c:crosses val="autoZero"/>
        <c:auto val="1"/>
        <c:lblAlgn val="ctr"/>
        <c:lblOffset val="100"/>
        <c:noMultiLvlLbl val="0"/>
      </c:catAx>
      <c:valAx>
        <c:axId val="933984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93398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[01_Enterprise_Governance_FINAL.xlsx]PQ_Issue_Analysis!PivotTable4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Issues by Business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PQ_Issue_Analysis!$B$1</c:f>
              <c:strCache>
                <c:ptCount val="1"/>
                <c:pt idx="0">
                  <c:v>Total</c:v>
                </c:pt>
              </c:strCache>
            </c:strRef>
          </c:tx>
          <c:spPr>
            <a:solidFill>
              <a:schemeClr val="accent1"/>
            </a:solidFill>
            <a:ln>
              <a:noFill/>
            </a:ln>
            <a:effectLst/>
          </c:spPr>
          <c:invertIfNegative val="0"/>
          <c:cat>
            <c:strRef>
              <c:f>PQ_Issue_Analysis!$A$2:$A$8</c:f>
              <c:strCache>
                <c:ptCount val="6"/>
                <c:pt idx="0">
                  <c:v>Commercial</c:v>
                </c:pt>
                <c:pt idx="1">
                  <c:v>Finance</c:v>
                </c:pt>
                <c:pt idx="2">
                  <c:v>Human Resources</c:v>
                </c:pt>
                <c:pt idx="3">
                  <c:v>Operations</c:v>
                </c:pt>
                <c:pt idx="4">
                  <c:v>Risk &amp; Compliance</c:v>
                </c:pt>
                <c:pt idx="5">
                  <c:v>Technology</c:v>
                </c:pt>
              </c:strCache>
            </c:strRef>
          </c:cat>
          <c:val>
            <c:numRef>
              <c:f>PQ_Issue_Analysis!$B$2:$B$8</c:f>
              <c:numCache>
                <c:formatCode>General</c:formatCode>
                <c:ptCount val="6"/>
                <c:pt idx="0">
                  <c:v>502</c:v>
                </c:pt>
                <c:pt idx="1">
                  <c:v>473</c:v>
                </c:pt>
                <c:pt idx="2">
                  <c:v>370</c:v>
                </c:pt>
                <c:pt idx="3">
                  <c:v>450</c:v>
                </c:pt>
                <c:pt idx="4">
                  <c:v>436</c:v>
                </c:pt>
                <c:pt idx="5">
                  <c:v>493</c:v>
                </c:pt>
              </c:numCache>
            </c:numRef>
          </c:val>
          <c:extLst>
            <c:ext xmlns:c16="http://schemas.microsoft.com/office/drawing/2014/chart" uri="{C3380CC4-5D6E-409C-BE32-E72D297353CC}">
              <c16:uniqueId val="{00000000-38BF-7F40-8C56-B73185F6D96D}"/>
            </c:ext>
          </c:extLst>
        </c:ser>
        <c:dLbls>
          <c:showLegendKey val="0"/>
          <c:showVal val="0"/>
          <c:showCatName val="0"/>
          <c:showSerName val="0"/>
          <c:showPercent val="0"/>
          <c:showBubbleSize val="0"/>
        </c:dLbls>
        <c:gapWidth val="219"/>
        <c:axId val="915894079"/>
        <c:axId val="915895423"/>
      </c:barChart>
      <c:catAx>
        <c:axId val="91589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915895423"/>
        <c:crosses val="autoZero"/>
        <c:auto val="1"/>
        <c:lblAlgn val="ctr"/>
        <c:lblOffset val="100"/>
        <c:noMultiLvlLbl val="0"/>
      </c:catAx>
      <c:valAx>
        <c:axId val="915895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91589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[01_Enterprise_Governance_FINAL.xlsx]PQ_Analysis!PivotTable1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Controls by Risk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PQ_Analysis!$B$3</c:f>
              <c:strCache>
                <c:ptCount val="1"/>
                <c:pt idx="0">
                  <c:v>Total</c:v>
                </c:pt>
              </c:strCache>
            </c:strRef>
          </c:tx>
          <c:spPr>
            <a:solidFill>
              <a:schemeClr val="accent1"/>
            </a:solidFill>
            <a:ln>
              <a:noFill/>
            </a:ln>
            <a:effectLst/>
          </c:spPr>
          <c:invertIfNegative val="0"/>
          <c:cat>
            <c:strRef>
              <c:f>PQ_Analysis!$A$4:$A$8</c:f>
              <c:strCache>
                <c:ptCount val="4"/>
                <c:pt idx="0">
                  <c:v>Critical</c:v>
                </c:pt>
                <c:pt idx="1">
                  <c:v>High</c:v>
                </c:pt>
                <c:pt idx="2">
                  <c:v>Low</c:v>
                </c:pt>
                <c:pt idx="3">
                  <c:v>Medium</c:v>
                </c:pt>
              </c:strCache>
            </c:strRef>
          </c:cat>
          <c:val>
            <c:numRef>
              <c:f>PQ_Analysis!$B$4:$B$8</c:f>
              <c:numCache>
                <c:formatCode>General</c:formatCode>
                <c:ptCount val="4"/>
                <c:pt idx="0">
                  <c:v>126</c:v>
                </c:pt>
                <c:pt idx="1">
                  <c:v>317</c:v>
                </c:pt>
                <c:pt idx="2">
                  <c:v>438</c:v>
                </c:pt>
                <c:pt idx="3">
                  <c:v>619</c:v>
                </c:pt>
              </c:numCache>
            </c:numRef>
          </c:val>
          <c:extLst>
            <c:ext xmlns:c16="http://schemas.microsoft.com/office/drawing/2014/chart" uri="{C3380CC4-5D6E-409C-BE32-E72D297353CC}">
              <c16:uniqueId val="{00000000-EA0B-8940-954B-F07643E1A46A}"/>
            </c:ext>
          </c:extLst>
        </c:ser>
        <c:dLbls>
          <c:showLegendKey val="0"/>
          <c:showVal val="0"/>
          <c:showCatName val="0"/>
          <c:showSerName val="0"/>
          <c:showPercent val="0"/>
          <c:showBubbleSize val="0"/>
        </c:dLbls>
        <c:gapWidth val="219"/>
        <c:axId val="1103146815"/>
        <c:axId val="955809791"/>
      </c:barChart>
      <c:catAx>
        <c:axId val="110314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955809791"/>
        <c:crosses val="autoZero"/>
        <c:auto val="1"/>
        <c:lblAlgn val="ctr"/>
        <c:lblOffset val="100"/>
        <c:noMultiLvlLbl val="0"/>
      </c:catAx>
      <c:valAx>
        <c:axId val="95580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10314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[01_Enterprise_Governance_FINAL.xlsx]PQ_Regional_Analysis!PivotTable3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Risk Profile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251160912578233E-2"/>
          <c:y val="0.12693498452012383"/>
          <c:w val="0.82819460067491568"/>
          <c:h val="0.80124375319958074"/>
        </c:manualLayout>
      </c:layout>
      <c:barChart>
        <c:barDir val="col"/>
        <c:grouping val="clustered"/>
        <c:varyColors val="0"/>
        <c:ser>
          <c:idx val="0"/>
          <c:order val="0"/>
          <c:tx>
            <c:strRef>
              <c:f>PQ_Regional_Analysis!$B$3:$B$4</c:f>
              <c:strCache>
                <c:ptCount val="1"/>
                <c:pt idx="0">
                  <c:v>Critical</c:v>
                </c:pt>
              </c:strCache>
            </c:strRef>
          </c:tx>
          <c:spPr>
            <a:solidFill>
              <a:schemeClr val="accent1"/>
            </a:solidFill>
            <a:ln>
              <a:noFill/>
            </a:ln>
            <a:effectLst/>
          </c:spPr>
          <c:invertIfNegative val="0"/>
          <c:cat>
            <c:strRef>
              <c:f>PQ_Regional_Analysis!$A$5:$A$8</c:f>
              <c:strCache>
                <c:ptCount val="3"/>
                <c:pt idx="0">
                  <c:v>Asia Pacific</c:v>
                </c:pt>
                <c:pt idx="1">
                  <c:v>Europe</c:v>
                </c:pt>
                <c:pt idx="2">
                  <c:v>North America</c:v>
                </c:pt>
              </c:strCache>
            </c:strRef>
          </c:cat>
          <c:val>
            <c:numRef>
              <c:f>PQ_Regional_Analysis!$B$5:$B$8</c:f>
              <c:numCache>
                <c:formatCode>General</c:formatCode>
                <c:ptCount val="3"/>
                <c:pt idx="0">
                  <c:v>35</c:v>
                </c:pt>
                <c:pt idx="1">
                  <c:v>46</c:v>
                </c:pt>
                <c:pt idx="2">
                  <c:v>45</c:v>
                </c:pt>
              </c:numCache>
            </c:numRef>
          </c:val>
          <c:extLst>
            <c:ext xmlns:c16="http://schemas.microsoft.com/office/drawing/2014/chart" uri="{C3380CC4-5D6E-409C-BE32-E72D297353CC}">
              <c16:uniqueId val="{00000000-9258-E348-AAAF-EE4ACB99AC4D}"/>
            </c:ext>
          </c:extLst>
        </c:ser>
        <c:ser>
          <c:idx val="1"/>
          <c:order val="1"/>
          <c:tx>
            <c:strRef>
              <c:f>PQ_Regional_Analysis!$C$3:$C$4</c:f>
              <c:strCache>
                <c:ptCount val="1"/>
                <c:pt idx="0">
                  <c:v>High</c:v>
                </c:pt>
              </c:strCache>
            </c:strRef>
          </c:tx>
          <c:spPr>
            <a:solidFill>
              <a:schemeClr val="accent2"/>
            </a:solidFill>
            <a:ln>
              <a:noFill/>
            </a:ln>
            <a:effectLst/>
          </c:spPr>
          <c:invertIfNegative val="0"/>
          <c:cat>
            <c:strRef>
              <c:f>PQ_Regional_Analysis!$A$5:$A$8</c:f>
              <c:strCache>
                <c:ptCount val="3"/>
                <c:pt idx="0">
                  <c:v>Asia Pacific</c:v>
                </c:pt>
                <c:pt idx="1">
                  <c:v>Europe</c:v>
                </c:pt>
                <c:pt idx="2">
                  <c:v>North America</c:v>
                </c:pt>
              </c:strCache>
            </c:strRef>
          </c:cat>
          <c:val>
            <c:numRef>
              <c:f>PQ_Regional_Analysis!$C$5:$C$8</c:f>
              <c:numCache>
                <c:formatCode>General</c:formatCode>
                <c:ptCount val="3"/>
                <c:pt idx="0">
                  <c:v>95</c:v>
                </c:pt>
                <c:pt idx="1">
                  <c:v>127</c:v>
                </c:pt>
                <c:pt idx="2">
                  <c:v>95</c:v>
                </c:pt>
              </c:numCache>
            </c:numRef>
          </c:val>
          <c:extLst>
            <c:ext xmlns:c16="http://schemas.microsoft.com/office/drawing/2014/chart" uri="{C3380CC4-5D6E-409C-BE32-E72D297353CC}">
              <c16:uniqueId val="{00000005-9258-E348-AAAF-EE4ACB99AC4D}"/>
            </c:ext>
          </c:extLst>
        </c:ser>
        <c:ser>
          <c:idx val="2"/>
          <c:order val="2"/>
          <c:tx>
            <c:strRef>
              <c:f>PQ_Regional_Analysis!$D$3:$D$4</c:f>
              <c:strCache>
                <c:ptCount val="1"/>
                <c:pt idx="0">
                  <c:v>Low</c:v>
                </c:pt>
              </c:strCache>
            </c:strRef>
          </c:tx>
          <c:spPr>
            <a:solidFill>
              <a:schemeClr val="accent3"/>
            </a:solidFill>
            <a:ln>
              <a:noFill/>
            </a:ln>
            <a:effectLst/>
          </c:spPr>
          <c:invertIfNegative val="0"/>
          <c:cat>
            <c:strRef>
              <c:f>PQ_Regional_Analysis!$A$5:$A$8</c:f>
              <c:strCache>
                <c:ptCount val="3"/>
                <c:pt idx="0">
                  <c:v>Asia Pacific</c:v>
                </c:pt>
                <c:pt idx="1">
                  <c:v>Europe</c:v>
                </c:pt>
                <c:pt idx="2">
                  <c:v>North America</c:v>
                </c:pt>
              </c:strCache>
            </c:strRef>
          </c:cat>
          <c:val>
            <c:numRef>
              <c:f>PQ_Regional_Analysis!$D$5:$D$8</c:f>
              <c:numCache>
                <c:formatCode>General</c:formatCode>
                <c:ptCount val="3"/>
                <c:pt idx="0">
                  <c:v>149</c:v>
                </c:pt>
                <c:pt idx="1">
                  <c:v>157</c:v>
                </c:pt>
                <c:pt idx="2">
                  <c:v>132</c:v>
                </c:pt>
              </c:numCache>
            </c:numRef>
          </c:val>
          <c:extLst>
            <c:ext xmlns:c16="http://schemas.microsoft.com/office/drawing/2014/chart" uri="{C3380CC4-5D6E-409C-BE32-E72D297353CC}">
              <c16:uniqueId val="{00000006-9258-E348-AAAF-EE4ACB99AC4D}"/>
            </c:ext>
          </c:extLst>
        </c:ser>
        <c:ser>
          <c:idx val="3"/>
          <c:order val="3"/>
          <c:tx>
            <c:strRef>
              <c:f>PQ_Regional_Analysis!$E$3:$E$4</c:f>
              <c:strCache>
                <c:ptCount val="1"/>
                <c:pt idx="0">
                  <c:v>Medium</c:v>
                </c:pt>
              </c:strCache>
            </c:strRef>
          </c:tx>
          <c:spPr>
            <a:solidFill>
              <a:schemeClr val="accent4"/>
            </a:solidFill>
            <a:ln>
              <a:noFill/>
            </a:ln>
            <a:effectLst/>
          </c:spPr>
          <c:invertIfNegative val="0"/>
          <c:cat>
            <c:strRef>
              <c:f>PQ_Regional_Analysis!$A$5:$A$8</c:f>
              <c:strCache>
                <c:ptCount val="3"/>
                <c:pt idx="0">
                  <c:v>Asia Pacific</c:v>
                </c:pt>
                <c:pt idx="1">
                  <c:v>Europe</c:v>
                </c:pt>
                <c:pt idx="2">
                  <c:v>North America</c:v>
                </c:pt>
              </c:strCache>
            </c:strRef>
          </c:cat>
          <c:val>
            <c:numRef>
              <c:f>PQ_Regional_Analysis!$E$5:$E$8</c:f>
              <c:numCache>
                <c:formatCode>General</c:formatCode>
                <c:ptCount val="3"/>
                <c:pt idx="0">
                  <c:v>206</c:v>
                </c:pt>
                <c:pt idx="1">
                  <c:v>207</c:v>
                </c:pt>
                <c:pt idx="2">
                  <c:v>206</c:v>
                </c:pt>
              </c:numCache>
            </c:numRef>
          </c:val>
          <c:extLst>
            <c:ext xmlns:c16="http://schemas.microsoft.com/office/drawing/2014/chart" uri="{C3380CC4-5D6E-409C-BE32-E72D297353CC}">
              <c16:uniqueId val="{00000007-9258-E348-AAAF-EE4ACB99AC4D}"/>
            </c:ext>
          </c:extLst>
        </c:ser>
        <c:dLbls>
          <c:showLegendKey val="0"/>
          <c:showVal val="0"/>
          <c:showCatName val="0"/>
          <c:showSerName val="0"/>
          <c:showPercent val="0"/>
          <c:showBubbleSize val="0"/>
        </c:dLbls>
        <c:gapWidth val="219"/>
        <c:overlap val="-27"/>
        <c:axId val="933982911"/>
        <c:axId val="933984703"/>
      </c:barChart>
      <c:catAx>
        <c:axId val="93398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933984703"/>
        <c:crosses val="autoZero"/>
        <c:auto val="1"/>
        <c:lblAlgn val="ctr"/>
        <c:lblOffset val="100"/>
        <c:noMultiLvlLbl val="0"/>
      </c:catAx>
      <c:valAx>
        <c:axId val="933984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93398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[01_Enterprise_Governance_FINAL.xlsx]PQ_Issue_Analysis!PivotTable4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Issues by Business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PQ_Issue_Analysis!$B$1</c:f>
              <c:strCache>
                <c:ptCount val="1"/>
                <c:pt idx="0">
                  <c:v>Total</c:v>
                </c:pt>
              </c:strCache>
            </c:strRef>
          </c:tx>
          <c:spPr>
            <a:solidFill>
              <a:schemeClr val="accent1"/>
            </a:solidFill>
            <a:ln>
              <a:noFill/>
            </a:ln>
            <a:effectLst/>
          </c:spPr>
          <c:invertIfNegative val="0"/>
          <c:cat>
            <c:strRef>
              <c:f>PQ_Issue_Analysis!$A$2:$A$8</c:f>
              <c:strCache>
                <c:ptCount val="6"/>
                <c:pt idx="0">
                  <c:v>Commercial</c:v>
                </c:pt>
                <c:pt idx="1">
                  <c:v>Finance</c:v>
                </c:pt>
                <c:pt idx="2">
                  <c:v>Human Resources</c:v>
                </c:pt>
                <c:pt idx="3">
                  <c:v>Operations</c:v>
                </c:pt>
                <c:pt idx="4">
                  <c:v>Risk &amp; Compliance</c:v>
                </c:pt>
                <c:pt idx="5">
                  <c:v>Technology</c:v>
                </c:pt>
              </c:strCache>
            </c:strRef>
          </c:cat>
          <c:val>
            <c:numRef>
              <c:f>PQ_Issue_Analysis!$B$2:$B$8</c:f>
              <c:numCache>
                <c:formatCode>General</c:formatCode>
                <c:ptCount val="6"/>
                <c:pt idx="0">
                  <c:v>502</c:v>
                </c:pt>
                <c:pt idx="1">
                  <c:v>473</c:v>
                </c:pt>
                <c:pt idx="2">
                  <c:v>370</c:v>
                </c:pt>
                <c:pt idx="3">
                  <c:v>450</c:v>
                </c:pt>
                <c:pt idx="4">
                  <c:v>436</c:v>
                </c:pt>
                <c:pt idx="5">
                  <c:v>493</c:v>
                </c:pt>
              </c:numCache>
            </c:numRef>
          </c:val>
          <c:extLst>
            <c:ext xmlns:c16="http://schemas.microsoft.com/office/drawing/2014/chart" uri="{C3380CC4-5D6E-409C-BE32-E72D297353CC}">
              <c16:uniqueId val="{00000000-93BB-2545-9047-9F7AA3E0365C}"/>
            </c:ext>
          </c:extLst>
        </c:ser>
        <c:dLbls>
          <c:showLegendKey val="0"/>
          <c:showVal val="0"/>
          <c:showCatName val="0"/>
          <c:showSerName val="0"/>
          <c:showPercent val="0"/>
          <c:showBubbleSize val="0"/>
        </c:dLbls>
        <c:gapWidth val="219"/>
        <c:axId val="915894079"/>
        <c:axId val="915895423"/>
      </c:barChart>
      <c:catAx>
        <c:axId val="91589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915895423"/>
        <c:crosses val="autoZero"/>
        <c:auto val="1"/>
        <c:lblAlgn val="ctr"/>
        <c:lblOffset val="100"/>
        <c:noMultiLvlLbl val="0"/>
      </c:catAx>
      <c:valAx>
        <c:axId val="915895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91589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Controls by Region</a:t>
            </a:r>
          </a:p>
        </c:rich>
      </c:tx>
      <c:overlay val="1"/>
    </c:title>
    <c:autoTitleDeleted val="0"/>
    <c:plotArea>
      <c:layout/>
      <c:barChart>
        <c:barDir val="col"/>
        <c:grouping val="clustered"/>
        <c:varyColors val="1"/>
        <c:ser>
          <c:idx val="0"/>
          <c:order val="0"/>
          <c:tx>
            <c:strRef>
              <c:f>Dashboard!$B$9</c:f>
              <c:strCache>
                <c:ptCount val="1"/>
                <c:pt idx="0">
                  <c:v>Controls</c:v>
                </c:pt>
              </c:strCache>
            </c:strRef>
          </c:tx>
          <c:spPr>
            <a:ln>
              <a:prstDash val="solid"/>
            </a:ln>
          </c:spPr>
          <c:invertIfNegative val="1"/>
          <c:cat>
            <c:strRef>
              <c:f>Dashboard!$A$10:$A$12</c:f>
              <c:strCache>
                <c:ptCount val="3"/>
                <c:pt idx="0">
                  <c:v>Asia Pacific</c:v>
                </c:pt>
                <c:pt idx="1">
                  <c:v>North America</c:v>
                </c:pt>
                <c:pt idx="2">
                  <c:v>Europe</c:v>
                </c:pt>
              </c:strCache>
            </c:strRef>
          </c:cat>
          <c:val>
            <c:numRef>
              <c:f>Dashboard!$B$10:$B$12</c:f>
              <c:numCache>
                <c:formatCode>General</c:formatCode>
                <c:ptCount val="3"/>
                <c:pt idx="0">
                  <c:v>485</c:v>
                </c:pt>
                <c:pt idx="1">
                  <c:v>478</c:v>
                </c:pt>
                <c:pt idx="2">
                  <c:v>537</c:v>
                </c:pt>
              </c:numCache>
            </c:numRef>
          </c:val>
          <c:extLst>
            <c:ext xmlns:c16="http://schemas.microsoft.com/office/drawing/2014/chart" uri="{C3380CC4-5D6E-409C-BE32-E72D297353CC}">
              <c16:uniqueId val="{00000000-DC2C-FD49-B910-A53D2B8D3E24}"/>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838200</xdr:colOff>
      <xdr:row>12</xdr:row>
      <xdr:rowOff>63500</xdr:rowOff>
    </xdr:from>
    <xdr:to>
      <xdr:col>7</xdr:col>
      <xdr:colOff>568960</xdr:colOff>
      <xdr:row>31</xdr:row>
      <xdr:rowOff>20320</xdr:rowOff>
    </xdr:to>
    <xdr:graphicFrame macro="">
      <xdr:nvGraphicFramePr>
        <xdr:cNvPr id="2" name="Chart 1">
          <a:extLst>
            <a:ext uri="{FF2B5EF4-FFF2-40B4-BE49-F238E27FC236}">
              <a16:creationId xmlns:a16="http://schemas.microsoft.com/office/drawing/2014/main" id="{5AB152EE-4022-9668-6973-F7CFBD24E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1079500</xdr:colOff>
      <xdr:row>12</xdr:row>
      <xdr:rowOff>12700</xdr:rowOff>
    </xdr:from>
    <xdr:to>
      <xdr:col>11</xdr:col>
      <xdr:colOff>711200</xdr:colOff>
      <xdr:row>33</xdr:row>
      <xdr:rowOff>114300</xdr:rowOff>
    </xdr:to>
    <xdr:graphicFrame macro="">
      <xdr:nvGraphicFramePr>
        <xdr:cNvPr id="2" name="Chart 1">
          <a:extLst>
            <a:ext uri="{FF2B5EF4-FFF2-40B4-BE49-F238E27FC236}">
              <a16:creationId xmlns:a16="http://schemas.microsoft.com/office/drawing/2014/main" id="{3D97B871-1B23-0B9F-0EA1-CE911631F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0.1685</cdr:x>
      <cdr:y>0.02477</cdr:y>
    </cdr:from>
    <cdr:to>
      <cdr:x>0.65201</cdr:x>
      <cdr:y>0.10217</cdr:y>
    </cdr:to>
    <cdr:sp macro="" textlink="">
      <cdr:nvSpPr>
        <cdr:cNvPr id="2" name="TextBox 1">
          <a:extLst xmlns:a="http://schemas.openxmlformats.org/drawingml/2006/main">
            <a:ext uri="{FF2B5EF4-FFF2-40B4-BE49-F238E27FC236}">
              <a16:creationId xmlns:a16="http://schemas.microsoft.com/office/drawing/2014/main" id="{C268094B-ACEC-5154-7E90-9611AB4A9FF1}"/>
            </a:ext>
          </a:extLst>
        </cdr:cNvPr>
        <cdr:cNvSpPr txBox="1"/>
      </cdr:nvSpPr>
      <cdr:spPr>
        <a:xfrm xmlns:a="http://schemas.openxmlformats.org/drawingml/2006/main">
          <a:off x="1168400" y="101600"/>
          <a:ext cx="3352800" cy="3175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600" kern="1200"/>
            <a:t>Regional</a:t>
          </a:r>
          <a:r>
            <a:rPr lang="en-US" sz="1600" kern="1200" baseline="0"/>
            <a:t> Risk Profile</a:t>
          </a:r>
        </a:p>
        <a:p xmlns:a="http://schemas.openxmlformats.org/drawingml/2006/main">
          <a:endParaRPr lang="en-US" sz="11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812800</xdr:colOff>
      <xdr:row>17</xdr:row>
      <xdr:rowOff>127000</xdr:rowOff>
    </xdr:from>
    <xdr:to>
      <xdr:col>12</xdr:col>
      <xdr:colOff>139700</xdr:colOff>
      <xdr:row>38</xdr:row>
      <xdr:rowOff>114300</xdr:rowOff>
    </xdr:to>
    <xdr:graphicFrame macro="">
      <xdr:nvGraphicFramePr>
        <xdr:cNvPr id="3" name="Chart 2">
          <a:extLst>
            <a:ext uri="{FF2B5EF4-FFF2-40B4-BE49-F238E27FC236}">
              <a16:creationId xmlns:a16="http://schemas.microsoft.com/office/drawing/2014/main" id="{F81C285A-3885-002B-3F6E-D6444E359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4</xdr:row>
      <xdr:rowOff>0</xdr:rowOff>
    </xdr:from>
    <xdr:to>
      <xdr:col>7</xdr:col>
      <xdr:colOff>0</xdr:colOff>
      <xdr:row>19</xdr:row>
      <xdr:rowOff>0</xdr:rowOff>
    </xdr:to>
    <xdr:graphicFrame macro="">
      <xdr:nvGraphicFramePr>
        <xdr:cNvPr id="5" name="Controls by Risk Level">
          <a:extLst>
            <a:ext uri="{FF2B5EF4-FFF2-40B4-BE49-F238E27FC236}">
              <a16:creationId xmlns:a16="http://schemas.microsoft.com/office/drawing/2014/main" id="{41C03BC0-AC82-314F-B50F-92CA02FF8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4</xdr:row>
      <xdr:rowOff>0</xdr:rowOff>
    </xdr:from>
    <xdr:to>
      <xdr:col>14</xdr:col>
      <xdr:colOff>0</xdr:colOff>
      <xdr:row>19</xdr:row>
      <xdr:rowOff>0</xdr:rowOff>
    </xdr:to>
    <xdr:graphicFrame macro="">
      <xdr:nvGraphicFramePr>
        <xdr:cNvPr id="6" name="Regional Risk Profile">
          <a:extLst>
            <a:ext uri="{FF2B5EF4-FFF2-40B4-BE49-F238E27FC236}">
              <a16:creationId xmlns:a16="http://schemas.microsoft.com/office/drawing/2014/main" id="{C3343C8A-26EF-6E48-8B56-3DCEC101E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14</xdr:col>
      <xdr:colOff>0</xdr:colOff>
      <xdr:row>39</xdr:row>
      <xdr:rowOff>0</xdr:rowOff>
    </xdr:to>
    <xdr:graphicFrame macro="">
      <xdr:nvGraphicFramePr>
        <xdr:cNvPr id="7" name="Issues by Business Unit">
          <a:extLst>
            <a:ext uri="{FF2B5EF4-FFF2-40B4-BE49-F238E27FC236}">
              <a16:creationId xmlns:a16="http://schemas.microsoft.com/office/drawing/2014/main" id="{73F15FE3-C578-1245-98B4-CA6AEDCF8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505534</xdr:colOff>
      <xdr:row>4</xdr:row>
      <xdr:rowOff>12329</xdr:rowOff>
    </xdr:from>
    <xdr:to>
      <xdr:col>16</xdr:col>
      <xdr:colOff>682101</xdr:colOff>
      <xdr:row>17</xdr:row>
      <xdr:rowOff>36829</xdr:rowOff>
    </xdr:to>
    <mc:AlternateContent xmlns:mc="http://schemas.openxmlformats.org/markup-compatibility/2006">
      <mc:Choice xmlns:a14="http://schemas.microsoft.com/office/drawing/2010/main" Requires="a14">
        <xdr:graphicFrame macro="">
          <xdr:nvGraphicFramePr>
            <xdr:cNvPr id="8" name="Status">
              <a:extLst>
                <a:ext uri="{FF2B5EF4-FFF2-40B4-BE49-F238E27FC236}">
                  <a16:creationId xmlns:a16="http://schemas.microsoft.com/office/drawing/2014/main" id="{CFEEF2AB-E033-2B45-ADEF-049759FE5AE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2071165" y="986407"/>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468544</xdr:colOff>
      <xdr:row>18</xdr:row>
      <xdr:rowOff>24661</xdr:rowOff>
    </xdr:from>
    <xdr:to>
      <xdr:col>16</xdr:col>
      <xdr:colOff>645111</xdr:colOff>
      <xdr:row>31</xdr:row>
      <xdr:rowOff>49161</xdr:rowOff>
    </xdr:to>
    <mc:AlternateContent xmlns:mc="http://schemas.openxmlformats.org/markup-compatibility/2006">
      <mc:Choice xmlns:a14="http://schemas.microsoft.com/office/drawing/2010/main" Requires="a14">
        <xdr:graphicFrame macro="">
          <xdr:nvGraphicFramePr>
            <xdr:cNvPr id="9" name="Risk_Level">
              <a:extLst>
                <a:ext uri="{FF2B5EF4-FFF2-40B4-BE49-F238E27FC236}">
                  <a16:creationId xmlns:a16="http://schemas.microsoft.com/office/drawing/2014/main" id="{68C70AF2-BF14-9049-91B0-8A5D2BF37167}"/>
                </a:ext>
              </a:extLst>
            </xdr:cNvPr>
            <xdr:cNvGraphicFramePr/>
          </xdr:nvGraphicFramePr>
          <xdr:xfrm>
            <a:off x="0" y="0"/>
            <a:ext cx="0" cy="0"/>
          </xdr:xfrm>
          <a:graphic>
            <a:graphicData uri="http://schemas.microsoft.com/office/drawing/2010/slicer">
              <sle:slicer xmlns:sle="http://schemas.microsoft.com/office/drawing/2010/slicer" name="Risk_Level"/>
            </a:graphicData>
          </a:graphic>
        </xdr:graphicFrame>
      </mc:Choice>
      <mc:Fallback>
        <xdr:sp macro="" textlink="">
          <xdr:nvSpPr>
            <xdr:cNvPr id="0" name=""/>
            <xdr:cNvSpPr>
              <a:spLocks noTextEdit="1"/>
            </xdr:cNvSpPr>
          </xdr:nvSpPr>
          <xdr:spPr>
            <a:xfrm>
              <a:off x="12034175" y="3588059"/>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147961</xdr:colOff>
      <xdr:row>18</xdr:row>
      <xdr:rowOff>49321</xdr:rowOff>
    </xdr:from>
    <xdr:to>
      <xdr:col>19</xdr:col>
      <xdr:colOff>324528</xdr:colOff>
      <xdr:row>31</xdr:row>
      <xdr:rowOff>73821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A7BB0AC0-3337-064B-A9D3-CC4AA8297A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191942" y="3612719"/>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147961</xdr:colOff>
      <xdr:row>4</xdr:row>
      <xdr:rowOff>49320</xdr:rowOff>
    </xdr:from>
    <xdr:to>
      <xdr:col>19</xdr:col>
      <xdr:colOff>324528</xdr:colOff>
      <xdr:row>17</xdr:row>
      <xdr:rowOff>73820</xdr:rowOff>
    </xdr:to>
    <mc:AlternateContent xmlns:mc="http://schemas.openxmlformats.org/markup-compatibility/2006">
      <mc:Choice xmlns:a14="http://schemas.microsoft.com/office/drawing/2010/main" Requires="a14">
        <xdr:graphicFrame macro="">
          <xdr:nvGraphicFramePr>
            <xdr:cNvPr id="11" name="Business_Unit">
              <a:extLst>
                <a:ext uri="{FF2B5EF4-FFF2-40B4-BE49-F238E27FC236}">
                  <a16:creationId xmlns:a16="http://schemas.microsoft.com/office/drawing/2014/main" id="{C9376ECD-26FE-D744-A9C5-B343D3729A2C}"/>
                </a:ext>
              </a:extLst>
            </xdr:cNvPr>
            <xdr:cNvGraphicFramePr/>
          </xdr:nvGraphicFramePr>
          <xdr:xfrm>
            <a:off x="0" y="0"/>
            <a:ext cx="0" cy="0"/>
          </xdr:xfrm>
          <a:graphic>
            <a:graphicData uri="http://schemas.microsoft.com/office/drawing/2010/slicer">
              <sle:slicer xmlns:sle="http://schemas.microsoft.com/office/drawing/2010/slicer" name="Business_Unit"/>
            </a:graphicData>
          </a:graphic>
        </xdr:graphicFrame>
      </mc:Choice>
      <mc:Fallback>
        <xdr:sp macro="" textlink="">
          <xdr:nvSpPr>
            <xdr:cNvPr id="0" name=""/>
            <xdr:cNvSpPr>
              <a:spLocks noTextEdit="1"/>
            </xdr:cNvSpPr>
          </xdr:nvSpPr>
          <xdr:spPr>
            <a:xfrm>
              <a:off x="14191942" y="1023398"/>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0.65201</cdr:x>
      <cdr:y>0.03556</cdr:y>
    </cdr:from>
    <cdr:to>
      <cdr:x>1</cdr:x>
      <cdr:y>0.10217</cdr:y>
    </cdr:to>
    <cdr:sp macro="" textlink="">
      <cdr:nvSpPr>
        <cdr:cNvPr id="2" name="TextBox 1">
          <a:extLst xmlns:a="http://schemas.openxmlformats.org/drawingml/2006/main">
            <a:ext uri="{FF2B5EF4-FFF2-40B4-BE49-F238E27FC236}">
              <a16:creationId xmlns:a16="http://schemas.microsoft.com/office/drawing/2014/main" id="{C268094B-ACEC-5154-7E90-9611AB4A9FF1}"/>
            </a:ext>
          </a:extLst>
        </cdr:cNvPr>
        <cdr:cNvSpPr txBox="1"/>
      </cdr:nvSpPr>
      <cdr:spPr>
        <a:xfrm xmlns:a="http://schemas.openxmlformats.org/drawingml/2006/main" flipH="1">
          <a:off x="3767640" y="101600"/>
          <a:ext cx="2010860" cy="19035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endParaRPr lang="en-US" sz="1100" kern="1200"/>
        </a:p>
      </cdr:txBody>
    </cdr:sp>
  </cdr:relSizeAnchor>
</c:userShapes>
</file>

<file path=xl/drawings/drawing7.xml><?xml version="1.0" encoding="utf-8"?>
<xdr:wsDr xmlns:xdr="http://schemas.openxmlformats.org/drawingml/2006/spreadsheetDrawing" xmlns:a="http://schemas.openxmlformats.org/drawingml/2006/main">
  <xdr:oneCellAnchor>
    <xdr:from>
      <xdr:col>3</xdr:col>
      <xdr:colOff>0</xdr:colOff>
      <xdr:row>8</xdr:row>
      <xdr:rowOff>0</xdr:rowOff>
    </xdr:from>
    <xdr:ext cx="3960000" cy="252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lah Amir Malik" refreshedDate="46302.905292013886" createdVersion="8" refreshedVersion="8" minRefreshableVersion="3" recordCount="1500" xr:uid="{4A329735-D53E-FD49-8080-74C3EF5DD905}">
  <cacheSource type="worksheet">
    <worksheetSource name="Controls_Clean"/>
  </cacheSource>
  <cacheFields count="22">
    <cacheField name="Control_ID" numFmtId="0">
      <sharedItems/>
    </cacheField>
    <cacheField name="Control_Name" numFmtId="0">
      <sharedItems/>
    </cacheField>
    <cacheField name="CSF_Function" numFmtId="0">
      <sharedItems/>
    </cacheField>
    <cacheField name="CSF_Category" numFmtId="0">
      <sharedItems/>
    </cacheField>
    <cacheField name="Business_Unit" numFmtId="0">
      <sharedItems count="6">
        <s v="Finance"/>
        <s v="Technology"/>
        <s v="Operations"/>
        <s v="Human Resources"/>
        <s v="Risk &amp; Compliance"/>
        <s v="Commercial"/>
      </sharedItems>
    </cacheField>
    <cacheField name="Region" numFmtId="0">
      <sharedItems count="3">
        <s v="Asia Pacific"/>
        <s v="North America"/>
        <s v="Europe"/>
      </sharedItems>
    </cacheField>
    <cacheField name="Country" numFmtId="0">
      <sharedItems/>
    </cacheField>
    <cacheField name="Risk_Level" numFmtId="0">
      <sharedItems count="4">
        <s v="High"/>
        <s v="Low"/>
        <s v="Medium"/>
        <s v="Critical"/>
      </sharedItems>
    </cacheField>
    <cacheField name="Control_Owner" numFmtId="0">
      <sharedItems containsBlank="1"/>
    </cacheField>
    <cacheField name="Review_Frequency" numFmtId="0">
      <sharedItems/>
    </cacheField>
    <cacheField name="Last_Review_Date" numFmtId="14">
      <sharedItems containsSemiMixedTypes="0" containsNonDate="0" containsDate="1" containsString="0" minDate="2025-05-18T00:00:00" maxDate="2026-09-11T00:00:00"/>
    </cacheField>
    <cacheField name="Next_Review_Date" numFmtId="14">
      <sharedItems containsSemiMixedTypes="0" containsNonDate="0" containsDate="1" containsString="0" minDate="2025-08-16T00:00:00" maxDate="2027-09-11T00:00:00"/>
    </cacheField>
    <cacheField name="Status" numFmtId="0">
      <sharedItems count="4">
        <s v="Overdue"/>
        <s v="Completed"/>
        <s v="Not Started"/>
        <s v="In Progress"/>
      </sharedItems>
    </cacheField>
    <cacheField name="Evidence_Status" numFmtId="0">
      <sharedItems containsBlank="1"/>
    </cacheField>
    <cacheField name="Issue_Count" numFmtId="0">
      <sharedItems containsSemiMixedTypes="0" containsString="0" containsNumber="1" containsInteger="1" minValue="0" maxValue="5"/>
    </cacheField>
    <cacheField name="Remediation_Owner" numFmtId="0">
      <sharedItems/>
    </cacheField>
    <cacheField name="Remediation_Due_Date" numFmtId="14">
      <sharedItems containsSemiMixedTypes="0" containsNonDate="0" containsDate="1" containsString="0" minDate="2026-04-03T00:00:00" maxDate="2027-01-29T00:00:00"/>
    </cacheField>
    <cacheField name="Remediation_Status" numFmtId="0">
      <sharedItems/>
    </cacheField>
    <cacheField name="Review_Flag" numFmtId="0">
      <sharedItems count="2">
        <s v="Overdue"/>
        <s v="Current"/>
      </sharedItems>
    </cacheField>
    <cacheField name="Ownership_Flag" numFmtId="0">
      <sharedItems count="2">
        <s v="Missing Owner"/>
        <s v="Assigned"/>
      </sharedItems>
    </cacheField>
    <cacheField name="Evidence_Flag" numFmtId="0">
      <sharedItems count="4">
        <s v="Missing Evidence"/>
        <s v="Missing"/>
        <s v="Complete"/>
        <s v="Pending"/>
      </sharedItems>
    </cacheField>
    <cacheField name="Risk_Flag" numFmtId="0">
      <sharedItems/>
    </cacheField>
  </cacheFields>
  <extLst>
    <ext xmlns:x14="http://schemas.microsoft.com/office/spreadsheetml/2009/9/main" uri="{725AE2AE-9491-48be-B2B4-4EB974FC3084}">
      <x14:pivotCacheDefinition pivotCacheId="20262000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CTRL-0001"/>
    <s v="Data Control 1"/>
    <s v="GOVERN"/>
    <s v="GV.RM"/>
    <x v="0"/>
    <x v="0"/>
    <s v="Singapore"/>
    <x v="0"/>
    <m/>
    <s v="Semiannual"/>
    <d v="2026-05-08T00:00:00"/>
    <d v="2026-08-06T00:00:00"/>
    <x v="0"/>
    <m/>
    <n v="1"/>
    <s v="Alex Chen"/>
    <d v="2026-05-25T00:00:00"/>
    <s v="Overdue"/>
    <x v="0"/>
    <x v="0"/>
    <x v="0"/>
    <s v="Elevated"/>
  </r>
  <r>
    <s v="CTRL-0002"/>
    <s v="Policy Control 2"/>
    <s v="PROTECT"/>
    <s v="PR.AA"/>
    <x v="1"/>
    <x v="1"/>
    <s v="United States"/>
    <x v="1"/>
    <s v="Alex Chen"/>
    <s v="Quarterly"/>
    <d v="2025-11-27T00:00:00"/>
    <d v="2026-02-25T00:00:00"/>
    <x v="0"/>
    <s v="Missing"/>
    <n v="3"/>
    <s v="Jordan Lee"/>
    <d v="2026-07-24T00:00:00"/>
    <s v="Overdue"/>
    <x v="0"/>
    <x v="1"/>
    <x v="1"/>
    <s v="Standard"/>
  </r>
  <r>
    <s v="CTRL-0003"/>
    <s v="Reconciliation Control 3"/>
    <s v="GOVERN"/>
    <s v="GV.RM"/>
    <x v="2"/>
    <x v="0"/>
    <s v="Singapore"/>
    <x v="1"/>
    <s v="Sam Rivera"/>
    <s v="Semiannual"/>
    <d v="2025-08-16T00:00:00"/>
    <d v="2026-02-12T00:00:00"/>
    <x v="0"/>
    <s v="Complete"/>
    <n v="0"/>
    <s v="Taylor Morgan"/>
    <d v="2026-10-14T00:00:00"/>
    <s v="Not Required"/>
    <x v="0"/>
    <x v="1"/>
    <x v="2"/>
    <s v="Standard"/>
  </r>
  <r>
    <s v="CTRL-0004"/>
    <s v="Access Control 4"/>
    <s v="GOVERN"/>
    <s v="GV.RM"/>
    <x v="3"/>
    <x v="1"/>
    <s v="Canada"/>
    <x v="1"/>
    <s v="Emma Schmidt"/>
    <s v="Annual"/>
    <d v="2026-08-01T00:00:00"/>
    <d v="2027-08-01T00:00:00"/>
    <x v="1"/>
    <s v="Missing"/>
    <n v="2"/>
    <s v="Sam Rivera"/>
    <d v="2027-01-23T00:00:00"/>
    <s v="Completed"/>
    <x v="1"/>
    <x v="1"/>
    <x v="1"/>
    <s v="Standard"/>
  </r>
  <r>
    <s v="CTRL-0005"/>
    <s v="Incident Control 5"/>
    <s v="PROTECT"/>
    <s v="PR.AA"/>
    <x v="1"/>
    <x v="2"/>
    <s v="United Kingdom"/>
    <x v="0"/>
    <s v="Emma Schmidt"/>
    <s v="Annual"/>
    <d v="2026-04-21T00:00:00"/>
    <d v="2026-10-18T00:00:00"/>
    <x v="2"/>
    <s v="Complete"/>
    <n v="2"/>
    <s v="Maya Patel"/>
    <d v="2026-10-01T00:00:00"/>
    <s v="Completed"/>
    <x v="1"/>
    <x v="1"/>
    <x v="2"/>
    <s v="Elevated"/>
  </r>
  <r>
    <s v="CTRL-0006"/>
    <s v="Policy Control 6"/>
    <s v="DETECT"/>
    <s v="DE.CM"/>
    <x v="3"/>
    <x v="0"/>
    <s v="Singapore"/>
    <x v="0"/>
    <s v="Jordan Lee"/>
    <s v="Quarterly"/>
    <d v="2026-01-17T00:00:00"/>
    <d v="2026-07-16T00:00:00"/>
    <x v="0"/>
    <s v="Pending"/>
    <n v="5"/>
    <s v="Sam Rivera"/>
    <d v="2027-01-13T00:00:00"/>
    <s v="Completed"/>
    <x v="0"/>
    <x v="1"/>
    <x v="3"/>
    <s v="Elevated"/>
  </r>
  <r>
    <s v="CTRL-0007"/>
    <s v="Incident Control 7"/>
    <s v="RESPOND"/>
    <s v="RS.MA"/>
    <x v="4"/>
    <x v="1"/>
    <s v="Canada"/>
    <x v="1"/>
    <s v="Sam Rivera"/>
    <s v="Semiannual"/>
    <d v="2025-05-31T00:00:00"/>
    <d v="2026-05-31T00:00:00"/>
    <x v="0"/>
    <s v="Missing"/>
    <n v="2"/>
    <s v="Jordan Lee"/>
    <d v="2026-07-20T00:00:00"/>
    <s v="Overdue"/>
    <x v="0"/>
    <x v="1"/>
    <x v="1"/>
    <s v="Standard"/>
  </r>
  <r>
    <s v="CTRL-0008"/>
    <s v="Data Control 8"/>
    <s v="GOVERN"/>
    <s v="GV.RR"/>
    <x v="1"/>
    <x v="2"/>
    <s v="United Kingdom"/>
    <x v="0"/>
    <s v="Taylor Morgan"/>
    <s v="Semiannual"/>
    <d v="2025-08-24T00:00:00"/>
    <d v="2026-08-24T00:00:00"/>
    <x v="0"/>
    <s v="Pending"/>
    <n v="4"/>
    <s v="Maya Patel"/>
    <d v="2026-10-24T00:00:00"/>
    <s v="In Progress"/>
    <x v="0"/>
    <x v="1"/>
    <x v="3"/>
    <s v="Elevated"/>
  </r>
  <r>
    <s v="CTRL-0009"/>
    <s v="Incident Control 9"/>
    <s v="GOVERN"/>
    <s v="GV.OC"/>
    <x v="1"/>
    <x v="1"/>
    <s v="United States"/>
    <x v="2"/>
    <s v="Emma Schmidt"/>
    <s v="Annual"/>
    <d v="2025-11-09T00:00:00"/>
    <d v="2026-02-07T00:00:00"/>
    <x v="0"/>
    <s v="Pending"/>
    <n v="3"/>
    <s v="Maya Patel"/>
    <d v="2026-11-28T00:00:00"/>
    <s v="In Progress"/>
    <x v="0"/>
    <x v="1"/>
    <x v="3"/>
    <s v="Standard"/>
  </r>
  <r>
    <s v="CTRL-0010"/>
    <s v="Data Control 10"/>
    <s v="GOVERN"/>
    <s v="GV.RR"/>
    <x v="5"/>
    <x v="0"/>
    <s v="Singapore"/>
    <x v="2"/>
    <s v="Taylor Morgan"/>
    <s v="Quarterly"/>
    <d v="2026-01-31T00:00:00"/>
    <d v="2026-05-01T00:00:00"/>
    <x v="0"/>
    <s v="Pending"/>
    <n v="0"/>
    <s v="Taylor Morgan"/>
    <d v="2026-08-15T00:00:00"/>
    <s v="Not Required"/>
    <x v="0"/>
    <x v="1"/>
    <x v="3"/>
    <s v="Standard"/>
  </r>
  <r>
    <s v="CTRL-0011"/>
    <s v="Policy Control 11"/>
    <s v="DETECT"/>
    <s v="DE.CM"/>
    <x v="1"/>
    <x v="0"/>
    <s v="Singapore"/>
    <x v="2"/>
    <s v="Jordan Lee"/>
    <s v="Semiannual"/>
    <d v="2025-12-08T00:00:00"/>
    <d v="2026-12-08T00:00:00"/>
    <x v="2"/>
    <s v="Pending"/>
    <n v="0"/>
    <s v="Sam Rivera"/>
    <d v="2026-05-30T00:00:00"/>
    <s v="Not Required"/>
    <x v="1"/>
    <x v="1"/>
    <x v="3"/>
    <s v="Standard"/>
  </r>
  <r>
    <s v="CTRL-0012"/>
    <s v="Data Control 12"/>
    <s v="RECOVER"/>
    <s v="RC.RP"/>
    <x v="3"/>
    <x v="1"/>
    <s v="United States"/>
    <x v="3"/>
    <s v="Maya Patel"/>
    <s v="Quarterly"/>
    <d v="2025-09-01T00:00:00"/>
    <d v="2026-02-28T00:00:00"/>
    <x v="0"/>
    <s v="Complete"/>
    <n v="4"/>
    <s v="Taylor Morgan"/>
    <d v="2026-06-06T00:00:00"/>
    <s v="Completed"/>
    <x v="0"/>
    <x v="1"/>
    <x v="2"/>
    <s v="Elevated"/>
  </r>
  <r>
    <s v="CTRL-0013"/>
    <s v="Access Control 13"/>
    <s v="RECOVER"/>
    <s v="RC.RP"/>
    <x v="1"/>
    <x v="0"/>
    <s v="Singapore"/>
    <x v="3"/>
    <s v="Sam Rivera"/>
    <s v="Quarterly"/>
    <d v="2025-09-10T00:00:00"/>
    <d v="2026-03-09T00:00:00"/>
    <x v="0"/>
    <s v="Pending"/>
    <n v="5"/>
    <s v="Sam Rivera"/>
    <d v="2026-10-11T00:00:00"/>
    <s v="In Progress"/>
    <x v="0"/>
    <x v="1"/>
    <x v="3"/>
    <s v="Elevated"/>
  </r>
  <r>
    <s v="CTRL-0014"/>
    <s v="Access Control 14"/>
    <s v="IDENTIFY"/>
    <s v="ID.AM"/>
    <x v="0"/>
    <x v="1"/>
    <s v="Canada"/>
    <x v="2"/>
    <s v="Sam Rivera"/>
    <s v="Quarterly"/>
    <d v="2025-11-13T00:00:00"/>
    <d v="2026-02-11T00:00:00"/>
    <x v="0"/>
    <s v="Complete"/>
    <n v="0"/>
    <s v="Noah Williams"/>
    <d v="2026-05-03T00:00:00"/>
    <s v="Not Required"/>
    <x v="0"/>
    <x v="1"/>
    <x v="2"/>
    <s v="Standard"/>
  </r>
  <r>
    <s v="CTRL-0015"/>
    <s v="Change Control 15"/>
    <s v="RESPOND"/>
    <s v="RS.MA"/>
    <x v="2"/>
    <x v="1"/>
    <s v="United States"/>
    <x v="2"/>
    <s v="Sam Rivera"/>
    <s v="Quarterly"/>
    <d v="2025-12-08T00:00:00"/>
    <d v="2026-03-08T00:00:00"/>
    <x v="0"/>
    <s v="Missing"/>
    <n v="3"/>
    <s v="Maya Patel"/>
    <d v="2026-08-05T00:00:00"/>
    <s v="Overdue"/>
    <x v="0"/>
    <x v="1"/>
    <x v="1"/>
    <s v="Standard"/>
  </r>
  <r>
    <s v="CTRL-0016"/>
    <s v="Incident Control 16"/>
    <s v="RESPOND"/>
    <s v="RS.MA"/>
    <x v="2"/>
    <x v="0"/>
    <s v="Singapore"/>
    <x v="2"/>
    <s v="Liam Brown"/>
    <s v="Semiannual"/>
    <d v="2025-06-25T00:00:00"/>
    <d v="2026-06-25T00:00:00"/>
    <x v="0"/>
    <s v="Complete"/>
    <n v="0"/>
    <s v="Maya Patel"/>
    <d v="2026-05-04T00:00:00"/>
    <s v="Not Required"/>
    <x v="0"/>
    <x v="1"/>
    <x v="2"/>
    <s v="Standard"/>
  </r>
  <r>
    <s v="CTRL-0017"/>
    <s v="Vendor Control 17"/>
    <s v="GOVERN"/>
    <s v="GV.RM"/>
    <x v="1"/>
    <x v="1"/>
    <s v="United States"/>
    <x v="2"/>
    <s v="Jordan Lee"/>
    <s v="Annual"/>
    <d v="2026-02-06T00:00:00"/>
    <d v="2026-05-07T00:00:00"/>
    <x v="0"/>
    <s v="Pending"/>
    <n v="3"/>
    <s v="Maya Patel"/>
    <d v="2026-08-08T00:00:00"/>
    <s v="Overdue"/>
    <x v="0"/>
    <x v="1"/>
    <x v="3"/>
    <s v="Standard"/>
  </r>
  <r>
    <s v="CTRL-0018"/>
    <s v="Vendor Control 18"/>
    <s v="GOVERN"/>
    <s v="GV.OC"/>
    <x v="0"/>
    <x v="1"/>
    <s v="United States"/>
    <x v="3"/>
    <s v="Sam Rivera"/>
    <s v="Semiannual"/>
    <d v="2026-06-17T00:00:00"/>
    <d v="2026-12-14T00:00:00"/>
    <x v="1"/>
    <s v="Complete"/>
    <n v="3"/>
    <s v="Liam Brown"/>
    <d v="2026-05-03T00:00:00"/>
    <s v="Completed"/>
    <x v="1"/>
    <x v="1"/>
    <x v="2"/>
    <s v="Elevated"/>
  </r>
  <r>
    <s v="CTRL-0019"/>
    <s v="Incident Control 19"/>
    <s v="GOVERN"/>
    <s v="GV.OC"/>
    <x v="5"/>
    <x v="2"/>
    <s v="Germany"/>
    <x v="3"/>
    <s v="Liam Brown"/>
    <s v="Semiannual"/>
    <d v="2026-06-23T00:00:00"/>
    <d v="2026-09-21T00:00:00"/>
    <x v="0"/>
    <s v="Pending"/>
    <n v="1"/>
    <s v="Alex Chen"/>
    <d v="2026-05-02T00:00:00"/>
    <s v="Overdue"/>
    <x v="0"/>
    <x v="1"/>
    <x v="3"/>
    <s v="Elevated"/>
  </r>
  <r>
    <s v="CTRL-0020"/>
    <s v="Vendor Control 20"/>
    <s v="IDENTIFY"/>
    <s v="ID.AM"/>
    <x v="3"/>
    <x v="1"/>
    <s v="Canada"/>
    <x v="0"/>
    <s v="Jordan Lee"/>
    <s v="Quarterly"/>
    <d v="2026-08-12T00:00:00"/>
    <d v="2027-08-12T00:00:00"/>
    <x v="1"/>
    <s v="Complete"/>
    <n v="0"/>
    <s v="Sam Rivera"/>
    <d v="2026-05-07T00:00:00"/>
    <s v="Not Required"/>
    <x v="1"/>
    <x v="1"/>
    <x v="2"/>
    <s v="Elevated"/>
  </r>
  <r>
    <s v="CTRL-0021"/>
    <s v="Incident Control 21"/>
    <s v="GOVERN"/>
    <s v="GV.RR"/>
    <x v="3"/>
    <x v="0"/>
    <s v="Singapore"/>
    <x v="1"/>
    <s v="Noah Williams"/>
    <s v="Annual"/>
    <d v="2025-05-20T00:00:00"/>
    <d v="2025-11-16T00:00:00"/>
    <x v="0"/>
    <s v="Complete"/>
    <n v="2"/>
    <s v="Taylor Morgan"/>
    <d v="2026-08-03T00:00:00"/>
    <s v="Completed"/>
    <x v="0"/>
    <x v="1"/>
    <x v="2"/>
    <s v="Standard"/>
  </r>
  <r>
    <s v="CTRL-0022"/>
    <s v="Reconciliation Control 22"/>
    <s v="IDENTIFY"/>
    <s v="ID.AM"/>
    <x v="0"/>
    <x v="2"/>
    <s v="Germany"/>
    <x v="1"/>
    <s v="Maya Patel"/>
    <s v="Semiannual"/>
    <d v="2026-08-04T00:00:00"/>
    <d v="2027-08-04T00:00:00"/>
    <x v="1"/>
    <s v="Pending"/>
    <n v="1"/>
    <s v="Jordan Lee"/>
    <d v="2026-09-28T00:00:00"/>
    <s v="Overdue"/>
    <x v="1"/>
    <x v="1"/>
    <x v="3"/>
    <s v="Standard"/>
  </r>
  <r>
    <s v="CTRL-0023"/>
    <s v="Access Control 23"/>
    <s v="PROTECT"/>
    <s v="PR.AA"/>
    <x v="3"/>
    <x v="2"/>
    <s v="Germany"/>
    <x v="3"/>
    <s v="Alex Chen"/>
    <s v="Quarterly"/>
    <d v="2025-10-04T00:00:00"/>
    <d v="2026-10-04T00:00:00"/>
    <x v="1"/>
    <s v="Missing"/>
    <n v="0"/>
    <s v="Jordan Lee"/>
    <d v="2026-06-10T00:00:00"/>
    <s v="Not Required"/>
    <x v="1"/>
    <x v="1"/>
    <x v="1"/>
    <s v="Elevated"/>
  </r>
  <r>
    <s v="CTRL-0024"/>
    <s v="Access Control 24"/>
    <s v="GOVERN"/>
    <s v="GV.OC"/>
    <x v="3"/>
    <x v="2"/>
    <s v="Germany"/>
    <x v="1"/>
    <s v="Noah Williams"/>
    <s v="Annual"/>
    <d v="2026-05-29T00:00:00"/>
    <d v="2027-05-29T00:00:00"/>
    <x v="2"/>
    <s v="Missing"/>
    <n v="3"/>
    <s v="Emma Schmidt"/>
    <d v="2026-08-09T00:00:00"/>
    <s v="Overdue"/>
    <x v="1"/>
    <x v="1"/>
    <x v="1"/>
    <s v="Standard"/>
  </r>
  <r>
    <s v="CTRL-0025"/>
    <s v="Access Control 25"/>
    <s v="GOVERN"/>
    <s v="GV.OC"/>
    <x v="0"/>
    <x v="2"/>
    <s v="United Kingdom"/>
    <x v="2"/>
    <s v="Jordan Lee"/>
    <s v="Quarterly"/>
    <d v="2025-10-19T00:00:00"/>
    <d v="2026-04-17T00:00:00"/>
    <x v="0"/>
    <s v="Complete"/>
    <n v="3"/>
    <s v="Jordan Lee"/>
    <d v="2027-01-10T00:00:00"/>
    <s v="In Progress"/>
    <x v="0"/>
    <x v="1"/>
    <x v="2"/>
    <s v="Standard"/>
  </r>
  <r>
    <s v="CTRL-0026"/>
    <s v="Reconciliation Control 26"/>
    <s v="GOVERN"/>
    <s v="GV.OC"/>
    <x v="2"/>
    <x v="0"/>
    <s v="Singapore"/>
    <x v="2"/>
    <s v="Jordan Lee"/>
    <s v="Quarterly"/>
    <d v="2026-02-02T00:00:00"/>
    <d v="2026-05-03T00:00:00"/>
    <x v="0"/>
    <s v="Complete"/>
    <n v="2"/>
    <s v="Sam Rivera"/>
    <d v="2026-10-06T00:00:00"/>
    <s v="In Progress"/>
    <x v="0"/>
    <x v="1"/>
    <x v="2"/>
    <s v="Standard"/>
  </r>
  <r>
    <s v="CTRL-0027"/>
    <s v="Change Control 27"/>
    <s v="GOVERN"/>
    <s v="GV.OC"/>
    <x v="2"/>
    <x v="0"/>
    <s v="Singapore"/>
    <x v="0"/>
    <s v="Emma Schmidt"/>
    <s v="Annual"/>
    <d v="2025-10-28T00:00:00"/>
    <d v="2026-10-28T00:00:00"/>
    <x v="1"/>
    <s v="Complete"/>
    <n v="1"/>
    <s v="Noah Williams"/>
    <d v="2026-07-02T00:00:00"/>
    <s v="Overdue"/>
    <x v="1"/>
    <x v="1"/>
    <x v="2"/>
    <s v="Elevated"/>
  </r>
  <r>
    <s v="CTRL-0028"/>
    <s v="Reconciliation Control 28"/>
    <s v="RECOVER"/>
    <s v="RC.RP"/>
    <x v="2"/>
    <x v="2"/>
    <s v="United Kingdom"/>
    <x v="1"/>
    <s v="Maya Patel"/>
    <s v="Semiannual"/>
    <d v="2026-02-27T00:00:00"/>
    <d v="2026-05-28T00:00:00"/>
    <x v="0"/>
    <s v="Pending"/>
    <n v="1"/>
    <s v="Sam Rivera"/>
    <d v="2026-07-14T00:00:00"/>
    <s v="Overdue"/>
    <x v="0"/>
    <x v="1"/>
    <x v="3"/>
    <s v="Standard"/>
  </r>
  <r>
    <s v="CTRL-0029"/>
    <s v="Access Control 29"/>
    <s v="DETECT"/>
    <s v="DE.CM"/>
    <x v="5"/>
    <x v="1"/>
    <s v="United States"/>
    <x v="1"/>
    <s v="Noah Williams"/>
    <s v="Quarterly"/>
    <d v="2026-04-21T00:00:00"/>
    <d v="2026-07-20T00:00:00"/>
    <x v="0"/>
    <s v="Pending"/>
    <n v="2"/>
    <s v="Taylor Morgan"/>
    <d v="2026-12-19T00:00:00"/>
    <s v="In Progress"/>
    <x v="0"/>
    <x v="1"/>
    <x v="3"/>
    <s v="Standard"/>
  </r>
  <r>
    <s v="CTRL-0030"/>
    <s v="Reconciliation Control 30"/>
    <s v="IDENTIFY"/>
    <s v="ID.AM"/>
    <x v="0"/>
    <x v="1"/>
    <s v="Canada"/>
    <x v="1"/>
    <s v="Emma Schmidt"/>
    <s v="Quarterly"/>
    <d v="2026-03-18T00:00:00"/>
    <d v="2027-03-18T00:00:00"/>
    <x v="2"/>
    <s v="Missing"/>
    <n v="0"/>
    <s v="Emma Schmidt"/>
    <d v="2026-10-17T00:00:00"/>
    <s v="Not Required"/>
    <x v="1"/>
    <x v="1"/>
    <x v="1"/>
    <s v="Standard"/>
  </r>
  <r>
    <s v="CTRL-0031"/>
    <s v="Incident Control 31"/>
    <s v="PROTECT"/>
    <s v="PR.AA"/>
    <x v="2"/>
    <x v="1"/>
    <s v="United States"/>
    <x v="2"/>
    <s v="Noah Williams"/>
    <s v="Semiannual"/>
    <d v="2025-10-26T00:00:00"/>
    <d v="2026-04-24T00:00:00"/>
    <x v="0"/>
    <s v="Missing"/>
    <n v="0"/>
    <s v="Noah Williams"/>
    <d v="2026-09-03T00:00:00"/>
    <s v="Not Required"/>
    <x v="0"/>
    <x v="1"/>
    <x v="1"/>
    <s v="Standard"/>
  </r>
  <r>
    <s v="CTRL-0032"/>
    <s v="Reconciliation Control 32"/>
    <s v="GOVERN"/>
    <s v="GV.OC"/>
    <x v="3"/>
    <x v="2"/>
    <s v="Germany"/>
    <x v="1"/>
    <s v="Emma Schmidt"/>
    <s v="Semiannual"/>
    <d v="2025-10-05T00:00:00"/>
    <d v="2026-04-03T00:00:00"/>
    <x v="0"/>
    <s v="Missing"/>
    <n v="1"/>
    <s v="Sam Rivera"/>
    <d v="2027-01-19T00:00:00"/>
    <s v="Completed"/>
    <x v="0"/>
    <x v="1"/>
    <x v="1"/>
    <s v="Standard"/>
  </r>
  <r>
    <s v="CTRL-0033"/>
    <s v="Access Control 33"/>
    <s v="DETECT"/>
    <s v="DE.CM"/>
    <x v="4"/>
    <x v="2"/>
    <s v="Germany"/>
    <x v="2"/>
    <s v="Sam Rivera"/>
    <s v="Quarterly"/>
    <d v="2025-12-23T00:00:00"/>
    <d v="2026-06-21T00:00:00"/>
    <x v="0"/>
    <s v="Missing"/>
    <n v="1"/>
    <s v="Taylor Morgan"/>
    <d v="2026-05-16T00:00:00"/>
    <s v="Completed"/>
    <x v="0"/>
    <x v="1"/>
    <x v="1"/>
    <s v="Standard"/>
  </r>
  <r>
    <s v="CTRL-0034"/>
    <s v="Vendor Control 34"/>
    <s v="RESPOND"/>
    <s v="RS.MA"/>
    <x v="1"/>
    <x v="1"/>
    <s v="United States"/>
    <x v="1"/>
    <s v="Sam Rivera"/>
    <s v="Semiannual"/>
    <d v="2026-01-10T00:00:00"/>
    <d v="2027-01-10T00:00:00"/>
    <x v="3"/>
    <s v="Pending"/>
    <n v="3"/>
    <s v="Sam Rivera"/>
    <d v="2027-01-22T00:00:00"/>
    <s v="Completed"/>
    <x v="1"/>
    <x v="1"/>
    <x v="3"/>
    <s v="Standard"/>
  </r>
  <r>
    <s v="CTRL-0035"/>
    <s v="Vendor Control 35"/>
    <s v="GOVERN"/>
    <s v="GV.RM"/>
    <x v="0"/>
    <x v="1"/>
    <s v="United States"/>
    <x v="0"/>
    <s v="Sam Rivera"/>
    <s v="Quarterly"/>
    <d v="2026-06-12T00:00:00"/>
    <d v="2027-06-12T00:00:00"/>
    <x v="1"/>
    <s v="Complete"/>
    <n v="4"/>
    <s v="Liam Brown"/>
    <d v="2026-08-08T00:00:00"/>
    <s v="Overdue"/>
    <x v="1"/>
    <x v="1"/>
    <x v="2"/>
    <s v="Elevated"/>
  </r>
  <r>
    <s v="CTRL-0001"/>
    <s v="Policy Control 36"/>
    <s v="IDENTIFY"/>
    <s v="ID.AM"/>
    <x v="4"/>
    <x v="0"/>
    <s v="Singapore"/>
    <x v="2"/>
    <s v="Emma Schmidt"/>
    <s v="Annual"/>
    <d v="2025-07-12T00:00:00"/>
    <d v="2026-07-12T00:00:00"/>
    <x v="0"/>
    <s v="Pending"/>
    <n v="1"/>
    <s v="Taylor Morgan"/>
    <d v="2026-12-02T00:00:00"/>
    <s v="In Progress"/>
    <x v="0"/>
    <x v="1"/>
    <x v="3"/>
    <s v="Standard"/>
  </r>
  <r>
    <s v="CTRL-0002"/>
    <s v="Change Control 37"/>
    <s v="GOVERN"/>
    <s v="GV.RM"/>
    <x v="5"/>
    <x v="0"/>
    <s v="Singapore"/>
    <x v="1"/>
    <s v="Liam Brown"/>
    <s v="Quarterly"/>
    <d v="2026-08-02T00:00:00"/>
    <d v="2027-08-02T00:00:00"/>
    <x v="1"/>
    <s v="Pending"/>
    <n v="2"/>
    <s v="Sam Rivera"/>
    <d v="2026-09-13T00:00:00"/>
    <s v="Overdue"/>
    <x v="1"/>
    <x v="1"/>
    <x v="3"/>
    <s v="Standard"/>
  </r>
  <r>
    <s v="CTRL-0003"/>
    <s v="Vendor Control 38"/>
    <s v="RESPOND"/>
    <s v="RS.MA"/>
    <x v="5"/>
    <x v="2"/>
    <s v="United Kingdom"/>
    <x v="1"/>
    <s v="Emma Schmidt"/>
    <s v="Annual"/>
    <d v="2026-02-14T00:00:00"/>
    <d v="2026-08-13T00:00:00"/>
    <x v="0"/>
    <s v="Missing"/>
    <n v="3"/>
    <s v="Alex Chen"/>
    <d v="2026-11-01T00:00:00"/>
    <s v="Completed"/>
    <x v="0"/>
    <x v="1"/>
    <x v="1"/>
    <s v="Standard"/>
  </r>
  <r>
    <s v="CTRL-0004"/>
    <s v="Vendor Control 39"/>
    <s v="RESPOND"/>
    <s v="RS.MA"/>
    <x v="4"/>
    <x v="0"/>
    <s v="Singapore"/>
    <x v="1"/>
    <s v="Noah Williams"/>
    <s v="Quarterly"/>
    <d v="2026-04-11T00:00:00"/>
    <d v="2026-10-08T00:00:00"/>
    <x v="2"/>
    <s v="Missing"/>
    <n v="1"/>
    <s v="Emma Schmidt"/>
    <d v="2026-12-08T00:00:00"/>
    <s v="Completed"/>
    <x v="1"/>
    <x v="1"/>
    <x v="1"/>
    <s v="Standard"/>
  </r>
  <r>
    <s v="CTRL-0005"/>
    <s v="Access Control 40"/>
    <s v="GOVERN"/>
    <s v="GV.OC"/>
    <x v="5"/>
    <x v="2"/>
    <s v="Germany"/>
    <x v="1"/>
    <s v="Liam Brown"/>
    <s v="Annual"/>
    <d v="2025-05-28T00:00:00"/>
    <d v="2025-08-26T00:00:00"/>
    <x v="0"/>
    <s v="Missing"/>
    <n v="0"/>
    <s v="Emma Schmidt"/>
    <d v="2026-10-21T00:00:00"/>
    <s v="Not Required"/>
    <x v="0"/>
    <x v="1"/>
    <x v="1"/>
    <s v="Standard"/>
  </r>
  <r>
    <s v="CTRL-0006"/>
    <s v="Reconciliation Control 41"/>
    <s v="RESPOND"/>
    <s v="RS.MA"/>
    <x v="1"/>
    <x v="1"/>
    <s v="Canada"/>
    <x v="1"/>
    <s v="Emma Schmidt"/>
    <s v="Semiannual"/>
    <d v="2026-03-27T00:00:00"/>
    <d v="2026-06-25T00:00:00"/>
    <x v="0"/>
    <s v="Pending"/>
    <n v="2"/>
    <s v="Taylor Morgan"/>
    <d v="2026-09-22T00:00:00"/>
    <s v="Overdue"/>
    <x v="0"/>
    <x v="1"/>
    <x v="3"/>
    <s v="Standard"/>
  </r>
  <r>
    <s v="CTRL-0007"/>
    <s v="Change Control 42"/>
    <s v="GOVERN"/>
    <s v="GV.OC"/>
    <x v="0"/>
    <x v="1"/>
    <s v="Canada"/>
    <x v="0"/>
    <s v="Alex Chen"/>
    <s v="Quarterly"/>
    <d v="2026-03-15T00:00:00"/>
    <d v="2026-06-13T00:00:00"/>
    <x v="0"/>
    <s v="Missing"/>
    <n v="0"/>
    <s v="Alex Chen"/>
    <d v="2026-04-23T00:00:00"/>
    <s v="Not Required"/>
    <x v="0"/>
    <x v="1"/>
    <x v="1"/>
    <s v="Elevated"/>
  </r>
  <r>
    <s v="CTRL-0008"/>
    <s v="Policy Control 43"/>
    <s v="GOVERN"/>
    <s v="GV.RM"/>
    <x v="1"/>
    <x v="0"/>
    <s v="Singapore"/>
    <x v="1"/>
    <s v="Maya Patel"/>
    <s v="Quarterly"/>
    <d v="2025-11-26T00:00:00"/>
    <d v="2026-02-24T00:00:00"/>
    <x v="0"/>
    <s v="Pending"/>
    <n v="2"/>
    <s v="Taylor Morgan"/>
    <d v="2026-10-08T00:00:00"/>
    <s v="Completed"/>
    <x v="0"/>
    <x v="1"/>
    <x v="3"/>
    <s v="Standard"/>
  </r>
  <r>
    <s v="CTRL-0009"/>
    <s v="Policy Control 44"/>
    <s v="PROTECT"/>
    <s v="PR.AA"/>
    <x v="2"/>
    <x v="1"/>
    <s v="United States"/>
    <x v="2"/>
    <s v="Emma Schmidt"/>
    <s v="Annual"/>
    <d v="2026-02-19T00:00:00"/>
    <d v="2027-02-19T00:00:00"/>
    <x v="1"/>
    <s v="Missing"/>
    <n v="1"/>
    <s v="Maya Patel"/>
    <d v="2026-05-25T00:00:00"/>
    <s v="Overdue"/>
    <x v="1"/>
    <x v="1"/>
    <x v="1"/>
    <s v="Standard"/>
  </r>
  <r>
    <s v="CTRL-0010"/>
    <s v="Incident Control 45"/>
    <s v="DETECT"/>
    <s v="DE.CM"/>
    <x v="2"/>
    <x v="0"/>
    <s v="Singapore"/>
    <x v="2"/>
    <s v="Noah Williams"/>
    <s v="Semiannual"/>
    <d v="2026-08-06T00:00:00"/>
    <d v="2027-08-06T00:00:00"/>
    <x v="3"/>
    <s v="Pending"/>
    <n v="3"/>
    <s v="Jordan Lee"/>
    <d v="2026-05-27T00:00:00"/>
    <s v="Overdue"/>
    <x v="1"/>
    <x v="1"/>
    <x v="3"/>
    <s v="Standard"/>
  </r>
  <r>
    <s v="CTRL-0011"/>
    <s v="Reconciliation Control 46"/>
    <s v="GOVERN"/>
    <s v="GV.RM"/>
    <x v="5"/>
    <x v="2"/>
    <s v="United Kingdom"/>
    <x v="2"/>
    <s v="Taylor Morgan"/>
    <s v="Semiannual"/>
    <d v="2025-10-30T00:00:00"/>
    <d v="2026-10-30T00:00:00"/>
    <x v="2"/>
    <s v="Pending"/>
    <n v="2"/>
    <s v="Sam Rivera"/>
    <d v="2026-09-15T00:00:00"/>
    <s v="Overdue"/>
    <x v="1"/>
    <x v="1"/>
    <x v="3"/>
    <s v="Standard"/>
  </r>
  <r>
    <s v="CTRL-0012"/>
    <s v="Data Control 47"/>
    <s v="PROTECT"/>
    <s v="PR.AA"/>
    <x v="2"/>
    <x v="2"/>
    <s v="Germany"/>
    <x v="1"/>
    <s v="Noah Williams"/>
    <s v="Quarterly"/>
    <d v="2026-06-09T00:00:00"/>
    <d v="2026-12-06T00:00:00"/>
    <x v="1"/>
    <s v="Pending"/>
    <n v="2"/>
    <s v="Sam Rivera"/>
    <d v="2026-08-24T00:00:00"/>
    <s v="Overdue"/>
    <x v="1"/>
    <x v="1"/>
    <x v="3"/>
    <s v="Standard"/>
  </r>
  <r>
    <s v="CTRL-0013"/>
    <s v="Access Control 48"/>
    <s v="GOVERN"/>
    <s v="GV.OC"/>
    <x v="5"/>
    <x v="1"/>
    <s v="United States"/>
    <x v="2"/>
    <m/>
    <s v="Semiannual"/>
    <d v="2025-11-30T00:00:00"/>
    <d v="2026-02-28T00:00:00"/>
    <x v="0"/>
    <s v="Missing"/>
    <n v="3"/>
    <s v="Sam Rivera"/>
    <d v="2026-12-10T00:00:00"/>
    <s v="In Progress"/>
    <x v="0"/>
    <x v="0"/>
    <x v="1"/>
    <s v="Standard"/>
  </r>
  <r>
    <s v="CTRL-0014"/>
    <s v="Reconciliation Control 49"/>
    <s v="PROTECT"/>
    <s v="PR.AA"/>
    <x v="2"/>
    <x v="2"/>
    <s v="United Kingdom"/>
    <x v="2"/>
    <s v="Noah Williams"/>
    <s v="Semiannual"/>
    <d v="2026-01-11T00:00:00"/>
    <d v="2027-01-11T00:00:00"/>
    <x v="1"/>
    <s v="Pending"/>
    <n v="2"/>
    <s v="Sam Rivera"/>
    <d v="2026-09-30T00:00:00"/>
    <s v="In Progress"/>
    <x v="1"/>
    <x v="1"/>
    <x v="3"/>
    <s v="Standard"/>
  </r>
  <r>
    <s v="CTRL-0015"/>
    <s v="Access Control 50"/>
    <s v="PROTECT"/>
    <s v="PR.AA"/>
    <x v="2"/>
    <x v="1"/>
    <s v="United States"/>
    <x v="1"/>
    <s v="Jordan Lee"/>
    <s v="Quarterly"/>
    <d v="2026-06-04T00:00:00"/>
    <d v="2026-09-02T00:00:00"/>
    <x v="0"/>
    <s v="Missing"/>
    <n v="3"/>
    <s v="Taylor Morgan"/>
    <d v="2026-08-22T00:00:00"/>
    <s v="Overdue"/>
    <x v="0"/>
    <x v="1"/>
    <x v="1"/>
    <s v="Standard"/>
  </r>
  <r>
    <s v="CTRL-0016"/>
    <s v="Access Control 51"/>
    <s v="RECOVER"/>
    <s v="RC.RP"/>
    <x v="1"/>
    <x v="1"/>
    <s v="Canada"/>
    <x v="2"/>
    <s v="Jordan Lee"/>
    <s v="Quarterly"/>
    <d v="2026-04-23T00:00:00"/>
    <d v="2026-07-22T00:00:00"/>
    <x v="0"/>
    <s v="Complete"/>
    <n v="2"/>
    <s v="Taylor Morgan"/>
    <d v="2026-06-06T00:00:00"/>
    <s v="Overdue"/>
    <x v="0"/>
    <x v="1"/>
    <x v="2"/>
    <s v="Standard"/>
  </r>
  <r>
    <s v="CTRL-0017"/>
    <s v="Change Control 52"/>
    <s v="GOVERN"/>
    <s v="GV.OC"/>
    <x v="4"/>
    <x v="2"/>
    <s v="Germany"/>
    <x v="2"/>
    <s v="Alex Chen"/>
    <s v="Quarterly"/>
    <d v="2026-05-04T00:00:00"/>
    <d v="2026-10-31T00:00:00"/>
    <x v="1"/>
    <s v="Complete"/>
    <n v="3"/>
    <s v="Taylor Morgan"/>
    <d v="2026-12-10T00:00:00"/>
    <s v="Completed"/>
    <x v="1"/>
    <x v="1"/>
    <x v="2"/>
    <s v="Standard"/>
  </r>
  <r>
    <s v="CTRL-0018"/>
    <s v="Policy Control 53"/>
    <s v="PROTECT"/>
    <s v="PR.AA"/>
    <x v="0"/>
    <x v="1"/>
    <s v="United States"/>
    <x v="2"/>
    <s v="Emma Schmidt"/>
    <s v="Annual"/>
    <d v="2025-11-04T00:00:00"/>
    <d v="2026-11-04T00:00:00"/>
    <x v="3"/>
    <s v="Missing"/>
    <n v="3"/>
    <s v="Emma Schmidt"/>
    <d v="2026-11-19T00:00:00"/>
    <s v="In Progress"/>
    <x v="1"/>
    <x v="1"/>
    <x v="1"/>
    <s v="Standard"/>
  </r>
  <r>
    <s v="CTRL-0019"/>
    <s v="Change Control 54"/>
    <s v="GOVERN"/>
    <s v="GV.RR"/>
    <x v="3"/>
    <x v="2"/>
    <s v="United Kingdom"/>
    <x v="3"/>
    <s v="Maya Patel"/>
    <s v="Quarterly"/>
    <d v="2025-08-16T00:00:00"/>
    <d v="2025-11-14T00:00:00"/>
    <x v="0"/>
    <s v="Missing"/>
    <n v="1"/>
    <s v="Maya Patel"/>
    <d v="2026-08-16T00:00:00"/>
    <s v="Overdue"/>
    <x v="0"/>
    <x v="1"/>
    <x v="1"/>
    <s v="Elevated"/>
  </r>
  <r>
    <s v="CTRL-0020"/>
    <s v="Access Control 55"/>
    <s v="RECOVER"/>
    <s v="RC.RP"/>
    <x v="4"/>
    <x v="1"/>
    <s v="United States"/>
    <x v="2"/>
    <s v="Liam Brown"/>
    <s v="Annual"/>
    <d v="2026-04-14T00:00:00"/>
    <d v="2026-07-13T00:00:00"/>
    <x v="0"/>
    <s v="Complete"/>
    <n v="2"/>
    <s v="Sam Rivera"/>
    <d v="2026-08-25T00:00:00"/>
    <s v="Overdue"/>
    <x v="0"/>
    <x v="1"/>
    <x v="2"/>
    <s v="Standard"/>
  </r>
  <r>
    <s v="CTRL-0056"/>
    <s v="Data Control 56"/>
    <s v="PROTECT"/>
    <s v="PR.AA"/>
    <x v="4"/>
    <x v="2"/>
    <s v="United Kingdom"/>
    <x v="1"/>
    <s v="Sam Rivera"/>
    <s v="Annual"/>
    <d v="2025-10-14T00:00:00"/>
    <d v="2026-01-12T00:00:00"/>
    <x v="0"/>
    <s v="Pending"/>
    <n v="1"/>
    <s v="Taylor Morgan"/>
    <d v="2026-05-09T00:00:00"/>
    <s v="Completed"/>
    <x v="0"/>
    <x v="1"/>
    <x v="3"/>
    <s v="Standard"/>
  </r>
  <r>
    <s v="CTRL-0057"/>
    <s v="Incident Control 57"/>
    <s v="RESPOND"/>
    <s v="RS.MA"/>
    <x v="4"/>
    <x v="2"/>
    <s v="United Kingdom"/>
    <x v="2"/>
    <s v="Emma Schmidt"/>
    <s v="Semiannual"/>
    <d v="2026-04-24T00:00:00"/>
    <d v="2027-04-24T00:00:00"/>
    <x v="1"/>
    <s v="Pending"/>
    <n v="0"/>
    <s v="Taylor Morgan"/>
    <d v="2026-04-23T00:00:00"/>
    <s v="Not Required"/>
    <x v="1"/>
    <x v="1"/>
    <x v="3"/>
    <s v="Standard"/>
  </r>
  <r>
    <s v="CTRL-0058"/>
    <s v="Vendor Control 58"/>
    <s v="GOVERN"/>
    <s v="GV.RR"/>
    <x v="1"/>
    <x v="1"/>
    <s v="United States"/>
    <x v="3"/>
    <s v="Alex Chen"/>
    <s v="Annual"/>
    <d v="2025-08-15T00:00:00"/>
    <d v="2026-08-15T00:00:00"/>
    <x v="0"/>
    <s v="Pending"/>
    <n v="4"/>
    <s v="Liam Brown"/>
    <d v="2026-04-23T00:00:00"/>
    <s v="Overdue"/>
    <x v="0"/>
    <x v="1"/>
    <x v="3"/>
    <s v="Elevated"/>
  </r>
  <r>
    <s v="CTRL-0059"/>
    <s v="Vendor Control 59"/>
    <s v="DETECT"/>
    <s v="DE.CM"/>
    <x v="3"/>
    <x v="2"/>
    <s v="United Kingdom"/>
    <x v="2"/>
    <s v="Liam Brown"/>
    <s v="Annual"/>
    <d v="2026-07-26T00:00:00"/>
    <d v="2027-01-22T00:00:00"/>
    <x v="1"/>
    <s v="Pending"/>
    <n v="2"/>
    <s v="Liam Brown"/>
    <d v="2026-05-26T00:00:00"/>
    <s v="Overdue"/>
    <x v="1"/>
    <x v="1"/>
    <x v="3"/>
    <s v="Standard"/>
  </r>
  <r>
    <s v="CTRL-0060"/>
    <s v="Incident Control 60"/>
    <s v="GOVERN"/>
    <s v="GV.OC"/>
    <x v="3"/>
    <x v="2"/>
    <s v="Germany"/>
    <x v="1"/>
    <s v="Maya Patel"/>
    <s v="Annual"/>
    <d v="2026-04-02T00:00:00"/>
    <d v="2026-09-29T00:00:00"/>
    <x v="0"/>
    <s v="Pending"/>
    <n v="0"/>
    <s v="Liam Brown"/>
    <d v="2026-10-26T00:00:00"/>
    <s v="Not Required"/>
    <x v="0"/>
    <x v="1"/>
    <x v="3"/>
    <s v="Standard"/>
  </r>
  <r>
    <s v="CTRL-0061"/>
    <s v="Vendor Control 61"/>
    <s v="PROTECT"/>
    <s v="PR.AA"/>
    <x v="1"/>
    <x v="2"/>
    <s v="United Kingdom"/>
    <x v="2"/>
    <s v="Liam Brown"/>
    <s v="Annual"/>
    <d v="2025-10-25T00:00:00"/>
    <d v="2026-04-23T00:00:00"/>
    <x v="0"/>
    <s v="Complete"/>
    <n v="1"/>
    <s v="Liam Brown"/>
    <d v="2026-08-17T00:00:00"/>
    <s v="Overdue"/>
    <x v="0"/>
    <x v="1"/>
    <x v="2"/>
    <s v="Standard"/>
  </r>
  <r>
    <s v="CTRL-0062"/>
    <s v="Access Control 62"/>
    <s v="RESPOND"/>
    <s v="RS.MA"/>
    <x v="5"/>
    <x v="1"/>
    <s v="United States"/>
    <x v="2"/>
    <s v="Sam Rivera"/>
    <s v="Quarterly"/>
    <d v="2025-09-12T00:00:00"/>
    <d v="2025-12-11T00:00:00"/>
    <x v="0"/>
    <s v="Pending"/>
    <n v="0"/>
    <s v="Maya Patel"/>
    <d v="2027-01-10T00:00:00"/>
    <s v="Not Required"/>
    <x v="0"/>
    <x v="1"/>
    <x v="3"/>
    <s v="Standard"/>
  </r>
  <r>
    <s v="CTRL-0063"/>
    <s v="Vendor Control 63"/>
    <s v="RECOVER"/>
    <s v="RC.RP"/>
    <x v="5"/>
    <x v="2"/>
    <s v="United Kingdom"/>
    <x v="0"/>
    <s v="Liam Brown"/>
    <s v="Quarterly"/>
    <d v="2025-05-21T00:00:00"/>
    <d v="2026-05-21T00:00:00"/>
    <x v="0"/>
    <s v="Pending"/>
    <n v="4"/>
    <s v="Liam Brown"/>
    <d v="2026-08-20T00:00:00"/>
    <s v="Overdue"/>
    <x v="0"/>
    <x v="1"/>
    <x v="3"/>
    <s v="Elevated"/>
  </r>
  <r>
    <s v="CTRL-0064"/>
    <s v="Policy Control 64"/>
    <s v="PROTECT"/>
    <s v="PR.AA"/>
    <x v="4"/>
    <x v="0"/>
    <s v="Singapore"/>
    <x v="1"/>
    <s v="Jordan Lee"/>
    <s v="Quarterly"/>
    <d v="2025-06-25T00:00:00"/>
    <d v="2025-09-23T00:00:00"/>
    <x v="0"/>
    <s v="Pending"/>
    <n v="3"/>
    <s v="Taylor Morgan"/>
    <d v="2026-09-24T00:00:00"/>
    <s v="Overdue"/>
    <x v="0"/>
    <x v="1"/>
    <x v="3"/>
    <s v="Standard"/>
  </r>
  <r>
    <s v="CTRL-0065"/>
    <s v="Vendor Control 65"/>
    <s v="RESPOND"/>
    <s v="RS.MA"/>
    <x v="3"/>
    <x v="0"/>
    <s v="Singapore"/>
    <x v="2"/>
    <s v="Liam Brown"/>
    <s v="Semiannual"/>
    <d v="2025-06-24T00:00:00"/>
    <d v="2025-09-22T00:00:00"/>
    <x v="0"/>
    <s v="Pending"/>
    <n v="3"/>
    <s v="Sam Rivera"/>
    <d v="2026-09-26T00:00:00"/>
    <s v="Completed"/>
    <x v="0"/>
    <x v="1"/>
    <x v="3"/>
    <s v="Standard"/>
  </r>
  <r>
    <s v="CTRL-0066"/>
    <s v="Data Control 66"/>
    <s v="GOVERN"/>
    <s v="GV.RR"/>
    <x v="3"/>
    <x v="0"/>
    <s v="Singapore"/>
    <x v="2"/>
    <s v="Emma Schmidt"/>
    <s v="Annual"/>
    <d v="2026-08-19T00:00:00"/>
    <d v="2027-02-15T00:00:00"/>
    <x v="2"/>
    <s v="Pending"/>
    <n v="1"/>
    <s v="Noah Williams"/>
    <d v="2026-12-12T00:00:00"/>
    <s v="In Progress"/>
    <x v="1"/>
    <x v="1"/>
    <x v="3"/>
    <s v="Standard"/>
  </r>
  <r>
    <s v="CTRL-0067"/>
    <s v="Reconciliation Control 67"/>
    <s v="PROTECT"/>
    <s v="PR.AA"/>
    <x v="0"/>
    <x v="1"/>
    <s v="Canada"/>
    <x v="2"/>
    <s v="Liam Brown"/>
    <s v="Annual"/>
    <d v="2026-09-03T00:00:00"/>
    <d v="2027-09-03T00:00:00"/>
    <x v="1"/>
    <s v="Missing"/>
    <n v="1"/>
    <s v="Emma Schmidt"/>
    <d v="2026-05-11T00:00:00"/>
    <s v="Overdue"/>
    <x v="1"/>
    <x v="1"/>
    <x v="1"/>
    <s v="Standard"/>
  </r>
  <r>
    <s v="CTRL-0068"/>
    <s v="Incident Control 68"/>
    <s v="IDENTIFY"/>
    <s v="ID.AM"/>
    <x v="2"/>
    <x v="0"/>
    <s v="Singapore"/>
    <x v="0"/>
    <s v="Emma Schmidt"/>
    <s v="Annual"/>
    <d v="2026-04-01T00:00:00"/>
    <d v="2027-04-01T00:00:00"/>
    <x v="2"/>
    <s v="Missing"/>
    <n v="0"/>
    <s v="Taylor Morgan"/>
    <d v="2026-05-08T00:00:00"/>
    <s v="Not Required"/>
    <x v="1"/>
    <x v="1"/>
    <x v="1"/>
    <s v="Elevated"/>
  </r>
  <r>
    <s v="CTRL-0069"/>
    <s v="Reconciliation Control 69"/>
    <s v="GOVERN"/>
    <s v="GV.OC"/>
    <x v="4"/>
    <x v="1"/>
    <s v="United States"/>
    <x v="3"/>
    <s v="Maya Patel"/>
    <s v="Semiannual"/>
    <d v="2026-01-26T00:00:00"/>
    <d v="2026-04-26T00:00:00"/>
    <x v="0"/>
    <s v="Missing"/>
    <n v="2"/>
    <s v="Noah Williams"/>
    <d v="2026-04-17T00:00:00"/>
    <s v="Completed"/>
    <x v="0"/>
    <x v="1"/>
    <x v="1"/>
    <s v="Elevated"/>
  </r>
  <r>
    <s v="CTRL-0070"/>
    <s v="Change Control 70"/>
    <s v="GOVERN"/>
    <s v="GV.RR"/>
    <x v="1"/>
    <x v="2"/>
    <s v="United Kingdom"/>
    <x v="2"/>
    <s v="Jordan Lee"/>
    <s v="Semiannual"/>
    <d v="2026-06-15T00:00:00"/>
    <d v="2026-09-13T00:00:00"/>
    <x v="0"/>
    <s v="Complete"/>
    <n v="3"/>
    <s v="Taylor Morgan"/>
    <d v="2026-08-04T00:00:00"/>
    <s v="Overdue"/>
    <x v="0"/>
    <x v="1"/>
    <x v="2"/>
    <s v="Standard"/>
  </r>
  <r>
    <s v="CTRL-0071"/>
    <s v="Data Control 71"/>
    <s v="DETECT"/>
    <s v="DE.CM"/>
    <x v="5"/>
    <x v="2"/>
    <s v="Germany"/>
    <x v="1"/>
    <s v="Liam Brown"/>
    <s v="Semiannual"/>
    <d v="2025-06-06T00:00:00"/>
    <d v="2025-12-03T00:00:00"/>
    <x v="0"/>
    <s v="Missing"/>
    <n v="1"/>
    <s v="Emma Schmidt"/>
    <d v="2026-05-10T00:00:00"/>
    <s v="Overdue"/>
    <x v="0"/>
    <x v="1"/>
    <x v="1"/>
    <s v="Standard"/>
  </r>
  <r>
    <s v="CTRL-0072"/>
    <s v="Incident Control 72"/>
    <s v="PROTECT"/>
    <s v="PR.AA"/>
    <x v="4"/>
    <x v="0"/>
    <s v="Singapore"/>
    <x v="0"/>
    <s v="Sam Rivera"/>
    <s v="Semiannual"/>
    <d v="2026-02-26T00:00:00"/>
    <d v="2026-08-25T00:00:00"/>
    <x v="0"/>
    <s v="Complete"/>
    <n v="1"/>
    <s v="Alex Chen"/>
    <d v="2026-10-15T00:00:00"/>
    <s v="In Progress"/>
    <x v="0"/>
    <x v="1"/>
    <x v="2"/>
    <s v="Elevated"/>
  </r>
  <r>
    <s v="CTRL-0073"/>
    <s v="Data Control 73"/>
    <s v="IDENTIFY"/>
    <s v="ID.AM"/>
    <x v="2"/>
    <x v="0"/>
    <s v="Singapore"/>
    <x v="1"/>
    <s v="Alex Chen"/>
    <s v="Semiannual"/>
    <d v="2025-06-01T00:00:00"/>
    <d v="2026-06-01T00:00:00"/>
    <x v="0"/>
    <s v="Missing"/>
    <n v="3"/>
    <s v="Sam Rivera"/>
    <d v="2026-08-27T00:00:00"/>
    <s v="Overdue"/>
    <x v="0"/>
    <x v="1"/>
    <x v="1"/>
    <s v="Standard"/>
  </r>
  <r>
    <s v="CTRL-0074"/>
    <s v="Access Control 74"/>
    <s v="RECOVER"/>
    <s v="RC.RP"/>
    <x v="3"/>
    <x v="0"/>
    <s v="Singapore"/>
    <x v="1"/>
    <s v="Jordan Lee"/>
    <s v="Annual"/>
    <d v="2025-10-24T00:00:00"/>
    <d v="2026-01-22T00:00:00"/>
    <x v="0"/>
    <s v="Missing"/>
    <n v="0"/>
    <s v="Noah Williams"/>
    <d v="2026-09-08T00:00:00"/>
    <s v="Not Required"/>
    <x v="0"/>
    <x v="1"/>
    <x v="1"/>
    <s v="Standard"/>
  </r>
  <r>
    <s v="CTRL-0075"/>
    <s v="Data Control 75"/>
    <s v="DETECT"/>
    <s v="DE.CM"/>
    <x v="0"/>
    <x v="0"/>
    <s v="Singapore"/>
    <x v="0"/>
    <s v="Noah Williams"/>
    <s v="Annual"/>
    <d v="2025-08-24T00:00:00"/>
    <d v="2026-02-20T00:00:00"/>
    <x v="0"/>
    <s v="Complete"/>
    <n v="1"/>
    <s v="Taylor Morgan"/>
    <d v="2026-06-09T00:00:00"/>
    <s v="Overdue"/>
    <x v="0"/>
    <x v="1"/>
    <x v="2"/>
    <s v="Elevated"/>
  </r>
  <r>
    <s v="CTRL-0076"/>
    <s v="Policy Control 76"/>
    <s v="IDENTIFY"/>
    <s v="ID.AM"/>
    <x v="4"/>
    <x v="1"/>
    <s v="Canada"/>
    <x v="3"/>
    <s v="Taylor Morgan"/>
    <s v="Annual"/>
    <d v="2025-08-24T00:00:00"/>
    <d v="2026-02-20T00:00:00"/>
    <x v="0"/>
    <s v="Complete"/>
    <n v="3"/>
    <s v="Emma Schmidt"/>
    <d v="2026-05-11T00:00:00"/>
    <s v="Completed"/>
    <x v="0"/>
    <x v="1"/>
    <x v="2"/>
    <s v="Elevated"/>
  </r>
  <r>
    <s v="CTRL-0077"/>
    <s v="Access Control 77"/>
    <s v="DETECT"/>
    <s v="DE.CM"/>
    <x v="0"/>
    <x v="0"/>
    <s v="Singapore"/>
    <x v="0"/>
    <s v="Alex Chen"/>
    <s v="Annual"/>
    <d v="2026-04-28T00:00:00"/>
    <d v="2027-04-28T00:00:00"/>
    <x v="1"/>
    <s v="Pending"/>
    <n v="5"/>
    <s v="Sam Rivera"/>
    <d v="2026-08-15T00:00:00"/>
    <s v="Overdue"/>
    <x v="1"/>
    <x v="1"/>
    <x v="3"/>
    <s v="Elevated"/>
  </r>
  <r>
    <s v="CTRL-0078"/>
    <s v="Incident Control 78"/>
    <s v="RECOVER"/>
    <s v="RC.RP"/>
    <x v="3"/>
    <x v="2"/>
    <s v="United Kingdom"/>
    <x v="0"/>
    <s v="Noah Williams"/>
    <s v="Semiannual"/>
    <d v="2025-05-30T00:00:00"/>
    <d v="2026-05-30T00:00:00"/>
    <x v="0"/>
    <s v="Complete"/>
    <n v="5"/>
    <s v="Emma Schmidt"/>
    <d v="2026-05-05T00:00:00"/>
    <s v="Overdue"/>
    <x v="0"/>
    <x v="1"/>
    <x v="2"/>
    <s v="Elevated"/>
  </r>
  <r>
    <s v="CTRL-0079"/>
    <s v="Reconciliation Control 79"/>
    <s v="RECOVER"/>
    <s v="RC.RP"/>
    <x v="0"/>
    <x v="1"/>
    <s v="United States"/>
    <x v="3"/>
    <s v="Taylor Morgan"/>
    <s v="Annual"/>
    <d v="2026-01-01T00:00:00"/>
    <d v="2026-04-01T00:00:00"/>
    <x v="0"/>
    <s v="Complete"/>
    <n v="1"/>
    <s v="Emma Schmidt"/>
    <d v="2027-01-03T00:00:00"/>
    <s v="Completed"/>
    <x v="0"/>
    <x v="1"/>
    <x v="2"/>
    <s v="Elevated"/>
  </r>
  <r>
    <s v="CTRL-0080"/>
    <s v="Vendor Control 80"/>
    <s v="IDENTIFY"/>
    <s v="ID.AM"/>
    <x v="4"/>
    <x v="0"/>
    <s v="Singapore"/>
    <x v="2"/>
    <s v="Liam Brown"/>
    <s v="Semiannual"/>
    <d v="2025-10-30T00:00:00"/>
    <d v="2026-04-28T00:00:00"/>
    <x v="0"/>
    <s v="Pending"/>
    <n v="0"/>
    <s v="Sam Rivera"/>
    <d v="2026-10-09T00:00:00"/>
    <s v="Not Required"/>
    <x v="0"/>
    <x v="1"/>
    <x v="3"/>
    <s v="Standard"/>
  </r>
  <r>
    <s v="CTRL-0081"/>
    <s v="Access Control 81"/>
    <s v="GOVERN"/>
    <s v="GV.OC"/>
    <x v="5"/>
    <x v="2"/>
    <s v="United Kingdom"/>
    <x v="2"/>
    <s v="Noah Williams"/>
    <s v="Semiannual"/>
    <d v="2026-08-10T00:00:00"/>
    <d v="2027-02-06T00:00:00"/>
    <x v="1"/>
    <s v="Complete"/>
    <n v="3"/>
    <s v="Sam Rivera"/>
    <d v="2026-05-19T00:00:00"/>
    <s v="Overdue"/>
    <x v="1"/>
    <x v="1"/>
    <x v="2"/>
    <s v="Standard"/>
  </r>
  <r>
    <s v="CTRL-0082"/>
    <s v="Reconciliation Control 82"/>
    <s v="GOVERN"/>
    <s v="GV.OC"/>
    <x v="0"/>
    <x v="1"/>
    <s v="United States"/>
    <x v="0"/>
    <s v="Sam Rivera"/>
    <s v="Quarterly"/>
    <d v="2025-11-14T00:00:00"/>
    <d v="2026-02-12T00:00:00"/>
    <x v="0"/>
    <s v="Complete"/>
    <n v="2"/>
    <s v="Jordan Lee"/>
    <d v="2026-06-17T00:00:00"/>
    <s v="Overdue"/>
    <x v="0"/>
    <x v="1"/>
    <x v="2"/>
    <s v="Elevated"/>
  </r>
  <r>
    <s v="CTRL-0083"/>
    <s v="Change Control 83"/>
    <s v="GOVERN"/>
    <s v="GV.OC"/>
    <x v="1"/>
    <x v="0"/>
    <s v="Singapore"/>
    <x v="1"/>
    <s v="Alex Chen"/>
    <s v="Annual"/>
    <d v="2026-07-05T00:00:00"/>
    <d v="2026-10-03T00:00:00"/>
    <x v="1"/>
    <s v="Complete"/>
    <n v="2"/>
    <s v="Emma Schmidt"/>
    <d v="2026-04-11T00:00:00"/>
    <s v="Completed"/>
    <x v="1"/>
    <x v="1"/>
    <x v="2"/>
    <s v="Standard"/>
  </r>
  <r>
    <s v="CTRL-0084"/>
    <s v="Data Control 84"/>
    <s v="IDENTIFY"/>
    <s v="ID.AM"/>
    <x v="5"/>
    <x v="0"/>
    <s v="Singapore"/>
    <x v="1"/>
    <s v="Liam Brown"/>
    <s v="Quarterly"/>
    <d v="2025-08-08T00:00:00"/>
    <d v="2026-02-04T00:00:00"/>
    <x v="0"/>
    <m/>
    <n v="0"/>
    <s v="Taylor Morgan"/>
    <d v="2026-11-20T00:00:00"/>
    <s v="Not Required"/>
    <x v="0"/>
    <x v="1"/>
    <x v="0"/>
    <s v="Standard"/>
  </r>
  <r>
    <s v="CTRL-0085"/>
    <s v="Data Control 85"/>
    <s v="DETECT"/>
    <s v="DE.CM"/>
    <x v="0"/>
    <x v="2"/>
    <s v="United Kingdom"/>
    <x v="3"/>
    <s v="Emma Schmidt"/>
    <s v="Quarterly"/>
    <d v="2026-02-04T00:00:00"/>
    <d v="2027-02-04T00:00:00"/>
    <x v="1"/>
    <s v="Missing"/>
    <n v="3"/>
    <s v="Maya Patel"/>
    <d v="2026-05-10T00:00:00"/>
    <s v="Overdue"/>
    <x v="1"/>
    <x v="1"/>
    <x v="1"/>
    <s v="Elevated"/>
  </r>
  <r>
    <s v="CTRL-0086"/>
    <s v="Policy Control 86"/>
    <s v="GOVERN"/>
    <s v="GV.RM"/>
    <x v="3"/>
    <x v="1"/>
    <s v="Canada"/>
    <x v="2"/>
    <s v="Noah Williams"/>
    <s v="Annual"/>
    <d v="2026-02-27T00:00:00"/>
    <d v="2027-02-27T00:00:00"/>
    <x v="1"/>
    <s v="Pending"/>
    <n v="3"/>
    <s v="Sam Rivera"/>
    <d v="2026-05-23T00:00:00"/>
    <s v="Overdue"/>
    <x v="1"/>
    <x v="1"/>
    <x v="3"/>
    <s v="Standard"/>
  </r>
  <r>
    <s v="CTRL-0087"/>
    <s v="Reconciliation Control 87"/>
    <s v="RESPOND"/>
    <s v="RS.MA"/>
    <x v="1"/>
    <x v="2"/>
    <s v="Germany"/>
    <x v="2"/>
    <s v="Liam Brown"/>
    <s v="Annual"/>
    <d v="2026-02-18T00:00:00"/>
    <d v="2026-08-17T00:00:00"/>
    <x v="0"/>
    <s v="Missing"/>
    <n v="0"/>
    <s v="Taylor Morgan"/>
    <d v="2026-09-10T00:00:00"/>
    <s v="Not Required"/>
    <x v="0"/>
    <x v="1"/>
    <x v="1"/>
    <s v="Standard"/>
  </r>
  <r>
    <s v="CTRL-0088"/>
    <s v="Data Control 88"/>
    <s v="GOVERN"/>
    <s v="GV.OC"/>
    <x v="5"/>
    <x v="2"/>
    <s v="United Kingdom"/>
    <x v="3"/>
    <s v="Maya Patel"/>
    <s v="Annual"/>
    <d v="2026-07-26T00:00:00"/>
    <d v="2026-10-24T00:00:00"/>
    <x v="1"/>
    <s v="Complete"/>
    <n v="5"/>
    <s v="Noah Williams"/>
    <d v="2026-10-10T00:00:00"/>
    <s v="In Progress"/>
    <x v="1"/>
    <x v="1"/>
    <x v="2"/>
    <s v="Elevated"/>
  </r>
  <r>
    <s v="CTRL-0089"/>
    <s v="Change Control 89"/>
    <s v="IDENTIFY"/>
    <s v="ID.AM"/>
    <x v="4"/>
    <x v="0"/>
    <s v="Singapore"/>
    <x v="2"/>
    <s v="Emma Schmidt"/>
    <s v="Annual"/>
    <d v="2025-06-23T00:00:00"/>
    <d v="2026-06-23T00:00:00"/>
    <x v="0"/>
    <s v="Complete"/>
    <n v="2"/>
    <s v="Liam Brown"/>
    <d v="2026-09-09T00:00:00"/>
    <s v="Overdue"/>
    <x v="0"/>
    <x v="1"/>
    <x v="2"/>
    <s v="Standard"/>
  </r>
  <r>
    <s v="CTRL-0090"/>
    <s v="Access Control 90"/>
    <s v="PROTECT"/>
    <s v="PR.AA"/>
    <x v="2"/>
    <x v="1"/>
    <s v="United States"/>
    <x v="0"/>
    <s v="Noah Williams"/>
    <s v="Quarterly"/>
    <d v="2026-07-14T00:00:00"/>
    <d v="2027-01-10T00:00:00"/>
    <x v="2"/>
    <s v="Missing"/>
    <n v="4"/>
    <s v="Taylor Morgan"/>
    <d v="2027-01-13T00:00:00"/>
    <s v="Completed"/>
    <x v="1"/>
    <x v="1"/>
    <x v="1"/>
    <s v="Elevated"/>
  </r>
  <r>
    <s v="CTRL-0091"/>
    <s v="Access Control 91"/>
    <s v="GOVERN"/>
    <s v="GV.OC"/>
    <x v="2"/>
    <x v="0"/>
    <s v="Singapore"/>
    <x v="2"/>
    <s v="Jordan Lee"/>
    <s v="Annual"/>
    <d v="2025-06-22T00:00:00"/>
    <d v="2025-09-20T00:00:00"/>
    <x v="0"/>
    <s v="Missing"/>
    <n v="3"/>
    <s v="Sam Rivera"/>
    <d v="2026-05-08T00:00:00"/>
    <s v="Completed"/>
    <x v="0"/>
    <x v="1"/>
    <x v="1"/>
    <s v="Standard"/>
  </r>
  <r>
    <s v="CTRL-0092"/>
    <s v="Change Control 92"/>
    <s v="GOVERN"/>
    <s v="GV.RR"/>
    <x v="4"/>
    <x v="2"/>
    <s v="Germany"/>
    <x v="2"/>
    <s v="Noah Williams"/>
    <s v="Annual"/>
    <d v="2026-04-04T00:00:00"/>
    <d v="2027-04-04T00:00:00"/>
    <x v="1"/>
    <s v="Missing"/>
    <n v="0"/>
    <s v="Alex Chen"/>
    <d v="2026-04-29T00:00:00"/>
    <s v="Not Required"/>
    <x v="1"/>
    <x v="1"/>
    <x v="1"/>
    <s v="Standard"/>
  </r>
  <r>
    <s v="CTRL-0093"/>
    <s v="Access Control 93"/>
    <s v="RESPOND"/>
    <s v="RS.MA"/>
    <x v="2"/>
    <x v="0"/>
    <s v="Singapore"/>
    <x v="2"/>
    <s v="Emma Schmidt"/>
    <s v="Semiannual"/>
    <d v="2026-01-05T00:00:00"/>
    <d v="2027-01-05T00:00:00"/>
    <x v="1"/>
    <s v="Pending"/>
    <n v="1"/>
    <s v="Liam Brown"/>
    <d v="2026-12-21T00:00:00"/>
    <s v="Completed"/>
    <x v="1"/>
    <x v="1"/>
    <x v="3"/>
    <s v="Standard"/>
  </r>
  <r>
    <s v="CTRL-0094"/>
    <s v="Access Control 94"/>
    <s v="GOVERN"/>
    <s v="GV.RM"/>
    <x v="0"/>
    <x v="0"/>
    <s v="Singapore"/>
    <x v="1"/>
    <s v="Alex Chen"/>
    <s v="Semiannual"/>
    <d v="2026-09-07T00:00:00"/>
    <d v="2026-12-06T00:00:00"/>
    <x v="1"/>
    <s v="Complete"/>
    <n v="1"/>
    <s v="Emma Schmidt"/>
    <d v="2026-08-11T00:00:00"/>
    <s v="Completed"/>
    <x v="1"/>
    <x v="1"/>
    <x v="2"/>
    <s v="Standard"/>
  </r>
  <r>
    <s v="CTRL-0095"/>
    <s v="Access Control 95"/>
    <s v="RECOVER"/>
    <s v="RC.RP"/>
    <x v="4"/>
    <x v="1"/>
    <s v="United States"/>
    <x v="2"/>
    <m/>
    <s v="Semiannual"/>
    <d v="2026-05-16T00:00:00"/>
    <d v="2027-05-16T00:00:00"/>
    <x v="2"/>
    <s v="Complete"/>
    <n v="3"/>
    <s v="Emma Schmidt"/>
    <d v="2026-04-24T00:00:00"/>
    <s v="Overdue"/>
    <x v="1"/>
    <x v="0"/>
    <x v="2"/>
    <s v="Standard"/>
  </r>
  <r>
    <s v="CTRL-0096"/>
    <s v="Access Control 96"/>
    <s v="DETECT"/>
    <s v="DE.CM"/>
    <x v="5"/>
    <x v="0"/>
    <s v="Singapore"/>
    <x v="2"/>
    <s v="Taylor Morgan"/>
    <s v="Semiannual"/>
    <d v="2026-07-14T00:00:00"/>
    <d v="2027-01-10T00:00:00"/>
    <x v="1"/>
    <s v="Pending"/>
    <n v="1"/>
    <s v="Maya Patel"/>
    <d v="2026-11-24T00:00:00"/>
    <s v="In Progress"/>
    <x v="1"/>
    <x v="1"/>
    <x v="3"/>
    <s v="Standard"/>
  </r>
  <r>
    <s v="CTRL-0097"/>
    <s v="Access Control 97"/>
    <s v="GOVERN"/>
    <s v="GV.RR"/>
    <x v="3"/>
    <x v="1"/>
    <s v="Canada"/>
    <x v="2"/>
    <s v="Maya Patel"/>
    <s v="Annual"/>
    <d v="2026-02-20T00:00:00"/>
    <d v="2026-08-19T00:00:00"/>
    <x v="0"/>
    <s v="Missing"/>
    <n v="2"/>
    <s v="Maya Patel"/>
    <d v="2026-07-25T00:00:00"/>
    <s v="Completed"/>
    <x v="0"/>
    <x v="1"/>
    <x v="1"/>
    <s v="Standard"/>
  </r>
  <r>
    <s v="CTRL-0098"/>
    <s v="Policy Control 98"/>
    <s v="GOVERN"/>
    <s v="GV.RR"/>
    <x v="2"/>
    <x v="0"/>
    <s v="Singapore"/>
    <x v="2"/>
    <s v="Jordan Lee"/>
    <s v="Annual"/>
    <d v="2026-05-13T00:00:00"/>
    <d v="2026-08-11T00:00:00"/>
    <x v="0"/>
    <s v="Complete"/>
    <n v="2"/>
    <s v="Maya Patel"/>
    <d v="2026-07-13T00:00:00"/>
    <s v="Completed"/>
    <x v="0"/>
    <x v="1"/>
    <x v="2"/>
    <s v="Standard"/>
  </r>
  <r>
    <s v="CTRL-0099"/>
    <s v="Change Control 99"/>
    <s v="DETECT"/>
    <s v="DE.CM"/>
    <x v="4"/>
    <x v="1"/>
    <s v="Canada"/>
    <x v="0"/>
    <s v="Liam Brown"/>
    <s v="Semiannual"/>
    <d v="2025-09-27T00:00:00"/>
    <d v="2026-09-27T00:00:00"/>
    <x v="0"/>
    <s v="Missing"/>
    <n v="5"/>
    <s v="Maya Patel"/>
    <d v="2026-09-15T00:00:00"/>
    <s v="Overdue"/>
    <x v="0"/>
    <x v="1"/>
    <x v="1"/>
    <s v="Elevated"/>
  </r>
  <r>
    <s v="CTRL-0100"/>
    <s v="Vendor Control 100"/>
    <s v="RECOVER"/>
    <s v="RC.RP"/>
    <x v="5"/>
    <x v="2"/>
    <s v="Germany"/>
    <x v="2"/>
    <s v="Taylor Morgan"/>
    <s v="Quarterly"/>
    <d v="2025-11-12T00:00:00"/>
    <d v="2026-02-10T00:00:00"/>
    <x v="0"/>
    <s v="Pending"/>
    <n v="0"/>
    <s v="Alex Chen"/>
    <d v="2026-09-08T00:00:00"/>
    <s v="Not Required"/>
    <x v="0"/>
    <x v="1"/>
    <x v="3"/>
    <s v="Standard"/>
  </r>
  <r>
    <s v="CTRL-0101"/>
    <s v="Reconciliation Control 101"/>
    <s v="IDENTIFY"/>
    <s v="ID.AM"/>
    <x v="0"/>
    <x v="2"/>
    <s v="Germany"/>
    <x v="2"/>
    <s v="Maya Patel"/>
    <s v="Annual"/>
    <d v="2025-10-31T00:00:00"/>
    <d v="2026-10-31T00:00:00"/>
    <x v="1"/>
    <s v="Pending"/>
    <n v="0"/>
    <s v="Liam Brown"/>
    <d v="2026-11-19T00:00:00"/>
    <s v="Not Required"/>
    <x v="1"/>
    <x v="1"/>
    <x v="3"/>
    <s v="Standard"/>
  </r>
  <r>
    <s v="CTRL-0102"/>
    <s v="Vendor Control 102"/>
    <s v="RECOVER"/>
    <s v="RC.RP"/>
    <x v="0"/>
    <x v="0"/>
    <s v="Singapore"/>
    <x v="2"/>
    <s v="Noah Williams"/>
    <s v="Annual"/>
    <d v="2025-09-10T00:00:00"/>
    <d v="2025-12-09T00:00:00"/>
    <x v="0"/>
    <s v="Missing"/>
    <n v="1"/>
    <s v="Jordan Lee"/>
    <d v="2026-04-23T00:00:00"/>
    <s v="Completed"/>
    <x v="0"/>
    <x v="1"/>
    <x v="1"/>
    <s v="Standard"/>
  </r>
  <r>
    <s v="CTRL-0103"/>
    <s v="Reconciliation Control 103"/>
    <s v="RESPOND"/>
    <s v="RS.MA"/>
    <x v="2"/>
    <x v="2"/>
    <s v="Germany"/>
    <x v="2"/>
    <s v="Noah Williams"/>
    <s v="Semiannual"/>
    <d v="2025-09-28T00:00:00"/>
    <d v="2026-09-28T00:00:00"/>
    <x v="0"/>
    <s v="Complete"/>
    <n v="2"/>
    <s v="Jordan Lee"/>
    <d v="2026-05-06T00:00:00"/>
    <s v="Completed"/>
    <x v="0"/>
    <x v="1"/>
    <x v="2"/>
    <s v="Standard"/>
  </r>
  <r>
    <s v="CTRL-0104"/>
    <s v="Incident Control 104"/>
    <s v="RESPOND"/>
    <s v="RS.MA"/>
    <x v="3"/>
    <x v="2"/>
    <s v="United Kingdom"/>
    <x v="2"/>
    <s v="Noah Williams"/>
    <s v="Semiannual"/>
    <d v="2026-04-05T00:00:00"/>
    <d v="2027-04-05T00:00:00"/>
    <x v="2"/>
    <s v="Complete"/>
    <n v="0"/>
    <s v="Jordan Lee"/>
    <d v="2026-09-08T00:00:00"/>
    <s v="Not Required"/>
    <x v="1"/>
    <x v="1"/>
    <x v="2"/>
    <s v="Standard"/>
  </r>
  <r>
    <s v="CTRL-0105"/>
    <s v="Change Control 105"/>
    <s v="GOVERN"/>
    <s v="GV.RR"/>
    <x v="5"/>
    <x v="0"/>
    <s v="Singapore"/>
    <x v="2"/>
    <s v="Noah Williams"/>
    <s v="Quarterly"/>
    <d v="2026-09-01T00:00:00"/>
    <d v="2027-02-28T00:00:00"/>
    <x v="1"/>
    <s v="Complete"/>
    <n v="2"/>
    <s v="Taylor Morgan"/>
    <d v="2026-12-07T00:00:00"/>
    <s v="Completed"/>
    <x v="1"/>
    <x v="1"/>
    <x v="2"/>
    <s v="Standard"/>
  </r>
  <r>
    <s v="CTRL-0106"/>
    <s v="Incident Control 106"/>
    <s v="GOVERN"/>
    <s v="GV.RR"/>
    <x v="5"/>
    <x v="1"/>
    <s v="United States"/>
    <x v="2"/>
    <s v="Jordan Lee"/>
    <s v="Semiannual"/>
    <d v="2025-11-09T00:00:00"/>
    <d v="2026-05-08T00:00:00"/>
    <x v="0"/>
    <s v="Complete"/>
    <n v="1"/>
    <s v="Alex Chen"/>
    <d v="2026-07-04T00:00:00"/>
    <s v="Overdue"/>
    <x v="0"/>
    <x v="1"/>
    <x v="2"/>
    <s v="Standard"/>
  </r>
  <r>
    <s v="CTRL-0107"/>
    <s v="Policy Control 107"/>
    <s v="PROTECT"/>
    <s v="PR.AA"/>
    <x v="5"/>
    <x v="2"/>
    <s v="Germany"/>
    <x v="0"/>
    <s v="Liam Brown"/>
    <s v="Semiannual"/>
    <d v="2025-11-02T00:00:00"/>
    <d v="2026-05-01T00:00:00"/>
    <x v="0"/>
    <s v="Missing"/>
    <n v="3"/>
    <s v="Sam Rivera"/>
    <d v="2026-07-31T00:00:00"/>
    <s v="Overdue"/>
    <x v="0"/>
    <x v="1"/>
    <x v="1"/>
    <s v="Elevated"/>
  </r>
  <r>
    <s v="CTRL-0108"/>
    <s v="Incident Control 108"/>
    <s v="GOVERN"/>
    <s v="GV.OC"/>
    <x v="4"/>
    <x v="2"/>
    <s v="Germany"/>
    <x v="0"/>
    <s v="Emma Schmidt"/>
    <s v="Semiannual"/>
    <d v="2025-12-27T00:00:00"/>
    <d v="2026-12-27T00:00:00"/>
    <x v="1"/>
    <s v="Complete"/>
    <n v="1"/>
    <s v="Noah Williams"/>
    <d v="2026-06-12T00:00:00"/>
    <s v="Overdue"/>
    <x v="1"/>
    <x v="1"/>
    <x v="2"/>
    <s v="Elevated"/>
  </r>
  <r>
    <s v="CTRL-0109"/>
    <s v="Policy Control 109"/>
    <s v="GOVERN"/>
    <s v="GV.RR"/>
    <x v="5"/>
    <x v="0"/>
    <s v="Singapore"/>
    <x v="0"/>
    <s v="Maya Patel"/>
    <s v="Semiannual"/>
    <d v="2026-04-18T00:00:00"/>
    <d v="2026-07-17T00:00:00"/>
    <x v="0"/>
    <s v="Complete"/>
    <n v="2"/>
    <s v="Maya Patel"/>
    <d v="2026-11-19T00:00:00"/>
    <s v="In Progress"/>
    <x v="0"/>
    <x v="1"/>
    <x v="2"/>
    <s v="Elevated"/>
  </r>
  <r>
    <s v="CTRL-0110"/>
    <s v="Reconciliation Control 110"/>
    <s v="GOVERN"/>
    <s v="GV.OC"/>
    <x v="2"/>
    <x v="1"/>
    <s v="Canada"/>
    <x v="3"/>
    <s v="Emma Schmidt"/>
    <s v="Quarterly"/>
    <d v="2026-08-14T00:00:00"/>
    <d v="2027-02-10T00:00:00"/>
    <x v="1"/>
    <s v="Complete"/>
    <n v="3"/>
    <s v="Noah Williams"/>
    <d v="2026-05-14T00:00:00"/>
    <s v="Overdue"/>
    <x v="1"/>
    <x v="1"/>
    <x v="2"/>
    <s v="Elevated"/>
  </r>
  <r>
    <s v="CTRL-0111"/>
    <s v="Access Control 111"/>
    <s v="GOVERN"/>
    <s v="GV.RM"/>
    <x v="0"/>
    <x v="1"/>
    <s v="United States"/>
    <x v="1"/>
    <s v="Liam Brown"/>
    <s v="Semiannual"/>
    <d v="2025-09-19T00:00:00"/>
    <d v="2025-12-18T00:00:00"/>
    <x v="0"/>
    <s v="Missing"/>
    <n v="3"/>
    <s v="Sam Rivera"/>
    <d v="2026-11-18T00:00:00"/>
    <s v="In Progress"/>
    <x v="0"/>
    <x v="1"/>
    <x v="1"/>
    <s v="Standard"/>
  </r>
  <r>
    <s v="CTRL-0112"/>
    <s v="Access Control 112"/>
    <s v="RECOVER"/>
    <s v="RC.RP"/>
    <x v="0"/>
    <x v="1"/>
    <s v="Canada"/>
    <x v="0"/>
    <s v="Sam Rivera"/>
    <s v="Quarterly"/>
    <d v="2026-04-09T00:00:00"/>
    <d v="2026-07-08T00:00:00"/>
    <x v="0"/>
    <s v="Complete"/>
    <n v="1"/>
    <s v="Liam Brown"/>
    <d v="2026-11-03T00:00:00"/>
    <s v="In Progress"/>
    <x v="0"/>
    <x v="1"/>
    <x v="2"/>
    <s v="Elevated"/>
  </r>
  <r>
    <s v="CTRL-0113"/>
    <s v="Data Control 113"/>
    <s v="IDENTIFY"/>
    <s v="ID.AM"/>
    <x v="5"/>
    <x v="0"/>
    <s v="Singapore"/>
    <x v="2"/>
    <s v="Sam Rivera"/>
    <s v="Semiannual"/>
    <d v="2025-09-08T00:00:00"/>
    <d v="2025-12-07T00:00:00"/>
    <x v="0"/>
    <s v="Pending"/>
    <n v="3"/>
    <s v="Jordan Lee"/>
    <d v="2026-04-03T00:00:00"/>
    <s v="Overdue"/>
    <x v="0"/>
    <x v="1"/>
    <x v="3"/>
    <s v="Standard"/>
  </r>
  <r>
    <s v="CTRL-0114"/>
    <s v="Access Control 114"/>
    <s v="RECOVER"/>
    <s v="RC.RP"/>
    <x v="3"/>
    <x v="0"/>
    <s v="Singapore"/>
    <x v="3"/>
    <s v="Maya Patel"/>
    <s v="Annual"/>
    <d v="2025-12-15T00:00:00"/>
    <d v="2026-12-15T00:00:00"/>
    <x v="1"/>
    <s v="Missing"/>
    <n v="4"/>
    <s v="Emma Schmidt"/>
    <d v="2026-04-13T00:00:00"/>
    <s v="Overdue"/>
    <x v="1"/>
    <x v="1"/>
    <x v="1"/>
    <s v="Elevated"/>
  </r>
  <r>
    <s v="CTRL-0115"/>
    <s v="Change Control 115"/>
    <s v="DETECT"/>
    <s v="DE.CM"/>
    <x v="5"/>
    <x v="2"/>
    <s v="Germany"/>
    <x v="1"/>
    <s v="Maya Patel"/>
    <s v="Quarterly"/>
    <d v="2026-03-18T00:00:00"/>
    <d v="2026-06-16T00:00:00"/>
    <x v="0"/>
    <s v="Missing"/>
    <n v="0"/>
    <s v="Noah Williams"/>
    <d v="2027-01-25T00:00:00"/>
    <s v="Not Required"/>
    <x v="0"/>
    <x v="1"/>
    <x v="1"/>
    <s v="Standard"/>
  </r>
  <r>
    <s v="CTRL-0116"/>
    <s v="Access Control 116"/>
    <s v="RECOVER"/>
    <s v="RC.RP"/>
    <x v="5"/>
    <x v="0"/>
    <s v="Singapore"/>
    <x v="1"/>
    <s v="Liam Brown"/>
    <s v="Semiannual"/>
    <d v="2025-09-19T00:00:00"/>
    <d v="2026-03-18T00:00:00"/>
    <x v="0"/>
    <s v="Missing"/>
    <n v="1"/>
    <s v="Sam Rivera"/>
    <d v="2026-06-11T00:00:00"/>
    <s v="Completed"/>
    <x v="0"/>
    <x v="1"/>
    <x v="1"/>
    <s v="Standard"/>
  </r>
  <r>
    <s v="CTRL-0117"/>
    <s v="Reconciliation Control 117"/>
    <s v="IDENTIFY"/>
    <s v="ID.AM"/>
    <x v="0"/>
    <x v="1"/>
    <s v="United States"/>
    <x v="2"/>
    <s v="Taylor Morgan"/>
    <s v="Semiannual"/>
    <d v="2025-12-21T00:00:00"/>
    <d v="2026-06-19T00:00:00"/>
    <x v="0"/>
    <s v="Missing"/>
    <n v="3"/>
    <s v="Alex Chen"/>
    <d v="2026-08-10T00:00:00"/>
    <s v="Completed"/>
    <x v="0"/>
    <x v="1"/>
    <x v="1"/>
    <s v="Standard"/>
  </r>
  <r>
    <s v="CTRL-0118"/>
    <s v="Vendor Control 118"/>
    <s v="GOVERN"/>
    <s v="GV.RR"/>
    <x v="2"/>
    <x v="0"/>
    <s v="Singapore"/>
    <x v="1"/>
    <s v="Noah Williams"/>
    <s v="Annual"/>
    <d v="2026-01-30T00:00:00"/>
    <d v="2026-07-29T00:00:00"/>
    <x v="0"/>
    <s v="Missing"/>
    <n v="3"/>
    <s v="Liam Brown"/>
    <d v="2026-10-17T00:00:00"/>
    <s v="Completed"/>
    <x v="0"/>
    <x v="1"/>
    <x v="1"/>
    <s v="Standard"/>
  </r>
  <r>
    <s v="CTRL-0119"/>
    <s v="Incident Control 119"/>
    <s v="DETECT"/>
    <s v="DE.CM"/>
    <x v="0"/>
    <x v="2"/>
    <s v="Germany"/>
    <x v="0"/>
    <s v="Maya Patel"/>
    <s v="Semiannual"/>
    <d v="2026-02-02T00:00:00"/>
    <d v="2027-02-02T00:00:00"/>
    <x v="3"/>
    <s v="Missing"/>
    <n v="2"/>
    <s v="Taylor Morgan"/>
    <d v="2026-09-14T00:00:00"/>
    <s v="Completed"/>
    <x v="1"/>
    <x v="1"/>
    <x v="1"/>
    <s v="Elevated"/>
  </r>
  <r>
    <s v="CTRL-0120"/>
    <s v="Access Control 120"/>
    <s v="GOVERN"/>
    <s v="GV.OC"/>
    <x v="1"/>
    <x v="2"/>
    <s v="Germany"/>
    <x v="2"/>
    <s v="Noah Williams"/>
    <s v="Annual"/>
    <d v="2026-01-25T00:00:00"/>
    <d v="2026-04-25T00:00:00"/>
    <x v="0"/>
    <s v="Missing"/>
    <n v="2"/>
    <s v="Emma Schmidt"/>
    <d v="2026-11-11T00:00:00"/>
    <s v="Completed"/>
    <x v="0"/>
    <x v="1"/>
    <x v="1"/>
    <s v="Standard"/>
  </r>
  <r>
    <s v="CTRL-0121"/>
    <s v="Data Control 121"/>
    <s v="GOVERN"/>
    <s v="GV.OC"/>
    <x v="0"/>
    <x v="2"/>
    <s v="United Kingdom"/>
    <x v="1"/>
    <s v="Liam Brown"/>
    <s v="Quarterly"/>
    <d v="2026-08-24T00:00:00"/>
    <d v="2026-11-22T00:00:00"/>
    <x v="1"/>
    <s v="Missing"/>
    <n v="2"/>
    <s v="Liam Brown"/>
    <d v="2026-10-05T00:00:00"/>
    <s v="In Progress"/>
    <x v="1"/>
    <x v="1"/>
    <x v="1"/>
    <s v="Standard"/>
  </r>
  <r>
    <s v="CTRL-0122"/>
    <s v="Access Control 122"/>
    <s v="GOVERN"/>
    <s v="GV.RM"/>
    <x v="4"/>
    <x v="2"/>
    <s v="Germany"/>
    <x v="0"/>
    <s v="Jordan Lee"/>
    <s v="Annual"/>
    <d v="2025-12-13T00:00:00"/>
    <d v="2026-06-11T00:00:00"/>
    <x v="0"/>
    <s v="Pending"/>
    <n v="2"/>
    <s v="Jordan Lee"/>
    <d v="2026-08-23T00:00:00"/>
    <s v="Completed"/>
    <x v="0"/>
    <x v="1"/>
    <x v="3"/>
    <s v="Elevated"/>
  </r>
  <r>
    <s v="CTRL-0123"/>
    <s v="Policy Control 123"/>
    <s v="GOVERN"/>
    <s v="GV.RR"/>
    <x v="3"/>
    <x v="2"/>
    <s v="Germany"/>
    <x v="1"/>
    <s v="Taylor Morgan"/>
    <s v="Quarterly"/>
    <d v="2025-09-15T00:00:00"/>
    <d v="2026-03-14T00:00:00"/>
    <x v="0"/>
    <s v="Complete"/>
    <n v="2"/>
    <s v="Liam Brown"/>
    <d v="2026-12-10T00:00:00"/>
    <s v="Completed"/>
    <x v="0"/>
    <x v="1"/>
    <x v="2"/>
    <s v="Standard"/>
  </r>
  <r>
    <s v="CTRL-0124"/>
    <s v="Reconciliation Control 124"/>
    <s v="PROTECT"/>
    <s v="PR.AA"/>
    <x v="0"/>
    <x v="1"/>
    <s v="Canada"/>
    <x v="0"/>
    <s v="Noah Williams"/>
    <s v="Quarterly"/>
    <d v="2025-10-04T00:00:00"/>
    <d v="2026-04-02T00:00:00"/>
    <x v="0"/>
    <s v="Missing"/>
    <n v="0"/>
    <s v="Jordan Lee"/>
    <d v="2027-01-09T00:00:00"/>
    <s v="Not Required"/>
    <x v="0"/>
    <x v="1"/>
    <x v="1"/>
    <s v="Elevated"/>
  </r>
  <r>
    <s v="CTRL-0125"/>
    <s v="Data Control 125"/>
    <s v="GOVERN"/>
    <s v="GV.RR"/>
    <x v="0"/>
    <x v="2"/>
    <s v="United Kingdom"/>
    <x v="3"/>
    <s v="Jordan Lee"/>
    <s v="Quarterly"/>
    <d v="2026-05-12T00:00:00"/>
    <d v="2026-11-08T00:00:00"/>
    <x v="1"/>
    <s v="Missing"/>
    <n v="4"/>
    <s v="Maya Patel"/>
    <d v="2026-10-08T00:00:00"/>
    <s v="In Progress"/>
    <x v="1"/>
    <x v="1"/>
    <x v="1"/>
    <s v="Elevated"/>
  </r>
  <r>
    <s v="CTRL-0126"/>
    <s v="Incident Control 126"/>
    <s v="DETECT"/>
    <s v="DE.CM"/>
    <x v="5"/>
    <x v="2"/>
    <s v="Germany"/>
    <x v="0"/>
    <s v="Emma Schmidt"/>
    <s v="Quarterly"/>
    <d v="2025-08-13T00:00:00"/>
    <d v="2026-02-09T00:00:00"/>
    <x v="0"/>
    <s v="Missing"/>
    <n v="0"/>
    <s v="Liam Brown"/>
    <d v="2026-06-06T00:00:00"/>
    <s v="Not Required"/>
    <x v="0"/>
    <x v="1"/>
    <x v="1"/>
    <s v="Elevated"/>
  </r>
  <r>
    <s v="CTRL-0127"/>
    <s v="Reconciliation Control 127"/>
    <s v="GOVERN"/>
    <s v="GV.RR"/>
    <x v="1"/>
    <x v="2"/>
    <s v="Germany"/>
    <x v="0"/>
    <s v="Jordan Lee"/>
    <s v="Quarterly"/>
    <d v="2025-08-13T00:00:00"/>
    <d v="2025-11-11T00:00:00"/>
    <x v="0"/>
    <s v="Pending"/>
    <n v="4"/>
    <s v="Jordan Lee"/>
    <d v="2026-05-01T00:00:00"/>
    <s v="Overdue"/>
    <x v="0"/>
    <x v="1"/>
    <x v="3"/>
    <s v="Elevated"/>
  </r>
  <r>
    <s v="CTRL-0128"/>
    <s v="Data Control 128"/>
    <s v="PROTECT"/>
    <s v="PR.AA"/>
    <x v="2"/>
    <x v="2"/>
    <s v="United Kingdom"/>
    <x v="3"/>
    <s v="Taylor Morgan"/>
    <s v="Annual"/>
    <d v="2025-07-04T00:00:00"/>
    <d v="2025-10-02T00:00:00"/>
    <x v="0"/>
    <s v="Pending"/>
    <n v="1"/>
    <s v="Maya Patel"/>
    <d v="2027-01-10T00:00:00"/>
    <s v="Completed"/>
    <x v="0"/>
    <x v="1"/>
    <x v="3"/>
    <s v="Elevated"/>
  </r>
  <r>
    <s v="CTRL-0129"/>
    <s v="Access Control 129"/>
    <s v="GOVERN"/>
    <s v="GV.RM"/>
    <x v="3"/>
    <x v="0"/>
    <s v="Singapore"/>
    <x v="3"/>
    <s v="Jordan Lee"/>
    <s v="Annual"/>
    <d v="2026-06-15T00:00:00"/>
    <d v="2027-06-15T00:00:00"/>
    <x v="2"/>
    <s v="Missing"/>
    <n v="0"/>
    <s v="Taylor Morgan"/>
    <d v="2026-04-17T00:00:00"/>
    <s v="Not Required"/>
    <x v="1"/>
    <x v="1"/>
    <x v="1"/>
    <s v="Elevated"/>
  </r>
  <r>
    <s v="CTRL-0130"/>
    <s v="Reconciliation Control 130"/>
    <s v="RESPOND"/>
    <s v="RS.MA"/>
    <x v="3"/>
    <x v="0"/>
    <s v="Singapore"/>
    <x v="2"/>
    <s v="Alex Chen"/>
    <s v="Semiannual"/>
    <d v="2025-12-30T00:00:00"/>
    <d v="2026-12-30T00:00:00"/>
    <x v="1"/>
    <s v="Missing"/>
    <n v="2"/>
    <s v="Maya Patel"/>
    <d v="2026-12-06T00:00:00"/>
    <s v="Completed"/>
    <x v="1"/>
    <x v="1"/>
    <x v="1"/>
    <s v="Standard"/>
  </r>
  <r>
    <s v="CTRL-0131"/>
    <s v="Incident Control 131"/>
    <s v="DETECT"/>
    <s v="DE.CM"/>
    <x v="1"/>
    <x v="0"/>
    <s v="Singapore"/>
    <x v="2"/>
    <s v="Liam Brown"/>
    <s v="Semiannual"/>
    <d v="2026-01-16T00:00:00"/>
    <d v="2026-04-16T00:00:00"/>
    <x v="0"/>
    <s v="Pending"/>
    <n v="1"/>
    <s v="Emma Schmidt"/>
    <d v="2026-09-10T00:00:00"/>
    <s v="Overdue"/>
    <x v="0"/>
    <x v="1"/>
    <x v="3"/>
    <s v="Standard"/>
  </r>
  <r>
    <s v="CTRL-0132"/>
    <s v="Vendor Control 132"/>
    <s v="PROTECT"/>
    <s v="PR.AA"/>
    <x v="3"/>
    <x v="1"/>
    <s v="Canada"/>
    <x v="2"/>
    <s v="Noah Williams"/>
    <s v="Annual"/>
    <d v="2026-05-10T00:00:00"/>
    <d v="2026-11-06T00:00:00"/>
    <x v="1"/>
    <s v="Pending"/>
    <n v="1"/>
    <s v="Emma Schmidt"/>
    <d v="2026-06-14T00:00:00"/>
    <s v="Completed"/>
    <x v="1"/>
    <x v="1"/>
    <x v="3"/>
    <s v="Standard"/>
  </r>
  <r>
    <s v="CTRL-0133"/>
    <s v="Vendor Control 133"/>
    <s v="PROTECT"/>
    <s v="PR.AA"/>
    <x v="2"/>
    <x v="1"/>
    <s v="United States"/>
    <x v="3"/>
    <s v="Noah Williams"/>
    <s v="Quarterly"/>
    <d v="2026-06-05T00:00:00"/>
    <d v="2026-09-03T00:00:00"/>
    <x v="0"/>
    <s v="Pending"/>
    <n v="4"/>
    <s v="Maya Patel"/>
    <d v="2026-11-28T00:00:00"/>
    <s v="In Progress"/>
    <x v="0"/>
    <x v="1"/>
    <x v="3"/>
    <s v="Elevated"/>
  </r>
  <r>
    <s v="CTRL-0134"/>
    <s v="Vendor Control 134"/>
    <s v="GOVERN"/>
    <s v="GV.RM"/>
    <x v="1"/>
    <x v="2"/>
    <s v="Germany"/>
    <x v="1"/>
    <s v="Noah Williams"/>
    <s v="Quarterly"/>
    <d v="2026-08-17T00:00:00"/>
    <d v="2026-11-15T00:00:00"/>
    <x v="1"/>
    <s v="Missing"/>
    <n v="3"/>
    <s v="Taylor Morgan"/>
    <d v="2026-08-27T00:00:00"/>
    <s v="Overdue"/>
    <x v="1"/>
    <x v="1"/>
    <x v="1"/>
    <s v="Standard"/>
  </r>
  <r>
    <s v="CTRL-0135"/>
    <s v="Policy Control 135"/>
    <s v="RECOVER"/>
    <s v="RC.RP"/>
    <x v="4"/>
    <x v="0"/>
    <s v="Singapore"/>
    <x v="2"/>
    <s v="Emma Schmidt"/>
    <s v="Annual"/>
    <d v="2026-08-15T00:00:00"/>
    <d v="2027-08-15T00:00:00"/>
    <x v="2"/>
    <s v="Missing"/>
    <n v="2"/>
    <s v="Taylor Morgan"/>
    <d v="2026-05-10T00:00:00"/>
    <s v="Overdue"/>
    <x v="1"/>
    <x v="1"/>
    <x v="1"/>
    <s v="Standard"/>
  </r>
  <r>
    <s v="CTRL-0136"/>
    <s v="Data Control 136"/>
    <s v="RESPOND"/>
    <s v="RS.MA"/>
    <x v="1"/>
    <x v="0"/>
    <s v="Singapore"/>
    <x v="3"/>
    <s v="Emma Schmidt"/>
    <s v="Quarterly"/>
    <d v="2026-03-03T00:00:00"/>
    <d v="2026-08-30T00:00:00"/>
    <x v="0"/>
    <s v="Missing"/>
    <n v="2"/>
    <s v="Alex Chen"/>
    <d v="2026-06-15T00:00:00"/>
    <s v="Completed"/>
    <x v="0"/>
    <x v="1"/>
    <x v="1"/>
    <s v="Elevated"/>
  </r>
  <r>
    <s v="CTRL-0137"/>
    <s v="Change Control 137"/>
    <s v="DETECT"/>
    <s v="DE.CM"/>
    <x v="5"/>
    <x v="1"/>
    <s v="United States"/>
    <x v="2"/>
    <s v="Liam Brown"/>
    <s v="Semiannual"/>
    <d v="2025-12-19T00:00:00"/>
    <d v="2026-06-17T00:00:00"/>
    <x v="0"/>
    <s v="Complete"/>
    <n v="1"/>
    <s v="Taylor Morgan"/>
    <d v="2026-09-17T00:00:00"/>
    <s v="Overdue"/>
    <x v="0"/>
    <x v="1"/>
    <x v="2"/>
    <s v="Standard"/>
  </r>
  <r>
    <s v="CTRL-0138"/>
    <s v="Vendor Control 138"/>
    <s v="GOVERN"/>
    <s v="GV.RM"/>
    <x v="3"/>
    <x v="0"/>
    <s v="Singapore"/>
    <x v="0"/>
    <s v="Liam Brown"/>
    <s v="Annual"/>
    <d v="2025-09-13T00:00:00"/>
    <d v="2026-09-13T00:00:00"/>
    <x v="0"/>
    <s v="Pending"/>
    <n v="3"/>
    <s v="Taylor Morgan"/>
    <d v="2026-04-11T00:00:00"/>
    <s v="Overdue"/>
    <x v="0"/>
    <x v="1"/>
    <x v="3"/>
    <s v="Elevated"/>
  </r>
  <r>
    <s v="CTRL-0139"/>
    <s v="Change Control 139"/>
    <s v="RESPOND"/>
    <s v="RS.MA"/>
    <x v="3"/>
    <x v="0"/>
    <s v="Singapore"/>
    <x v="2"/>
    <s v="Sam Rivera"/>
    <s v="Annual"/>
    <d v="2025-09-06T00:00:00"/>
    <d v="2025-12-05T00:00:00"/>
    <x v="0"/>
    <s v="Missing"/>
    <n v="3"/>
    <s v="Sam Rivera"/>
    <d v="2026-06-29T00:00:00"/>
    <s v="Overdue"/>
    <x v="0"/>
    <x v="1"/>
    <x v="1"/>
    <s v="Standard"/>
  </r>
  <r>
    <s v="CTRL-0140"/>
    <s v="Policy Control 140"/>
    <s v="RECOVER"/>
    <s v="RC.RP"/>
    <x v="1"/>
    <x v="1"/>
    <s v="United States"/>
    <x v="1"/>
    <s v="Noah Williams"/>
    <s v="Annual"/>
    <d v="2026-02-08T00:00:00"/>
    <d v="2026-05-09T00:00:00"/>
    <x v="0"/>
    <s v="Pending"/>
    <n v="1"/>
    <s v="Alex Chen"/>
    <d v="2026-10-30T00:00:00"/>
    <s v="In Progress"/>
    <x v="0"/>
    <x v="1"/>
    <x v="3"/>
    <s v="Standard"/>
  </r>
  <r>
    <s v="CTRL-0141"/>
    <s v="Data Control 141"/>
    <s v="RECOVER"/>
    <s v="RC.RP"/>
    <x v="3"/>
    <x v="0"/>
    <s v="Singapore"/>
    <x v="1"/>
    <s v="Noah Williams"/>
    <s v="Semiannual"/>
    <d v="2025-10-06T00:00:00"/>
    <d v="2026-04-04T00:00:00"/>
    <x v="0"/>
    <s v="Missing"/>
    <n v="3"/>
    <s v="Noah Williams"/>
    <d v="2026-09-10T00:00:00"/>
    <s v="Overdue"/>
    <x v="0"/>
    <x v="1"/>
    <x v="1"/>
    <s v="Standard"/>
  </r>
  <r>
    <s v="CTRL-0142"/>
    <s v="Reconciliation Control 142"/>
    <s v="RECOVER"/>
    <s v="RC.RP"/>
    <x v="3"/>
    <x v="0"/>
    <s v="Singapore"/>
    <x v="2"/>
    <m/>
    <s v="Semiannual"/>
    <d v="2026-05-07T00:00:00"/>
    <d v="2026-11-03T00:00:00"/>
    <x v="3"/>
    <s v="Pending"/>
    <n v="2"/>
    <s v="Noah Williams"/>
    <d v="2026-07-18T00:00:00"/>
    <s v="Overdue"/>
    <x v="1"/>
    <x v="0"/>
    <x v="3"/>
    <s v="Standard"/>
  </r>
  <r>
    <s v="CTRL-0143"/>
    <s v="Reconciliation Control 143"/>
    <s v="GOVERN"/>
    <s v="GV.RM"/>
    <x v="2"/>
    <x v="0"/>
    <s v="Singapore"/>
    <x v="1"/>
    <s v="Emma Schmidt"/>
    <s v="Semiannual"/>
    <d v="2025-06-09T00:00:00"/>
    <d v="2025-12-06T00:00:00"/>
    <x v="0"/>
    <s v="Pending"/>
    <n v="1"/>
    <s v="Taylor Morgan"/>
    <d v="2026-08-29T00:00:00"/>
    <s v="Completed"/>
    <x v="0"/>
    <x v="1"/>
    <x v="3"/>
    <s v="Standard"/>
  </r>
  <r>
    <s v="CTRL-0144"/>
    <s v="Change Control 144"/>
    <s v="IDENTIFY"/>
    <s v="ID.AM"/>
    <x v="1"/>
    <x v="0"/>
    <s v="Singapore"/>
    <x v="1"/>
    <s v="Taylor Morgan"/>
    <s v="Quarterly"/>
    <d v="2025-05-21T00:00:00"/>
    <d v="2026-05-21T00:00:00"/>
    <x v="0"/>
    <s v="Missing"/>
    <n v="2"/>
    <s v="Sam Rivera"/>
    <d v="2026-06-12T00:00:00"/>
    <s v="Completed"/>
    <x v="0"/>
    <x v="1"/>
    <x v="1"/>
    <s v="Standard"/>
  </r>
  <r>
    <s v="CTRL-0145"/>
    <s v="Vendor Control 145"/>
    <s v="GOVERN"/>
    <s v="GV.RR"/>
    <x v="0"/>
    <x v="0"/>
    <s v="Singapore"/>
    <x v="1"/>
    <s v="Noah Williams"/>
    <s v="Annual"/>
    <d v="2025-09-08T00:00:00"/>
    <d v="2026-03-07T00:00:00"/>
    <x v="0"/>
    <s v="Complete"/>
    <n v="1"/>
    <s v="Liam Brown"/>
    <d v="2026-04-05T00:00:00"/>
    <s v="Overdue"/>
    <x v="0"/>
    <x v="1"/>
    <x v="2"/>
    <s v="Standard"/>
  </r>
  <r>
    <s v="CTRL-0146"/>
    <s v="Change Control 146"/>
    <s v="GOVERN"/>
    <s v="GV.OC"/>
    <x v="2"/>
    <x v="2"/>
    <s v="United Kingdom"/>
    <x v="2"/>
    <s v="Alex Chen"/>
    <s v="Semiannual"/>
    <d v="2025-06-03T00:00:00"/>
    <d v="2025-09-01T00:00:00"/>
    <x v="0"/>
    <s v="Missing"/>
    <n v="1"/>
    <s v="Jordan Lee"/>
    <d v="2027-01-01T00:00:00"/>
    <s v="In Progress"/>
    <x v="0"/>
    <x v="1"/>
    <x v="1"/>
    <s v="Standard"/>
  </r>
  <r>
    <s v="CTRL-0147"/>
    <s v="Reconciliation Control 147"/>
    <s v="DETECT"/>
    <s v="DE.CM"/>
    <x v="4"/>
    <x v="1"/>
    <s v="Canada"/>
    <x v="1"/>
    <s v="Taylor Morgan"/>
    <s v="Semiannual"/>
    <d v="2025-06-19T00:00:00"/>
    <d v="2025-09-17T00:00:00"/>
    <x v="0"/>
    <s v="Complete"/>
    <n v="2"/>
    <s v="Liam Brown"/>
    <d v="2027-01-18T00:00:00"/>
    <s v="In Progress"/>
    <x v="0"/>
    <x v="1"/>
    <x v="2"/>
    <s v="Standard"/>
  </r>
  <r>
    <s v="CTRL-0148"/>
    <s v="Incident Control 148"/>
    <s v="GOVERN"/>
    <s v="GV.OC"/>
    <x v="2"/>
    <x v="1"/>
    <s v="Canada"/>
    <x v="1"/>
    <s v="Maya Patel"/>
    <s v="Semiannual"/>
    <d v="2026-03-25T00:00:00"/>
    <d v="2026-06-23T00:00:00"/>
    <x v="0"/>
    <s v="Missing"/>
    <n v="3"/>
    <s v="Taylor Morgan"/>
    <d v="2026-08-12T00:00:00"/>
    <s v="Overdue"/>
    <x v="0"/>
    <x v="1"/>
    <x v="1"/>
    <s v="Standard"/>
  </r>
  <r>
    <s v="CTRL-0149"/>
    <s v="Change Control 149"/>
    <s v="GOVERN"/>
    <s v="GV.RM"/>
    <x v="1"/>
    <x v="0"/>
    <s v="Singapore"/>
    <x v="2"/>
    <s v="Emma Schmidt"/>
    <s v="Quarterly"/>
    <d v="2025-07-14T00:00:00"/>
    <d v="2026-01-10T00:00:00"/>
    <x v="0"/>
    <s v="Missing"/>
    <n v="2"/>
    <s v="Liam Brown"/>
    <d v="2026-05-17T00:00:00"/>
    <s v="Overdue"/>
    <x v="0"/>
    <x v="1"/>
    <x v="1"/>
    <s v="Standard"/>
  </r>
  <r>
    <s v="CTRL-0150"/>
    <s v="Reconciliation Control 150"/>
    <s v="GOVERN"/>
    <s v="GV.OC"/>
    <x v="0"/>
    <x v="2"/>
    <s v="United Kingdom"/>
    <x v="1"/>
    <s v="Sam Rivera"/>
    <s v="Annual"/>
    <d v="2026-01-25T00:00:00"/>
    <d v="2026-07-24T00:00:00"/>
    <x v="0"/>
    <s v="Pending"/>
    <n v="2"/>
    <s v="Noah Williams"/>
    <d v="2027-01-26T00:00:00"/>
    <s v="In Progress"/>
    <x v="0"/>
    <x v="1"/>
    <x v="3"/>
    <s v="Standard"/>
  </r>
  <r>
    <s v="CTRL-0151"/>
    <s v="Reconciliation Control 151"/>
    <s v="PROTECT"/>
    <s v="PR.AA"/>
    <x v="0"/>
    <x v="0"/>
    <s v="Singapore"/>
    <x v="2"/>
    <s v="Liam Brown"/>
    <s v="Annual"/>
    <d v="2026-04-06T00:00:00"/>
    <d v="2026-07-05T00:00:00"/>
    <x v="0"/>
    <s v="Pending"/>
    <n v="2"/>
    <s v="Sam Rivera"/>
    <d v="2026-06-02T00:00:00"/>
    <s v="Overdue"/>
    <x v="0"/>
    <x v="1"/>
    <x v="3"/>
    <s v="Standard"/>
  </r>
  <r>
    <s v="CTRL-0152"/>
    <s v="Data Control 152"/>
    <s v="GOVERN"/>
    <s v="GV.RM"/>
    <x v="4"/>
    <x v="1"/>
    <s v="United States"/>
    <x v="1"/>
    <s v="Noah Williams"/>
    <s v="Semiannual"/>
    <d v="2026-02-10T00:00:00"/>
    <d v="2027-02-10T00:00:00"/>
    <x v="1"/>
    <s v="Pending"/>
    <n v="1"/>
    <s v="Noah Williams"/>
    <d v="2026-08-07T00:00:00"/>
    <s v="Overdue"/>
    <x v="1"/>
    <x v="1"/>
    <x v="3"/>
    <s v="Standard"/>
  </r>
  <r>
    <s v="CTRL-0153"/>
    <s v="Incident Control 153"/>
    <s v="IDENTIFY"/>
    <s v="ID.AM"/>
    <x v="0"/>
    <x v="1"/>
    <s v="United States"/>
    <x v="0"/>
    <s v="Sam Rivera"/>
    <s v="Annual"/>
    <d v="2025-11-21T00:00:00"/>
    <d v="2026-11-21T00:00:00"/>
    <x v="1"/>
    <s v="Pending"/>
    <n v="4"/>
    <s v="Liam Brown"/>
    <d v="2026-11-15T00:00:00"/>
    <s v="Completed"/>
    <x v="1"/>
    <x v="1"/>
    <x v="3"/>
    <s v="Elevated"/>
  </r>
  <r>
    <s v="CTRL-0154"/>
    <s v="Incident Control 154"/>
    <s v="GOVERN"/>
    <s v="GV.OC"/>
    <x v="0"/>
    <x v="1"/>
    <s v="Canada"/>
    <x v="2"/>
    <s v="Emma Schmidt"/>
    <s v="Quarterly"/>
    <d v="2026-01-20T00:00:00"/>
    <d v="2027-01-20T00:00:00"/>
    <x v="1"/>
    <s v="Pending"/>
    <n v="2"/>
    <s v="Maya Patel"/>
    <d v="2026-04-14T00:00:00"/>
    <s v="Overdue"/>
    <x v="1"/>
    <x v="1"/>
    <x v="3"/>
    <s v="Standard"/>
  </r>
  <r>
    <s v="CTRL-0155"/>
    <s v="Change Control 155"/>
    <s v="RESPOND"/>
    <s v="RS.MA"/>
    <x v="2"/>
    <x v="1"/>
    <s v="Canada"/>
    <x v="0"/>
    <s v="Alex Chen"/>
    <s v="Quarterly"/>
    <d v="2025-05-20T00:00:00"/>
    <d v="2025-08-18T00:00:00"/>
    <x v="0"/>
    <s v="Pending"/>
    <n v="0"/>
    <s v="Emma Schmidt"/>
    <d v="2026-08-27T00:00:00"/>
    <s v="Not Required"/>
    <x v="0"/>
    <x v="1"/>
    <x v="3"/>
    <s v="Elevated"/>
  </r>
  <r>
    <s v="CTRL-0156"/>
    <s v="Access Control 156"/>
    <s v="DETECT"/>
    <s v="DE.CM"/>
    <x v="4"/>
    <x v="2"/>
    <s v="Germany"/>
    <x v="0"/>
    <s v="Emma Schmidt"/>
    <s v="Quarterly"/>
    <d v="2026-03-02T00:00:00"/>
    <d v="2026-05-31T00:00:00"/>
    <x v="0"/>
    <s v="Missing"/>
    <n v="5"/>
    <s v="Emma Schmidt"/>
    <d v="2027-01-04T00:00:00"/>
    <s v="Completed"/>
    <x v="0"/>
    <x v="1"/>
    <x v="1"/>
    <s v="Elevated"/>
  </r>
  <r>
    <s v="CTRL-0157"/>
    <s v="Policy Control 157"/>
    <s v="RESPOND"/>
    <s v="RS.MA"/>
    <x v="5"/>
    <x v="0"/>
    <s v="Singapore"/>
    <x v="3"/>
    <s v="Alex Chen"/>
    <s v="Quarterly"/>
    <d v="2025-08-19T00:00:00"/>
    <d v="2025-11-17T00:00:00"/>
    <x v="0"/>
    <s v="Pending"/>
    <n v="3"/>
    <s v="Sam Rivera"/>
    <d v="2027-01-06T00:00:00"/>
    <s v="In Progress"/>
    <x v="0"/>
    <x v="1"/>
    <x v="3"/>
    <s v="Elevated"/>
  </r>
  <r>
    <s v="CTRL-0158"/>
    <s v="Vendor Control 158"/>
    <s v="GOVERN"/>
    <s v="GV.OC"/>
    <x v="1"/>
    <x v="2"/>
    <s v="Germany"/>
    <x v="1"/>
    <s v="Maya Patel"/>
    <s v="Annual"/>
    <d v="2026-08-25T00:00:00"/>
    <d v="2027-08-25T00:00:00"/>
    <x v="1"/>
    <s v="Complete"/>
    <n v="1"/>
    <s v="Alex Chen"/>
    <d v="2026-07-17T00:00:00"/>
    <s v="Completed"/>
    <x v="1"/>
    <x v="1"/>
    <x v="2"/>
    <s v="Standard"/>
  </r>
  <r>
    <s v="CTRL-0159"/>
    <s v="Data Control 159"/>
    <s v="DETECT"/>
    <s v="DE.CM"/>
    <x v="4"/>
    <x v="1"/>
    <s v="United States"/>
    <x v="2"/>
    <s v="Sam Rivera"/>
    <s v="Annual"/>
    <d v="2025-08-20T00:00:00"/>
    <d v="2025-11-18T00:00:00"/>
    <x v="0"/>
    <s v="Complete"/>
    <n v="2"/>
    <s v="Noah Williams"/>
    <d v="2026-07-31T00:00:00"/>
    <s v="Overdue"/>
    <x v="0"/>
    <x v="1"/>
    <x v="2"/>
    <s v="Standard"/>
  </r>
  <r>
    <s v="CTRL-0160"/>
    <s v="Incident Control 160"/>
    <s v="GOVERN"/>
    <s v="GV.RR"/>
    <x v="1"/>
    <x v="1"/>
    <s v="Canada"/>
    <x v="3"/>
    <s v="Sam Rivera"/>
    <s v="Annual"/>
    <d v="2026-02-11T00:00:00"/>
    <d v="2026-08-10T00:00:00"/>
    <x v="0"/>
    <s v="Pending"/>
    <n v="0"/>
    <s v="Emma Schmidt"/>
    <d v="2027-01-13T00:00:00"/>
    <s v="Not Required"/>
    <x v="0"/>
    <x v="1"/>
    <x v="3"/>
    <s v="Elevated"/>
  </r>
  <r>
    <s v="CTRL-0161"/>
    <s v="Vendor Control 161"/>
    <s v="PROTECT"/>
    <s v="PR.AA"/>
    <x v="0"/>
    <x v="0"/>
    <s v="Singapore"/>
    <x v="3"/>
    <s v="Emma Schmidt"/>
    <s v="Quarterly"/>
    <d v="2025-08-04T00:00:00"/>
    <d v="2026-08-04T00:00:00"/>
    <x v="0"/>
    <s v="Pending"/>
    <n v="5"/>
    <s v="Liam Brown"/>
    <d v="2026-11-02T00:00:00"/>
    <s v="In Progress"/>
    <x v="0"/>
    <x v="1"/>
    <x v="3"/>
    <s v="Elevated"/>
  </r>
  <r>
    <s v="CTRL-0162"/>
    <s v="Vendor Control 162"/>
    <s v="GOVERN"/>
    <s v="GV.RR"/>
    <x v="2"/>
    <x v="1"/>
    <s v="United States"/>
    <x v="0"/>
    <s v="Jordan Lee"/>
    <s v="Quarterly"/>
    <d v="2025-07-25T00:00:00"/>
    <d v="2026-01-21T00:00:00"/>
    <x v="0"/>
    <s v="Complete"/>
    <n v="4"/>
    <s v="Taylor Morgan"/>
    <d v="2026-10-31T00:00:00"/>
    <s v="In Progress"/>
    <x v="0"/>
    <x v="1"/>
    <x v="2"/>
    <s v="Elevated"/>
  </r>
  <r>
    <s v="CTRL-0163"/>
    <s v="Policy Control 163"/>
    <s v="GOVERN"/>
    <s v="GV.OC"/>
    <x v="5"/>
    <x v="1"/>
    <s v="Canada"/>
    <x v="1"/>
    <s v="Liam Brown"/>
    <s v="Quarterly"/>
    <d v="2025-07-04T00:00:00"/>
    <d v="2025-12-31T00:00:00"/>
    <x v="0"/>
    <s v="Complete"/>
    <n v="1"/>
    <s v="Sam Rivera"/>
    <d v="2026-04-29T00:00:00"/>
    <s v="Completed"/>
    <x v="0"/>
    <x v="1"/>
    <x v="2"/>
    <s v="Standard"/>
  </r>
  <r>
    <s v="CTRL-0164"/>
    <s v="Change Control 164"/>
    <s v="RECOVER"/>
    <s v="RC.RP"/>
    <x v="4"/>
    <x v="0"/>
    <s v="Singapore"/>
    <x v="1"/>
    <s v="Noah Williams"/>
    <s v="Annual"/>
    <d v="2026-04-08T00:00:00"/>
    <d v="2026-07-07T00:00:00"/>
    <x v="0"/>
    <s v="Complete"/>
    <n v="1"/>
    <s v="Sam Rivera"/>
    <d v="2026-06-02T00:00:00"/>
    <s v="Overdue"/>
    <x v="0"/>
    <x v="1"/>
    <x v="2"/>
    <s v="Standard"/>
  </r>
  <r>
    <s v="CTRL-0165"/>
    <s v="Vendor Control 165"/>
    <s v="RECOVER"/>
    <s v="RC.RP"/>
    <x v="3"/>
    <x v="2"/>
    <s v="United Kingdom"/>
    <x v="2"/>
    <s v="Taylor Morgan"/>
    <s v="Quarterly"/>
    <d v="2026-02-28T00:00:00"/>
    <d v="2026-08-27T00:00:00"/>
    <x v="0"/>
    <s v="Missing"/>
    <n v="2"/>
    <s v="Liam Brown"/>
    <d v="2026-09-07T00:00:00"/>
    <s v="Completed"/>
    <x v="0"/>
    <x v="1"/>
    <x v="1"/>
    <s v="Standard"/>
  </r>
  <r>
    <s v="CTRL-0166"/>
    <s v="Reconciliation Control 166"/>
    <s v="RESPOND"/>
    <s v="RS.MA"/>
    <x v="2"/>
    <x v="2"/>
    <s v="United Kingdom"/>
    <x v="2"/>
    <s v="Alex Chen"/>
    <s v="Quarterly"/>
    <d v="2025-11-26T00:00:00"/>
    <d v="2026-02-24T00:00:00"/>
    <x v="0"/>
    <s v="Missing"/>
    <n v="1"/>
    <s v="Sam Rivera"/>
    <d v="2026-04-11T00:00:00"/>
    <s v="Completed"/>
    <x v="0"/>
    <x v="1"/>
    <x v="1"/>
    <s v="Standard"/>
  </r>
  <r>
    <s v="CTRL-0167"/>
    <s v="Vendor Control 167"/>
    <s v="RECOVER"/>
    <s v="RC.RP"/>
    <x v="4"/>
    <x v="2"/>
    <s v="United Kingdom"/>
    <x v="2"/>
    <s v="Sam Rivera"/>
    <s v="Quarterly"/>
    <d v="2025-12-29T00:00:00"/>
    <d v="2026-12-29T00:00:00"/>
    <x v="2"/>
    <m/>
    <n v="2"/>
    <s v="Noah Williams"/>
    <d v="2026-12-09T00:00:00"/>
    <s v="In Progress"/>
    <x v="1"/>
    <x v="1"/>
    <x v="0"/>
    <s v="Standard"/>
  </r>
  <r>
    <s v="CTRL-0168"/>
    <s v="Policy Control 168"/>
    <s v="GOVERN"/>
    <s v="GV.OC"/>
    <x v="5"/>
    <x v="1"/>
    <s v="United States"/>
    <x v="2"/>
    <s v="Jordan Lee"/>
    <s v="Quarterly"/>
    <d v="2025-05-29T00:00:00"/>
    <d v="2026-05-29T00:00:00"/>
    <x v="0"/>
    <s v="Missing"/>
    <n v="0"/>
    <s v="Alex Chen"/>
    <d v="2026-12-27T00:00:00"/>
    <s v="Not Required"/>
    <x v="0"/>
    <x v="1"/>
    <x v="1"/>
    <s v="Standard"/>
  </r>
  <r>
    <s v="CTRL-0169"/>
    <s v="Incident Control 169"/>
    <s v="RECOVER"/>
    <s v="RC.RP"/>
    <x v="1"/>
    <x v="1"/>
    <s v="Canada"/>
    <x v="0"/>
    <s v="Sam Rivera"/>
    <s v="Semiannual"/>
    <d v="2026-08-07T00:00:00"/>
    <d v="2027-08-07T00:00:00"/>
    <x v="1"/>
    <s v="Complete"/>
    <n v="4"/>
    <s v="Alex Chen"/>
    <d v="2026-11-22T00:00:00"/>
    <s v="In Progress"/>
    <x v="1"/>
    <x v="1"/>
    <x v="2"/>
    <s v="Elevated"/>
  </r>
  <r>
    <s v="CTRL-0170"/>
    <s v="Data Control 170"/>
    <s v="GOVERN"/>
    <s v="GV.RM"/>
    <x v="0"/>
    <x v="1"/>
    <s v="Canada"/>
    <x v="1"/>
    <s v="Taylor Morgan"/>
    <s v="Quarterly"/>
    <d v="2025-12-10T00:00:00"/>
    <d v="2026-06-08T00:00:00"/>
    <x v="0"/>
    <s v="Complete"/>
    <n v="3"/>
    <s v="Sam Rivera"/>
    <d v="2026-07-03T00:00:00"/>
    <s v="Completed"/>
    <x v="0"/>
    <x v="1"/>
    <x v="2"/>
    <s v="Standard"/>
  </r>
  <r>
    <s v="CTRL-0171"/>
    <s v="Incident Control 171"/>
    <s v="GOVERN"/>
    <s v="GV.RM"/>
    <x v="2"/>
    <x v="1"/>
    <s v="Canada"/>
    <x v="1"/>
    <s v="Emma Schmidt"/>
    <s v="Annual"/>
    <d v="2026-08-01T00:00:00"/>
    <d v="2027-01-28T00:00:00"/>
    <x v="2"/>
    <s v="Missing"/>
    <n v="1"/>
    <s v="Alex Chen"/>
    <d v="2026-07-27T00:00:00"/>
    <s v="Completed"/>
    <x v="1"/>
    <x v="1"/>
    <x v="1"/>
    <s v="Standard"/>
  </r>
  <r>
    <s v="CTRL-0172"/>
    <s v="Incident Control 172"/>
    <s v="RESPOND"/>
    <s v="RS.MA"/>
    <x v="4"/>
    <x v="1"/>
    <s v="Canada"/>
    <x v="2"/>
    <s v="Liam Brown"/>
    <s v="Semiannual"/>
    <d v="2026-08-13T00:00:00"/>
    <d v="2027-08-13T00:00:00"/>
    <x v="1"/>
    <s v="Complete"/>
    <n v="0"/>
    <s v="Maya Patel"/>
    <d v="2026-12-14T00:00:00"/>
    <s v="Not Required"/>
    <x v="1"/>
    <x v="1"/>
    <x v="2"/>
    <s v="Standard"/>
  </r>
  <r>
    <s v="CTRL-0173"/>
    <s v="Change Control 173"/>
    <s v="GOVERN"/>
    <s v="GV.OC"/>
    <x v="1"/>
    <x v="0"/>
    <s v="Singapore"/>
    <x v="1"/>
    <s v="Liam Brown"/>
    <s v="Semiannual"/>
    <d v="2026-04-25T00:00:00"/>
    <d v="2026-07-24T00:00:00"/>
    <x v="0"/>
    <s v="Complete"/>
    <n v="2"/>
    <s v="Alex Chen"/>
    <d v="2027-01-06T00:00:00"/>
    <s v="In Progress"/>
    <x v="0"/>
    <x v="1"/>
    <x v="2"/>
    <s v="Standard"/>
  </r>
  <r>
    <s v="CTRL-0174"/>
    <s v="Incident Control 174"/>
    <s v="RESPOND"/>
    <s v="RS.MA"/>
    <x v="5"/>
    <x v="1"/>
    <s v="United States"/>
    <x v="0"/>
    <s v="Maya Patel"/>
    <s v="Annual"/>
    <d v="2026-04-10T00:00:00"/>
    <d v="2026-07-09T00:00:00"/>
    <x v="0"/>
    <s v="Missing"/>
    <n v="1"/>
    <s v="Noah Williams"/>
    <d v="2027-01-18T00:00:00"/>
    <s v="In Progress"/>
    <x v="0"/>
    <x v="1"/>
    <x v="1"/>
    <s v="Elevated"/>
  </r>
  <r>
    <s v="CTRL-0175"/>
    <s v="Access Control 175"/>
    <s v="DETECT"/>
    <s v="DE.CM"/>
    <x v="5"/>
    <x v="2"/>
    <s v="United Kingdom"/>
    <x v="0"/>
    <s v="Noah Williams"/>
    <s v="Annual"/>
    <d v="2026-08-14T00:00:00"/>
    <d v="2026-11-12T00:00:00"/>
    <x v="1"/>
    <s v="Complete"/>
    <n v="2"/>
    <s v="Taylor Morgan"/>
    <d v="2026-10-23T00:00:00"/>
    <s v="In Progress"/>
    <x v="1"/>
    <x v="1"/>
    <x v="2"/>
    <s v="Elevated"/>
  </r>
  <r>
    <s v="CTRL-0176"/>
    <s v="Policy Control 176"/>
    <s v="PROTECT"/>
    <s v="PR.AA"/>
    <x v="1"/>
    <x v="2"/>
    <s v="Germany"/>
    <x v="2"/>
    <s v="Emma Schmidt"/>
    <s v="Quarterly"/>
    <d v="2026-02-01T00:00:00"/>
    <d v="2026-05-02T00:00:00"/>
    <x v="0"/>
    <s v="Missing"/>
    <n v="3"/>
    <s v="Maya Patel"/>
    <d v="2026-05-16T00:00:00"/>
    <s v="Overdue"/>
    <x v="0"/>
    <x v="1"/>
    <x v="1"/>
    <s v="Standard"/>
  </r>
  <r>
    <s v="CTRL-0177"/>
    <s v="Vendor Control 177"/>
    <s v="PROTECT"/>
    <s v="PR.AA"/>
    <x v="1"/>
    <x v="1"/>
    <s v="Canada"/>
    <x v="2"/>
    <s v="Jordan Lee"/>
    <s v="Semiannual"/>
    <d v="2025-08-28T00:00:00"/>
    <d v="2026-02-24T00:00:00"/>
    <x v="0"/>
    <s v="Pending"/>
    <n v="2"/>
    <s v="Taylor Morgan"/>
    <d v="2026-05-27T00:00:00"/>
    <s v="Completed"/>
    <x v="0"/>
    <x v="1"/>
    <x v="3"/>
    <s v="Standard"/>
  </r>
  <r>
    <s v="CTRL-0178"/>
    <s v="Data Control 178"/>
    <s v="DETECT"/>
    <s v="DE.CM"/>
    <x v="0"/>
    <x v="1"/>
    <s v="United States"/>
    <x v="1"/>
    <s v="Liam Brown"/>
    <s v="Quarterly"/>
    <d v="2025-11-29T00:00:00"/>
    <d v="2026-11-29T00:00:00"/>
    <x v="1"/>
    <s v="Complete"/>
    <n v="0"/>
    <s v="Noah Williams"/>
    <d v="2026-05-18T00:00:00"/>
    <s v="Not Required"/>
    <x v="1"/>
    <x v="1"/>
    <x v="2"/>
    <s v="Standard"/>
  </r>
  <r>
    <s v="CTRL-0179"/>
    <s v="Reconciliation Control 179"/>
    <s v="PROTECT"/>
    <s v="PR.AA"/>
    <x v="2"/>
    <x v="2"/>
    <s v="United Kingdom"/>
    <x v="2"/>
    <s v="Maya Patel"/>
    <s v="Semiannual"/>
    <d v="2025-09-04T00:00:00"/>
    <d v="2026-09-04T00:00:00"/>
    <x v="0"/>
    <s v="Complete"/>
    <n v="1"/>
    <s v="Liam Brown"/>
    <d v="2026-10-14T00:00:00"/>
    <s v="Completed"/>
    <x v="0"/>
    <x v="1"/>
    <x v="2"/>
    <s v="Standard"/>
  </r>
  <r>
    <s v="CTRL-0180"/>
    <s v="Vendor Control 180"/>
    <s v="IDENTIFY"/>
    <s v="ID.AM"/>
    <x v="1"/>
    <x v="1"/>
    <s v="United States"/>
    <x v="2"/>
    <s v="Emma Schmidt"/>
    <s v="Quarterly"/>
    <d v="2026-04-10T00:00:00"/>
    <d v="2026-10-07T00:00:00"/>
    <x v="2"/>
    <s v="Pending"/>
    <n v="1"/>
    <s v="Jordan Lee"/>
    <d v="2026-12-12T00:00:00"/>
    <s v="In Progress"/>
    <x v="1"/>
    <x v="1"/>
    <x v="3"/>
    <s v="Standard"/>
  </r>
  <r>
    <s v="CTRL-0181"/>
    <s v="Reconciliation Control 181"/>
    <s v="GOVERN"/>
    <s v="GV.RR"/>
    <x v="4"/>
    <x v="2"/>
    <s v="United Kingdom"/>
    <x v="2"/>
    <s v="Emma Schmidt"/>
    <s v="Semiannual"/>
    <d v="2025-07-26T00:00:00"/>
    <d v="2026-01-22T00:00:00"/>
    <x v="0"/>
    <s v="Pending"/>
    <n v="2"/>
    <s v="Sam Rivera"/>
    <d v="2026-11-09T00:00:00"/>
    <s v="In Progress"/>
    <x v="0"/>
    <x v="1"/>
    <x v="3"/>
    <s v="Standard"/>
  </r>
  <r>
    <s v="CTRL-0182"/>
    <s v="Reconciliation Control 182"/>
    <s v="RESPOND"/>
    <s v="RS.MA"/>
    <x v="1"/>
    <x v="2"/>
    <s v="Germany"/>
    <x v="3"/>
    <s v="Noah Williams"/>
    <s v="Quarterly"/>
    <d v="2026-04-14T00:00:00"/>
    <d v="2027-04-14T00:00:00"/>
    <x v="2"/>
    <s v="Missing"/>
    <n v="1"/>
    <s v="Sam Rivera"/>
    <d v="2026-09-16T00:00:00"/>
    <s v="Overdue"/>
    <x v="1"/>
    <x v="1"/>
    <x v="1"/>
    <s v="Elevated"/>
  </r>
  <r>
    <s v="CTRL-0183"/>
    <s v="Policy Control 183"/>
    <s v="GOVERN"/>
    <s v="GV.RM"/>
    <x v="5"/>
    <x v="0"/>
    <s v="Singapore"/>
    <x v="0"/>
    <s v="Alex Chen"/>
    <s v="Semiannual"/>
    <d v="2025-09-03T00:00:00"/>
    <d v="2026-03-02T00:00:00"/>
    <x v="0"/>
    <s v="Missing"/>
    <n v="1"/>
    <s v="Liam Brown"/>
    <d v="2026-11-13T00:00:00"/>
    <s v="In Progress"/>
    <x v="0"/>
    <x v="1"/>
    <x v="1"/>
    <s v="Elevated"/>
  </r>
  <r>
    <s v="CTRL-0184"/>
    <s v="Data Control 184"/>
    <s v="RECOVER"/>
    <s v="RC.RP"/>
    <x v="1"/>
    <x v="1"/>
    <s v="Canada"/>
    <x v="1"/>
    <s v="Jordan Lee"/>
    <s v="Semiannual"/>
    <d v="2025-09-09T00:00:00"/>
    <d v="2026-03-08T00:00:00"/>
    <x v="0"/>
    <s v="Pending"/>
    <n v="0"/>
    <s v="Emma Schmidt"/>
    <d v="2026-11-18T00:00:00"/>
    <s v="Not Required"/>
    <x v="0"/>
    <x v="1"/>
    <x v="3"/>
    <s v="Standard"/>
  </r>
  <r>
    <s v="CTRL-0185"/>
    <s v="Policy Control 185"/>
    <s v="RESPOND"/>
    <s v="RS.MA"/>
    <x v="2"/>
    <x v="0"/>
    <s v="Singapore"/>
    <x v="0"/>
    <s v="Maya Patel"/>
    <s v="Semiannual"/>
    <d v="2026-07-17T00:00:00"/>
    <d v="2026-10-15T00:00:00"/>
    <x v="2"/>
    <s v="Complete"/>
    <n v="5"/>
    <s v="Emma Schmidt"/>
    <d v="2026-04-25T00:00:00"/>
    <s v="Overdue"/>
    <x v="1"/>
    <x v="1"/>
    <x v="2"/>
    <s v="Elevated"/>
  </r>
  <r>
    <s v="CTRL-0186"/>
    <s v="Vendor Control 186"/>
    <s v="GOVERN"/>
    <s v="GV.OC"/>
    <x v="0"/>
    <x v="1"/>
    <s v="United States"/>
    <x v="1"/>
    <s v="Sam Rivera"/>
    <s v="Quarterly"/>
    <d v="2026-01-25T00:00:00"/>
    <d v="2026-07-24T00:00:00"/>
    <x v="0"/>
    <s v="Pending"/>
    <n v="3"/>
    <s v="Taylor Morgan"/>
    <d v="2026-12-15T00:00:00"/>
    <s v="Completed"/>
    <x v="0"/>
    <x v="1"/>
    <x v="3"/>
    <s v="Standard"/>
  </r>
  <r>
    <s v="CTRL-0187"/>
    <s v="Vendor Control 187"/>
    <s v="DETECT"/>
    <s v="DE.CM"/>
    <x v="0"/>
    <x v="2"/>
    <s v="United Kingdom"/>
    <x v="0"/>
    <s v="Jordan Lee"/>
    <s v="Quarterly"/>
    <d v="2026-03-16T00:00:00"/>
    <d v="2026-09-12T00:00:00"/>
    <x v="0"/>
    <s v="Pending"/>
    <n v="3"/>
    <s v="Liam Brown"/>
    <d v="2026-07-17T00:00:00"/>
    <s v="Overdue"/>
    <x v="0"/>
    <x v="1"/>
    <x v="3"/>
    <s v="Elevated"/>
  </r>
  <r>
    <s v="CTRL-0188"/>
    <s v="Incident Control 188"/>
    <s v="GOVERN"/>
    <s v="GV.RM"/>
    <x v="2"/>
    <x v="0"/>
    <s v="Singapore"/>
    <x v="1"/>
    <s v="Alex Chen"/>
    <s v="Quarterly"/>
    <d v="2025-07-23T00:00:00"/>
    <d v="2026-07-23T00:00:00"/>
    <x v="0"/>
    <s v="Complete"/>
    <n v="0"/>
    <s v="Sam Rivera"/>
    <d v="2026-09-25T00:00:00"/>
    <s v="Not Required"/>
    <x v="0"/>
    <x v="1"/>
    <x v="2"/>
    <s v="Standard"/>
  </r>
  <r>
    <s v="CTRL-0189"/>
    <s v="Incident Control 189"/>
    <s v="GOVERN"/>
    <s v="GV.RR"/>
    <x v="3"/>
    <x v="0"/>
    <s v="Singapore"/>
    <x v="1"/>
    <m/>
    <s v="Annual"/>
    <d v="2025-11-28T00:00:00"/>
    <d v="2026-05-27T00:00:00"/>
    <x v="0"/>
    <s v="Pending"/>
    <n v="1"/>
    <s v="Emma Schmidt"/>
    <d v="2026-10-27T00:00:00"/>
    <s v="In Progress"/>
    <x v="0"/>
    <x v="0"/>
    <x v="3"/>
    <s v="Standard"/>
  </r>
  <r>
    <s v="CTRL-0190"/>
    <s v="Data Control 190"/>
    <s v="GOVERN"/>
    <s v="GV.RM"/>
    <x v="5"/>
    <x v="2"/>
    <s v="United Kingdom"/>
    <x v="2"/>
    <s v="Sam Rivera"/>
    <s v="Quarterly"/>
    <d v="2026-01-23T00:00:00"/>
    <d v="2027-01-23T00:00:00"/>
    <x v="1"/>
    <s v="Complete"/>
    <n v="1"/>
    <s v="Jordan Lee"/>
    <d v="2026-07-17T00:00:00"/>
    <s v="Completed"/>
    <x v="1"/>
    <x v="1"/>
    <x v="2"/>
    <s v="Standard"/>
  </r>
  <r>
    <s v="CTRL-0191"/>
    <s v="Reconciliation Control 191"/>
    <s v="GOVERN"/>
    <s v="GV.RM"/>
    <x v="1"/>
    <x v="2"/>
    <s v="Germany"/>
    <x v="2"/>
    <s v="Taylor Morgan"/>
    <s v="Semiannual"/>
    <d v="2025-10-02T00:00:00"/>
    <d v="2026-03-31T00:00:00"/>
    <x v="0"/>
    <s v="Missing"/>
    <n v="2"/>
    <s v="Liam Brown"/>
    <d v="2026-10-18T00:00:00"/>
    <s v="In Progress"/>
    <x v="0"/>
    <x v="1"/>
    <x v="1"/>
    <s v="Standard"/>
  </r>
  <r>
    <s v="CTRL-0192"/>
    <s v="Access Control 192"/>
    <s v="DETECT"/>
    <s v="DE.CM"/>
    <x v="5"/>
    <x v="0"/>
    <s v="Singapore"/>
    <x v="0"/>
    <s v="Taylor Morgan"/>
    <s v="Quarterly"/>
    <d v="2025-05-28T00:00:00"/>
    <d v="2026-05-28T00:00:00"/>
    <x v="0"/>
    <s v="Missing"/>
    <n v="0"/>
    <s v="Taylor Morgan"/>
    <d v="2026-06-10T00:00:00"/>
    <s v="Not Required"/>
    <x v="0"/>
    <x v="1"/>
    <x v="1"/>
    <s v="Elevated"/>
  </r>
  <r>
    <s v="CTRL-0193"/>
    <s v="Data Control 193"/>
    <s v="GOVERN"/>
    <s v="GV.RR"/>
    <x v="2"/>
    <x v="1"/>
    <s v="United States"/>
    <x v="2"/>
    <s v="Emma Schmidt"/>
    <s v="Quarterly"/>
    <d v="2026-02-08T00:00:00"/>
    <d v="2027-02-08T00:00:00"/>
    <x v="1"/>
    <s v="Pending"/>
    <n v="3"/>
    <s v="Liam Brown"/>
    <d v="2026-07-07T00:00:00"/>
    <s v="Overdue"/>
    <x v="1"/>
    <x v="1"/>
    <x v="3"/>
    <s v="Standard"/>
  </r>
  <r>
    <s v="CTRL-0194"/>
    <s v="Change Control 194"/>
    <s v="GOVERN"/>
    <s v="GV.RR"/>
    <x v="1"/>
    <x v="2"/>
    <s v="United Kingdom"/>
    <x v="2"/>
    <s v="Liam Brown"/>
    <s v="Semiannual"/>
    <d v="2025-10-28T00:00:00"/>
    <d v="2026-01-26T00:00:00"/>
    <x v="0"/>
    <s v="Pending"/>
    <n v="0"/>
    <s v="Liam Brown"/>
    <d v="2026-12-07T00:00:00"/>
    <s v="Not Required"/>
    <x v="0"/>
    <x v="1"/>
    <x v="3"/>
    <s v="Standard"/>
  </r>
  <r>
    <s v="CTRL-0195"/>
    <s v="Reconciliation Control 195"/>
    <s v="IDENTIFY"/>
    <s v="ID.AM"/>
    <x v="4"/>
    <x v="2"/>
    <s v="Germany"/>
    <x v="0"/>
    <s v="Liam Brown"/>
    <s v="Quarterly"/>
    <d v="2026-01-03T00:00:00"/>
    <d v="2026-04-03T00:00:00"/>
    <x v="0"/>
    <s v="Complete"/>
    <n v="4"/>
    <s v="Taylor Morgan"/>
    <d v="2026-04-18T00:00:00"/>
    <s v="Overdue"/>
    <x v="0"/>
    <x v="1"/>
    <x v="2"/>
    <s v="Elevated"/>
  </r>
  <r>
    <s v="CTRL-0196"/>
    <s v="Data Control 196"/>
    <s v="DETECT"/>
    <s v="DE.CM"/>
    <x v="1"/>
    <x v="1"/>
    <s v="Canada"/>
    <x v="0"/>
    <s v="Liam Brown"/>
    <s v="Quarterly"/>
    <d v="2025-12-03T00:00:00"/>
    <d v="2026-12-03T00:00:00"/>
    <x v="1"/>
    <s v="Complete"/>
    <n v="2"/>
    <s v="Liam Brown"/>
    <d v="2027-01-06T00:00:00"/>
    <s v="In Progress"/>
    <x v="1"/>
    <x v="1"/>
    <x v="2"/>
    <s v="Elevated"/>
  </r>
  <r>
    <s v="CTRL-0197"/>
    <s v="Vendor Control 197"/>
    <s v="GOVERN"/>
    <s v="GV.RM"/>
    <x v="4"/>
    <x v="0"/>
    <s v="Singapore"/>
    <x v="1"/>
    <s v="Sam Rivera"/>
    <s v="Quarterly"/>
    <d v="2026-04-11T00:00:00"/>
    <d v="2026-07-10T00:00:00"/>
    <x v="0"/>
    <s v="Pending"/>
    <n v="2"/>
    <s v="Sam Rivera"/>
    <d v="2026-09-28T00:00:00"/>
    <s v="Overdue"/>
    <x v="0"/>
    <x v="1"/>
    <x v="3"/>
    <s v="Standard"/>
  </r>
  <r>
    <s v="CTRL-0198"/>
    <s v="Data Control 198"/>
    <s v="PROTECT"/>
    <s v="PR.AA"/>
    <x v="5"/>
    <x v="1"/>
    <s v="Canada"/>
    <x v="2"/>
    <s v="Emma Schmidt"/>
    <s v="Annual"/>
    <d v="2026-06-18T00:00:00"/>
    <d v="2027-06-18T00:00:00"/>
    <x v="1"/>
    <s v="Complete"/>
    <n v="1"/>
    <s v="Jordan Lee"/>
    <d v="2026-05-03T00:00:00"/>
    <s v="Overdue"/>
    <x v="1"/>
    <x v="1"/>
    <x v="2"/>
    <s v="Standard"/>
  </r>
  <r>
    <s v="CTRL-0199"/>
    <s v="Policy Control 199"/>
    <s v="DETECT"/>
    <s v="DE.CM"/>
    <x v="2"/>
    <x v="2"/>
    <s v="Germany"/>
    <x v="2"/>
    <s v="Maya Patel"/>
    <s v="Quarterly"/>
    <d v="2026-07-03T00:00:00"/>
    <d v="2026-12-30T00:00:00"/>
    <x v="2"/>
    <s v="Missing"/>
    <n v="1"/>
    <s v="Emma Schmidt"/>
    <d v="2026-06-09T00:00:00"/>
    <s v="Completed"/>
    <x v="1"/>
    <x v="1"/>
    <x v="1"/>
    <s v="Standard"/>
  </r>
  <r>
    <s v="CTRL-0200"/>
    <s v="Incident Control 200"/>
    <s v="PROTECT"/>
    <s v="PR.AA"/>
    <x v="3"/>
    <x v="2"/>
    <s v="United Kingdom"/>
    <x v="2"/>
    <s v="Emma Schmidt"/>
    <s v="Semiannual"/>
    <d v="2026-03-02T00:00:00"/>
    <d v="2026-08-29T00:00:00"/>
    <x v="0"/>
    <s v="Complete"/>
    <n v="0"/>
    <s v="Liam Brown"/>
    <d v="2026-10-26T00:00:00"/>
    <s v="Not Required"/>
    <x v="0"/>
    <x v="1"/>
    <x v="2"/>
    <s v="Standard"/>
  </r>
  <r>
    <s v="CTRL-0201"/>
    <s v="Change Control 201"/>
    <s v="RESPOND"/>
    <s v="RS.MA"/>
    <x v="3"/>
    <x v="2"/>
    <s v="Germany"/>
    <x v="1"/>
    <s v="Maya Patel"/>
    <s v="Semiannual"/>
    <d v="2025-09-01T00:00:00"/>
    <d v="2026-02-28T00:00:00"/>
    <x v="0"/>
    <s v="Missing"/>
    <n v="2"/>
    <s v="Sam Rivera"/>
    <d v="2026-05-05T00:00:00"/>
    <s v="Overdue"/>
    <x v="0"/>
    <x v="1"/>
    <x v="1"/>
    <s v="Standard"/>
  </r>
  <r>
    <s v="CTRL-0202"/>
    <s v="Access Control 202"/>
    <s v="RECOVER"/>
    <s v="RC.RP"/>
    <x v="2"/>
    <x v="2"/>
    <s v="Germany"/>
    <x v="0"/>
    <s v="Noah Williams"/>
    <s v="Quarterly"/>
    <d v="2025-12-04T00:00:00"/>
    <d v="2026-12-04T00:00:00"/>
    <x v="1"/>
    <s v="Pending"/>
    <n v="2"/>
    <s v="Jordan Lee"/>
    <d v="2026-04-27T00:00:00"/>
    <s v="Completed"/>
    <x v="1"/>
    <x v="1"/>
    <x v="3"/>
    <s v="Elevated"/>
  </r>
  <r>
    <s v="CTRL-0203"/>
    <s v="Access Control 203"/>
    <s v="PROTECT"/>
    <s v="PR.AA"/>
    <x v="0"/>
    <x v="2"/>
    <s v="Germany"/>
    <x v="3"/>
    <s v="Emma Schmidt"/>
    <s v="Semiannual"/>
    <d v="2026-05-30T00:00:00"/>
    <d v="2027-05-30T00:00:00"/>
    <x v="2"/>
    <s v="Complete"/>
    <n v="2"/>
    <s v="Jordan Lee"/>
    <d v="2026-05-20T00:00:00"/>
    <s v="Overdue"/>
    <x v="1"/>
    <x v="1"/>
    <x v="2"/>
    <s v="Elevated"/>
  </r>
  <r>
    <s v="CTRL-0204"/>
    <s v="Access Control 204"/>
    <s v="RECOVER"/>
    <s v="RC.RP"/>
    <x v="5"/>
    <x v="1"/>
    <s v="Canada"/>
    <x v="2"/>
    <s v="Sam Rivera"/>
    <s v="Quarterly"/>
    <d v="2026-02-03T00:00:00"/>
    <d v="2027-02-03T00:00:00"/>
    <x v="1"/>
    <s v="Complete"/>
    <n v="0"/>
    <s v="Sam Rivera"/>
    <d v="2026-07-21T00:00:00"/>
    <s v="Not Required"/>
    <x v="1"/>
    <x v="1"/>
    <x v="2"/>
    <s v="Standard"/>
  </r>
  <r>
    <s v="CTRL-0205"/>
    <s v="Access Control 205"/>
    <s v="RESPOND"/>
    <s v="RS.MA"/>
    <x v="0"/>
    <x v="0"/>
    <s v="Singapore"/>
    <x v="1"/>
    <s v="Noah Williams"/>
    <s v="Annual"/>
    <d v="2025-07-19T00:00:00"/>
    <d v="2025-10-17T00:00:00"/>
    <x v="0"/>
    <s v="Pending"/>
    <n v="1"/>
    <s v="Maya Patel"/>
    <d v="2026-12-03T00:00:00"/>
    <s v="Completed"/>
    <x v="0"/>
    <x v="1"/>
    <x v="3"/>
    <s v="Standard"/>
  </r>
  <r>
    <s v="CTRL-0206"/>
    <s v="Data Control 206"/>
    <s v="GOVERN"/>
    <s v="GV.OC"/>
    <x v="2"/>
    <x v="1"/>
    <s v="Canada"/>
    <x v="0"/>
    <s v="Jordan Lee"/>
    <s v="Annual"/>
    <d v="2026-02-27T00:00:00"/>
    <d v="2026-05-28T00:00:00"/>
    <x v="0"/>
    <s v="Missing"/>
    <n v="5"/>
    <s v="Jordan Lee"/>
    <d v="2026-06-15T00:00:00"/>
    <s v="Completed"/>
    <x v="0"/>
    <x v="1"/>
    <x v="1"/>
    <s v="Elevated"/>
  </r>
  <r>
    <s v="CTRL-0207"/>
    <s v="Change Control 207"/>
    <s v="GOVERN"/>
    <s v="GV.RM"/>
    <x v="5"/>
    <x v="2"/>
    <s v="Germany"/>
    <x v="1"/>
    <s v="Jordan Lee"/>
    <s v="Quarterly"/>
    <d v="2025-05-28T00:00:00"/>
    <d v="2025-11-24T00:00:00"/>
    <x v="0"/>
    <s v="Missing"/>
    <n v="3"/>
    <s v="Emma Schmidt"/>
    <d v="2026-07-23T00:00:00"/>
    <s v="Completed"/>
    <x v="0"/>
    <x v="1"/>
    <x v="1"/>
    <s v="Standard"/>
  </r>
  <r>
    <s v="CTRL-0208"/>
    <s v="Policy Control 208"/>
    <s v="GOVERN"/>
    <s v="GV.OC"/>
    <x v="2"/>
    <x v="2"/>
    <s v="Germany"/>
    <x v="0"/>
    <s v="Sam Rivera"/>
    <s v="Annual"/>
    <d v="2026-04-22T00:00:00"/>
    <d v="2027-04-22T00:00:00"/>
    <x v="1"/>
    <s v="Missing"/>
    <n v="4"/>
    <s v="Taylor Morgan"/>
    <d v="2026-08-26T00:00:00"/>
    <s v="Overdue"/>
    <x v="1"/>
    <x v="1"/>
    <x v="1"/>
    <s v="Elevated"/>
  </r>
  <r>
    <s v="CTRL-0209"/>
    <s v="Data Control 209"/>
    <s v="GOVERN"/>
    <s v="GV.RM"/>
    <x v="5"/>
    <x v="1"/>
    <s v="United States"/>
    <x v="2"/>
    <s v="Alex Chen"/>
    <s v="Quarterly"/>
    <d v="2025-08-05T00:00:00"/>
    <d v="2025-11-03T00:00:00"/>
    <x v="0"/>
    <s v="Pending"/>
    <n v="3"/>
    <s v="Noah Williams"/>
    <d v="2026-05-30T00:00:00"/>
    <s v="Completed"/>
    <x v="0"/>
    <x v="1"/>
    <x v="3"/>
    <s v="Standard"/>
  </r>
  <r>
    <s v="CTRL-0210"/>
    <s v="Access Control 210"/>
    <s v="GOVERN"/>
    <s v="GV.RM"/>
    <x v="4"/>
    <x v="2"/>
    <s v="United Kingdom"/>
    <x v="0"/>
    <s v="Emma Schmidt"/>
    <s v="Semiannual"/>
    <d v="2026-03-07T00:00:00"/>
    <d v="2027-03-07T00:00:00"/>
    <x v="2"/>
    <s v="Complete"/>
    <n v="0"/>
    <s v="Sam Rivera"/>
    <d v="2027-01-28T00:00:00"/>
    <s v="Not Required"/>
    <x v="1"/>
    <x v="1"/>
    <x v="2"/>
    <s v="Elevated"/>
  </r>
  <r>
    <s v="CTRL-0211"/>
    <s v="Data Control 211"/>
    <s v="GOVERN"/>
    <s v="GV.RM"/>
    <x v="4"/>
    <x v="1"/>
    <s v="United States"/>
    <x v="2"/>
    <s v="Emma Schmidt"/>
    <s v="Quarterly"/>
    <d v="2026-02-06T00:00:00"/>
    <d v="2027-02-06T00:00:00"/>
    <x v="1"/>
    <s v="Missing"/>
    <n v="1"/>
    <s v="Jordan Lee"/>
    <d v="2026-08-23T00:00:00"/>
    <s v="Completed"/>
    <x v="1"/>
    <x v="1"/>
    <x v="1"/>
    <s v="Standard"/>
  </r>
  <r>
    <s v="CTRL-0212"/>
    <s v="Vendor Control 212"/>
    <s v="GOVERN"/>
    <s v="GV.RM"/>
    <x v="4"/>
    <x v="0"/>
    <s v="Singapore"/>
    <x v="2"/>
    <s v="Maya Patel"/>
    <s v="Quarterly"/>
    <d v="2026-04-05T00:00:00"/>
    <d v="2027-04-05T00:00:00"/>
    <x v="1"/>
    <s v="Complete"/>
    <n v="0"/>
    <s v="Liam Brown"/>
    <d v="2026-08-06T00:00:00"/>
    <s v="Not Required"/>
    <x v="1"/>
    <x v="1"/>
    <x v="2"/>
    <s v="Standard"/>
  </r>
  <r>
    <s v="CTRL-0213"/>
    <s v="Change Control 213"/>
    <s v="PROTECT"/>
    <s v="PR.AA"/>
    <x v="2"/>
    <x v="0"/>
    <s v="Singapore"/>
    <x v="2"/>
    <s v="Jordan Lee"/>
    <s v="Semiannual"/>
    <d v="2026-07-11T00:00:00"/>
    <d v="2026-10-09T00:00:00"/>
    <x v="3"/>
    <s v="Complete"/>
    <n v="3"/>
    <s v="Jordan Lee"/>
    <d v="2026-09-27T00:00:00"/>
    <s v="Overdue"/>
    <x v="1"/>
    <x v="1"/>
    <x v="2"/>
    <s v="Standard"/>
  </r>
  <r>
    <s v="CTRL-0214"/>
    <s v="Vendor Control 214"/>
    <s v="GOVERN"/>
    <s v="GV.RM"/>
    <x v="5"/>
    <x v="0"/>
    <s v="Singapore"/>
    <x v="0"/>
    <s v="Alex Chen"/>
    <s v="Semiannual"/>
    <d v="2026-03-23T00:00:00"/>
    <d v="2026-09-19T00:00:00"/>
    <x v="0"/>
    <s v="Pending"/>
    <n v="4"/>
    <s v="Noah Williams"/>
    <d v="2026-05-05T00:00:00"/>
    <s v="Completed"/>
    <x v="0"/>
    <x v="1"/>
    <x v="3"/>
    <s v="Elevated"/>
  </r>
  <r>
    <s v="CTRL-0215"/>
    <s v="Access Control 215"/>
    <s v="GOVERN"/>
    <s v="GV.OC"/>
    <x v="3"/>
    <x v="1"/>
    <s v="Canada"/>
    <x v="1"/>
    <s v="Jordan Lee"/>
    <s v="Quarterly"/>
    <d v="2026-05-03T00:00:00"/>
    <d v="2026-08-01T00:00:00"/>
    <x v="0"/>
    <s v="Missing"/>
    <n v="0"/>
    <s v="Sam Rivera"/>
    <d v="2026-07-28T00:00:00"/>
    <s v="Not Required"/>
    <x v="0"/>
    <x v="1"/>
    <x v="1"/>
    <s v="Standard"/>
  </r>
  <r>
    <s v="CTRL-0216"/>
    <s v="Incident Control 216"/>
    <s v="RESPOND"/>
    <s v="RS.MA"/>
    <x v="2"/>
    <x v="1"/>
    <s v="Canada"/>
    <x v="2"/>
    <s v="Jordan Lee"/>
    <s v="Semiannual"/>
    <d v="2026-06-11T00:00:00"/>
    <d v="2026-09-09T00:00:00"/>
    <x v="0"/>
    <s v="Missing"/>
    <n v="3"/>
    <s v="Taylor Morgan"/>
    <d v="2026-07-26T00:00:00"/>
    <s v="Completed"/>
    <x v="0"/>
    <x v="1"/>
    <x v="1"/>
    <s v="Standard"/>
  </r>
  <r>
    <s v="CTRL-0217"/>
    <s v="Vendor Control 217"/>
    <s v="GOVERN"/>
    <s v="GV.RM"/>
    <x v="0"/>
    <x v="1"/>
    <s v="Canada"/>
    <x v="2"/>
    <s v="Alex Chen"/>
    <s v="Semiannual"/>
    <d v="2026-06-11T00:00:00"/>
    <d v="2026-09-09T00:00:00"/>
    <x v="0"/>
    <s v="Missing"/>
    <n v="0"/>
    <s v="Taylor Morgan"/>
    <d v="2026-10-25T00:00:00"/>
    <s v="Not Required"/>
    <x v="0"/>
    <x v="1"/>
    <x v="1"/>
    <s v="Standard"/>
  </r>
  <r>
    <s v="CTRL-0218"/>
    <s v="Policy Control 218"/>
    <s v="RECOVER"/>
    <s v="RC.RP"/>
    <x v="3"/>
    <x v="2"/>
    <s v="United Kingdom"/>
    <x v="2"/>
    <s v="Noah Williams"/>
    <s v="Quarterly"/>
    <d v="2026-05-31T00:00:00"/>
    <d v="2026-11-27T00:00:00"/>
    <x v="2"/>
    <s v="Missing"/>
    <n v="1"/>
    <s v="Sam Rivera"/>
    <d v="2026-11-26T00:00:00"/>
    <s v="In Progress"/>
    <x v="1"/>
    <x v="1"/>
    <x v="1"/>
    <s v="Standard"/>
  </r>
  <r>
    <s v="CTRL-0219"/>
    <s v="Vendor Control 219"/>
    <s v="IDENTIFY"/>
    <s v="ID.AM"/>
    <x v="4"/>
    <x v="1"/>
    <s v="United States"/>
    <x v="1"/>
    <s v="Noah Williams"/>
    <s v="Semiannual"/>
    <d v="2025-10-20T00:00:00"/>
    <d v="2026-10-20T00:00:00"/>
    <x v="2"/>
    <s v="Complete"/>
    <n v="3"/>
    <s v="Alex Chen"/>
    <d v="2026-09-07T00:00:00"/>
    <s v="Completed"/>
    <x v="1"/>
    <x v="1"/>
    <x v="2"/>
    <s v="Standard"/>
  </r>
  <r>
    <s v="CTRL-0220"/>
    <s v="Data Control 220"/>
    <s v="GOVERN"/>
    <s v="GV.RM"/>
    <x v="0"/>
    <x v="1"/>
    <s v="Canada"/>
    <x v="1"/>
    <s v="Sam Rivera"/>
    <s v="Quarterly"/>
    <d v="2025-06-08T00:00:00"/>
    <d v="2026-06-08T00:00:00"/>
    <x v="0"/>
    <s v="Pending"/>
    <n v="2"/>
    <s v="Jordan Lee"/>
    <d v="2026-11-23T00:00:00"/>
    <s v="In Progress"/>
    <x v="0"/>
    <x v="1"/>
    <x v="3"/>
    <s v="Standard"/>
  </r>
  <r>
    <s v="CTRL-0221"/>
    <s v="Incident Control 221"/>
    <s v="RESPOND"/>
    <s v="RS.MA"/>
    <x v="0"/>
    <x v="0"/>
    <s v="Singapore"/>
    <x v="2"/>
    <s v="Alex Chen"/>
    <s v="Annual"/>
    <d v="2026-01-31T00:00:00"/>
    <d v="2027-01-31T00:00:00"/>
    <x v="3"/>
    <s v="Pending"/>
    <n v="2"/>
    <s v="Noah Williams"/>
    <d v="2026-09-11T00:00:00"/>
    <s v="Overdue"/>
    <x v="1"/>
    <x v="1"/>
    <x v="3"/>
    <s v="Standard"/>
  </r>
  <r>
    <s v="CTRL-0222"/>
    <s v="Access Control 222"/>
    <s v="RESPOND"/>
    <s v="RS.MA"/>
    <x v="2"/>
    <x v="2"/>
    <s v="Germany"/>
    <x v="1"/>
    <s v="Sam Rivera"/>
    <s v="Annual"/>
    <d v="2026-07-03T00:00:00"/>
    <d v="2027-07-03T00:00:00"/>
    <x v="1"/>
    <s v="Complete"/>
    <n v="1"/>
    <s v="Noah Williams"/>
    <d v="2026-11-19T00:00:00"/>
    <s v="In Progress"/>
    <x v="1"/>
    <x v="1"/>
    <x v="2"/>
    <s v="Standard"/>
  </r>
  <r>
    <s v="CTRL-0223"/>
    <s v="Change Control 223"/>
    <s v="DETECT"/>
    <s v="DE.CM"/>
    <x v="2"/>
    <x v="1"/>
    <s v="Canada"/>
    <x v="2"/>
    <s v="Maya Patel"/>
    <s v="Quarterly"/>
    <d v="2026-07-26T00:00:00"/>
    <d v="2026-10-24T00:00:00"/>
    <x v="2"/>
    <s v="Missing"/>
    <n v="0"/>
    <s v="Sam Rivera"/>
    <d v="2026-07-22T00:00:00"/>
    <s v="Not Required"/>
    <x v="1"/>
    <x v="1"/>
    <x v="1"/>
    <s v="Standard"/>
  </r>
  <r>
    <s v="CTRL-0224"/>
    <s v="Access Control 224"/>
    <s v="IDENTIFY"/>
    <s v="ID.AM"/>
    <x v="3"/>
    <x v="2"/>
    <s v="Germany"/>
    <x v="1"/>
    <s v="Taylor Morgan"/>
    <s v="Semiannual"/>
    <d v="2026-04-30T00:00:00"/>
    <d v="2026-07-29T00:00:00"/>
    <x v="0"/>
    <s v="Complete"/>
    <n v="3"/>
    <s v="Maya Patel"/>
    <d v="2026-11-20T00:00:00"/>
    <s v="In Progress"/>
    <x v="0"/>
    <x v="1"/>
    <x v="2"/>
    <s v="Standard"/>
  </r>
  <r>
    <s v="CTRL-0225"/>
    <s v="Policy Control 225"/>
    <s v="PROTECT"/>
    <s v="PR.AA"/>
    <x v="0"/>
    <x v="1"/>
    <s v="United States"/>
    <x v="1"/>
    <s v="Sam Rivera"/>
    <s v="Quarterly"/>
    <d v="2026-07-06T00:00:00"/>
    <d v="2026-10-04T00:00:00"/>
    <x v="2"/>
    <s v="Missing"/>
    <n v="0"/>
    <s v="Alex Chen"/>
    <d v="2027-01-26T00:00:00"/>
    <s v="Not Required"/>
    <x v="1"/>
    <x v="1"/>
    <x v="1"/>
    <s v="Standard"/>
  </r>
  <r>
    <s v="CTRL-0226"/>
    <s v="Policy Control 226"/>
    <s v="RESPOND"/>
    <s v="RS.MA"/>
    <x v="5"/>
    <x v="1"/>
    <s v="United States"/>
    <x v="2"/>
    <s v="Jordan Lee"/>
    <s v="Annual"/>
    <d v="2026-07-25T00:00:00"/>
    <d v="2027-01-21T00:00:00"/>
    <x v="1"/>
    <s v="Pending"/>
    <n v="0"/>
    <s v="Emma Schmidt"/>
    <d v="2026-06-28T00:00:00"/>
    <s v="Not Required"/>
    <x v="1"/>
    <x v="1"/>
    <x v="3"/>
    <s v="Standard"/>
  </r>
  <r>
    <s v="CTRL-0227"/>
    <s v="Access Control 227"/>
    <s v="GOVERN"/>
    <s v="GV.RR"/>
    <x v="4"/>
    <x v="2"/>
    <s v="United Kingdom"/>
    <x v="2"/>
    <s v="Jordan Lee"/>
    <s v="Annual"/>
    <d v="2026-03-13T00:00:00"/>
    <d v="2026-06-11T00:00:00"/>
    <x v="0"/>
    <s v="Complete"/>
    <n v="2"/>
    <s v="Sam Rivera"/>
    <d v="2026-08-24T00:00:00"/>
    <s v="Overdue"/>
    <x v="0"/>
    <x v="1"/>
    <x v="2"/>
    <s v="Standard"/>
  </r>
  <r>
    <s v="CTRL-0228"/>
    <s v="Incident Control 228"/>
    <s v="IDENTIFY"/>
    <s v="ID.AM"/>
    <x v="4"/>
    <x v="0"/>
    <s v="Singapore"/>
    <x v="2"/>
    <s v="Liam Brown"/>
    <s v="Annual"/>
    <d v="2026-08-10T00:00:00"/>
    <d v="2026-11-08T00:00:00"/>
    <x v="1"/>
    <s v="Complete"/>
    <n v="3"/>
    <s v="Alex Chen"/>
    <d v="2026-07-14T00:00:00"/>
    <s v="Overdue"/>
    <x v="1"/>
    <x v="1"/>
    <x v="2"/>
    <s v="Standard"/>
  </r>
  <r>
    <s v="CTRL-0229"/>
    <s v="Access Control 229"/>
    <s v="IDENTIFY"/>
    <s v="ID.AM"/>
    <x v="4"/>
    <x v="2"/>
    <s v="Germany"/>
    <x v="2"/>
    <s v="Liam Brown"/>
    <s v="Semiannual"/>
    <d v="2026-03-18T00:00:00"/>
    <d v="2027-03-18T00:00:00"/>
    <x v="1"/>
    <s v="Pending"/>
    <n v="2"/>
    <s v="Alex Chen"/>
    <d v="2026-07-04T00:00:00"/>
    <s v="Completed"/>
    <x v="1"/>
    <x v="1"/>
    <x v="3"/>
    <s v="Standard"/>
  </r>
  <r>
    <s v="CTRL-0230"/>
    <s v="Data Control 230"/>
    <s v="IDENTIFY"/>
    <s v="ID.AM"/>
    <x v="3"/>
    <x v="2"/>
    <s v="Germany"/>
    <x v="3"/>
    <s v="Jordan Lee"/>
    <s v="Semiannual"/>
    <d v="2026-07-21T00:00:00"/>
    <d v="2026-10-19T00:00:00"/>
    <x v="2"/>
    <s v="Missing"/>
    <n v="5"/>
    <s v="Noah Williams"/>
    <d v="2026-05-01T00:00:00"/>
    <s v="Overdue"/>
    <x v="1"/>
    <x v="1"/>
    <x v="1"/>
    <s v="Elevated"/>
  </r>
  <r>
    <s v="CTRL-0231"/>
    <s v="Policy Control 231"/>
    <s v="IDENTIFY"/>
    <s v="ID.AM"/>
    <x v="1"/>
    <x v="1"/>
    <s v="United States"/>
    <x v="2"/>
    <s v="Noah Williams"/>
    <s v="Semiannual"/>
    <d v="2025-05-31T00:00:00"/>
    <d v="2026-05-31T00:00:00"/>
    <x v="0"/>
    <s v="Complete"/>
    <n v="2"/>
    <s v="Taylor Morgan"/>
    <d v="2027-01-18T00:00:00"/>
    <s v="In Progress"/>
    <x v="0"/>
    <x v="1"/>
    <x v="2"/>
    <s v="Standard"/>
  </r>
  <r>
    <s v="CTRL-0232"/>
    <s v="Policy Control 232"/>
    <s v="IDENTIFY"/>
    <s v="ID.AM"/>
    <x v="0"/>
    <x v="1"/>
    <s v="Canada"/>
    <x v="1"/>
    <s v="Sam Rivera"/>
    <s v="Quarterly"/>
    <d v="2025-11-06T00:00:00"/>
    <d v="2026-02-04T00:00:00"/>
    <x v="0"/>
    <s v="Complete"/>
    <n v="3"/>
    <s v="Noah Williams"/>
    <d v="2026-04-03T00:00:00"/>
    <s v="Completed"/>
    <x v="0"/>
    <x v="1"/>
    <x v="2"/>
    <s v="Standard"/>
  </r>
  <r>
    <s v="CTRL-0233"/>
    <s v="Data Control 233"/>
    <s v="RESPOND"/>
    <s v="RS.MA"/>
    <x v="2"/>
    <x v="0"/>
    <s v="Singapore"/>
    <x v="1"/>
    <s v="Jordan Lee"/>
    <s v="Quarterly"/>
    <d v="2025-11-14T00:00:00"/>
    <d v="2026-11-14T00:00:00"/>
    <x v="3"/>
    <s v="Missing"/>
    <n v="2"/>
    <s v="Noah Williams"/>
    <d v="2026-05-10T00:00:00"/>
    <s v="Overdue"/>
    <x v="1"/>
    <x v="1"/>
    <x v="1"/>
    <s v="Standard"/>
  </r>
  <r>
    <s v="CTRL-0234"/>
    <s v="Change Control 234"/>
    <s v="DETECT"/>
    <s v="DE.CM"/>
    <x v="1"/>
    <x v="2"/>
    <s v="Germany"/>
    <x v="3"/>
    <s v="Emma Schmidt"/>
    <s v="Annual"/>
    <d v="2025-08-01T00:00:00"/>
    <d v="2026-08-01T00:00:00"/>
    <x v="0"/>
    <s v="Pending"/>
    <n v="5"/>
    <s v="Jordan Lee"/>
    <d v="2026-09-12T00:00:00"/>
    <s v="Completed"/>
    <x v="0"/>
    <x v="1"/>
    <x v="3"/>
    <s v="Elevated"/>
  </r>
  <r>
    <s v="CTRL-0235"/>
    <s v="Policy Control 235"/>
    <s v="DETECT"/>
    <s v="DE.CM"/>
    <x v="5"/>
    <x v="2"/>
    <s v="Germany"/>
    <x v="2"/>
    <s v="Jordan Lee"/>
    <s v="Annual"/>
    <d v="2026-06-12T00:00:00"/>
    <d v="2027-06-12T00:00:00"/>
    <x v="1"/>
    <s v="Missing"/>
    <n v="3"/>
    <s v="Sam Rivera"/>
    <d v="2027-01-18T00:00:00"/>
    <s v="Completed"/>
    <x v="1"/>
    <x v="1"/>
    <x v="1"/>
    <s v="Standard"/>
  </r>
  <r>
    <s v="CTRL-0236"/>
    <s v="Policy Control 236"/>
    <s v="GOVERN"/>
    <s v="GV.RM"/>
    <x v="4"/>
    <x v="0"/>
    <s v="Singapore"/>
    <x v="1"/>
    <m/>
    <s v="Annual"/>
    <d v="2025-08-25T00:00:00"/>
    <d v="2025-11-23T00:00:00"/>
    <x v="0"/>
    <s v="Complete"/>
    <n v="2"/>
    <s v="Noah Williams"/>
    <d v="2026-09-13T00:00:00"/>
    <s v="Completed"/>
    <x v="0"/>
    <x v="0"/>
    <x v="2"/>
    <s v="Standard"/>
  </r>
  <r>
    <s v="CTRL-0237"/>
    <s v="Vendor Control 237"/>
    <s v="RESPOND"/>
    <s v="RS.MA"/>
    <x v="2"/>
    <x v="2"/>
    <s v="United Kingdom"/>
    <x v="1"/>
    <s v="Maya Patel"/>
    <s v="Annual"/>
    <d v="2026-03-15T00:00:00"/>
    <d v="2026-09-11T00:00:00"/>
    <x v="0"/>
    <s v="Complete"/>
    <n v="0"/>
    <s v="Emma Schmidt"/>
    <d v="2026-04-27T00:00:00"/>
    <s v="Not Required"/>
    <x v="0"/>
    <x v="1"/>
    <x v="2"/>
    <s v="Standard"/>
  </r>
  <r>
    <s v="CTRL-0238"/>
    <s v="Change Control 238"/>
    <s v="IDENTIFY"/>
    <s v="ID.AM"/>
    <x v="4"/>
    <x v="1"/>
    <s v="Canada"/>
    <x v="0"/>
    <s v="Noah Williams"/>
    <s v="Semiannual"/>
    <d v="2025-12-05T00:00:00"/>
    <d v="2026-06-03T00:00:00"/>
    <x v="0"/>
    <s v="Complete"/>
    <n v="3"/>
    <s v="Maya Patel"/>
    <d v="2027-01-23T00:00:00"/>
    <s v="In Progress"/>
    <x v="0"/>
    <x v="1"/>
    <x v="2"/>
    <s v="Elevated"/>
  </r>
  <r>
    <s v="CTRL-0239"/>
    <s v="Reconciliation Control 239"/>
    <s v="GOVERN"/>
    <s v="GV.RM"/>
    <x v="0"/>
    <x v="1"/>
    <s v="Canada"/>
    <x v="2"/>
    <s v="Maya Patel"/>
    <s v="Annual"/>
    <d v="2026-08-04T00:00:00"/>
    <d v="2027-01-31T00:00:00"/>
    <x v="1"/>
    <s v="Pending"/>
    <n v="1"/>
    <s v="Liam Brown"/>
    <d v="2026-05-11T00:00:00"/>
    <s v="Overdue"/>
    <x v="1"/>
    <x v="1"/>
    <x v="3"/>
    <s v="Standard"/>
  </r>
  <r>
    <s v="CTRL-0240"/>
    <s v="Change Control 240"/>
    <s v="DETECT"/>
    <s v="DE.CM"/>
    <x v="4"/>
    <x v="0"/>
    <s v="Singapore"/>
    <x v="3"/>
    <s v="Jordan Lee"/>
    <s v="Quarterly"/>
    <d v="2025-11-04T00:00:00"/>
    <d v="2026-05-03T00:00:00"/>
    <x v="0"/>
    <s v="Complete"/>
    <n v="0"/>
    <s v="Emma Schmidt"/>
    <d v="2026-05-24T00:00:00"/>
    <s v="Not Required"/>
    <x v="0"/>
    <x v="1"/>
    <x v="2"/>
    <s v="Elevated"/>
  </r>
  <r>
    <s v="CTRL-0241"/>
    <s v="Vendor Control 241"/>
    <s v="GOVERN"/>
    <s v="GV.OC"/>
    <x v="5"/>
    <x v="0"/>
    <s v="Singapore"/>
    <x v="1"/>
    <s v="Sam Rivera"/>
    <s v="Quarterly"/>
    <d v="2026-07-23T00:00:00"/>
    <d v="2026-10-21T00:00:00"/>
    <x v="1"/>
    <s v="Missing"/>
    <n v="3"/>
    <s v="Taylor Morgan"/>
    <d v="2026-06-20T00:00:00"/>
    <s v="Completed"/>
    <x v="1"/>
    <x v="1"/>
    <x v="1"/>
    <s v="Standard"/>
  </r>
  <r>
    <s v="CTRL-0242"/>
    <s v="Vendor Control 242"/>
    <s v="RESPOND"/>
    <s v="RS.MA"/>
    <x v="1"/>
    <x v="0"/>
    <s v="Singapore"/>
    <x v="1"/>
    <s v="Sam Rivera"/>
    <s v="Semiannual"/>
    <d v="2026-06-15T00:00:00"/>
    <d v="2027-06-15T00:00:00"/>
    <x v="1"/>
    <s v="Complete"/>
    <n v="3"/>
    <s v="Taylor Morgan"/>
    <d v="2026-06-01T00:00:00"/>
    <s v="Completed"/>
    <x v="1"/>
    <x v="1"/>
    <x v="2"/>
    <s v="Standard"/>
  </r>
  <r>
    <s v="CTRL-0243"/>
    <s v="Vendor Control 243"/>
    <s v="RECOVER"/>
    <s v="RC.RP"/>
    <x v="1"/>
    <x v="1"/>
    <s v="Canada"/>
    <x v="2"/>
    <s v="Emma Schmidt"/>
    <s v="Semiannual"/>
    <d v="2026-03-05T00:00:00"/>
    <d v="2026-06-03T00:00:00"/>
    <x v="0"/>
    <s v="Pending"/>
    <n v="0"/>
    <s v="Sam Rivera"/>
    <d v="2026-08-15T00:00:00"/>
    <s v="Not Required"/>
    <x v="0"/>
    <x v="1"/>
    <x v="3"/>
    <s v="Standard"/>
  </r>
  <r>
    <s v="CTRL-0244"/>
    <s v="Policy Control 244"/>
    <s v="RESPOND"/>
    <s v="RS.MA"/>
    <x v="1"/>
    <x v="2"/>
    <s v="United Kingdom"/>
    <x v="0"/>
    <s v="Maya Patel"/>
    <s v="Annual"/>
    <d v="2026-07-29T00:00:00"/>
    <d v="2027-07-29T00:00:00"/>
    <x v="1"/>
    <s v="Missing"/>
    <n v="3"/>
    <s v="Emma Schmidt"/>
    <d v="2026-07-28T00:00:00"/>
    <s v="Overdue"/>
    <x v="1"/>
    <x v="1"/>
    <x v="1"/>
    <s v="Elevated"/>
  </r>
  <r>
    <s v="CTRL-0245"/>
    <s v="Access Control 245"/>
    <s v="GOVERN"/>
    <s v="GV.RR"/>
    <x v="3"/>
    <x v="0"/>
    <s v="Singapore"/>
    <x v="0"/>
    <s v="Liam Brown"/>
    <s v="Semiannual"/>
    <d v="2026-04-10T00:00:00"/>
    <d v="2026-07-09T00:00:00"/>
    <x v="0"/>
    <s v="Pending"/>
    <n v="5"/>
    <s v="Jordan Lee"/>
    <d v="2026-04-20T00:00:00"/>
    <s v="Overdue"/>
    <x v="0"/>
    <x v="1"/>
    <x v="3"/>
    <s v="Elevated"/>
  </r>
  <r>
    <s v="CTRL-0246"/>
    <s v="Access Control 246"/>
    <s v="GOVERN"/>
    <s v="GV.RM"/>
    <x v="1"/>
    <x v="1"/>
    <s v="United States"/>
    <x v="1"/>
    <s v="Emma Schmidt"/>
    <s v="Semiannual"/>
    <d v="2026-08-01T00:00:00"/>
    <d v="2027-08-01T00:00:00"/>
    <x v="1"/>
    <s v="Missing"/>
    <n v="1"/>
    <s v="Emma Schmidt"/>
    <d v="2026-08-13T00:00:00"/>
    <s v="Completed"/>
    <x v="1"/>
    <x v="1"/>
    <x v="1"/>
    <s v="Standard"/>
  </r>
  <r>
    <s v="CTRL-0247"/>
    <s v="Data Control 247"/>
    <s v="GOVERN"/>
    <s v="GV.RR"/>
    <x v="2"/>
    <x v="0"/>
    <s v="Singapore"/>
    <x v="2"/>
    <s v="Alex Chen"/>
    <s v="Annual"/>
    <d v="2025-08-04T00:00:00"/>
    <d v="2026-08-04T00:00:00"/>
    <x v="0"/>
    <s v="Missing"/>
    <n v="3"/>
    <s v="Maya Patel"/>
    <d v="2026-05-30T00:00:00"/>
    <s v="Overdue"/>
    <x v="0"/>
    <x v="1"/>
    <x v="1"/>
    <s v="Standard"/>
  </r>
  <r>
    <s v="CTRL-0248"/>
    <s v="Access Control 248"/>
    <s v="RECOVER"/>
    <s v="RC.RP"/>
    <x v="2"/>
    <x v="1"/>
    <s v="United States"/>
    <x v="0"/>
    <s v="Noah Williams"/>
    <s v="Quarterly"/>
    <d v="2025-06-18T00:00:00"/>
    <d v="2025-12-15T00:00:00"/>
    <x v="0"/>
    <s v="Pending"/>
    <n v="3"/>
    <s v="Taylor Morgan"/>
    <d v="2026-12-07T00:00:00"/>
    <s v="In Progress"/>
    <x v="0"/>
    <x v="1"/>
    <x v="3"/>
    <s v="Elevated"/>
  </r>
  <r>
    <s v="CTRL-0249"/>
    <s v="Reconciliation Control 249"/>
    <s v="PROTECT"/>
    <s v="PR.AA"/>
    <x v="3"/>
    <x v="2"/>
    <s v="United Kingdom"/>
    <x v="2"/>
    <s v="Emma Schmidt"/>
    <s v="Quarterly"/>
    <d v="2026-08-22T00:00:00"/>
    <d v="2027-02-18T00:00:00"/>
    <x v="2"/>
    <s v="Missing"/>
    <n v="1"/>
    <s v="Noah Williams"/>
    <d v="2026-04-28T00:00:00"/>
    <s v="Overdue"/>
    <x v="1"/>
    <x v="1"/>
    <x v="1"/>
    <s v="Standard"/>
  </r>
  <r>
    <s v="CTRL-0250"/>
    <s v="Policy Control 250"/>
    <s v="RECOVER"/>
    <s v="RC.RP"/>
    <x v="2"/>
    <x v="2"/>
    <s v="Germany"/>
    <x v="0"/>
    <s v="Maya Patel"/>
    <s v="Semiannual"/>
    <d v="2025-06-23T00:00:00"/>
    <d v="2025-09-21T00:00:00"/>
    <x v="0"/>
    <m/>
    <n v="1"/>
    <s v="Taylor Morgan"/>
    <d v="2026-09-03T00:00:00"/>
    <s v="Overdue"/>
    <x v="0"/>
    <x v="1"/>
    <x v="0"/>
    <s v="Elevated"/>
  </r>
  <r>
    <s v="CTRL-0251"/>
    <s v="Data Control 251"/>
    <s v="GOVERN"/>
    <s v="GV.OC"/>
    <x v="3"/>
    <x v="0"/>
    <s v="Singapore"/>
    <x v="2"/>
    <s v="Sam Rivera"/>
    <s v="Quarterly"/>
    <d v="2026-01-27T00:00:00"/>
    <d v="2026-04-27T00:00:00"/>
    <x v="0"/>
    <s v="Pending"/>
    <n v="3"/>
    <s v="Maya Patel"/>
    <d v="2026-12-23T00:00:00"/>
    <s v="In Progress"/>
    <x v="0"/>
    <x v="1"/>
    <x v="3"/>
    <s v="Standard"/>
  </r>
  <r>
    <s v="CTRL-0252"/>
    <s v="Vendor Control 252"/>
    <s v="GOVERN"/>
    <s v="GV.OC"/>
    <x v="1"/>
    <x v="2"/>
    <s v="Germany"/>
    <x v="0"/>
    <s v="Alex Chen"/>
    <s v="Quarterly"/>
    <d v="2026-06-14T00:00:00"/>
    <d v="2026-09-12T00:00:00"/>
    <x v="0"/>
    <s v="Complete"/>
    <n v="0"/>
    <s v="Noah Williams"/>
    <d v="2026-08-08T00:00:00"/>
    <s v="Not Required"/>
    <x v="0"/>
    <x v="1"/>
    <x v="2"/>
    <s v="Elevated"/>
  </r>
  <r>
    <s v="CTRL-0253"/>
    <s v="Reconciliation Control 253"/>
    <s v="IDENTIFY"/>
    <s v="ID.AM"/>
    <x v="2"/>
    <x v="0"/>
    <s v="Singapore"/>
    <x v="2"/>
    <s v="Liam Brown"/>
    <s v="Semiannual"/>
    <d v="2025-12-26T00:00:00"/>
    <d v="2026-06-24T00:00:00"/>
    <x v="0"/>
    <s v="Missing"/>
    <n v="0"/>
    <s v="Liam Brown"/>
    <d v="2026-04-18T00:00:00"/>
    <s v="Not Required"/>
    <x v="0"/>
    <x v="1"/>
    <x v="1"/>
    <s v="Standard"/>
  </r>
  <r>
    <s v="CTRL-0254"/>
    <s v="Change Control 254"/>
    <s v="GOVERN"/>
    <s v="GV.OC"/>
    <x v="3"/>
    <x v="1"/>
    <s v="Canada"/>
    <x v="2"/>
    <s v="Noah Williams"/>
    <s v="Annual"/>
    <d v="2026-06-19T00:00:00"/>
    <d v="2026-12-16T00:00:00"/>
    <x v="3"/>
    <s v="Pending"/>
    <n v="0"/>
    <s v="Sam Rivera"/>
    <d v="2026-10-17T00:00:00"/>
    <s v="Not Required"/>
    <x v="1"/>
    <x v="1"/>
    <x v="3"/>
    <s v="Standard"/>
  </r>
  <r>
    <s v="CTRL-0255"/>
    <s v="Incident Control 255"/>
    <s v="GOVERN"/>
    <s v="GV.RR"/>
    <x v="5"/>
    <x v="1"/>
    <s v="United States"/>
    <x v="1"/>
    <s v="Emma Schmidt"/>
    <s v="Quarterly"/>
    <d v="2025-12-22T00:00:00"/>
    <d v="2026-03-22T00:00:00"/>
    <x v="0"/>
    <s v="Missing"/>
    <n v="0"/>
    <s v="Alex Chen"/>
    <d v="2026-12-01T00:00:00"/>
    <s v="Not Required"/>
    <x v="0"/>
    <x v="1"/>
    <x v="1"/>
    <s v="Standard"/>
  </r>
  <r>
    <s v="CTRL-0256"/>
    <s v="Vendor Control 256"/>
    <s v="DETECT"/>
    <s v="DE.CM"/>
    <x v="3"/>
    <x v="1"/>
    <s v="Canada"/>
    <x v="0"/>
    <s v="Taylor Morgan"/>
    <s v="Semiannual"/>
    <d v="2025-09-11T00:00:00"/>
    <d v="2026-09-11T00:00:00"/>
    <x v="0"/>
    <s v="Missing"/>
    <n v="2"/>
    <s v="Sam Rivera"/>
    <d v="2026-11-05T00:00:00"/>
    <s v="In Progress"/>
    <x v="0"/>
    <x v="1"/>
    <x v="1"/>
    <s v="Elevated"/>
  </r>
  <r>
    <s v="CTRL-0257"/>
    <s v="Reconciliation Control 257"/>
    <s v="PROTECT"/>
    <s v="PR.AA"/>
    <x v="5"/>
    <x v="2"/>
    <s v="Germany"/>
    <x v="2"/>
    <s v="Emma Schmidt"/>
    <s v="Annual"/>
    <d v="2025-11-15T00:00:00"/>
    <d v="2026-02-13T00:00:00"/>
    <x v="0"/>
    <s v="Complete"/>
    <n v="2"/>
    <s v="Maya Patel"/>
    <d v="2027-01-15T00:00:00"/>
    <s v="In Progress"/>
    <x v="0"/>
    <x v="1"/>
    <x v="2"/>
    <s v="Standard"/>
  </r>
  <r>
    <s v="CTRL-0258"/>
    <s v="Access Control 258"/>
    <s v="IDENTIFY"/>
    <s v="ID.AM"/>
    <x v="2"/>
    <x v="2"/>
    <s v="United Kingdom"/>
    <x v="3"/>
    <s v="Noah Williams"/>
    <s v="Annual"/>
    <d v="2025-06-26T00:00:00"/>
    <d v="2025-12-23T00:00:00"/>
    <x v="0"/>
    <s v="Pending"/>
    <n v="5"/>
    <s v="Emma Schmidt"/>
    <d v="2026-09-02T00:00:00"/>
    <s v="Completed"/>
    <x v="0"/>
    <x v="1"/>
    <x v="3"/>
    <s v="Elevated"/>
  </r>
  <r>
    <s v="CTRL-0259"/>
    <s v="Data Control 259"/>
    <s v="GOVERN"/>
    <s v="GV.OC"/>
    <x v="5"/>
    <x v="0"/>
    <s v="Singapore"/>
    <x v="1"/>
    <s v="Alex Chen"/>
    <s v="Annual"/>
    <d v="2025-10-10T00:00:00"/>
    <d v="2026-04-08T00:00:00"/>
    <x v="0"/>
    <s v="Pending"/>
    <n v="2"/>
    <s v="Sam Rivera"/>
    <d v="2026-11-03T00:00:00"/>
    <s v="In Progress"/>
    <x v="0"/>
    <x v="1"/>
    <x v="3"/>
    <s v="Standard"/>
  </r>
  <r>
    <s v="CTRL-0260"/>
    <s v="Reconciliation Control 260"/>
    <s v="GOVERN"/>
    <s v="GV.RR"/>
    <x v="5"/>
    <x v="2"/>
    <s v="United Kingdom"/>
    <x v="2"/>
    <s v="Liam Brown"/>
    <s v="Quarterly"/>
    <d v="2025-06-03T00:00:00"/>
    <d v="2026-06-03T00:00:00"/>
    <x v="0"/>
    <s v="Pending"/>
    <n v="2"/>
    <s v="Liam Brown"/>
    <d v="2026-06-29T00:00:00"/>
    <s v="Overdue"/>
    <x v="0"/>
    <x v="1"/>
    <x v="3"/>
    <s v="Standard"/>
  </r>
  <r>
    <s v="CTRL-0261"/>
    <s v="Change Control 261"/>
    <s v="DETECT"/>
    <s v="DE.CM"/>
    <x v="5"/>
    <x v="1"/>
    <s v="Canada"/>
    <x v="0"/>
    <s v="Jordan Lee"/>
    <s v="Annual"/>
    <d v="2025-09-27T00:00:00"/>
    <d v="2026-03-26T00:00:00"/>
    <x v="0"/>
    <s v="Missing"/>
    <n v="0"/>
    <s v="Taylor Morgan"/>
    <d v="2026-07-25T00:00:00"/>
    <s v="Not Required"/>
    <x v="0"/>
    <x v="1"/>
    <x v="1"/>
    <s v="Elevated"/>
  </r>
  <r>
    <s v="CTRL-0262"/>
    <s v="Vendor Control 262"/>
    <s v="GOVERN"/>
    <s v="GV.RM"/>
    <x v="2"/>
    <x v="2"/>
    <s v="Germany"/>
    <x v="1"/>
    <s v="Taylor Morgan"/>
    <s v="Quarterly"/>
    <d v="2026-01-16T00:00:00"/>
    <d v="2026-04-16T00:00:00"/>
    <x v="0"/>
    <s v="Pending"/>
    <n v="0"/>
    <s v="Maya Patel"/>
    <d v="2027-01-26T00:00:00"/>
    <s v="Not Required"/>
    <x v="0"/>
    <x v="1"/>
    <x v="3"/>
    <s v="Standard"/>
  </r>
  <r>
    <s v="CTRL-0263"/>
    <s v="Change Control 263"/>
    <s v="RECOVER"/>
    <s v="RC.RP"/>
    <x v="3"/>
    <x v="0"/>
    <s v="Singapore"/>
    <x v="1"/>
    <s v="Alex Chen"/>
    <s v="Semiannual"/>
    <d v="2025-06-22T00:00:00"/>
    <d v="2025-09-20T00:00:00"/>
    <x v="0"/>
    <s v="Complete"/>
    <n v="1"/>
    <s v="Jordan Lee"/>
    <d v="2026-09-25T00:00:00"/>
    <s v="Overdue"/>
    <x v="0"/>
    <x v="1"/>
    <x v="2"/>
    <s v="Standard"/>
  </r>
  <r>
    <s v="CTRL-0264"/>
    <s v="Data Control 264"/>
    <s v="GOVERN"/>
    <s v="GV.RR"/>
    <x v="2"/>
    <x v="1"/>
    <s v="Canada"/>
    <x v="2"/>
    <s v="Jordan Lee"/>
    <s v="Quarterly"/>
    <d v="2026-04-03T00:00:00"/>
    <d v="2027-04-03T00:00:00"/>
    <x v="1"/>
    <s v="Pending"/>
    <n v="2"/>
    <s v="Liam Brown"/>
    <d v="2026-07-19T00:00:00"/>
    <s v="Overdue"/>
    <x v="1"/>
    <x v="1"/>
    <x v="3"/>
    <s v="Standard"/>
  </r>
  <r>
    <s v="CTRL-0265"/>
    <s v="Incident Control 265"/>
    <s v="IDENTIFY"/>
    <s v="ID.AM"/>
    <x v="3"/>
    <x v="1"/>
    <s v="United States"/>
    <x v="2"/>
    <s v="Emma Schmidt"/>
    <s v="Semiannual"/>
    <d v="2026-02-16T00:00:00"/>
    <d v="2026-08-15T00:00:00"/>
    <x v="0"/>
    <s v="Pending"/>
    <n v="3"/>
    <s v="Alex Chen"/>
    <d v="2026-04-05T00:00:00"/>
    <s v="Completed"/>
    <x v="0"/>
    <x v="1"/>
    <x v="3"/>
    <s v="Standard"/>
  </r>
  <r>
    <s v="CTRL-0266"/>
    <s v="Change Control 266"/>
    <s v="PROTECT"/>
    <s v="PR.AA"/>
    <x v="0"/>
    <x v="2"/>
    <s v="United Kingdom"/>
    <x v="2"/>
    <s v="Sam Rivera"/>
    <s v="Quarterly"/>
    <d v="2026-05-18T00:00:00"/>
    <d v="2027-05-18T00:00:00"/>
    <x v="2"/>
    <s v="Complete"/>
    <n v="0"/>
    <s v="Alex Chen"/>
    <d v="2026-10-16T00:00:00"/>
    <s v="Not Required"/>
    <x v="1"/>
    <x v="1"/>
    <x v="2"/>
    <s v="Standard"/>
  </r>
  <r>
    <s v="CTRL-0267"/>
    <s v="Access Control 267"/>
    <s v="RESPOND"/>
    <s v="RS.MA"/>
    <x v="4"/>
    <x v="2"/>
    <s v="Germany"/>
    <x v="0"/>
    <s v="Noah Williams"/>
    <s v="Quarterly"/>
    <d v="2026-01-31T00:00:00"/>
    <d v="2027-01-31T00:00:00"/>
    <x v="2"/>
    <s v="Pending"/>
    <n v="2"/>
    <s v="Sam Rivera"/>
    <d v="2026-07-08T00:00:00"/>
    <s v="Completed"/>
    <x v="1"/>
    <x v="1"/>
    <x v="3"/>
    <s v="Elevated"/>
  </r>
  <r>
    <s v="CTRL-0268"/>
    <s v="Data Control 268"/>
    <s v="GOVERN"/>
    <s v="GV.OC"/>
    <x v="1"/>
    <x v="0"/>
    <s v="Singapore"/>
    <x v="0"/>
    <s v="Jordan Lee"/>
    <s v="Quarterly"/>
    <d v="2026-07-09T00:00:00"/>
    <d v="2027-01-05T00:00:00"/>
    <x v="3"/>
    <s v="Pending"/>
    <n v="5"/>
    <s v="Maya Patel"/>
    <d v="2026-08-11T00:00:00"/>
    <s v="Overdue"/>
    <x v="1"/>
    <x v="1"/>
    <x v="3"/>
    <s v="Elevated"/>
  </r>
  <r>
    <s v="CTRL-0269"/>
    <s v="Incident Control 269"/>
    <s v="IDENTIFY"/>
    <s v="ID.AM"/>
    <x v="0"/>
    <x v="0"/>
    <s v="Singapore"/>
    <x v="2"/>
    <s v="Emma Schmidt"/>
    <s v="Annual"/>
    <d v="2026-01-26T00:00:00"/>
    <d v="2026-07-25T00:00:00"/>
    <x v="0"/>
    <s v="Complete"/>
    <n v="2"/>
    <s v="Alex Chen"/>
    <d v="2026-12-01T00:00:00"/>
    <s v="In Progress"/>
    <x v="0"/>
    <x v="1"/>
    <x v="2"/>
    <s v="Standard"/>
  </r>
  <r>
    <s v="CTRL-0270"/>
    <s v="Policy Control 270"/>
    <s v="GOVERN"/>
    <s v="GV.RM"/>
    <x v="5"/>
    <x v="2"/>
    <s v="Germany"/>
    <x v="1"/>
    <s v="Taylor Morgan"/>
    <s v="Quarterly"/>
    <d v="2025-10-27T00:00:00"/>
    <d v="2026-10-27T00:00:00"/>
    <x v="2"/>
    <s v="Complete"/>
    <n v="0"/>
    <s v="Liam Brown"/>
    <d v="2026-08-25T00:00:00"/>
    <s v="Not Required"/>
    <x v="1"/>
    <x v="1"/>
    <x v="2"/>
    <s v="Standard"/>
  </r>
  <r>
    <s v="CTRL-0271"/>
    <s v="Change Control 271"/>
    <s v="RECOVER"/>
    <s v="RC.RP"/>
    <x v="2"/>
    <x v="1"/>
    <s v="United States"/>
    <x v="0"/>
    <s v="Sam Rivera"/>
    <s v="Annual"/>
    <d v="2026-03-11T00:00:00"/>
    <d v="2027-03-11T00:00:00"/>
    <x v="1"/>
    <s v="Complete"/>
    <n v="0"/>
    <s v="Liam Brown"/>
    <d v="2027-01-08T00:00:00"/>
    <s v="Not Required"/>
    <x v="1"/>
    <x v="1"/>
    <x v="2"/>
    <s v="Elevated"/>
  </r>
  <r>
    <s v="CTRL-0272"/>
    <s v="Incident Control 272"/>
    <s v="GOVERN"/>
    <s v="GV.RM"/>
    <x v="0"/>
    <x v="2"/>
    <s v="United Kingdom"/>
    <x v="1"/>
    <s v="Maya Patel"/>
    <s v="Annual"/>
    <d v="2025-06-03T00:00:00"/>
    <d v="2025-09-01T00:00:00"/>
    <x v="0"/>
    <s v="Missing"/>
    <n v="3"/>
    <s v="Maya Patel"/>
    <d v="2026-06-18T00:00:00"/>
    <s v="Overdue"/>
    <x v="0"/>
    <x v="1"/>
    <x v="1"/>
    <s v="Standard"/>
  </r>
  <r>
    <s v="CTRL-0273"/>
    <s v="Policy Control 273"/>
    <s v="DETECT"/>
    <s v="DE.CM"/>
    <x v="4"/>
    <x v="2"/>
    <s v="United Kingdom"/>
    <x v="3"/>
    <s v="Taylor Morgan"/>
    <s v="Annual"/>
    <d v="2026-04-28T00:00:00"/>
    <d v="2026-10-25T00:00:00"/>
    <x v="1"/>
    <s v="Complete"/>
    <n v="0"/>
    <s v="Noah Williams"/>
    <d v="2026-08-29T00:00:00"/>
    <s v="Not Required"/>
    <x v="1"/>
    <x v="1"/>
    <x v="2"/>
    <s v="Elevated"/>
  </r>
  <r>
    <s v="CTRL-0274"/>
    <s v="Incident Control 274"/>
    <s v="PROTECT"/>
    <s v="PR.AA"/>
    <x v="0"/>
    <x v="2"/>
    <s v="United Kingdom"/>
    <x v="0"/>
    <s v="Alex Chen"/>
    <s v="Quarterly"/>
    <d v="2026-09-06T00:00:00"/>
    <d v="2026-12-05T00:00:00"/>
    <x v="3"/>
    <s v="Pending"/>
    <n v="2"/>
    <s v="Noah Williams"/>
    <d v="2026-11-13T00:00:00"/>
    <s v="In Progress"/>
    <x v="1"/>
    <x v="1"/>
    <x v="3"/>
    <s v="Elevated"/>
  </r>
  <r>
    <s v="CTRL-0275"/>
    <s v="Policy Control 275"/>
    <s v="GOVERN"/>
    <s v="GV.OC"/>
    <x v="0"/>
    <x v="2"/>
    <s v="United Kingdom"/>
    <x v="2"/>
    <s v="Liam Brown"/>
    <s v="Quarterly"/>
    <d v="2026-04-24T00:00:00"/>
    <d v="2026-10-21T00:00:00"/>
    <x v="2"/>
    <s v="Pending"/>
    <n v="1"/>
    <s v="Maya Patel"/>
    <d v="2026-05-30T00:00:00"/>
    <s v="Completed"/>
    <x v="1"/>
    <x v="1"/>
    <x v="3"/>
    <s v="Standard"/>
  </r>
  <r>
    <s v="CTRL-0276"/>
    <s v="Vendor Control 276"/>
    <s v="RECOVER"/>
    <s v="RC.RP"/>
    <x v="3"/>
    <x v="2"/>
    <s v="Germany"/>
    <x v="2"/>
    <s v="Jordan Lee"/>
    <s v="Quarterly"/>
    <d v="2025-11-02T00:00:00"/>
    <d v="2026-05-01T00:00:00"/>
    <x v="0"/>
    <s v="Pending"/>
    <n v="0"/>
    <s v="Emma Schmidt"/>
    <d v="2026-06-08T00:00:00"/>
    <s v="Not Required"/>
    <x v="0"/>
    <x v="1"/>
    <x v="3"/>
    <s v="Standard"/>
  </r>
  <r>
    <s v="CTRL-0277"/>
    <s v="Vendor Control 277"/>
    <s v="GOVERN"/>
    <s v="GV.RM"/>
    <x v="0"/>
    <x v="2"/>
    <s v="United Kingdom"/>
    <x v="1"/>
    <s v="Noah Williams"/>
    <s v="Annual"/>
    <d v="2026-09-04T00:00:00"/>
    <d v="2027-09-04T00:00:00"/>
    <x v="3"/>
    <s v="Missing"/>
    <n v="2"/>
    <s v="Sam Rivera"/>
    <d v="2026-12-24T00:00:00"/>
    <s v="In Progress"/>
    <x v="1"/>
    <x v="1"/>
    <x v="1"/>
    <s v="Standard"/>
  </r>
  <r>
    <s v="CTRL-0278"/>
    <s v="Policy Control 278"/>
    <s v="RECOVER"/>
    <s v="RC.RP"/>
    <x v="5"/>
    <x v="2"/>
    <s v="Germany"/>
    <x v="2"/>
    <s v="Emma Schmidt"/>
    <s v="Quarterly"/>
    <d v="2026-06-26T00:00:00"/>
    <d v="2027-06-26T00:00:00"/>
    <x v="3"/>
    <s v="Complete"/>
    <n v="1"/>
    <s v="Maya Patel"/>
    <d v="2026-12-17T00:00:00"/>
    <s v="In Progress"/>
    <x v="1"/>
    <x v="1"/>
    <x v="2"/>
    <s v="Standard"/>
  </r>
  <r>
    <s v="CTRL-0279"/>
    <s v="Vendor Control 279"/>
    <s v="GOVERN"/>
    <s v="GV.RM"/>
    <x v="1"/>
    <x v="2"/>
    <s v="Germany"/>
    <x v="2"/>
    <s v="Taylor Morgan"/>
    <s v="Semiannual"/>
    <d v="2026-08-16T00:00:00"/>
    <d v="2027-08-16T00:00:00"/>
    <x v="1"/>
    <s v="Missing"/>
    <n v="3"/>
    <s v="Liam Brown"/>
    <d v="2026-10-26T00:00:00"/>
    <s v="In Progress"/>
    <x v="1"/>
    <x v="1"/>
    <x v="1"/>
    <s v="Standard"/>
  </r>
  <r>
    <s v="CTRL-0280"/>
    <s v="Access Control 280"/>
    <s v="RESPOND"/>
    <s v="RS.MA"/>
    <x v="4"/>
    <x v="1"/>
    <s v="Canada"/>
    <x v="2"/>
    <s v="Liam Brown"/>
    <s v="Annual"/>
    <d v="2025-08-25T00:00:00"/>
    <d v="2026-08-25T00:00:00"/>
    <x v="0"/>
    <s v="Complete"/>
    <n v="0"/>
    <s v="Alex Chen"/>
    <d v="2026-10-26T00:00:00"/>
    <s v="Not Required"/>
    <x v="0"/>
    <x v="1"/>
    <x v="2"/>
    <s v="Standard"/>
  </r>
  <r>
    <s v="CTRL-0281"/>
    <s v="Incident Control 281"/>
    <s v="RECOVER"/>
    <s v="RC.RP"/>
    <x v="3"/>
    <x v="1"/>
    <s v="Canada"/>
    <x v="2"/>
    <s v="Liam Brown"/>
    <s v="Annual"/>
    <d v="2026-03-20T00:00:00"/>
    <d v="2026-09-16T00:00:00"/>
    <x v="0"/>
    <s v="Complete"/>
    <n v="1"/>
    <s v="Noah Williams"/>
    <d v="2026-11-21T00:00:00"/>
    <s v="Completed"/>
    <x v="0"/>
    <x v="1"/>
    <x v="2"/>
    <s v="Standard"/>
  </r>
  <r>
    <s v="CTRL-0282"/>
    <s v="Access Control 282"/>
    <s v="GOVERN"/>
    <s v="GV.RM"/>
    <x v="0"/>
    <x v="0"/>
    <s v="Singapore"/>
    <x v="1"/>
    <s v="Sam Rivera"/>
    <s v="Quarterly"/>
    <d v="2026-09-09T00:00:00"/>
    <d v="2027-03-08T00:00:00"/>
    <x v="1"/>
    <s v="Missing"/>
    <n v="2"/>
    <s v="Liam Brown"/>
    <d v="2027-01-08T00:00:00"/>
    <s v="In Progress"/>
    <x v="1"/>
    <x v="1"/>
    <x v="1"/>
    <s v="Standard"/>
  </r>
  <r>
    <s v="CTRL-0283"/>
    <s v="Incident Control 283"/>
    <s v="IDENTIFY"/>
    <s v="ID.AM"/>
    <x v="0"/>
    <x v="1"/>
    <s v="Canada"/>
    <x v="1"/>
    <m/>
    <s v="Semiannual"/>
    <d v="2026-06-02T00:00:00"/>
    <d v="2026-08-31T00:00:00"/>
    <x v="0"/>
    <s v="Complete"/>
    <n v="3"/>
    <s v="Maya Patel"/>
    <d v="2026-07-22T00:00:00"/>
    <s v="Overdue"/>
    <x v="0"/>
    <x v="0"/>
    <x v="2"/>
    <s v="Standard"/>
  </r>
  <r>
    <s v="CTRL-0284"/>
    <s v="Access Control 284"/>
    <s v="RECOVER"/>
    <s v="RC.RP"/>
    <x v="5"/>
    <x v="2"/>
    <s v="United Kingdom"/>
    <x v="0"/>
    <s v="Maya Patel"/>
    <s v="Annual"/>
    <d v="2025-08-11T00:00:00"/>
    <d v="2026-02-07T00:00:00"/>
    <x v="0"/>
    <s v="Pending"/>
    <n v="5"/>
    <s v="Alex Chen"/>
    <d v="2026-12-17T00:00:00"/>
    <s v="Completed"/>
    <x v="0"/>
    <x v="1"/>
    <x v="3"/>
    <s v="Elevated"/>
  </r>
  <r>
    <s v="CTRL-0285"/>
    <s v="Data Control 285"/>
    <s v="DETECT"/>
    <s v="DE.CM"/>
    <x v="3"/>
    <x v="0"/>
    <s v="Singapore"/>
    <x v="2"/>
    <s v="Jordan Lee"/>
    <s v="Semiannual"/>
    <d v="2025-09-21T00:00:00"/>
    <d v="2026-09-21T00:00:00"/>
    <x v="0"/>
    <s v="Complete"/>
    <n v="1"/>
    <s v="Emma Schmidt"/>
    <d v="2026-05-26T00:00:00"/>
    <s v="Overdue"/>
    <x v="0"/>
    <x v="1"/>
    <x v="2"/>
    <s v="Standard"/>
  </r>
  <r>
    <s v="CTRL-0286"/>
    <s v="Change Control 286"/>
    <s v="IDENTIFY"/>
    <s v="ID.AM"/>
    <x v="2"/>
    <x v="0"/>
    <s v="Singapore"/>
    <x v="2"/>
    <s v="Noah Williams"/>
    <s v="Quarterly"/>
    <d v="2026-04-13T00:00:00"/>
    <d v="2026-10-10T00:00:00"/>
    <x v="3"/>
    <s v="Pending"/>
    <n v="2"/>
    <s v="Taylor Morgan"/>
    <d v="2027-01-08T00:00:00"/>
    <s v="In Progress"/>
    <x v="1"/>
    <x v="1"/>
    <x v="3"/>
    <s v="Standard"/>
  </r>
  <r>
    <s v="CTRL-0287"/>
    <s v="Data Control 287"/>
    <s v="RECOVER"/>
    <s v="RC.RP"/>
    <x v="5"/>
    <x v="0"/>
    <s v="Singapore"/>
    <x v="1"/>
    <s v="Jordan Lee"/>
    <s v="Annual"/>
    <d v="2025-12-27T00:00:00"/>
    <d v="2026-12-27T00:00:00"/>
    <x v="2"/>
    <s v="Missing"/>
    <n v="0"/>
    <s v="Emma Schmidt"/>
    <d v="2026-09-30T00:00:00"/>
    <s v="Not Required"/>
    <x v="1"/>
    <x v="1"/>
    <x v="1"/>
    <s v="Standard"/>
  </r>
  <r>
    <s v="CTRL-0288"/>
    <s v="Policy Control 288"/>
    <s v="PROTECT"/>
    <s v="PR.AA"/>
    <x v="4"/>
    <x v="0"/>
    <s v="Singapore"/>
    <x v="0"/>
    <s v="Maya Patel"/>
    <s v="Quarterly"/>
    <d v="2026-08-29T00:00:00"/>
    <d v="2027-02-25T00:00:00"/>
    <x v="1"/>
    <s v="Missing"/>
    <n v="0"/>
    <s v="Taylor Morgan"/>
    <d v="2026-07-14T00:00:00"/>
    <s v="Not Required"/>
    <x v="1"/>
    <x v="1"/>
    <x v="1"/>
    <s v="Elevated"/>
  </r>
  <r>
    <s v="CTRL-0289"/>
    <s v="Incident Control 289"/>
    <s v="IDENTIFY"/>
    <s v="ID.AM"/>
    <x v="1"/>
    <x v="0"/>
    <s v="Singapore"/>
    <x v="0"/>
    <s v="Taylor Morgan"/>
    <s v="Annual"/>
    <d v="2026-05-29T00:00:00"/>
    <d v="2027-05-29T00:00:00"/>
    <x v="1"/>
    <s v="Pending"/>
    <n v="0"/>
    <s v="Emma Schmidt"/>
    <d v="2027-01-15T00:00:00"/>
    <s v="Not Required"/>
    <x v="1"/>
    <x v="1"/>
    <x v="3"/>
    <s v="Elevated"/>
  </r>
  <r>
    <s v="CTRL-0290"/>
    <s v="Change Control 290"/>
    <s v="PROTECT"/>
    <s v="PR.AA"/>
    <x v="5"/>
    <x v="1"/>
    <s v="Canada"/>
    <x v="2"/>
    <s v="Emma Schmidt"/>
    <s v="Annual"/>
    <d v="2026-02-24T00:00:00"/>
    <d v="2026-08-23T00:00:00"/>
    <x v="0"/>
    <s v="Missing"/>
    <n v="2"/>
    <s v="Liam Brown"/>
    <d v="2027-01-10T00:00:00"/>
    <s v="Completed"/>
    <x v="0"/>
    <x v="1"/>
    <x v="1"/>
    <s v="Standard"/>
  </r>
  <r>
    <s v="CTRL-0291"/>
    <s v="Change Control 291"/>
    <s v="GOVERN"/>
    <s v="GV.RM"/>
    <x v="3"/>
    <x v="1"/>
    <s v="Canada"/>
    <x v="2"/>
    <s v="Sam Rivera"/>
    <s v="Quarterly"/>
    <d v="2025-08-09T00:00:00"/>
    <d v="2026-08-09T00:00:00"/>
    <x v="0"/>
    <s v="Complete"/>
    <n v="2"/>
    <s v="Maya Patel"/>
    <d v="2026-11-18T00:00:00"/>
    <s v="Completed"/>
    <x v="0"/>
    <x v="1"/>
    <x v="2"/>
    <s v="Standard"/>
  </r>
  <r>
    <s v="CTRL-0292"/>
    <s v="Access Control 292"/>
    <s v="GOVERN"/>
    <s v="GV.RR"/>
    <x v="4"/>
    <x v="2"/>
    <s v="United Kingdom"/>
    <x v="1"/>
    <s v="Taylor Morgan"/>
    <s v="Quarterly"/>
    <d v="2026-07-06T00:00:00"/>
    <d v="2026-10-04T00:00:00"/>
    <x v="2"/>
    <s v="Complete"/>
    <n v="2"/>
    <s v="Noah Williams"/>
    <d v="2026-11-27T00:00:00"/>
    <s v="In Progress"/>
    <x v="1"/>
    <x v="1"/>
    <x v="2"/>
    <s v="Standard"/>
  </r>
  <r>
    <s v="CTRL-0293"/>
    <s v="Data Control 293"/>
    <s v="GOVERN"/>
    <s v="GV.RR"/>
    <x v="5"/>
    <x v="0"/>
    <s v="Singapore"/>
    <x v="2"/>
    <s v="Taylor Morgan"/>
    <s v="Quarterly"/>
    <d v="2026-01-02T00:00:00"/>
    <d v="2027-01-02T00:00:00"/>
    <x v="3"/>
    <s v="Missing"/>
    <n v="2"/>
    <s v="Jordan Lee"/>
    <d v="2026-12-28T00:00:00"/>
    <s v="Completed"/>
    <x v="1"/>
    <x v="1"/>
    <x v="1"/>
    <s v="Standard"/>
  </r>
  <r>
    <s v="CTRL-0294"/>
    <s v="Data Control 294"/>
    <s v="RECOVER"/>
    <s v="RC.RP"/>
    <x v="0"/>
    <x v="2"/>
    <s v="Germany"/>
    <x v="2"/>
    <s v="Sam Rivera"/>
    <s v="Annual"/>
    <d v="2025-10-06T00:00:00"/>
    <d v="2026-04-04T00:00:00"/>
    <x v="0"/>
    <s v="Pending"/>
    <n v="2"/>
    <s v="Alex Chen"/>
    <d v="2026-08-31T00:00:00"/>
    <s v="Completed"/>
    <x v="0"/>
    <x v="1"/>
    <x v="3"/>
    <s v="Standard"/>
  </r>
  <r>
    <s v="CTRL-0295"/>
    <s v="Access Control 295"/>
    <s v="PROTECT"/>
    <s v="PR.AA"/>
    <x v="4"/>
    <x v="1"/>
    <s v="Canada"/>
    <x v="1"/>
    <s v="Sam Rivera"/>
    <s v="Annual"/>
    <d v="2026-08-21T00:00:00"/>
    <d v="2027-08-21T00:00:00"/>
    <x v="2"/>
    <s v="Complete"/>
    <n v="3"/>
    <s v="Noah Williams"/>
    <d v="2026-08-12T00:00:00"/>
    <s v="Overdue"/>
    <x v="1"/>
    <x v="1"/>
    <x v="2"/>
    <s v="Standard"/>
  </r>
  <r>
    <s v="CTRL-0296"/>
    <s v="Change Control 296"/>
    <s v="GOVERN"/>
    <s v="GV.RM"/>
    <x v="4"/>
    <x v="0"/>
    <s v="Singapore"/>
    <x v="1"/>
    <s v="Sam Rivera"/>
    <s v="Annual"/>
    <d v="2026-03-30T00:00:00"/>
    <d v="2027-03-30T00:00:00"/>
    <x v="1"/>
    <s v="Complete"/>
    <n v="1"/>
    <s v="Sam Rivera"/>
    <d v="2027-01-03T00:00:00"/>
    <s v="In Progress"/>
    <x v="1"/>
    <x v="1"/>
    <x v="2"/>
    <s v="Standard"/>
  </r>
  <r>
    <s v="CTRL-0297"/>
    <s v="Access Control 297"/>
    <s v="DETECT"/>
    <s v="DE.CM"/>
    <x v="0"/>
    <x v="0"/>
    <s v="Singapore"/>
    <x v="1"/>
    <s v="Emma Schmidt"/>
    <s v="Quarterly"/>
    <d v="2025-10-14T00:00:00"/>
    <d v="2026-01-12T00:00:00"/>
    <x v="0"/>
    <s v="Missing"/>
    <n v="1"/>
    <s v="Maya Patel"/>
    <d v="2026-04-15T00:00:00"/>
    <s v="Overdue"/>
    <x v="0"/>
    <x v="1"/>
    <x v="1"/>
    <s v="Standard"/>
  </r>
  <r>
    <s v="CTRL-0298"/>
    <s v="Reconciliation Control 298"/>
    <s v="RESPOND"/>
    <s v="RS.MA"/>
    <x v="2"/>
    <x v="1"/>
    <s v="United States"/>
    <x v="2"/>
    <s v="Sam Rivera"/>
    <s v="Quarterly"/>
    <d v="2025-06-01T00:00:00"/>
    <d v="2025-11-28T00:00:00"/>
    <x v="0"/>
    <s v="Pending"/>
    <n v="3"/>
    <s v="Emma Schmidt"/>
    <d v="2026-11-19T00:00:00"/>
    <s v="In Progress"/>
    <x v="0"/>
    <x v="1"/>
    <x v="3"/>
    <s v="Standard"/>
  </r>
  <r>
    <s v="CTRL-0299"/>
    <s v="Data Control 299"/>
    <s v="DETECT"/>
    <s v="DE.CM"/>
    <x v="3"/>
    <x v="0"/>
    <s v="Singapore"/>
    <x v="1"/>
    <s v="Maya Patel"/>
    <s v="Quarterly"/>
    <d v="2025-08-19T00:00:00"/>
    <d v="2026-08-19T00:00:00"/>
    <x v="0"/>
    <s v="Missing"/>
    <n v="0"/>
    <s v="Taylor Morgan"/>
    <d v="2026-05-10T00:00:00"/>
    <s v="Not Required"/>
    <x v="0"/>
    <x v="1"/>
    <x v="1"/>
    <s v="Standard"/>
  </r>
  <r>
    <s v="CTRL-0300"/>
    <s v="Data Control 300"/>
    <s v="GOVERN"/>
    <s v="GV.RR"/>
    <x v="3"/>
    <x v="0"/>
    <s v="Singapore"/>
    <x v="1"/>
    <s v="Liam Brown"/>
    <s v="Quarterly"/>
    <d v="2026-02-27T00:00:00"/>
    <d v="2026-08-26T00:00:00"/>
    <x v="0"/>
    <s v="Missing"/>
    <n v="0"/>
    <s v="Jordan Lee"/>
    <d v="2026-12-01T00:00:00"/>
    <s v="Not Required"/>
    <x v="0"/>
    <x v="1"/>
    <x v="1"/>
    <s v="Standard"/>
  </r>
  <r>
    <s v="CTRL-0301"/>
    <s v="Data Control 301"/>
    <s v="RESPOND"/>
    <s v="RS.MA"/>
    <x v="3"/>
    <x v="0"/>
    <s v="Singapore"/>
    <x v="1"/>
    <s v="Jordan Lee"/>
    <s v="Annual"/>
    <d v="2026-04-11T00:00:00"/>
    <d v="2027-04-11T00:00:00"/>
    <x v="2"/>
    <s v="Complete"/>
    <n v="1"/>
    <s v="Maya Patel"/>
    <d v="2026-06-05T00:00:00"/>
    <s v="Completed"/>
    <x v="1"/>
    <x v="1"/>
    <x v="2"/>
    <s v="Standard"/>
  </r>
  <r>
    <s v="CTRL-0302"/>
    <s v="Change Control 302"/>
    <s v="PROTECT"/>
    <s v="PR.AA"/>
    <x v="5"/>
    <x v="2"/>
    <s v="United Kingdom"/>
    <x v="0"/>
    <s v="Noah Williams"/>
    <s v="Quarterly"/>
    <d v="2026-05-25T00:00:00"/>
    <d v="2026-11-21T00:00:00"/>
    <x v="3"/>
    <s v="Complete"/>
    <n v="1"/>
    <s v="Jordan Lee"/>
    <d v="2026-07-25T00:00:00"/>
    <s v="Overdue"/>
    <x v="1"/>
    <x v="1"/>
    <x v="2"/>
    <s v="Elevated"/>
  </r>
  <r>
    <s v="CTRL-0303"/>
    <s v="Reconciliation Control 303"/>
    <s v="DETECT"/>
    <s v="DE.CM"/>
    <x v="3"/>
    <x v="0"/>
    <s v="Singapore"/>
    <x v="2"/>
    <s v="Maya Patel"/>
    <s v="Quarterly"/>
    <d v="2026-04-15T00:00:00"/>
    <d v="2027-04-15T00:00:00"/>
    <x v="1"/>
    <s v="Complete"/>
    <n v="1"/>
    <s v="Sam Rivera"/>
    <d v="2027-01-25T00:00:00"/>
    <s v="In Progress"/>
    <x v="1"/>
    <x v="1"/>
    <x v="2"/>
    <s v="Standard"/>
  </r>
  <r>
    <s v="CTRL-0304"/>
    <s v="Data Control 304"/>
    <s v="GOVERN"/>
    <s v="GV.RR"/>
    <x v="3"/>
    <x v="1"/>
    <s v="Canada"/>
    <x v="1"/>
    <s v="Sam Rivera"/>
    <s v="Annual"/>
    <d v="2026-04-01T00:00:00"/>
    <d v="2026-09-28T00:00:00"/>
    <x v="0"/>
    <s v="Pending"/>
    <n v="2"/>
    <s v="Noah Williams"/>
    <d v="2026-09-06T00:00:00"/>
    <s v="Overdue"/>
    <x v="0"/>
    <x v="1"/>
    <x v="3"/>
    <s v="Standard"/>
  </r>
  <r>
    <s v="CTRL-0305"/>
    <s v="Incident Control 305"/>
    <s v="GOVERN"/>
    <s v="GV.RR"/>
    <x v="1"/>
    <x v="2"/>
    <s v="Germany"/>
    <x v="1"/>
    <s v="Sam Rivera"/>
    <s v="Annual"/>
    <d v="2025-08-04T00:00:00"/>
    <d v="2025-11-02T00:00:00"/>
    <x v="0"/>
    <s v="Missing"/>
    <n v="3"/>
    <s v="Noah Williams"/>
    <d v="2026-08-22T00:00:00"/>
    <s v="Overdue"/>
    <x v="0"/>
    <x v="1"/>
    <x v="1"/>
    <s v="Standard"/>
  </r>
  <r>
    <s v="CTRL-0306"/>
    <s v="Data Control 306"/>
    <s v="GOVERN"/>
    <s v="GV.RR"/>
    <x v="4"/>
    <x v="2"/>
    <s v="Germany"/>
    <x v="2"/>
    <s v="Taylor Morgan"/>
    <s v="Quarterly"/>
    <d v="2026-01-04T00:00:00"/>
    <d v="2027-01-04T00:00:00"/>
    <x v="1"/>
    <s v="Missing"/>
    <n v="0"/>
    <s v="Taylor Morgan"/>
    <d v="2026-08-24T00:00:00"/>
    <s v="Not Required"/>
    <x v="1"/>
    <x v="1"/>
    <x v="1"/>
    <s v="Standard"/>
  </r>
  <r>
    <s v="CTRL-0307"/>
    <s v="Policy Control 307"/>
    <s v="RESPOND"/>
    <s v="RS.MA"/>
    <x v="5"/>
    <x v="0"/>
    <s v="Singapore"/>
    <x v="1"/>
    <s v="Alex Chen"/>
    <s v="Annual"/>
    <d v="2025-07-03T00:00:00"/>
    <d v="2026-07-03T00:00:00"/>
    <x v="0"/>
    <s v="Missing"/>
    <n v="0"/>
    <s v="Sam Rivera"/>
    <d v="2027-01-25T00:00:00"/>
    <s v="Not Required"/>
    <x v="0"/>
    <x v="1"/>
    <x v="1"/>
    <s v="Standard"/>
  </r>
  <r>
    <s v="CTRL-0308"/>
    <s v="Change Control 308"/>
    <s v="PROTECT"/>
    <s v="PR.AA"/>
    <x v="3"/>
    <x v="1"/>
    <s v="Canada"/>
    <x v="0"/>
    <s v="Liam Brown"/>
    <s v="Semiannual"/>
    <d v="2025-10-11T00:00:00"/>
    <d v="2026-01-09T00:00:00"/>
    <x v="0"/>
    <s v="Pending"/>
    <n v="3"/>
    <s v="Maya Patel"/>
    <d v="2026-07-26T00:00:00"/>
    <s v="Overdue"/>
    <x v="0"/>
    <x v="1"/>
    <x v="3"/>
    <s v="Elevated"/>
  </r>
  <r>
    <s v="CTRL-0309"/>
    <s v="Change Control 309"/>
    <s v="GOVERN"/>
    <s v="GV.RR"/>
    <x v="3"/>
    <x v="2"/>
    <s v="Germany"/>
    <x v="1"/>
    <s v="Sam Rivera"/>
    <s v="Annual"/>
    <d v="2025-07-03T00:00:00"/>
    <d v="2026-07-03T00:00:00"/>
    <x v="0"/>
    <s v="Missing"/>
    <n v="1"/>
    <s v="Jordan Lee"/>
    <d v="2026-12-22T00:00:00"/>
    <s v="Completed"/>
    <x v="0"/>
    <x v="1"/>
    <x v="1"/>
    <s v="Standard"/>
  </r>
  <r>
    <s v="CTRL-0310"/>
    <s v="Data Control 310"/>
    <s v="IDENTIFY"/>
    <s v="ID.AM"/>
    <x v="2"/>
    <x v="0"/>
    <s v="Singapore"/>
    <x v="1"/>
    <s v="Liam Brown"/>
    <s v="Semiannual"/>
    <d v="2026-05-15T00:00:00"/>
    <d v="2026-08-13T00:00:00"/>
    <x v="0"/>
    <s v="Pending"/>
    <n v="2"/>
    <s v="Emma Schmidt"/>
    <d v="2026-07-31T00:00:00"/>
    <s v="Completed"/>
    <x v="0"/>
    <x v="1"/>
    <x v="3"/>
    <s v="Standard"/>
  </r>
  <r>
    <s v="CTRL-0311"/>
    <s v="Vendor Control 311"/>
    <s v="GOVERN"/>
    <s v="GV.RR"/>
    <x v="0"/>
    <x v="2"/>
    <s v="Germany"/>
    <x v="1"/>
    <s v="Noah Williams"/>
    <s v="Annual"/>
    <d v="2026-07-20T00:00:00"/>
    <d v="2027-07-20T00:00:00"/>
    <x v="2"/>
    <s v="Missing"/>
    <n v="2"/>
    <s v="Emma Schmidt"/>
    <d v="2027-01-24T00:00:00"/>
    <s v="In Progress"/>
    <x v="1"/>
    <x v="1"/>
    <x v="1"/>
    <s v="Standard"/>
  </r>
  <r>
    <s v="CTRL-0312"/>
    <s v="Data Control 312"/>
    <s v="GOVERN"/>
    <s v="GV.OC"/>
    <x v="3"/>
    <x v="2"/>
    <s v="United Kingdom"/>
    <x v="1"/>
    <s v="Sam Rivera"/>
    <s v="Quarterly"/>
    <d v="2025-12-20T00:00:00"/>
    <d v="2026-06-18T00:00:00"/>
    <x v="0"/>
    <s v="Pending"/>
    <n v="2"/>
    <s v="Liam Brown"/>
    <d v="2026-12-08T00:00:00"/>
    <s v="In Progress"/>
    <x v="0"/>
    <x v="1"/>
    <x v="3"/>
    <s v="Standard"/>
  </r>
  <r>
    <s v="CTRL-0313"/>
    <s v="Incident Control 313"/>
    <s v="GOVERN"/>
    <s v="GV.RM"/>
    <x v="0"/>
    <x v="1"/>
    <s v="United States"/>
    <x v="2"/>
    <s v="Taylor Morgan"/>
    <s v="Quarterly"/>
    <d v="2026-05-25T00:00:00"/>
    <d v="2026-08-23T00:00:00"/>
    <x v="0"/>
    <s v="Complete"/>
    <n v="1"/>
    <s v="Emma Schmidt"/>
    <d v="2026-10-05T00:00:00"/>
    <s v="In Progress"/>
    <x v="0"/>
    <x v="1"/>
    <x v="2"/>
    <s v="Standard"/>
  </r>
  <r>
    <s v="CTRL-0314"/>
    <s v="Change Control 314"/>
    <s v="GOVERN"/>
    <s v="GV.OC"/>
    <x v="4"/>
    <x v="2"/>
    <s v="United Kingdom"/>
    <x v="2"/>
    <s v="Liam Brown"/>
    <s v="Annual"/>
    <d v="2026-05-26T00:00:00"/>
    <d v="2027-05-26T00:00:00"/>
    <x v="1"/>
    <s v="Pending"/>
    <n v="0"/>
    <s v="Jordan Lee"/>
    <d v="2026-08-05T00:00:00"/>
    <s v="Not Required"/>
    <x v="1"/>
    <x v="1"/>
    <x v="3"/>
    <s v="Standard"/>
  </r>
  <r>
    <s v="CTRL-0315"/>
    <s v="Access Control 315"/>
    <s v="PROTECT"/>
    <s v="PR.AA"/>
    <x v="3"/>
    <x v="1"/>
    <s v="United States"/>
    <x v="1"/>
    <s v="Jordan Lee"/>
    <s v="Quarterly"/>
    <d v="2026-05-01T00:00:00"/>
    <d v="2026-07-30T00:00:00"/>
    <x v="0"/>
    <s v="Missing"/>
    <n v="3"/>
    <s v="Liam Brown"/>
    <d v="2027-01-16T00:00:00"/>
    <s v="In Progress"/>
    <x v="0"/>
    <x v="1"/>
    <x v="1"/>
    <s v="Standard"/>
  </r>
  <r>
    <s v="CTRL-0316"/>
    <s v="Vendor Control 316"/>
    <s v="DETECT"/>
    <s v="DE.CM"/>
    <x v="4"/>
    <x v="0"/>
    <s v="Singapore"/>
    <x v="1"/>
    <s v="Emma Schmidt"/>
    <s v="Annual"/>
    <d v="2025-11-07T00:00:00"/>
    <d v="2026-02-05T00:00:00"/>
    <x v="0"/>
    <s v="Missing"/>
    <n v="1"/>
    <s v="Maya Patel"/>
    <d v="2026-12-20T00:00:00"/>
    <s v="Completed"/>
    <x v="0"/>
    <x v="1"/>
    <x v="1"/>
    <s v="Standard"/>
  </r>
  <r>
    <s v="CTRL-0317"/>
    <s v="Data Control 317"/>
    <s v="RECOVER"/>
    <s v="RC.RP"/>
    <x v="4"/>
    <x v="1"/>
    <s v="Canada"/>
    <x v="1"/>
    <s v="Alex Chen"/>
    <s v="Annual"/>
    <d v="2026-05-30T00:00:00"/>
    <d v="2027-05-30T00:00:00"/>
    <x v="2"/>
    <s v="Complete"/>
    <n v="0"/>
    <s v="Alex Chen"/>
    <d v="2026-07-02T00:00:00"/>
    <s v="Not Required"/>
    <x v="1"/>
    <x v="1"/>
    <x v="2"/>
    <s v="Standard"/>
  </r>
  <r>
    <s v="CTRL-0318"/>
    <s v="Reconciliation Control 318"/>
    <s v="RESPOND"/>
    <s v="RS.MA"/>
    <x v="0"/>
    <x v="0"/>
    <s v="Singapore"/>
    <x v="2"/>
    <s v="Jordan Lee"/>
    <s v="Quarterly"/>
    <d v="2025-06-06T00:00:00"/>
    <d v="2026-06-06T00:00:00"/>
    <x v="0"/>
    <s v="Missing"/>
    <n v="0"/>
    <s v="Emma Schmidt"/>
    <d v="2026-11-09T00:00:00"/>
    <s v="Not Required"/>
    <x v="0"/>
    <x v="1"/>
    <x v="1"/>
    <s v="Standard"/>
  </r>
  <r>
    <s v="CTRL-0319"/>
    <s v="Reconciliation Control 319"/>
    <s v="GOVERN"/>
    <s v="GV.RM"/>
    <x v="4"/>
    <x v="1"/>
    <s v="Canada"/>
    <x v="2"/>
    <s v="Maya Patel"/>
    <s v="Annual"/>
    <d v="2026-02-05T00:00:00"/>
    <d v="2026-05-06T00:00:00"/>
    <x v="0"/>
    <s v="Pending"/>
    <n v="3"/>
    <s v="Emma Schmidt"/>
    <d v="2026-07-31T00:00:00"/>
    <s v="Overdue"/>
    <x v="0"/>
    <x v="1"/>
    <x v="3"/>
    <s v="Standard"/>
  </r>
  <r>
    <s v="CTRL-0320"/>
    <s v="Vendor Control 320"/>
    <s v="DETECT"/>
    <s v="DE.CM"/>
    <x v="0"/>
    <x v="2"/>
    <s v="United Kingdom"/>
    <x v="0"/>
    <s v="Alex Chen"/>
    <s v="Semiannual"/>
    <d v="2025-11-19T00:00:00"/>
    <d v="2026-11-19T00:00:00"/>
    <x v="1"/>
    <s v="Complete"/>
    <n v="3"/>
    <s v="Maya Patel"/>
    <d v="2026-07-17T00:00:00"/>
    <s v="Overdue"/>
    <x v="1"/>
    <x v="1"/>
    <x v="2"/>
    <s v="Elevated"/>
  </r>
  <r>
    <s v="CTRL-0321"/>
    <s v="Policy Control 321"/>
    <s v="RESPOND"/>
    <s v="RS.MA"/>
    <x v="5"/>
    <x v="1"/>
    <s v="Canada"/>
    <x v="2"/>
    <s v="Taylor Morgan"/>
    <s v="Quarterly"/>
    <d v="2025-06-30T00:00:00"/>
    <d v="2026-06-30T00:00:00"/>
    <x v="0"/>
    <s v="Pending"/>
    <n v="2"/>
    <s v="Emma Schmidt"/>
    <d v="2026-08-22T00:00:00"/>
    <s v="Overdue"/>
    <x v="0"/>
    <x v="1"/>
    <x v="3"/>
    <s v="Standard"/>
  </r>
  <r>
    <s v="CTRL-0322"/>
    <s v="Policy Control 322"/>
    <s v="RECOVER"/>
    <s v="RC.RP"/>
    <x v="1"/>
    <x v="0"/>
    <s v="Singapore"/>
    <x v="2"/>
    <s v="Liam Brown"/>
    <s v="Annual"/>
    <d v="2026-05-04T00:00:00"/>
    <d v="2026-10-31T00:00:00"/>
    <x v="2"/>
    <s v="Missing"/>
    <n v="1"/>
    <s v="Jordan Lee"/>
    <d v="2026-06-02T00:00:00"/>
    <s v="Overdue"/>
    <x v="1"/>
    <x v="1"/>
    <x v="1"/>
    <s v="Standard"/>
  </r>
  <r>
    <s v="CTRL-0323"/>
    <s v="Incident Control 323"/>
    <s v="RESPOND"/>
    <s v="RS.MA"/>
    <x v="3"/>
    <x v="1"/>
    <s v="United States"/>
    <x v="2"/>
    <s v="Noah Williams"/>
    <s v="Quarterly"/>
    <d v="2025-07-27T00:00:00"/>
    <d v="2026-07-27T00:00:00"/>
    <x v="0"/>
    <s v="Missing"/>
    <n v="0"/>
    <s v="Maya Patel"/>
    <d v="2026-06-24T00:00:00"/>
    <s v="Not Required"/>
    <x v="0"/>
    <x v="1"/>
    <x v="1"/>
    <s v="Standard"/>
  </r>
  <r>
    <s v="CTRL-0324"/>
    <s v="Vendor Control 324"/>
    <s v="RESPOND"/>
    <s v="RS.MA"/>
    <x v="3"/>
    <x v="1"/>
    <s v="Canada"/>
    <x v="2"/>
    <s v="Maya Patel"/>
    <s v="Annual"/>
    <d v="2026-04-29T00:00:00"/>
    <d v="2026-07-28T00:00:00"/>
    <x v="0"/>
    <s v="Pending"/>
    <n v="0"/>
    <s v="Taylor Morgan"/>
    <d v="2026-04-22T00:00:00"/>
    <s v="Not Required"/>
    <x v="0"/>
    <x v="1"/>
    <x v="3"/>
    <s v="Standard"/>
  </r>
  <r>
    <s v="CTRL-0325"/>
    <s v="Data Control 325"/>
    <s v="IDENTIFY"/>
    <s v="ID.AM"/>
    <x v="1"/>
    <x v="0"/>
    <s v="Singapore"/>
    <x v="2"/>
    <s v="Liam Brown"/>
    <s v="Quarterly"/>
    <d v="2026-09-05T00:00:00"/>
    <d v="2026-12-04T00:00:00"/>
    <x v="2"/>
    <s v="Complete"/>
    <n v="0"/>
    <s v="Alex Chen"/>
    <d v="2026-12-20T00:00:00"/>
    <s v="Not Required"/>
    <x v="1"/>
    <x v="1"/>
    <x v="2"/>
    <s v="Standard"/>
  </r>
  <r>
    <s v="CTRL-0326"/>
    <s v="Incident Control 326"/>
    <s v="GOVERN"/>
    <s v="GV.OC"/>
    <x v="5"/>
    <x v="2"/>
    <s v="United Kingdom"/>
    <x v="1"/>
    <s v="Jordan Lee"/>
    <s v="Annual"/>
    <d v="2026-07-28T00:00:00"/>
    <d v="2027-01-24T00:00:00"/>
    <x v="2"/>
    <s v="Missing"/>
    <n v="3"/>
    <s v="Maya Patel"/>
    <d v="2026-10-27T00:00:00"/>
    <s v="In Progress"/>
    <x v="1"/>
    <x v="1"/>
    <x v="1"/>
    <s v="Standard"/>
  </r>
  <r>
    <s v="CTRL-0327"/>
    <s v="Data Control 327"/>
    <s v="RESPOND"/>
    <s v="RS.MA"/>
    <x v="5"/>
    <x v="1"/>
    <s v="Canada"/>
    <x v="0"/>
    <s v="Noah Williams"/>
    <s v="Quarterly"/>
    <d v="2026-03-17T00:00:00"/>
    <d v="2026-09-13T00:00:00"/>
    <x v="0"/>
    <s v="Complete"/>
    <n v="4"/>
    <s v="Taylor Morgan"/>
    <d v="2026-07-11T00:00:00"/>
    <s v="Overdue"/>
    <x v="0"/>
    <x v="1"/>
    <x v="2"/>
    <s v="Elevated"/>
  </r>
  <r>
    <s v="CTRL-0328"/>
    <s v="Data Control 328"/>
    <s v="PROTECT"/>
    <s v="PR.AA"/>
    <x v="3"/>
    <x v="1"/>
    <s v="Canada"/>
    <x v="1"/>
    <s v="Maya Patel"/>
    <s v="Annual"/>
    <d v="2025-12-27T00:00:00"/>
    <d v="2026-06-25T00:00:00"/>
    <x v="0"/>
    <s v="Pending"/>
    <n v="0"/>
    <s v="Taylor Morgan"/>
    <d v="2026-12-21T00:00:00"/>
    <s v="Not Required"/>
    <x v="0"/>
    <x v="1"/>
    <x v="3"/>
    <s v="Standard"/>
  </r>
  <r>
    <s v="CTRL-0329"/>
    <s v="Access Control 329"/>
    <s v="RECOVER"/>
    <s v="RC.RP"/>
    <x v="4"/>
    <x v="0"/>
    <s v="Singapore"/>
    <x v="2"/>
    <s v="Sam Rivera"/>
    <s v="Semiannual"/>
    <d v="2025-08-19T00:00:00"/>
    <d v="2026-02-15T00:00:00"/>
    <x v="0"/>
    <s v="Pending"/>
    <n v="3"/>
    <s v="Maya Patel"/>
    <d v="2027-01-28T00:00:00"/>
    <s v="In Progress"/>
    <x v="0"/>
    <x v="1"/>
    <x v="3"/>
    <s v="Standard"/>
  </r>
  <r>
    <s v="CTRL-0330"/>
    <s v="Change Control 330"/>
    <s v="PROTECT"/>
    <s v="PR.AA"/>
    <x v="5"/>
    <x v="2"/>
    <s v="United Kingdom"/>
    <x v="0"/>
    <m/>
    <s v="Semiannual"/>
    <d v="2025-07-28T00:00:00"/>
    <d v="2026-01-24T00:00:00"/>
    <x v="0"/>
    <s v="Pending"/>
    <n v="2"/>
    <s v="Maya Patel"/>
    <d v="2026-12-23T00:00:00"/>
    <s v="In Progress"/>
    <x v="0"/>
    <x v="0"/>
    <x v="3"/>
    <s v="Elevated"/>
  </r>
  <r>
    <s v="CTRL-0331"/>
    <s v="Vendor Control 331"/>
    <s v="IDENTIFY"/>
    <s v="ID.AM"/>
    <x v="0"/>
    <x v="2"/>
    <s v="Germany"/>
    <x v="2"/>
    <s v="Jordan Lee"/>
    <s v="Annual"/>
    <d v="2026-01-10T00:00:00"/>
    <d v="2026-07-09T00:00:00"/>
    <x v="0"/>
    <s v="Pending"/>
    <n v="1"/>
    <s v="Sam Rivera"/>
    <d v="2027-01-21T00:00:00"/>
    <s v="Completed"/>
    <x v="0"/>
    <x v="1"/>
    <x v="3"/>
    <s v="Standard"/>
  </r>
  <r>
    <s v="CTRL-0332"/>
    <s v="Access Control 332"/>
    <s v="GOVERN"/>
    <s v="GV.RM"/>
    <x v="2"/>
    <x v="1"/>
    <s v="United States"/>
    <x v="1"/>
    <s v="Sam Rivera"/>
    <s v="Annual"/>
    <d v="2025-07-10T00:00:00"/>
    <d v="2025-10-08T00:00:00"/>
    <x v="0"/>
    <s v="Missing"/>
    <n v="2"/>
    <s v="Liam Brown"/>
    <d v="2026-06-21T00:00:00"/>
    <s v="Overdue"/>
    <x v="0"/>
    <x v="1"/>
    <x v="1"/>
    <s v="Standard"/>
  </r>
  <r>
    <s v="CTRL-0333"/>
    <s v="Vendor Control 333"/>
    <s v="PROTECT"/>
    <s v="PR.AA"/>
    <x v="3"/>
    <x v="0"/>
    <s v="Singapore"/>
    <x v="3"/>
    <s v="Liam Brown"/>
    <s v="Quarterly"/>
    <d v="2026-03-04T00:00:00"/>
    <d v="2027-03-04T00:00:00"/>
    <x v="1"/>
    <m/>
    <n v="4"/>
    <s v="Jordan Lee"/>
    <d v="2026-08-21T00:00:00"/>
    <s v="Overdue"/>
    <x v="1"/>
    <x v="1"/>
    <x v="0"/>
    <s v="Elevated"/>
  </r>
  <r>
    <s v="CTRL-0334"/>
    <s v="Incident Control 334"/>
    <s v="GOVERN"/>
    <s v="GV.RM"/>
    <x v="4"/>
    <x v="1"/>
    <s v="Canada"/>
    <x v="3"/>
    <s v="Alex Chen"/>
    <s v="Annual"/>
    <d v="2025-12-27T00:00:00"/>
    <d v="2026-06-25T00:00:00"/>
    <x v="0"/>
    <s v="Pending"/>
    <n v="5"/>
    <s v="Liam Brown"/>
    <d v="2026-07-01T00:00:00"/>
    <s v="Overdue"/>
    <x v="0"/>
    <x v="1"/>
    <x v="3"/>
    <s v="Elevated"/>
  </r>
  <r>
    <s v="CTRL-0335"/>
    <s v="Change Control 335"/>
    <s v="PROTECT"/>
    <s v="PR.AA"/>
    <x v="0"/>
    <x v="2"/>
    <s v="United Kingdom"/>
    <x v="2"/>
    <s v="Emma Schmidt"/>
    <s v="Semiannual"/>
    <d v="2025-11-17T00:00:00"/>
    <d v="2026-02-15T00:00:00"/>
    <x v="0"/>
    <s v="Pending"/>
    <n v="2"/>
    <s v="Liam Brown"/>
    <d v="2026-08-13T00:00:00"/>
    <s v="Completed"/>
    <x v="0"/>
    <x v="1"/>
    <x v="3"/>
    <s v="Standard"/>
  </r>
  <r>
    <s v="CTRL-0336"/>
    <s v="Data Control 336"/>
    <s v="GOVERN"/>
    <s v="GV.RR"/>
    <x v="2"/>
    <x v="0"/>
    <s v="Singapore"/>
    <x v="1"/>
    <s v="Emma Schmidt"/>
    <s v="Annual"/>
    <d v="2026-05-26T00:00:00"/>
    <d v="2026-11-22T00:00:00"/>
    <x v="2"/>
    <s v="Pending"/>
    <n v="3"/>
    <s v="Sam Rivera"/>
    <d v="2026-08-24T00:00:00"/>
    <s v="Overdue"/>
    <x v="1"/>
    <x v="1"/>
    <x v="3"/>
    <s v="Standard"/>
  </r>
  <r>
    <s v="CTRL-0337"/>
    <s v="Vendor Control 337"/>
    <s v="GOVERN"/>
    <s v="GV.RR"/>
    <x v="1"/>
    <x v="1"/>
    <s v="Canada"/>
    <x v="2"/>
    <s v="Emma Schmidt"/>
    <s v="Semiannual"/>
    <d v="2026-06-02T00:00:00"/>
    <d v="2026-08-31T00:00:00"/>
    <x v="0"/>
    <s v="Missing"/>
    <n v="1"/>
    <s v="Jordan Lee"/>
    <d v="2026-12-01T00:00:00"/>
    <s v="In Progress"/>
    <x v="0"/>
    <x v="1"/>
    <x v="1"/>
    <s v="Standard"/>
  </r>
  <r>
    <s v="CTRL-0338"/>
    <s v="Vendor Control 338"/>
    <s v="PROTECT"/>
    <s v="PR.AA"/>
    <x v="4"/>
    <x v="0"/>
    <s v="Singapore"/>
    <x v="2"/>
    <s v="Alex Chen"/>
    <s v="Annual"/>
    <d v="2026-02-19T00:00:00"/>
    <d v="2026-05-20T00:00:00"/>
    <x v="0"/>
    <s v="Missing"/>
    <n v="1"/>
    <s v="Maya Patel"/>
    <d v="2026-05-03T00:00:00"/>
    <s v="Completed"/>
    <x v="0"/>
    <x v="1"/>
    <x v="1"/>
    <s v="Standard"/>
  </r>
  <r>
    <s v="CTRL-0339"/>
    <s v="Data Control 339"/>
    <s v="IDENTIFY"/>
    <s v="ID.AM"/>
    <x v="2"/>
    <x v="2"/>
    <s v="Germany"/>
    <x v="2"/>
    <s v="Taylor Morgan"/>
    <s v="Annual"/>
    <d v="2026-03-18T00:00:00"/>
    <d v="2026-06-16T00:00:00"/>
    <x v="0"/>
    <s v="Pending"/>
    <n v="0"/>
    <s v="Jordan Lee"/>
    <d v="2026-09-29T00:00:00"/>
    <s v="Not Required"/>
    <x v="0"/>
    <x v="1"/>
    <x v="3"/>
    <s v="Standard"/>
  </r>
  <r>
    <s v="CTRL-0340"/>
    <s v="Vendor Control 340"/>
    <s v="PROTECT"/>
    <s v="PR.AA"/>
    <x v="2"/>
    <x v="2"/>
    <s v="Germany"/>
    <x v="2"/>
    <s v="Liam Brown"/>
    <s v="Annual"/>
    <d v="2025-08-10T00:00:00"/>
    <d v="2026-08-10T00:00:00"/>
    <x v="0"/>
    <s v="Pending"/>
    <n v="0"/>
    <s v="Jordan Lee"/>
    <d v="2026-10-15T00:00:00"/>
    <s v="Not Required"/>
    <x v="0"/>
    <x v="1"/>
    <x v="3"/>
    <s v="Standard"/>
  </r>
  <r>
    <s v="CTRL-0341"/>
    <s v="Incident Control 341"/>
    <s v="DETECT"/>
    <s v="DE.CM"/>
    <x v="4"/>
    <x v="1"/>
    <s v="Canada"/>
    <x v="2"/>
    <s v="Emma Schmidt"/>
    <s v="Semiannual"/>
    <d v="2025-07-03T00:00:00"/>
    <d v="2025-10-01T00:00:00"/>
    <x v="0"/>
    <s v="Complete"/>
    <n v="1"/>
    <s v="Taylor Morgan"/>
    <d v="2026-09-25T00:00:00"/>
    <s v="Completed"/>
    <x v="0"/>
    <x v="1"/>
    <x v="2"/>
    <s v="Standard"/>
  </r>
  <r>
    <s v="CTRL-0342"/>
    <s v="Change Control 342"/>
    <s v="GOVERN"/>
    <s v="GV.OC"/>
    <x v="2"/>
    <x v="0"/>
    <s v="Singapore"/>
    <x v="0"/>
    <s v="Noah Williams"/>
    <s v="Annual"/>
    <d v="2025-08-24T00:00:00"/>
    <d v="2026-08-24T00:00:00"/>
    <x v="0"/>
    <s v="Missing"/>
    <n v="3"/>
    <s v="Sam Rivera"/>
    <d v="2026-10-31T00:00:00"/>
    <s v="Completed"/>
    <x v="0"/>
    <x v="1"/>
    <x v="1"/>
    <s v="Elevated"/>
  </r>
  <r>
    <s v="CTRL-0343"/>
    <s v="Vendor Control 343"/>
    <s v="GOVERN"/>
    <s v="GV.RM"/>
    <x v="5"/>
    <x v="0"/>
    <s v="Singapore"/>
    <x v="0"/>
    <s v="Maya Patel"/>
    <s v="Annual"/>
    <d v="2026-05-26T00:00:00"/>
    <d v="2026-08-24T00:00:00"/>
    <x v="0"/>
    <s v="Pending"/>
    <n v="0"/>
    <s v="Alex Chen"/>
    <d v="2026-05-21T00:00:00"/>
    <s v="Not Required"/>
    <x v="0"/>
    <x v="1"/>
    <x v="3"/>
    <s v="Elevated"/>
  </r>
  <r>
    <s v="CTRL-0344"/>
    <s v="Vendor Control 344"/>
    <s v="PROTECT"/>
    <s v="PR.AA"/>
    <x v="3"/>
    <x v="1"/>
    <s v="Canada"/>
    <x v="0"/>
    <s v="Maya Patel"/>
    <s v="Annual"/>
    <d v="2026-07-19T00:00:00"/>
    <d v="2027-01-15T00:00:00"/>
    <x v="3"/>
    <s v="Missing"/>
    <n v="3"/>
    <s v="Jordan Lee"/>
    <d v="2026-09-08T00:00:00"/>
    <s v="Completed"/>
    <x v="1"/>
    <x v="1"/>
    <x v="1"/>
    <s v="Elevated"/>
  </r>
  <r>
    <s v="CTRL-0345"/>
    <s v="Change Control 345"/>
    <s v="RECOVER"/>
    <s v="RC.RP"/>
    <x v="0"/>
    <x v="1"/>
    <s v="United States"/>
    <x v="1"/>
    <s v="Noah Williams"/>
    <s v="Annual"/>
    <d v="2025-06-27T00:00:00"/>
    <d v="2025-12-24T00:00:00"/>
    <x v="0"/>
    <s v="Pending"/>
    <n v="3"/>
    <s v="Jordan Lee"/>
    <d v="2027-01-04T00:00:00"/>
    <s v="In Progress"/>
    <x v="0"/>
    <x v="1"/>
    <x v="3"/>
    <s v="Standard"/>
  </r>
  <r>
    <s v="CTRL-0346"/>
    <s v="Vendor Control 346"/>
    <s v="GOVERN"/>
    <s v="GV.RM"/>
    <x v="5"/>
    <x v="0"/>
    <s v="Singapore"/>
    <x v="0"/>
    <s v="Emma Schmidt"/>
    <s v="Semiannual"/>
    <d v="2025-12-16T00:00:00"/>
    <d v="2026-12-16T00:00:00"/>
    <x v="2"/>
    <s v="Pending"/>
    <n v="3"/>
    <s v="Noah Williams"/>
    <d v="2027-01-04T00:00:00"/>
    <s v="Completed"/>
    <x v="1"/>
    <x v="1"/>
    <x v="3"/>
    <s v="Elevated"/>
  </r>
  <r>
    <s v="CTRL-0347"/>
    <s v="Policy Control 347"/>
    <s v="RECOVER"/>
    <s v="RC.RP"/>
    <x v="1"/>
    <x v="2"/>
    <s v="Germany"/>
    <x v="2"/>
    <s v="Alex Chen"/>
    <s v="Semiannual"/>
    <d v="2025-12-17T00:00:00"/>
    <d v="2026-03-17T00:00:00"/>
    <x v="0"/>
    <s v="Pending"/>
    <n v="2"/>
    <s v="Taylor Morgan"/>
    <d v="2026-11-29T00:00:00"/>
    <s v="In Progress"/>
    <x v="0"/>
    <x v="1"/>
    <x v="3"/>
    <s v="Standard"/>
  </r>
  <r>
    <s v="CTRL-0348"/>
    <s v="Change Control 348"/>
    <s v="IDENTIFY"/>
    <s v="ID.AM"/>
    <x v="2"/>
    <x v="1"/>
    <s v="Canada"/>
    <x v="2"/>
    <s v="Alex Chen"/>
    <s v="Annual"/>
    <d v="2025-12-04T00:00:00"/>
    <d v="2026-06-02T00:00:00"/>
    <x v="0"/>
    <s v="Complete"/>
    <n v="3"/>
    <s v="Emma Schmidt"/>
    <d v="2027-01-15T00:00:00"/>
    <s v="In Progress"/>
    <x v="0"/>
    <x v="1"/>
    <x v="2"/>
    <s v="Standard"/>
  </r>
  <r>
    <s v="CTRL-0349"/>
    <s v="Change Control 349"/>
    <s v="GOVERN"/>
    <s v="GV.RM"/>
    <x v="2"/>
    <x v="2"/>
    <s v="United Kingdom"/>
    <x v="1"/>
    <s v="Sam Rivera"/>
    <s v="Quarterly"/>
    <d v="2025-12-20T00:00:00"/>
    <d v="2026-12-20T00:00:00"/>
    <x v="2"/>
    <s v="Pending"/>
    <n v="2"/>
    <s v="Taylor Morgan"/>
    <d v="2026-10-31T00:00:00"/>
    <s v="Completed"/>
    <x v="1"/>
    <x v="1"/>
    <x v="3"/>
    <s v="Standard"/>
  </r>
  <r>
    <s v="CTRL-0350"/>
    <s v="Reconciliation Control 350"/>
    <s v="GOVERN"/>
    <s v="GV.RM"/>
    <x v="3"/>
    <x v="1"/>
    <s v="Canada"/>
    <x v="2"/>
    <s v="Liam Brown"/>
    <s v="Semiannual"/>
    <d v="2026-06-06T00:00:00"/>
    <d v="2026-12-03T00:00:00"/>
    <x v="1"/>
    <s v="Complete"/>
    <n v="0"/>
    <s v="Jordan Lee"/>
    <d v="2026-07-07T00:00:00"/>
    <s v="Not Required"/>
    <x v="1"/>
    <x v="1"/>
    <x v="2"/>
    <s v="Standard"/>
  </r>
  <r>
    <s v="CTRL-0351"/>
    <s v="Reconciliation Control 351"/>
    <s v="RECOVER"/>
    <s v="RC.RP"/>
    <x v="5"/>
    <x v="0"/>
    <s v="Singapore"/>
    <x v="1"/>
    <s v="Maya Patel"/>
    <s v="Semiannual"/>
    <d v="2026-06-25T00:00:00"/>
    <d v="2026-09-23T00:00:00"/>
    <x v="0"/>
    <s v="Pending"/>
    <n v="1"/>
    <s v="Alex Chen"/>
    <d v="2026-09-25T00:00:00"/>
    <s v="Overdue"/>
    <x v="0"/>
    <x v="1"/>
    <x v="3"/>
    <s v="Standard"/>
  </r>
  <r>
    <s v="CTRL-0352"/>
    <s v="Policy Control 352"/>
    <s v="GOVERN"/>
    <s v="GV.RM"/>
    <x v="1"/>
    <x v="2"/>
    <s v="United Kingdom"/>
    <x v="1"/>
    <s v="Emma Schmidt"/>
    <s v="Annual"/>
    <d v="2026-08-05T00:00:00"/>
    <d v="2027-08-05T00:00:00"/>
    <x v="1"/>
    <s v="Complete"/>
    <n v="2"/>
    <s v="Sam Rivera"/>
    <d v="2026-10-15T00:00:00"/>
    <s v="In Progress"/>
    <x v="1"/>
    <x v="1"/>
    <x v="2"/>
    <s v="Standard"/>
  </r>
  <r>
    <s v="CTRL-0353"/>
    <s v="Reconciliation Control 353"/>
    <s v="PROTECT"/>
    <s v="PR.AA"/>
    <x v="1"/>
    <x v="2"/>
    <s v="Germany"/>
    <x v="0"/>
    <s v="Alex Chen"/>
    <s v="Quarterly"/>
    <d v="2026-06-01T00:00:00"/>
    <d v="2026-11-28T00:00:00"/>
    <x v="3"/>
    <s v="Missing"/>
    <n v="5"/>
    <s v="Alex Chen"/>
    <d v="2026-07-18T00:00:00"/>
    <s v="Overdue"/>
    <x v="1"/>
    <x v="1"/>
    <x v="1"/>
    <s v="Elevated"/>
  </r>
  <r>
    <s v="CTRL-0354"/>
    <s v="Policy Control 354"/>
    <s v="GOVERN"/>
    <s v="GV.RR"/>
    <x v="2"/>
    <x v="0"/>
    <s v="Singapore"/>
    <x v="2"/>
    <s v="Taylor Morgan"/>
    <s v="Semiannual"/>
    <d v="2026-06-01T00:00:00"/>
    <d v="2026-11-28T00:00:00"/>
    <x v="3"/>
    <s v="Complete"/>
    <n v="1"/>
    <s v="Maya Patel"/>
    <d v="2026-11-11T00:00:00"/>
    <s v="Completed"/>
    <x v="1"/>
    <x v="1"/>
    <x v="2"/>
    <s v="Standard"/>
  </r>
  <r>
    <s v="CTRL-0355"/>
    <s v="Access Control 355"/>
    <s v="RECOVER"/>
    <s v="RC.RP"/>
    <x v="0"/>
    <x v="2"/>
    <s v="United Kingdom"/>
    <x v="3"/>
    <s v="Liam Brown"/>
    <s v="Annual"/>
    <d v="2025-09-23T00:00:00"/>
    <d v="2026-09-23T00:00:00"/>
    <x v="0"/>
    <s v="Complete"/>
    <n v="2"/>
    <s v="Noah Williams"/>
    <d v="2026-05-18T00:00:00"/>
    <s v="Completed"/>
    <x v="0"/>
    <x v="1"/>
    <x v="2"/>
    <s v="Elevated"/>
  </r>
  <r>
    <s v="CTRL-0356"/>
    <s v="Policy Control 356"/>
    <s v="DETECT"/>
    <s v="DE.CM"/>
    <x v="0"/>
    <x v="0"/>
    <s v="Singapore"/>
    <x v="2"/>
    <s v="Jordan Lee"/>
    <s v="Semiannual"/>
    <d v="2025-09-16T00:00:00"/>
    <d v="2026-09-16T00:00:00"/>
    <x v="0"/>
    <s v="Complete"/>
    <n v="1"/>
    <s v="Sam Rivera"/>
    <d v="2026-12-08T00:00:00"/>
    <s v="Completed"/>
    <x v="0"/>
    <x v="1"/>
    <x v="2"/>
    <s v="Standard"/>
  </r>
  <r>
    <s v="CTRL-0357"/>
    <s v="Change Control 357"/>
    <s v="RECOVER"/>
    <s v="RC.RP"/>
    <x v="2"/>
    <x v="1"/>
    <s v="Canada"/>
    <x v="0"/>
    <s v="Taylor Morgan"/>
    <s v="Annual"/>
    <d v="2025-06-07T00:00:00"/>
    <d v="2025-09-05T00:00:00"/>
    <x v="0"/>
    <s v="Pending"/>
    <n v="5"/>
    <s v="Jordan Lee"/>
    <d v="2026-11-13T00:00:00"/>
    <s v="In Progress"/>
    <x v="0"/>
    <x v="1"/>
    <x v="3"/>
    <s v="Elevated"/>
  </r>
  <r>
    <s v="CTRL-0358"/>
    <s v="Reconciliation Control 358"/>
    <s v="RECOVER"/>
    <s v="RC.RP"/>
    <x v="2"/>
    <x v="0"/>
    <s v="Singapore"/>
    <x v="0"/>
    <s v="Taylor Morgan"/>
    <s v="Semiannual"/>
    <d v="2025-06-23T00:00:00"/>
    <d v="2026-06-23T00:00:00"/>
    <x v="0"/>
    <s v="Missing"/>
    <n v="1"/>
    <s v="Noah Williams"/>
    <d v="2026-05-08T00:00:00"/>
    <s v="Overdue"/>
    <x v="0"/>
    <x v="1"/>
    <x v="1"/>
    <s v="Elevated"/>
  </r>
  <r>
    <s v="CTRL-0359"/>
    <s v="Incident Control 359"/>
    <s v="GOVERN"/>
    <s v="GV.RM"/>
    <x v="5"/>
    <x v="2"/>
    <s v="United Kingdom"/>
    <x v="2"/>
    <s v="Jordan Lee"/>
    <s v="Annual"/>
    <d v="2025-06-15T00:00:00"/>
    <d v="2025-09-13T00:00:00"/>
    <x v="0"/>
    <s v="Missing"/>
    <n v="2"/>
    <s v="Emma Schmidt"/>
    <d v="2026-08-03T00:00:00"/>
    <s v="Completed"/>
    <x v="0"/>
    <x v="1"/>
    <x v="1"/>
    <s v="Standard"/>
  </r>
  <r>
    <s v="CTRL-0360"/>
    <s v="Access Control 360"/>
    <s v="GOVERN"/>
    <s v="GV.RM"/>
    <x v="3"/>
    <x v="1"/>
    <s v="Canada"/>
    <x v="1"/>
    <s v="Taylor Morgan"/>
    <s v="Quarterly"/>
    <d v="2026-03-29T00:00:00"/>
    <d v="2026-09-25T00:00:00"/>
    <x v="0"/>
    <s v="Missing"/>
    <n v="2"/>
    <s v="Jordan Lee"/>
    <d v="2026-05-29T00:00:00"/>
    <s v="Completed"/>
    <x v="0"/>
    <x v="1"/>
    <x v="1"/>
    <s v="Standard"/>
  </r>
  <r>
    <s v="CTRL-0361"/>
    <s v="Access Control 361"/>
    <s v="PROTECT"/>
    <s v="PR.AA"/>
    <x v="0"/>
    <x v="1"/>
    <s v="United States"/>
    <x v="2"/>
    <s v="Maya Patel"/>
    <s v="Semiannual"/>
    <d v="2026-08-25T00:00:00"/>
    <d v="2027-08-25T00:00:00"/>
    <x v="2"/>
    <s v="Missing"/>
    <n v="3"/>
    <s v="Sam Rivera"/>
    <d v="2026-12-28T00:00:00"/>
    <s v="In Progress"/>
    <x v="1"/>
    <x v="1"/>
    <x v="1"/>
    <s v="Standard"/>
  </r>
  <r>
    <s v="CTRL-0362"/>
    <s v="Policy Control 362"/>
    <s v="RESPOND"/>
    <s v="RS.MA"/>
    <x v="0"/>
    <x v="0"/>
    <s v="Singapore"/>
    <x v="3"/>
    <s v="Sam Rivera"/>
    <s v="Semiannual"/>
    <d v="2025-10-10T00:00:00"/>
    <d v="2026-04-08T00:00:00"/>
    <x v="0"/>
    <s v="Complete"/>
    <n v="3"/>
    <s v="Alex Chen"/>
    <d v="2026-05-04T00:00:00"/>
    <s v="Overdue"/>
    <x v="0"/>
    <x v="1"/>
    <x v="2"/>
    <s v="Elevated"/>
  </r>
  <r>
    <s v="CTRL-0363"/>
    <s v="Data Control 363"/>
    <s v="IDENTIFY"/>
    <s v="ID.AM"/>
    <x v="3"/>
    <x v="0"/>
    <s v="Singapore"/>
    <x v="1"/>
    <s v="Maya Patel"/>
    <s v="Semiannual"/>
    <d v="2025-07-10T00:00:00"/>
    <d v="2026-01-06T00:00:00"/>
    <x v="0"/>
    <s v="Complete"/>
    <n v="1"/>
    <s v="Sam Rivera"/>
    <d v="2026-12-24T00:00:00"/>
    <s v="Completed"/>
    <x v="0"/>
    <x v="1"/>
    <x v="2"/>
    <s v="Standard"/>
  </r>
  <r>
    <s v="CTRL-0364"/>
    <s v="Access Control 364"/>
    <s v="RESPOND"/>
    <s v="RS.MA"/>
    <x v="3"/>
    <x v="1"/>
    <s v="United States"/>
    <x v="2"/>
    <s v="Jordan Lee"/>
    <s v="Quarterly"/>
    <d v="2025-11-29T00:00:00"/>
    <d v="2026-11-29T00:00:00"/>
    <x v="3"/>
    <s v="Missing"/>
    <n v="2"/>
    <s v="Jordan Lee"/>
    <d v="2026-11-23T00:00:00"/>
    <s v="In Progress"/>
    <x v="1"/>
    <x v="1"/>
    <x v="1"/>
    <s v="Standard"/>
  </r>
  <r>
    <s v="CTRL-0365"/>
    <s v="Policy Control 365"/>
    <s v="DETECT"/>
    <s v="DE.CM"/>
    <x v="3"/>
    <x v="0"/>
    <s v="Singapore"/>
    <x v="2"/>
    <s v="Jordan Lee"/>
    <s v="Semiannual"/>
    <d v="2025-12-11T00:00:00"/>
    <d v="2026-12-11T00:00:00"/>
    <x v="1"/>
    <s v="Pending"/>
    <n v="2"/>
    <s v="Emma Schmidt"/>
    <d v="2027-01-09T00:00:00"/>
    <s v="In Progress"/>
    <x v="1"/>
    <x v="1"/>
    <x v="3"/>
    <s v="Standard"/>
  </r>
  <r>
    <s v="CTRL-0366"/>
    <s v="Vendor Control 366"/>
    <s v="RECOVER"/>
    <s v="RC.RP"/>
    <x v="5"/>
    <x v="0"/>
    <s v="Singapore"/>
    <x v="2"/>
    <s v="Sam Rivera"/>
    <s v="Quarterly"/>
    <d v="2025-11-26T00:00:00"/>
    <d v="2026-11-26T00:00:00"/>
    <x v="1"/>
    <s v="Missing"/>
    <n v="2"/>
    <s v="Alex Chen"/>
    <d v="2026-10-04T00:00:00"/>
    <s v="In Progress"/>
    <x v="1"/>
    <x v="1"/>
    <x v="1"/>
    <s v="Standard"/>
  </r>
  <r>
    <s v="CTRL-0367"/>
    <s v="Access Control 367"/>
    <s v="GOVERN"/>
    <s v="GV.RR"/>
    <x v="3"/>
    <x v="2"/>
    <s v="United Kingdom"/>
    <x v="1"/>
    <s v="Taylor Morgan"/>
    <s v="Quarterly"/>
    <d v="2026-09-07T00:00:00"/>
    <d v="2027-03-06T00:00:00"/>
    <x v="3"/>
    <s v="Pending"/>
    <n v="0"/>
    <s v="Liam Brown"/>
    <d v="2026-08-22T00:00:00"/>
    <s v="Not Required"/>
    <x v="1"/>
    <x v="1"/>
    <x v="3"/>
    <s v="Standard"/>
  </r>
  <r>
    <s v="CTRL-0368"/>
    <s v="Incident Control 368"/>
    <s v="GOVERN"/>
    <s v="GV.RM"/>
    <x v="1"/>
    <x v="2"/>
    <s v="United Kingdom"/>
    <x v="1"/>
    <s v="Sam Rivera"/>
    <s v="Semiannual"/>
    <d v="2026-05-14T00:00:00"/>
    <d v="2026-11-10T00:00:00"/>
    <x v="3"/>
    <s v="Missing"/>
    <n v="3"/>
    <s v="Liam Brown"/>
    <d v="2027-01-19T00:00:00"/>
    <s v="In Progress"/>
    <x v="1"/>
    <x v="1"/>
    <x v="1"/>
    <s v="Standard"/>
  </r>
  <r>
    <s v="CTRL-0369"/>
    <s v="Policy Control 369"/>
    <s v="GOVERN"/>
    <s v="GV.OC"/>
    <x v="5"/>
    <x v="1"/>
    <s v="Canada"/>
    <x v="0"/>
    <s v="Maya Patel"/>
    <s v="Semiannual"/>
    <d v="2025-11-10T00:00:00"/>
    <d v="2026-11-10T00:00:00"/>
    <x v="1"/>
    <s v="Missing"/>
    <n v="4"/>
    <s v="Noah Williams"/>
    <d v="2026-10-15T00:00:00"/>
    <s v="Completed"/>
    <x v="1"/>
    <x v="1"/>
    <x v="1"/>
    <s v="Elevated"/>
  </r>
  <r>
    <s v="CTRL-0370"/>
    <s v="Reconciliation Control 370"/>
    <s v="GOVERN"/>
    <s v="GV.OC"/>
    <x v="0"/>
    <x v="2"/>
    <s v="Germany"/>
    <x v="0"/>
    <s v="Sam Rivera"/>
    <s v="Annual"/>
    <d v="2025-08-24T00:00:00"/>
    <d v="2026-08-24T00:00:00"/>
    <x v="0"/>
    <s v="Missing"/>
    <n v="0"/>
    <s v="Alex Chen"/>
    <d v="2026-10-15T00:00:00"/>
    <s v="Not Required"/>
    <x v="0"/>
    <x v="1"/>
    <x v="1"/>
    <s v="Elevated"/>
  </r>
  <r>
    <s v="CTRL-0371"/>
    <s v="Change Control 371"/>
    <s v="GOVERN"/>
    <s v="GV.RM"/>
    <x v="2"/>
    <x v="2"/>
    <s v="United Kingdom"/>
    <x v="2"/>
    <s v="Sam Rivera"/>
    <s v="Semiannual"/>
    <d v="2026-06-24T00:00:00"/>
    <d v="2026-09-22T00:00:00"/>
    <x v="0"/>
    <s v="Missing"/>
    <n v="3"/>
    <s v="Taylor Morgan"/>
    <d v="2026-11-17T00:00:00"/>
    <s v="In Progress"/>
    <x v="0"/>
    <x v="1"/>
    <x v="1"/>
    <s v="Standard"/>
  </r>
  <r>
    <s v="CTRL-0372"/>
    <s v="Policy Control 372"/>
    <s v="RESPOND"/>
    <s v="RS.MA"/>
    <x v="1"/>
    <x v="2"/>
    <s v="United Kingdom"/>
    <x v="2"/>
    <s v="Liam Brown"/>
    <s v="Annual"/>
    <d v="2025-11-22T00:00:00"/>
    <d v="2026-11-22T00:00:00"/>
    <x v="1"/>
    <s v="Pending"/>
    <n v="2"/>
    <s v="Jordan Lee"/>
    <d v="2026-05-16T00:00:00"/>
    <s v="Overdue"/>
    <x v="1"/>
    <x v="1"/>
    <x v="3"/>
    <s v="Standard"/>
  </r>
  <r>
    <s v="CTRL-0373"/>
    <s v="Reconciliation Control 373"/>
    <s v="RESPOND"/>
    <s v="RS.MA"/>
    <x v="3"/>
    <x v="1"/>
    <s v="Canada"/>
    <x v="1"/>
    <s v="Emma Schmidt"/>
    <s v="Annual"/>
    <d v="2025-10-12T00:00:00"/>
    <d v="2026-10-12T00:00:00"/>
    <x v="1"/>
    <s v="Missing"/>
    <n v="1"/>
    <s v="Maya Patel"/>
    <d v="2026-08-05T00:00:00"/>
    <s v="Completed"/>
    <x v="1"/>
    <x v="1"/>
    <x v="1"/>
    <s v="Standard"/>
  </r>
  <r>
    <s v="CTRL-0374"/>
    <s v="Reconciliation Control 374"/>
    <s v="GOVERN"/>
    <s v="GV.RR"/>
    <x v="4"/>
    <x v="1"/>
    <s v="Canada"/>
    <x v="2"/>
    <s v="Sam Rivera"/>
    <s v="Annual"/>
    <d v="2026-03-30T00:00:00"/>
    <d v="2026-09-26T00:00:00"/>
    <x v="0"/>
    <s v="Missing"/>
    <n v="0"/>
    <s v="Liam Brown"/>
    <d v="2026-09-06T00:00:00"/>
    <s v="Not Required"/>
    <x v="0"/>
    <x v="1"/>
    <x v="1"/>
    <s v="Standard"/>
  </r>
  <r>
    <s v="CTRL-0375"/>
    <s v="Change Control 375"/>
    <s v="GOVERN"/>
    <s v="GV.OC"/>
    <x v="4"/>
    <x v="0"/>
    <s v="Singapore"/>
    <x v="1"/>
    <s v="Sam Rivera"/>
    <s v="Annual"/>
    <d v="2026-05-31T00:00:00"/>
    <d v="2027-05-31T00:00:00"/>
    <x v="1"/>
    <s v="Missing"/>
    <n v="0"/>
    <s v="Jordan Lee"/>
    <d v="2026-05-30T00:00:00"/>
    <s v="Not Required"/>
    <x v="1"/>
    <x v="1"/>
    <x v="1"/>
    <s v="Standard"/>
  </r>
  <r>
    <s v="CTRL-0376"/>
    <s v="Data Control 376"/>
    <s v="PROTECT"/>
    <s v="PR.AA"/>
    <x v="2"/>
    <x v="2"/>
    <s v="United Kingdom"/>
    <x v="2"/>
    <s v="Maya Patel"/>
    <s v="Semiannual"/>
    <d v="2026-04-07T00:00:00"/>
    <d v="2026-10-04T00:00:00"/>
    <x v="1"/>
    <s v="Pending"/>
    <n v="1"/>
    <s v="Jordan Lee"/>
    <d v="2027-01-03T00:00:00"/>
    <s v="Completed"/>
    <x v="1"/>
    <x v="1"/>
    <x v="3"/>
    <s v="Standard"/>
  </r>
  <r>
    <s v="CTRL-0377"/>
    <s v="Policy Control 377"/>
    <s v="IDENTIFY"/>
    <s v="ID.AM"/>
    <x v="4"/>
    <x v="0"/>
    <s v="Singapore"/>
    <x v="2"/>
    <m/>
    <s v="Annual"/>
    <d v="2025-10-06T00:00:00"/>
    <d v="2026-10-06T00:00:00"/>
    <x v="1"/>
    <s v="Complete"/>
    <n v="0"/>
    <s v="Taylor Morgan"/>
    <d v="2026-08-26T00:00:00"/>
    <s v="Not Required"/>
    <x v="1"/>
    <x v="0"/>
    <x v="2"/>
    <s v="Standard"/>
  </r>
  <r>
    <s v="CTRL-0378"/>
    <s v="Change Control 378"/>
    <s v="RESPOND"/>
    <s v="RS.MA"/>
    <x v="5"/>
    <x v="1"/>
    <s v="Canada"/>
    <x v="3"/>
    <s v="Maya Patel"/>
    <s v="Semiannual"/>
    <d v="2026-02-24T00:00:00"/>
    <d v="2027-02-24T00:00:00"/>
    <x v="1"/>
    <s v="Missing"/>
    <n v="2"/>
    <s v="Maya Patel"/>
    <d v="2026-05-28T00:00:00"/>
    <s v="Completed"/>
    <x v="1"/>
    <x v="1"/>
    <x v="1"/>
    <s v="Elevated"/>
  </r>
  <r>
    <s v="CTRL-0379"/>
    <s v="Vendor Control 379"/>
    <s v="RECOVER"/>
    <s v="RC.RP"/>
    <x v="3"/>
    <x v="2"/>
    <s v="Germany"/>
    <x v="2"/>
    <s v="Jordan Lee"/>
    <s v="Annual"/>
    <d v="2026-06-01T00:00:00"/>
    <d v="2027-06-01T00:00:00"/>
    <x v="3"/>
    <s v="Complete"/>
    <n v="1"/>
    <s v="Jordan Lee"/>
    <d v="2026-12-30T00:00:00"/>
    <s v="Completed"/>
    <x v="1"/>
    <x v="1"/>
    <x v="2"/>
    <s v="Standard"/>
  </r>
  <r>
    <s v="CTRL-0380"/>
    <s v="Data Control 380"/>
    <s v="GOVERN"/>
    <s v="GV.OC"/>
    <x v="5"/>
    <x v="1"/>
    <s v="Canada"/>
    <x v="2"/>
    <s v="Taylor Morgan"/>
    <s v="Semiannual"/>
    <d v="2026-05-13T00:00:00"/>
    <d v="2027-05-13T00:00:00"/>
    <x v="1"/>
    <s v="Complete"/>
    <n v="2"/>
    <s v="Sam Rivera"/>
    <d v="2026-10-18T00:00:00"/>
    <s v="In Progress"/>
    <x v="1"/>
    <x v="1"/>
    <x v="2"/>
    <s v="Standard"/>
  </r>
  <r>
    <s v="CTRL-0381"/>
    <s v="Vendor Control 381"/>
    <s v="GOVERN"/>
    <s v="GV.RR"/>
    <x v="4"/>
    <x v="1"/>
    <s v="Canada"/>
    <x v="2"/>
    <s v="Maya Patel"/>
    <s v="Semiannual"/>
    <d v="2025-09-02T00:00:00"/>
    <d v="2026-03-01T00:00:00"/>
    <x v="0"/>
    <s v="Missing"/>
    <n v="1"/>
    <s v="Noah Williams"/>
    <d v="2026-11-02T00:00:00"/>
    <s v="Completed"/>
    <x v="0"/>
    <x v="1"/>
    <x v="1"/>
    <s v="Standard"/>
  </r>
  <r>
    <s v="CTRL-0382"/>
    <s v="Incident Control 382"/>
    <s v="GOVERN"/>
    <s v="GV.RR"/>
    <x v="1"/>
    <x v="2"/>
    <s v="United Kingdom"/>
    <x v="2"/>
    <s v="Sam Rivera"/>
    <s v="Annual"/>
    <d v="2025-06-26T00:00:00"/>
    <d v="2025-09-24T00:00:00"/>
    <x v="0"/>
    <s v="Pending"/>
    <n v="1"/>
    <s v="Jordan Lee"/>
    <d v="2026-11-09T00:00:00"/>
    <s v="In Progress"/>
    <x v="0"/>
    <x v="1"/>
    <x v="3"/>
    <s v="Standard"/>
  </r>
  <r>
    <s v="CTRL-0383"/>
    <s v="Vendor Control 383"/>
    <s v="RESPOND"/>
    <s v="RS.MA"/>
    <x v="3"/>
    <x v="2"/>
    <s v="United Kingdom"/>
    <x v="2"/>
    <s v="Maya Patel"/>
    <s v="Semiannual"/>
    <d v="2026-06-08T00:00:00"/>
    <d v="2026-12-05T00:00:00"/>
    <x v="3"/>
    <s v="Missing"/>
    <n v="0"/>
    <s v="Liam Brown"/>
    <d v="2026-09-13T00:00:00"/>
    <s v="Not Required"/>
    <x v="1"/>
    <x v="1"/>
    <x v="1"/>
    <s v="Standard"/>
  </r>
  <r>
    <s v="CTRL-0384"/>
    <s v="Data Control 384"/>
    <s v="IDENTIFY"/>
    <s v="ID.AM"/>
    <x v="1"/>
    <x v="0"/>
    <s v="Singapore"/>
    <x v="0"/>
    <s v="Maya Patel"/>
    <s v="Quarterly"/>
    <d v="2026-07-05T00:00:00"/>
    <d v="2026-10-03T00:00:00"/>
    <x v="1"/>
    <s v="Missing"/>
    <n v="4"/>
    <s v="Sam Rivera"/>
    <d v="2026-08-17T00:00:00"/>
    <s v="Overdue"/>
    <x v="1"/>
    <x v="1"/>
    <x v="1"/>
    <s v="Elevated"/>
  </r>
  <r>
    <s v="CTRL-0385"/>
    <s v="Vendor Control 385"/>
    <s v="RECOVER"/>
    <s v="RC.RP"/>
    <x v="2"/>
    <x v="0"/>
    <s v="Singapore"/>
    <x v="1"/>
    <s v="Liam Brown"/>
    <s v="Quarterly"/>
    <d v="2026-07-04T00:00:00"/>
    <d v="2027-07-04T00:00:00"/>
    <x v="2"/>
    <s v="Missing"/>
    <n v="2"/>
    <s v="Jordan Lee"/>
    <d v="2026-07-06T00:00:00"/>
    <s v="Overdue"/>
    <x v="1"/>
    <x v="1"/>
    <x v="1"/>
    <s v="Standard"/>
  </r>
  <r>
    <s v="CTRL-0386"/>
    <s v="Change Control 386"/>
    <s v="GOVERN"/>
    <s v="GV.RM"/>
    <x v="0"/>
    <x v="1"/>
    <s v="United States"/>
    <x v="2"/>
    <s v="Alex Chen"/>
    <s v="Semiannual"/>
    <d v="2025-05-25T00:00:00"/>
    <d v="2025-11-21T00:00:00"/>
    <x v="0"/>
    <s v="Pending"/>
    <n v="1"/>
    <s v="Liam Brown"/>
    <d v="2026-07-15T00:00:00"/>
    <s v="Overdue"/>
    <x v="0"/>
    <x v="1"/>
    <x v="3"/>
    <s v="Standard"/>
  </r>
  <r>
    <s v="CTRL-0387"/>
    <s v="Data Control 387"/>
    <s v="RESPOND"/>
    <s v="RS.MA"/>
    <x v="4"/>
    <x v="0"/>
    <s v="Singapore"/>
    <x v="0"/>
    <s v="Emma Schmidt"/>
    <s v="Annual"/>
    <d v="2026-02-15T00:00:00"/>
    <d v="2026-05-16T00:00:00"/>
    <x v="0"/>
    <s v="Missing"/>
    <n v="5"/>
    <s v="Alex Chen"/>
    <d v="2026-10-14T00:00:00"/>
    <s v="In Progress"/>
    <x v="0"/>
    <x v="1"/>
    <x v="1"/>
    <s v="Elevated"/>
  </r>
  <r>
    <s v="CTRL-0388"/>
    <s v="Change Control 388"/>
    <s v="GOVERN"/>
    <s v="GV.OC"/>
    <x v="4"/>
    <x v="0"/>
    <s v="Singapore"/>
    <x v="2"/>
    <s v="Alex Chen"/>
    <s v="Semiannual"/>
    <d v="2025-06-18T00:00:00"/>
    <d v="2025-09-16T00:00:00"/>
    <x v="0"/>
    <s v="Missing"/>
    <n v="3"/>
    <s v="Liam Brown"/>
    <d v="2026-04-23T00:00:00"/>
    <s v="Overdue"/>
    <x v="0"/>
    <x v="1"/>
    <x v="1"/>
    <s v="Standard"/>
  </r>
  <r>
    <s v="CTRL-0389"/>
    <s v="Change Control 389"/>
    <s v="GOVERN"/>
    <s v="GV.RM"/>
    <x v="2"/>
    <x v="2"/>
    <s v="Germany"/>
    <x v="2"/>
    <s v="Emma Schmidt"/>
    <s v="Annual"/>
    <d v="2026-04-13T00:00:00"/>
    <d v="2027-04-13T00:00:00"/>
    <x v="3"/>
    <s v="Pending"/>
    <n v="3"/>
    <s v="Jordan Lee"/>
    <d v="2026-05-19T00:00:00"/>
    <s v="Overdue"/>
    <x v="1"/>
    <x v="1"/>
    <x v="3"/>
    <s v="Standard"/>
  </r>
  <r>
    <s v="CTRL-0390"/>
    <s v="Incident Control 390"/>
    <s v="DETECT"/>
    <s v="DE.CM"/>
    <x v="2"/>
    <x v="2"/>
    <s v="Germany"/>
    <x v="2"/>
    <s v="Jordan Lee"/>
    <s v="Annual"/>
    <d v="2026-01-21T00:00:00"/>
    <d v="2027-01-21T00:00:00"/>
    <x v="3"/>
    <s v="Pending"/>
    <n v="0"/>
    <s v="Jordan Lee"/>
    <d v="2026-08-09T00:00:00"/>
    <s v="Not Required"/>
    <x v="1"/>
    <x v="1"/>
    <x v="3"/>
    <s v="Standard"/>
  </r>
  <r>
    <s v="CTRL-0391"/>
    <s v="Vendor Control 391"/>
    <s v="GOVERN"/>
    <s v="GV.RR"/>
    <x v="0"/>
    <x v="0"/>
    <s v="Singapore"/>
    <x v="1"/>
    <s v="Liam Brown"/>
    <s v="Annual"/>
    <d v="2025-10-21T00:00:00"/>
    <d v="2026-04-19T00:00:00"/>
    <x v="0"/>
    <s v="Complete"/>
    <n v="3"/>
    <s v="Emma Schmidt"/>
    <d v="2026-12-20T00:00:00"/>
    <s v="In Progress"/>
    <x v="0"/>
    <x v="1"/>
    <x v="2"/>
    <s v="Standard"/>
  </r>
  <r>
    <s v="CTRL-0392"/>
    <s v="Reconciliation Control 392"/>
    <s v="PROTECT"/>
    <s v="PR.AA"/>
    <x v="2"/>
    <x v="1"/>
    <s v="United States"/>
    <x v="2"/>
    <s v="Jordan Lee"/>
    <s v="Annual"/>
    <d v="2026-06-19T00:00:00"/>
    <d v="2026-09-17T00:00:00"/>
    <x v="0"/>
    <s v="Complete"/>
    <n v="0"/>
    <s v="Liam Brown"/>
    <d v="2026-11-03T00:00:00"/>
    <s v="Not Required"/>
    <x v="0"/>
    <x v="1"/>
    <x v="2"/>
    <s v="Standard"/>
  </r>
  <r>
    <s v="CTRL-0393"/>
    <s v="Data Control 393"/>
    <s v="GOVERN"/>
    <s v="GV.OC"/>
    <x v="0"/>
    <x v="2"/>
    <s v="United Kingdom"/>
    <x v="0"/>
    <s v="Sam Rivera"/>
    <s v="Semiannual"/>
    <d v="2026-09-09T00:00:00"/>
    <d v="2027-09-09T00:00:00"/>
    <x v="3"/>
    <s v="Pending"/>
    <n v="3"/>
    <s v="Sam Rivera"/>
    <d v="2026-12-14T00:00:00"/>
    <s v="In Progress"/>
    <x v="1"/>
    <x v="1"/>
    <x v="3"/>
    <s v="Elevated"/>
  </r>
  <r>
    <s v="CTRL-0394"/>
    <s v="Access Control 394"/>
    <s v="IDENTIFY"/>
    <s v="ID.AM"/>
    <x v="4"/>
    <x v="1"/>
    <s v="Canada"/>
    <x v="2"/>
    <s v="Maya Patel"/>
    <s v="Quarterly"/>
    <d v="2025-11-07T00:00:00"/>
    <d v="2026-11-07T00:00:00"/>
    <x v="1"/>
    <s v="Missing"/>
    <n v="2"/>
    <s v="Jordan Lee"/>
    <d v="2027-01-13T00:00:00"/>
    <s v="In Progress"/>
    <x v="1"/>
    <x v="1"/>
    <x v="1"/>
    <s v="Standard"/>
  </r>
  <r>
    <s v="CTRL-0395"/>
    <s v="Vendor Control 395"/>
    <s v="GOVERN"/>
    <s v="GV.RM"/>
    <x v="0"/>
    <x v="1"/>
    <s v="Canada"/>
    <x v="1"/>
    <s v="Alex Chen"/>
    <s v="Quarterly"/>
    <d v="2025-10-04T00:00:00"/>
    <d v="2026-10-04T00:00:00"/>
    <x v="2"/>
    <s v="Pending"/>
    <n v="0"/>
    <s v="Jordan Lee"/>
    <d v="2026-04-28T00:00:00"/>
    <s v="Not Required"/>
    <x v="1"/>
    <x v="1"/>
    <x v="3"/>
    <s v="Standard"/>
  </r>
  <r>
    <s v="CTRL-0396"/>
    <s v="Policy Control 396"/>
    <s v="RESPOND"/>
    <s v="RS.MA"/>
    <x v="3"/>
    <x v="0"/>
    <s v="Singapore"/>
    <x v="2"/>
    <s v="Jordan Lee"/>
    <s v="Quarterly"/>
    <d v="2026-01-20T00:00:00"/>
    <d v="2027-01-20T00:00:00"/>
    <x v="3"/>
    <s v="Complete"/>
    <n v="2"/>
    <s v="Emma Schmidt"/>
    <d v="2026-09-15T00:00:00"/>
    <s v="Overdue"/>
    <x v="1"/>
    <x v="1"/>
    <x v="2"/>
    <s v="Standard"/>
  </r>
  <r>
    <s v="CTRL-0397"/>
    <s v="Data Control 397"/>
    <s v="IDENTIFY"/>
    <s v="ID.AM"/>
    <x v="2"/>
    <x v="0"/>
    <s v="Singapore"/>
    <x v="2"/>
    <s v="Maya Patel"/>
    <s v="Quarterly"/>
    <d v="2025-09-20T00:00:00"/>
    <d v="2026-03-19T00:00:00"/>
    <x v="0"/>
    <s v="Pending"/>
    <n v="3"/>
    <s v="Maya Patel"/>
    <d v="2026-12-27T00:00:00"/>
    <s v="Completed"/>
    <x v="0"/>
    <x v="1"/>
    <x v="3"/>
    <s v="Standard"/>
  </r>
  <r>
    <s v="CTRL-0398"/>
    <s v="Data Control 398"/>
    <s v="RECOVER"/>
    <s v="RC.RP"/>
    <x v="4"/>
    <x v="0"/>
    <s v="Singapore"/>
    <x v="0"/>
    <s v="Taylor Morgan"/>
    <s v="Annual"/>
    <d v="2026-02-04T00:00:00"/>
    <d v="2027-02-04T00:00:00"/>
    <x v="2"/>
    <s v="Missing"/>
    <n v="4"/>
    <s v="Liam Brown"/>
    <d v="2026-10-01T00:00:00"/>
    <s v="In Progress"/>
    <x v="1"/>
    <x v="1"/>
    <x v="1"/>
    <s v="Elevated"/>
  </r>
  <r>
    <s v="CTRL-0399"/>
    <s v="Incident Control 399"/>
    <s v="GOVERN"/>
    <s v="GV.RM"/>
    <x v="3"/>
    <x v="2"/>
    <s v="United Kingdom"/>
    <x v="1"/>
    <s v="Taylor Morgan"/>
    <s v="Quarterly"/>
    <d v="2026-06-03T00:00:00"/>
    <d v="2026-09-01T00:00:00"/>
    <x v="0"/>
    <s v="Complete"/>
    <n v="0"/>
    <s v="Emma Schmidt"/>
    <d v="2026-11-27T00:00:00"/>
    <s v="Not Required"/>
    <x v="0"/>
    <x v="1"/>
    <x v="2"/>
    <s v="Standard"/>
  </r>
  <r>
    <s v="CTRL-0400"/>
    <s v="Policy Control 400"/>
    <s v="DETECT"/>
    <s v="DE.CM"/>
    <x v="2"/>
    <x v="2"/>
    <s v="United Kingdom"/>
    <x v="2"/>
    <s v="Sam Rivera"/>
    <s v="Quarterly"/>
    <d v="2026-09-05T00:00:00"/>
    <d v="2027-09-05T00:00:00"/>
    <x v="1"/>
    <s v="Pending"/>
    <n v="2"/>
    <s v="Maya Patel"/>
    <d v="2026-05-07T00:00:00"/>
    <s v="Completed"/>
    <x v="1"/>
    <x v="1"/>
    <x v="3"/>
    <s v="Standard"/>
  </r>
  <r>
    <s v="CTRL-0401"/>
    <s v="Vendor Control 401"/>
    <s v="RECOVER"/>
    <s v="RC.RP"/>
    <x v="2"/>
    <x v="0"/>
    <s v="Singapore"/>
    <x v="2"/>
    <s v="Alex Chen"/>
    <s v="Quarterly"/>
    <d v="2025-07-11T00:00:00"/>
    <d v="2025-10-09T00:00:00"/>
    <x v="0"/>
    <s v="Complete"/>
    <n v="2"/>
    <s v="Jordan Lee"/>
    <d v="2026-09-23T00:00:00"/>
    <s v="Overdue"/>
    <x v="0"/>
    <x v="1"/>
    <x v="2"/>
    <s v="Standard"/>
  </r>
  <r>
    <s v="CTRL-0402"/>
    <s v="Data Control 402"/>
    <s v="PROTECT"/>
    <s v="PR.AA"/>
    <x v="5"/>
    <x v="2"/>
    <s v="United Kingdom"/>
    <x v="2"/>
    <s v="Noah Williams"/>
    <s v="Annual"/>
    <d v="2026-01-17T00:00:00"/>
    <d v="2026-07-16T00:00:00"/>
    <x v="0"/>
    <s v="Missing"/>
    <n v="0"/>
    <s v="Noah Williams"/>
    <d v="2026-12-25T00:00:00"/>
    <s v="Not Required"/>
    <x v="0"/>
    <x v="1"/>
    <x v="1"/>
    <s v="Standard"/>
  </r>
  <r>
    <s v="CTRL-0403"/>
    <s v="Vendor Control 403"/>
    <s v="DETECT"/>
    <s v="DE.CM"/>
    <x v="1"/>
    <x v="0"/>
    <s v="Singapore"/>
    <x v="2"/>
    <s v="Noah Williams"/>
    <s v="Annual"/>
    <d v="2025-07-28T00:00:00"/>
    <d v="2026-01-24T00:00:00"/>
    <x v="0"/>
    <s v="Complete"/>
    <n v="1"/>
    <s v="Jordan Lee"/>
    <d v="2026-08-24T00:00:00"/>
    <s v="Overdue"/>
    <x v="0"/>
    <x v="1"/>
    <x v="2"/>
    <s v="Standard"/>
  </r>
  <r>
    <s v="CTRL-0404"/>
    <s v="Access Control 404"/>
    <s v="RESPOND"/>
    <s v="RS.MA"/>
    <x v="1"/>
    <x v="0"/>
    <s v="Singapore"/>
    <x v="2"/>
    <s v="Taylor Morgan"/>
    <s v="Semiannual"/>
    <d v="2025-09-14T00:00:00"/>
    <d v="2026-03-13T00:00:00"/>
    <x v="0"/>
    <s v="Missing"/>
    <n v="0"/>
    <s v="Sam Rivera"/>
    <d v="2026-08-20T00:00:00"/>
    <s v="Not Required"/>
    <x v="0"/>
    <x v="1"/>
    <x v="1"/>
    <s v="Standard"/>
  </r>
  <r>
    <s v="CTRL-0405"/>
    <s v="Vendor Control 405"/>
    <s v="GOVERN"/>
    <s v="GV.RM"/>
    <x v="2"/>
    <x v="2"/>
    <s v="Germany"/>
    <x v="1"/>
    <s v="Taylor Morgan"/>
    <s v="Annual"/>
    <d v="2026-06-13T00:00:00"/>
    <d v="2026-09-11T00:00:00"/>
    <x v="0"/>
    <s v="Pending"/>
    <n v="0"/>
    <s v="Alex Chen"/>
    <d v="2026-07-15T00:00:00"/>
    <s v="Not Required"/>
    <x v="0"/>
    <x v="1"/>
    <x v="3"/>
    <s v="Standard"/>
  </r>
  <r>
    <s v="CTRL-0406"/>
    <s v="Policy Control 406"/>
    <s v="GOVERN"/>
    <s v="GV.RM"/>
    <x v="1"/>
    <x v="2"/>
    <s v="United Kingdom"/>
    <x v="2"/>
    <s v="Liam Brown"/>
    <s v="Annual"/>
    <d v="2025-08-31T00:00:00"/>
    <d v="2026-08-31T00:00:00"/>
    <x v="0"/>
    <s v="Pending"/>
    <n v="2"/>
    <s v="Jordan Lee"/>
    <d v="2026-06-15T00:00:00"/>
    <s v="Overdue"/>
    <x v="0"/>
    <x v="1"/>
    <x v="3"/>
    <s v="Standard"/>
  </r>
  <r>
    <s v="CTRL-0407"/>
    <s v="Access Control 407"/>
    <s v="PROTECT"/>
    <s v="PR.AA"/>
    <x v="4"/>
    <x v="1"/>
    <s v="United States"/>
    <x v="2"/>
    <s v="Maya Patel"/>
    <s v="Annual"/>
    <d v="2026-09-08T00:00:00"/>
    <d v="2027-03-07T00:00:00"/>
    <x v="3"/>
    <s v="Pending"/>
    <n v="3"/>
    <s v="Taylor Morgan"/>
    <d v="2026-04-26T00:00:00"/>
    <s v="Completed"/>
    <x v="1"/>
    <x v="1"/>
    <x v="3"/>
    <s v="Standard"/>
  </r>
  <r>
    <s v="CTRL-0408"/>
    <s v="Change Control 408"/>
    <s v="GOVERN"/>
    <s v="GV.RR"/>
    <x v="2"/>
    <x v="0"/>
    <s v="Singapore"/>
    <x v="1"/>
    <s v="Taylor Morgan"/>
    <s v="Semiannual"/>
    <d v="2026-04-22T00:00:00"/>
    <d v="2027-04-22T00:00:00"/>
    <x v="1"/>
    <s v="Pending"/>
    <n v="0"/>
    <s v="Maya Patel"/>
    <d v="2026-08-20T00:00:00"/>
    <s v="Not Required"/>
    <x v="1"/>
    <x v="1"/>
    <x v="3"/>
    <s v="Standard"/>
  </r>
  <r>
    <s v="CTRL-0409"/>
    <s v="Reconciliation Control 409"/>
    <s v="GOVERN"/>
    <s v="GV.RM"/>
    <x v="1"/>
    <x v="1"/>
    <s v="United States"/>
    <x v="2"/>
    <s v="Noah Williams"/>
    <s v="Annual"/>
    <d v="2026-04-25T00:00:00"/>
    <d v="2026-07-24T00:00:00"/>
    <x v="0"/>
    <s v="Missing"/>
    <n v="2"/>
    <s v="Noah Williams"/>
    <d v="2027-01-21T00:00:00"/>
    <s v="Completed"/>
    <x v="0"/>
    <x v="1"/>
    <x v="1"/>
    <s v="Standard"/>
  </r>
  <r>
    <s v="CTRL-0410"/>
    <s v="Access Control 410"/>
    <s v="GOVERN"/>
    <s v="GV.OC"/>
    <x v="0"/>
    <x v="0"/>
    <s v="Singapore"/>
    <x v="1"/>
    <s v="Liam Brown"/>
    <s v="Semiannual"/>
    <d v="2025-06-05T00:00:00"/>
    <d v="2026-06-05T00:00:00"/>
    <x v="0"/>
    <s v="Complete"/>
    <n v="0"/>
    <s v="Emma Schmidt"/>
    <d v="2026-10-16T00:00:00"/>
    <s v="Not Required"/>
    <x v="0"/>
    <x v="1"/>
    <x v="2"/>
    <s v="Standard"/>
  </r>
  <r>
    <s v="CTRL-0411"/>
    <s v="Access Control 411"/>
    <s v="GOVERN"/>
    <s v="GV.RR"/>
    <x v="3"/>
    <x v="1"/>
    <s v="Canada"/>
    <x v="2"/>
    <s v="Noah Williams"/>
    <s v="Annual"/>
    <d v="2025-07-19T00:00:00"/>
    <d v="2025-10-17T00:00:00"/>
    <x v="0"/>
    <s v="Missing"/>
    <n v="0"/>
    <s v="Liam Brown"/>
    <d v="2026-11-27T00:00:00"/>
    <s v="Not Required"/>
    <x v="0"/>
    <x v="1"/>
    <x v="1"/>
    <s v="Standard"/>
  </r>
  <r>
    <s v="CTRL-0412"/>
    <s v="Change Control 412"/>
    <s v="RESPOND"/>
    <s v="RS.MA"/>
    <x v="2"/>
    <x v="1"/>
    <s v="Canada"/>
    <x v="2"/>
    <s v="Liam Brown"/>
    <s v="Annual"/>
    <d v="2026-01-13T00:00:00"/>
    <d v="2026-04-13T00:00:00"/>
    <x v="0"/>
    <s v="Complete"/>
    <n v="1"/>
    <s v="Noah Williams"/>
    <d v="2026-08-13T00:00:00"/>
    <s v="Overdue"/>
    <x v="0"/>
    <x v="1"/>
    <x v="2"/>
    <s v="Standard"/>
  </r>
  <r>
    <s v="CTRL-0413"/>
    <s v="Data Control 413"/>
    <s v="GOVERN"/>
    <s v="GV.RR"/>
    <x v="4"/>
    <x v="2"/>
    <s v="Germany"/>
    <x v="1"/>
    <s v="Liam Brown"/>
    <s v="Quarterly"/>
    <d v="2026-07-15T00:00:00"/>
    <d v="2027-01-11T00:00:00"/>
    <x v="1"/>
    <s v="Complete"/>
    <n v="2"/>
    <s v="Emma Schmidt"/>
    <d v="2026-09-28T00:00:00"/>
    <s v="Overdue"/>
    <x v="1"/>
    <x v="1"/>
    <x v="2"/>
    <s v="Standard"/>
  </r>
  <r>
    <s v="CTRL-0414"/>
    <s v="Data Control 414"/>
    <s v="IDENTIFY"/>
    <s v="ID.AM"/>
    <x v="2"/>
    <x v="0"/>
    <s v="Singapore"/>
    <x v="2"/>
    <s v="Maya Patel"/>
    <s v="Quarterly"/>
    <d v="2025-08-01T00:00:00"/>
    <d v="2026-01-28T00:00:00"/>
    <x v="0"/>
    <s v="Missing"/>
    <n v="3"/>
    <s v="Jordan Lee"/>
    <d v="2026-10-25T00:00:00"/>
    <s v="In Progress"/>
    <x v="0"/>
    <x v="1"/>
    <x v="1"/>
    <s v="Standard"/>
  </r>
  <r>
    <s v="CTRL-0415"/>
    <s v="Incident Control 415"/>
    <s v="GOVERN"/>
    <s v="GV.RR"/>
    <x v="0"/>
    <x v="2"/>
    <s v="Germany"/>
    <x v="2"/>
    <s v="Emma Schmidt"/>
    <s v="Annual"/>
    <d v="2025-08-05T00:00:00"/>
    <d v="2026-02-01T00:00:00"/>
    <x v="0"/>
    <s v="Missing"/>
    <n v="2"/>
    <s v="Maya Patel"/>
    <d v="2027-01-06T00:00:00"/>
    <s v="In Progress"/>
    <x v="0"/>
    <x v="1"/>
    <x v="1"/>
    <s v="Standard"/>
  </r>
  <r>
    <s v="CTRL-0416"/>
    <s v="Access Control 416"/>
    <s v="RESPOND"/>
    <s v="RS.MA"/>
    <x v="0"/>
    <x v="0"/>
    <s v="Singapore"/>
    <x v="2"/>
    <s v="Liam Brown"/>
    <s v="Annual"/>
    <d v="2026-03-28T00:00:00"/>
    <d v="2027-03-28T00:00:00"/>
    <x v="1"/>
    <m/>
    <n v="3"/>
    <s v="Maya Patel"/>
    <d v="2026-07-02T00:00:00"/>
    <s v="Completed"/>
    <x v="1"/>
    <x v="1"/>
    <x v="0"/>
    <s v="Standard"/>
  </r>
  <r>
    <s v="CTRL-0417"/>
    <s v="Data Control 417"/>
    <s v="RESPOND"/>
    <s v="RS.MA"/>
    <x v="2"/>
    <x v="0"/>
    <s v="Singapore"/>
    <x v="2"/>
    <s v="Alex Chen"/>
    <s v="Annual"/>
    <d v="2026-07-26T00:00:00"/>
    <d v="2026-10-24T00:00:00"/>
    <x v="3"/>
    <s v="Complete"/>
    <n v="1"/>
    <s v="Liam Brown"/>
    <d v="2026-11-20T00:00:00"/>
    <s v="In Progress"/>
    <x v="1"/>
    <x v="1"/>
    <x v="2"/>
    <s v="Standard"/>
  </r>
  <r>
    <s v="CTRL-0418"/>
    <s v="Data Control 418"/>
    <s v="GOVERN"/>
    <s v="GV.OC"/>
    <x v="5"/>
    <x v="1"/>
    <s v="United States"/>
    <x v="0"/>
    <s v="Taylor Morgan"/>
    <s v="Annual"/>
    <d v="2025-11-23T00:00:00"/>
    <d v="2026-11-23T00:00:00"/>
    <x v="1"/>
    <s v="Pending"/>
    <n v="5"/>
    <s v="Emma Schmidt"/>
    <d v="2026-09-26T00:00:00"/>
    <s v="Overdue"/>
    <x v="1"/>
    <x v="1"/>
    <x v="3"/>
    <s v="Elevated"/>
  </r>
  <r>
    <s v="CTRL-0419"/>
    <s v="Incident Control 419"/>
    <s v="RESPOND"/>
    <s v="RS.MA"/>
    <x v="0"/>
    <x v="1"/>
    <s v="Canada"/>
    <x v="2"/>
    <s v="Alex Chen"/>
    <s v="Semiannual"/>
    <d v="2026-09-10T00:00:00"/>
    <d v="2027-09-10T00:00:00"/>
    <x v="2"/>
    <s v="Complete"/>
    <n v="2"/>
    <s v="Emma Schmidt"/>
    <d v="2026-04-18T00:00:00"/>
    <s v="Completed"/>
    <x v="1"/>
    <x v="1"/>
    <x v="2"/>
    <s v="Standard"/>
  </r>
  <r>
    <s v="CTRL-0420"/>
    <s v="Reconciliation Control 420"/>
    <s v="GOVERN"/>
    <s v="GV.RR"/>
    <x v="4"/>
    <x v="2"/>
    <s v="Germany"/>
    <x v="2"/>
    <s v="Jordan Lee"/>
    <s v="Annual"/>
    <d v="2026-01-10T00:00:00"/>
    <d v="2026-04-10T00:00:00"/>
    <x v="0"/>
    <s v="Complete"/>
    <n v="3"/>
    <s v="Jordan Lee"/>
    <d v="2026-10-04T00:00:00"/>
    <s v="In Progress"/>
    <x v="0"/>
    <x v="1"/>
    <x v="2"/>
    <s v="Standard"/>
  </r>
  <r>
    <s v="CTRL-0421"/>
    <s v="Policy Control 421"/>
    <s v="RESPOND"/>
    <s v="RS.MA"/>
    <x v="0"/>
    <x v="1"/>
    <s v="United States"/>
    <x v="2"/>
    <s v="Jordan Lee"/>
    <s v="Semiannual"/>
    <d v="2025-09-06T00:00:00"/>
    <d v="2026-03-05T00:00:00"/>
    <x v="0"/>
    <s v="Missing"/>
    <n v="3"/>
    <s v="Emma Schmidt"/>
    <d v="2026-06-11T00:00:00"/>
    <s v="Completed"/>
    <x v="0"/>
    <x v="1"/>
    <x v="1"/>
    <s v="Standard"/>
  </r>
  <r>
    <s v="CTRL-0422"/>
    <s v="Policy Control 422"/>
    <s v="RECOVER"/>
    <s v="RC.RP"/>
    <x v="4"/>
    <x v="0"/>
    <s v="Singapore"/>
    <x v="2"/>
    <s v="Liam Brown"/>
    <s v="Annual"/>
    <d v="2026-02-26T00:00:00"/>
    <d v="2026-08-25T00:00:00"/>
    <x v="0"/>
    <s v="Complete"/>
    <n v="1"/>
    <s v="Sam Rivera"/>
    <d v="2026-11-06T00:00:00"/>
    <s v="In Progress"/>
    <x v="0"/>
    <x v="1"/>
    <x v="2"/>
    <s v="Standard"/>
  </r>
  <r>
    <s v="CTRL-0423"/>
    <s v="Change Control 423"/>
    <s v="GOVERN"/>
    <s v="GV.RM"/>
    <x v="4"/>
    <x v="0"/>
    <s v="Singapore"/>
    <x v="3"/>
    <s v="Noah Williams"/>
    <s v="Annual"/>
    <d v="2026-08-24T00:00:00"/>
    <d v="2026-11-22T00:00:00"/>
    <x v="2"/>
    <s v="Complete"/>
    <n v="4"/>
    <s v="Taylor Morgan"/>
    <d v="2026-12-05T00:00:00"/>
    <s v="In Progress"/>
    <x v="1"/>
    <x v="1"/>
    <x v="2"/>
    <s v="Elevated"/>
  </r>
  <r>
    <s v="CTRL-0424"/>
    <s v="Data Control 424"/>
    <s v="PROTECT"/>
    <s v="PR.AA"/>
    <x v="3"/>
    <x v="2"/>
    <s v="United Kingdom"/>
    <x v="0"/>
    <m/>
    <s v="Quarterly"/>
    <d v="2026-07-27T00:00:00"/>
    <d v="2026-10-25T00:00:00"/>
    <x v="1"/>
    <s v="Missing"/>
    <n v="5"/>
    <s v="Noah Williams"/>
    <d v="2026-05-12T00:00:00"/>
    <s v="Overdue"/>
    <x v="1"/>
    <x v="0"/>
    <x v="1"/>
    <s v="Elevated"/>
  </r>
  <r>
    <s v="CTRL-0425"/>
    <s v="Incident Control 425"/>
    <s v="PROTECT"/>
    <s v="PR.AA"/>
    <x v="4"/>
    <x v="0"/>
    <s v="Singapore"/>
    <x v="2"/>
    <s v="Liam Brown"/>
    <s v="Annual"/>
    <d v="2025-11-21T00:00:00"/>
    <d v="2026-11-21T00:00:00"/>
    <x v="1"/>
    <s v="Pending"/>
    <n v="2"/>
    <s v="Taylor Morgan"/>
    <d v="2026-08-29T00:00:00"/>
    <s v="Completed"/>
    <x v="1"/>
    <x v="1"/>
    <x v="3"/>
    <s v="Standard"/>
  </r>
  <r>
    <s v="CTRL-0426"/>
    <s v="Access Control 426"/>
    <s v="RECOVER"/>
    <s v="RC.RP"/>
    <x v="3"/>
    <x v="1"/>
    <s v="Canada"/>
    <x v="1"/>
    <s v="Alex Chen"/>
    <s v="Quarterly"/>
    <d v="2025-10-09T00:00:00"/>
    <d v="2026-04-07T00:00:00"/>
    <x v="0"/>
    <s v="Missing"/>
    <n v="0"/>
    <s v="Maya Patel"/>
    <d v="2026-08-27T00:00:00"/>
    <s v="Not Required"/>
    <x v="0"/>
    <x v="1"/>
    <x v="1"/>
    <s v="Standard"/>
  </r>
  <r>
    <s v="CTRL-0427"/>
    <s v="Incident Control 427"/>
    <s v="GOVERN"/>
    <s v="GV.RR"/>
    <x v="1"/>
    <x v="2"/>
    <s v="Germany"/>
    <x v="2"/>
    <s v="Taylor Morgan"/>
    <s v="Semiannual"/>
    <d v="2025-06-28T00:00:00"/>
    <d v="2025-12-25T00:00:00"/>
    <x v="0"/>
    <s v="Complete"/>
    <n v="0"/>
    <s v="Noah Williams"/>
    <d v="2026-07-01T00:00:00"/>
    <s v="Not Required"/>
    <x v="0"/>
    <x v="1"/>
    <x v="2"/>
    <s v="Standard"/>
  </r>
  <r>
    <s v="CTRL-0428"/>
    <s v="Policy Control 428"/>
    <s v="GOVERN"/>
    <s v="GV.RR"/>
    <x v="5"/>
    <x v="1"/>
    <s v="Canada"/>
    <x v="1"/>
    <s v="Jordan Lee"/>
    <s v="Semiannual"/>
    <d v="2025-07-28T00:00:00"/>
    <d v="2026-07-28T00:00:00"/>
    <x v="0"/>
    <s v="Complete"/>
    <n v="2"/>
    <s v="Emma Schmidt"/>
    <d v="2026-05-16T00:00:00"/>
    <s v="Overdue"/>
    <x v="0"/>
    <x v="1"/>
    <x v="2"/>
    <s v="Standard"/>
  </r>
  <r>
    <s v="CTRL-0429"/>
    <s v="Vendor Control 429"/>
    <s v="RECOVER"/>
    <s v="RC.RP"/>
    <x v="5"/>
    <x v="2"/>
    <s v="United Kingdom"/>
    <x v="2"/>
    <s v="Jordan Lee"/>
    <s v="Semiannual"/>
    <d v="2026-05-26T00:00:00"/>
    <d v="2027-05-26T00:00:00"/>
    <x v="2"/>
    <s v="Complete"/>
    <n v="2"/>
    <s v="Taylor Morgan"/>
    <d v="2026-06-01T00:00:00"/>
    <s v="Completed"/>
    <x v="1"/>
    <x v="1"/>
    <x v="2"/>
    <s v="Standard"/>
  </r>
  <r>
    <s v="CTRL-0430"/>
    <s v="Vendor Control 430"/>
    <s v="RECOVER"/>
    <s v="RC.RP"/>
    <x v="4"/>
    <x v="2"/>
    <s v="United Kingdom"/>
    <x v="2"/>
    <s v="Emma Schmidt"/>
    <s v="Annual"/>
    <d v="2026-01-11T00:00:00"/>
    <d v="2026-07-10T00:00:00"/>
    <x v="0"/>
    <s v="Complete"/>
    <n v="3"/>
    <s v="Noah Williams"/>
    <d v="2026-04-09T00:00:00"/>
    <s v="Completed"/>
    <x v="0"/>
    <x v="1"/>
    <x v="2"/>
    <s v="Standard"/>
  </r>
  <r>
    <s v="CTRL-0431"/>
    <s v="Policy Control 431"/>
    <s v="PROTECT"/>
    <s v="PR.AA"/>
    <x v="0"/>
    <x v="0"/>
    <s v="Singapore"/>
    <x v="0"/>
    <s v="Noah Williams"/>
    <s v="Quarterly"/>
    <d v="2025-07-05T00:00:00"/>
    <d v="2026-01-01T00:00:00"/>
    <x v="0"/>
    <s v="Missing"/>
    <n v="5"/>
    <s v="Taylor Morgan"/>
    <d v="2026-08-20T00:00:00"/>
    <s v="Completed"/>
    <x v="0"/>
    <x v="1"/>
    <x v="1"/>
    <s v="Elevated"/>
  </r>
  <r>
    <s v="CTRL-0432"/>
    <s v="Reconciliation Control 432"/>
    <s v="GOVERN"/>
    <s v="GV.RR"/>
    <x v="4"/>
    <x v="0"/>
    <s v="Singapore"/>
    <x v="0"/>
    <s v="Sam Rivera"/>
    <s v="Annual"/>
    <d v="2025-08-31T00:00:00"/>
    <d v="2026-08-31T00:00:00"/>
    <x v="0"/>
    <s v="Missing"/>
    <n v="1"/>
    <s v="Alex Chen"/>
    <d v="2026-12-25T00:00:00"/>
    <s v="Completed"/>
    <x v="0"/>
    <x v="1"/>
    <x v="1"/>
    <s v="Elevated"/>
  </r>
  <r>
    <s v="CTRL-0433"/>
    <s v="Reconciliation Control 433"/>
    <s v="PROTECT"/>
    <s v="PR.AA"/>
    <x v="0"/>
    <x v="0"/>
    <s v="Singapore"/>
    <x v="1"/>
    <s v="Maya Patel"/>
    <s v="Quarterly"/>
    <d v="2025-12-16T00:00:00"/>
    <d v="2026-03-16T00:00:00"/>
    <x v="0"/>
    <s v="Missing"/>
    <n v="3"/>
    <s v="Alex Chen"/>
    <d v="2026-09-29T00:00:00"/>
    <s v="Completed"/>
    <x v="0"/>
    <x v="1"/>
    <x v="1"/>
    <s v="Standard"/>
  </r>
  <r>
    <s v="CTRL-0434"/>
    <s v="Incident Control 434"/>
    <s v="RESPOND"/>
    <s v="RS.MA"/>
    <x v="0"/>
    <x v="1"/>
    <s v="United States"/>
    <x v="3"/>
    <s v="Sam Rivera"/>
    <s v="Annual"/>
    <d v="2025-11-08T00:00:00"/>
    <d v="2026-11-08T00:00:00"/>
    <x v="1"/>
    <s v="Complete"/>
    <n v="0"/>
    <s v="Jordan Lee"/>
    <d v="2026-06-08T00:00:00"/>
    <s v="Not Required"/>
    <x v="1"/>
    <x v="1"/>
    <x v="2"/>
    <s v="Elevated"/>
  </r>
  <r>
    <s v="CTRL-0435"/>
    <s v="Reconciliation Control 435"/>
    <s v="GOVERN"/>
    <s v="GV.RM"/>
    <x v="2"/>
    <x v="1"/>
    <s v="United States"/>
    <x v="1"/>
    <s v="Maya Patel"/>
    <s v="Quarterly"/>
    <d v="2025-10-18T00:00:00"/>
    <d v="2026-04-16T00:00:00"/>
    <x v="0"/>
    <s v="Pending"/>
    <n v="3"/>
    <s v="Emma Schmidt"/>
    <d v="2026-09-15T00:00:00"/>
    <s v="Completed"/>
    <x v="0"/>
    <x v="1"/>
    <x v="3"/>
    <s v="Standard"/>
  </r>
  <r>
    <s v="CTRL-0436"/>
    <s v="Change Control 436"/>
    <s v="GOVERN"/>
    <s v="GV.RM"/>
    <x v="0"/>
    <x v="2"/>
    <s v="Germany"/>
    <x v="1"/>
    <s v="Taylor Morgan"/>
    <s v="Annual"/>
    <d v="2026-06-11T00:00:00"/>
    <d v="2026-12-08T00:00:00"/>
    <x v="1"/>
    <s v="Complete"/>
    <n v="3"/>
    <s v="Emma Schmidt"/>
    <d v="2026-07-03T00:00:00"/>
    <s v="Overdue"/>
    <x v="1"/>
    <x v="1"/>
    <x v="2"/>
    <s v="Standard"/>
  </r>
  <r>
    <s v="CTRL-0437"/>
    <s v="Change Control 437"/>
    <s v="RECOVER"/>
    <s v="RC.RP"/>
    <x v="4"/>
    <x v="1"/>
    <s v="United States"/>
    <x v="0"/>
    <s v="Maya Patel"/>
    <s v="Annual"/>
    <d v="2026-08-24T00:00:00"/>
    <d v="2026-11-22T00:00:00"/>
    <x v="1"/>
    <s v="Missing"/>
    <n v="2"/>
    <s v="Alex Chen"/>
    <d v="2026-11-17T00:00:00"/>
    <s v="Completed"/>
    <x v="1"/>
    <x v="1"/>
    <x v="1"/>
    <s v="Elevated"/>
  </r>
  <r>
    <s v="CTRL-0438"/>
    <s v="Vendor Control 438"/>
    <s v="RECOVER"/>
    <s v="RC.RP"/>
    <x v="2"/>
    <x v="1"/>
    <s v="Canada"/>
    <x v="1"/>
    <s v="Noah Williams"/>
    <s v="Semiannual"/>
    <d v="2025-06-04T00:00:00"/>
    <d v="2025-12-01T00:00:00"/>
    <x v="0"/>
    <s v="Missing"/>
    <n v="0"/>
    <s v="Emma Schmidt"/>
    <d v="2026-12-22T00:00:00"/>
    <s v="Not Required"/>
    <x v="0"/>
    <x v="1"/>
    <x v="1"/>
    <s v="Standard"/>
  </r>
  <r>
    <s v="CTRL-0439"/>
    <s v="Access Control 439"/>
    <s v="RESPOND"/>
    <s v="RS.MA"/>
    <x v="3"/>
    <x v="0"/>
    <s v="Singapore"/>
    <x v="1"/>
    <s v="Emma Schmidt"/>
    <s v="Annual"/>
    <d v="2025-09-23T00:00:00"/>
    <d v="2026-03-22T00:00:00"/>
    <x v="0"/>
    <s v="Complete"/>
    <n v="2"/>
    <s v="Maya Patel"/>
    <d v="2026-09-20T00:00:00"/>
    <s v="Overdue"/>
    <x v="0"/>
    <x v="1"/>
    <x v="2"/>
    <s v="Standard"/>
  </r>
  <r>
    <s v="CTRL-0440"/>
    <s v="Reconciliation Control 440"/>
    <s v="IDENTIFY"/>
    <s v="ID.AM"/>
    <x v="0"/>
    <x v="2"/>
    <s v="Germany"/>
    <x v="0"/>
    <s v="Taylor Morgan"/>
    <s v="Annual"/>
    <d v="2025-10-14T00:00:00"/>
    <d v="2026-01-12T00:00:00"/>
    <x v="0"/>
    <s v="Complete"/>
    <n v="4"/>
    <s v="Emma Schmidt"/>
    <d v="2026-04-23T00:00:00"/>
    <s v="Overdue"/>
    <x v="0"/>
    <x v="1"/>
    <x v="2"/>
    <s v="Elevated"/>
  </r>
  <r>
    <s v="CTRL-0441"/>
    <s v="Incident Control 441"/>
    <s v="GOVERN"/>
    <s v="GV.OC"/>
    <x v="4"/>
    <x v="1"/>
    <s v="Canada"/>
    <x v="1"/>
    <s v="Liam Brown"/>
    <s v="Annual"/>
    <d v="2025-08-30T00:00:00"/>
    <d v="2025-11-28T00:00:00"/>
    <x v="0"/>
    <s v="Complete"/>
    <n v="0"/>
    <s v="Sam Rivera"/>
    <d v="2026-07-10T00:00:00"/>
    <s v="Not Required"/>
    <x v="0"/>
    <x v="1"/>
    <x v="2"/>
    <s v="Standard"/>
  </r>
  <r>
    <s v="CTRL-0442"/>
    <s v="Reconciliation Control 442"/>
    <s v="GOVERN"/>
    <s v="GV.OC"/>
    <x v="0"/>
    <x v="2"/>
    <s v="Germany"/>
    <x v="0"/>
    <s v="Taylor Morgan"/>
    <s v="Annual"/>
    <d v="2025-12-29T00:00:00"/>
    <d v="2026-12-29T00:00:00"/>
    <x v="2"/>
    <s v="Complete"/>
    <n v="0"/>
    <s v="Alex Chen"/>
    <d v="2026-09-23T00:00:00"/>
    <s v="Not Required"/>
    <x v="1"/>
    <x v="1"/>
    <x v="2"/>
    <s v="Elevated"/>
  </r>
  <r>
    <s v="CTRL-0443"/>
    <s v="Access Control 443"/>
    <s v="GOVERN"/>
    <s v="GV.RM"/>
    <x v="1"/>
    <x v="2"/>
    <s v="United Kingdom"/>
    <x v="0"/>
    <s v="Liam Brown"/>
    <s v="Annual"/>
    <d v="2025-09-28T00:00:00"/>
    <d v="2026-09-28T00:00:00"/>
    <x v="0"/>
    <s v="Complete"/>
    <n v="5"/>
    <s v="Jordan Lee"/>
    <d v="2027-01-24T00:00:00"/>
    <s v="Completed"/>
    <x v="0"/>
    <x v="1"/>
    <x v="2"/>
    <s v="Elevated"/>
  </r>
  <r>
    <s v="CTRL-0444"/>
    <s v="Vendor Control 444"/>
    <s v="GOVERN"/>
    <s v="GV.RM"/>
    <x v="4"/>
    <x v="2"/>
    <s v="United Kingdom"/>
    <x v="0"/>
    <s v="Alex Chen"/>
    <s v="Annual"/>
    <d v="2026-05-09T00:00:00"/>
    <d v="2027-05-09T00:00:00"/>
    <x v="3"/>
    <s v="Complete"/>
    <n v="5"/>
    <s v="Jordan Lee"/>
    <d v="2026-04-28T00:00:00"/>
    <s v="Overdue"/>
    <x v="1"/>
    <x v="1"/>
    <x v="2"/>
    <s v="Elevated"/>
  </r>
  <r>
    <s v="CTRL-0445"/>
    <s v="Reconciliation Control 445"/>
    <s v="GOVERN"/>
    <s v="GV.RR"/>
    <x v="0"/>
    <x v="0"/>
    <s v="Singapore"/>
    <x v="1"/>
    <s v="Sam Rivera"/>
    <s v="Quarterly"/>
    <d v="2026-08-09T00:00:00"/>
    <d v="2026-11-07T00:00:00"/>
    <x v="1"/>
    <s v="Missing"/>
    <n v="3"/>
    <s v="Alex Chen"/>
    <d v="2026-09-16T00:00:00"/>
    <s v="Completed"/>
    <x v="1"/>
    <x v="1"/>
    <x v="1"/>
    <s v="Standard"/>
  </r>
  <r>
    <s v="CTRL-0446"/>
    <s v="Change Control 446"/>
    <s v="GOVERN"/>
    <s v="GV.OC"/>
    <x v="2"/>
    <x v="0"/>
    <s v="Singapore"/>
    <x v="1"/>
    <s v="Taylor Morgan"/>
    <s v="Quarterly"/>
    <d v="2026-06-30T00:00:00"/>
    <d v="2026-12-27T00:00:00"/>
    <x v="1"/>
    <s v="Pending"/>
    <n v="1"/>
    <s v="Emma Schmidt"/>
    <d v="2026-11-13T00:00:00"/>
    <s v="Completed"/>
    <x v="1"/>
    <x v="1"/>
    <x v="3"/>
    <s v="Standard"/>
  </r>
  <r>
    <s v="CTRL-0447"/>
    <s v="Incident Control 447"/>
    <s v="RECOVER"/>
    <s v="RC.RP"/>
    <x v="4"/>
    <x v="1"/>
    <s v="United States"/>
    <x v="1"/>
    <s v="Alex Chen"/>
    <s v="Quarterly"/>
    <d v="2026-06-11T00:00:00"/>
    <d v="2026-09-09T00:00:00"/>
    <x v="0"/>
    <s v="Missing"/>
    <n v="2"/>
    <s v="Sam Rivera"/>
    <d v="2026-11-02T00:00:00"/>
    <s v="In Progress"/>
    <x v="0"/>
    <x v="1"/>
    <x v="1"/>
    <s v="Standard"/>
  </r>
  <r>
    <s v="CTRL-0448"/>
    <s v="Data Control 448"/>
    <s v="RECOVER"/>
    <s v="RC.RP"/>
    <x v="3"/>
    <x v="1"/>
    <s v="Canada"/>
    <x v="2"/>
    <s v="Sam Rivera"/>
    <s v="Quarterly"/>
    <d v="2025-05-18T00:00:00"/>
    <d v="2025-08-16T00:00:00"/>
    <x v="0"/>
    <s v="Missing"/>
    <n v="0"/>
    <s v="Taylor Morgan"/>
    <d v="2026-07-04T00:00:00"/>
    <s v="Not Required"/>
    <x v="0"/>
    <x v="1"/>
    <x v="1"/>
    <s v="Standard"/>
  </r>
  <r>
    <s v="CTRL-0449"/>
    <s v="Reconciliation Control 449"/>
    <s v="IDENTIFY"/>
    <s v="ID.AM"/>
    <x v="0"/>
    <x v="2"/>
    <s v="Germany"/>
    <x v="2"/>
    <s v="Sam Rivera"/>
    <s v="Quarterly"/>
    <d v="2026-07-12T00:00:00"/>
    <d v="2027-07-12T00:00:00"/>
    <x v="2"/>
    <s v="Missing"/>
    <n v="1"/>
    <s v="Sam Rivera"/>
    <d v="2026-11-26T00:00:00"/>
    <s v="In Progress"/>
    <x v="1"/>
    <x v="1"/>
    <x v="1"/>
    <s v="Standard"/>
  </r>
  <r>
    <s v="CTRL-0450"/>
    <s v="Reconciliation Control 450"/>
    <s v="DETECT"/>
    <s v="DE.CM"/>
    <x v="5"/>
    <x v="1"/>
    <s v="United States"/>
    <x v="0"/>
    <s v="Liam Brown"/>
    <s v="Quarterly"/>
    <d v="2025-12-30T00:00:00"/>
    <d v="2026-03-30T00:00:00"/>
    <x v="0"/>
    <s v="Complete"/>
    <n v="5"/>
    <s v="Emma Schmidt"/>
    <d v="2026-04-25T00:00:00"/>
    <s v="Completed"/>
    <x v="0"/>
    <x v="1"/>
    <x v="2"/>
    <s v="Elevated"/>
  </r>
  <r>
    <s v="CTRL-0451"/>
    <s v="Access Control 451"/>
    <s v="GOVERN"/>
    <s v="GV.RM"/>
    <x v="3"/>
    <x v="2"/>
    <s v="Germany"/>
    <x v="0"/>
    <s v="Liam Brown"/>
    <s v="Quarterly"/>
    <d v="2026-08-19T00:00:00"/>
    <d v="2026-11-17T00:00:00"/>
    <x v="3"/>
    <s v="Complete"/>
    <n v="0"/>
    <s v="Liam Brown"/>
    <d v="2026-12-07T00:00:00"/>
    <s v="Not Required"/>
    <x v="1"/>
    <x v="1"/>
    <x v="2"/>
    <s v="Elevated"/>
  </r>
  <r>
    <s v="CTRL-0452"/>
    <s v="Policy Control 452"/>
    <s v="RESPOND"/>
    <s v="RS.MA"/>
    <x v="4"/>
    <x v="0"/>
    <s v="Singapore"/>
    <x v="1"/>
    <s v="Noah Williams"/>
    <s v="Quarterly"/>
    <d v="2026-05-16T00:00:00"/>
    <d v="2026-08-14T00:00:00"/>
    <x v="0"/>
    <s v="Pending"/>
    <n v="1"/>
    <s v="Emma Schmidt"/>
    <d v="2026-05-23T00:00:00"/>
    <s v="Completed"/>
    <x v="0"/>
    <x v="1"/>
    <x v="3"/>
    <s v="Standard"/>
  </r>
  <r>
    <s v="CTRL-0453"/>
    <s v="Change Control 453"/>
    <s v="DETECT"/>
    <s v="DE.CM"/>
    <x v="4"/>
    <x v="1"/>
    <s v="United States"/>
    <x v="2"/>
    <s v="Alex Chen"/>
    <s v="Semiannual"/>
    <d v="2025-06-12T00:00:00"/>
    <d v="2025-12-09T00:00:00"/>
    <x v="0"/>
    <s v="Complete"/>
    <n v="1"/>
    <s v="Sam Rivera"/>
    <d v="2026-11-21T00:00:00"/>
    <s v="Completed"/>
    <x v="0"/>
    <x v="1"/>
    <x v="2"/>
    <s v="Standard"/>
  </r>
  <r>
    <s v="CTRL-0454"/>
    <s v="Vendor Control 454"/>
    <s v="RECOVER"/>
    <s v="RC.RP"/>
    <x v="2"/>
    <x v="0"/>
    <s v="Singapore"/>
    <x v="1"/>
    <s v="Jordan Lee"/>
    <s v="Quarterly"/>
    <d v="2026-08-25T00:00:00"/>
    <d v="2027-08-25T00:00:00"/>
    <x v="2"/>
    <s v="Complete"/>
    <n v="0"/>
    <s v="Noah Williams"/>
    <d v="2026-11-27T00:00:00"/>
    <s v="Not Required"/>
    <x v="1"/>
    <x v="1"/>
    <x v="2"/>
    <s v="Standard"/>
  </r>
  <r>
    <s v="CTRL-0455"/>
    <s v="Reconciliation Control 455"/>
    <s v="RECOVER"/>
    <s v="RC.RP"/>
    <x v="3"/>
    <x v="1"/>
    <s v="Canada"/>
    <x v="1"/>
    <s v="Jordan Lee"/>
    <s v="Quarterly"/>
    <d v="2025-11-19T00:00:00"/>
    <d v="2026-11-19T00:00:00"/>
    <x v="3"/>
    <s v="Pending"/>
    <n v="3"/>
    <s v="Emma Schmidt"/>
    <d v="2026-07-22T00:00:00"/>
    <s v="Overdue"/>
    <x v="1"/>
    <x v="1"/>
    <x v="3"/>
    <s v="Standard"/>
  </r>
  <r>
    <s v="CTRL-0456"/>
    <s v="Access Control 456"/>
    <s v="GOVERN"/>
    <s v="GV.OC"/>
    <x v="1"/>
    <x v="0"/>
    <s v="Singapore"/>
    <x v="2"/>
    <s v="Sam Rivera"/>
    <s v="Semiannual"/>
    <d v="2025-06-11T00:00:00"/>
    <d v="2026-06-11T00:00:00"/>
    <x v="0"/>
    <s v="Complete"/>
    <n v="0"/>
    <s v="Alex Chen"/>
    <d v="2026-11-02T00:00:00"/>
    <s v="Not Required"/>
    <x v="0"/>
    <x v="1"/>
    <x v="2"/>
    <s v="Standard"/>
  </r>
  <r>
    <s v="CTRL-0457"/>
    <s v="Incident Control 457"/>
    <s v="GOVERN"/>
    <s v="GV.OC"/>
    <x v="4"/>
    <x v="2"/>
    <s v="Germany"/>
    <x v="0"/>
    <s v="Maya Patel"/>
    <s v="Annual"/>
    <d v="2026-01-22T00:00:00"/>
    <d v="2026-07-21T00:00:00"/>
    <x v="0"/>
    <s v="Complete"/>
    <n v="0"/>
    <s v="Emma Schmidt"/>
    <d v="2027-01-13T00:00:00"/>
    <s v="Not Required"/>
    <x v="0"/>
    <x v="1"/>
    <x v="2"/>
    <s v="Elevated"/>
  </r>
  <r>
    <s v="CTRL-0458"/>
    <s v="Vendor Control 458"/>
    <s v="GOVERN"/>
    <s v="GV.OC"/>
    <x v="2"/>
    <x v="1"/>
    <s v="United States"/>
    <x v="1"/>
    <s v="Maya Patel"/>
    <s v="Semiannual"/>
    <d v="2026-09-02T00:00:00"/>
    <d v="2027-03-01T00:00:00"/>
    <x v="3"/>
    <s v="Missing"/>
    <n v="3"/>
    <s v="Jordan Lee"/>
    <d v="2027-01-20T00:00:00"/>
    <s v="In Progress"/>
    <x v="1"/>
    <x v="1"/>
    <x v="1"/>
    <s v="Standard"/>
  </r>
  <r>
    <s v="CTRL-0459"/>
    <s v="Vendor Control 459"/>
    <s v="GOVERN"/>
    <s v="GV.RM"/>
    <x v="1"/>
    <x v="0"/>
    <s v="Singapore"/>
    <x v="0"/>
    <s v="Noah Williams"/>
    <s v="Annual"/>
    <d v="2025-10-25T00:00:00"/>
    <d v="2026-04-23T00:00:00"/>
    <x v="0"/>
    <s v="Missing"/>
    <n v="5"/>
    <s v="Noah Williams"/>
    <d v="2026-04-03T00:00:00"/>
    <s v="Overdue"/>
    <x v="0"/>
    <x v="1"/>
    <x v="1"/>
    <s v="Elevated"/>
  </r>
  <r>
    <s v="CTRL-0460"/>
    <s v="Incident Control 460"/>
    <s v="DETECT"/>
    <s v="DE.CM"/>
    <x v="2"/>
    <x v="0"/>
    <s v="Singapore"/>
    <x v="2"/>
    <s v="Taylor Morgan"/>
    <s v="Quarterly"/>
    <d v="2025-09-18T00:00:00"/>
    <d v="2026-09-18T00:00:00"/>
    <x v="0"/>
    <s v="Missing"/>
    <n v="1"/>
    <s v="Noah Williams"/>
    <d v="2026-05-14T00:00:00"/>
    <s v="Overdue"/>
    <x v="0"/>
    <x v="1"/>
    <x v="1"/>
    <s v="Standard"/>
  </r>
  <r>
    <s v="CTRL-0461"/>
    <s v="Change Control 461"/>
    <s v="IDENTIFY"/>
    <s v="ID.AM"/>
    <x v="4"/>
    <x v="1"/>
    <s v="United States"/>
    <x v="2"/>
    <s v="Alex Chen"/>
    <s v="Semiannual"/>
    <d v="2026-03-07T00:00:00"/>
    <d v="2026-09-03T00:00:00"/>
    <x v="0"/>
    <s v="Complete"/>
    <n v="0"/>
    <s v="Sam Rivera"/>
    <d v="2027-01-15T00:00:00"/>
    <s v="Not Required"/>
    <x v="0"/>
    <x v="1"/>
    <x v="2"/>
    <s v="Standard"/>
  </r>
  <r>
    <s v="CTRL-0462"/>
    <s v="Reconciliation Control 462"/>
    <s v="RESPOND"/>
    <s v="RS.MA"/>
    <x v="5"/>
    <x v="0"/>
    <s v="Singapore"/>
    <x v="2"/>
    <s v="Sam Rivera"/>
    <s v="Quarterly"/>
    <d v="2025-08-21T00:00:00"/>
    <d v="2026-08-21T00:00:00"/>
    <x v="0"/>
    <s v="Complete"/>
    <n v="2"/>
    <s v="Maya Patel"/>
    <d v="2026-09-30T00:00:00"/>
    <s v="In Progress"/>
    <x v="0"/>
    <x v="1"/>
    <x v="2"/>
    <s v="Standard"/>
  </r>
  <r>
    <s v="CTRL-0463"/>
    <s v="Change Control 463"/>
    <s v="GOVERN"/>
    <s v="GV.RM"/>
    <x v="4"/>
    <x v="2"/>
    <s v="Germany"/>
    <x v="2"/>
    <s v="Maya Patel"/>
    <s v="Semiannual"/>
    <d v="2026-01-13T00:00:00"/>
    <d v="2027-01-13T00:00:00"/>
    <x v="1"/>
    <s v="Missing"/>
    <n v="2"/>
    <s v="Maya Patel"/>
    <d v="2026-11-20T00:00:00"/>
    <s v="In Progress"/>
    <x v="1"/>
    <x v="1"/>
    <x v="1"/>
    <s v="Standard"/>
  </r>
  <r>
    <s v="CTRL-0464"/>
    <s v="Data Control 464"/>
    <s v="IDENTIFY"/>
    <s v="ID.AM"/>
    <x v="1"/>
    <x v="1"/>
    <s v="Canada"/>
    <x v="1"/>
    <s v="Maya Patel"/>
    <s v="Annual"/>
    <d v="2026-07-17T00:00:00"/>
    <d v="2026-10-15T00:00:00"/>
    <x v="1"/>
    <s v="Missing"/>
    <n v="1"/>
    <s v="Alex Chen"/>
    <d v="2026-12-13T00:00:00"/>
    <s v="Completed"/>
    <x v="1"/>
    <x v="1"/>
    <x v="1"/>
    <s v="Standard"/>
  </r>
  <r>
    <s v="CTRL-0465"/>
    <s v="Access Control 465"/>
    <s v="GOVERN"/>
    <s v="GV.RM"/>
    <x v="5"/>
    <x v="2"/>
    <s v="Germany"/>
    <x v="2"/>
    <s v="Jordan Lee"/>
    <s v="Quarterly"/>
    <d v="2026-01-11T00:00:00"/>
    <d v="2026-07-10T00:00:00"/>
    <x v="0"/>
    <s v="Pending"/>
    <n v="3"/>
    <s v="Noah Williams"/>
    <d v="2026-04-13T00:00:00"/>
    <s v="Completed"/>
    <x v="0"/>
    <x v="1"/>
    <x v="3"/>
    <s v="Standard"/>
  </r>
  <r>
    <s v="CTRL-0466"/>
    <s v="Change Control 466"/>
    <s v="PROTECT"/>
    <s v="PR.AA"/>
    <x v="5"/>
    <x v="2"/>
    <s v="Germany"/>
    <x v="2"/>
    <s v="Noah Williams"/>
    <s v="Semiannual"/>
    <d v="2026-01-05T00:00:00"/>
    <d v="2027-01-05T00:00:00"/>
    <x v="2"/>
    <s v="Pending"/>
    <n v="2"/>
    <s v="Sam Rivera"/>
    <d v="2027-01-18T00:00:00"/>
    <s v="Completed"/>
    <x v="1"/>
    <x v="1"/>
    <x v="3"/>
    <s v="Standard"/>
  </r>
  <r>
    <s v="CTRL-0467"/>
    <s v="Change Control 467"/>
    <s v="PROTECT"/>
    <s v="PR.AA"/>
    <x v="2"/>
    <x v="2"/>
    <s v="Germany"/>
    <x v="0"/>
    <s v="Alex Chen"/>
    <s v="Quarterly"/>
    <d v="2026-06-27T00:00:00"/>
    <d v="2026-12-24T00:00:00"/>
    <x v="1"/>
    <s v="Complete"/>
    <n v="4"/>
    <s v="Jordan Lee"/>
    <d v="2026-06-24T00:00:00"/>
    <s v="Overdue"/>
    <x v="1"/>
    <x v="1"/>
    <x v="2"/>
    <s v="Elevated"/>
  </r>
  <r>
    <s v="CTRL-0468"/>
    <s v="Incident Control 468"/>
    <s v="GOVERN"/>
    <s v="GV.OC"/>
    <x v="0"/>
    <x v="1"/>
    <s v="United States"/>
    <x v="1"/>
    <s v="Noah Williams"/>
    <s v="Semiannual"/>
    <d v="2025-11-20T00:00:00"/>
    <d v="2026-02-18T00:00:00"/>
    <x v="0"/>
    <s v="Pending"/>
    <n v="2"/>
    <s v="Noah Williams"/>
    <d v="2026-10-09T00:00:00"/>
    <s v="Completed"/>
    <x v="0"/>
    <x v="1"/>
    <x v="3"/>
    <s v="Standard"/>
  </r>
  <r>
    <s v="CTRL-0469"/>
    <s v="Policy Control 469"/>
    <s v="RECOVER"/>
    <s v="RC.RP"/>
    <x v="4"/>
    <x v="1"/>
    <s v="Canada"/>
    <x v="2"/>
    <s v="Jordan Lee"/>
    <s v="Quarterly"/>
    <d v="2025-12-11T00:00:00"/>
    <d v="2026-06-09T00:00:00"/>
    <x v="0"/>
    <s v="Complete"/>
    <n v="0"/>
    <s v="Liam Brown"/>
    <d v="2026-10-27T00:00:00"/>
    <s v="Not Required"/>
    <x v="0"/>
    <x v="1"/>
    <x v="2"/>
    <s v="Standard"/>
  </r>
  <r>
    <s v="CTRL-0470"/>
    <s v="Reconciliation Control 470"/>
    <s v="RECOVER"/>
    <s v="RC.RP"/>
    <x v="0"/>
    <x v="2"/>
    <s v="United Kingdom"/>
    <x v="3"/>
    <s v="Noah Williams"/>
    <s v="Annual"/>
    <d v="2025-10-14T00:00:00"/>
    <d v="2026-10-14T00:00:00"/>
    <x v="1"/>
    <s v="Pending"/>
    <n v="4"/>
    <s v="Maya Patel"/>
    <d v="2026-06-17T00:00:00"/>
    <s v="Overdue"/>
    <x v="1"/>
    <x v="1"/>
    <x v="3"/>
    <s v="Elevated"/>
  </r>
  <r>
    <s v="CTRL-0471"/>
    <s v="Vendor Control 471"/>
    <s v="IDENTIFY"/>
    <s v="ID.AM"/>
    <x v="0"/>
    <x v="0"/>
    <s v="Singapore"/>
    <x v="1"/>
    <m/>
    <s v="Semiannual"/>
    <d v="2025-12-02T00:00:00"/>
    <d v="2026-03-02T00:00:00"/>
    <x v="0"/>
    <s v="Pending"/>
    <n v="0"/>
    <s v="Maya Patel"/>
    <d v="2026-10-25T00:00:00"/>
    <s v="Not Required"/>
    <x v="0"/>
    <x v="0"/>
    <x v="3"/>
    <s v="Standard"/>
  </r>
  <r>
    <s v="CTRL-0472"/>
    <s v="Incident Control 472"/>
    <s v="RECOVER"/>
    <s v="RC.RP"/>
    <x v="3"/>
    <x v="2"/>
    <s v="United Kingdom"/>
    <x v="2"/>
    <s v="Sam Rivera"/>
    <s v="Annual"/>
    <d v="2025-08-06T00:00:00"/>
    <d v="2026-02-02T00:00:00"/>
    <x v="0"/>
    <s v="Complete"/>
    <n v="0"/>
    <s v="Maya Patel"/>
    <d v="2026-05-15T00:00:00"/>
    <s v="Not Required"/>
    <x v="0"/>
    <x v="1"/>
    <x v="2"/>
    <s v="Standard"/>
  </r>
  <r>
    <s v="CTRL-0473"/>
    <s v="Reconciliation Control 473"/>
    <s v="RESPOND"/>
    <s v="RS.MA"/>
    <x v="1"/>
    <x v="0"/>
    <s v="Singapore"/>
    <x v="2"/>
    <s v="Alex Chen"/>
    <s v="Semiannual"/>
    <d v="2025-06-02T00:00:00"/>
    <d v="2026-06-02T00:00:00"/>
    <x v="0"/>
    <s v="Pending"/>
    <n v="3"/>
    <s v="Noah Williams"/>
    <d v="2026-06-17T00:00:00"/>
    <s v="Overdue"/>
    <x v="0"/>
    <x v="1"/>
    <x v="3"/>
    <s v="Standard"/>
  </r>
  <r>
    <s v="CTRL-0474"/>
    <s v="Policy Control 474"/>
    <s v="RESPOND"/>
    <s v="RS.MA"/>
    <x v="2"/>
    <x v="1"/>
    <s v="Canada"/>
    <x v="2"/>
    <s v="Liam Brown"/>
    <s v="Semiannual"/>
    <d v="2025-06-20T00:00:00"/>
    <d v="2026-06-20T00:00:00"/>
    <x v="0"/>
    <s v="Complete"/>
    <n v="1"/>
    <s v="Taylor Morgan"/>
    <d v="2026-11-16T00:00:00"/>
    <s v="In Progress"/>
    <x v="0"/>
    <x v="1"/>
    <x v="2"/>
    <s v="Standard"/>
  </r>
  <r>
    <s v="CTRL-0475"/>
    <s v="Reconciliation Control 475"/>
    <s v="IDENTIFY"/>
    <s v="ID.AM"/>
    <x v="5"/>
    <x v="1"/>
    <s v="Canada"/>
    <x v="0"/>
    <s v="Jordan Lee"/>
    <s v="Semiannual"/>
    <d v="2025-07-10T00:00:00"/>
    <d v="2026-07-10T00:00:00"/>
    <x v="0"/>
    <s v="Missing"/>
    <n v="0"/>
    <s v="Noah Williams"/>
    <d v="2026-06-15T00:00:00"/>
    <s v="Not Required"/>
    <x v="0"/>
    <x v="1"/>
    <x v="1"/>
    <s v="Elevated"/>
  </r>
  <r>
    <s v="CTRL-0476"/>
    <s v="Change Control 476"/>
    <s v="GOVERN"/>
    <s v="GV.RR"/>
    <x v="0"/>
    <x v="1"/>
    <s v="Canada"/>
    <x v="1"/>
    <s v="Taylor Morgan"/>
    <s v="Quarterly"/>
    <d v="2026-02-10T00:00:00"/>
    <d v="2026-05-11T00:00:00"/>
    <x v="0"/>
    <s v="Missing"/>
    <n v="3"/>
    <s v="Emma Schmidt"/>
    <d v="2027-01-18T00:00:00"/>
    <s v="In Progress"/>
    <x v="0"/>
    <x v="1"/>
    <x v="1"/>
    <s v="Standard"/>
  </r>
  <r>
    <s v="CTRL-0477"/>
    <s v="Access Control 477"/>
    <s v="IDENTIFY"/>
    <s v="ID.AM"/>
    <x v="0"/>
    <x v="2"/>
    <s v="Germany"/>
    <x v="0"/>
    <s v="Taylor Morgan"/>
    <s v="Quarterly"/>
    <d v="2025-07-10T00:00:00"/>
    <d v="2026-07-10T00:00:00"/>
    <x v="0"/>
    <s v="Pending"/>
    <n v="3"/>
    <s v="Jordan Lee"/>
    <d v="2027-01-14T00:00:00"/>
    <s v="In Progress"/>
    <x v="0"/>
    <x v="1"/>
    <x v="3"/>
    <s v="Elevated"/>
  </r>
  <r>
    <s v="CTRL-0478"/>
    <s v="Access Control 478"/>
    <s v="IDENTIFY"/>
    <s v="ID.AM"/>
    <x v="5"/>
    <x v="2"/>
    <s v="Germany"/>
    <x v="0"/>
    <s v="Liam Brown"/>
    <s v="Quarterly"/>
    <d v="2026-07-09T00:00:00"/>
    <d v="2027-07-09T00:00:00"/>
    <x v="2"/>
    <s v="Pending"/>
    <n v="1"/>
    <s v="Taylor Morgan"/>
    <d v="2026-12-10T00:00:00"/>
    <s v="In Progress"/>
    <x v="1"/>
    <x v="1"/>
    <x v="3"/>
    <s v="Elevated"/>
  </r>
  <r>
    <s v="CTRL-0479"/>
    <s v="Reconciliation Control 479"/>
    <s v="GOVERN"/>
    <s v="GV.RM"/>
    <x v="3"/>
    <x v="2"/>
    <s v="United Kingdom"/>
    <x v="0"/>
    <s v="Liam Brown"/>
    <s v="Annual"/>
    <d v="2025-11-25T00:00:00"/>
    <d v="2026-05-24T00:00:00"/>
    <x v="0"/>
    <s v="Pending"/>
    <n v="5"/>
    <s v="Alex Chen"/>
    <d v="2026-12-02T00:00:00"/>
    <s v="In Progress"/>
    <x v="0"/>
    <x v="1"/>
    <x v="3"/>
    <s v="Elevated"/>
  </r>
  <r>
    <s v="CTRL-0480"/>
    <s v="Vendor Control 480"/>
    <s v="DETECT"/>
    <s v="DE.CM"/>
    <x v="3"/>
    <x v="2"/>
    <s v="United Kingdom"/>
    <x v="1"/>
    <s v="Noah Williams"/>
    <s v="Annual"/>
    <d v="2026-01-17T00:00:00"/>
    <d v="2027-01-17T00:00:00"/>
    <x v="1"/>
    <s v="Complete"/>
    <n v="0"/>
    <s v="Noah Williams"/>
    <d v="2026-08-20T00:00:00"/>
    <s v="Not Required"/>
    <x v="1"/>
    <x v="1"/>
    <x v="2"/>
    <s v="Standard"/>
  </r>
  <r>
    <s v="CTRL-0481"/>
    <s v="Data Control 481"/>
    <s v="GOVERN"/>
    <s v="GV.RR"/>
    <x v="2"/>
    <x v="1"/>
    <s v="Canada"/>
    <x v="2"/>
    <s v="Maya Patel"/>
    <s v="Semiannual"/>
    <d v="2025-12-21T00:00:00"/>
    <d v="2026-03-21T00:00:00"/>
    <x v="0"/>
    <s v="Missing"/>
    <n v="1"/>
    <s v="Noah Williams"/>
    <d v="2026-05-21T00:00:00"/>
    <s v="Overdue"/>
    <x v="0"/>
    <x v="1"/>
    <x v="1"/>
    <s v="Standard"/>
  </r>
  <r>
    <s v="CTRL-0482"/>
    <s v="Vendor Control 482"/>
    <s v="RECOVER"/>
    <s v="RC.RP"/>
    <x v="2"/>
    <x v="0"/>
    <s v="Singapore"/>
    <x v="2"/>
    <s v="Noah Williams"/>
    <s v="Semiannual"/>
    <d v="2026-07-23T00:00:00"/>
    <d v="2027-07-23T00:00:00"/>
    <x v="3"/>
    <s v="Complete"/>
    <n v="1"/>
    <s v="Jordan Lee"/>
    <d v="2026-12-24T00:00:00"/>
    <s v="Completed"/>
    <x v="1"/>
    <x v="1"/>
    <x v="2"/>
    <s v="Standard"/>
  </r>
  <r>
    <s v="CTRL-0483"/>
    <s v="Access Control 483"/>
    <s v="RECOVER"/>
    <s v="RC.RP"/>
    <x v="1"/>
    <x v="1"/>
    <s v="United States"/>
    <x v="2"/>
    <s v="Sam Rivera"/>
    <s v="Quarterly"/>
    <d v="2025-07-30T00:00:00"/>
    <d v="2026-07-30T00:00:00"/>
    <x v="0"/>
    <s v="Missing"/>
    <n v="0"/>
    <s v="Jordan Lee"/>
    <d v="2026-11-02T00:00:00"/>
    <s v="Not Required"/>
    <x v="0"/>
    <x v="1"/>
    <x v="1"/>
    <s v="Standard"/>
  </r>
  <r>
    <s v="CTRL-0484"/>
    <s v="Change Control 484"/>
    <s v="GOVERN"/>
    <s v="GV.RM"/>
    <x v="2"/>
    <x v="1"/>
    <s v="Canada"/>
    <x v="2"/>
    <s v="Noah Williams"/>
    <s v="Quarterly"/>
    <d v="2026-07-01T00:00:00"/>
    <d v="2026-12-28T00:00:00"/>
    <x v="2"/>
    <s v="Complete"/>
    <n v="2"/>
    <s v="Jordan Lee"/>
    <d v="2026-04-17T00:00:00"/>
    <s v="Overdue"/>
    <x v="1"/>
    <x v="1"/>
    <x v="2"/>
    <s v="Standard"/>
  </r>
  <r>
    <s v="CTRL-0485"/>
    <s v="Access Control 485"/>
    <s v="RESPOND"/>
    <s v="RS.MA"/>
    <x v="2"/>
    <x v="0"/>
    <s v="Singapore"/>
    <x v="1"/>
    <s v="Jordan Lee"/>
    <s v="Quarterly"/>
    <d v="2026-08-01T00:00:00"/>
    <d v="2027-01-28T00:00:00"/>
    <x v="3"/>
    <s v="Complete"/>
    <n v="0"/>
    <s v="Maya Patel"/>
    <d v="2026-12-06T00:00:00"/>
    <s v="Not Required"/>
    <x v="1"/>
    <x v="1"/>
    <x v="2"/>
    <s v="Standard"/>
  </r>
  <r>
    <s v="CTRL-0486"/>
    <s v="Data Control 486"/>
    <s v="IDENTIFY"/>
    <s v="ID.AM"/>
    <x v="4"/>
    <x v="1"/>
    <s v="United States"/>
    <x v="1"/>
    <s v="Taylor Morgan"/>
    <s v="Quarterly"/>
    <d v="2026-08-19T00:00:00"/>
    <d v="2026-11-17T00:00:00"/>
    <x v="1"/>
    <s v="Complete"/>
    <n v="0"/>
    <s v="Jordan Lee"/>
    <d v="2026-06-05T00:00:00"/>
    <s v="Not Required"/>
    <x v="1"/>
    <x v="1"/>
    <x v="2"/>
    <s v="Standard"/>
  </r>
  <r>
    <s v="CTRL-0487"/>
    <s v="Data Control 487"/>
    <s v="IDENTIFY"/>
    <s v="ID.AM"/>
    <x v="0"/>
    <x v="0"/>
    <s v="Singapore"/>
    <x v="1"/>
    <s v="Taylor Morgan"/>
    <s v="Annual"/>
    <d v="2025-11-18T00:00:00"/>
    <d v="2026-05-17T00:00:00"/>
    <x v="0"/>
    <s v="Pending"/>
    <n v="1"/>
    <s v="Maya Patel"/>
    <d v="2026-12-15T00:00:00"/>
    <s v="In Progress"/>
    <x v="0"/>
    <x v="1"/>
    <x v="3"/>
    <s v="Standard"/>
  </r>
  <r>
    <s v="CTRL-0488"/>
    <s v="Data Control 488"/>
    <s v="IDENTIFY"/>
    <s v="ID.AM"/>
    <x v="3"/>
    <x v="1"/>
    <s v="United States"/>
    <x v="1"/>
    <s v="Sam Rivera"/>
    <s v="Annual"/>
    <d v="2026-04-19T00:00:00"/>
    <d v="2026-07-18T00:00:00"/>
    <x v="0"/>
    <s v="Missing"/>
    <n v="0"/>
    <s v="Liam Brown"/>
    <d v="2026-05-23T00:00:00"/>
    <s v="Not Required"/>
    <x v="0"/>
    <x v="1"/>
    <x v="1"/>
    <s v="Standard"/>
  </r>
  <r>
    <s v="CTRL-0489"/>
    <s v="Access Control 489"/>
    <s v="DETECT"/>
    <s v="DE.CM"/>
    <x v="4"/>
    <x v="2"/>
    <s v="United Kingdom"/>
    <x v="2"/>
    <s v="Maya Patel"/>
    <s v="Semiannual"/>
    <d v="2026-06-10T00:00:00"/>
    <d v="2026-12-07T00:00:00"/>
    <x v="2"/>
    <s v="Complete"/>
    <n v="1"/>
    <s v="Maya Patel"/>
    <d v="2026-10-28T00:00:00"/>
    <s v="Completed"/>
    <x v="1"/>
    <x v="1"/>
    <x v="2"/>
    <s v="Standard"/>
  </r>
  <r>
    <s v="CTRL-0490"/>
    <s v="Data Control 490"/>
    <s v="RECOVER"/>
    <s v="RC.RP"/>
    <x v="4"/>
    <x v="0"/>
    <s v="Singapore"/>
    <x v="0"/>
    <s v="Taylor Morgan"/>
    <s v="Annual"/>
    <d v="2025-11-29T00:00:00"/>
    <d v="2026-11-29T00:00:00"/>
    <x v="1"/>
    <s v="Pending"/>
    <n v="3"/>
    <s v="Taylor Morgan"/>
    <d v="2026-06-01T00:00:00"/>
    <s v="Overdue"/>
    <x v="1"/>
    <x v="1"/>
    <x v="3"/>
    <s v="Elevated"/>
  </r>
  <r>
    <s v="CTRL-0491"/>
    <s v="Change Control 491"/>
    <s v="DETECT"/>
    <s v="DE.CM"/>
    <x v="1"/>
    <x v="0"/>
    <s v="Singapore"/>
    <x v="2"/>
    <s v="Taylor Morgan"/>
    <s v="Quarterly"/>
    <d v="2025-06-30T00:00:00"/>
    <d v="2025-12-27T00:00:00"/>
    <x v="0"/>
    <s v="Complete"/>
    <n v="0"/>
    <s v="Liam Brown"/>
    <d v="2026-12-02T00:00:00"/>
    <s v="Not Required"/>
    <x v="0"/>
    <x v="1"/>
    <x v="2"/>
    <s v="Standard"/>
  </r>
  <r>
    <s v="CTRL-0492"/>
    <s v="Reconciliation Control 492"/>
    <s v="GOVERN"/>
    <s v="GV.RM"/>
    <x v="4"/>
    <x v="0"/>
    <s v="Singapore"/>
    <x v="2"/>
    <s v="Maya Patel"/>
    <s v="Quarterly"/>
    <d v="2026-07-11T00:00:00"/>
    <d v="2026-10-09T00:00:00"/>
    <x v="1"/>
    <s v="Missing"/>
    <n v="0"/>
    <s v="Noah Williams"/>
    <d v="2026-06-28T00:00:00"/>
    <s v="Not Required"/>
    <x v="1"/>
    <x v="1"/>
    <x v="1"/>
    <s v="Standard"/>
  </r>
  <r>
    <s v="CTRL-0493"/>
    <s v="Vendor Control 493"/>
    <s v="RESPOND"/>
    <s v="RS.MA"/>
    <x v="0"/>
    <x v="1"/>
    <s v="Canada"/>
    <x v="1"/>
    <s v="Emma Schmidt"/>
    <s v="Annual"/>
    <d v="2025-09-04T00:00:00"/>
    <d v="2026-03-03T00:00:00"/>
    <x v="0"/>
    <s v="Pending"/>
    <n v="2"/>
    <s v="Taylor Morgan"/>
    <d v="2026-10-24T00:00:00"/>
    <s v="In Progress"/>
    <x v="0"/>
    <x v="1"/>
    <x v="3"/>
    <s v="Standard"/>
  </r>
  <r>
    <s v="CTRL-0494"/>
    <s v="Policy Control 494"/>
    <s v="GOVERN"/>
    <s v="GV.OC"/>
    <x v="0"/>
    <x v="1"/>
    <s v="Canada"/>
    <x v="1"/>
    <s v="Liam Brown"/>
    <s v="Quarterly"/>
    <d v="2025-12-30T00:00:00"/>
    <d v="2026-03-30T00:00:00"/>
    <x v="0"/>
    <s v="Missing"/>
    <n v="1"/>
    <s v="Liam Brown"/>
    <d v="2026-04-18T00:00:00"/>
    <s v="Completed"/>
    <x v="0"/>
    <x v="1"/>
    <x v="1"/>
    <s v="Standard"/>
  </r>
  <r>
    <s v="CTRL-0495"/>
    <s v="Vendor Control 495"/>
    <s v="RECOVER"/>
    <s v="RC.RP"/>
    <x v="1"/>
    <x v="0"/>
    <s v="Singapore"/>
    <x v="2"/>
    <s v="Noah Williams"/>
    <s v="Annual"/>
    <d v="2026-06-24T00:00:00"/>
    <d v="2026-12-21T00:00:00"/>
    <x v="3"/>
    <s v="Complete"/>
    <n v="3"/>
    <s v="Taylor Morgan"/>
    <d v="2026-11-27T00:00:00"/>
    <s v="Completed"/>
    <x v="1"/>
    <x v="1"/>
    <x v="2"/>
    <s v="Standard"/>
  </r>
  <r>
    <s v="CTRL-0496"/>
    <s v="Vendor Control 496"/>
    <s v="RECOVER"/>
    <s v="RC.RP"/>
    <x v="3"/>
    <x v="0"/>
    <s v="Singapore"/>
    <x v="2"/>
    <s v="Alex Chen"/>
    <s v="Quarterly"/>
    <d v="2026-02-02T00:00:00"/>
    <d v="2026-05-03T00:00:00"/>
    <x v="0"/>
    <s v="Pending"/>
    <n v="3"/>
    <s v="Alex Chen"/>
    <d v="2026-09-11T00:00:00"/>
    <s v="Overdue"/>
    <x v="0"/>
    <x v="1"/>
    <x v="3"/>
    <s v="Standard"/>
  </r>
  <r>
    <s v="CTRL-0497"/>
    <s v="Vendor Control 497"/>
    <s v="RECOVER"/>
    <s v="RC.RP"/>
    <x v="5"/>
    <x v="1"/>
    <s v="Canada"/>
    <x v="1"/>
    <s v="Emma Schmidt"/>
    <s v="Annual"/>
    <d v="2026-07-04T00:00:00"/>
    <d v="2026-12-31T00:00:00"/>
    <x v="2"/>
    <s v="Complete"/>
    <n v="3"/>
    <s v="Jordan Lee"/>
    <d v="2027-01-11T00:00:00"/>
    <s v="In Progress"/>
    <x v="1"/>
    <x v="1"/>
    <x v="2"/>
    <s v="Standard"/>
  </r>
  <r>
    <s v="CTRL-0498"/>
    <s v="Change Control 498"/>
    <s v="GOVERN"/>
    <s v="GV.OC"/>
    <x v="4"/>
    <x v="0"/>
    <s v="Singapore"/>
    <x v="1"/>
    <s v="Emma Schmidt"/>
    <s v="Semiannual"/>
    <d v="2025-10-30T00:00:00"/>
    <d v="2026-10-30T00:00:00"/>
    <x v="1"/>
    <s v="Pending"/>
    <n v="2"/>
    <s v="Noah Williams"/>
    <d v="2026-05-04T00:00:00"/>
    <s v="Completed"/>
    <x v="1"/>
    <x v="1"/>
    <x v="3"/>
    <s v="Standard"/>
  </r>
  <r>
    <s v="CTRL-0499"/>
    <s v="Change Control 499"/>
    <s v="IDENTIFY"/>
    <s v="ID.AM"/>
    <x v="5"/>
    <x v="0"/>
    <s v="Singapore"/>
    <x v="2"/>
    <s v="Maya Patel"/>
    <s v="Quarterly"/>
    <d v="2026-02-03T00:00:00"/>
    <d v="2026-08-02T00:00:00"/>
    <x v="0"/>
    <m/>
    <n v="2"/>
    <s v="Taylor Morgan"/>
    <d v="2026-10-30T00:00:00"/>
    <s v="In Progress"/>
    <x v="0"/>
    <x v="1"/>
    <x v="0"/>
    <s v="Standard"/>
  </r>
  <r>
    <s v="CTRL-0500"/>
    <s v="Data Control 500"/>
    <s v="RESPOND"/>
    <s v="RS.MA"/>
    <x v="5"/>
    <x v="0"/>
    <s v="Singapore"/>
    <x v="1"/>
    <s v="Taylor Morgan"/>
    <s v="Annual"/>
    <d v="2026-07-14T00:00:00"/>
    <d v="2027-01-10T00:00:00"/>
    <x v="1"/>
    <s v="Missing"/>
    <n v="2"/>
    <s v="Emma Schmidt"/>
    <d v="2026-04-22T00:00:00"/>
    <s v="Overdue"/>
    <x v="1"/>
    <x v="1"/>
    <x v="1"/>
    <s v="Standard"/>
  </r>
  <r>
    <s v="CTRL-0501"/>
    <s v="Access Control 501"/>
    <s v="RECOVER"/>
    <s v="RC.RP"/>
    <x v="5"/>
    <x v="2"/>
    <s v="United Kingdom"/>
    <x v="2"/>
    <s v="Alex Chen"/>
    <s v="Annual"/>
    <d v="2026-04-01T00:00:00"/>
    <d v="2026-09-28T00:00:00"/>
    <x v="0"/>
    <s v="Missing"/>
    <n v="3"/>
    <s v="Sam Rivera"/>
    <d v="2026-09-15T00:00:00"/>
    <s v="Overdue"/>
    <x v="0"/>
    <x v="1"/>
    <x v="1"/>
    <s v="Standard"/>
  </r>
  <r>
    <s v="CTRL-0502"/>
    <s v="Policy Control 502"/>
    <s v="GOVERN"/>
    <s v="GV.RM"/>
    <x v="3"/>
    <x v="2"/>
    <s v="Germany"/>
    <x v="0"/>
    <s v="Noah Williams"/>
    <s v="Annual"/>
    <d v="2026-06-17T00:00:00"/>
    <d v="2027-06-17T00:00:00"/>
    <x v="1"/>
    <s v="Pending"/>
    <n v="1"/>
    <s v="Sam Rivera"/>
    <d v="2026-12-13T00:00:00"/>
    <s v="In Progress"/>
    <x v="1"/>
    <x v="1"/>
    <x v="3"/>
    <s v="Elevated"/>
  </r>
  <r>
    <s v="CTRL-0503"/>
    <s v="Data Control 503"/>
    <s v="GOVERN"/>
    <s v="GV.RM"/>
    <x v="0"/>
    <x v="2"/>
    <s v="Germany"/>
    <x v="1"/>
    <s v="Emma Schmidt"/>
    <s v="Semiannual"/>
    <d v="2025-07-26T00:00:00"/>
    <d v="2025-10-24T00:00:00"/>
    <x v="0"/>
    <s v="Missing"/>
    <n v="0"/>
    <s v="Taylor Morgan"/>
    <d v="2027-01-24T00:00:00"/>
    <s v="Not Required"/>
    <x v="0"/>
    <x v="1"/>
    <x v="1"/>
    <s v="Standard"/>
  </r>
  <r>
    <s v="CTRL-0504"/>
    <s v="Change Control 504"/>
    <s v="DETECT"/>
    <s v="DE.CM"/>
    <x v="4"/>
    <x v="1"/>
    <s v="Canada"/>
    <x v="1"/>
    <s v="Maya Patel"/>
    <s v="Semiannual"/>
    <d v="2025-10-12T00:00:00"/>
    <d v="2026-04-10T00:00:00"/>
    <x v="0"/>
    <s v="Missing"/>
    <n v="2"/>
    <s v="Emma Schmidt"/>
    <d v="2026-11-10T00:00:00"/>
    <s v="In Progress"/>
    <x v="0"/>
    <x v="1"/>
    <x v="1"/>
    <s v="Standard"/>
  </r>
  <r>
    <s v="CTRL-0505"/>
    <s v="Change Control 505"/>
    <s v="RECOVER"/>
    <s v="RC.RP"/>
    <x v="5"/>
    <x v="2"/>
    <s v="Germany"/>
    <x v="0"/>
    <s v="Jordan Lee"/>
    <s v="Annual"/>
    <d v="2025-06-16T00:00:00"/>
    <d v="2025-09-14T00:00:00"/>
    <x v="0"/>
    <s v="Missing"/>
    <n v="5"/>
    <s v="Liam Brown"/>
    <d v="2026-12-23T00:00:00"/>
    <s v="In Progress"/>
    <x v="0"/>
    <x v="1"/>
    <x v="1"/>
    <s v="Elevated"/>
  </r>
  <r>
    <s v="CTRL-0506"/>
    <s v="Policy Control 506"/>
    <s v="PROTECT"/>
    <s v="PR.AA"/>
    <x v="3"/>
    <x v="2"/>
    <s v="Germany"/>
    <x v="0"/>
    <s v="Alex Chen"/>
    <s v="Semiannual"/>
    <d v="2025-12-17T00:00:00"/>
    <d v="2026-03-17T00:00:00"/>
    <x v="0"/>
    <s v="Pending"/>
    <n v="3"/>
    <s v="Emma Schmidt"/>
    <d v="2026-06-17T00:00:00"/>
    <s v="Completed"/>
    <x v="0"/>
    <x v="1"/>
    <x v="3"/>
    <s v="Elevated"/>
  </r>
  <r>
    <s v="CTRL-0507"/>
    <s v="Change Control 507"/>
    <s v="GOVERN"/>
    <s v="GV.RR"/>
    <x v="5"/>
    <x v="2"/>
    <s v="United Kingdom"/>
    <x v="1"/>
    <s v="Emma Schmidt"/>
    <s v="Quarterly"/>
    <d v="2026-04-27T00:00:00"/>
    <d v="2026-10-24T00:00:00"/>
    <x v="2"/>
    <s v="Missing"/>
    <n v="1"/>
    <s v="Sam Rivera"/>
    <d v="2026-10-27T00:00:00"/>
    <s v="Completed"/>
    <x v="1"/>
    <x v="1"/>
    <x v="1"/>
    <s v="Standard"/>
  </r>
  <r>
    <s v="CTRL-0508"/>
    <s v="Incident Control 508"/>
    <s v="PROTECT"/>
    <s v="PR.AA"/>
    <x v="4"/>
    <x v="2"/>
    <s v="Germany"/>
    <x v="2"/>
    <s v="Emma Schmidt"/>
    <s v="Annual"/>
    <d v="2026-02-06T00:00:00"/>
    <d v="2027-02-06T00:00:00"/>
    <x v="3"/>
    <s v="Complete"/>
    <n v="2"/>
    <s v="Jordan Lee"/>
    <d v="2026-06-11T00:00:00"/>
    <s v="Completed"/>
    <x v="1"/>
    <x v="1"/>
    <x v="2"/>
    <s v="Standard"/>
  </r>
  <r>
    <s v="CTRL-0509"/>
    <s v="Incident Control 509"/>
    <s v="DETECT"/>
    <s v="DE.CM"/>
    <x v="5"/>
    <x v="0"/>
    <s v="Singapore"/>
    <x v="2"/>
    <s v="Alex Chen"/>
    <s v="Annual"/>
    <d v="2026-08-13T00:00:00"/>
    <d v="2026-11-11T00:00:00"/>
    <x v="1"/>
    <s v="Pending"/>
    <n v="0"/>
    <s v="Maya Patel"/>
    <d v="2026-10-28T00:00:00"/>
    <s v="Not Required"/>
    <x v="1"/>
    <x v="1"/>
    <x v="3"/>
    <s v="Standard"/>
  </r>
  <r>
    <s v="CTRL-0510"/>
    <s v="Policy Control 510"/>
    <s v="GOVERN"/>
    <s v="GV.RM"/>
    <x v="1"/>
    <x v="2"/>
    <s v="United Kingdom"/>
    <x v="1"/>
    <s v="Maya Patel"/>
    <s v="Semiannual"/>
    <d v="2025-12-17T00:00:00"/>
    <d v="2026-12-17T00:00:00"/>
    <x v="2"/>
    <s v="Pending"/>
    <n v="0"/>
    <s v="Noah Williams"/>
    <d v="2026-08-02T00:00:00"/>
    <s v="Not Required"/>
    <x v="1"/>
    <x v="1"/>
    <x v="3"/>
    <s v="Standard"/>
  </r>
  <r>
    <s v="CTRL-0511"/>
    <s v="Vendor Control 511"/>
    <s v="RECOVER"/>
    <s v="RC.RP"/>
    <x v="5"/>
    <x v="0"/>
    <s v="Singapore"/>
    <x v="0"/>
    <s v="Emma Schmidt"/>
    <s v="Semiannual"/>
    <d v="2026-05-22T00:00:00"/>
    <d v="2026-08-20T00:00:00"/>
    <x v="0"/>
    <s v="Complete"/>
    <n v="1"/>
    <s v="Alex Chen"/>
    <d v="2026-07-21T00:00:00"/>
    <s v="Overdue"/>
    <x v="0"/>
    <x v="1"/>
    <x v="2"/>
    <s v="Elevated"/>
  </r>
  <r>
    <s v="CTRL-0512"/>
    <s v="Reconciliation Control 512"/>
    <s v="GOVERN"/>
    <s v="GV.RR"/>
    <x v="5"/>
    <x v="2"/>
    <s v="Germany"/>
    <x v="3"/>
    <s v="Noah Williams"/>
    <s v="Semiannual"/>
    <d v="2025-12-05T00:00:00"/>
    <d v="2026-06-03T00:00:00"/>
    <x v="0"/>
    <s v="Pending"/>
    <n v="5"/>
    <s v="Noah Williams"/>
    <d v="2026-08-07T00:00:00"/>
    <s v="Overdue"/>
    <x v="0"/>
    <x v="1"/>
    <x v="3"/>
    <s v="Elevated"/>
  </r>
  <r>
    <s v="CTRL-0513"/>
    <s v="Data Control 513"/>
    <s v="PROTECT"/>
    <s v="PR.AA"/>
    <x v="5"/>
    <x v="2"/>
    <s v="United Kingdom"/>
    <x v="3"/>
    <s v="Alex Chen"/>
    <s v="Semiannual"/>
    <d v="2025-07-07T00:00:00"/>
    <d v="2026-07-07T00:00:00"/>
    <x v="0"/>
    <s v="Missing"/>
    <n v="0"/>
    <s v="Taylor Morgan"/>
    <d v="2026-08-03T00:00:00"/>
    <s v="Not Required"/>
    <x v="0"/>
    <x v="1"/>
    <x v="1"/>
    <s v="Elevated"/>
  </r>
  <r>
    <s v="CTRL-0514"/>
    <s v="Reconciliation Control 514"/>
    <s v="PROTECT"/>
    <s v="PR.AA"/>
    <x v="5"/>
    <x v="0"/>
    <s v="Singapore"/>
    <x v="1"/>
    <s v="Sam Rivera"/>
    <s v="Quarterly"/>
    <d v="2025-06-28T00:00:00"/>
    <d v="2025-12-25T00:00:00"/>
    <x v="0"/>
    <s v="Pending"/>
    <n v="0"/>
    <s v="Sam Rivera"/>
    <d v="2026-10-21T00:00:00"/>
    <s v="Not Required"/>
    <x v="0"/>
    <x v="1"/>
    <x v="3"/>
    <s v="Standard"/>
  </r>
  <r>
    <s v="CTRL-0515"/>
    <s v="Policy Control 515"/>
    <s v="GOVERN"/>
    <s v="GV.RM"/>
    <x v="1"/>
    <x v="2"/>
    <s v="United Kingdom"/>
    <x v="0"/>
    <s v="Noah Williams"/>
    <s v="Semiannual"/>
    <d v="2025-06-17T00:00:00"/>
    <d v="2026-06-17T00:00:00"/>
    <x v="0"/>
    <s v="Pending"/>
    <n v="0"/>
    <s v="Liam Brown"/>
    <d v="2026-08-21T00:00:00"/>
    <s v="Not Required"/>
    <x v="0"/>
    <x v="1"/>
    <x v="3"/>
    <s v="Elevated"/>
  </r>
  <r>
    <s v="CTRL-0516"/>
    <s v="Data Control 516"/>
    <s v="RESPOND"/>
    <s v="RS.MA"/>
    <x v="2"/>
    <x v="0"/>
    <s v="Singapore"/>
    <x v="0"/>
    <s v="Maya Patel"/>
    <s v="Annual"/>
    <d v="2025-07-15T00:00:00"/>
    <d v="2025-10-13T00:00:00"/>
    <x v="0"/>
    <s v="Missing"/>
    <n v="2"/>
    <s v="Noah Williams"/>
    <d v="2026-12-18T00:00:00"/>
    <s v="Completed"/>
    <x v="0"/>
    <x v="1"/>
    <x v="1"/>
    <s v="Elevated"/>
  </r>
  <r>
    <s v="CTRL-0517"/>
    <s v="Reconciliation Control 517"/>
    <s v="PROTECT"/>
    <s v="PR.AA"/>
    <x v="0"/>
    <x v="2"/>
    <s v="United Kingdom"/>
    <x v="2"/>
    <s v="Jordan Lee"/>
    <s v="Annual"/>
    <d v="2025-10-23T00:00:00"/>
    <d v="2026-04-21T00:00:00"/>
    <x v="0"/>
    <s v="Missing"/>
    <n v="1"/>
    <s v="Maya Patel"/>
    <d v="2026-04-04T00:00:00"/>
    <s v="Overdue"/>
    <x v="0"/>
    <x v="1"/>
    <x v="1"/>
    <s v="Standard"/>
  </r>
  <r>
    <s v="CTRL-0518"/>
    <s v="Reconciliation Control 518"/>
    <s v="GOVERN"/>
    <s v="GV.RR"/>
    <x v="1"/>
    <x v="1"/>
    <s v="United States"/>
    <x v="2"/>
    <m/>
    <s v="Quarterly"/>
    <d v="2025-08-13T00:00:00"/>
    <d v="2026-08-13T00:00:00"/>
    <x v="0"/>
    <s v="Complete"/>
    <n v="3"/>
    <s v="Noah Williams"/>
    <d v="2026-09-13T00:00:00"/>
    <s v="Overdue"/>
    <x v="0"/>
    <x v="0"/>
    <x v="2"/>
    <s v="Standard"/>
  </r>
  <r>
    <s v="CTRL-0519"/>
    <s v="Access Control 519"/>
    <s v="IDENTIFY"/>
    <s v="ID.AM"/>
    <x v="0"/>
    <x v="2"/>
    <s v="United Kingdom"/>
    <x v="2"/>
    <s v="Jordan Lee"/>
    <s v="Semiannual"/>
    <d v="2026-02-21T00:00:00"/>
    <d v="2026-08-20T00:00:00"/>
    <x v="0"/>
    <s v="Missing"/>
    <n v="1"/>
    <s v="Sam Rivera"/>
    <d v="2026-04-13T00:00:00"/>
    <s v="Overdue"/>
    <x v="0"/>
    <x v="1"/>
    <x v="1"/>
    <s v="Standard"/>
  </r>
  <r>
    <s v="CTRL-0520"/>
    <s v="Data Control 520"/>
    <s v="GOVERN"/>
    <s v="GV.RR"/>
    <x v="0"/>
    <x v="2"/>
    <s v="United Kingdom"/>
    <x v="2"/>
    <s v="Emma Schmidt"/>
    <s v="Quarterly"/>
    <d v="2025-11-07T00:00:00"/>
    <d v="2026-05-06T00:00:00"/>
    <x v="0"/>
    <s v="Complete"/>
    <n v="0"/>
    <s v="Alex Chen"/>
    <d v="2026-10-08T00:00:00"/>
    <s v="Not Required"/>
    <x v="0"/>
    <x v="1"/>
    <x v="2"/>
    <s v="Standard"/>
  </r>
  <r>
    <s v="CTRL-0521"/>
    <s v="Policy Control 521"/>
    <s v="RESPOND"/>
    <s v="RS.MA"/>
    <x v="4"/>
    <x v="0"/>
    <s v="Singapore"/>
    <x v="0"/>
    <s v="Liam Brown"/>
    <s v="Quarterly"/>
    <d v="2026-07-12T00:00:00"/>
    <d v="2026-10-10T00:00:00"/>
    <x v="3"/>
    <s v="Pending"/>
    <n v="2"/>
    <s v="Sam Rivera"/>
    <d v="2026-12-12T00:00:00"/>
    <s v="In Progress"/>
    <x v="1"/>
    <x v="1"/>
    <x v="3"/>
    <s v="Elevated"/>
  </r>
  <r>
    <s v="CTRL-0522"/>
    <s v="Access Control 522"/>
    <s v="RECOVER"/>
    <s v="RC.RP"/>
    <x v="4"/>
    <x v="2"/>
    <s v="United Kingdom"/>
    <x v="1"/>
    <s v="Jordan Lee"/>
    <s v="Quarterly"/>
    <d v="2026-08-27T00:00:00"/>
    <d v="2027-02-23T00:00:00"/>
    <x v="3"/>
    <s v="Missing"/>
    <n v="3"/>
    <s v="Liam Brown"/>
    <d v="2026-08-08T00:00:00"/>
    <s v="Overdue"/>
    <x v="1"/>
    <x v="1"/>
    <x v="1"/>
    <s v="Standard"/>
  </r>
  <r>
    <s v="CTRL-0523"/>
    <s v="Access Control 523"/>
    <s v="GOVERN"/>
    <s v="GV.OC"/>
    <x v="5"/>
    <x v="1"/>
    <s v="Canada"/>
    <x v="2"/>
    <s v="Sam Rivera"/>
    <s v="Semiannual"/>
    <d v="2025-09-10T00:00:00"/>
    <d v="2026-03-09T00:00:00"/>
    <x v="0"/>
    <s v="Missing"/>
    <n v="3"/>
    <s v="Sam Rivera"/>
    <d v="2026-08-12T00:00:00"/>
    <s v="Completed"/>
    <x v="0"/>
    <x v="1"/>
    <x v="1"/>
    <s v="Standard"/>
  </r>
  <r>
    <s v="CTRL-0524"/>
    <s v="Data Control 524"/>
    <s v="GOVERN"/>
    <s v="GV.RR"/>
    <x v="3"/>
    <x v="2"/>
    <s v="Germany"/>
    <x v="3"/>
    <s v="Alex Chen"/>
    <s v="Quarterly"/>
    <d v="2026-09-08T00:00:00"/>
    <d v="2027-03-07T00:00:00"/>
    <x v="1"/>
    <s v="Pending"/>
    <n v="2"/>
    <s v="Jordan Lee"/>
    <d v="2026-10-22T00:00:00"/>
    <s v="In Progress"/>
    <x v="1"/>
    <x v="1"/>
    <x v="3"/>
    <s v="Elevated"/>
  </r>
  <r>
    <s v="CTRL-0525"/>
    <s v="Change Control 525"/>
    <s v="RESPOND"/>
    <s v="RS.MA"/>
    <x v="3"/>
    <x v="2"/>
    <s v="United Kingdom"/>
    <x v="2"/>
    <s v="Noah Williams"/>
    <s v="Semiannual"/>
    <d v="2025-06-18T00:00:00"/>
    <d v="2025-12-15T00:00:00"/>
    <x v="0"/>
    <s v="Complete"/>
    <n v="0"/>
    <s v="Maya Patel"/>
    <d v="2026-09-12T00:00:00"/>
    <s v="Not Required"/>
    <x v="0"/>
    <x v="1"/>
    <x v="2"/>
    <s v="Standard"/>
  </r>
  <r>
    <s v="CTRL-0526"/>
    <s v="Data Control 526"/>
    <s v="PROTECT"/>
    <s v="PR.AA"/>
    <x v="1"/>
    <x v="2"/>
    <s v="United Kingdom"/>
    <x v="2"/>
    <s v="Taylor Morgan"/>
    <s v="Semiannual"/>
    <d v="2025-08-24T00:00:00"/>
    <d v="2026-02-20T00:00:00"/>
    <x v="0"/>
    <s v="Pending"/>
    <n v="2"/>
    <s v="Emma Schmidt"/>
    <d v="2026-08-15T00:00:00"/>
    <s v="Overdue"/>
    <x v="0"/>
    <x v="1"/>
    <x v="3"/>
    <s v="Standard"/>
  </r>
  <r>
    <s v="CTRL-0527"/>
    <s v="Access Control 527"/>
    <s v="GOVERN"/>
    <s v="GV.RR"/>
    <x v="5"/>
    <x v="1"/>
    <s v="Canada"/>
    <x v="3"/>
    <s v="Jordan Lee"/>
    <s v="Semiannual"/>
    <d v="2025-11-30T00:00:00"/>
    <d v="2026-11-30T00:00:00"/>
    <x v="2"/>
    <s v="Complete"/>
    <n v="1"/>
    <s v="Taylor Morgan"/>
    <d v="2026-06-18T00:00:00"/>
    <s v="Completed"/>
    <x v="1"/>
    <x v="1"/>
    <x v="2"/>
    <s v="Elevated"/>
  </r>
  <r>
    <s v="CTRL-0528"/>
    <s v="Access Control 528"/>
    <s v="GOVERN"/>
    <s v="GV.RR"/>
    <x v="4"/>
    <x v="1"/>
    <s v="Canada"/>
    <x v="1"/>
    <s v="Liam Brown"/>
    <s v="Semiannual"/>
    <d v="2026-08-21T00:00:00"/>
    <d v="2027-02-17T00:00:00"/>
    <x v="1"/>
    <s v="Missing"/>
    <n v="3"/>
    <s v="Maya Patel"/>
    <d v="2026-11-23T00:00:00"/>
    <s v="In Progress"/>
    <x v="1"/>
    <x v="1"/>
    <x v="1"/>
    <s v="Standard"/>
  </r>
  <r>
    <s v="CTRL-0529"/>
    <s v="Change Control 529"/>
    <s v="GOVERN"/>
    <s v="GV.RM"/>
    <x v="1"/>
    <x v="1"/>
    <s v="Canada"/>
    <x v="0"/>
    <s v="Taylor Morgan"/>
    <s v="Semiannual"/>
    <d v="2025-11-26T00:00:00"/>
    <d v="2026-11-26T00:00:00"/>
    <x v="3"/>
    <s v="Missing"/>
    <n v="4"/>
    <s v="Maya Patel"/>
    <d v="2026-07-04T00:00:00"/>
    <s v="Overdue"/>
    <x v="1"/>
    <x v="1"/>
    <x v="1"/>
    <s v="Elevated"/>
  </r>
  <r>
    <s v="CTRL-0530"/>
    <s v="Access Control 530"/>
    <s v="GOVERN"/>
    <s v="GV.RR"/>
    <x v="2"/>
    <x v="2"/>
    <s v="United Kingdom"/>
    <x v="2"/>
    <s v="Maya Patel"/>
    <s v="Quarterly"/>
    <d v="2026-02-21T00:00:00"/>
    <d v="2026-08-20T00:00:00"/>
    <x v="0"/>
    <s v="Missing"/>
    <n v="0"/>
    <s v="Liam Brown"/>
    <d v="2026-09-15T00:00:00"/>
    <s v="Not Required"/>
    <x v="0"/>
    <x v="1"/>
    <x v="1"/>
    <s v="Standard"/>
  </r>
  <r>
    <s v="CTRL-0531"/>
    <s v="Change Control 531"/>
    <s v="GOVERN"/>
    <s v="GV.RR"/>
    <x v="4"/>
    <x v="0"/>
    <s v="Singapore"/>
    <x v="2"/>
    <s v="Taylor Morgan"/>
    <s v="Quarterly"/>
    <d v="2025-11-10T00:00:00"/>
    <d v="2026-11-10T00:00:00"/>
    <x v="1"/>
    <s v="Complete"/>
    <n v="3"/>
    <s v="Taylor Morgan"/>
    <d v="2026-09-16T00:00:00"/>
    <s v="Overdue"/>
    <x v="1"/>
    <x v="1"/>
    <x v="2"/>
    <s v="Standard"/>
  </r>
  <r>
    <s v="CTRL-0532"/>
    <s v="Change Control 532"/>
    <s v="IDENTIFY"/>
    <s v="ID.AM"/>
    <x v="5"/>
    <x v="2"/>
    <s v="United Kingdom"/>
    <x v="1"/>
    <s v="Emma Schmidt"/>
    <s v="Semiannual"/>
    <d v="2026-07-25T00:00:00"/>
    <d v="2027-01-21T00:00:00"/>
    <x v="1"/>
    <s v="Complete"/>
    <n v="3"/>
    <s v="Emma Schmidt"/>
    <d v="2026-05-18T00:00:00"/>
    <s v="Completed"/>
    <x v="1"/>
    <x v="1"/>
    <x v="2"/>
    <s v="Standard"/>
  </r>
  <r>
    <s v="CTRL-0533"/>
    <s v="Data Control 533"/>
    <s v="DETECT"/>
    <s v="DE.CM"/>
    <x v="0"/>
    <x v="2"/>
    <s v="United Kingdom"/>
    <x v="1"/>
    <s v="Emma Schmidt"/>
    <s v="Quarterly"/>
    <d v="2025-08-30T00:00:00"/>
    <d v="2026-02-26T00:00:00"/>
    <x v="0"/>
    <s v="Missing"/>
    <n v="1"/>
    <s v="Liam Brown"/>
    <d v="2026-10-03T00:00:00"/>
    <s v="In Progress"/>
    <x v="0"/>
    <x v="1"/>
    <x v="1"/>
    <s v="Standard"/>
  </r>
  <r>
    <s v="CTRL-0534"/>
    <s v="Vendor Control 534"/>
    <s v="DETECT"/>
    <s v="DE.CM"/>
    <x v="4"/>
    <x v="2"/>
    <s v="Germany"/>
    <x v="1"/>
    <s v="Emma Schmidt"/>
    <s v="Annual"/>
    <d v="2026-07-26T00:00:00"/>
    <d v="2027-01-22T00:00:00"/>
    <x v="3"/>
    <s v="Pending"/>
    <n v="3"/>
    <s v="Sam Rivera"/>
    <d v="2026-05-20T00:00:00"/>
    <s v="Completed"/>
    <x v="1"/>
    <x v="1"/>
    <x v="3"/>
    <s v="Standard"/>
  </r>
  <r>
    <s v="CTRL-0535"/>
    <s v="Policy Control 535"/>
    <s v="PROTECT"/>
    <s v="PR.AA"/>
    <x v="4"/>
    <x v="0"/>
    <s v="Singapore"/>
    <x v="2"/>
    <s v="Maya Patel"/>
    <s v="Quarterly"/>
    <d v="2026-04-15T00:00:00"/>
    <d v="2026-10-12T00:00:00"/>
    <x v="1"/>
    <s v="Pending"/>
    <n v="2"/>
    <s v="Emma Schmidt"/>
    <d v="2026-06-18T00:00:00"/>
    <s v="Overdue"/>
    <x v="1"/>
    <x v="1"/>
    <x v="3"/>
    <s v="Standard"/>
  </r>
  <r>
    <s v="CTRL-0536"/>
    <s v="Reconciliation Control 536"/>
    <s v="PROTECT"/>
    <s v="PR.AA"/>
    <x v="3"/>
    <x v="2"/>
    <s v="United Kingdom"/>
    <x v="1"/>
    <s v="Alex Chen"/>
    <s v="Semiannual"/>
    <d v="2025-12-22T00:00:00"/>
    <d v="2026-03-22T00:00:00"/>
    <x v="0"/>
    <s v="Missing"/>
    <n v="3"/>
    <s v="Maya Patel"/>
    <d v="2026-10-31T00:00:00"/>
    <s v="Completed"/>
    <x v="0"/>
    <x v="1"/>
    <x v="1"/>
    <s v="Standard"/>
  </r>
  <r>
    <s v="CTRL-0537"/>
    <s v="Incident Control 537"/>
    <s v="RESPOND"/>
    <s v="RS.MA"/>
    <x v="0"/>
    <x v="0"/>
    <s v="Singapore"/>
    <x v="0"/>
    <s v="Liam Brown"/>
    <s v="Semiannual"/>
    <d v="2026-06-11T00:00:00"/>
    <d v="2026-09-09T00:00:00"/>
    <x v="0"/>
    <s v="Pending"/>
    <n v="0"/>
    <s v="Noah Williams"/>
    <d v="2026-05-15T00:00:00"/>
    <s v="Not Required"/>
    <x v="0"/>
    <x v="1"/>
    <x v="3"/>
    <s v="Elevated"/>
  </r>
  <r>
    <s v="CTRL-0538"/>
    <s v="Policy Control 538"/>
    <s v="PROTECT"/>
    <s v="PR.AA"/>
    <x v="5"/>
    <x v="0"/>
    <s v="Singapore"/>
    <x v="2"/>
    <s v="Taylor Morgan"/>
    <s v="Annual"/>
    <d v="2026-03-20T00:00:00"/>
    <d v="2026-06-18T00:00:00"/>
    <x v="0"/>
    <s v="Complete"/>
    <n v="1"/>
    <s v="Maya Patel"/>
    <d v="2026-05-13T00:00:00"/>
    <s v="Overdue"/>
    <x v="0"/>
    <x v="1"/>
    <x v="2"/>
    <s v="Standard"/>
  </r>
  <r>
    <s v="CTRL-0539"/>
    <s v="Incident Control 539"/>
    <s v="DETECT"/>
    <s v="DE.CM"/>
    <x v="0"/>
    <x v="2"/>
    <s v="United Kingdom"/>
    <x v="2"/>
    <s v="Alex Chen"/>
    <s v="Annual"/>
    <d v="2026-06-15T00:00:00"/>
    <d v="2027-06-15T00:00:00"/>
    <x v="1"/>
    <s v="Missing"/>
    <n v="3"/>
    <s v="Emma Schmidt"/>
    <d v="2026-12-08T00:00:00"/>
    <s v="Completed"/>
    <x v="1"/>
    <x v="1"/>
    <x v="1"/>
    <s v="Standard"/>
  </r>
  <r>
    <s v="CTRL-0540"/>
    <s v="Vendor Control 540"/>
    <s v="IDENTIFY"/>
    <s v="ID.AM"/>
    <x v="1"/>
    <x v="2"/>
    <s v="United Kingdom"/>
    <x v="1"/>
    <s v="Sam Rivera"/>
    <s v="Annual"/>
    <d v="2026-07-15T00:00:00"/>
    <d v="2026-10-13T00:00:00"/>
    <x v="3"/>
    <s v="Complete"/>
    <n v="1"/>
    <s v="Sam Rivera"/>
    <d v="2026-12-05T00:00:00"/>
    <s v="In Progress"/>
    <x v="1"/>
    <x v="1"/>
    <x v="2"/>
    <s v="Standard"/>
  </r>
  <r>
    <s v="CTRL-0541"/>
    <s v="Data Control 541"/>
    <s v="RECOVER"/>
    <s v="RC.RP"/>
    <x v="4"/>
    <x v="1"/>
    <s v="Canada"/>
    <x v="1"/>
    <s v="Emma Schmidt"/>
    <s v="Quarterly"/>
    <d v="2026-08-30T00:00:00"/>
    <d v="2026-11-28T00:00:00"/>
    <x v="1"/>
    <s v="Complete"/>
    <n v="3"/>
    <s v="Sam Rivera"/>
    <d v="2026-12-07T00:00:00"/>
    <s v="In Progress"/>
    <x v="1"/>
    <x v="1"/>
    <x v="2"/>
    <s v="Standard"/>
  </r>
  <r>
    <s v="CTRL-0542"/>
    <s v="Access Control 542"/>
    <s v="PROTECT"/>
    <s v="PR.AA"/>
    <x v="0"/>
    <x v="2"/>
    <s v="Germany"/>
    <x v="2"/>
    <s v="Maya Patel"/>
    <s v="Semiannual"/>
    <d v="2025-10-23T00:00:00"/>
    <d v="2026-10-23T00:00:00"/>
    <x v="1"/>
    <s v="Pending"/>
    <n v="3"/>
    <s v="Emma Schmidt"/>
    <d v="2027-01-24T00:00:00"/>
    <s v="In Progress"/>
    <x v="1"/>
    <x v="1"/>
    <x v="3"/>
    <s v="Standard"/>
  </r>
  <r>
    <s v="CTRL-0543"/>
    <s v="Vendor Control 543"/>
    <s v="GOVERN"/>
    <s v="GV.RM"/>
    <x v="1"/>
    <x v="2"/>
    <s v="Germany"/>
    <x v="0"/>
    <s v="Alex Chen"/>
    <s v="Annual"/>
    <d v="2026-02-06T00:00:00"/>
    <d v="2027-02-06T00:00:00"/>
    <x v="1"/>
    <s v="Complete"/>
    <n v="2"/>
    <s v="Noah Williams"/>
    <d v="2026-11-02T00:00:00"/>
    <s v="In Progress"/>
    <x v="1"/>
    <x v="1"/>
    <x v="2"/>
    <s v="Elevated"/>
  </r>
  <r>
    <s v="CTRL-0544"/>
    <s v="Data Control 544"/>
    <s v="DETECT"/>
    <s v="DE.CM"/>
    <x v="0"/>
    <x v="2"/>
    <s v="Germany"/>
    <x v="1"/>
    <s v="Sam Rivera"/>
    <s v="Annual"/>
    <d v="2026-01-13T00:00:00"/>
    <d v="2026-07-12T00:00:00"/>
    <x v="0"/>
    <s v="Pending"/>
    <n v="1"/>
    <s v="Liam Brown"/>
    <d v="2026-12-18T00:00:00"/>
    <s v="Completed"/>
    <x v="0"/>
    <x v="1"/>
    <x v="3"/>
    <s v="Standard"/>
  </r>
  <r>
    <s v="CTRL-0545"/>
    <s v="Data Control 545"/>
    <s v="GOVERN"/>
    <s v="GV.RR"/>
    <x v="5"/>
    <x v="1"/>
    <s v="Canada"/>
    <x v="0"/>
    <s v="Emma Schmidt"/>
    <s v="Quarterly"/>
    <d v="2025-07-11T00:00:00"/>
    <d v="2026-07-11T00:00:00"/>
    <x v="0"/>
    <s v="Missing"/>
    <n v="5"/>
    <s v="Taylor Morgan"/>
    <d v="2026-10-04T00:00:00"/>
    <s v="In Progress"/>
    <x v="0"/>
    <x v="1"/>
    <x v="1"/>
    <s v="Elevated"/>
  </r>
  <r>
    <s v="CTRL-0546"/>
    <s v="Reconciliation Control 546"/>
    <s v="RECOVER"/>
    <s v="RC.RP"/>
    <x v="5"/>
    <x v="0"/>
    <s v="Singapore"/>
    <x v="2"/>
    <s v="Jordan Lee"/>
    <s v="Quarterly"/>
    <d v="2026-05-31T00:00:00"/>
    <d v="2026-08-29T00:00:00"/>
    <x v="0"/>
    <s v="Missing"/>
    <n v="3"/>
    <s v="Sam Rivera"/>
    <d v="2026-05-24T00:00:00"/>
    <s v="Overdue"/>
    <x v="0"/>
    <x v="1"/>
    <x v="1"/>
    <s v="Standard"/>
  </r>
  <r>
    <s v="CTRL-0547"/>
    <s v="Vendor Control 547"/>
    <s v="DETECT"/>
    <s v="DE.CM"/>
    <x v="0"/>
    <x v="0"/>
    <s v="Singapore"/>
    <x v="2"/>
    <s v="Taylor Morgan"/>
    <s v="Quarterly"/>
    <d v="2026-03-12T00:00:00"/>
    <d v="2027-03-12T00:00:00"/>
    <x v="1"/>
    <s v="Missing"/>
    <n v="0"/>
    <s v="Sam Rivera"/>
    <d v="2026-05-05T00:00:00"/>
    <s v="Not Required"/>
    <x v="1"/>
    <x v="1"/>
    <x v="1"/>
    <s v="Standard"/>
  </r>
  <r>
    <s v="CTRL-0548"/>
    <s v="Incident Control 548"/>
    <s v="GOVERN"/>
    <s v="GV.RM"/>
    <x v="4"/>
    <x v="1"/>
    <s v="United States"/>
    <x v="1"/>
    <s v="Noah Williams"/>
    <s v="Quarterly"/>
    <d v="2025-08-05T00:00:00"/>
    <d v="2026-02-01T00:00:00"/>
    <x v="0"/>
    <s v="Complete"/>
    <n v="2"/>
    <s v="Liam Brown"/>
    <d v="2026-06-19T00:00:00"/>
    <s v="Overdue"/>
    <x v="0"/>
    <x v="1"/>
    <x v="2"/>
    <s v="Standard"/>
  </r>
  <r>
    <s v="CTRL-0549"/>
    <s v="Policy Control 549"/>
    <s v="GOVERN"/>
    <s v="GV.RM"/>
    <x v="0"/>
    <x v="2"/>
    <s v="United Kingdom"/>
    <x v="0"/>
    <s v="Maya Patel"/>
    <s v="Quarterly"/>
    <d v="2025-07-16T00:00:00"/>
    <d v="2026-07-16T00:00:00"/>
    <x v="0"/>
    <s v="Complete"/>
    <n v="4"/>
    <s v="Noah Williams"/>
    <d v="2026-05-26T00:00:00"/>
    <s v="Completed"/>
    <x v="0"/>
    <x v="1"/>
    <x v="2"/>
    <s v="Elevated"/>
  </r>
  <r>
    <s v="CTRL-0550"/>
    <s v="Policy Control 550"/>
    <s v="GOVERN"/>
    <s v="GV.RM"/>
    <x v="5"/>
    <x v="1"/>
    <s v="Canada"/>
    <x v="2"/>
    <s v="Liam Brown"/>
    <s v="Quarterly"/>
    <d v="2025-08-31T00:00:00"/>
    <d v="2025-11-29T00:00:00"/>
    <x v="0"/>
    <s v="Complete"/>
    <n v="2"/>
    <s v="Liam Brown"/>
    <d v="2026-09-21T00:00:00"/>
    <s v="Overdue"/>
    <x v="0"/>
    <x v="1"/>
    <x v="2"/>
    <s v="Standard"/>
  </r>
  <r>
    <s v="CTRL-0551"/>
    <s v="Reconciliation Control 551"/>
    <s v="RESPOND"/>
    <s v="RS.MA"/>
    <x v="1"/>
    <x v="2"/>
    <s v="United Kingdom"/>
    <x v="0"/>
    <s v="Liam Brown"/>
    <s v="Annual"/>
    <d v="2026-03-20T00:00:00"/>
    <d v="2026-09-16T00:00:00"/>
    <x v="0"/>
    <s v="Missing"/>
    <n v="1"/>
    <s v="Sam Rivera"/>
    <d v="2026-05-16T00:00:00"/>
    <s v="Completed"/>
    <x v="0"/>
    <x v="1"/>
    <x v="1"/>
    <s v="Elevated"/>
  </r>
  <r>
    <s v="CTRL-0552"/>
    <s v="Incident Control 552"/>
    <s v="GOVERN"/>
    <s v="GV.OC"/>
    <x v="1"/>
    <x v="1"/>
    <s v="Canada"/>
    <x v="1"/>
    <s v="Emma Schmidt"/>
    <s v="Annual"/>
    <d v="2026-02-11T00:00:00"/>
    <d v="2026-08-10T00:00:00"/>
    <x v="0"/>
    <s v="Pending"/>
    <n v="2"/>
    <s v="Maya Patel"/>
    <d v="2026-04-18T00:00:00"/>
    <s v="Overdue"/>
    <x v="0"/>
    <x v="1"/>
    <x v="3"/>
    <s v="Standard"/>
  </r>
  <r>
    <s v="CTRL-0553"/>
    <s v="Incident Control 553"/>
    <s v="GOVERN"/>
    <s v="GV.OC"/>
    <x v="2"/>
    <x v="1"/>
    <s v="Canada"/>
    <x v="2"/>
    <s v="Jordan Lee"/>
    <s v="Annual"/>
    <d v="2026-01-31T00:00:00"/>
    <d v="2026-05-01T00:00:00"/>
    <x v="0"/>
    <s v="Pending"/>
    <n v="0"/>
    <s v="Taylor Morgan"/>
    <d v="2026-06-19T00:00:00"/>
    <s v="Not Required"/>
    <x v="0"/>
    <x v="1"/>
    <x v="3"/>
    <s v="Standard"/>
  </r>
  <r>
    <s v="CTRL-0554"/>
    <s v="Incident Control 554"/>
    <s v="GOVERN"/>
    <s v="GV.RR"/>
    <x v="5"/>
    <x v="2"/>
    <s v="Germany"/>
    <x v="0"/>
    <s v="Taylor Morgan"/>
    <s v="Semiannual"/>
    <d v="2025-09-06T00:00:00"/>
    <d v="2026-09-06T00:00:00"/>
    <x v="0"/>
    <s v="Pending"/>
    <n v="2"/>
    <s v="Liam Brown"/>
    <d v="2026-04-07T00:00:00"/>
    <s v="Overdue"/>
    <x v="0"/>
    <x v="1"/>
    <x v="3"/>
    <s v="Elevated"/>
  </r>
  <r>
    <s v="CTRL-0555"/>
    <s v="Access Control 555"/>
    <s v="GOVERN"/>
    <s v="GV.RM"/>
    <x v="3"/>
    <x v="0"/>
    <s v="Singapore"/>
    <x v="2"/>
    <s v="Liam Brown"/>
    <s v="Annual"/>
    <d v="2025-09-18T00:00:00"/>
    <d v="2026-03-17T00:00:00"/>
    <x v="0"/>
    <s v="Missing"/>
    <n v="3"/>
    <s v="Noah Williams"/>
    <d v="2026-07-13T00:00:00"/>
    <s v="Overdue"/>
    <x v="0"/>
    <x v="1"/>
    <x v="1"/>
    <s v="Standard"/>
  </r>
  <r>
    <s v="CTRL-0556"/>
    <s v="Access Control 556"/>
    <s v="GOVERN"/>
    <s v="GV.RR"/>
    <x v="3"/>
    <x v="2"/>
    <s v="United Kingdom"/>
    <x v="3"/>
    <s v="Taylor Morgan"/>
    <s v="Quarterly"/>
    <d v="2026-05-24T00:00:00"/>
    <d v="2026-08-22T00:00:00"/>
    <x v="0"/>
    <s v="Missing"/>
    <n v="4"/>
    <s v="Taylor Morgan"/>
    <d v="2026-09-09T00:00:00"/>
    <s v="Overdue"/>
    <x v="0"/>
    <x v="1"/>
    <x v="1"/>
    <s v="Elevated"/>
  </r>
  <r>
    <s v="CTRL-0557"/>
    <s v="Policy Control 557"/>
    <s v="GOVERN"/>
    <s v="GV.OC"/>
    <x v="5"/>
    <x v="1"/>
    <s v="Canada"/>
    <x v="2"/>
    <s v="Maya Patel"/>
    <s v="Annual"/>
    <d v="2025-09-01T00:00:00"/>
    <d v="2025-11-30T00:00:00"/>
    <x v="0"/>
    <s v="Pending"/>
    <n v="2"/>
    <s v="Maya Patel"/>
    <d v="2026-12-18T00:00:00"/>
    <s v="In Progress"/>
    <x v="0"/>
    <x v="1"/>
    <x v="3"/>
    <s v="Standard"/>
  </r>
  <r>
    <s v="CTRL-0558"/>
    <s v="Reconciliation Control 558"/>
    <s v="IDENTIFY"/>
    <s v="ID.AM"/>
    <x v="3"/>
    <x v="2"/>
    <s v="Germany"/>
    <x v="0"/>
    <s v="Liam Brown"/>
    <s v="Semiannual"/>
    <d v="2026-03-21T00:00:00"/>
    <d v="2026-06-19T00:00:00"/>
    <x v="0"/>
    <s v="Missing"/>
    <n v="4"/>
    <s v="Taylor Morgan"/>
    <d v="2027-01-17T00:00:00"/>
    <s v="In Progress"/>
    <x v="0"/>
    <x v="1"/>
    <x v="1"/>
    <s v="Elevated"/>
  </r>
  <r>
    <s v="CTRL-0559"/>
    <s v="Policy Control 559"/>
    <s v="RESPOND"/>
    <s v="RS.MA"/>
    <x v="5"/>
    <x v="0"/>
    <s v="Singapore"/>
    <x v="2"/>
    <s v="Sam Rivera"/>
    <s v="Semiannual"/>
    <d v="2026-07-19T00:00:00"/>
    <d v="2027-01-15T00:00:00"/>
    <x v="1"/>
    <s v="Complete"/>
    <n v="2"/>
    <s v="Maya Patel"/>
    <d v="2026-11-21T00:00:00"/>
    <s v="Completed"/>
    <x v="1"/>
    <x v="1"/>
    <x v="2"/>
    <s v="Standard"/>
  </r>
  <r>
    <s v="CTRL-0560"/>
    <s v="Policy Control 560"/>
    <s v="RESPOND"/>
    <s v="RS.MA"/>
    <x v="4"/>
    <x v="1"/>
    <s v="United States"/>
    <x v="0"/>
    <s v="Liam Brown"/>
    <s v="Semiannual"/>
    <d v="2026-05-24T00:00:00"/>
    <d v="2026-11-20T00:00:00"/>
    <x v="1"/>
    <s v="Missing"/>
    <n v="4"/>
    <s v="Liam Brown"/>
    <d v="2026-10-26T00:00:00"/>
    <s v="In Progress"/>
    <x v="1"/>
    <x v="1"/>
    <x v="1"/>
    <s v="Elevated"/>
  </r>
  <r>
    <s v="CTRL-0561"/>
    <s v="Change Control 561"/>
    <s v="RECOVER"/>
    <s v="RC.RP"/>
    <x v="4"/>
    <x v="0"/>
    <s v="Singapore"/>
    <x v="2"/>
    <s v="Liam Brown"/>
    <s v="Annual"/>
    <d v="2025-09-01T00:00:00"/>
    <d v="2026-02-28T00:00:00"/>
    <x v="0"/>
    <s v="Complete"/>
    <n v="1"/>
    <s v="Maya Patel"/>
    <d v="2026-12-17T00:00:00"/>
    <s v="Completed"/>
    <x v="0"/>
    <x v="1"/>
    <x v="2"/>
    <s v="Standard"/>
  </r>
  <r>
    <s v="CTRL-0562"/>
    <s v="Access Control 562"/>
    <s v="PROTECT"/>
    <s v="PR.AA"/>
    <x v="4"/>
    <x v="0"/>
    <s v="Singapore"/>
    <x v="2"/>
    <s v="Jordan Lee"/>
    <s v="Annual"/>
    <d v="2025-11-28T00:00:00"/>
    <d v="2026-05-27T00:00:00"/>
    <x v="0"/>
    <s v="Complete"/>
    <n v="3"/>
    <s v="Jordan Lee"/>
    <d v="2026-05-29T00:00:00"/>
    <s v="Completed"/>
    <x v="0"/>
    <x v="1"/>
    <x v="2"/>
    <s v="Standard"/>
  </r>
  <r>
    <s v="CTRL-0563"/>
    <s v="Reconciliation Control 563"/>
    <s v="PROTECT"/>
    <s v="PR.AA"/>
    <x v="2"/>
    <x v="1"/>
    <s v="Canada"/>
    <x v="3"/>
    <s v="Taylor Morgan"/>
    <s v="Quarterly"/>
    <d v="2026-04-13T00:00:00"/>
    <d v="2026-10-10T00:00:00"/>
    <x v="1"/>
    <s v="Complete"/>
    <n v="1"/>
    <s v="Jordan Lee"/>
    <d v="2026-11-04T00:00:00"/>
    <s v="Completed"/>
    <x v="1"/>
    <x v="1"/>
    <x v="2"/>
    <s v="Elevated"/>
  </r>
  <r>
    <s v="CTRL-0564"/>
    <s v="Policy Control 564"/>
    <s v="DETECT"/>
    <s v="DE.CM"/>
    <x v="0"/>
    <x v="0"/>
    <s v="Singapore"/>
    <x v="1"/>
    <s v="Noah Williams"/>
    <s v="Semiannual"/>
    <d v="2026-08-07T00:00:00"/>
    <d v="2026-11-05T00:00:00"/>
    <x v="1"/>
    <s v="Missing"/>
    <n v="2"/>
    <s v="Liam Brown"/>
    <d v="2027-01-17T00:00:00"/>
    <s v="In Progress"/>
    <x v="1"/>
    <x v="1"/>
    <x v="1"/>
    <s v="Standard"/>
  </r>
  <r>
    <s v="CTRL-0565"/>
    <s v="Access Control 565"/>
    <s v="DETECT"/>
    <s v="DE.CM"/>
    <x v="1"/>
    <x v="0"/>
    <s v="Singapore"/>
    <x v="2"/>
    <m/>
    <s v="Annual"/>
    <d v="2026-01-18T00:00:00"/>
    <d v="2026-07-17T00:00:00"/>
    <x v="0"/>
    <s v="Missing"/>
    <n v="3"/>
    <s v="Emma Schmidt"/>
    <d v="2026-06-18T00:00:00"/>
    <s v="Overdue"/>
    <x v="0"/>
    <x v="0"/>
    <x v="1"/>
    <s v="Standard"/>
  </r>
  <r>
    <s v="CTRL-0566"/>
    <s v="Data Control 566"/>
    <s v="GOVERN"/>
    <s v="GV.OC"/>
    <x v="4"/>
    <x v="2"/>
    <s v="United Kingdom"/>
    <x v="2"/>
    <s v="Alex Chen"/>
    <s v="Annual"/>
    <d v="2025-10-02T00:00:00"/>
    <d v="2026-03-31T00:00:00"/>
    <x v="0"/>
    <s v="Missing"/>
    <n v="2"/>
    <s v="Taylor Morgan"/>
    <d v="2026-05-18T00:00:00"/>
    <s v="Overdue"/>
    <x v="0"/>
    <x v="1"/>
    <x v="1"/>
    <s v="Standard"/>
  </r>
  <r>
    <s v="CTRL-0567"/>
    <s v="Access Control 567"/>
    <s v="GOVERN"/>
    <s v="GV.OC"/>
    <x v="5"/>
    <x v="0"/>
    <s v="Singapore"/>
    <x v="2"/>
    <s v="Sam Rivera"/>
    <s v="Annual"/>
    <d v="2025-10-29T00:00:00"/>
    <d v="2026-10-29T00:00:00"/>
    <x v="3"/>
    <s v="Missing"/>
    <n v="1"/>
    <s v="Jordan Lee"/>
    <d v="2026-12-02T00:00:00"/>
    <s v="In Progress"/>
    <x v="1"/>
    <x v="1"/>
    <x v="1"/>
    <s v="Standard"/>
  </r>
  <r>
    <s v="CTRL-0568"/>
    <s v="Reconciliation Control 568"/>
    <s v="GOVERN"/>
    <s v="GV.OC"/>
    <x v="1"/>
    <x v="1"/>
    <s v="Canada"/>
    <x v="1"/>
    <s v="Liam Brown"/>
    <s v="Semiannual"/>
    <d v="2026-07-29T00:00:00"/>
    <d v="2027-07-29T00:00:00"/>
    <x v="2"/>
    <s v="Missing"/>
    <n v="0"/>
    <s v="Jordan Lee"/>
    <d v="2026-12-10T00:00:00"/>
    <s v="Not Required"/>
    <x v="1"/>
    <x v="1"/>
    <x v="1"/>
    <s v="Standard"/>
  </r>
  <r>
    <s v="CTRL-0569"/>
    <s v="Change Control 569"/>
    <s v="GOVERN"/>
    <s v="GV.RM"/>
    <x v="3"/>
    <x v="2"/>
    <s v="United Kingdom"/>
    <x v="2"/>
    <s v="Taylor Morgan"/>
    <s v="Semiannual"/>
    <d v="2026-07-26T00:00:00"/>
    <d v="2026-10-24T00:00:00"/>
    <x v="3"/>
    <s v="Pending"/>
    <n v="1"/>
    <s v="Emma Schmidt"/>
    <d v="2026-07-05T00:00:00"/>
    <s v="Completed"/>
    <x v="1"/>
    <x v="1"/>
    <x v="3"/>
    <s v="Standard"/>
  </r>
  <r>
    <s v="CTRL-0570"/>
    <s v="Access Control 570"/>
    <s v="RESPOND"/>
    <s v="RS.MA"/>
    <x v="0"/>
    <x v="0"/>
    <s v="Singapore"/>
    <x v="2"/>
    <s v="Noah Williams"/>
    <s v="Semiannual"/>
    <d v="2026-06-10T00:00:00"/>
    <d v="2026-09-08T00:00:00"/>
    <x v="0"/>
    <s v="Missing"/>
    <n v="0"/>
    <s v="Jordan Lee"/>
    <d v="2026-09-02T00:00:00"/>
    <s v="Not Required"/>
    <x v="0"/>
    <x v="1"/>
    <x v="1"/>
    <s v="Standard"/>
  </r>
  <r>
    <s v="CTRL-0571"/>
    <s v="Access Control 571"/>
    <s v="RESPOND"/>
    <s v="RS.MA"/>
    <x v="2"/>
    <x v="2"/>
    <s v="Germany"/>
    <x v="2"/>
    <s v="Maya Patel"/>
    <s v="Semiannual"/>
    <d v="2026-08-15T00:00:00"/>
    <d v="2026-11-13T00:00:00"/>
    <x v="1"/>
    <s v="Missing"/>
    <n v="1"/>
    <s v="Alex Chen"/>
    <d v="2026-12-11T00:00:00"/>
    <s v="In Progress"/>
    <x v="1"/>
    <x v="1"/>
    <x v="1"/>
    <s v="Standard"/>
  </r>
  <r>
    <s v="CTRL-0572"/>
    <s v="Reconciliation Control 572"/>
    <s v="GOVERN"/>
    <s v="GV.RR"/>
    <x v="3"/>
    <x v="2"/>
    <s v="Germany"/>
    <x v="2"/>
    <s v="Liam Brown"/>
    <s v="Annual"/>
    <d v="2026-08-27T00:00:00"/>
    <d v="2027-02-23T00:00:00"/>
    <x v="3"/>
    <s v="Pending"/>
    <n v="0"/>
    <s v="Emma Schmidt"/>
    <d v="2026-08-07T00:00:00"/>
    <s v="Not Required"/>
    <x v="1"/>
    <x v="1"/>
    <x v="3"/>
    <s v="Standard"/>
  </r>
  <r>
    <s v="CTRL-0573"/>
    <s v="Policy Control 573"/>
    <s v="GOVERN"/>
    <s v="GV.OC"/>
    <x v="5"/>
    <x v="2"/>
    <s v="United Kingdom"/>
    <x v="2"/>
    <s v="Jordan Lee"/>
    <s v="Semiannual"/>
    <d v="2026-03-03T00:00:00"/>
    <d v="2027-03-03T00:00:00"/>
    <x v="3"/>
    <s v="Missing"/>
    <n v="3"/>
    <s v="Taylor Morgan"/>
    <d v="2027-01-12T00:00:00"/>
    <s v="In Progress"/>
    <x v="1"/>
    <x v="1"/>
    <x v="1"/>
    <s v="Standard"/>
  </r>
  <r>
    <s v="CTRL-0574"/>
    <s v="Data Control 574"/>
    <s v="IDENTIFY"/>
    <s v="ID.AM"/>
    <x v="0"/>
    <x v="0"/>
    <s v="Singapore"/>
    <x v="1"/>
    <s v="Liam Brown"/>
    <s v="Annual"/>
    <d v="2026-04-24T00:00:00"/>
    <d v="2027-04-24T00:00:00"/>
    <x v="1"/>
    <s v="Missing"/>
    <n v="3"/>
    <s v="Taylor Morgan"/>
    <d v="2026-09-29T00:00:00"/>
    <s v="Overdue"/>
    <x v="1"/>
    <x v="1"/>
    <x v="1"/>
    <s v="Standard"/>
  </r>
  <r>
    <s v="CTRL-0575"/>
    <s v="Vendor Control 575"/>
    <s v="PROTECT"/>
    <s v="PR.AA"/>
    <x v="5"/>
    <x v="1"/>
    <s v="United StatesA"/>
    <x v="2"/>
    <s v="Maya Patel"/>
    <s v="Quarterly"/>
    <d v="2026-04-10T00:00:00"/>
    <d v="2026-07-09T00:00:00"/>
    <x v="0"/>
    <s v="Pending"/>
    <n v="0"/>
    <s v="Noah Williams"/>
    <d v="2026-06-13T00:00:00"/>
    <s v="Not Required"/>
    <x v="0"/>
    <x v="1"/>
    <x v="3"/>
    <s v="Standard"/>
  </r>
  <r>
    <s v="CTRL-0576"/>
    <s v="Access Control 576"/>
    <s v="DETECT"/>
    <s v="DE.CM"/>
    <x v="5"/>
    <x v="0"/>
    <s v="Singapore"/>
    <x v="1"/>
    <s v="Liam Brown"/>
    <s v="Annual"/>
    <d v="2026-04-24T00:00:00"/>
    <d v="2026-07-23T00:00:00"/>
    <x v="0"/>
    <s v="Missing"/>
    <n v="2"/>
    <s v="Jordan Lee"/>
    <d v="2026-09-24T00:00:00"/>
    <s v="Completed"/>
    <x v="0"/>
    <x v="1"/>
    <x v="1"/>
    <s v="Standard"/>
  </r>
  <r>
    <s v="CTRL-0577"/>
    <s v="Data Control 577"/>
    <s v="GOVERN"/>
    <s v="GV.RM"/>
    <x v="3"/>
    <x v="0"/>
    <s v="Singapore"/>
    <x v="2"/>
    <s v="Alex Chen"/>
    <s v="Quarterly"/>
    <d v="2025-10-01T00:00:00"/>
    <d v="2025-12-30T00:00:00"/>
    <x v="0"/>
    <s v="Pending"/>
    <n v="3"/>
    <s v="Liam Brown"/>
    <d v="2026-10-21T00:00:00"/>
    <s v="In Progress"/>
    <x v="0"/>
    <x v="1"/>
    <x v="3"/>
    <s v="Standard"/>
  </r>
  <r>
    <s v="CTRL-0578"/>
    <s v="Access Control 578"/>
    <s v="GOVERN"/>
    <s v="GV.OC"/>
    <x v="2"/>
    <x v="0"/>
    <s v="Singapore"/>
    <x v="3"/>
    <s v="Emma Schmidt"/>
    <s v="Semiannual"/>
    <d v="2025-07-14T00:00:00"/>
    <d v="2026-07-14T00:00:00"/>
    <x v="0"/>
    <s v="Pending"/>
    <n v="3"/>
    <s v="Noah Williams"/>
    <d v="2026-07-02T00:00:00"/>
    <s v="Overdue"/>
    <x v="0"/>
    <x v="1"/>
    <x v="3"/>
    <s v="Elevated"/>
  </r>
  <r>
    <s v="CTRL-0579"/>
    <s v="Policy Control 579"/>
    <s v="PROTECT"/>
    <s v="PR.AA"/>
    <x v="0"/>
    <x v="1"/>
    <s v="Canada"/>
    <x v="1"/>
    <s v="Alex Chen"/>
    <s v="Annual"/>
    <d v="2025-08-18T00:00:00"/>
    <d v="2026-02-14T00:00:00"/>
    <x v="0"/>
    <s v="Missing"/>
    <n v="2"/>
    <s v="Sam Rivera"/>
    <d v="2026-07-10T00:00:00"/>
    <s v="Completed"/>
    <x v="0"/>
    <x v="1"/>
    <x v="1"/>
    <s v="Standard"/>
  </r>
  <r>
    <s v="CTRL-0580"/>
    <s v="Access Control 580"/>
    <s v="RESPOND"/>
    <s v="RS.MA"/>
    <x v="2"/>
    <x v="1"/>
    <s v="Canada"/>
    <x v="1"/>
    <s v="Liam Brown"/>
    <s v="Semiannual"/>
    <d v="2025-06-04T00:00:00"/>
    <d v="2026-06-04T00:00:00"/>
    <x v="0"/>
    <s v="Missing"/>
    <n v="1"/>
    <s v="Liam Brown"/>
    <d v="2026-04-06T00:00:00"/>
    <s v="Completed"/>
    <x v="0"/>
    <x v="1"/>
    <x v="1"/>
    <s v="Standard"/>
  </r>
  <r>
    <s v="CTRL-0581"/>
    <s v="Data Control 581"/>
    <s v="IDENTIFY"/>
    <s v="ID.AM"/>
    <x v="5"/>
    <x v="1"/>
    <s v="United States"/>
    <x v="0"/>
    <s v="Jordan Lee"/>
    <s v="Annual"/>
    <d v="2026-08-08T00:00:00"/>
    <d v="2027-08-08T00:00:00"/>
    <x v="1"/>
    <s v="Complete"/>
    <n v="1"/>
    <s v="Taylor Morgan"/>
    <d v="2026-08-13T00:00:00"/>
    <s v="Overdue"/>
    <x v="1"/>
    <x v="1"/>
    <x v="2"/>
    <s v="Elevated"/>
  </r>
  <r>
    <s v="CTRL-0582"/>
    <s v="Policy Control 582"/>
    <s v="GOVERN"/>
    <s v="GV.OC"/>
    <x v="5"/>
    <x v="1"/>
    <s v="United States"/>
    <x v="2"/>
    <s v="Taylor Morgan"/>
    <s v="Semiannual"/>
    <d v="2025-09-27T00:00:00"/>
    <d v="2026-09-27T00:00:00"/>
    <x v="0"/>
    <m/>
    <n v="3"/>
    <s v="Emma Schmidt"/>
    <d v="2026-04-04T00:00:00"/>
    <s v="Overdue"/>
    <x v="0"/>
    <x v="1"/>
    <x v="0"/>
    <s v="Standard"/>
  </r>
  <r>
    <s v="CTRL-0583"/>
    <s v="Reconciliation Control 583"/>
    <s v="GOVERN"/>
    <s v="GV.OC"/>
    <x v="0"/>
    <x v="2"/>
    <s v="Germany"/>
    <x v="2"/>
    <s v="Liam Brown"/>
    <s v="Semiannual"/>
    <d v="2025-12-31T00:00:00"/>
    <d v="2026-06-29T00:00:00"/>
    <x v="0"/>
    <s v="Missing"/>
    <n v="0"/>
    <s v="Liam Brown"/>
    <d v="2026-07-26T00:00:00"/>
    <s v="Not Required"/>
    <x v="0"/>
    <x v="1"/>
    <x v="1"/>
    <s v="Standard"/>
  </r>
  <r>
    <s v="CTRL-0584"/>
    <s v="Change Control 584"/>
    <s v="IDENTIFY"/>
    <s v="ID.AM"/>
    <x v="4"/>
    <x v="2"/>
    <s v="United Kingdom"/>
    <x v="1"/>
    <s v="Maya Patel"/>
    <s v="Quarterly"/>
    <d v="2025-06-17T00:00:00"/>
    <d v="2026-06-17T00:00:00"/>
    <x v="0"/>
    <s v="Complete"/>
    <n v="1"/>
    <s v="Noah Williams"/>
    <d v="2026-11-05T00:00:00"/>
    <s v="In Progress"/>
    <x v="0"/>
    <x v="1"/>
    <x v="2"/>
    <s v="Standard"/>
  </r>
  <r>
    <s v="CTRL-0585"/>
    <s v="Change Control 585"/>
    <s v="RECOVER"/>
    <s v="RC.RP"/>
    <x v="5"/>
    <x v="2"/>
    <s v="United Kingdom"/>
    <x v="2"/>
    <s v="Alex Chen"/>
    <s v="Semiannual"/>
    <d v="2026-01-08T00:00:00"/>
    <d v="2026-07-07T00:00:00"/>
    <x v="0"/>
    <s v="Complete"/>
    <n v="2"/>
    <s v="Alex Chen"/>
    <d v="2026-08-09T00:00:00"/>
    <s v="Completed"/>
    <x v="0"/>
    <x v="1"/>
    <x v="2"/>
    <s v="Standard"/>
  </r>
  <r>
    <s v="CTRL-0586"/>
    <s v="Access Control 586"/>
    <s v="GOVERN"/>
    <s v="GV.OC"/>
    <x v="0"/>
    <x v="2"/>
    <s v="United Kingdom"/>
    <x v="0"/>
    <s v="Liam Brown"/>
    <s v="Semiannual"/>
    <d v="2025-08-15T00:00:00"/>
    <d v="2025-11-13T00:00:00"/>
    <x v="0"/>
    <s v="Missing"/>
    <n v="3"/>
    <s v="Noah Williams"/>
    <d v="2027-01-24T00:00:00"/>
    <s v="Completed"/>
    <x v="0"/>
    <x v="1"/>
    <x v="1"/>
    <s v="Elevated"/>
  </r>
  <r>
    <s v="CTRL-0587"/>
    <s v="Reconciliation Control 587"/>
    <s v="GOVERN"/>
    <s v="GV.OC"/>
    <x v="1"/>
    <x v="0"/>
    <s v="Singapore"/>
    <x v="1"/>
    <s v="Liam Brown"/>
    <s v="Semiannual"/>
    <d v="2026-08-13T00:00:00"/>
    <d v="2027-02-09T00:00:00"/>
    <x v="2"/>
    <s v="Complete"/>
    <n v="0"/>
    <s v="Emma Schmidt"/>
    <d v="2026-05-01T00:00:00"/>
    <s v="Not Required"/>
    <x v="1"/>
    <x v="1"/>
    <x v="2"/>
    <s v="Standard"/>
  </r>
  <r>
    <s v="CTRL-0588"/>
    <s v="Vendor Control 588"/>
    <s v="GOVERN"/>
    <s v="GV.OC"/>
    <x v="1"/>
    <x v="1"/>
    <s v="Canada"/>
    <x v="0"/>
    <s v="Alex Chen"/>
    <s v="Annual"/>
    <d v="2026-01-21T00:00:00"/>
    <d v="2026-07-20T00:00:00"/>
    <x v="0"/>
    <s v="Pending"/>
    <n v="3"/>
    <s v="Noah Williams"/>
    <d v="2026-05-24T00:00:00"/>
    <s v="Completed"/>
    <x v="0"/>
    <x v="1"/>
    <x v="3"/>
    <s v="Elevated"/>
  </r>
  <r>
    <s v="CTRL-0589"/>
    <s v="Vendor Control 589"/>
    <s v="RESPOND"/>
    <s v="RS.MA"/>
    <x v="0"/>
    <x v="0"/>
    <s v="Singapore"/>
    <x v="1"/>
    <s v="Maya Patel"/>
    <s v="Annual"/>
    <d v="2025-11-11T00:00:00"/>
    <d v="2026-02-09T00:00:00"/>
    <x v="0"/>
    <s v="Missing"/>
    <n v="1"/>
    <s v="Liam Brown"/>
    <d v="2026-12-19T00:00:00"/>
    <s v="Completed"/>
    <x v="0"/>
    <x v="1"/>
    <x v="1"/>
    <s v="Standard"/>
  </r>
  <r>
    <s v="CTRL-0590"/>
    <s v="Vendor Control 590"/>
    <s v="GOVERN"/>
    <s v="GV.RR"/>
    <x v="1"/>
    <x v="1"/>
    <s v="United States"/>
    <x v="0"/>
    <s v="Alex Chen"/>
    <s v="Semiannual"/>
    <d v="2026-07-07T00:00:00"/>
    <d v="2027-01-03T00:00:00"/>
    <x v="2"/>
    <s v="Pending"/>
    <n v="4"/>
    <s v="Noah Williams"/>
    <d v="2027-01-05T00:00:00"/>
    <s v="In Progress"/>
    <x v="1"/>
    <x v="1"/>
    <x v="3"/>
    <s v="Elevated"/>
  </r>
  <r>
    <s v="CTRL-0591"/>
    <s v="Change Control 591"/>
    <s v="DETECT"/>
    <s v="DE.CM"/>
    <x v="0"/>
    <x v="2"/>
    <s v="Germany"/>
    <x v="2"/>
    <s v="Jordan Lee"/>
    <s v="Quarterly"/>
    <d v="2026-08-12T00:00:00"/>
    <d v="2026-11-10T00:00:00"/>
    <x v="1"/>
    <s v="Missing"/>
    <n v="0"/>
    <s v="Sam Rivera"/>
    <d v="2026-11-05T00:00:00"/>
    <s v="Not Required"/>
    <x v="1"/>
    <x v="1"/>
    <x v="1"/>
    <s v="Standard"/>
  </r>
  <r>
    <s v="CTRL-0592"/>
    <s v="Access Control 592"/>
    <s v="GOVERN"/>
    <s v="GV.RR"/>
    <x v="1"/>
    <x v="1"/>
    <s v="Canada"/>
    <x v="2"/>
    <s v="Liam Brown"/>
    <s v="Semiannual"/>
    <d v="2025-11-07T00:00:00"/>
    <d v="2026-11-07T00:00:00"/>
    <x v="1"/>
    <s v="Missing"/>
    <n v="2"/>
    <s v="Alex Chen"/>
    <d v="2026-09-03T00:00:00"/>
    <s v="Overdue"/>
    <x v="1"/>
    <x v="1"/>
    <x v="1"/>
    <s v="Standard"/>
  </r>
  <r>
    <s v="CTRL-0593"/>
    <s v="Policy Control 593"/>
    <s v="GOVERN"/>
    <s v="GV.RR"/>
    <x v="0"/>
    <x v="2"/>
    <s v="United Kingdom"/>
    <x v="2"/>
    <s v="Sam Rivera"/>
    <s v="Quarterly"/>
    <d v="2026-01-15T00:00:00"/>
    <d v="2027-01-15T00:00:00"/>
    <x v="1"/>
    <s v="Pending"/>
    <n v="2"/>
    <s v="Noah Williams"/>
    <d v="2026-10-12T00:00:00"/>
    <s v="Completed"/>
    <x v="1"/>
    <x v="1"/>
    <x v="3"/>
    <s v="Standard"/>
  </r>
  <r>
    <s v="CTRL-0594"/>
    <s v="Change Control 594"/>
    <s v="IDENTIFY"/>
    <s v="ID.AM"/>
    <x v="2"/>
    <x v="1"/>
    <s v="United States"/>
    <x v="1"/>
    <s v="Maya Patel"/>
    <s v="Semiannual"/>
    <d v="2026-06-30T00:00:00"/>
    <d v="2026-12-27T00:00:00"/>
    <x v="1"/>
    <s v="Missing"/>
    <n v="2"/>
    <s v="Jordan Lee"/>
    <d v="2026-04-25T00:00:00"/>
    <s v="Overdue"/>
    <x v="1"/>
    <x v="1"/>
    <x v="1"/>
    <s v="Standard"/>
  </r>
  <r>
    <s v="CTRL-0595"/>
    <s v="Policy Control 595"/>
    <s v="GOVERN"/>
    <s v="GV.OC"/>
    <x v="5"/>
    <x v="1"/>
    <s v="Canada"/>
    <x v="1"/>
    <s v="Sam Rivera"/>
    <s v="Annual"/>
    <d v="2026-06-11T00:00:00"/>
    <d v="2026-09-09T00:00:00"/>
    <x v="0"/>
    <s v="Complete"/>
    <n v="1"/>
    <s v="Jordan Lee"/>
    <d v="2026-08-15T00:00:00"/>
    <s v="Overdue"/>
    <x v="0"/>
    <x v="1"/>
    <x v="2"/>
    <s v="Standard"/>
  </r>
  <r>
    <s v="CTRL-0596"/>
    <s v="Incident Control 596"/>
    <s v="RESPOND"/>
    <s v="RS.MA"/>
    <x v="2"/>
    <x v="2"/>
    <s v="United Kingdom"/>
    <x v="3"/>
    <s v="Taylor Morgan"/>
    <s v="Quarterly"/>
    <d v="2026-01-20T00:00:00"/>
    <d v="2026-04-20T00:00:00"/>
    <x v="0"/>
    <s v="Pending"/>
    <n v="2"/>
    <s v="Maya Patel"/>
    <d v="2026-06-29T00:00:00"/>
    <s v="Overdue"/>
    <x v="0"/>
    <x v="1"/>
    <x v="3"/>
    <s v="Elevated"/>
  </r>
  <r>
    <s v="CTRL-0597"/>
    <s v="Policy Control 597"/>
    <s v="IDENTIFY"/>
    <s v="ID.AM"/>
    <x v="1"/>
    <x v="1"/>
    <s v="United States"/>
    <x v="1"/>
    <s v="Emma Schmidt"/>
    <s v="Annual"/>
    <d v="2025-09-20T00:00:00"/>
    <d v="2026-03-19T00:00:00"/>
    <x v="0"/>
    <s v="Pending"/>
    <n v="3"/>
    <s v="Taylor Morgan"/>
    <d v="2026-08-06T00:00:00"/>
    <s v="Overdue"/>
    <x v="0"/>
    <x v="1"/>
    <x v="3"/>
    <s v="Standard"/>
  </r>
  <r>
    <s v="CTRL-0598"/>
    <s v="Policy Control 598"/>
    <s v="RECOVER"/>
    <s v="RC.RP"/>
    <x v="1"/>
    <x v="1"/>
    <s v="Canada"/>
    <x v="1"/>
    <s v="Taylor Morgan"/>
    <s v="Annual"/>
    <d v="2025-06-21T00:00:00"/>
    <d v="2025-09-19T00:00:00"/>
    <x v="0"/>
    <s v="Missing"/>
    <n v="3"/>
    <s v="Maya Patel"/>
    <d v="2026-07-19T00:00:00"/>
    <s v="Overdue"/>
    <x v="0"/>
    <x v="1"/>
    <x v="1"/>
    <s v="Standard"/>
  </r>
  <r>
    <s v="CTRL-0599"/>
    <s v="Incident Control 599"/>
    <s v="RECOVER"/>
    <s v="RC.RP"/>
    <x v="5"/>
    <x v="1"/>
    <s v="Canada"/>
    <x v="0"/>
    <s v="Noah Williams"/>
    <s v="Semiannual"/>
    <d v="2025-12-29T00:00:00"/>
    <d v="2026-12-29T00:00:00"/>
    <x v="1"/>
    <s v="Pending"/>
    <n v="5"/>
    <s v="Liam Brown"/>
    <d v="2026-10-11T00:00:00"/>
    <s v="In Progress"/>
    <x v="1"/>
    <x v="1"/>
    <x v="3"/>
    <s v="Elevated"/>
  </r>
  <r>
    <s v="CTRL-0600"/>
    <s v="Vendor Control 600"/>
    <s v="PROTECT"/>
    <s v="PR.AA"/>
    <x v="5"/>
    <x v="2"/>
    <s v="Germany"/>
    <x v="3"/>
    <s v="Alex Chen"/>
    <s v="Semiannual"/>
    <d v="2026-05-27T00:00:00"/>
    <d v="2026-08-25T00:00:00"/>
    <x v="0"/>
    <s v="Complete"/>
    <n v="3"/>
    <s v="Jordan Lee"/>
    <d v="2026-08-01T00:00:00"/>
    <s v="Overdue"/>
    <x v="0"/>
    <x v="1"/>
    <x v="2"/>
    <s v="Elevated"/>
  </r>
  <r>
    <s v="CTRL-0601"/>
    <s v="Vendor Control 601"/>
    <s v="DETECT"/>
    <s v="DE.CM"/>
    <x v="3"/>
    <x v="2"/>
    <s v="Germany"/>
    <x v="1"/>
    <s v="Maya Patel"/>
    <s v="Semiannual"/>
    <d v="2026-04-12T00:00:00"/>
    <d v="2026-10-09T00:00:00"/>
    <x v="1"/>
    <s v="Complete"/>
    <n v="0"/>
    <s v="Liam Brown"/>
    <d v="2026-11-27T00:00:00"/>
    <s v="Not Required"/>
    <x v="1"/>
    <x v="1"/>
    <x v="2"/>
    <s v="Standard"/>
  </r>
  <r>
    <s v="CTRL-0602"/>
    <s v="Access Control 602"/>
    <s v="DETECT"/>
    <s v="DE.CM"/>
    <x v="2"/>
    <x v="2"/>
    <s v="Germany"/>
    <x v="0"/>
    <s v="Noah Williams"/>
    <s v="Semiannual"/>
    <d v="2026-04-24T00:00:00"/>
    <d v="2026-10-21T00:00:00"/>
    <x v="1"/>
    <s v="Pending"/>
    <n v="1"/>
    <s v="Maya Patel"/>
    <d v="2026-08-16T00:00:00"/>
    <s v="Overdue"/>
    <x v="1"/>
    <x v="1"/>
    <x v="3"/>
    <s v="Elevated"/>
  </r>
  <r>
    <s v="CTRL-0603"/>
    <s v="Change Control 603"/>
    <s v="PROTECT"/>
    <s v="PR.AA"/>
    <x v="0"/>
    <x v="2"/>
    <s v="United Kingdom"/>
    <x v="1"/>
    <s v="Noah Williams"/>
    <s v="Annual"/>
    <d v="2026-08-22T00:00:00"/>
    <d v="2027-08-22T00:00:00"/>
    <x v="1"/>
    <s v="Complete"/>
    <n v="2"/>
    <s v="Jordan Lee"/>
    <d v="2026-08-09T00:00:00"/>
    <s v="Completed"/>
    <x v="1"/>
    <x v="1"/>
    <x v="2"/>
    <s v="Standard"/>
  </r>
  <r>
    <s v="CTRL-0604"/>
    <s v="Vendor Control 604"/>
    <s v="GOVERN"/>
    <s v="GV.OC"/>
    <x v="0"/>
    <x v="0"/>
    <s v="Singapore"/>
    <x v="0"/>
    <s v="Taylor Morgan"/>
    <s v="Annual"/>
    <d v="2025-07-16T00:00:00"/>
    <d v="2026-01-12T00:00:00"/>
    <x v="0"/>
    <s v="Pending"/>
    <n v="3"/>
    <s v="Jordan Lee"/>
    <d v="2027-01-24T00:00:00"/>
    <s v="In Progress"/>
    <x v="0"/>
    <x v="1"/>
    <x v="3"/>
    <s v="Elevated"/>
  </r>
  <r>
    <s v="CTRL-0605"/>
    <s v="Reconciliation Control 605"/>
    <s v="RECOVER"/>
    <s v="RC.RP"/>
    <x v="1"/>
    <x v="2"/>
    <s v="United Kingdom"/>
    <x v="0"/>
    <s v="Sam Rivera"/>
    <s v="Quarterly"/>
    <d v="2026-01-11T00:00:00"/>
    <d v="2026-04-11T00:00:00"/>
    <x v="0"/>
    <s v="Missing"/>
    <n v="4"/>
    <s v="Noah Williams"/>
    <d v="2027-01-10T00:00:00"/>
    <s v="In Progress"/>
    <x v="0"/>
    <x v="1"/>
    <x v="1"/>
    <s v="Elevated"/>
  </r>
  <r>
    <s v="CTRL-0606"/>
    <s v="Vendor Control 606"/>
    <s v="GOVERN"/>
    <s v="GV.OC"/>
    <x v="5"/>
    <x v="1"/>
    <s v="Canada"/>
    <x v="2"/>
    <s v="Liam Brown"/>
    <s v="Annual"/>
    <d v="2026-01-23T00:00:00"/>
    <d v="2027-01-23T00:00:00"/>
    <x v="1"/>
    <s v="Complete"/>
    <n v="1"/>
    <s v="Noah Williams"/>
    <d v="2026-09-06T00:00:00"/>
    <s v="Overdue"/>
    <x v="1"/>
    <x v="1"/>
    <x v="2"/>
    <s v="Standard"/>
  </r>
  <r>
    <s v="CTRL-0607"/>
    <s v="Change Control 607"/>
    <s v="GOVERN"/>
    <s v="GV.OC"/>
    <x v="4"/>
    <x v="2"/>
    <s v="United Kingdom"/>
    <x v="2"/>
    <s v="Emma Schmidt"/>
    <s v="Quarterly"/>
    <d v="2025-08-16T00:00:00"/>
    <d v="2026-08-16T00:00:00"/>
    <x v="0"/>
    <s v="Missing"/>
    <n v="2"/>
    <s v="Noah Williams"/>
    <d v="2026-09-16T00:00:00"/>
    <s v="Overdue"/>
    <x v="0"/>
    <x v="1"/>
    <x v="1"/>
    <s v="Standard"/>
  </r>
  <r>
    <s v="CTRL-0608"/>
    <s v="Incident Control 608"/>
    <s v="RECOVER"/>
    <s v="RC.RP"/>
    <x v="4"/>
    <x v="0"/>
    <s v="Singapore"/>
    <x v="1"/>
    <s v="Emma Schmidt"/>
    <s v="Semiannual"/>
    <d v="2026-08-09T00:00:00"/>
    <d v="2027-08-09T00:00:00"/>
    <x v="1"/>
    <s v="Pending"/>
    <n v="0"/>
    <s v="Maya Patel"/>
    <d v="2026-09-18T00:00:00"/>
    <s v="Not Required"/>
    <x v="1"/>
    <x v="1"/>
    <x v="3"/>
    <s v="Standard"/>
  </r>
  <r>
    <s v="CTRL-0609"/>
    <s v="Vendor Control 609"/>
    <s v="GOVERN"/>
    <s v="GV.RM"/>
    <x v="5"/>
    <x v="1"/>
    <s v="United States"/>
    <x v="2"/>
    <s v="Alex Chen"/>
    <s v="Semiannual"/>
    <d v="2025-07-14T00:00:00"/>
    <d v="2026-07-14T00:00:00"/>
    <x v="0"/>
    <s v="Missing"/>
    <n v="3"/>
    <s v="Sam Rivera"/>
    <d v="2026-04-16T00:00:00"/>
    <s v="Completed"/>
    <x v="0"/>
    <x v="1"/>
    <x v="1"/>
    <s v="Standard"/>
  </r>
  <r>
    <s v="CTRL-0610"/>
    <s v="Change Control 610"/>
    <s v="GOVERN"/>
    <s v="GV.RM"/>
    <x v="5"/>
    <x v="1"/>
    <s v="Canada"/>
    <x v="2"/>
    <s v="Liam Brown"/>
    <s v="Annual"/>
    <d v="2026-08-12T00:00:00"/>
    <d v="2027-02-08T00:00:00"/>
    <x v="1"/>
    <s v="Complete"/>
    <n v="2"/>
    <s v="Emma Schmidt"/>
    <d v="2026-10-30T00:00:00"/>
    <s v="In Progress"/>
    <x v="1"/>
    <x v="1"/>
    <x v="2"/>
    <s v="Standard"/>
  </r>
  <r>
    <s v="CTRL-0611"/>
    <s v="Data Control 611"/>
    <s v="PROTECT"/>
    <s v="PR.AA"/>
    <x v="4"/>
    <x v="2"/>
    <s v="United Kingdom"/>
    <x v="3"/>
    <s v="Sam Rivera"/>
    <s v="Quarterly"/>
    <d v="2026-07-06T00:00:00"/>
    <d v="2026-10-04T00:00:00"/>
    <x v="1"/>
    <s v="Missing"/>
    <n v="5"/>
    <s v="Liam Brown"/>
    <d v="2026-12-02T00:00:00"/>
    <s v="Completed"/>
    <x v="1"/>
    <x v="1"/>
    <x v="1"/>
    <s v="Elevated"/>
  </r>
  <r>
    <s v="CTRL-0612"/>
    <s v="Vendor Control 612"/>
    <s v="RECOVER"/>
    <s v="RC.RP"/>
    <x v="0"/>
    <x v="2"/>
    <s v="United Kingdom"/>
    <x v="3"/>
    <m/>
    <s v="Semiannual"/>
    <d v="2026-01-25T00:00:00"/>
    <d v="2026-04-25T00:00:00"/>
    <x v="0"/>
    <s v="Pending"/>
    <n v="4"/>
    <s v="Alex Chen"/>
    <d v="2026-08-07T00:00:00"/>
    <s v="Overdue"/>
    <x v="0"/>
    <x v="0"/>
    <x v="3"/>
    <s v="Elevated"/>
  </r>
  <r>
    <s v="CTRL-0613"/>
    <s v="Vendor Control 613"/>
    <s v="RESPOND"/>
    <s v="RS.MA"/>
    <x v="2"/>
    <x v="0"/>
    <s v="Singapore"/>
    <x v="2"/>
    <s v="Liam Brown"/>
    <s v="Semiannual"/>
    <d v="2026-03-17T00:00:00"/>
    <d v="2027-03-17T00:00:00"/>
    <x v="2"/>
    <s v="Pending"/>
    <n v="1"/>
    <s v="Jordan Lee"/>
    <d v="2026-11-01T00:00:00"/>
    <s v="Completed"/>
    <x v="1"/>
    <x v="1"/>
    <x v="3"/>
    <s v="Standard"/>
  </r>
  <r>
    <s v="CTRL-0614"/>
    <s v="Vendor Control 614"/>
    <s v="IDENTIFY"/>
    <s v="ID.AM"/>
    <x v="4"/>
    <x v="0"/>
    <s v="Singapore"/>
    <x v="2"/>
    <s v="Alex Chen"/>
    <s v="Semiannual"/>
    <d v="2026-05-11T00:00:00"/>
    <d v="2026-08-09T00:00:00"/>
    <x v="0"/>
    <s v="Pending"/>
    <n v="2"/>
    <s v="Maya Patel"/>
    <d v="2026-05-07T00:00:00"/>
    <s v="Overdue"/>
    <x v="0"/>
    <x v="1"/>
    <x v="3"/>
    <s v="Standard"/>
  </r>
  <r>
    <s v="CTRL-0615"/>
    <s v="Access Control 615"/>
    <s v="RECOVER"/>
    <s v="RC.RP"/>
    <x v="0"/>
    <x v="2"/>
    <s v="United Kingdom"/>
    <x v="2"/>
    <s v="Noah Williams"/>
    <s v="Quarterly"/>
    <d v="2026-02-13T00:00:00"/>
    <d v="2026-08-12T00:00:00"/>
    <x v="0"/>
    <s v="Complete"/>
    <n v="2"/>
    <s v="Liam Brown"/>
    <d v="2026-07-18T00:00:00"/>
    <s v="Overdue"/>
    <x v="0"/>
    <x v="1"/>
    <x v="2"/>
    <s v="Standard"/>
  </r>
  <r>
    <s v="CTRL-0616"/>
    <s v="Reconciliation Control 616"/>
    <s v="GOVERN"/>
    <s v="GV.RR"/>
    <x v="5"/>
    <x v="2"/>
    <s v="Germany"/>
    <x v="2"/>
    <s v="Sam Rivera"/>
    <s v="Annual"/>
    <d v="2026-02-19T00:00:00"/>
    <d v="2026-05-20T00:00:00"/>
    <x v="0"/>
    <s v="Complete"/>
    <n v="2"/>
    <s v="Liam Brown"/>
    <d v="2026-05-31T00:00:00"/>
    <s v="Overdue"/>
    <x v="0"/>
    <x v="1"/>
    <x v="2"/>
    <s v="Standard"/>
  </r>
  <r>
    <s v="CTRL-0617"/>
    <s v="Policy Control 617"/>
    <s v="GOVERN"/>
    <s v="GV.RR"/>
    <x v="0"/>
    <x v="2"/>
    <s v="Germany"/>
    <x v="1"/>
    <s v="Sam Rivera"/>
    <s v="Quarterly"/>
    <d v="2025-09-10T00:00:00"/>
    <d v="2026-03-09T00:00:00"/>
    <x v="0"/>
    <s v="Complete"/>
    <n v="3"/>
    <s v="Maya Patel"/>
    <d v="2026-08-23T00:00:00"/>
    <s v="Overdue"/>
    <x v="0"/>
    <x v="1"/>
    <x v="2"/>
    <s v="Standard"/>
  </r>
  <r>
    <s v="CTRL-0618"/>
    <s v="Vendor Control 618"/>
    <s v="GOVERN"/>
    <s v="GV.RR"/>
    <x v="0"/>
    <x v="1"/>
    <s v="Canada"/>
    <x v="2"/>
    <s v="Emma Schmidt"/>
    <s v="Semiannual"/>
    <d v="2026-06-16T00:00:00"/>
    <d v="2026-09-14T00:00:00"/>
    <x v="0"/>
    <s v="Missing"/>
    <n v="0"/>
    <s v="Jordan Lee"/>
    <d v="2026-08-20T00:00:00"/>
    <s v="Not Required"/>
    <x v="0"/>
    <x v="1"/>
    <x v="1"/>
    <s v="Standard"/>
  </r>
  <r>
    <s v="CTRL-0619"/>
    <s v="Vendor Control 619"/>
    <s v="PROTECT"/>
    <s v="PR.AA"/>
    <x v="5"/>
    <x v="1"/>
    <s v="United States"/>
    <x v="2"/>
    <s v="Liam Brown"/>
    <s v="Quarterly"/>
    <d v="2025-09-19T00:00:00"/>
    <d v="2025-12-18T00:00:00"/>
    <x v="0"/>
    <s v="Missing"/>
    <n v="0"/>
    <s v="Alex Chen"/>
    <d v="2026-10-19T00:00:00"/>
    <s v="Not Required"/>
    <x v="0"/>
    <x v="1"/>
    <x v="1"/>
    <s v="Standard"/>
  </r>
  <r>
    <s v="CTRL-0620"/>
    <s v="Access Control 620"/>
    <s v="RESPOND"/>
    <s v="RS.MA"/>
    <x v="1"/>
    <x v="1"/>
    <s v="Canada"/>
    <x v="3"/>
    <s v="Noah Williams"/>
    <s v="Quarterly"/>
    <d v="2025-06-02T00:00:00"/>
    <d v="2025-08-31T00:00:00"/>
    <x v="0"/>
    <s v="Complete"/>
    <n v="0"/>
    <s v="Noah Williams"/>
    <d v="2026-04-11T00:00:00"/>
    <s v="Not Required"/>
    <x v="0"/>
    <x v="1"/>
    <x v="2"/>
    <s v="Elevated"/>
  </r>
  <r>
    <s v="CTRL-0621"/>
    <s v="Policy Control 621"/>
    <s v="GOVERN"/>
    <s v="GV.RM"/>
    <x v="1"/>
    <x v="1"/>
    <s v="United States"/>
    <x v="3"/>
    <s v="Maya Patel"/>
    <s v="Semiannual"/>
    <d v="2025-07-29T00:00:00"/>
    <d v="2026-07-29T00:00:00"/>
    <x v="0"/>
    <s v="Complete"/>
    <n v="5"/>
    <s v="Noah Williams"/>
    <d v="2026-06-27T00:00:00"/>
    <s v="Completed"/>
    <x v="0"/>
    <x v="1"/>
    <x v="2"/>
    <s v="Elevated"/>
  </r>
  <r>
    <s v="CTRL-0622"/>
    <s v="Change Control 622"/>
    <s v="DETECT"/>
    <s v="DE.CM"/>
    <x v="3"/>
    <x v="0"/>
    <s v="Singapore"/>
    <x v="1"/>
    <s v="Emma Schmidt"/>
    <s v="Quarterly"/>
    <d v="2025-05-18T00:00:00"/>
    <d v="2025-11-14T00:00:00"/>
    <x v="0"/>
    <s v="Complete"/>
    <n v="1"/>
    <s v="Emma Schmidt"/>
    <d v="2026-07-21T00:00:00"/>
    <s v="Completed"/>
    <x v="0"/>
    <x v="1"/>
    <x v="2"/>
    <s v="Standard"/>
  </r>
  <r>
    <s v="CTRL-0623"/>
    <s v="Vendor Control 623"/>
    <s v="IDENTIFY"/>
    <s v="ID.AM"/>
    <x v="0"/>
    <x v="0"/>
    <s v="Singapore"/>
    <x v="2"/>
    <s v="Liam Brown"/>
    <s v="Semiannual"/>
    <d v="2026-05-21T00:00:00"/>
    <d v="2026-08-19T00:00:00"/>
    <x v="0"/>
    <s v="Missing"/>
    <n v="2"/>
    <s v="Liam Brown"/>
    <d v="2026-10-08T00:00:00"/>
    <s v="Completed"/>
    <x v="0"/>
    <x v="1"/>
    <x v="1"/>
    <s v="Standard"/>
  </r>
  <r>
    <s v="CTRL-0624"/>
    <s v="Policy Control 624"/>
    <s v="DETECT"/>
    <s v="DE.CM"/>
    <x v="2"/>
    <x v="1"/>
    <s v="United States"/>
    <x v="3"/>
    <s v="Noah Williams"/>
    <s v="Annual"/>
    <d v="2025-10-22T00:00:00"/>
    <d v="2026-10-22T00:00:00"/>
    <x v="1"/>
    <s v="Missing"/>
    <n v="1"/>
    <s v="Liam Brown"/>
    <d v="2026-09-20T00:00:00"/>
    <s v="Completed"/>
    <x v="1"/>
    <x v="1"/>
    <x v="1"/>
    <s v="Elevated"/>
  </r>
  <r>
    <s v="CTRL-0625"/>
    <s v="Data Control 625"/>
    <s v="GOVERN"/>
    <s v="GV.OC"/>
    <x v="0"/>
    <x v="1"/>
    <s v="Canada"/>
    <x v="2"/>
    <s v="Liam Brown"/>
    <s v="Quarterly"/>
    <d v="2026-02-27T00:00:00"/>
    <d v="2027-02-27T00:00:00"/>
    <x v="3"/>
    <s v="Missing"/>
    <n v="0"/>
    <s v="Taylor Morgan"/>
    <d v="2026-07-31T00:00:00"/>
    <s v="Not Required"/>
    <x v="1"/>
    <x v="1"/>
    <x v="1"/>
    <s v="Standard"/>
  </r>
  <r>
    <s v="CTRL-0626"/>
    <s v="Change Control 626"/>
    <s v="GOVERN"/>
    <s v="GV.OC"/>
    <x v="1"/>
    <x v="1"/>
    <s v="Canada"/>
    <x v="2"/>
    <s v="Alex Chen"/>
    <s v="Annual"/>
    <d v="2026-07-02T00:00:00"/>
    <d v="2026-12-29T00:00:00"/>
    <x v="1"/>
    <s v="Complete"/>
    <n v="1"/>
    <s v="Liam Brown"/>
    <d v="2026-10-12T00:00:00"/>
    <s v="Completed"/>
    <x v="1"/>
    <x v="1"/>
    <x v="2"/>
    <s v="Standard"/>
  </r>
  <r>
    <s v="CTRL-0627"/>
    <s v="Reconciliation Control 627"/>
    <s v="DETECT"/>
    <s v="DE.CM"/>
    <x v="1"/>
    <x v="0"/>
    <s v="Singapore"/>
    <x v="1"/>
    <s v="Alex Chen"/>
    <s v="Quarterly"/>
    <d v="2025-12-18T00:00:00"/>
    <d v="2026-06-16T00:00:00"/>
    <x v="0"/>
    <s v="Missing"/>
    <n v="2"/>
    <s v="Sam Rivera"/>
    <d v="2026-04-15T00:00:00"/>
    <s v="Completed"/>
    <x v="0"/>
    <x v="1"/>
    <x v="1"/>
    <s v="Standard"/>
  </r>
  <r>
    <s v="CTRL-0628"/>
    <s v="Access Control 628"/>
    <s v="GOVERN"/>
    <s v="GV.OC"/>
    <x v="5"/>
    <x v="0"/>
    <s v="Singapore"/>
    <x v="3"/>
    <s v="Sam Rivera"/>
    <s v="Semiannual"/>
    <d v="2025-11-03T00:00:00"/>
    <d v="2026-05-02T00:00:00"/>
    <x v="0"/>
    <s v="Missing"/>
    <n v="2"/>
    <s v="Maya Patel"/>
    <d v="2026-07-05T00:00:00"/>
    <s v="Overdue"/>
    <x v="0"/>
    <x v="1"/>
    <x v="1"/>
    <s v="Elevated"/>
  </r>
  <r>
    <s v="CTRL-0629"/>
    <s v="Incident Control 629"/>
    <s v="RESPOND"/>
    <s v="RS.MA"/>
    <x v="5"/>
    <x v="1"/>
    <s v="United States"/>
    <x v="3"/>
    <s v="Sam Rivera"/>
    <s v="Semiannual"/>
    <d v="2026-07-08T00:00:00"/>
    <d v="2026-10-06T00:00:00"/>
    <x v="1"/>
    <s v="Missing"/>
    <n v="1"/>
    <s v="Taylor Morgan"/>
    <d v="2026-08-01T00:00:00"/>
    <s v="Overdue"/>
    <x v="1"/>
    <x v="1"/>
    <x v="1"/>
    <s v="Elevated"/>
  </r>
  <r>
    <s v="CTRL-0630"/>
    <s v="Vendor Control 630"/>
    <s v="DETECT"/>
    <s v="DE.CM"/>
    <x v="1"/>
    <x v="1"/>
    <s v="United States"/>
    <x v="2"/>
    <s v="Sam Rivera"/>
    <s v="Semiannual"/>
    <d v="2026-04-08T00:00:00"/>
    <d v="2026-10-05T00:00:00"/>
    <x v="3"/>
    <s v="Pending"/>
    <n v="3"/>
    <s v="Jordan Lee"/>
    <d v="2026-05-13T00:00:00"/>
    <s v="Overdue"/>
    <x v="1"/>
    <x v="1"/>
    <x v="3"/>
    <s v="Standard"/>
  </r>
  <r>
    <s v="CTRL-0631"/>
    <s v="Policy Control 631"/>
    <s v="RESPOND"/>
    <s v="RS.MA"/>
    <x v="4"/>
    <x v="2"/>
    <s v="Germany"/>
    <x v="2"/>
    <s v="Emma Schmidt"/>
    <s v="Quarterly"/>
    <d v="2025-08-17T00:00:00"/>
    <d v="2025-11-15T00:00:00"/>
    <x v="0"/>
    <s v="Pending"/>
    <n v="0"/>
    <s v="Taylor Morgan"/>
    <d v="2026-10-15T00:00:00"/>
    <s v="Not Required"/>
    <x v="0"/>
    <x v="1"/>
    <x v="3"/>
    <s v="Standard"/>
  </r>
  <r>
    <s v="CTRL-0632"/>
    <s v="Access Control 632"/>
    <s v="RECOVER"/>
    <s v="RC.RP"/>
    <x v="3"/>
    <x v="0"/>
    <s v="Singapore"/>
    <x v="0"/>
    <s v="Taylor Morgan"/>
    <s v="Semiannual"/>
    <d v="2026-02-28T00:00:00"/>
    <d v="2026-08-27T00:00:00"/>
    <x v="0"/>
    <s v="Pending"/>
    <n v="3"/>
    <s v="Jordan Lee"/>
    <d v="2026-08-26T00:00:00"/>
    <s v="Overdue"/>
    <x v="0"/>
    <x v="1"/>
    <x v="3"/>
    <s v="Elevated"/>
  </r>
  <r>
    <s v="CTRL-0633"/>
    <s v="Vendor Control 633"/>
    <s v="DETECT"/>
    <s v="DE.CM"/>
    <x v="1"/>
    <x v="0"/>
    <s v="Singapore"/>
    <x v="1"/>
    <s v="Sam Rivera"/>
    <s v="Semiannual"/>
    <d v="2026-09-08T00:00:00"/>
    <d v="2026-12-07T00:00:00"/>
    <x v="2"/>
    <s v="Pending"/>
    <n v="3"/>
    <s v="Taylor Morgan"/>
    <d v="2026-11-01T00:00:00"/>
    <s v="In Progress"/>
    <x v="1"/>
    <x v="1"/>
    <x v="3"/>
    <s v="Standard"/>
  </r>
  <r>
    <s v="CTRL-0634"/>
    <s v="Incident Control 634"/>
    <s v="RECOVER"/>
    <s v="RC.RP"/>
    <x v="4"/>
    <x v="0"/>
    <s v="Singapore"/>
    <x v="0"/>
    <s v="Maya Patel"/>
    <s v="Annual"/>
    <d v="2026-02-25T00:00:00"/>
    <d v="2027-02-25T00:00:00"/>
    <x v="1"/>
    <s v="Pending"/>
    <n v="2"/>
    <s v="Noah Williams"/>
    <d v="2026-09-28T00:00:00"/>
    <s v="Overdue"/>
    <x v="1"/>
    <x v="1"/>
    <x v="3"/>
    <s v="Elevated"/>
  </r>
  <r>
    <s v="CTRL-0635"/>
    <s v="Incident Control 635"/>
    <s v="DETECT"/>
    <s v="DE.CM"/>
    <x v="5"/>
    <x v="0"/>
    <s v="Singapore"/>
    <x v="2"/>
    <s v="Emma Schmidt"/>
    <s v="Annual"/>
    <d v="2025-08-30T00:00:00"/>
    <d v="2025-11-28T00:00:00"/>
    <x v="0"/>
    <s v="Complete"/>
    <n v="3"/>
    <s v="Alex Chen"/>
    <d v="2026-04-20T00:00:00"/>
    <s v="Overdue"/>
    <x v="0"/>
    <x v="1"/>
    <x v="2"/>
    <s v="Standard"/>
  </r>
  <r>
    <s v="CTRL-0636"/>
    <s v="Incident Control 636"/>
    <s v="GOVERN"/>
    <s v="GV.RM"/>
    <x v="2"/>
    <x v="0"/>
    <s v="Singapore"/>
    <x v="2"/>
    <s v="Jordan Lee"/>
    <s v="Annual"/>
    <d v="2026-05-03T00:00:00"/>
    <d v="2026-08-01T00:00:00"/>
    <x v="0"/>
    <s v="Missing"/>
    <n v="1"/>
    <s v="Emma Schmidt"/>
    <d v="2026-04-09T00:00:00"/>
    <s v="Completed"/>
    <x v="0"/>
    <x v="1"/>
    <x v="1"/>
    <s v="Standard"/>
  </r>
  <r>
    <s v="CTRL-0637"/>
    <s v="Data Control 637"/>
    <s v="RESPOND"/>
    <s v="RS.MA"/>
    <x v="3"/>
    <x v="2"/>
    <s v="United Kingdom"/>
    <x v="0"/>
    <s v="Emma Schmidt"/>
    <s v="Semiannual"/>
    <d v="2026-06-18T00:00:00"/>
    <d v="2026-12-15T00:00:00"/>
    <x v="1"/>
    <s v="Pending"/>
    <n v="4"/>
    <s v="Emma Schmidt"/>
    <d v="2026-12-31T00:00:00"/>
    <s v="In Progress"/>
    <x v="1"/>
    <x v="1"/>
    <x v="3"/>
    <s v="Elevated"/>
  </r>
  <r>
    <s v="CTRL-0638"/>
    <s v="Change Control 638"/>
    <s v="GOVERN"/>
    <s v="GV.OC"/>
    <x v="0"/>
    <x v="0"/>
    <s v="Singapore"/>
    <x v="2"/>
    <s v="Noah Williams"/>
    <s v="Semiannual"/>
    <d v="2025-07-21T00:00:00"/>
    <d v="2025-10-19T00:00:00"/>
    <x v="0"/>
    <s v="Pending"/>
    <n v="1"/>
    <s v="Alex Chen"/>
    <d v="2026-10-23T00:00:00"/>
    <s v="In Progress"/>
    <x v="0"/>
    <x v="1"/>
    <x v="3"/>
    <s v="Standard"/>
  </r>
  <r>
    <s v="CTRL-0639"/>
    <s v="Incident Control 639"/>
    <s v="GOVERN"/>
    <s v="GV.RR"/>
    <x v="5"/>
    <x v="1"/>
    <s v="United States"/>
    <x v="2"/>
    <s v="Emma Schmidt"/>
    <s v="Quarterly"/>
    <d v="2025-10-10T00:00:00"/>
    <d v="2026-04-08T00:00:00"/>
    <x v="0"/>
    <s v="Missing"/>
    <n v="3"/>
    <s v="Sam Rivera"/>
    <d v="2026-06-29T00:00:00"/>
    <s v="Completed"/>
    <x v="0"/>
    <x v="1"/>
    <x v="1"/>
    <s v="Standard"/>
  </r>
  <r>
    <s v="CTRL-0640"/>
    <s v="Reconciliation Control 640"/>
    <s v="IDENTIFY"/>
    <s v="ID.AM"/>
    <x v="3"/>
    <x v="2"/>
    <s v="United Kingdom"/>
    <x v="3"/>
    <s v="Liam Brown"/>
    <s v="Semiannual"/>
    <d v="2025-11-24T00:00:00"/>
    <d v="2026-02-22T00:00:00"/>
    <x v="0"/>
    <s v="Complete"/>
    <n v="1"/>
    <s v="Liam Brown"/>
    <d v="2026-05-03T00:00:00"/>
    <s v="Overdue"/>
    <x v="0"/>
    <x v="1"/>
    <x v="2"/>
    <s v="Elevated"/>
  </r>
  <r>
    <s v="CTRL-0641"/>
    <s v="Vendor Control 641"/>
    <s v="RECOVER"/>
    <s v="RC.RP"/>
    <x v="5"/>
    <x v="0"/>
    <s v="Singapore"/>
    <x v="1"/>
    <s v="Taylor Morgan"/>
    <s v="Annual"/>
    <d v="2026-07-29T00:00:00"/>
    <d v="2027-01-25T00:00:00"/>
    <x v="1"/>
    <s v="Complete"/>
    <n v="2"/>
    <s v="Maya Patel"/>
    <d v="2026-04-18T00:00:00"/>
    <s v="Overdue"/>
    <x v="1"/>
    <x v="1"/>
    <x v="2"/>
    <s v="Standard"/>
  </r>
  <r>
    <s v="CTRL-0642"/>
    <s v="Data Control 642"/>
    <s v="RESPOND"/>
    <s v="RS.MA"/>
    <x v="2"/>
    <x v="1"/>
    <s v="United States"/>
    <x v="0"/>
    <s v="Alex Chen"/>
    <s v="Annual"/>
    <d v="2025-10-05T00:00:00"/>
    <d v="2026-10-05T00:00:00"/>
    <x v="3"/>
    <s v="Complete"/>
    <n v="1"/>
    <s v="Taylor Morgan"/>
    <d v="2026-12-26T00:00:00"/>
    <s v="In Progress"/>
    <x v="1"/>
    <x v="1"/>
    <x v="2"/>
    <s v="Elevated"/>
  </r>
  <r>
    <s v="CTRL-0643"/>
    <s v="Reconciliation Control 643"/>
    <s v="GOVERN"/>
    <s v="GV.OC"/>
    <x v="2"/>
    <x v="2"/>
    <s v="Germany"/>
    <x v="2"/>
    <s v="Noah Williams"/>
    <s v="Semiannual"/>
    <d v="2026-03-05T00:00:00"/>
    <d v="2027-03-05T00:00:00"/>
    <x v="2"/>
    <s v="Complete"/>
    <n v="2"/>
    <s v="Maya Patel"/>
    <d v="2026-10-24T00:00:00"/>
    <s v="In Progress"/>
    <x v="1"/>
    <x v="1"/>
    <x v="2"/>
    <s v="Standard"/>
  </r>
  <r>
    <s v="CTRL-0644"/>
    <s v="Data Control 644"/>
    <s v="RECOVER"/>
    <s v="RC.RP"/>
    <x v="5"/>
    <x v="1"/>
    <s v="Canada"/>
    <x v="2"/>
    <s v="Jordan Lee"/>
    <s v="Semiannual"/>
    <d v="2026-08-28T00:00:00"/>
    <d v="2027-08-28T00:00:00"/>
    <x v="1"/>
    <s v="Missing"/>
    <n v="2"/>
    <s v="Sam Rivera"/>
    <d v="2026-08-08T00:00:00"/>
    <s v="Overdue"/>
    <x v="1"/>
    <x v="1"/>
    <x v="1"/>
    <s v="Standard"/>
  </r>
  <r>
    <s v="CTRL-0645"/>
    <s v="Incident Control 645"/>
    <s v="RESPOND"/>
    <s v="RS.MA"/>
    <x v="0"/>
    <x v="1"/>
    <s v="Canada"/>
    <x v="2"/>
    <s v="Alex Chen"/>
    <s v="Annual"/>
    <d v="2025-07-24T00:00:00"/>
    <d v="2026-07-24T00:00:00"/>
    <x v="0"/>
    <s v="Pending"/>
    <n v="3"/>
    <s v="Maya Patel"/>
    <d v="2026-07-31T00:00:00"/>
    <s v="Overdue"/>
    <x v="0"/>
    <x v="1"/>
    <x v="3"/>
    <s v="Standard"/>
  </r>
  <r>
    <s v="CTRL-0646"/>
    <s v="Change Control 646"/>
    <s v="GOVERN"/>
    <s v="GV.OC"/>
    <x v="4"/>
    <x v="2"/>
    <s v="Germany"/>
    <x v="3"/>
    <s v="Maya Patel"/>
    <s v="Semiannual"/>
    <d v="2025-08-31T00:00:00"/>
    <d v="2026-02-27T00:00:00"/>
    <x v="0"/>
    <s v="Pending"/>
    <n v="4"/>
    <s v="Maya Patel"/>
    <d v="2026-07-11T00:00:00"/>
    <s v="Overdue"/>
    <x v="0"/>
    <x v="1"/>
    <x v="3"/>
    <s v="Elevated"/>
  </r>
  <r>
    <s v="CTRL-0647"/>
    <s v="Access Control 647"/>
    <s v="GOVERN"/>
    <s v="GV.RM"/>
    <x v="1"/>
    <x v="2"/>
    <s v="Germany"/>
    <x v="0"/>
    <s v="Maya Patel"/>
    <s v="Semiannual"/>
    <d v="2026-01-07T00:00:00"/>
    <d v="2027-01-07T00:00:00"/>
    <x v="1"/>
    <s v="Complete"/>
    <n v="1"/>
    <s v="Alex Chen"/>
    <d v="2026-06-29T00:00:00"/>
    <s v="Overdue"/>
    <x v="1"/>
    <x v="1"/>
    <x v="2"/>
    <s v="Elevated"/>
  </r>
  <r>
    <s v="CTRL-0648"/>
    <s v="Access Control 648"/>
    <s v="RECOVER"/>
    <s v="RC.RP"/>
    <x v="4"/>
    <x v="1"/>
    <s v="Canada"/>
    <x v="0"/>
    <s v="Sam Rivera"/>
    <s v="Annual"/>
    <d v="2025-09-07T00:00:00"/>
    <d v="2026-03-06T00:00:00"/>
    <x v="0"/>
    <s v="Missing"/>
    <n v="3"/>
    <s v="Noah Williams"/>
    <d v="2026-06-05T00:00:00"/>
    <s v="Overdue"/>
    <x v="0"/>
    <x v="1"/>
    <x v="1"/>
    <s v="Elevated"/>
  </r>
  <r>
    <s v="CTRL-0649"/>
    <s v="Access Control 649"/>
    <s v="GOVERN"/>
    <s v="GV.RM"/>
    <x v="5"/>
    <x v="1"/>
    <s v="United States"/>
    <x v="2"/>
    <s v="Emma Schmidt"/>
    <s v="Quarterly"/>
    <d v="2025-10-11T00:00:00"/>
    <d v="2026-10-11T00:00:00"/>
    <x v="2"/>
    <s v="Complete"/>
    <n v="1"/>
    <s v="Noah Williams"/>
    <d v="2026-08-13T00:00:00"/>
    <s v="Completed"/>
    <x v="1"/>
    <x v="1"/>
    <x v="2"/>
    <s v="Standard"/>
  </r>
  <r>
    <s v="CTRL-0650"/>
    <s v="Policy Control 650"/>
    <s v="IDENTIFY"/>
    <s v="ID.AM"/>
    <x v="5"/>
    <x v="0"/>
    <s v="Singapore"/>
    <x v="3"/>
    <s v="Noah Williams"/>
    <s v="Semiannual"/>
    <d v="2026-07-07T00:00:00"/>
    <d v="2027-01-03T00:00:00"/>
    <x v="3"/>
    <s v="Pending"/>
    <n v="0"/>
    <s v="Emma Schmidt"/>
    <d v="2027-01-02T00:00:00"/>
    <s v="Not Required"/>
    <x v="1"/>
    <x v="1"/>
    <x v="3"/>
    <s v="Elevated"/>
  </r>
  <r>
    <s v="CTRL-0651"/>
    <s v="Reconciliation Control 651"/>
    <s v="RECOVER"/>
    <s v="RC.RP"/>
    <x v="5"/>
    <x v="2"/>
    <s v="Germany"/>
    <x v="3"/>
    <s v="Jordan Lee"/>
    <s v="Quarterly"/>
    <d v="2025-12-18T00:00:00"/>
    <d v="2026-12-18T00:00:00"/>
    <x v="3"/>
    <s v="Complete"/>
    <n v="3"/>
    <s v="Taylor Morgan"/>
    <d v="2026-04-07T00:00:00"/>
    <s v="Overdue"/>
    <x v="1"/>
    <x v="1"/>
    <x v="2"/>
    <s v="Elevated"/>
  </r>
  <r>
    <s v="CTRL-0652"/>
    <s v="Reconciliation Control 652"/>
    <s v="GOVERN"/>
    <s v="GV.RM"/>
    <x v="5"/>
    <x v="1"/>
    <s v="Canada"/>
    <x v="2"/>
    <s v="Taylor Morgan"/>
    <s v="Annual"/>
    <d v="2026-06-28T00:00:00"/>
    <d v="2027-06-28T00:00:00"/>
    <x v="3"/>
    <s v="Missing"/>
    <n v="2"/>
    <s v="Liam Brown"/>
    <d v="2026-09-08T00:00:00"/>
    <s v="Overdue"/>
    <x v="1"/>
    <x v="1"/>
    <x v="1"/>
    <s v="Standard"/>
  </r>
  <r>
    <s v="CTRL-0653"/>
    <s v="Policy Control 653"/>
    <s v="GOVERN"/>
    <s v="GV.OC"/>
    <x v="4"/>
    <x v="0"/>
    <s v="Singapore"/>
    <x v="1"/>
    <s v="Emma Schmidt"/>
    <s v="Quarterly"/>
    <d v="2026-08-11T00:00:00"/>
    <d v="2027-02-07T00:00:00"/>
    <x v="1"/>
    <s v="Missing"/>
    <n v="1"/>
    <s v="Liam Brown"/>
    <d v="2026-07-27T00:00:00"/>
    <s v="Overdue"/>
    <x v="1"/>
    <x v="1"/>
    <x v="1"/>
    <s v="Standard"/>
  </r>
  <r>
    <s v="CTRL-0654"/>
    <s v="Vendor Control 654"/>
    <s v="RESPOND"/>
    <s v="RS.MA"/>
    <x v="2"/>
    <x v="0"/>
    <s v="Singapore"/>
    <x v="3"/>
    <s v="Jordan Lee"/>
    <s v="Quarterly"/>
    <d v="2026-08-30T00:00:00"/>
    <d v="2027-08-30T00:00:00"/>
    <x v="1"/>
    <s v="Pending"/>
    <n v="5"/>
    <s v="Taylor Morgan"/>
    <d v="2026-12-01T00:00:00"/>
    <s v="In Progress"/>
    <x v="1"/>
    <x v="1"/>
    <x v="3"/>
    <s v="Elevated"/>
  </r>
  <r>
    <s v="CTRL-0655"/>
    <s v="Incident Control 655"/>
    <s v="RECOVER"/>
    <s v="RC.RP"/>
    <x v="5"/>
    <x v="2"/>
    <s v="United Kingdom"/>
    <x v="0"/>
    <s v="Emma Schmidt"/>
    <s v="Quarterly"/>
    <d v="2026-07-23T00:00:00"/>
    <d v="2026-10-21T00:00:00"/>
    <x v="1"/>
    <s v="Missing"/>
    <n v="0"/>
    <s v="Jordan Lee"/>
    <d v="2026-09-05T00:00:00"/>
    <s v="Not Required"/>
    <x v="1"/>
    <x v="1"/>
    <x v="1"/>
    <s v="Elevated"/>
  </r>
  <r>
    <s v="CTRL-0656"/>
    <s v="Incident Control 656"/>
    <s v="GOVERN"/>
    <s v="GV.RM"/>
    <x v="2"/>
    <x v="2"/>
    <s v="Germany"/>
    <x v="0"/>
    <s v="Sam Rivera"/>
    <s v="Quarterly"/>
    <d v="2026-05-22T00:00:00"/>
    <d v="2027-05-22T00:00:00"/>
    <x v="1"/>
    <s v="Missing"/>
    <n v="0"/>
    <s v="Emma Schmidt"/>
    <d v="2026-10-05T00:00:00"/>
    <s v="Not Required"/>
    <x v="1"/>
    <x v="1"/>
    <x v="1"/>
    <s v="Elevated"/>
  </r>
  <r>
    <s v="CTRL-0657"/>
    <s v="Change Control 657"/>
    <s v="RESPOND"/>
    <s v="RS.MA"/>
    <x v="0"/>
    <x v="2"/>
    <s v="United Kingdom"/>
    <x v="1"/>
    <s v="Liam Brown"/>
    <s v="Quarterly"/>
    <d v="2026-06-11T00:00:00"/>
    <d v="2026-09-09T00:00:00"/>
    <x v="0"/>
    <s v="Complete"/>
    <n v="2"/>
    <s v="Maya Patel"/>
    <d v="2026-11-11T00:00:00"/>
    <s v="In Progress"/>
    <x v="0"/>
    <x v="1"/>
    <x v="2"/>
    <s v="Standard"/>
  </r>
  <r>
    <s v="CTRL-0658"/>
    <s v="Reconciliation Control 658"/>
    <s v="RESPOND"/>
    <s v="RS.MA"/>
    <x v="4"/>
    <x v="1"/>
    <s v="Canada"/>
    <x v="2"/>
    <s v="Jordan Lee"/>
    <s v="Annual"/>
    <d v="2025-10-11T00:00:00"/>
    <d v="2026-10-11T00:00:00"/>
    <x v="1"/>
    <s v="Missing"/>
    <n v="0"/>
    <s v="Liam Brown"/>
    <d v="2026-11-26T00:00:00"/>
    <s v="Not Required"/>
    <x v="1"/>
    <x v="1"/>
    <x v="1"/>
    <s v="Standard"/>
  </r>
  <r>
    <s v="CTRL-0659"/>
    <s v="Policy Control 659"/>
    <s v="GOVERN"/>
    <s v="GV.RM"/>
    <x v="0"/>
    <x v="2"/>
    <s v="United Kingdom"/>
    <x v="1"/>
    <m/>
    <s v="Annual"/>
    <d v="2026-07-10T00:00:00"/>
    <d v="2027-01-06T00:00:00"/>
    <x v="3"/>
    <s v="Complete"/>
    <n v="3"/>
    <s v="Jordan Lee"/>
    <d v="2026-08-21T00:00:00"/>
    <s v="Overdue"/>
    <x v="1"/>
    <x v="0"/>
    <x v="2"/>
    <s v="Standard"/>
  </r>
  <r>
    <s v="CTRL-0660"/>
    <s v="Vendor Control 660"/>
    <s v="GOVERN"/>
    <s v="GV.RR"/>
    <x v="5"/>
    <x v="2"/>
    <s v="Germany"/>
    <x v="0"/>
    <s v="Taylor Morgan"/>
    <s v="Annual"/>
    <d v="2025-11-22T00:00:00"/>
    <d v="2026-02-20T00:00:00"/>
    <x v="0"/>
    <s v="Complete"/>
    <n v="2"/>
    <s v="Alex Chen"/>
    <d v="2026-05-05T00:00:00"/>
    <s v="Overdue"/>
    <x v="0"/>
    <x v="1"/>
    <x v="2"/>
    <s v="Elevated"/>
  </r>
  <r>
    <s v="CTRL-0661"/>
    <s v="Access Control 661"/>
    <s v="GOVERN"/>
    <s v="GV.RR"/>
    <x v="0"/>
    <x v="2"/>
    <s v="Germany"/>
    <x v="2"/>
    <s v="Maya Patel"/>
    <s v="Annual"/>
    <d v="2025-08-21T00:00:00"/>
    <d v="2025-11-19T00:00:00"/>
    <x v="0"/>
    <s v="Missing"/>
    <n v="0"/>
    <s v="Liam Brown"/>
    <d v="2026-07-04T00:00:00"/>
    <s v="Not Required"/>
    <x v="0"/>
    <x v="1"/>
    <x v="1"/>
    <s v="Standard"/>
  </r>
  <r>
    <s v="CTRL-0662"/>
    <s v="Data Control 662"/>
    <s v="GOVERN"/>
    <s v="GV.RM"/>
    <x v="0"/>
    <x v="2"/>
    <s v="United Kingdom"/>
    <x v="1"/>
    <s v="Sam Rivera"/>
    <s v="Semiannual"/>
    <d v="2025-10-11T00:00:00"/>
    <d v="2026-01-09T00:00:00"/>
    <x v="0"/>
    <s v="Complete"/>
    <n v="2"/>
    <s v="Noah Williams"/>
    <d v="2026-04-20T00:00:00"/>
    <s v="Completed"/>
    <x v="0"/>
    <x v="1"/>
    <x v="2"/>
    <s v="Standard"/>
  </r>
  <r>
    <s v="CTRL-0663"/>
    <s v="Incident Control 663"/>
    <s v="RECOVER"/>
    <s v="RC.RP"/>
    <x v="4"/>
    <x v="0"/>
    <s v="Singapore"/>
    <x v="3"/>
    <s v="Alex Chen"/>
    <s v="Semiannual"/>
    <d v="2026-05-06T00:00:00"/>
    <d v="2026-11-02T00:00:00"/>
    <x v="1"/>
    <s v="Missing"/>
    <n v="2"/>
    <s v="Noah Williams"/>
    <d v="2027-01-01T00:00:00"/>
    <s v="In Progress"/>
    <x v="1"/>
    <x v="1"/>
    <x v="1"/>
    <s v="Elevated"/>
  </r>
  <r>
    <s v="CTRL-0664"/>
    <s v="Change Control 664"/>
    <s v="IDENTIFY"/>
    <s v="ID.AM"/>
    <x v="5"/>
    <x v="0"/>
    <s v="Singapore"/>
    <x v="1"/>
    <s v="Alex Chen"/>
    <s v="Annual"/>
    <d v="2026-05-12T00:00:00"/>
    <d v="2026-08-10T00:00:00"/>
    <x v="0"/>
    <s v="Complete"/>
    <n v="1"/>
    <s v="Sam Rivera"/>
    <d v="2026-09-03T00:00:00"/>
    <s v="Overdue"/>
    <x v="0"/>
    <x v="1"/>
    <x v="2"/>
    <s v="Standard"/>
  </r>
  <r>
    <s v="CTRL-0665"/>
    <s v="Reconciliation Control 665"/>
    <s v="GOVERN"/>
    <s v="GV.RM"/>
    <x v="2"/>
    <x v="0"/>
    <s v="Singapore"/>
    <x v="1"/>
    <s v="Emma Schmidt"/>
    <s v="Annual"/>
    <d v="2026-08-03T00:00:00"/>
    <d v="2027-08-03T00:00:00"/>
    <x v="1"/>
    <m/>
    <n v="3"/>
    <s v="Emma Schmidt"/>
    <d v="2026-06-25T00:00:00"/>
    <s v="Overdue"/>
    <x v="1"/>
    <x v="1"/>
    <x v="0"/>
    <s v="Standard"/>
  </r>
  <r>
    <s v="CTRL-0666"/>
    <s v="Policy Control 666"/>
    <s v="DETECT"/>
    <s v="DE.CM"/>
    <x v="3"/>
    <x v="0"/>
    <s v="Singapore"/>
    <x v="1"/>
    <s v="Taylor Morgan"/>
    <s v="Semiannual"/>
    <d v="2025-10-21T00:00:00"/>
    <d v="2026-10-21T00:00:00"/>
    <x v="2"/>
    <s v="Missing"/>
    <n v="1"/>
    <s v="Emma Schmidt"/>
    <d v="2026-11-03T00:00:00"/>
    <s v="In Progress"/>
    <x v="1"/>
    <x v="1"/>
    <x v="1"/>
    <s v="Standard"/>
  </r>
  <r>
    <s v="CTRL-0667"/>
    <s v="Reconciliation Control 667"/>
    <s v="GOVERN"/>
    <s v="GV.RM"/>
    <x v="0"/>
    <x v="1"/>
    <s v="United States"/>
    <x v="1"/>
    <s v="Maya Patel"/>
    <s v="Semiannual"/>
    <d v="2025-09-25T00:00:00"/>
    <d v="2026-09-25T00:00:00"/>
    <x v="0"/>
    <s v="Pending"/>
    <n v="0"/>
    <s v="Taylor Morgan"/>
    <d v="2026-09-18T00:00:00"/>
    <s v="Not Required"/>
    <x v="0"/>
    <x v="1"/>
    <x v="3"/>
    <s v="Standard"/>
  </r>
  <r>
    <s v="CTRL-0668"/>
    <s v="Incident Control 668"/>
    <s v="DETECT"/>
    <s v="DE.CM"/>
    <x v="2"/>
    <x v="1"/>
    <s v="United States"/>
    <x v="1"/>
    <s v="Emma Schmidt"/>
    <s v="Annual"/>
    <d v="2026-05-20T00:00:00"/>
    <d v="2026-11-16T00:00:00"/>
    <x v="3"/>
    <s v="Complete"/>
    <n v="2"/>
    <s v="Taylor Morgan"/>
    <d v="2026-12-09T00:00:00"/>
    <s v="Completed"/>
    <x v="1"/>
    <x v="1"/>
    <x v="2"/>
    <s v="Standard"/>
  </r>
  <r>
    <s v="CTRL-0669"/>
    <s v="Vendor Control 669"/>
    <s v="RESPOND"/>
    <s v="RS.MA"/>
    <x v="3"/>
    <x v="0"/>
    <s v="Singapore"/>
    <x v="1"/>
    <s v="Alex Chen"/>
    <s v="Annual"/>
    <d v="2026-06-15T00:00:00"/>
    <d v="2026-12-12T00:00:00"/>
    <x v="2"/>
    <s v="Complete"/>
    <n v="2"/>
    <s v="Jordan Lee"/>
    <d v="2026-12-31T00:00:00"/>
    <s v="In Progress"/>
    <x v="1"/>
    <x v="1"/>
    <x v="2"/>
    <s v="Standard"/>
  </r>
  <r>
    <s v="CTRL-0670"/>
    <s v="Incident Control 670"/>
    <s v="GOVERN"/>
    <s v="GV.OC"/>
    <x v="5"/>
    <x v="2"/>
    <s v="United Kingdom"/>
    <x v="2"/>
    <s v="Jordan Lee"/>
    <s v="Annual"/>
    <d v="2025-10-09T00:00:00"/>
    <d v="2026-01-07T00:00:00"/>
    <x v="0"/>
    <s v="Complete"/>
    <n v="3"/>
    <s v="Noah Williams"/>
    <d v="2027-01-18T00:00:00"/>
    <s v="In Progress"/>
    <x v="0"/>
    <x v="1"/>
    <x v="2"/>
    <s v="Standard"/>
  </r>
  <r>
    <s v="CTRL-0671"/>
    <s v="Reconciliation Control 671"/>
    <s v="IDENTIFY"/>
    <s v="ID.AM"/>
    <x v="5"/>
    <x v="0"/>
    <s v="Singapore"/>
    <x v="2"/>
    <s v="Liam Brown"/>
    <s v="Annual"/>
    <d v="2026-06-09T00:00:00"/>
    <d v="2026-12-06T00:00:00"/>
    <x v="2"/>
    <s v="Missing"/>
    <n v="2"/>
    <s v="Maya Patel"/>
    <d v="2026-08-22T00:00:00"/>
    <s v="Overdue"/>
    <x v="1"/>
    <x v="1"/>
    <x v="1"/>
    <s v="Standard"/>
  </r>
  <r>
    <s v="CTRL-0672"/>
    <s v="Data Control 672"/>
    <s v="PROTECT"/>
    <s v="PR.AA"/>
    <x v="2"/>
    <x v="2"/>
    <s v="Germany"/>
    <x v="0"/>
    <s v="Maya Patel"/>
    <s v="Semiannual"/>
    <d v="2026-08-02T00:00:00"/>
    <d v="2027-08-02T00:00:00"/>
    <x v="1"/>
    <s v="Complete"/>
    <n v="1"/>
    <s v="Alex Chen"/>
    <d v="2027-01-22T00:00:00"/>
    <s v="Completed"/>
    <x v="1"/>
    <x v="1"/>
    <x v="2"/>
    <s v="Elevated"/>
  </r>
  <r>
    <s v="CTRL-0673"/>
    <s v="Change Control 673"/>
    <s v="DETECT"/>
    <s v="DE.CM"/>
    <x v="4"/>
    <x v="2"/>
    <s v="United Kingdom"/>
    <x v="2"/>
    <s v="Maya Patel"/>
    <s v="Annual"/>
    <d v="2026-02-15T00:00:00"/>
    <d v="2026-05-16T00:00:00"/>
    <x v="0"/>
    <s v="Missing"/>
    <n v="1"/>
    <s v="Alex Chen"/>
    <d v="2026-04-06T00:00:00"/>
    <s v="Overdue"/>
    <x v="0"/>
    <x v="1"/>
    <x v="1"/>
    <s v="Standard"/>
  </r>
  <r>
    <s v="CTRL-0674"/>
    <s v="Vendor Control 674"/>
    <s v="GOVERN"/>
    <s v="GV.OC"/>
    <x v="1"/>
    <x v="0"/>
    <s v="Singapore"/>
    <x v="2"/>
    <s v="Sam Rivera"/>
    <s v="Semiannual"/>
    <d v="2026-06-13T00:00:00"/>
    <d v="2026-09-11T00:00:00"/>
    <x v="0"/>
    <s v="Pending"/>
    <n v="1"/>
    <s v="Emma Schmidt"/>
    <d v="2026-12-22T00:00:00"/>
    <s v="In Progress"/>
    <x v="0"/>
    <x v="1"/>
    <x v="3"/>
    <s v="Standard"/>
  </r>
  <r>
    <s v="CTRL-0675"/>
    <s v="Change Control 675"/>
    <s v="PROTECT"/>
    <s v="PR.AA"/>
    <x v="0"/>
    <x v="1"/>
    <s v="Canada"/>
    <x v="2"/>
    <s v="Sam Rivera"/>
    <s v="Quarterly"/>
    <d v="2025-07-12T00:00:00"/>
    <d v="2026-07-12T00:00:00"/>
    <x v="0"/>
    <s v="Complete"/>
    <n v="2"/>
    <s v="Emma Schmidt"/>
    <d v="2026-09-03T00:00:00"/>
    <s v="Overdue"/>
    <x v="0"/>
    <x v="1"/>
    <x v="2"/>
    <s v="Standard"/>
  </r>
  <r>
    <s v="CTRL-0676"/>
    <s v="Reconciliation Control 676"/>
    <s v="RECOVER"/>
    <s v="RC.RP"/>
    <x v="5"/>
    <x v="1"/>
    <s v="Canada"/>
    <x v="2"/>
    <s v="Alex Chen"/>
    <s v="Semiannual"/>
    <d v="2025-05-20T00:00:00"/>
    <d v="2025-11-16T00:00:00"/>
    <x v="0"/>
    <s v="Missing"/>
    <n v="3"/>
    <s v="Noah Williams"/>
    <d v="2026-05-02T00:00:00"/>
    <s v="Overdue"/>
    <x v="0"/>
    <x v="1"/>
    <x v="1"/>
    <s v="Standard"/>
  </r>
  <r>
    <s v="CTRL-0677"/>
    <s v="Change Control 677"/>
    <s v="RECOVER"/>
    <s v="RC.RP"/>
    <x v="2"/>
    <x v="1"/>
    <s v="United States"/>
    <x v="0"/>
    <s v="Jordan Lee"/>
    <s v="Quarterly"/>
    <d v="2026-02-17T00:00:00"/>
    <d v="2026-08-16T00:00:00"/>
    <x v="0"/>
    <s v="Complete"/>
    <n v="0"/>
    <s v="Jordan Lee"/>
    <d v="2026-11-09T00:00:00"/>
    <s v="Not Required"/>
    <x v="0"/>
    <x v="1"/>
    <x v="2"/>
    <s v="Elevated"/>
  </r>
  <r>
    <s v="CTRL-0678"/>
    <s v="Access Control 678"/>
    <s v="PROTECT"/>
    <s v="PR.AA"/>
    <x v="4"/>
    <x v="2"/>
    <s v="United Kingdom"/>
    <x v="1"/>
    <s v="Taylor Morgan"/>
    <s v="Semiannual"/>
    <d v="2026-05-18T00:00:00"/>
    <d v="2026-11-14T00:00:00"/>
    <x v="1"/>
    <s v="Pending"/>
    <n v="2"/>
    <s v="Liam Brown"/>
    <d v="2026-11-08T00:00:00"/>
    <s v="In Progress"/>
    <x v="1"/>
    <x v="1"/>
    <x v="3"/>
    <s v="Standard"/>
  </r>
  <r>
    <s v="CTRL-0679"/>
    <s v="Incident Control 679"/>
    <s v="RESPOND"/>
    <s v="RS.MA"/>
    <x v="2"/>
    <x v="1"/>
    <s v="United States"/>
    <x v="0"/>
    <s v="Alex Chen"/>
    <s v="Semiannual"/>
    <d v="2026-03-11T00:00:00"/>
    <d v="2027-03-11T00:00:00"/>
    <x v="1"/>
    <s v="Complete"/>
    <n v="2"/>
    <s v="Alex Chen"/>
    <d v="2026-04-23T00:00:00"/>
    <s v="Completed"/>
    <x v="1"/>
    <x v="1"/>
    <x v="2"/>
    <s v="Elevated"/>
  </r>
  <r>
    <s v="CTRL-0680"/>
    <s v="Data Control 680"/>
    <s v="RESPOND"/>
    <s v="RS.MA"/>
    <x v="4"/>
    <x v="1"/>
    <s v="United States"/>
    <x v="3"/>
    <s v="Taylor Morgan"/>
    <s v="Annual"/>
    <d v="2026-07-12T00:00:00"/>
    <d v="2027-01-08T00:00:00"/>
    <x v="1"/>
    <s v="Pending"/>
    <n v="5"/>
    <s v="Emma Schmidt"/>
    <d v="2026-06-07T00:00:00"/>
    <s v="Completed"/>
    <x v="1"/>
    <x v="1"/>
    <x v="3"/>
    <s v="Elevated"/>
  </r>
  <r>
    <s v="CTRL-0681"/>
    <s v="Vendor Control 681"/>
    <s v="DETECT"/>
    <s v="DE.CM"/>
    <x v="0"/>
    <x v="1"/>
    <s v="United States"/>
    <x v="0"/>
    <s v="Jordan Lee"/>
    <s v="Annual"/>
    <d v="2026-06-23T00:00:00"/>
    <d v="2026-12-20T00:00:00"/>
    <x v="1"/>
    <s v="Missing"/>
    <n v="1"/>
    <s v="Alex Chen"/>
    <d v="2026-04-29T00:00:00"/>
    <s v="Overdue"/>
    <x v="1"/>
    <x v="1"/>
    <x v="1"/>
    <s v="Elevated"/>
  </r>
  <r>
    <s v="CTRL-0682"/>
    <s v="Policy Control 682"/>
    <s v="PROTECT"/>
    <s v="PR.AA"/>
    <x v="2"/>
    <x v="2"/>
    <s v="Germany"/>
    <x v="1"/>
    <s v="Maya Patel"/>
    <s v="Quarterly"/>
    <d v="2025-08-17T00:00:00"/>
    <d v="2026-02-13T00:00:00"/>
    <x v="0"/>
    <s v="Complete"/>
    <n v="1"/>
    <s v="Taylor Morgan"/>
    <d v="2026-12-20T00:00:00"/>
    <s v="Completed"/>
    <x v="0"/>
    <x v="1"/>
    <x v="2"/>
    <s v="Standard"/>
  </r>
  <r>
    <s v="CTRL-0683"/>
    <s v="Policy Control 683"/>
    <s v="IDENTIFY"/>
    <s v="ID.AM"/>
    <x v="5"/>
    <x v="0"/>
    <s v="Singapore"/>
    <x v="0"/>
    <s v="Sam Rivera"/>
    <s v="Annual"/>
    <d v="2026-01-11T00:00:00"/>
    <d v="2027-01-11T00:00:00"/>
    <x v="3"/>
    <s v="Missing"/>
    <n v="5"/>
    <s v="Jordan Lee"/>
    <d v="2026-12-16T00:00:00"/>
    <s v="In Progress"/>
    <x v="1"/>
    <x v="1"/>
    <x v="1"/>
    <s v="Elevated"/>
  </r>
  <r>
    <s v="CTRL-0684"/>
    <s v="Policy Control 684"/>
    <s v="GOVERN"/>
    <s v="GV.RM"/>
    <x v="1"/>
    <x v="1"/>
    <s v="United States"/>
    <x v="2"/>
    <s v="Taylor Morgan"/>
    <s v="Quarterly"/>
    <d v="2026-06-04T00:00:00"/>
    <d v="2026-09-02T00:00:00"/>
    <x v="0"/>
    <s v="Pending"/>
    <n v="0"/>
    <s v="Emma Schmidt"/>
    <d v="2026-07-14T00:00:00"/>
    <s v="Not Required"/>
    <x v="0"/>
    <x v="1"/>
    <x v="3"/>
    <s v="Standard"/>
  </r>
  <r>
    <s v="CTRL-0685"/>
    <s v="Reconciliation Control 685"/>
    <s v="PROTECT"/>
    <s v="PR.AA"/>
    <x v="5"/>
    <x v="2"/>
    <s v="Germany"/>
    <x v="2"/>
    <s v="Sam Rivera"/>
    <s v="Semiannual"/>
    <d v="2026-05-20T00:00:00"/>
    <d v="2026-11-16T00:00:00"/>
    <x v="1"/>
    <s v="Complete"/>
    <n v="3"/>
    <s v="Noah Williams"/>
    <d v="2026-04-29T00:00:00"/>
    <s v="Completed"/>
    <x v="1"/>
    <x v="1"/>
    <x v="2"/>
    <s v="Standard"/>
  </r>
  <r>
    <s v="CTRL-0686"/>
    <s v="Reconciliation Control 686"/>
    <s v="IDENTIFY"/>
    <s v="ID.AM"/>
    <x v="1"/>
    <x v="0"/>
    <s v="Singapore"/>
    <x v="2"/>
    <s v="Alex Chen"/>
    <s v="Semiannual"/>
    <d v="2026-06-09T00:00:00"/>
    <d v="2026-09-07T00:00:00"/>
    <x v="0"/>
    <s v="Complete"/>
    <n v="0"/>
    <s v="Taylor Morgan"/>
    <d v="2026-09-14T00:00:00"/>
    <s v="Not Required"/>
    <x v="0"/>
    <x v="1"/>
    <x v="2"/>
    <s v="Standard"/>
  </r>
  <r>
    <s v="CTRL-0687"/>
    <s v="Incident Control 687"/>
    <s v="GOVERN"/>
    <s v="GV.OC"/>
    <x v="4"/>
    <x v="0"/>
    <s v="Singapore"/>
    <x v="1"/>
    <s v="Liam Brown"/>
    <s v="Annual"/>
    <d v="2026-03-08T00:00:00"/>
    <d v="2026-09-04T00:00:00"/>
    <x v="0"/>
    <s v="Pending"/>
    <n v="0"/>
    <s v="Jordan Lee"/>
    <d v="2026-05-22T00:00:00"/>
    <s v="Not Required"/>
    <x v="0"/>
    <x v="1"/>
    <x v="3"/>
    <s v="Standard"/>
  </r>
  <r>
    <s v="CTRL-0688"/>
    <s v="Incident Control 688"/>
    <s v="GOVERN"/>
    <s v="GV.RR"/>
    <x v="5"/>
    <x v="2"/>
    <s v="Germany"/>
    <x v="0"/>
    <s v="Noah Williams"/>
    <s v="Annual"/>
    <d v="2026-05-12T00:00:00"/>
    <d v="2027-05-12T00:00:00"/>
    <x v="1"/>
    <s v="Missing"/>
    <n v="3"/>
    <s v="Maya Patel"/>
    <d v="2026-05-17T00:00:00"/>
    <s v="Overdue"/>
    <x v="1"/>
    <x v="1"/>
    <x v="1"/>
    <s v="Elevated"/>
  </r>
  <r>
    <s v="CTRL-0689"/>
    <s v="Access Control 689"/>
    <s v="GOVERN"/>
    <s v="GV.RR"/>
    <x v="1"/>
    <x v="1"/>
    <s v="United States"/>
    <x v="0"/>
    <s v="Maya Patel"/>
    <s v="Quarterly"/>
    <d v="2026-08-03T00:00:00"/>
    <d v="2027-08-03T00:00:00"/>
    <x v="2"/>
    <s v="Missing"/>
    <n v="3"/>
    <s v="Sam Rivera"/>
    <d v="2026-07-15T00:00:00"/>
    <s v="Overdue"/>
    <x v="1"/>
    <x v="1"/>
    <x v="1"/>
    <s v="Elevated"/>
  </r>
  <r>
    <s v="CTRL-0690"/>
    <s v="Change Control 690"/>
    <s v="GOVERN"/>
    <s v="GV.OC"/>
    <x v="3"/>
    <x v="2"/>
    <s v="Germany"/>
    <x v="3"/>
    <s v="Noah Williams"/>
    <s v="Annual"/>
    <d v="2026-01-24T00:00:00"/>
    <d v="2027-01-24T00:00:00"/>
    <x v="2"/>
    <s v="Complete"/>
    <n v="3"/>
    <s v="Taylor Morgan"/>
    <d v="2026-11-03T00:00:00"/>
    <s v="In Progress"/>
    <x v="1"/>
    <x v="1"/>
    <x v="2"/>
    <s v="Elevated"/>
  </r>
  <r>
    <s v="CTRL-0691"/>
    <s v="Change Control 691"/>
    <s v="GOVERN"/>
    <s v="GV.RM"/>
    <x v="2"/>
    <x v="0"/>
    <s v="Singapore"/>
    <x v="1"/>
    <s v="Alex Chen"/>
    <s v="Semiannual"/>
    <d v="2025-07-31T00:00:00"/>
    <d v="2026-07-31T00:00:00"/>
    <x v="0"/>
    <s v="Complete"/>
    <n v="3"/>
    <s v="Emma Schmidt"/>
    <d v="2026-12-12T00:00:00"/>
    <s v="In Progress"/>
    <x v="0"/>
    <x v="1"/>
    <x v="2"/>
    <s v="Standard"/>
  </r>
  <r>
    <s v="CTRL-0692"/>
    <s v="Data Control 692"/>
    <s v="RECOVER"/>
    <s v="RC.RP"/>
    <x v="4"/>
    <x v="0"/>
    <s v="Singapore"/>
    <x v="2"/>
    <s v="Sam Rivera"/>
    <s v="Annual"/>
    <d v="2026-06-08T00:00:00"/>
    <d v="2026-09-06T00:00:00"/>
    <x v="0"/>
    <s v="Complete"/>
    <n v="1"/>
    <s v="Taylor Morgan"/>
    <d v="2026-04-07T00:00:00"/>
    <s v="Overdue"/>
    <x v="0"/>
    <x v="1"/>
    <x v="2"/>
    <s v="Standard"/>
  </r>
  <r>
    <s v="CTRL-0693"/>
    <s v="Reconciliation Control 693"/>
    <s v="GOVERN"/>
    <s v="GV.RR"/>
    <x v="2"/>
    <x v="2"/>
    <s v="United Kingdom"/>
    <x v="0"/>
    <s v="Maya Patel"/>
    <s v="Quarterly"/>
    <d v="2026-06-15T00:00:00"/>
    <d v="2026-09-13T00:00:00"/>
    <x v="0"/>
    <s v="Complete"/>
    <n v="4"/>
    <s v="Taylor Morgan"/>
    <d v="2026-08-02T00:00:00"/>
    <s v="Completed"/>
    <x v="0"/>
    <x v="1"/>
    <x v="2"/>
    <s v="Elevated"/>
  </r>
  <r>
    <s v="CTRL-0694"/>
    <s v="Incident Control 694"/>
    <s v="PROTECT"/>
    <s v="PR.AA"/>
    <x v="1"/>
    <x v="1"/>
    <s v="United States"/>
    <x v="2"/>
    <s v="Alex Chen"/>
    <s v="Quarterly"/>
    <d v="2025-10-13T00:00:00"/>
    <d v="2026-04-11T00:00:00"/>
    <x v="0"/>
    <s v="Missing"/>
    <n v="2"/>
    <s v="Emma Schmidt"/>
    <d v="2026-09-16T00:00:00"/>
    <s v="Completed"/>
    <x v="0"/>
    <x v="1"/>
    <x v="1"/>
    <s v="Standard"/>
  </r>
  <r>
    <s v="CTRL-0695"/>
    <s v="Data Control 695"/>
    <s v="GOVERN"/>
    <s v="GV.OC"/>
    <x v="2"/>
    <x v="0"/>
    <s v="Singapore"/>
    <x v="3"/>
    <s v="Alex Chen"/>
    <s v="Annual"/>
    <d v="2025-07-16T00:00:00"/>
    <d v="2026-01-12T00:00:00"/>
    <x v="0"/>
    <s v="Complete"/>
    <n v="5"/>
    <s v="Maya Patel"/>
    <d v="2026-08-24T00:00:00"/>
    <s v="Completed"/>
    <x v="0"/>
    <x v="1"/>
    <x v="2"/>
    <s v="Elevated"/>
  </r>
  <r>
    <s v="CTRL-0696"/>
    <s v="Change Control 696"/>
    <s v="RESPOND"/>
    <s v="RS.MA"/>
    <x v="5"/>
    <x v="0"/>
    <s v="Singapore"/>
    <x v="1"/>
    <s v="Sam Rivera"/>
    <s v="Semiannual"/>
    <d v="2025-07-19T00:00:00"/>
    <d v="2026-01-15T00:00:00"/>
    <x v="0"/>
    <s v="Complete"/>
    <n v="2"/>
    <s v="Sam Rivera"/>
    <d v="2026-08-18T00:00:00"/>
    <s v="Completed"/>
    <x v="0"/>
    <x v="1"/>
    <x v="2"/>
    <s v="Standard"/>
  </r>
  <r>
    <s v="CTRL-0697"/>
    <s v="Incident Control 697"/>
    <s v="GOVERN"/>
    <s v="GV.RR"/>
    <x v="2"/>
    <x v="0"/>
    <s v="Singapore"/>
    <x v="1"/>
    <s v="Liam Brown"/>
    <s v="Semiannual"/>
    <d v="2026-07-25T00:00:00"/>
    <d v="2027-01-21T00:00:00"/>
    <x v="1"/>
    <s v="Complete"/>
    <n v="1"/>
    <s v="Alex Chen"/>
    <d v="2026-07-08T00:00:00"/>
    <s v="Overdue"/>
    <x v="1"/>
    <x v="1"/>
    <x v="2"/>
    <s v="Standard"/>
  </r>
  <r>
    <s v="CTRL-0698"/>
    <s v="Incident Control 698"/>
    <s v="GOVERN"/>
    <s v="GV.RR"/>
    <x v="1"/>
    <x v="2"/>
    <s v="United Kingdom"/>
    <x v="0"/>
    <s v="Sam Rivera"/>
    <s v="Quarterly"/>
    <d v="2026-08-06T00:00:00"/>
    <d v="2026-11-04T00:00:00"/>
    <x v="1"/>
    <s v="Complete"/>
    <n v="3"/>
    <s v="Maya Patel"/>
    <d v="2026-10-26T00:00:00"/>
    <s v="Completed"/>
    <x v="1"/>
    <x v="1"/>
    <x v="2"/>
    <s v="Elevated"/>
  </r>
  <r>
    <s v="CTRL-0699"/>
    <s v="Change Control 699"/>
    <s v="PROTECT"/>
    <s v="PR.AA"/>
    <x v="0"/>
    <x v="2"/>
    <s v="Germany"/>
    <x v="1"/>
    <s v="Alex Chen"/>
    <s v="Annual"/>
    <d v="2025-08-16T00:00:00"/>
    <d v="2026-08-16T00:00:00"/>
    <x v="0"/>
    <s v="Complete"/>
    <n v="1"/>
    <s v="Alex Chen"/>
    <d v="2026-08-08T00:00:00"/>
    <s v="Overdue"/>
    <x v="0"/>
    <x v="1"/>
    <x v="2"/>
    <s v="Standard"/>
  </r>
  <r>
    <s v="CTRL-0700"/>
    <s v="Policy Control 700"/>
    <s v="RECOVER"/>
    <s v="RC.RP"/>
    <x v="3"/>
    <x v="1"/>
    <s v="United States"/>
    <x v="0"/>
    <s v="Noah Williams"/>
    <s v="Quarterly"/>
    <d v="2025-07-01T00:00:00"/>
    <d v="2026-07-01T00:00:00"/>
    <x v="0"/>
    <s v="Complete"/>
    <n v="1"/>
    <s v="Taylor Morgan"/>
    <d v="2026-06-13T00:00:00"/>
    <s v="Overdue"/>
    <x v="0"/>
    <x v="1"/>
    <x v="2"/>
    <s v="Elevated"/>
  </r>
  <r>
    <s v="CTRL-0701"/>
    <s v="Access Control 701"/>
    <s v="PROTECT"/>
    <s v="PR.AA"/>
    <x v="1"/>
    <x v="2"/>
    <s v="Germany"/>
    <x v="1"/>
    <s v="Taylor Morgan"/>
    <s v="Annual"/>
    <d v="2025-10-24T00:00:00"/>
    <d v="2026-10-24T00:00:00"/>
    <x v="1"/>
    <s v="Complete"/>
    <n v="0"/>
    <s v="Emma Schmidt"/>
    <d v="2027-01-06T00:00:00"/>
    <s v="Not Required"/>
    <x v="1"/>
    <x v="1"/>
    <x v="2"/>
    <s v="Standard"/>
  </r>
  <r>
    <s v="CTRL-0702"/>
    <s v="Incident Control 702"/>
    <s v="RESPOND"/>
    <s v="RS.MA"/>
    <x v="1"/>
    <x v="1"/>
    <s v="United States"/>
    <x v="1"/>
    <s v="Emma Schmidt"/>
    <s v="Annual"/>
    <d v="2026-02-25T00:00:00"/>
    <d v="2026-05-26T00:00:00"/>
    <x v="0"/>
    <s v="Pending"/>
    <n v="2"/>
    <s v="Maya Patel"/>
    <d v="2026-07-27T00:00:00"/>
    <s v="Overdue"/>
    <x v="0"/>
    <x v="1"/>
    <x v="3"/>
    <s v="Standard"/>
  </r>
  <r>
    <s v="CTRL-0703"/>
    <s v="Access Control 703"/>
    <s v="GOVERN"/>
    <s v="GV.RM"/>
    <x v="0"/>
    <x v="2"/>
    <s v="United Kingdom"/>
    <x v="1"/>
    <s v="Taylor Morgan"/>
    <s v="Annual"/>
    <d v="2026-03-12T00:00:00"/>
    <d v="2026-06-10T00:00:00"/>
    <x v="0"/>
    <s v="Missing"/>
    <n v="2"/>
    <s v="Jordan Lee"/>
    <d v="2026-06-02T00:00:00"/>
    <s v="Overdue"/>
    <x v="0"/>
    <x v="1"/>
    <x v="1"/>
    <s v="Standard"/>
  </r>
  <r>
    <s v="CTRL-0704"/>
    <s v="Reconciliation Control 704"/>
    <s v="GOVERN"/>
    <s v="GV.RM"/>
    <x v="3"/>
    <x v="1"/>
    <s v="Canada"/>
    <x v="2"/>
    <s v="Jordan Lee"/>
    <s v="Semiannual"/>
    <d v="2025-09-28T00:00:00"/>
    <d v="2026-03-27T00:00:00"/>
    <x v="0"/>
    <s v="Complete"/>
    <n v="2"/>
    <s v="Noah Williams"/>
    <d v="2026-08-27T00:00:00"/>
    <s v="Completed"/>
    <x v="0"/>
    <x v="1"/>
    <x v="2"/>
    <s v="Standard"/>
  </r>
  <r>
    <s v="CTRL-0705"/>
    <s v="Policy Control 705"/>
    <s v="RECOVER"/>
    <s v="RC.RP"/>
    <x v="0"/>
    <x v="2"/>
    <s v="United Kingdom"/>
    <x v="0"/>
    <s v="Jordan Lee"/>
    <s v="Quarterly"/>
    <d v="2025-08-08T00:00:00"/>
    <d v="2026-08-08T00:00:00"/>
    <x v="0"/>
    <s v="Complete"/>
    <n v="2"/>
    <s v="Maya Patel"/>
    <d v="2026-06-17T00:00:00"/>
    <s v="Overdue"/>
    <x v="0"/>
    <x v="1"/>
    <x v="2"/>
    <s v="Elevated"/>
  </r>
  <r>
    <s v="CTRL-0706"/>
    <s v="Incident Control 706"/>
    <s v="RECOVER"/>
    <s v="RC.RP"/>
    <x v="5"/>
    <x v="0"/>
    <s v="Singapore"/>
    <x v="1"/>
    <m/>
    <s v="Semiannual"/>
    <d v="2026-07-26T00:00:00"/>
    <d v="2027-01-22T00:00:00"/>
    <x v="3"/>
    <s v="Pending"/>
    <n v="2"/>
    <s v="Noah Williams"/>
    <d v="2026-09-13T00:00:00"/>
    <s v="Overdue"/>
    <x v="1"/>
    <x v="0"/>
    <x v="3"/>
    <s v="Standard"/>
  </r>
  <r>
    <s v="CTRL-0707"/>
    <s v="Data Control 707"/>
    <s v="RESPOND"/>
    <s v="RS.MA"/>
    <x v="4"/>
    <x v="1"/>
    <s v="United States"/>
    <x v="2"/>
    <s v="Liam Brown"/>
    <s v="Annual"/>
    <d v="2025-12-09T00:00:00"/>
    <d v="2026-12-09T00:00:00"/>
    <x v="1"/>
    <s v="Missing"/>
    <n v="1"/>
    <s v="Sam Rivera"/>
    <d v="2026-10-16T00:00:00"/>
    <s v="Completed"/>
    <x v="1"/>
    <x v="1"/>
    <x v="1"/>
    <s v="Standard"/>
  </r>
  <r>
    <s v="CTRL-0708"/>
    <s v="Reconciliation Control 708"/>
    <s v="GOVERN"/>
    <s v="GV.OC"/>
    <x v="1"/>
    <x v="0"/>
    <s v="Singapore"/>
    <x v="2"/>
    <s v="Sam Rivera"/>
    <s v="Semiannual"/>
    <d v="2025-07-02T00:00:00"/>
    <d v="2025-09-30T00:00:00"/>
    <x v="0"/>
    <s v="Pending"/>
    <n v="3"/>
    <s v="Jordan Lee"/>
    <d v="2026-06-10T00:00:00"/>
    <s v="Overdue"/>
    <x v="0"/>
    <x v="1"/>
    <x v="3"/>
    <s v="Standard"/>
  </r>
  <r>
    <s v="CTRL-0709"/>
    <s v="Incident Control 709"/>
    <s v="GOVERN"/>
    <s v="GV.RM"/>
    <x v="1"/>
    <x v="2"/>
    <s v="Germany"/>
    <x v="0"/>
    <s v="Emma Schmidt"/>
    <s v="Annual"/>
    <d v="2026-05-09T00:00:00"/>
    <d v="2026-08-07T00:00:00"/>
    <x v="0"/>
    <s v="Complete"/>
    <n v="0"/>
    <s v="Jordan Lee"/>
    <d v="2026-06-12T00:00:00"/>
    <s v="Not Required"/>
    <x v="0"/>
    <x v="1"/>
    <x v="2"/>
    <s v="Elevated"/>
  </r>
  <r>
    <s v="CTRL-0710"/>
    <s v="Access Control 710"/>
    <s v="GOVERN"/>
    <s v="GV.RR"/>
    <x v="5"/>
    <x v="2"/>
    <s v="United Kingdom"/>
    <x v="3"/>
    <s v="Noah Williams"/>
    <s v="Quarterly"/>
    <d v="2026-08-14T00:00:00"/>
    <d v="2027-08-14T00:00:00"/>
    <x v="1"/>
    <s v="Missing"/>
    <n v="0"/>
    <s v="Noah Williams"/>
    <d v="2026-12-03T00:00:00"/>
    <s v="Not Required"/>
    <x v="1"/>
    <x v="1"/>
    <x v="1"/>
    <s v="Elevated"/>
  </r>
  <r>
    <s v="CTRL-0711"/>
    <s v="Vendor Control 711"/>
    <s v="PROTECT"/>
    <s v="PR.AA"/>
    <x v="1"/>
    <x v="1"/>
    <s v="United States"/>
    <x v="1"/>
    <s v="Emma Schmidt"/>
    <s v="Semiannual"/>
    <d v="2026-06-26T00:00:00"/>
    <d v="2026-09-24T00:00:00"/>
    <x v="0"/>
    <s v="Pending"/>
    <n v="1"/>
    <s v="Noah Williams"/>
    <d v="2026-12-29T00:00:00"/>
    <s v="In Progress"/>
    <x v="0"/>
    <x v="1"/>
    <x v="3"/>
    <s v="Standard"/>
  </r>
  <r>
    <s v="CTRL-0712"/>
    <s v="Policy Control 712"/>
    <s v="RESPOND"/>
    <s v="RS.MA"/>
    <x v="2"/>
    <x v="2"/>
    <s v="United Kingdom"/>
    <x v="1"/>
    <s v="Alex Chen"/>
    <s v="Semiannual"/>
    <d v="2025-06-16T00:00:00"/>
    <d v="2026-06-16T00:00:00"/>
    <x v="0"/>
    <s v="Complete"/>
    <n v="1"/>
    <s v="Liam Brown"/>
    <d v="2026-12-16T00:00:00"/>
    <s v="Completed"/>
    <x v="0"/>
    <x v="1"/>
    <x v="2"/>
    <s v="Standard"/>
  </r>
  <r>
    <s v="CTRL-0713"/>
    <s v="Change Control 713"/>
    <s v="RESPOND"/>
    <s v="RS.MA"/>
    <x v="3"/>
    <x v="0"/>
    <s v="Singapore"/>
    <x v="2"/>
    <s v="Sam Rivera"/>
    <s v="Annual"/>
    <d v="2026-02-06T00:00:00"/>
    <d v="2026-05-07T00:00:00"/>
    <x v="0"/>
    <s v="Pending"/>
    <n v="0"/>
    <s v="Sam Rivera"/>
    <d v="2026-12-26T00:00:00"/>
    <s v="Not Required"/>
    <x v="0"/>
    <x v="1"/>
    <x v="3"/>
    <s v="Standard"/>
  </r>
  <r>
    <s v="CTRL-0714"/>
    <s v="Policy Control 714"/>
    <s v="RESPOND"/>
    <s v="RS.MA"/>
    <x v="1"/>
    <x v="2"/>
    <s v="United Kingdom"/>
    <x v="2"/>
    <s v="Maya Patel"/>
    <s v="Semiannual"/>
    <d v="2025-07-19T00:00:00"/>
    <d v="2026-07-19T00:00:00"/>
    <x v="0"/>
    <s v="Pending"/>
    <n v="3"/>
    <s v="Jordan Lee"/>
    <d v="2026-09-10T00:00:00"/>
    <s v="Overdue"/>
    <x v="0"/>
    <x v="1"/>
    <x v="3"/>
    <s v="Standard"/>
  </r>
  <r>
    <s v="CTRL-0715"/>
    <s v="Data Control 715"/>
    <s v="GOVERN"/>
    <s v="GV.RR"/>
    <x v="5"/>
    <x v="1"/>
    <s v="Canada"/>
    <x v="2"/>
    <s v="Taylor Morgan"/>
    <s v="Quarterly"/>
    <d v="2026-07-17T00:00:00"/>
    <d v="2026-10-15T00:00:00"/>
    <x v="1"/>
    <s v="Missing"/>
    <n v="2"/>
    <s v="Maya Patel"/>
    <d v="2026-04-17T00:00:00"/>
    <s v="Completed"/>
    <x v="1"/>
    <x v="1"/>
    <x v="1"/>
    <s v="Standard"/>
  </r>
  <r>
    <s v="CTRL-0716"/>
    <s v="Data Control 716"/>
    <s v="GOVERN"/>
    <s v="GV.OC"/>
    <x v="2"/>
    <x v="1"/>
    <s v="United States"/>
    <x v="1"/>
    <s v="Sam Rivera"/>
    <s v="Semiannual"/>
    <d v="2025-10-19T00:00:00"/>
    <d v="2026-01-17T00:00:00"/>
    <x v="0"/>
    <s v="Complete"/>
    <n v="2"/>
    <s v="Alex Chen"/>
    <d v="2026-05-16T00:00:00"/>
    <s v="Overdue"/>
    <x v="0"/>
    <x v="1"/>
    <x v="2"/>
    <s v="Standard"/>
  </r>
  <r>
    <s v="CTRL-0717"/>
    <s v="Incident Control 717"/>
    <s v="RESPOND"/>
    <s v="RS.MA"/>
    <x v="0"/>
    <x v="1"/>
    <s v="Canada"/>
    <x v="3"/>
    <s v="Alex Chen"/>
    <s v="Semiannual"/>
    <d v="2026-03-12T00:00:00"/>
    <d v="2026-09-08T00:00:00"/>
    <x v="0"/>
    <s v="Pending"/>
    <n v="4"/>
    <s v="Jordan Lee"/>
    <d v="2026-07-11T00:00:00"/>
    <s v="Completed"/>
    <x v="0"/>
    <x v="1"/>
    <x v="3"/>
    <s v="Elevated"/>
  </r>
  <r>
    <s v="CTRL-0718"/>
    <s v="Reconciliation Control 718"/>
    <s v="GOVERN"/>
    <s v="GV.OC"/>
    <x v="2"/>
    <x v="0"/>
    <s v="Singapore"/>
    <x v="2"/>
    <s v="Maya Patel"/>
    <s v="Quarterly"/>
    <d v="2025-12-27T00:00:00"/>
    <d v="2026-03-27T00:00:00"/>
    <x v="0"/>
    <s v="Complete"/>
    <n v="3"/>
    <s v="Jordan Lee"/>
    <d v="2026-12-03T00:00:00"/>
    <s v="In Progress"/>
    <x v="0"/>
    <x v="1"/>
    <x v="2"/>
    <s v="Standard"/>
  </r>
  <r>
    <s v="CTRL-0719"/>
    <s v="Data Control 719"/>
    <s v="GOVERN"/>
    <s v="GV.RR"/>
    <x v="0"/>
    <x v="0"/>
    <s v="Singapore"/>
    <x v="0"/>
    <s v="Maya Patel"/>
    <s v="Annual"/>
    <d v="2025-09-08T00:00:00"/>
    <d v="2025-12-07T00:00:00"/>
    <x v="0"/>
    <s v="Complete"/>
    <n v="5"/>
    <s v="Noah Williams"/>
    <d v="2026-06-14T00:00:00"/>
    <s v="Overdue"/>
    <x v="0"/>
    <x v="1"/>
    <x v="2"/>
    <s v="Elevated"/>
  </r>
  <r>
    <s v="CTRL-0720"/>
    <s v="Access Control 720"/>
    <s v="RECOVER"/>
    <s v="RC.RP"/>
    <x v="2"/>
    <x v="2"/>
    <s v="United Kingdom"/>
    <x v="1"/>
    <s v="Emma Schmidt"/>
    <s v="Quarterly"/>
    <d v="2026-08-21T00:00:00"/>
    <d v="2027-08-21T00:00:00"/>
    <x v="2"/>
    <s v="Complete"/>
    <n v="1"/>
    <s v="Jordan Lee"/>
    <d v="2026-05-11T00:00:00"/>
    <s v="Overdue"/>
    <x v="1"/>
    <x v="1"/>
    <x v="2"/>
    <s v="Standard"/>
  </r>
  <r>
    <s v="CTRL-0721"/>
    <s v="Incident Control 721"/>
    <s v="GOVERN"/>
    <s v="GV.RR"/>
    <x v="4"/>
    <x v="2"/>
    <s v="United Kingdom"/>
    <x v="1"/>
    <s v="Noah Williams"/>
    <s v="Semiannual"/>
    <d v="2026-06-16T00:00:00"/>
    <d v="2026-12-13T00:00:00"/>
    <x v="1"/>
    <s v="Pending"/>
    <n v="2"/>
    <s v="Taylor Morgan"/>
    <d v="2026-09-30T00:00:00"/>
    <s v="Completed"/>
    <x v="1"/>
    <x v="1"/>
    <x v="3"/>
    <s v="Standard"/>
  </r>
  <r>
    <s v="CTRL-0722"/>
    <s v="Vendor Control 722"/>
    <s v="GOVERN"/>
    <s v="GV.RR"/>
    <x v="4"/>
    <x v="2"/>
    <s v="Germany"/>
    <x v="2"/>
    <s v="Jordan Lee"/>
    <s v="Semiannual"/>
    <d v="2026-07-09T00:00:00"/>
    <d v="2027-07-09T00:00:00"/>
    <x v="1"/>
    <s v="Pending"/>
    <n v="2"/>
    <s v="Noah Williams"/>
    <d v="2026-10-25T00:00:00"/>
    <s v="In Progress"/>
    <x v="1"/>
    <x v="1"/>
    <x v="3"/>
    <s v="Standard"/>
  </r>
  <r>
    <s v="CTRL-0723"/>
    <s v="Change Control 723"/>
    <s v="GOVERN"/>
    <s v="GV.OC"/>
    <x v="5"/>
    <x v="2"/>
    <s v="United Kingdom"/>
    <x v="2"/>
    <s v="Liam Brown"/>
    <s v="Quarterly"/>
    <d v="2026-04-29T00:00:00"/>
    <d v="2027-04-29T00:00:00"/>
    <x v="1"/>
    <s v="Missing"/>
    <n v="0"/>
    <s v="Taylor Morgan"/>
    <d v="2026-08-06T00:00:00"/>
    <s v="Not Required"/>
    <x v="1"/>
    <x v="1"/>
    <x v="1"/>
    <s v="Standard"/>
  </r>
  <r>
    <s v="CTRL-0724"/>
    <s v="Access Control 724"/>
    <s v="RECOVER"/>
    <s v="RC.RP"/>
    <x v="3"/>
    <x v="2"/>
    <s v="United Kingdom"/>
    <x v="2"/>
    <s v="Maya Patel"/>
    <s v="Quarterly"/>
    <d v="2026-05-19T00:00:00"/>
    <d v="2026-11-15T00:00:00"/>
    <x v="3"/>
    <s v="Pending"/>
    <n v="3"/>
    <s v="Jordan Lee"/>
    <d v="2026-11-28T00:00:00"/>
    <s v="In Progress"/>
    <x v="1"/>
    <x v="1"/>
    <x v="3"/>
    <s v="Standard"/>
  </r>
  <r>
    <s v="CTRL-0725"/>
    <s v="Change Control 725"/>
    <s v="RECOVER"/>
    <s v="RC.RP"/>
    <x v="4"/>
    <x v="0"/>
    <s v="Singapore"/>
    <x v="0"/>
    <s v="Sam Rivera"/>
    <s v="Annual"/>
    <d v="2026-02-17T00:00:00"/>
    <d v="2026-08-16T00:00:00"/>
    <x v="0"/>
    <s v="Complete"/>
    <n v="2"/>
    <s v="Liam Brown"/>
    <d v="2026-09-25T00:00:00"/>
    <s v="Overdue"/>
    <x v="0"/>
    <x v="1"/>
    <x v="2"/>
    <s v="Elevated"/>
  </r>
  <r>
    <s v="CTRL-0726"/>
    <s v="Access Control 726"/>
    <s v="RESPOND"/>
    <s v="RS.MA"/>
    <x v="4"/>
    <x v="1"/>
    <s v="Canada"/>
    <x v="1"/>
    <s v="Jordan Lee"/>
    <s v="Semiannual"/>
    <d v="2026-01-13T00:00:00"/>
    <d v="2026-04-13T00:00:00"/>
    <x v="0"/>
    <s v="Missing"/>
    <n v="1"/>
    <s v="Emma Schmidt"/>
    <d v="2026-09-13T00:00:00"/>
    <s v="Overdue"/>
    <x v="0"/>
    <x v="1"/>
    <x v="1"/>
    <s v="Standard"/>
  </r>
  <r>
    <s v="CTRL-0727"/>
    <s v="Change Control 727"/>
    <s v="GOVERN"/>
    <s v="GV.RM"/>
    <x v="0"/>
    <x v="2"/>
    <s v="United Kingdom"/>
    <x v="1"/>
    <s v="Alex Chen"/>
    <s v="Quarterly"/>
    <d v="2025-08-18T00:00:00"/>
    <d v="2026-08-18T00:00:00"/>
    <x v="0"/>
    <s v="Pending"/>
    <n v="2"/>
    <s v="Taylor Morgan"/>
    <d v="2026-08-10T00:00:00"/>
    <s v="Overdue"/>
    <x v="0"/>
    <x v="1"/>
    <x v="3"/>
    <s v="Standard"/>
  </r>
  <r>
    <s v="CTRL-0728"/>
    <s v="Access Control 728"/>
    <s v="GOVERN"/>
    <s v="GV.OC"/>
    <x v="2"/>
    <x v="2"/>
    <s v="United Kingdom"/>
    <x v="0"/>
    <s v="Liam Brown"/>
    <s v="Semiannual"/>
    <d v="2025-06-21T00:00:00"/>
    <d v="2025-12-18T00:00:00"/>
    <x v="0"/>
    <s v="Missing"/>
    <n v="1"/>
    <s v="Noah Williams"/>
    <d v="2026-08-13T00:00:00"/>
    <s v="Completed"/>
    <x v="0"/>
    <x v="1"/>
    <x v="1"/>
    <s v="Elevated"/>
  </r>
  <r>
    <s v="CTRL-0729"/>
    <s v="Policy Control 729"/>
    <s v="RESPOND"/>
    <s v="RS.MA"/>
    <x v="1"/>
    <x v="2"/>
    <s v="United Kingdom"/>
    <x v="2"/>
    <s v="Emma Schmidt"/>
    <s v="Quarterly"/>
    <d v="2026-01-07T00:00:00"/>
    <d v="2026-07-06T00:00:00"/>
    <x v="0"/>
    <s v="Missing"/>
    <n v="1"/>
    <s v="Sam Rivera"/>
    <d v="2026-11-12T00:00:00"/>
    <s v="In Progress"/>
    <x v="0"/>
    <x v="1"/>
    <x v="1"/>
    <s v="Standard"/>
  </r>
  <r>
    <s v="CTRL-0730"/>
    <s v="Reconciliation Control 730"/>
    <s v="RESPOND"/>
    <s v="RS.MA"/>
    <x v="2"/>
    <x v="1"/>
    <s v="United States"/>
    <x v="2"/>
    <s v="Noah Williams"/>
    <s v="Annual"/>
    <d v="2026-09-03T00:00:00"/>
    <d v="2026-12-02T00:00:00"/>
    <x v="3"/>
    <s v="Pending"/>
    <n v="2"/>
    <s v="Alex Chen"/>
    <d v="2026-05-31T00:00:00"/>
    <s v="Overdue"/>
    <x v="1"/>
    <x v="1"/>
    <x v="3"/>
    <s v="Standard"/>
  </r>
  <r>
    <s v="CTRL-0731"/>
    <s v="Change Control 731"/>
    <s v="IDENTIFY"/>
    <s v="ID.AM"/>
    <x v="5"/>
    <x v="2"/>
    <s v="United Kingdom"/>
    <x v="2"/>
    <s v="Maya Patel"/>
    <s v="Annual"/>
    <d v="2026-08-23T00:00:00"/>
    <d v="2026-11-21T00:00:00"/>
    <x v="3"/>
    <s v="Pending"/>
    <n v="1"/>
    <s v="Alex Chen"/>
    <d v="2026-10-13T00:00:00"/>
    <s v="Completed"/>
    <x v="1"/>
    <x v="1"/>
    <x v="3"/>
    <s v="Standard"/>
  </r>
  <r>
    <s v="CTRL-0732"/>
    <s v="Reconciliation Control 732"/>
    <s v="DETECT"/>
    <s v="DE.CM"/>
    <x v="0"/>
    <x v="2"/>
    <s v="Germany"/>
    <x v="2"/>
    <s v="Taylor Morgan"/>
    <s v="Annual"/>
    <d v="2025-12-27T00:00:00"/>
    <d v="2026-03-27T00:00:00"/>
    <x v="0"/>
    <s v="Missing"/>
    <n v="3"/>
    <s v="Emma Schmidt"/>
    <d v="2026-11-22T00:00:00"/>
    <s v="In Progress"/>
    <x v="0"/>
    <x v="1"/>
    <x v="1"/>
    <s v="Standard"/>
  </r>
  <r>
    <s v="CTRL-0733"/>
    <s v="Reconciliation Control 733"/>
    <s v="RESPOND"/>
    <s v="RS.MA"/>
    <x v="0"/>
    <x v="0"/>
    <s v="Singapore"/>
    <x v="3"/>
    <s v="Liam Brown"/>
    <s v="Annual"/>
    <d v="2026-02-03T00:00:00"/>
    <d v="2026-08-02T00:00:00"/>
    <x v="0"/>
    <s v="Complete"/>
    <n v="4"/>
    <s v="Emma Schmidt"/>
    <d v="2026-06-25T00:00:00"/>
    <s v="Overdue"/>
    <x v="0"/>
    <x v="1"/>
    <x v="2"/>
    <s v="Elevated"/>
  </r>
  <r>
    <s v="CTRL-0734"/>
    <s v="Incident Control 734"/>
    <s v="GOVERN"/>
    <s v="GV.RM"/>
    <x v="5"/>
    <x v="0"/>
    <s v="Singapore"/>
    <x v="2"/>
    <s v="Maya Patel"/>
    <s v="Semiannual"/>
    <d v="2026-07-28T00:00:00"/>
    <d v="2026-10-26T00:00:00"/>
    <x v="1"/>
    <s v="Complete"/>
    <n v="3"/>
    <s v="Alex Chen"/>
    <d v="2026-05-26T00:00:00"/>
    <s v="Overdue"/>
    <x v="1"/>
    <x v="1"/>
    <x v="2"/>
    <s v="Standard"/>
  </r>
  <r>
    <s v="CTRL-0735"/>
    <s v="Policy Control 735"/>
    <s v="DETECT"/>
    <s v="DE.CM"/>
    <x v="4"/>
    <x v="0"/>
    <s v="Singapore"/>
    <x v="1"/>
    <s v="Liam Brown"/>
    <s v="Semiannual"/>
    <d v="2025-12-02T00:00:00"/>
    <d v="2026-05-31T00:00:00"/>
    <x v="0"/>
    <s v="Complete"/>
    <n v="1"/>
    <s v="Emma Schmidt"/>
    <d v="2026-11-29T00:00:00"/>
    <s v="In Progress"/>
    <x v="0"/>
    <x v="1"/>
    <x v="2"/>
    <s v="Standard"/>
  </r>
  <r>
    <s v="CTRL-0736"/>
    <s v="Incident Control 736"/>
    <s v="RESPOND"/>
    <s v="RS.MA"/>
    <x v="0"/>
    <x v="0"/>
    <s v="Singapore"/>
    <x v="3"/>
    <s v="Sam Rivera"/>
    <s v="Quarterly"/>
    <d v="2025-12-25T00:00:00"/>
    <d v="2026-06-23T00:00:00"/>
    <x v="0"/>
    <s v="Pending"/>
    <n v="5"/>
    <s v="Alex Chen"/>
    <d v="2026-08-16T00:00:00"/>
    <s v="Completed"/>
    <x v="0"/>
    <x v="1"/>
    <x v="3"/>
    <s v="Elevated"/>
  </r>
  <r>
    <s v="CTRL-0737"/>
    <s v="Change Control 737"/>
    <s v="RESPOND"/>
    <s v="RS.MA"/>
    <x v="0"/>
    <x v="2"/>
    <s v="United Kingdom"/>
    <x v="1"/>
    <s v="Noah Williams"/>
    <s v="Annual"/>
    <d v="2025-07-07T00:00:00"/>
    <d v="2026-07-07T00:00:00"/>
    <x v="0"/>
    <s v="Missing"/>
    <n v="2"/>
    <s v="Emma Schmidt"/>
    <d v="2026-09-21T00:00:00"/>
    <s v="Completed"/>
    <x v="0"/>
    <x v="1"/>
    <x v="1"/>
    <s v="Standard"/>
  </r>
  <r>
    <s v="CTRL-0738"/>
    <s v="Vendor Control 738"/>
    <s v="GOVERN"/>
    <s v="GV.RR"/>
    <x v="0"/>
    <x v="1"/>
    <s v="Canada"/>
    <x v="0"/>
    <s v="Emma Schmidt"/>
    <s v="Quarterly"/>
    <d v="2026-07-07T00:00:00"/>
    <d v="2027-07-07T00:00:00"/>
    <x v="1"/>
    <s v="Missing"/>
    <n v="1"/>
    <s v="Maya Patel"/>
    <d v="2026-10-26T00:00:00"/>
    <s v="In Progress"/>
    <x v="1"/>
    <x v="1"/>
    <x v="1"/>
    <s v="Elevated"/>
  </r>
  <r>
    <s v="CTRL-0739"/>
    <s v="Access Control 739"/>
    <s v="GOVERN"/>
    <s v="GV.RM"/>
    <x v="3"/>
    <x v="0"/>
    <s v="Singapore"/>
    <x v="1"/>
    <s v="Emma Schmidt"/>
    <s v="Semiannual"/>
    <d v="2025-07-06T00:00:00"/>
    <d v="2026-07-06T00:00:00"/>
    <x v="0"/>
    <s v="Pending"/>
    <n v="1"/>
    <s v="Alex Chen"/>
    <d v="2026-09-15T00:00:00"/>
    <s v="Completed"/>
    <x v="0"/>
    <x v="1"/>
    <x v="3"/>
    <s v="Standard"/>
  </r>
  <r>
    <s v="CTRL-0740"/>
    <s v="Change Control 740"/>
    <s v="DETECT"/>
    <s v="DE.CM"/>
    <x v="0"/>
    <x v="0"/>
    <s v="Singapore"/>
    <x v="2"/>
    <s v="Maya Patel"/>
    <s v="Quarterly"/>
    <d v="2025-11-22T00:00:00"/>
    <d v="2026-05-21T00:00:00"/>
    <x v="0"/>
    <s v="Complete"/>
    <n v="1"/>
    <s v="Sam Rivera"/>
    <d v="2026-11-21T00:00:00"/>
    <s v="In Progress"/>
    <x v="0"/>
    <x v="1"/>
    <x v="2"/>
    <s v="Standard"/>
  </r>
  <r>
    <s v="CTRL-0741"/>
    <s v="Change Control 741"/>
    <s v="GOVERN"/>
    <s v="GV.RM"/>
    <x v="3"/>
    <x v="2"/>
    <s v="United Kingdom"/>
    <x v="0"/>
    <s v="Emma Schmidt"/>
    <s v="Annual"/>
    <d v="2025-08-12T00:00:00"/>
    <d v="2026-02-08T00:00:00"/>
    <x v="0"/>
    <s v="Missing"/>
    <n v="0"/>
    <s v="Alex Chen"/>
    <d v="2026-08-21T00:00:00"/>
    <s v="Not Required"/>
    <x v="0"/>
    <x v="1"/>
    <x v="1"/>
    <s v="Elevated"/>
  </r>
  <r>
    <s v="CTRL-0742"/>
    <s v="Policy Control 742"/>
    <s v="RECOVER"/>
    <s v="RC.RP"/>
    <x v="0"/>
    <x v="0"/>
    <s v="Singapore"/>
    <x v="2"/>
    <s v="Maya Patel"/>
    <s v="Semiannual"/>
    <d v="2026-07-18T00:00:00"/>
    <d v="2026-10-16T00:00:00"/>
    <x v="1"/>
    <s v="Complete"/>
    <n v="0"/>
    <s v="Sam Rivera"/>
    <d v="2026-05-12T00:00:00"/>
    <s v="Not Required"/>
    <x v="1"/>
    <x v="1"/>
    <x v="2"/>
    <s v="Standard"/>
  </r>
  <r>
    <s v="CTRL-0743"/>
    <s v="Incident Control 743"/>
    <s v="DETECT"/>
    <s v="DE.CM"/>
    <x v="4"/>
    <x v="2"/>
    <s v="United Kingdom"/>
    <x v="0"/>
    <s v="Emma Schmidt"/>
    <s v="Semiannual"/>
    <d v="2026-08-04T00:00:00"/>
    <d v="2027-01-31T00:00:00"/>
    <x v="3"/>
    <s v="Complete"/>
    <n v="5"/>
    <s v="Jordan Lee"/>
    <d v="2026-11-03T00:00:00"/>
    <s v="In Progress"/>
    <x v="1"/>
    <x v="1"/>
    <x v="2"/>
    <s v="Elevated"/>
  </r>
  <r>
    <s v="CTRL-0744"/>
    <s v="Access Control 744"/>
    <s v="PROTECT"/>
    <s v="PR.AA"/>
    <x v="0"/>
    <x v="1"/>
    <s v="Canada"/>
    <x v="0"/>
    <s v="Alex Chen"/>
    <s v="Quarterly"/>
    <d v="2026-07-12T00:00:00"/>
    <d v="2027-01-08T00:00:00"/>
    <x v="2"/>
    <s v="Missing"/>
    <n v="4"/>
    <s v="Alex Chen"/>
    <d v="2027-01-07T00:00:00"/>
    <s v="Completed"/>
    <x v="1"/>
    <x v="1"/>
    <x v="1"/>
    <s v="Elevated"/>
  </r>
  <r>
    <s v="CTRL-0745"/>
    <s v="Change Control 745"/>
    <s v="GOVERN"/>
    <s v="GV.RR"/>
    <x v="3"/>
    <x v="0"/>
    <s v="Singapore"/>
    <x v="2"/>
    <s v="Jordan Lee"/>
    <s v="Quarterly"/>
    <d v="2026-05-23T00:00:00"/>
    <d v="2026-11-19T00:00:00"/>
    <x v="1"/>
    <s v="Complete"/>
    <n v="0"/>
    <s v="Jordan Lee"/>
    <d v="2026-09-17T00:00:00"/>
    <s v="Not Required"/>
    <x v="1"/>
    <x v="1"/>
    <x v="2"/>
    <s v="Standard"/>
  </r>
  <r>
    <s v="CTRL-0746"/>
    <s v="Change Control 746"/>
    <s v="RESPOND"/>
    <s v="RS.MA"/>
    <x v="4"/>
    <x v="2"/>
    <s v="Germany"/>
    <x v="1"/>
    <s v="Maya Patel"/>
    <s v="Semiannual"/>
    <d v="2026-03-16T00:00:00"/>
    <d v="2027-03-16T00:00:00"/>
    <x v="2"/>
    <s v="Pending"/>
    <n v="3"/>
    <s v="Jordan Lee"/>
    <d v="2026-11-12T00:00:00"/>
    <s v="In Progress"/>
    <x v="1"/>
    <x v="1"/>
    <x v="3"/>
    <s v="Standard"/>
  </r>
  <r>
    <s v="CTRL-0747"/>
    <s v="Data Control 747"/>
    <s v="RESPOND"/>
    <s v="RS.MA"/>
    <x v="4"/>
    <x v="1"/>
    <s v="Canada"/>
    <x v="1"/>
    <s v="Taylor Morgan"/>
    <s v="Annual"/>
    <d v="2026-06-18T00:00:00"/>
    <d v="2026-09-16T00:00:00"/>
    <x v="0"/>
    <s v="Missing"/>
    <n v="3"/>
    <s v="Taylor Morgan"/>
    <d v="2026-11-10T00:00:00"/>
    <s v="In Progress"/>
    <x v="0"/>
    <x v="1"/>
    <x v="1"/>
    <s v="Standard"/>
  </r>
  <r>
    <s v="CTRL-0748"/>
    <s v="Data Control 748"/>
    <s v="GOVERN"/>
    <s v="GV.OC"/>
    <x v="3"/>
    <x v="2"/>
    <s v="United Kingdom"/>
    <x v="2"/>
    <s v="Sam Rivera"/>
    <s v="Semiannual"/>
    <d v="2025-11-24T00:00:00"/>
    <d v="2026-05-23T00:00:00"/>
    <x v="0"/>
    <m/>
    <n v="2"/>
    <s v="Emma Schmidt"/>
    <d v="2026-05-05T00:00:00"/>
    <s v="Overdue"/>
    <x v="0"/>
    <x v="1"/>
    <x v="0"/>
    <s v="Standard"/>
  </r>
  <r>
    <s v="CTRL-0749"/>
    <s v="Incident Control 749"/>
    <s v="IDENTIFY"/>
    <s v="ID.AM"/>
    <x v="4"/>
    <x v="2"/>
    <s v="Germany"/>
    <x v="1"/>
    <s v="Jordan Lee"/>
    <s v="Semiannual"/>
    <d v="2025-07-23T00:00:00"/>
    <d v="2026-01-19T00:00:00"/>
    <x v="0"/>
    <s v="Pending"/>
    <n v="1"/>
    <s v="Noah Williams"/>
    <d v="2026-10-03T00:00:00"/>
    <s v="Completed"/>
    <x v="0"/>
    <x v="1"/>
    <x v="3"/>
    <s v="Standard"/>
  </r>
  <r>
    <s v="CTRL-0750"/>
    <s v="Data Control 750"/>
    <s v="IDENTIFY"/>
    <s v="ID.AM"/>
    <x v="0"/>
    <x v="1"/>
    <s v="Canada"/>
    <x v="1"/>
    <s v="Alex Chen"/>
    <s v="Quarterly"/>
    <d v="2025-09-08T00:00:00"/>
    <d v="2026-03-07T00:00:00"/>
    <x v="0"/>
    <s v="Complete"/>
    <n v="3"/>
    <s v="Emma Schmidt"/>
    <d v="2027-01-18T00:00:00"/>
    <s v="In Progress"/>
    <x v="0"/>
    <x v="1"/>
    <x v="2"/>
    <s v="Standard"/>
  </r>
  <r>
    <s v="CTRL-0751"/>
    <s v="Incident Control 751"/>
    <s v="RESPOND"/>
    <s v="RS.MA"/>
    <x v="3"/>
    <x v="2"/>
    <s v="United Kingdom"/>
    <x v="1"/>
    <s v="Taylor Morgan"/>
    <s v="Semiannual"/>
    <d v="2025-09-09T00:00:00"/>
    <d v="2026-09-09T00:00:00"/>
    <x v="0"/>
    <s v="Missing"/>
    <n v="0"/>
    <s v="Noah Williams"/>
    <d v="2027-01-21T00:00:00"/>
    <s v="Not Required"/>
    <x v="0"/>
    <x v="1"/>
    <x v="1"/>
    <s v="Standard"/>
  </r>
  <r>
    <s v="CTRL-0752"/>
    <s v="Data Control 752"/>
    <s v="GOVERN"/>
    <s v="GV.RR"/>
    <x v="1"/>
    <x v="2"/>
    <s v="United Kingdom"/>
    <x v="1"/>
    <s v="Liam Brown"/>
    <s v="Semiannual"/>
    <d v="2025-12-29T00:00:00"/>
    <d v="2026-03-29T00:00:00"/>
    <x v="0"/>
    <s v="Pending"/>
    <n v="3"/>
    <s v="Emma Schmidt"/>
    <d v="2026-06-03T00:00:00"/>
    <s v="Completed"/>
    <x v="0"/>
    <x v="1"/>
    <x v="3"/>
    <s v="Standard"/>
  </r>
  <r>
    <s v="CTRL-0753"/>
    <s v="Access Control 753"/>
    <s v="RESPOND"/>
    <s v="RS.MA"/>
    <x v="2"/>
    <x v="1"/>
    <s v="United States"/>
    <x v="1"/>
    <m/>
    <s v="Annual"/>
    <d v="2025-08-05T00:00:00"/>
    <d v="2026-08-05T00:00:00"/>
    <x v="0"/>
    <s v="Complete"/>
    <n v="3"/>
    <s v="Alex Chen"/>
    <d v="2026-08-26T00:00:00"/>
    <s v="Completed"/>
    <x v="0"/>
    <x v="0"/>
    <x v="2"/>
    <s v="Standard"/>
  </r>
  <r>
    <s v="CTRL-0754"/>
    <s v="Vendor Control 754"/>
    <s v="DETECT"/>
    <s v="DE.CM"/>
    <x v="0"/>
    <x v="2"/>
    <s v="United Kingdom"/>
    <x v="2"/>
    <s v="Emma Schmidt"/>
    <s v="Annual"/>
    <d v="2025-09-05T00:00:00"/>
    <d v="2026-03-04T00:00:00"/>
    <x v="0"/>
    <s v="Pending"/>
    <n v="2"/>
    <s v="Alex Chen"/>
    <d v="2026-09-27T00:00:00"/>
    <s v="Overdue"/>
    <x v="0"/>
    <x v="1"/>
    <x v="3"/>
    <s v="Standard"/>
  </r>
  <r>
    <s v="CTRL-0755"/>
    <s v="Policy Control 755"/>
    <s v="GOVERN"/>
    <s v="GV.OC"/>
    <x v="5"/>
    <x v="2"/>
    <s v="Germany"/>
    <x v="3"/>
    <s v="Liam Brown"/>
    <s v="Quarterly"/>
    <d v="2025-07-03T00:00:00"/>
    <d v="2026-07-03T00:00:00"/>
    <x v="0"/>
    <s v="Complete"/>
    <n v="2"/>
    <s v="Jordan Lee"/>
    <d v="2026-05-25T00:00:00"/>
    <s v="Completed"/>
    <x v="0"/>
    <x v="1"/>
    <x v="2"/>
    <s v="Elevated"/>
  </r>
  <r>
    <s v="CTRL-0756"/>
    <s v="Incident Control 756"/>
    <s v="GOVERN"/>
    <s v="GV.OC"/>
    <x v="5"/>
    <x v="1"/>
    <s v="Canada"/>
    <x v="0"/>
    <s v="Sam Rivera"/>
    <s v="Quarterly"/>
    <d v="2026-06-15T00:00:00"/>
    <d v="2026-09-13T00:00:00"/>
    <x v="0"/>
    <s v="Complete"/>
    <n v="5"/>
    <s v="Taylor Morgan"/>
    <d v="2026-10-08T00:00:00"/>
    <s v="In Progress"/>
    <x v="0"/>
    <x v="1"/>
    <x v="2"/>
    <s v="Elevated"/>
  </r>
  <r>
    <s v="CTRL-0757"/>
    <s v="Access Control 757"/>
    <s v="RECOVER"/>
    <s v="RC.RP"/>
    <x v="0"/>
    <x v="1"/>
    <s v="United States"/>
    <x v="3"/>
    <s v="Maya Patel"/>
    <s v="Quarterly"/>
    <d v="2026-04-28T00:00:00"/>
    <d v="2026-10-25T00:00:00"/>
    <x v="2"/>
    <s v="Pending"/>
    <n v="5"/>
    <s v="Noah Williams"/>
    <d v="2026-06-29T00:00:00"/>
    <s v="Overdue"/>
    <x v="1"/>
    <x v="1"/>
    <x v="3"/>
    <s v="Elevated"/>
  </r>
  <r>
    <s v="CTRL-0758"/>
    <s v="Change Control 758"/>
    <s v="RECOVER"/>
    <s v="RC.RP"/>
    <x v="5"/>
    <x v="1"/>
    <s v="Canada"/>
    <x v="2"/>
    <s v="Maya Patel"/>
    <s v="Quarterly"/>
    <d v="2025-12-17T00:00:00"/>
    <d v="2026-12-17T00:00:00"/>
    <x v="1"/>
    <s v="Pending"/>
    <n v="3"/>
    <s v="Taylor Morgan"/>
    <d v="2026-08-24T00:00:00"/>
    <s v="Completed"/>
    <x v="1"/>
    <x v="1"/>
    <x v="3"/>
    <s v="Standard"/>
  </r>
  <r>
    <s v="CTRL-0759"/>
    <s v="Access Control 759"/>
    <s v="RECOVER"/>
    <s v="RC.RP"/>
    <x v="2"/>
    <x v="2"/>
    <s v="United Kingdom"/>
    <x v="2"/>
    <s v="Sam Rivera"/>
    <s v="Quarterly"/>
    <d v="2025-10-08T00:00:00"/>
    <d v="2026-10-08T00:00:00"/>
    <x v="3"/>
    <s v="Missing"/>
    <n v="0"/>
    <s v="Alex Chen"/>
    <d v="2026-05-11T00:00:00"/>
    <s v="Not Required"/>
    <x v="1"/>
    <x v="1"/>
    <x v="1"/>
    <s v="Standard"/>
  </r>
  <r>
    <s v="CTRL-0760"/>
    <s v="Policy Control 760"/>
    <s v="DETECT"/>
    <s v="DE.CM"/>
    <x v="4"/>
    <x v="0"/>
    <s v="Singapore"/>
    <x v="0"/>
    <s v="Sam Rivera"/>
    <s v="Semiannual"/>
    <d v="2026-01-04T00:00:00"/>
    <d v="2026-04-04T00:00:00"/>
    <x v="0"/>
    <s v="Pending"/>
    <n v="1"/>
    <s v="Liam Brown"/>
    <d v="2026-12-29T00:00:00"/>
    <s v="In Progress"/>
    <x v="0"/>
    <x v="1"/>
    <x v="3"/>
    <s v="Elevated"/>
  </r>
  <r>
    <s v="CTRL-0761"/>
    <s v="Vendor Control 761"/>
    <s v="PROTECT"/>
    <s v="PR.AA"/>
    <x v="3"/>
    <x v="0"/>
    <s v="Singapore"/>
    <x v="1"/>
    <s v="Jordan Lee"/>
    <s v="Quarterly"/>
    <d v="2026-05-21T00:00:00"/>
    <d v="2026-11-17T00:00:00"/>
    <x v="1"/>
    <s v="Pending"/>
    <n v="1"/>
    <s v="Taylor Morgan"/>
    <d v="2026-10-24T00:00:00"/>
    <s v="Completed"/>
    <x v="1"/>
    <x v="1"/>
    <x v="3"/>
    <s v="Standard"/>
  </r>
  <r>
    <s v="CTRL-0762"/>
    <s v="Reconciliation Control 762"/>
    <s v="GOVERN"/>
    <s v="GV.RR"/>
    <x v="1"/>
    <x v="0"/>
    <s v="Singapore"/>
    <x v="2"/>
    <s v="Maya Patel"/>
    <s v="Quarterly"/>
    <d v="2025-08-25T00:00:00"/>
    <d v="2025-11-23T00:00:00"/>
    <x v="0"/>
    <s v="Complete"/>
    <n v="0"/>
    <s v="Liam Brown"/>
    <d v="2026-11-24T00:00:00"/>
    <s v="Not Required"/>
    <x v="0"/>
    <x v="1"/>
    <x v="2"/>
    <s v="Standard"/>
  </r>
  <r>
    <s v="CTRL-0763"/>
    <s v="Access Control 763"/>
    <s v="DETECT"/>
    <s v="DE.CM"/>
    <x v="2"/>
    <x v="0"/>
    <s v="Singapore"/>
    <x v="1"/>
    <s v="Maya Patel"/>
    <s v="Semiannual"/>
    <d v="2026-03-13T00:00:00"/>
    <d v="2026-09-09T00:00:00"/>
    <x v="0"/>
    <s v="Complete"/>
    <n v="1"/>
    <s v="Taylor Morgan"/>
    <d v="2026-10-23T00:00:00"/>
    <s v="In Progress"/>
    <x v="0"/>
    <x v="1"/>
    <x v="2"/>
    <s v="Standard"/>
  </r>
  <r>
    <s v="CTRL-0764"/>
    <s v="Access Control 764"/>
    <s v="RESPOND"/>
    <s v="RS.MA"/>
    <x v="0"/>
    <x v="2"/>
    <s v="United Kingdom"/>
    <x v="2"/>
    <s v="Emma Schmidt"/>
    <s v="Annual"/>
    <d v="2026-06-03T00:00:00"/>
    <d v="2026-11-30T00:00:00"/>
    <x v="1"/>
    <s v="Complete"/>
    <n v="2"/>
    <s v="Alex Chen"/>
    <d v="2026-12-30T00:00:00"/>
    <s v="In Progress"/>
    <x v="1"/>
    <x v="1"/>
    <x v="2"/>
    <s v="Standard"/>
  </r>
  <r>
    <s v="CTRL-0765"/>
    <s v="Reconciliation Control 765"/>
    <s v="GOVERN"/>
    <s v="GV.RM"/>
    <x v="0"/>
    <x v="0"/>
    <s v="Singapore"/>
    <x v="1"/>
    <s v="Alex Chen"/>
    <s v="Quarterly"/>
    <d v="2025-06-09T00:00:00"/>
    <d v="2025-09-07T00:00:00"/>
    <x v="0"/>
    <s v="Missing"/>
    <n v="2"/>
    <s v="Emma Schmidt"/>
    <d v="2026-08-03T00:00:00"/>
    <s v="Completed"/>
    <x v="0"/>
    <x v="1"/>
    <x v="1"/>
    <s v="Standard"/>
  </r>
  <r>
    <s v="CTRL-0766"/>
    <s v="Incident Control 766"/>
    <s v="PROTECT"/>
    <s v="PR.AA"/>
    <x v="0"/>
    <x v="2"/>
    <s v="Germany"/>
    <x v="1"/>
    <s v="Taylor Morgan"/>
    <s v="Quarterly"/>
    <d v="2025-12-31T00:00:00"/>
    <d v="2026-03-31T00:00:00"/>
    <x v="0"/>
    <s v="Complete"/>
    <n v="1"/>
    <s v="Maya Patel"/>
    <d v="2026-09-27T00:00:00"/>
    <s v="Overdue"/>
    <x v="0"/>
    <x v="1"/>
    <x v="2"/>
    <s v="Standard"/>
  </r>
  <r>
    <s v="CTRL-0767"/>
    <s v="Incident Control 767"/>
    <s v="GOVERN"/>
    <s v="GV.OC"/>
    <x v="5"/>
    <x v="1"/>
    <s v="Canada"/>
    <x v="2"/>
    <s v="Sam Rivera"/>
    <s v="Semiannual"/>
    <d v="2026-06-15T00:00:00"/>
    <d v="2026-12-12T00:00:00"/>
    <x v="3"/>
    <s v="Complete"/>
    <n v="2"/>
    <s v="Emma Schmidt"/>
    <d v="2026-11-22T00:00:00"/>
    <s v="Completed"/>
    <x v="1"/>
    <x v="1"/>
    <x v="2"/>
    <s v="Standard"/>
  </r>
  <r>
    <s v="CTRL-0768"/>
    <s v="Policy Control 768"/>
    <s v="RECOVER"/>
    <s v="RC.RP"/>
    <x v="1"/>
    <x v="2"/>
    <s v="United Kingdom"/>
    <x v="3"/>
    <s v="Maya Patel"/>
    <s v="Quarterly"/>
    <d v="2026-06-15T00:00:00"/>
    <d v="2027-06-15T00:00:00"/>
    <x v="3"/>
    <s v="Missing"/>
    <n v="2"/>
    <s v="Liam Brown"/>
    <d v="2026-12-01T00:00:00"/>
    <s v="In Progress"/>
    <x v="1"/>
    <x v="1"/>
    <x v="1"/>
    <s v="Elevated"/>
  </r>
  <r>
    <s v="CTRL-0769"/>
    <s v="Reconciliation Control 769"/>
    <s v="GOVERN"/>
    <s v="GV.RM"/>
    <x v="0"/>
    <x v="1"/>
    <s v="United States"/>
    <x v="2"/>
    <s v="Taylor Morgan"/>
    <s v="Annual"/>
    <d v="2025-07-10T00:00:00"/>
    <d v="2025-10-08T00:00:00"/>
    <x v="0"/>
    <s v="Missing"/>
    <n v="1"/>
    <s v="Noah Williams"/>
    <d v="2026-06-17T00:00:00"/>
    <s v="Overdue"/>
    <x v="0"/>
    <x v="1"/>
    <x v="1"/>
    <s v="Standard"/>
  </r>
  <r>
    <s v="CTRL-0770"/>
    <s v="Reconciliation Control 770"/>
    <s v="DETECT"/>
    <s v="DE.CM"/>
    <x v="5"/>
    <x v="2"/>
    <s v="Germany"/>
    <x v="2"/>
    <s v="Taylor Morgan"/>
    <s v="Annual"/>
    <d v="2025-10-06T00:00:00"/>
    <d v="2026-04-04T00:00:00"/>
    <x v="0"/>
    <s v="Pending"/>
    <n v="2"/>
    <s v="Noah Williams"/>
    <d v="2026-11-23T00:00:00"/>
    <s v="Completed"/>
    <x v="0"/>
    <x v="1"/>
    <x v="3"/>
    <s v="Standard"/>
  </r>
  <r>
    <s v="CTRL-0771"/>
    <s v="Reconciliation Control 771"/>
    <s v="RESPOND"/>
    <s v="RS.MA"/>
    <x v="0"/>
    <x v="0"/>
    <s v="Singapore"/>
    <x v="1"/>
    <s v="Alex Chen"/>
    <s v="Quarterly"/>
    <d v="2026-06-27T00:00:00"/>
    <d v="2026-12-24T00:00:00"/>
    <x v="3"/>
    <s v="Pending"/>
    <n v="3"/>
    <s v="Maya Patel"/>
    <d v="2026-04-18T00:00:00"/>
    <s v="Completed"/>
    <x v="1"/>
    <x v="1"/>
    <x v="3"/>
    <s v="Standard"/>
  </r>
  <r>
    <s v="CTRL-0772"/>
    <s v="Reconciliation Control 772"/>
    <s v="DETECT"/>
    <s v="DE.CM"/>
    <x v="5"/>
    <x v="1"/>
    <s v="Canada"/>
    <x v="1"/>
    <s v="Taylor Morgan"/>
    <s v="Semiannual"/>
    <d v="2025-06-18T00:00:00"/>
    <d v="2026-06-18T00:00:00"/>
    <x v="0"/>
    <s v="Missing"/>
    <n v="3"/>
    <s v="Emma Schmidt"/>
    <d v="2026-12-28T00:00:00"/>
    <s v="Completed"/>
    <x v="0"/>
    <x v="1"/>
    <x v="1"/>
    <s v="Standard"/>
  </r>
  <r>
    <s v="CTRL-0773"/>
    <s v="Reconciliation Control 773"/>
    <s v="DETECT"/>
    <s v="DE.CM"/>
    <x v="1"/>
    <x v="2"/>
    <s v="Germany"/>
    <x v="1"/>
    <s v="Noah Williams"/>
    <s v="Quarterly"/>
    <d v="2025-07-10T00:00:00"/>
    <d v="2026-07-10T00:00:00"/>
    <x v="0"/>
    <s v="Complete"/>
    <n v="3"/>
    <s v="Alex Chen"/>
    <d v="2026-11-21T00:00:00"/>
    <s v="In Progress"/>
    <x v="0"/>
    <x v="1"/>
    <x v="2"/>
    <s v="Standard"/>
  </r>
  <r>
    <s v="CTRL-0774"/>
    <s v="Vendor Control 774"/>
    <s v="GOVERN"/>
    <s v="GV.OC"/>
    <x v="4"/>
    <x v="2"/>
    <s v="United Kingdom"/>
    <x v="2"/>
    <s v="Taylor Morgan"/>
    <s v="Quarterly"/>
    <d v="2025-10-26T00:00:00"/>
    <d v="2026-10-26T00:00:00"/>
    <x v="2"/>
    <s v="Pending"/>
    <n v="2"/>
    <s v="Sam Rivera"/>
    <d v="2026-05-06T00:00:00"/>
    <s v="Overdue"/>
    <x v="1"/>
    <x v="1"/>
    <x v="3"/>
    <s v="Standard"/>
  </r>
  <r>
    <s v="CTRL-0775"/>
    <s v="Change Control 775"/>
    <s v="PROTECT"/>
    <s v="PR.AA"/>
    <x v="0"/>
    <x v="2"/>
    <s v="United Kingdom"/>
    <x v="2"/>
    <s v="Alex Chen"/>
    <s v="Semiannual"/>
    <d v="2026-02-02T00:00:00"/>
    <d v="2026-08-01T00:00:00"/>
    <x v="0"/>
    <s v="Missing"/>
    <n v="0"/>
    <s v="Taylor Morgan"/>
    <d v="2026-04-28T00:00:00"/>
    <s v="Not Required"/>
    <x v="0"/>
    <x v="1"/>
    <x v="1"/>
    <s v="Standard"/>
  </r>
  <r>
    <s v="CTRL-0776"/>
    <s v="Vendor Control 776"/>
    <s v="GOVERN"/>
    <s v="GV.OC"/>
    <x v="0"/>
    <x v="0"/>
    <s v="Singapore"/>
    <x v="0"/>
    <s v="Jordan Lee"/>
    <s v="Semiannual"/>
    <d v="2025-08-31T00:00:00"/>
    <d v="2025-11-29T00:00:00"/>
    <x v="0"/>
    <s v="Pending"/>
    <n v="4"/>
    <s v="Sam Rivera"/>
    <d v="2026-05-14T00:00:00"/>
    <s v="Completed"/>
    <x v="0"/>
    <x v="1"/>
    <x v="3"/>
    <s v="Elevated"/>
  </r>
  <r>
    <s v="CTRL-0777"/>
    <s v="Policy Control 777"/>
    <s v="DETECT"/>
    <s v="DE.CM"/>
    <x v="4"/>
    <x v="0"/>
    <s v="Singapore"/>
    <x v="2"/>
    <s v="Maya Patel"/>
    <s v="Annual"/>
    <d v="2025-06-10T00:00:00"/>
    <d v="2025-12-07T00:00:00"/>
    <x v="0"/>
    <s v="Pending"/>
    <n v="2"/>
    <s v="Jordan Lee"/>
    <d v="2026-06-30T00:00:00"/>
    <s v="Overdue"/>
    <x v="0"/>
    <x v="1"/>
    <x v="3"/>
    <s v="Standard"/>
  </r>
  <r>
    <s v="CTRL-0778"/>
    <s v="Access Control 778"/>
    <s v="RESPOND"/>
    <s v="RS.MA"/>
    <x v="2"/>
    <x v="0"/>
    <s v="Singapore"/>
    <x v="1"/>
    <s v="Sam Rivera"/>
    <s v="Quarterly"/>
    <d v="2026-04-09T00:00:00"/>
    <d v="2026-10-06T00:00:00"/>
    <x v="1"/>
    <s v="Missing"/>
    <n v="3"/>
    <s v="Liam Brown"/>
    <d v="2027-01-07T00:00:00"/>
    <s v="Completed"/>
    <x v="1"/>
    <x v="1"/>
    <x v="1"/>
    <s v="Standard"/>
  </r>
  <r>
    <s v="CTRL-0779"/>
    <s v="Access Control 779"/>
    <s v="RECOVER"/>
    <s v="RC.RP"/>
    <x v="3"/>
    <x v="0"/>
    <s v="Singapore"/>
    <x v="3"/>
    <s v="Noah Williams"/>
    <s v="Annual"/>
    <d v="2026-01-14T00:00:00"/>
    <d v="2026-07-13T00:00:00"/>
    <x v="0"/>
    <s v="Pending"/>
    <n v="3"/>
    <s v="Alex Chen"/>
    <d v="2026-11-04T00:00:00"/>
    <s v="In Progress"/>
    <x v="0"/>
    <x v="1"/>
    <x v="3"/>
    <s v="Elevated"/>
  </r>
  <r>
    <s v="CTRL-0780"/>
    <s v="Access Control 780"/>
    <s v="PROTECT"/>
    <s v="PR.AA"/>
    <x v="1"/>
    <x v="2"/>
    <s v="United Kingdom"/>
    <x v="2"/>
    <s v="Taylor Morgan"/>
    <s v="Semiannual"/>
    <d v="2025-08-04T00:00:00"/>
    <d v="2025-11-02T00:00:00"/>
    <x v="0"/>
    <s v="Missing"/>
    <n v="2"/>
    <s v="Jordan Lee"/>
    <d v="2026-06-07T00:00:00"/>
    <s v="Overdue"/>
    <x v="0"/>
    <x v="1"/>
    <x v="1"/>
    <s v="Standard"/>
  </r>
  <r>
    <s v="CTRL-0781"/>
    <s v="Reconciliation Control 781"/>
    <s v="GOVERN"/>
    <s v="GV.RM"/>
    <x v="4"/>
    <x v="2"/>
    <s v="United Kingdom"/>
    <x v="0"/>
    <s v="Liam Brown"/>
    <s v="Annual"/>
    <d v="2025-07-08T00:00:00"/>
    <d v="2025-10-06T00:00:00"/>
    <x v="0"/>
    <s v="Complete"/>
    <n v="0"/>
    <s v="Maya Patel"/>
    <d v="2026-08-19T00:00:00"/>
    <s v="Not Required"/>
    <x v="0"/>
    <x v="1"/>
    <x v="2"/>
    <s v="Elevated"/>
  </r>
  <r>
    <s v="CTRL-0782"/>
    <s v="Change Control 782"/>
    <s v="RECOVER"/>
    <s v="RC.RP"/>
    <x v="5"/>
    <x v="2"/>
    <s v="Germany"/>
    <x v="2"/>
    <s v="Alex Chen"/>
    <s v="Quarterly"/>
    <d v="2026-07-10T00:00:00"/>
    <d v="2027-07-10T00:00:00"/>
    <x v="3"/>
    <s v="Missing"/>
    <n v="1"/>
    <s v="Jordan Lee"/>
    <d v="2026-12-23T00:00:00"/>
    <s v="Completed"/>
    <x v="1"/>
    <x v="1"/>
    <x v="1"/>
    <s v="Standard"/>
  </r>
  <r>
    <s v="CTRL-0783"/>
    <s v="Change Control 783"/>
    <s v="GOVERN"/>
    <s v="GV.OC"/>
    <x v="5"/>
    <x v="2"/>
    <s v="Germany"/>
    <x v="3"/>
    <s v="Alex Chen"/>
    <s v="Annual"/>
    <d v="2025-07-25T00:00:00"/>
    <d v="2026-01-21T00:00:00"/>
    <x v="0"/>
    <s v="Missing"/>
    <n v="5"/>
    <s v="Maya Patel"/>
    <d v="2026-07-14T00:00:00"/>
    <s v="Completed"/>
    <x v="0"/>
    <x v="1"/>
    <x v="1"/>
    <s v="Elevated"/>
  </r>
  <r>
    <s v="CTRL-0784"/>
    <s v="Vendor Control 784"/>
    <s v="RESPOND"/>
    <s v="RS.MA"/>
    <x v="1"/>
    <x v="0"/>
    <s v="Singapore"/>
    <x v="1"/>
    <s v="Liam Brown"/>
    <s v="Quarterly"/>
    <d v="2026-08-29T00:00:00"/>
    <d v="2027-08-29T00:00:00"/>
    <x v="1"/>
    <s v="Complete"/>
    <n v="0"/>
    <s v="Sam Rivera"/>
    <d v="2026-09-03T00:00:00"/>
    <s v="Not Required"/>
    <x v="1"/>
    <x v="1"/>
    <x v="2"/>
    <s v="Standard"/>
  </r>
  <r>
    <s v="CTRL-0785"/>
    <s v="Policy Control 785"/>
    <s v="GOVERN"/>
    <s v="GV.RR"/>
    <x v="3"/>
    <x v="0"/>
    <s v="Singapore"/>
    <x v="2"/>
    <s v="Maya Patel"/>
    <s v="Annual"/>
    <d v="2026-02-01T00:00:00"/>
    <d v="2026-05-02T00:00:00"/>
    <x v="0"/>
    <s v="Missing"/>
    <n v="0"/>
    <s v="Sam Rivera"/>
    <d v="2026-07-06T00:00:00"/>
    <s v="Not Required"/>
    <x v="0"/>
    <x v="1"/>
    <x v="1"/>
    <s v="Standard"/>
  </r>
  <r>
    <s v="CTRL-0786"/>
    <s v="Vendor Control 786"/>
    <s v="RESPOND"/>
    <s v="RS.MA"/>
    <x v="4"/>
    <x v="1"/>
    <s v="United States"/>
    <x v="2"/>
    <s v="Taylor Morgan"/>
    <s v="Annual"/>
    <d v="2025-10-04T00:00:00"/>
    <d v="2026-01-02T00:00:00"/>
    <x v="0"/>
    <s v="Missing"/>
    <n v="3"/>
    <s v="Maya Patel"/>
    <d v="2026-10-08T00:00:00"/>
    <s v="In Progress"/>
    <x v="0"/>
    <x v="1"/>
    <x v="1"/>
    <s v="Standard"/>
  </r>
  <r>
    <s v="CTRL-0787"/>
    <s v="Incident Control 787"/>
    <s v="GOVERN"/>
    <s v="GV.OC"/>
    <x v="4"/>
    <x v="2"/>
    <s v="Germany"/>
    <x v="1"/>
    <s v="Taylor Morgan"/>
    <s v="Annual"/>
    <d v="2026-01-19T00:00:00"/>
    <d v="2026-04-19T00:00:00"/>
    <x v="0"/>
    <s v="Missing"/>
    <n v="3"/>
    <s v="Liam Brown"/>
    <d v="2026-04-08T00:00:00"/>
    <s v="Overdue"/>
    <x v="0"/>
    <x v="1"/>
    <x v="1"/>
    <s v="Standard"/>
  </r>
  <r>
    <s v="CTRL-0788"/>
    <s v="Reconciliation Control 788"/>
    <s v="IDENTIFY"/>
    <s v="ID.AM"/>
    <x v="1"/>
    <x v="1"/>
    <s v="Canada"/>
    <x v="2"/>
    <s v="Liam Brown"/>
    <s v="Annual"/>
    <d v="2026-04-22T00:00:00"/>
    <d v="2026-07-21T00:00:00"/>
    <x v="0"/>
    <s v="Complete"/>
    <n v="2"/>
    <s v="Emma Schmidt"/>
    <d v="2026-12-15T00:00:00"/>
    <s v="In Progress"/>
    <x v="0"/>
    <x v="1"/>
    <x v="2"/>
    <s v="Standard"/>
  </r>
  <r>
    <s v="CTRL-0789"/>
    <s v="Vendor Control 789"/>
    <s v="PROTECT"/>
    <s v="PR.AA"/>
    <x v="1"/>
    <x v="0"/>
    <s v="Singapore"/>
    <x v="2"/>
    <s v="Noah Williams"/>
    <s v="Quarterly"/>
    <d v="2025-10-10T00:00:00"/>
    <d v="2026-10-10T00:00:00"/>
    <x v="2"/>
    <s v="Missing"/>
    <n v="1"/>
    <s v="Liam Brown"/>
    <d v="2026-08-23T00:00:00"/>
    <s v="Overdue"/>
    <x v="1"/>
    <x v="1"/>
    <x v="1"/>
    <s v="Standard"/>
  </r>
  <r>
    <s v="CTRL-0790"/>
    <s v="Access Control 790"/>
    <s v="RESPOND"/>
    <s v="RS.MA"/>
    <x v="3"/>
    <x v="2"/>
    <s v="Germany"/>
    <x v="2"/>
    <s v="Taylor Morgan"/>
    <s v="Quarterly"/>
    <d v="2026-07-06T00:00:00"/>
    <d v="2027-07-06T00:00:00"/>
    <x v="1"/>
    <s v="Missing"/>
    <n v="2"/>
    <s v="Alex Chen"/>
    <d v="2027-01-27T00:00:00"/>
    <s v="In Progress"/>
    <x v="1"/>
    <x v="1"/>
    <x v="1"/>
    <s v="Standard"/>
  </r>
  <r>
    <s v="CTRL-0791"/>
    <s v="Incident Control 791"/>
    <s v="GOVERN"/>
    <s v="GV.RR"/>
    <x v="1"/>
    <x v="0"/>
    <s v="Singapore"/>
    <x v="1"/>
    <s v="Maya Patel"/>
    <s v="Semiannual"/>
    <d v="2025-12-29T00:00:00"/>
    <d v="2026-12-29T00:00:00"/>
    <x v="1"/>
    <s v="Complete"/>
    <n v="1"/>
    <s v="Emma Schmidt"/>
    <d v="2026-05-26T00:00:00"/>
    <s v="Overdue"/>
    <x v="1"/>
    <x v="1"/>
    <x v="2"/>
    <s v="Standard"/>
  </r>
  <r>
    <s v="CTRL-0792"/>
    <s v="Change Control 792"/>
    <s v="GOVERN"/>
    <s v="GV.OC"/>
    <x v="3"/>
    <x v="1"/>
    <s v="United States"/>
    <x v="1"/>
    <s v="Alex Chen"/>
    <s v="Semiannual"/>
    <d v="2025-07-04T00:00:00"/>
    <d v="2026-07-04T00:00:00"/>
    <x v="0"/>
    <s v="Complete"/>
    <n v="3"/>
    <s v="Maya Patel"/>
    <d v="2026-10-11T00:00:00"/>
    <s v="In Progress"/>
    <x v="0"/>
    <x v="1"/>
    <x v="2"/>
    <s v="Standard"/>
  </r>
  <r>
    <s v="CTRL-0793"/>
    <s v="Vendor Control 793"/>
    <s v="GOVERN"/>
    <s v="GV.RR"/>
    <x v="4"/>
    <x v="0"/>
    <s v="Singapore"/>
    <x v="1"/>
    <s v="Sam Rivera"/>
    <s v="Annual"/>
    <d v="2026-06-02T00:00:00"/>
    <d v="2026-11-29T00:00:00"/>
    <x v="1"/>
    <s v="Missing"/>
    <n v="2"/>
    <s v="Sam Rivera"/>
    <d v="2026-07-27T00:00:00"/>
    <s v="Completed"/>
    <x v="1"/>
    <x v="1"/>
    <x v="1"/>
    <s v="Standard"/>
  </r>
  <r>
    <s v="CTRL-0794"/>
    <s v="Data Control 794"/>
    <s v="RESPOND"/>
    <s v="RS.MA"/>
    <x v="5"/>
    <x v="1"/>
    <s v="United States"/>
    <x v="3"/>
    <s v="Maya Patel"/>
    <s v="Annual"/>
    <d v="2026-05-29T00:00:00"/>
    <d v="2026-08-27T00:00:00"/>
    <x v="0"/>
    <s v="Complete"/>
    <n v="0"/>
    <s v="Maya Patel"/>
    <d v="2026-10-04T00:00:00"/>
    <s v="Not Required"/>
    <x v="0"/>
    <x v="1"/>
    <x v="2"/>
    <s v="Elevated"/>
  </r>
  <r>
    <s v="CTRL-0795"/>
    <s v="Policy Control 795"/>
    <s v="GOVERN"/>
    <s v="GV.RR"/>
    <x v="5"/>
    <x v="2"/>
    <s v="United Kingdom"/>
    <x v="0"/>
    <s v="Liam Brown"/>
    <s v="Quarterly"/>
    <d v="2026-06-05T00:00:00"/>
    <d v="2026-09-03T00:00:00"/>
    <x v="0"/>
    <s v="Missing"/>
    <n v="3"/>
    <s v="Liam Brown"/>
    <d v="2026-12-15T00:00:00"/>
    <s v="In Progress"/>
    <x v="0"/>
    <x v="1"/>
    <x v="1"/>
    <s v="Elevated"/>
  </r>
  <r>
    <s v="CTRL-0796"/>
    <s v="Change Control 796"/>
    <s v="RECOVER"/>
    <s v="RC.RP"/>
    <x v="0"/>
    <x v="2"/>
    <s v="Germany"/>
    <x v="2"/>
    <s v="Jordan Lee"/>
    <s v="Quarterly"/>
    <d v="2025-08-06T00:00:00"/>
    <d v="2026-08-06T00:00:00"/>
    <x v="0"/>
    <s v="Pending"/>
    <n v="0"/>
    <s v="Noah Williams"/>
    <d v="2026-06-02T00:00:00"/>
    <s v="Not Required"/>
    <x v="0"/>
    <x v="1"/>
    <x v="3"/>
    <s v="Standard"/>
  </r>
  <r>
    <s v="CTRL-0797"/>
    <s v="Policy Control 797"/>
    <s v="IDENTIFY"/>
    <s v="ID.AM"/>
    <x v="2"/>
    <x v="1"/>
    <s v="United States"/>
    <x v="3"/>
    <s v="Taylor Morgan"/>
    <s v="Annual"/>
    <d v="2026-02-23T00:00:00"/>
    <d v="2027-02-23T00:00:00"/>
    <x v="1"/>
    <s v="Complete"/>
    <n v="2"/>
    <s v="Taylor Morgan"/>
    <d v="2026-05-11T00:00:00"/>
    <s v="Overdue"/>
    <x v="1"/>
    <x v="1"/>
    <x v="2"/>
    <s v="Elevated"/>
  </r>
  <r>
    <s v="CTRL-0798"/>
    <s v="Vendor Control 798"/>
    <s v="DETECT"/>
    <s v="DE.CM"/>
    <x v="3"/>
    <x v="2"/>
    <s v="United Kingdom"/>
    <x v="2"/>
    <s v="Maya Patel"/>
    <s v="Semiannual"/>
    <d v="2025-11-16T00:00:00"/>
    <d v="2026-05-15T00:00:00"/>
    <x v="0"/>
    <s v="Pending"/>
    <n v="0"/>
    <s v="Sam Rivera"/>
    <d v="2026-04-19T00:00:00"/>
    <s v="Not Required"/>
    <x v="0"/>
    <x v="1"/>
    <x v="3"/>
    <s v="Standard"/>
  </r>
  <r>
    <s v="CTRL-0799"/>
    <s v="Reconciliation Control 799"/>
    <s v="GOVERN"/>
    <s v="GV.OC"/>
    <x v="1"/>
    <x v="2"/>
    <s v="United Kingdom"/>
    <x v="1"/>
    <s v="Noah Williams"/>
    <s v="Quarterly"/>
    <d v="2025-05-25T00:00:00"/>
    <d v="2026-05-25T00:00:00"/>
    <x v="0"/>
    <s v="Complete"/>
    <n v="1"/>
    <s v="Emma Schmidt"/>
    <d v="2026-12-11T00:00:00"/>
    <s v="Completed"/>
    <x v="0"/>
    <x v="1"/>
    <x v="2"/>
    <s v="Standard"/>
  </r>
  <r>
    <s v="CTRL-0800"/>
    <s v="Vendor Control 800"/>
    <s v="DETECT"/>
    <s v="DE.CM"/>
    <x v="3"/>
    <x v="0"/>
    <s v="Singapore"/>
    <x v="2"/>
    <m/>
    <s v="Semiannual"/>
    <d v="2026-07-06T00:00:00"/>
    <d v="2027-01-02T00:00:00"/>
    <x v="3"/>
    <s v="Complete"/>
    <n v="3"/>
    <s v="Taylor Morgan"/>
    <d v="2026-12-18T00:00:00"/>
    <s v="Completed"/>
    <x v="1"/>
    <x v="0"/>
    <x v="2"/>
    <s v="Standard"/>
  </r>
  <r>
    <s v="CTRL-0801"/>
    <s v="Incident Control 801"/>
    <s v="RESPOND"/>
    <s v="RS.MA"/>
    <x v="0"/>
    <x v="1"/>
    <s v="United States"/>
    <x v="1"/>
    <s v="Sam Rivera"/>
    <s v="Quarterly"/>
    <d v="2025-12-11T00:00:00"/>
    <d v="2026-12-11T00:00:00"/>
    <x v="3"/>
    <s v="Missing"/>
    <n v="3"/>
    <s v="Emma Schmidt"/>
    <d v="2026-04-29T00:00:00"/>
    <s v="Overdue"/>
    <x v="1"/>
    <x v="1"/>
    <x v="1"/>
    <s v="Standard"/>
  </r>
  <r>
    <s v="CTRL-0802"/>
    <s v="Change Control 802"/>
    <s v="GOVERN"/>
    <s v="GV.OC"/>
    <x v="3"/>
    <x v="0"/>
    <s v="Singapore"/>
    <x v="1"/>
    <s v="Liam Brown"/>
    <s v="Quarterly"/>
    <d v="2026-07-12T00:00:00"/>
    <d v="2027-07-12T00:00:00"/>
    <x v="2"/>
    <s v="Pending"/>
    <n v="1"/>
    <s v="Maya Patel"/>
    <d v="2026-09-25T00:00:00"/>
    <s v="Overdue"/>
    <x v="1"/>
    <x v="1"/>
    <x v="3"/>
    <s v="Standard"/>
  </r>
  <r>
    <s v="CTRL-0803"/>
    <s v="Vendor Control 803"/>
    <s v="GOVERN"/>
    <s v="GV.RR"/>
    <x v="1"/>
    <x v="0"/>
    <s v="Singapore"/>
    <x v="2"/>
    <s v="Alex Chen"/>
    <s v="Quarterly"/>
    <d v="2025-07-27T00:00:00"/>
    <d v="2025-10-25T00:00:00"/>
    <x v="0"/>
    <s v="Missing"/>
    <n v="1"/>
    <s v="Taylor Morgan"/>
    <d v="2026-05-02T00:00:00"/>
    <s v="Completed"/>
    <x v="0"/>
    <x v="1"/>
    <x v="1"/>
    <s v="Standard"/>
  </r>
  <r>
    <s v="CTRL-0804"/>
    <s v="Access Control 804"/>
    <s v="GOVERN"/>
    <s v="GV.RM"/>
    <x v="2"/>
    <x v="1"/>
    <s v="Canada"/>
    <x v="2"/>
    <s v="Sam Rivera"/>
    <s v="Semiannual"/>
    <d v="2026-04-14T00:00:00"/>
    <d v="2026-07-13T00:00:00"/>
    <x v="0"/>
    <s v="Missing"/>
    <n v="3"/>
    <s v="Sam Rivera"/>
    <d v="2026-12-04T00:00:00"/>
    <s v="In Progress"/>
    <x v="0"/>
    <x v="1"/>
    <x v="1"/>
    <s v="Standard"/>
  </r>
  <r>
    <s v="CTRL-0805"/>
    <s v="Incident Control 805"/>
    <s v="DETECT"/>
    <s v="DE.CM"/>
    <x v="1"/>
    <x v="2"/>
    <s v="Germany"/>
    <x v="2"/>
    <s v="Taylor Morgan"/>
    <s v="Annual"/>
    <d v="2026-03-07T00:00:00"/>
    <d v="2027-03-07T00:00:00"/>
    <x v="1"/>
    <s v="Missing"/>
    <n v="1"/>
    <s v="Maya Patel"/>
    <d v="2026-12-28T00:00:00"/>
    <s v="In Progress"/>
    <x v="1"/>
    <x v="1"/>
    <x v="1"/>
    <s v="Standard"/>
  </r>
  <r>
    <s v="CTRL-0806"/>
    <s v="Access Control 806"/>
    <s v="IDENTIFY"/>
    <s v="ID.AM"/>
    <x v="4"/>
    <x v="1"/>
    <s v="Canada"/>
    <x v="0"/>
    <s v="Liam Brown"/>
    <s v="Semiannual"/>
    <d v="2026-04-20T00:00:00"/>
    <d v="2026-07-19T00:00:00"/>
    <x v="0"/>
    <s v="Complete"/>
    <n v="1"/>
    <s v="Jordan Lee"/>
    <d v="2026-12-25T00:00:00"/>
    <s v="Completed"/>
    <x v="0"/>
    <x v="1"/>
    <x v="2"/>
    <s v="Elevated"/>
  </r>
  <r>
    <s v="CTRL-0807"/>
    <s v="Policy Control 807"/>
    <s v="PROTECT"/>
    <s v="PR.AA"/>
    <x v="5"/>
    <x v="1"/>
    <s v="United States"/>
    <x v="2"/>
    <s v="Liam Brown"/>
    <s v="Quarterly"/>
    <d v="2026-07-14T00:00:00"/>
    <d v="2026-10-12T00:00:00"/>
    <x v="1"/>
    <s v="Complete"/>
    <n v="2"/>
    <s v="Alex Chen"/>
    <d v="2026-08-23T00:00:00"/>
    <s v="Overdue"/>
    <x v="1"/>
    <x v="1"/>
    <x v="2"/>
    <s v="Standard"/>
  </r>
  <r>
    <s v="CTRL-0808"/>
    <s v="Data Control 808"/>
    <s v="RESPOND"/>
    <s v="RS.MA"/>
    <x v="4"/>
    <x v="2"/>
    <s v="Germany"/>
    <x v="1"/>
    <s v="Emma Schmidt"/>
    <s v="Quarterly"/>
    <d v="2026-02-26T00:00:00"/>
    <d v="2026-08-25T00:00:00"/>
    <x v="0"/>
    <s v="Complete"/>
    <n v="1"/>
    <s v="Taylor Morgan"/>
    <d v="2026-07-17T00:00:00"/>
    <s v="Overdue"/>
    <x v="0"/>
    <x v="1"/>
    <x v="2"/>
    <s v="Standard"/>
  </r>
  <r>
    <s v="CTRL-0809"/>
    <s v="Policy Control 809"/>
    <s v="RESPOND"/>
    <s v="RS.MA"/>
    <x v="0"/>
    <x v="1"/>
    <s v="Canada"/>
    <x v="0"/>
    <s v="Noah Williams"/>
    <s v="Semiannual"/>
    <d v="2025-05-26T00:00:00"/>
    <d v="2025-11-22T00:00:00"/>
    <x v="0"/>
    <s v="Missing"/>
    <n v="1"/>
    <s v="Alex Chen"/>
    <d v="2026-04-17T00:00:00"/>
    <s v="Completed"/>
    <x v="0"/>
    <x v="1"/>
    <x v="1"/>
    <s v="Elevated"/>
  </r>
  <r>
    <s v="CTRL-0810"/>
    <s v="Change Control 810"/>
    <s v="PROTECT"/>
    <s v="PR.AA"/>
    <x v="5"/>
    <x v="1"/>
    <s v="Canada"/>
    <x v="3"/>
    <s v="Taylor Morgan"/>
    <s v="Semiannual"/>
    <d v="2025-06-28T00:00:00"/>
    <d v="2026-06-28T00:00:00"/>
    <x v="0"/>
    <s v="Pending"/>
    <n v="3"/>
    <s v="Liam Brown"/>
    <d v="2027-01-21T00:00:00"/>
    <s v="In Progress"/>
    <x v="0"/>
    <x v="1"/>
    <x v="3"/>
    <s v="Elevated"/>
  </r>
  <r>
    <s v="CTRL-0811"/>
    <s v="Reconciliation Control 811"/>
    <s v="PROTECT"/>
    <s v="PR.AA"/>
    <x v="1"/>
    <x v="0"/>
    <s v="Singapore"/>
    <x v="0"/>
    <s v="Taylor Morgan"/>
    <s v="Annual"/>
    <d v="2025-07-28T00:00:00"/>
    <d v="2026-07-28T00:00:00"/>
    <x v="0"/>
    <s v="Pending"/>
    <n v="0"/>
    <s v="Emma Schmidt"/>
    <d v="2026-08-08T00:00:00"/>
    <s v="Not Required"/>
    <x v="0"/>
    <x v="1"/>
    <x v="3"/>
    <s v="Elevated"/>
  </r>
  <r>
    <s v="CTRL-0812"/>
    <s v="Data Control 812"/>
    <s v="PROTECT"/>
    <s v="PR.AA"/>
    <x v="2"/>
    <x v="1"/>
    <s v="Canada"/>
    <x v="1"/>
    <s v="Taylor Morgan"/>
    <s v="Annual"/>
    <d v="2025-08-06T00:00:00"/>
    <d v="2026-08-06T00:00:00"/>
    <x v="0"/>
    <s v="Missing"/>
    <n v="0"/>
    <s v="Noah Williams"/>
    <d v="2026-06-05T00:00:00"/>
    <s v="Not Required"/>
    <x v="0"/>
    <x v="1"/>
    <x v="1"/>
    <s v="Standard"/>
  </r>
  <r>
    <s v="CTRL-0813"/>
    <s v="Data Control 813"/>
    <s v="GOVERN"/>
    <s v="GV.OC"/>
    <x v="4"/>
    <x v="2"/>
    <s v="United Kingdom"/>
    <x v="2"/>
    <s v="Liam Brown"/>
    <s v="Quarterly"/>
    <d v="2026-09-06T00:00:00"/>
    <d v="2027-03-05T00:00:00"/>
    <x v="1"/>
    <s v="Pending"/>
    <n v="3"/>
    <s v="Taylor Morgan"/>
    <d v="2027-01-12T00:00:00"/>
    <s v="Completed"/>
    <x v="1"/>
    <x v="1"/>
    <x v="3"/>
    <s v="Standard"/>
  </r>
  <r>
    <s v="CTRL-0814"/>
    <s v="Change Control 814"/>
    <s v="GOVERN"/>
    <s v="GV.RR"/>
    <x v="0"/>
    <x v="0"/>
    <s v="Singapore"/>
    <x v="2"/>
    <s v="Taylor Morgan"/>
    <s v="Annual"/>
    <d v="2025-08-14T00:00:00"/>
    <d v="2026-02-10T00:00:00"/>
    <x v="0"/>
    <s v="Pending"/>
    <n v="3"/>
    <s v="Alex Chen"/>
    <d v="2026-06-07T00:00:00"/>
    <s v="Completed"/>
    <x v="0"/>
    <x v="1"/>
    <x v="3"/>
    <s v="Standard"/>
  </r>
  <r>
    <s v="CTRL-0815"/>
    <s v="Reconciliation Control 815"/>
    <s v="PROTECT"/>
    <s v="PR.AA"/>
    <x v="5"/>
    <x v="1"/>
    <s v="United States"/>
    <x v="1"/>
    <s v="Liam Brown"/>
    <s v="Quarterly"/>
    <d v="2025-11-18T00:00:00"/>
    <d v="2026-05-17T00:00:00"/>
    <x v="0"/>
    <s v="Complete"/>
    <n v="1"/>
    <s v="Noah Williams"/>
    <d v="2026-05-04T00:00:00"/>
    <s v="Overdue"/>
    <x v="0"/>
    <x v="1"/>
    <x v="2"/>
    <s v="Standard"/>
  </r>
  <r>
    <s v="CTRL-0816"/>
    <s v="Reconciliation Control 816"/>
    <s v="IDENTIFY"/>
    <s v="ID.AM"/>
    <x v="3"/>
    <x v="0"/>
    <s v="Singapore"/>
    <x v="1"/>
    <s v="Maya Patel"/>
    <s v="Annual"/>
    <d v="2026-08-02T00:00:00"/>
    <d v="2027-08-02T00:00:00"/>
    <x v="1"/>
    <s v="Missing"/>
    <n v="0"/>
    <s v="Noah Williams"/>
    <d v="2026-08-02T00:00:00"/>
    <s v="Not Required"/>
    <x v="1"/>
    <x v="1"/>
    <x v="1"/>
    <s v="Standard"/>
  </r>
  <r>
    <s v="CTRL-0817"/>
    <s v="Vendor Control 817"/>
    <s v="DETECT"/>
    <s v="DE.CM"/>
    <x v="0"/>
    <x v="0"/>
    <s v="Singapore"/>
    <x v="2"/>
    <s v="Taylor Morgan"/>
    <s v="Semiannual"/>
    <d v="2026-06-29T00:00:00"/>
    <d v="2026-09-27T00:00:00"/>
    <x v="0"/>
    <s v="Pending"/>
    <n v="2"/>
    <s v="Alex Chen"/>
    <d v="2026-09-21T00:00:00"/>
    <s v="Overdue"/>
    <x v="0"/>
    <x v="1"/>
    <x v="3"/>
    <s v="Standard"/>
  </r>
  <r>
    <s v="CTRL-0818"/>
    <s v="Data Control 818"/>
    <s v="DETECT"/>
    <s v="DE.CM"/>
    <x v="0"/>
    <x v="1"/>
    <s v="Canada"/>
    <x v="1"/>
    <s v="Jordan Lee"/>
    <s v="Annual"/>
    <d v="2025-06-01T00:00:00"/>
    <d v="2026-06-01T00:00:00"/>
    <x v="0"/>
    <s v="Complete"/>
    <n v="0"/>
    <s v="Noah Williams"/>
    <d v="2026-07-20T00:00:00"/>
    <s v="Not Required"/>
    <x v="0"/>
    <x v="1"/>
    <x v="2"/>
    <s v="Standard"/>
  </r>
  <r>
    <s v="CTRL-0819"/>
    <s v="Data Control 819"/>
    <s v="RESPOND"/>
    <s v="RS.MA"/>
    <x v="3"/>
    <x v="1"/>
    <s v="Canada"/>
    <x v="1"/>
    <s v="Jordan Lee"/>
    <s v="Annual"/>
    <d v="2026-02-27T00:00:00"/>
    <d v="2027-02-27T00:00:00"/>
    <x v="1"/>
    <s v="Complete"/>
    <n v="1"/>
    <s v="Maya Patel"/>
    <d v="2027-01-17T00:00:00"/>
    <s v="In Progress"/>
    <x v="1"/>
    <x v="1"/>
    <x v="2"/>
    <s v="Standard"/>
  </r>
  <r>
    <s v="CTRL-0820"/>
    <s v="Change Control 820"/>
    <s v="DETECT"/>
    <s v="DE.CM"/>
    <x v="3"/>
    <x v="0"/>
    <s v="Singapore"/>
    <x v="2"/>
    <s v="Liam Brown"/>
    <s v="Semiannual"/>
    <d v="2026-04-01T00:00:00"/>
    <d v="2026-09-28T00:00:00"/>
    <x v="0"/>
    <s v="Complete"/>
    <n v="2"/>
    <s v="Noah Williams"/>
    <d v="2026-08-05T00:00:00"/>
    <s v="Completed"/>
    <x v="0"/>
    <x v="1"/>
    <x v="2"/>
    <s v="Standard"/>
  </r>
  <r>
    <s v="CTRL-0821"/>
    <s v="Data Control 821"/>
    <s v="RECOVER"/>
    <s v="RC.RP"/>
    <x v="5"/>
    <x v="0"/>
    <s v="Singapore"/>
    <x v="1"/>
    <s v="Emma Schmidt"/>
    <s v="Quarterly"/>
    <d v="2026-03-09T00:00:00"/>
    <d v="2026-06-07T00:00:00"/>
    <x v="0"/>
    <s v="Pending"/>
    <n v="0"/>
    <s v="Liam Brown"/>
    <d v="2026-10-05T00:00:00"/>
    <s v="Not Required"/>
    <x v="0"/>
    <x v="1"/>
    <x v="3"/>
    <s v="Standard"/>
  </r>
  <r>
    <s v="CTRL-0822"/>
    <s v="Policy Control 822"/>
    <s v="PROTECT"/>
    <s v="PR.AA"/>
    <x v="3"/>
    <x v="2"/>
    <s v="United Kingdom"/>
    <x v="0"/>
    <s v="Jordan Lee"/>
    <s v="Semiannual"/>
    <d v="2025-05-25T00:00:00"/>
    <d v="2026-05-25T00:00:00"/>
    <x v="0"/>
    <s v="Complete"/>
    <n v="3"/>
    <s v="Noah Williams"/>
    <d v="2027-01-27T00:00:00"/>
    <s v="In Progress"/>
    <x v="0"/>
    <x v="1"/>
    <x v="2"/>
    <s v="Elevated"/>
  </r>
  <r>
    <s v="CTRL-0823"/>
    <s v="Change Control 823"/>
    <s v="GOVERN"/>
    <s v="GV.OC"/>
    <x v="0"/>
    <x v="2"/>
    <s v="United Kingdom"/>
    <x v="2"/>
    <s v="Jordan Lee"/>
    <s v="Quarterly"/>
    <d v="2025-11-20T00:00:00"/>
    <d v="2026-05-19T00:00:00"/>
    <x v="0"/>
    <s v="Missing"/>
    <n v="1"/>
    <s v="Emma Schmidt"/>
    <d v="2026-07-04T00:00:00"/>
    <s v="Overdue"/>
    <x v="0"/>
    <x v="1"/>
    <x v="1"/>
    <s v="Standard"/>
  </r>
  <r>
    <s v="CTRL-0824"/>
    <s v="Vendor Control 824"/>
    <s v="RESPOND"/>
    <s v="RS.MA"/>
    <x v="5"/>
    <x v="2"/>
    <s v="Germany"/>
    <x v="1"/>
    <s v="Alex Chen"/>
    <s v="Semiannual"/>
    <d v="2025-07-11T00:00:00"/>
    <d v="2026-01-07T00:00:00"/>
    <x v="0"/>
    <s v="Complete"/>
    <n v="1"/>
    <s v="Jordan Lee"/>
    <d v="2026-05-10T00:00:00"/>
    <s v="Completed"/>
    <x v="0"/>
    <x v="1"/>
    <x v="2"/>
    <s v="Standard"/>
  </r>
  <r>
    <s v="CTRL-0825"/>
    <s v="Incident Control 825"/>
    <s v="GOVERN"/>
    <s v="GV.RM"/>
    <x v="5"/>
    <x v="2"/>
    <s v="United Kingdom"/>
    <x v="1"/>
    <s v="Noah Williams"/>
    <s v="Semiannual"/>
    <d v="2025-06-08T00:00:00"/>
    <d v="2025-12-05T00:00:00"/>
    <x v="0"/>
    <s v="Missing"/>
    <n v="0"/>
    <s v="Liam Brown"/>
    <d v="2026-04-26T00:00:00"/>
    <s v="Not Required"/>
    <x v="0"/>
    <x v="1"/>
    <x v="1"/>
    <s v="Standard"/>
  </r>
  <r>
    <s v="CTRL-0826"/>
    <s v="Change Control 826"/>
    <s v="GOVERN"/>
    <s v="GV.RM"/>
    <x v="5"/>
    <x v="2"/>
    <s v="Germany"/>
    <x v="0"/>
    <s v="Taylor Morgan"/>
    <s v="Quarterly"/>
    <d v="2025-08-19T00:00:00"/>
    <d v="2026-02-15T00:00:00"/>
    <x v="0"/>
    <s v="Missing"/>
    <n v="1"/>
    <s v="Noah Williams"/>
    <d v="2026-07-05T00:00:00"/>
    <s v="Overdue"/>
    <x v="0"/>
    <x v="1"/>
    <x v="1"/>
    <s v="Elevated"/>
  </r>
  <r>
    <s v="CTRL-0827"/>
    <s v="Reconciliation Control 827"/>
    <s v="RESPOND"/>
    <s v="RS.MA"/>
    <x v="4"/>
    <x v="0"/>
    <s v="Singapore"/>
    <x v="2"/>
    <s v="Jordan Lee"/>
    <s v="Semiannual"/>
    <d v="2025-12-24T00:00:00"/>
    <d v="2026-12-24T00:00:00"/>
    <x v="3"/>
    <s v="Complete"/>
    <n v="2"/>
    <s v="Emma Schmidt"/>
    <d v="2026-12-11T00:00:00"/>
    <s v="Completed"/>
    <x v="1"/>
    <x v="1"/>
    <x v="2"/>
    <s v="Standard"/>
  </r>
  <r>
    <s v="CTRL-0828"/>
    <s v="Access Control 828"/>
    <s v="GOVERN"/>
    <s v="GV.RR"/>
    <x v="1"/>
    <x v="2"/>
    <s v="United Kingdom"/>
    <x v="1"/>
    <s v="Sam Rivera"/>
    <s v="Semiannual"/>
    <d v="2026-02-02T00:00:00"/>
    <d v="2027-02-02T00:00:00"/>
    <x v="1"/>
    <s v="Missing"/>
    <n v="2"/>
    <s v="Taylor Morgan"/>
    <d v="2026-05-23T00:00:00"/>
    <s v="Completed"/>
    <x v="1"/>
    <x v="1"/>
    <x v="1"/>
    <s v="Standard"/>
  </r>
  <r>
    <s v="CTRL-0829"/>
    <s v="Change Control 829"/>
    <s v="PROTECT"/>
    <s v="PR.AA"/>
    <x v="1"/>
    <x v="2"/>
    <s v="Germany"/>
    <x v="0"/>
    <s v="Taylor Morgan"/>
    <s v="Quarterly"/>
    <d v="2025-05-18T00:00:00"/>
    <d v="2025-11-14T00:00:00"/>
    <x v="0"/>
    <s v="Missing"/>
    <n v="0"/>
    <s v="Sam Rivera"/>
    <d v="2026-07-30T00:00:00"/>
    <s v="Not Required"/>
    <x v="0"/>
    <x v="1"/>
    <x v="1"/>
    <s v="Elevated"/>
  </r>
  <r>
    <s v="CTRL-0830"/>
    <s v="Reconciliation Control 830"/>
    <s v="GOVERN"/>
    <s v="GV.OC"/>
    <x v="0"/>
    <x v="0"/>
    <s v="Singapore"/>
    <x v="2"/>
    <s v="Alex Chen"/>
    <s v="Quarterly"/>
    <d v="2025-06-11T00:00:00"/>
    <d v="2026-06-11T00:00:00"/>
    <x v="0"/>
    <s v="Missing"/>
    <n v="1"/>
    <s v="Taylor Morgan"/>
    <d v="2026-04-06T00:00:00"/>
    <s v="Overdue"/>
    <x v="0"/>
    <x v="1"/>
    <x v="1"/>
    <s v="Standard"/>
  </r>
  <r>
    <s v="CTRL-0831"/>
    <s v="Vendor Control 831"/>
    <s v="GOVERN"/>
    <s v="GV.RM"/>
    <x v="5"/>
    <x v="0"/>
    <s v="Singapore"/>
    <x v="2"/>
    <s v="Jordan Lee"/>
    <s v="Semiannual"/>
    <d v="2025-07-12T00:00:00"/>
    <d v="2026-01-08T00:00:00"/>
    <x v="0"/>
    <m/>
    <n v="2"/>
    <s v="Liam Brown"/>
    <d v="2026-05-29T00:00:00"/>
    <s v="Overdue"/>
    <x v="0"/>
    <x v="1"/>
    <x v="0"/>
    <s v="Standard"/>
  </r>
  <r>
    <s v="CTRL-0832"/>
    <s v="Reconciliation Control 832"/>
    <s v="DETECT"/>
    <s v="DE.CM"/>
    <x v="1"/>
    <x v="2"/>
    <s v="United Kingdom"/>
    <x v="3"/>
    <s v="Maya Patel"/>
    <s v="Semiannual"/>
    <d v="2026-03-13T00:00:00"/>
    <d v="2026-06-11T00:00:00"/>
    <x v="0"/>
    <s v="Missing"/>
    <n v="1"/>
    <s v="Maya Patel"/>
    <d v="2026-05-11T00:00:00"/>
    <s v="Completed"/>
    <x v="0"/>
    <x v="1"/>
    <x v="1"/>
    <s v="Elevated"/>
  </r>
  <r>
    <s v="CTRL-0833"/>
    <s v="Data Control 833"/>
    <s v="GOVERN"/>
    <s v="GV.RR"/>
    <x v="0"/>
    <x v="0"/>
    <s v="Singapore"/>
    <x v="2"/>
    <s v="Noah Williams"/>
    <s v="Semiannual"/>
    <d v="2026-06-05T00:00:00"/>
    <d v="2027-06-05T00:00:00"/>
    <x v="3"/>
    <s v="Missing"/>
    <n v="0"/>
    <s v="Sam Rivera"/>
    <d v="2026-08-06T00:00:00"/>
    <s v="Not Required"/>
    <x v="1"/>
    <x v="1"/>
    <x v="1"/>
    <s v="Standard"/>
  </r>
  <r>
    <s v="CTRL-0834"/>
    <s v="Data Control 834"/>
    <s v="GOVERN"/>
    <s v="GV.RM"/>
    <x v="2"/>
    <x v="0"/>
    <s v="Singapore"/>
    <x v="2"/>
    <s v="Liam Brown"/>
    <s v="Annual"/>
    <d v="2025-07-21T00:00:00"/>
    <d v="2025-10-19T00:00:00"/>
    <x v="0"/>
    <s v="Missing"/>
    <n v="3"/>
    <s v="Sam Rivera"/>
    <d v="2026-08-25T00:00:00"/>
    <s v="Completed"/>
    <x v="0"/>
    <x v="1"/>
    <x v="1"/>
    <s v="Standard"/>
  </r>
  <r>
    <s v="CTRL-0835"/>
    <s v="Incident Control 835"/>
    <s v="IDENTIFY"/>
    <s v="ID.AM"/>
    <x v="0"/>
    <x v="1"/>
    <s v="Canada"/>
    <x v="2"/>
    <s v="Sam Rivera"/>
    <s v="Semiannual"/>
    <d v="2025-09-12T00:00:00"/>
    <d v="2025-12-11T00:00:00"/>
    <x v="0"/>
    <s v="Complete"/>
    <n v="3"/>
    <s v="Liam Brown"/>
    <d v="2026-08-15T00:00:00"/>
    <s v="Overdue"/>
    <x v="0"/>
    <x v="1"/>
    <x v="2"/>
    <s v="Standard"/>
  </r>
  <r>
    <s v="CTRL-0836"/>
    <s v="Reconciliation Control 836"/>
    <s v="RECOVER"/>
    <s v="RC.RP"/>
    <x v="2"/>
    <x v="0"/>
    <s v="Singapore"/>
    <x v="0"/>
    <s v="Taylor Morgan"/>
    <s v="Quarterly"/>
    <d v="2025-10-03T00:00:00"/>
    <d v="2026-04-01T00:00:00"/>
    <x v="0"/>
    <s v="Pending"/>
    <n v="5"/>
    <s v="Sam Rivera"/>
    <d v="2026-10-20T00:00:00"/>
    <s v="In Progress"/>
    <x v="0"/>
    <x v="1"/>
    <x v="3"/>
    <s v="Elevated"/>
  </r>
  <r>
    <s v="CTRL-0837"/>
    <s v="Incident Control 837"/>
    <s v="DETECT"/>
    <s v="DE.CM"/>
    <x v="4"/>
    <x v="1"/>
    <s v="Canada"/>
    <x v="3"/>
    <s v="Noah Williams"/>
    <s v="Semiannual"/>
    <d v="2026-05-07T00:00:00"/>
    <d v="2027-05-07T00:00:00"/>
    <x v="1"/>
    <s v="Complete"/>
    <n v="3"/>
    <s v="Jordan Lee"/>
    <d v="2026-09-13T00:00:00"/>
    <s v="Overdue"/>
    <x v="1"/>
    <x v="1"/>
    <x v="2"/>
    <s v="Elevated"/>
  </r>
  <r>
    <s v="CTRL-0838"/>
    <s v="Reconciliation Control 838"/>
    <s v="DETECT"/>
    <s v="DE.CM"/>
    <x v="3"/>
    <x v="2"/>
    <s v="Germany"/>
    <x v="2"/>
    <s v="Sam Rivera"/>
    <s v="Annual"/>
    <d v="2026-08-27T00:00:00"/>
    <d v="2027-02-23T00:00:00"/>
    <x v="1"/>
    <s v="Complete"/>
    <n v="3"/>
    <s v="Noah Williams"/>
    <d v="2026-05-04T00:00:00"/>
    <s v="Overdue"/>
    <x v="1"/>
    <x v="1"/>
    <x v="2"/>
    <s v="Standard"/>
  </r>
  <r>
    <s v="CTRL-0839"/>
    <s v="Reconciliation Control 839"/>
    <s v="GOVERN"/>
    <s v="GV.OC"/>
    <x v="4"/>
    <x v="2"/>
    <s v="Germany"/>
    <x v="2"/>
    <s v="Taylor Morgan"/>
    <s v="Semiannual"/>
    <d v="2025-05-31T00:00:00"/>
    <d v="2025-08-29T00:00:00"/>
    <x v="0"/>
    <s v="Pending"/>
    <n v="3"/>
    <s v="Emma Schmidt"/>
    <d v="2026-07-24T00:00:00"/>
    <s v="Completed"/>
    <x v="0"/>
    <x v="1"/>
    <x v="3"/>
    <s v="Standard"/>
  </r>
  <r>
    <s v="CTRL-0840"/>
    <s v="Access Control 840"/>
    <s v="RESPOND"/>
    <s v="RS.MA"/>
    <x v="3"/>
    <x v="1"/>
    <s v="United States"/>
    <x v="1"/>
    <s v="Maya Patel"/>
    <s v="Annual"/>
    <d v="2025-10-31T00:00:00"/>
    <d v="2026-10-31T00:00:00"/>
    <x v="1"/>
    <s v="Missing"/>
    <n v="0"/>
    <s v="Noah Williams"/>
    <d v="2026-04-13T00:00:00"/>
    <s v="Not Required"/>
    <x v="1"/>
    <x v="1"/>
    <x v="1"/>
    <s v="Standard"/>
  </r>
  <r>
    <s v="CTRL-0841"/>
    <s v="Reconciliation Control 841"/>
    <s v="GOVERN"/>
    <s v="GV.RR"/>
    <x v="5"/>
    <x v="2"/>
    <s v="United Kingdom"/>
    <x v="1"/>
    <s v="Sam Rivera"/>
    <s v="Semiannual"/>
    <d v="2026-03-09T00:00:00"/>
    <d v="2027-03-09T00:00:00"/>
    <x v="1"/>
    <s v="Complete"/>
    <n v="3"/>
    <s v="Emma Schmidt"/>
    <d v="2026-07-29T00:00:00"/>
    <s v="Completed"/>
    <x v="1"/>
    <x v="1"/>
    <x v="2"/>
    <s v="Standard"/>
  </r>
  <r>
    <s v="CTRL-0842"/>
    <s v="Reconciliation Control 842"/>
    <s v="PROTECT"/>
    <s v="PR.AA"/>
    <x v="0"/>
    <x v="1"/>
    <s v="United States"/>
    <x v="1"/>
    <s v="Alex Chen"/>
    <s v="Quarterly"/>
    <d v="2025-08-20T00:00:00"/>
    <d v="2026-08-20T00:00:00"/>
    <x v="0"/>
    <s v="Complete"/>
    <n v="3"/>
    <s v="Sam Rivera"/>
    <d v="2026-12-07T00:00:00"/>
    <s v="Completed"/>
    <x v="0"/>
    <x v="1"/>
    <x v="2"/>
    <s v="Standard"/>
  </r>
  <r>
    <s v="CTRL-0843"/>
    <s v="Policy Control 843"/>
    <s v="PROTECT"/>
    <s v="PR.AA"/>
    <x v="0"/>
    <x v="0"/>
    <s v="Singapore"/>
    <x v="1"/>
    <s v="Maya Patel"/>
    <s v="Quarterly"/>
    <d v="2025-07-21T00:00:00"/>
    <d v="2026-01-17T00:00:00"/>
    <x v="0"/>
    <s v="Missing"/>
    <n v="3"/>
    <s v="Maya Patel"/>
    <d v="2026-06-09T00:00:00"/>
    <s v="Overdue"/>
    <x v="0"/>
    <x v="1"/>
    <x v="1"/>
    <s v="Standard"/>
  </r>
  <r>
    <s v="CTRL-0844"/>
    <s v="Reconciliation Control 844"/>
    <s v="GOVERN"/>
    <s v="GV.OC"/>
    <x v="0"/>
    <x v="1"/>
    <s v="Canada"/>
    <x v="1"/>
    <s v="Jordan Lee"/>
    <s v="Semiannual"/>
    <d v="2026-07-24T00:00:00"/>
    <d v="2027-07-24T00:00:00"/>
    <x v="2"/>
    <s v="Complete"/>
    <n v="2"/>
    <s v="Liam Brown"/>
    <d v="2026-09-15T00:00:00"/>
    <s v="Overdue"/>
    <x v="1"/>
    <x v="1"/>
    <x v="2"/>
    <s v="Standard"/>
  </r>
  <r>
    <s v="CTRL-0845"/>
    <s v="Data Control 845"/>
    <s v="RESPOND"/>
    <s v="RS.MA"/>
    <x v="2"/>
    <x v="1"/>
    <s v="United States"/>
    <x v="3"/>
    <s v="Liam Brown"/>
    <s v="Semiannual"/>
    <d v="2026-03-02T00:00:00"/>
    <d v="2026-08-29T00:00:00"/>
    <x v="0"/>
    <s v="Pending"/>
    <n v="0"/>
    <s v="Liam Brown"/>
    <d v="2026-07-25T00:00:00"/>
    <s v="Not Required"/>
    <x v="0"/>
    <x v="1"/>
    <x v="3"/>
    <s v="Elevated"/>
  </r>
  <r>
    <s v="CTRL-0846"/>
    <s v="Data Control 846"/>
    <s v="IDENTIFY"/>
    <s v="ID.AM"/>
    <x v="4"/>
    <x v="2"/>
    <s v="United Kingdom"/>
    <x v="1"/>
    <s v="Liam Brown"/>
    <s v="Quarterly"/>
    <d v="2025-09-03T00:00:00"/>
    <d v="2026-03-02T00:00:00"/>
    <x v="0"/>
    <s v="Pending"/>
    <n v="0"/>
    <s v="Emma Schmidt"/>
    <d v="2026-11-20T00:00:00"/>
    <s v="Not Required"/>
    <x v="0"/>
    <x v="1"/>
    <x v="3"/>
    <s v="Standard"/>
  </r>
  <r>
    <s v="CTRL-0847"/>
    <s v="Change Control 847"/>
    <s v="GOVERN"/>
    <s v="GV.RR"/>
    <x v="2"/>
    <x v="1"/>
    <s v="Canada"/>
    <x v="2"/>
    <m/>
    <s v="Semiannual"/>
    <d v="2026-07-17T00:00:00"/>
    <d v="2027-07-17T00:00:00"/>
    <x v="1"/>
    <s v="Complete"/>
    <n v="0"/>
    <s v="Sam Rivera"/>
    <d v="2026-05-21T00:00:00"/>
    <s v="Not Required"/>
    <x v="1"/>
    <x v="0"/>
    <x v="2"/>
    <s v="Standard"/>
  </r>
  <r>
    <s v="CTRL-0848"/>
    <s v="Policy Control 848"/>
    <s v="DETECT"/>
    <s v="DE.CM"/>
    <x v="4"/>
    <x v="1"/>
    <s v="United States"/>
    <x v="2"/>
    <s v="Liam Brown"/>
    <s v="Quarterly"/>
    <d v="2025-12-17T00:00:00"/>
    <d v="2026-12-17T00:00:00"/>
    <x v="3"/>
    <s v="Complete"/>
    <n v="3"/>
    <s v="Alex Chen"/>
    <d v="2026-08-10T00:00:00"/>
    <s v="Overdue"/>
    <x v="1"/>
    <x v="1"/>
    <x v="2"/>
    <s v="Standard"/>
  </r>
  <r>
    <s v="CTRL-0849"/>
    <s v="Reconciliation Control 849"/>
    <s v="IDENTIFY"/>
    <s v="ID.AM"/>
    <x v="0"/>
    <x v="2"/>
    <s v="Germany"/>
    <x v="1"/>
    <s v="Sam Rivera"/>
    <s v="Semiannual"/>
    <d v="2025-08-20T00:00:00"/>
    <d v="2026-08-20T00:00:00"/>
    <x v="0"/>
    <s v="Pending"/>
    <n v="3"/>
    <s v="Liam Brown"/>
    <d v="2026-09-10T00:00:00"/>
    <s v="Overdue"/>
    <x v="0"/>
    <x v="1"/>
    <x v="3"/>
    <s v="Standard"/>
  </r>
  <r>
    <s v="CTRL-0850"/>
    <s v="Change Control 850"/>
    <s v="GOVERN"/>
    <s v="GV.RR"/>
    <x v="0"/>
    <x v="0"/>
    <s v="Singapore"/>
    <x v="2"/>
    <s v="Maya Patel"/>
    <s v="Semiannual"/>
    <d v="2026-03-02T00:00:00"/>
    <d v="2026-05-31T00:00:00"/>
    <x v="0"/>
    <s v="Complete"/>
    <n v="1"/>
    <s v="Maya Patel"/>
    <d v="2026-12-25T00:00:00"/>
    <s v="In Progress"/>
    <x v="0"/>
    <x v="1"/>
    <x v="2"/>
    <s v="Standard"/>
  </r>
  <r>
    <s v="CTRL-0851"/>
    <s v="Vendor Control 851"/>
    <s v="GOVERN"/>
    <s v="GV.RM"/>
    <x v="4"/>
    <x v="1"/>
    <s v="Canada"/>
    <x v="1"/>
    <s v="Liam Brown"/>
    <s v="Semiannual"/>
    <d v="2026-07-01T00:00:00"/>
    <d v="2027-07-01T00:00:00"/>
    <x v="2"/>
    <s v="Pending"/>
    <n v="0"/>
    <s v="Taylor Morgan"/>
    <d v="2026-09-01T00:00:00"/>
    <s v="Not Required"/>
    <x v="1"/>
    <x v="1"/>
    <x v="3"/>
    <s v="Standard"/>
  </r>
  <r>
    <s v="CTRL-0852"/>
    <s v="Vendor Control 852"/>
    <s v="PROTECT"/>
    <s v="PR.AA"/>
    <x v="3"/>
    <x v="0"/>
    <s v="Singapore"/>
    <x v="0"/>
    <s v="Jordan Lee"/>
    <s v="Semiannual"/>
    <d v="2026-06-30T00:00:00"/>
    <d v="2026-12-27T00:00:00"/>
    <x v="1"/>
    <s v="Complete"/>
    <n v="4"/>
    <s v="Sam Rivera"/>
    <d v="2026-10-10T00:00:00"/>
    <s v="In Progress"/>
    <x v="1"/>
    <x v="1"/>
    <x v="2"/>
    <s v="Elevated"/>
  </r>
  <r>
    <s v="CTRL-0853"/>
    <s v="Reconciliation Control 853"/>
    <s v="GOVERN"/>
    <s v="GV.OC"/>
    <x v="1"/>
    <x v="2"/>
    <s v="United Kingdom"/>
    <x v="2"/>
    <s v="Liam Brown"/>
    <s v="Annual"/>
    <d v="2026-09-05T00:00:00"/>
    <d v="2027-03-04T00:00:00"/>
    <x v="1"/>
    <s v="Complete"/>
    <n v="3"/>
    <s v="Sam Rivera"/>
    <d v="2026-05-07T00:00:00"/>
    <s v="Overdue"/>
    <x v="1"/>
    <x v="1"/>
    <x v="2"/>
    <s v="Standard"/>
  </r>
  <r>
    <s v="CTRL-0854"/>
    <s v="Reconciliation Control 854"/>
    <s v="IDENTIFY"/>
    <s v="ID.AM"/>
    <x v="3"/>
    <x v="1"/>
    <s v="United States"/>
    <x v="2"/>
    <s v="Maya Patel"/>
    <s v="Annual"/>
    <d v="2026-08-10T00:00:00"/>
    <d v="2027-08-10T00:00:00"/>
    <x v="1"/>
    <s v="Complete"/>
    <n v="0"/>
    <s v="Alex Chen"/>
    <d v="2026-09-29T00:00:00"/>
    <s v="Not Required"/>
    <x v="1"/>
    <x v="1"/>
    <x v="2"/>
    <s v="Standard"/>
  </r>
  <r>
    <s v="CTRL-0855"/>
    <s v="Access Control 855"/>
    <s v="IDENTIFY"/>
    <s v="ID.AM"/>
    <x v="2"/>
    <x v="1"/>
    <s v="Canada"/>
    <x v="0"/>
    <s v="Emma Schmidt"/>
    <s v="Annual"/>
    <d v="2025-11-15T00:00:00"/>
    <d v="2026-11-15T00:00:00"/>
    <x v="1"/>
    <s v="Missing"/>
    <n v="3"/>
    <s v="Jordan Lee"/>
    <d v="2026-08-11T00:00:00"/>
    <s v="Overdue"/>
    <x v="1"/>
    <x v="1"/>
    <x v="1"/>
    <s v="Elevated"/>
  </r>
  <r>
    <s v="CTRL-0856"/>
    <s v="Policy Control 856"/>
    <s v="GOVERN"/>
    <s v="GV.OC"/>
    <x v="2"/>
    <x v="1"/>
    <s v="United States"/>
    <x v="1"/>
    <s v="Maya Patel"/>
    <s v="Quarterly"/>
    <d v="2026-07-08T00:00:00"/>
    <d v="2027-07-08T00:00:00"/>
    <x v="2"/>
    <s v="Pending"/>
    <n v="2"/>
    <s v="Sam Rivera"/>
    <d v="2026-12-01T00:00:00"/>
    <s v="Completed"/>
    <x v="1"/>
    <x v="1"/>
    <x v="3"/>
    <s v="Standard"/>
  </r>
  <r>
    <s v="CTRL-0857"/>
    <s v="Incident Control 857"/>
    <s v="RESPOND"/>
    <s v="RS.MA"/>
    <x v="1"/>
    <x v="1"/>
    <s v="United States"/>
    <x v="1"/>
    <s v="Alex Chen"/>
    <s v="Semiannual"/>
    <d v="2026-03-29T00:00:00"/>
    <d v="2026-06-27T00:00:00"/>
    <x v="0"/>
    <s v="Complete"/>
    <n v="1"/>
    <s v="Noah Williams"/>
    <d v="2026-12-20T00:00:00"/>
    <s v="In Progress"/>
    <x v="0"/>
    <x v="1"/>
    <x v="2"/>
    <s v="Standard"/>
  </r>
  <r>
    <s v="CTRL-0858"/>
    <s v="Data Control 858"/>
    <s v="DETECT"/>
    <s v="DE.CM"/>
    <x v="1"/>
    <x v="2"/>
    <s v="United Kingdom"/>
    <x v="2"/>
    <s v="Emma Schmidt"/>
    <s v="Quarterly"/>
    <d v="2025-08-10T00:00:00"/>
    <d v="2026-02-06T00:00:00"/>
    <x v="0"/>
    <s v="Missing"/>
    <n v="3"/>
    <s v="Sam Rivera"/>
    <d v="2026-10-01T00:00:00"/>
    <s v="Completed"/>
    <x v="0"/>
    <x v="1"/>
    <x v="1"/>
    <s v="Standard"/>
  </r>
  <r>
    <s v="CTRL-0859"/>
    <s v="Incident Control 859"/>
    <s v="RESPOND"/>
    <s v="RS.MA"/>
    <x v="5"/>
    <x v="1"/>
    <s v="Canada"/>
    <x v="1"/>
    <s v="Emma Schmidt"/>
    <s v="Semiannual"/>
    <d v="2025-11-28T00:00:00"/>
    <d v="2026-05-27T00:00:00"/>
    <x v="0"/>
    <s v="Pending"/>
    <n v="2"/>
    <s v="Jordan Lee"/>
    <d v="2026-06-03T00:00:00"/>
    <s v="Overdue"/>
    <x v="0"/>
    <x v="1"/>
    <x v="3"/>
    <s v="Standard"/>
  </r>
  <r>
    <s v="CTRL-0860"/>
    <s v="Vendor Control 860"/>
    <s v="IDENTIFY"/>
    <s v="ID.AM"/>
    <x v="4"/>
    <x v="1"/>
    <s v="Canada"/>
    <x v="0"/>
    <s v="Noah Williams"/>
    <s v="Semiannual"/>
    <d v="2025-09-03T00:00:00"/>
    <d v="2026-03-02T00:00:00"/>
    <x v="0"/>
    <s v="Complete"/>
    <n v="4"/>
    <s v="Jordan Lee"/>
    <d v="2027-01-14T00:00:00"/>
    <s v="In Progress"/>
    <x v="0"/>
    <x v="1"/>
    <x v="2"/>
    <s v="Elevated"/>
  </r>
  <r>
    <s v="CTRL-0861"/>
    <s v="Data Control 861"/>
    <s v="GOVERN"/>
    <s v="GV.OC"/>
    <x v="1"/>
    <x v="0"/>
    <s v="Singapore"/>
    <x v="2"/>
    <s v="Sam Rivera"/>
    <s v="Semiannual"/>
    <d v="2026-09-08T00:00:00"/>
    <d v="2027-09-08T00:00:00"/>
    <x v="1"/>
    <s v="Complete"/>
    <n v="2"/>
    <s v="Alex Chen"/>
    <d v="2026-08-10T00:00:00"/>
    <s v="Overdue"/>
    <x v="1"/>
    <x v="1"/>
    <x v="2"/>
    <s v="Standard"/>
  </r>
  <r>
    <s v="CTRL-0862"/>
    <s v="Policy Control 862"/>
    <s v="GOVERN"/>
    <s v="GV.OC"/>
    <x v="5"/>
    <x v="0"/>
    <s v="Singapore"/>
    <x v="2"/>
    <s v="Alex Chen"/>
    <s v="Annual"/>
    <d v="2025-09-19T00:00:00"/>
    <d v="2026-09-19T00:00:00"/>
    <x v="0"/>
    <s v="Pending"/>
    <n v="2"/>
    <s v="Liam Brown"/>
    <d v="2026-05-02T00:00:00"/>
    <s v="Overdue"/>
    <x v="0"/>
    <x v="1"/>
    <x v="3"/>
    <s v="Standard"/>
  </r>
  <r>
    <s v="CTRL-0863"/>
    <s v="Access Control 863"/>
    <s v="GOVERN"/>
    <s v="GV.RR"/>
    <x v="4"/>
    <x v="0"/>
    <s v="Singapore"/>
    <x v="1"/>
    <s v="Maya Patel"/>
    <s v="Semiannual"/>
    <d v="2026-08-22T00:00:00"/>
    <d v="2027-02-18T00:00:00"/>
    <x v="1"/>
    <s v="Missing"/>
    <n v="1"/>
    <s v="Maya Patel"/>
    <d v="2026-07-02T00:00:00"/>
    <s v="Overdue"/>
    <x v="1"/>
    <x v="1"/>
    <x v="1"/>
    <s v="Standard"/>
  </r>
  <r>
    <s v="CTRL-0864"/>
    <s v="Incident Control 864"/>
    <s v="DETECT"/>
    <s v="DE.CM"/>
    <x v="5"/>
    <x v="1"/>
    <s v="Canada"/>
    <x v="0"/>
    <s v="Noah Williams"/>
    <s v="Quarterly"/>
    <d v="2026-07-23T00:00:00"/>
    <d v="2027-07-23T00:00:00"/>
    <x v="1"/>
    <s v="Complete"/>
    <n v="5"/>
    <s v="Noah Williams"/>
    <d v="2026-04-11T00:00:00"/>
    <s v="Completed"/>
    <x v="1"/>
    <x v="1"/>
    <x v="2"/>
    <s v="Elevated"/>
  </r>
  <r>
    <s v="CTRL-0865"/>
    <s v="Reconciliation Control 865"/>
    <s v="GOVERN"/>
    <s v="GV.OC"/>
    <x v="5"/>
    <x v="0"/>
    <s v="Singapore"/>
    <x v="2"/>
    <s v="Alex Chen"/>
    <s v="Annual"/>
    <d v="2026-08-08T00:00:00"/>
    <d v="2026-11-06T00:00:00"/>
    <x v="3"/>
    <s v="Missing"/>
    <n v="2"/>
    <s v="Sam Rivera"/>
    <d v="2026-05-15T00:00:00"/>
    <s v="Completed"/>
    <x v="1"/>
    <x v="1"/>
    <x v="1"/>
    <s v="Standard"/>
  </r>
  <r>
    <s v="CTRL-0866"/>
    <s v="Data Control 866"/>
    <s v="GOVERN"/>
    <s v="GV.RM"/>
    <x v="1"/>
    <x v="0"/>
    <s v="Singapore"/>
    <x v="2"/>
    <s v="Alex Chen"/>
    <s v="Semiannual"/>
    <d v="2026-04-04T00:00:00"/>
    <d v="2026-10-01T00:00:00"/>
    <x v="3"/>
    <s v="Pending"/>
    <n v="3"/>
    <s v="Maya Patel"/>
    <d v="2027-01-18T00:00:00"/>
    <s v="In Progress"/>
    <x v="1"/>
    <x v="1"/>
    <x v="3"/>
    <s v="Standard"/>
  </r>
  <r>
    <s v="CTRL-0867"/>
    <s v="Vendor Control 867"/>
    <s v="DETECT"/>
    <s v="DE.CM"/>
    <x v="1"/>
    <x v="1"/>
    <s v="United States"/>
    <x v="0"/>
    <s v="Jordan Lee"/>
    <s v="Quarterly"/>
    <d v="2026-04-01T00:00:00"/>
    <d v="2027-04-01T00:00:00"/>
    <x v="3"/>
    <s v="Complete"/>
    <n v="0"/>
    <s v="Sam Rivera"/>
    <d v="2026-07-23T00:00:00"/>
    <s v="Not Required"/>
    <x v="1"/>
    <x v="1"/>
    <x v="2"/>
    <s v="Elevated"/>
  </r>
  <r>
    <s v="CTRL-0868"/>
    <s v="Data Control 868"/>
    <s v="GOVERN"/>
    <s v="GV.RR"/>
    <x v="5"/>
    <x v="2"/>
    <s v="United Kingdom"/>
    <x v="0"/>
    <s v="Jordan Lee"/>
    <s v="Semiannual"/>
    <d v="2026-04-05T00:00:00"/>
    <d v="2026-07-04T00:00:00"/>
    <x v="0"/>
    <s v="Pending"/>
    <n v="5"/>
    <s v="Emma Schmidt"/>
    <d v="2026-08-27T00:00:00"/>
    <s v="Completed"/>
    <x v="0"/>
    <x v="1"/>
    <x v="3"/>
    <s v="Elevated"/>
  </r>
  <r>
    <s v="CTRL-0869"/>
    <s v="Policy Control 869"/>
    <s v="DETECT"/>
    <s v="DE.CM"/>
    <x v="2"/>
    <x v="1"/>
    <s v="United States"/>
    <x v="0"/>
    <s v="Jordan Lee"/>
    <s v="Annual"/>
    <d v="2026-04-12T00:00:00"/>
    <d v="2026-10-09T00:00:00"/>
    <x v="2"/>
    <s v="Complete"/>
    <n v="3"/>
    <s v="Liam Brown"/>
    <d v="2026-10-01T00:00:00"/>
    <s v="In Progress"/>
    <x v="1"/>
    <x v="1"/>
    <x v="2"/>
    <s v="Elevated"/>
  </r>
  <r>
    <s v="CTRL-0870"/>
    <s v="Access Control 870"/>
    <s v="PROTECT"/>
    <s v="PR.AA"/>
    <x v="0"/>
    <x v="0"/>
    <s v="Singapore"/>
    <x v="3"/>
    <s v="Emma Schmidt"/>
    <s v="Annual"/>
    <d v="2026-06-23T00:00:00"/>
    <d v="2027-06-23T00:00:00"/>
    <x v="2"/>
    <s v="Pending"/>
    <n v="5"/>
    <s v="Sam Rivera"/>
    <d v="2026-08-28T00:00:00"/>
    <s v="Completed"/>
    <x v="1"/>
    <x v="1"/>
    <x v="3"/>
    <s v="Elevated"/>
  </r>
  <r>
    <s v="CTRL-0871"/>
    <s v="Incident Control 871"/>
    <s v="RESPOND"/>
    <s v="RS.MA"/>
    <x v="4"/>
    <x v="2"/>
    <s v="United Kingdom"/>
    <x v="1"/>
    <s v="Maya Patel"/>
    <s v="Annual"/>
    <d v="2025-12-20T00:00:00"/>
    <d v="2026-12-20T00:00:00"/>
    <x v="2"/>
    <s v="Complete"/>
    <n v="3"/>
    <s v="Alex Chen"/>
    <d v="2027-01-28T00:00:00"/>
    <s v="Completed"/>
    <x v="1"/>
    <x v="1"/>
    <x v="2"/>
    <s v="Standard"/>
  </r>
  <r>
    <s v="CTRL-0872"/>
    <s v="Reconciliation Control 872"/>
    <s v="DETECT"/>
    <s v="DE.CM"/>
    <x v="5"/>
    <x v="2"/>
    <s v="United Kingdom"/>
    <x v="2"/>
    <s v="Alex Chen"/>
    <s v="Quarterly"/>
    <d v="2026-06-21T00:00:00"/>
    <d v="2026-12-18T00:00:00"/>
    <x v="1"/>
    <s v="Pending"/>
    <n v="0"/>
    <s v="Liam Brown"/>
    <d v="2026-07-07T00:00:00"/>
    <s v="Not Required"/>
    <x v="1"/>
    <x v="1"/>
    <x v="3"/>
    <s v="Standard"/>
  </r>
  <r>
    <s v="CTRL-0873"/>
    <s v="Vendor Control 873"/>
    <s v="DETECT"/>
    <s v="DE.CM"/>
    <x v="0"/>
    <x v="0"/>
    <s v="Singapore"/>
    <x v="2"/>
    <s v="Liam Brown"/>
    <s v="Annual"/>
    <d v="2025-11-11T00:00:00"/>
    <d v="2026-11-11T00:00:00"/>
    <x v="2"/>
    <s v="Pending"/>
    <n v="1"/>
    <s v="Emma Schmidt"/>
    <d v="2026-08-10T00:00:00"/>
    <s v="Overdue"/>
    <x v="1"/>
    <x v="1"/>
    <x v="3"/>
    <s v="Standard"/>
  </r>
  <r>
    <s v="CTRL-0874"/>
    <s v="Data Control 874"/>
    <s v="GOVERN"/>
    <s v="GV.RR"/>
    <x v="1"/>
    <x v="2"/>
    <s v="United Kingdom"/>
    <x v="0"/>
    <s v="Maya Patel"/>
    <s v="Quarterly"/>
    <d v="2026-02-07T00:00:00"/>
    <d v="2026-08-06T00:00:00"/>
    <x v="0"/>
    <s v="Pending"/>
    <n v="4"/>
    <s v="Taylor Morgan"/>
    <d v="2026-10-25T00:00:00"/>
    <s v="In Progress"/>
    <x v="0"/>
    <x v="1"/>
    <x v="3"/>
    <s v="Elevated"/>
  </r>
  <r>
    <s v="CTRL-0875"/>
    <s v="Policy Control 875"/>
    <s v="GOVERN"/>
    <s v="GV.RR"/>
    <x v="3"/>
    <x v="0"/>
    <s v="Singapore"/>
    <x v="0"/>
    <s v="Jordan Lee"/>
    <s v="Semiannual"/>
    <d v="2025-10-06T00:00:00"/>
    <d v="2026-04-04T00:00:00"/>
    <x v="0"/>
    <s v="Complete"/>
    <n v="0"/>
    <s v="Liam Brown"/>
    <d v="2026-09-08T00:00:00"/>
    <s v="Not Required"/>
    <x v="0"/>
    <x v="1"/>
    <x v="2"/>
    <s v="Elevated"/>
  </r>
  <r>
    <s v="CTRL-0876"/>
    <s v="Vendor Control 876"/>
    <s v="IDENTIFY"/>
    <s v="ID.AM"/>
    <x v="4"/>
    <x v="2"/>
    <s v="United Kingdom"/>
    <x v="1"/>
    <s v="Jordan Lee"/>
    <s v="Quarterly"/>
    <d v="2026-05-31T00:00:00"/>
    <d v="2026-08-29T00:00:00"/>
    <x v="0"/>
    <s v="Pending"/>
    <n v="2"/>
    <s v="Sam Rivera"/>
    <d v="2026-05-14T00:00:00"/>
    <s v="Completed"/>
    <x v="0"/>
    <x v="1"/>
    <x v="3"/>
    <s v="Standard"/>
  </r>
  <r>
    <s v="CTRL-0877"/>
    <s v="Incident Control 877"/>
    <s v="RECOVER"/>
    <s v="RC.RP"/>
    <x v="0"/>
    <x v="1"/>
    <s v="Canada"/>
    <x v="2"/>
    <s v="Noah Williams"/>
    <s v="Quarterly"/>
    <d v="2026-07-21T00:00:00"/>
    <d v="2027-01-17T00:00:00"/>
    <x v="1"/>
    <s v="Pending"/>
    <n v="1"/>
    <s v="Maya Patel"/>
    <d v="2026-11-30T00:00:00"/>
    <s v="In Progress"/>
    <x v="1"/>
    <x v="1"/>
    <x v="3"/>
    <s v="Standard"/>
  </r>
  <r>
    <s v="CTRL-0878"/>
    <s v="Reconciliation Control 878"/>
    <s v="GOVERN"/>
    <s v="GV.RM"/>
    <x v="2"/>
    <x v="2"/>
    <s v="United Kingdom"/>
    <x v="0"/>
    <s v="Jordan Lee"/>
    <s v="Semiannual"/>
    <d v="2026-02-18T00:00:00"/>
    <d v="2026-08-17T00:00:00"/>
    <x v="0"/>
    <s v="Pending"/>
    <n v="5"/>
    <s v="Alex Chen"/>
    <d v="2026-11-06T00:00:00"/>
    <s v="In Progress"/>
    <x v="0"/>
    <x v="1"/>
    <x v="3"/>
    <s v="Elevated"/>
  </r>
  <r>
    <s v="CTRL-0879"/>
    <s v="Vendor Control 879"/>
    <s v="GOVERN"/>
    <s v="GV.RR"/>
    <x v="1"/>
    <x v="1"/>
    <s v="United States"/>
    <x v="2"/>
    <s v="Noah Williams"/>
    <s v="Quarterly"/>
    <d v="2025-12-28T00:00:00"/>
    <d v="2026-03-28T00:00:00"/>
    <x v="0"/>
    <s v="Missing"/>
    <n v="3"/>
    <s v="Alex Chen"/>
    <d v="2026-05-12T00:00:00"/>
    <s v="Overdue"/>
    <x v="0"/>
    <x v="1"/>
    <x v="1"/>
    <s v="Standard"/>
  </r>
  <r>
    <s v="CTRL-0880"/>
    <s v="Access Control 880"/>
    <s v="RECOVER"/>
    <s v="RC.RP"/>
    <x v="4"/>
    <x v="1"/>
    <s v="Canada"/>
    <x v="1"/>
    <s v="Emma Schmidt"/>
    <s v="Semiannual"/>
    <d v="2025-10-11T00:00:00"/>
    <d v="2026-01-09T00:00:00"/>
    <x v="0"/>
    <s v="Pending"/>
    <n v="1"/>
    <s v="Emma Schmidt"/>
    <d v="2026-08-26T00:00:00"/>
    <s v="Completed"/>
    <x v="0"/>
    <x v="1"/>
    <x v="3"/>
    <s v="Standard"/>
  </r>
  <r>
    <s v="CTRL-0881"/>
    <s v="Change Control 881"/>
    <s v="GOVERN"/>
    <s v="GV.OC"/>
    <x v="4"/>
    <x v="1"/>
    <s v="United States"/>
    <x v="2"/>
    <s v="Maya Patel"/>
    <s v="Semiannual"/>
    <d v="2026-01-15T00:00:00"/>
    <d v="2026-04-15T00:00:00"/>
    <x v="0"/>
    <s v="Pending"/>
    <n v="0"/>
    <s v="Jordan Lee"/>
    <d v="2026-10-27T00:00:00"/>
    <s v="Not Required"/>
    <x v="0"/>
    <x v="1"/>
    <x v="3"/>
    <s v="Standard"/>
  </r>
  <r>
    <s v="CTRL-0882"/>
    <s v="Data Control 882"/>
    <s v="GOVERN"/>
    <s v="GV.RM"/>
    <x v="5"/>
    <x v="0"/>
    <s v="Singapore"/>
    <x v="2"/>
    <s v="Liam Brown"/>
    <s v="Semiannual"/>
    <d v="2025-10-11T00:00:00"/>
    <d v="2026-10-11T00:00:00"/>
    <x v="1"/>
    <s v="Complete"/>
    <n v="2"/>
    <s v="Noah Williams"/>
    <d v="2026-11-06T00:00:00"/>
    <s v="Completed"/>
    <x v="1"/>
    <x v="1"/>
    <x v="2"/>
    <s v="Standard"/>
  </r>
  <r>
    <s v="CTRL-0883"/>
    <s v="Change Control 883"/>
    <s v="GOVERN"/>
    <s v="GV.RM"/>
    <x v="3"/>
    <x v="2"/>
    <s v="Germany"/>
    <x v="3"/>
    <s v="Maya Patel"/>
    <s v="Quarterly"/>
    <d v="2025-08-04T00:00:00"/>
    <d v="2025-11-02T00:00:00"/>
    <x v="0"/>
    <s v="Pending"/>
    <n v="4"/>
    <s v="Noah Williams"/>
    <d v="2026-10-16T00:00:00"/>
    <s v="In Progress"/>
    <x v="0"/>
    <x v="1"/>
    <x v="3"/>
    <s v="Elevated"/>
  </r>
  <r>
    <s v="CTRL-0884"/>
    <s v="Vendor Control 884"/>
    <s v="RECOVER"/>
    <s v="RC.RP"/>
    <x v="1"/>
    <x v="0"/>
    <s v="Singapore"/>
    <x v="2"/>
    <s v="Liam Brown"/>
    <s v="Semiannual"/>
    <d v="2026-01-31T00:00:00"/>
    <d v="2026-05-01T00:00:00"/>
    <x v="0"/>
    <s v="Pending"/>
    <n v="2"/>
    <s v="Alex Chen"/>
    <d v="2026-04-23T00:00:00"/>
    <s v="Completed"/>
    <x v="0"/>
    <x v="1"/>
    <x v="3"/>
    <s v="Standard"/>
  </r>
  <r>
    <s v="CTRL-0885"/>
    <s v="Access Control 885"/>
    <s v="RESPOND"/>
    <s v="RS.MA"/>
    <x v="2"/>
    <x v="0"/>
    <s v="Singapore"/>
    <x v="2"/>
    <s v="Taylor Morgan"/>
    <s v="Semiannual"/>
    <d v="2025-08-14T00:00:00"/>
    <d v="2025-11-12T00:00:00"/>
    <x v="0"/>
    <s v="Missing"/>
    <n v="2"/>
    <s v="Noah Williams"/>
    <d v="2026-07-03T00:00:00"/>
    <s v="Completed"/>
    <x v="0"/>
    <x v="1"/>
    <x v="1"/>
    <s v="Standard"/>
  </r>
  <r>
    <s v="CTRL-0886"/>
    <s v="Change Control 886"/>
    <s v="GOVERN"/>
    <s v="GV.RM"/>
    <x v="3"/>
    <x v="2"/>
    <s v="United Kingdom"/>
    <x v="1"/>
    <s v="Alex Chen"/>
    <s v="Annual"/>
    <d v="2025-12-12T00:00:00"/>
    <d v="2026-12-12T00:00:00"/>
    <x v="1"/>
    <s v="Complete"/>
    <n v="0"/>
    <s v="Jordan Lee"/>
    <d v="2027-01-01T00:00:00"/>
    <s v="Not Required"/>
    <x v="1"/>
    <x v="1"/>
    <x v="2"/>
    <s v="Standard"/>
  </r>
  <r>
    <s v="CTRL-0887"/>
    <s v="Access Control 887"/>
    <s v="DETECT"/>
    <s v="DE.CM"/>
    <x v="4"/>
    <x v="0"/>
    <s v="Singapore"/>
    <x v="0"/>
    <s v="Noah Williams"/>
    <s v="Quarterly"/>
    <d v="2026-01-19T00:00:00"/>
    <d v="2027-01-19T00:00:00"/>
    <x v="2"/>
    <s v="Complete"/>
    <n v="0"/>
    <s v="Maya Patel"/>
    <d v="2026-09-17T00:00:00"/>
    <s v="Not Required"/>
    <x v="1"/>
    <x v="1"/>
    <x v="2"/>
    <s v="Elevated"/>
  </r>
  <r>
    <s v="CTRL-0888"/>
    <s v="Policy Control 888"/>
    <s v="GOVERN"/>
    <s v="GV.RM"/>
    <x v="2"/>
    <x v="2"/>
    <s v="United Kingdom"/>
    <x v="3"/>
    <s v="Taylor Morgan"/>
    <s v="Semiannual"/>
    <d v="2026-02-06T00:00:00"/>
    <d v="2026-08-05T00:00:00"/>
    <x v="0"/>
    <s v="Complete"/>
    <n v="1"/>
    <s v="Maya Patel"/>
    <d v="2026-08-12T00:00:00"/>
    <s v="Overdue"/>
    <x v="0"/>
    <x v="1"/>
    <x v="2"/>
    <s v="Elevated"/>
  </r>
  <r>
    <s v="CTRL-0889"/>
    <s v="Reconciliation Control 889"/>
    <s v="RESPOND"/>
    <s v="RS.MA"/>
    <x v="2"/>
    <x v="1"/>
    <s v="Canada"/>
    <x v="2"/>
    <s v="Sam Rivera"/>
    <s v="Annual"/>
    <d v="2025-09-20T00:00:00"/>
    <d v="2025-12-19T00:00:00"/>
    <x v="0"/>
    <s v="Pending"/>
    <n v="3"/>
    <s v="Jordan Lee"/>
    <d v="2026-07-22T00:00:00"/>
    <s v="Overdue"/>
    <x v="0"/>
    <x v="1"/>
    <x v="3"/>
    <s v="Standard"/>
  </r>
  <r>
    <s v="CTRL-0890"/>
    <s v="Access Control 890"/>
    <s v="IDENTIFY"/>
    <s v="ID.AM"/>
    <x v="3"/>
    <x v="2"/>
    <s v="United Kingdom"/>
    <x v="2"/>
    <s v="Jordan Lee"/>
    <s v="Semiannual"/>
    <d v="2025-09-28T00:00:00"/>
    <d v="2026-03-27T00:00:00"/>
    <x v="0"/>
    <s v="Pending"/>
    <n v="0"/>
    <s v="Jordan Lee"/>
    <d v="2026-10-28T00:00:00"/>
    <s v="Not Required"/>
    <x v="0"/>
    <x v="1"/>
    <x v="3"/>
    <s v="Standard"/>
  </r>
  <r>
    <s v="CTRL-0891"/>
    <s v="Incident Control 891"/>
    <s v="PROTECT"/>
    <s v="PR.AA"/>
    <x v="4"/>
    <x v="2"/>
    <s v="Germany"/>
    <x v="2"/>
    <s v="Noah Williams"/>
    <s v="Annual"/>
    <d v="2026-07-23T00:00:00"/>
    <d v="2026-10-21T00:00:00"/>
    <x v="1"/>
    <s v="Missing"/>
    <n v="2"/>
    <s v="Liam Brown"/>
    <d v="2026-07-25T00:00:00"/>
    <s v="Completed"/>
    <x v="1"/>
    <x v="1"/>
    <x v="1"/>
    <s v="Standard"/>
  </r>
  <r>
    <s v="CTRL-0892"/>
    <s v="Vendor Control 892"/>
    <s v="GOVERN"/>
    <s v="GV.RR"/>
    <x v="5"/>
    <x v="0"/>
    <s v="Singapore"/>
    <x v="2"/>
    <s v="Emma Schmidt"/>
    <s v="Annual"/>
    <d v="2026-01-10T00:00:00"/>
    <d v="2027-01-10T00:00:00"/>
    <x v="1"/>
    <s v="Pending"/>
    <n v="2"/>
    <s v="Liam Brown"/>
    <d v="2026-09-27T00:00:00"/>
    <s v="Overdue"/>
    <x v="1"/>
    <x v="1"/>
    <x v="3"/>
    <s v="Standard"/>
  </r>
  <r>
    <s v="CTRL-0893"/>
    <s v="Change Control 893"/>
    <s v="GOVERN"/>
    <s v="GV.RM"/>
    <x v="5"/>
    <x v="1"/>
    <s v="United States"/>
    <x v="2"/>
    <s v="Emma Schmidt"/>
    <s v="Annual"/>
    <d v="2026-08-25T00:00:00"/>
    <d v="2027-08-25T00:00:00"/>
    <x v="3"/>
    <s v="Missing"/>
    <n v="3"/>
    <s v="Noah Williams"/>
    <d v="2027-01-15T00:00:00"/>
    <s v="In Progress"/>
    <x v="1"/>
    <x v="1"/>
    <x v="1"/>
    <s v="Standard"/>
  </r>
  <r>
    <s v="CTRL-0894"/>
    <s v="Policy Control 894"/>
    <s v="RESPOND"/>
    <s v="RS.MA"/>
    <x v="2"/>
    <x v="2"/>
    <s v="Germany"/>
    <x v="2"/>
    <m/>
    <s v="Quarterly"/>
    <d v="2026-01-14T00:00:00"/>
    <d v="2026-04-14T00:00:00"/>
    <x v="0"/>
    <s v="Complete"/>
    <n v="1"/>
    <s v="Taylor Morgan"/>
    <d v="2026-09-30T00:00:00"/>
    <s v="In Progress"/>
    <x v="0"/>
    <x v="0"/>
    <x v="2"/>
    <s v="Standard"/>
  </r>
  <r>
    <s v="CTRL-0895"/>
    <s v="Data Control 895"/>
    <s v="GOVERN"/>
    <s v="GV.RM"/>
    <x v="1"/>
    <x v="0"/>
    <s v="Singapore"/>
    <x v="2"/>
    <s v="Jordan Lee"/>
    <s v="Semiannual"/>
    <d v="2026-03-01T00:00:00"/>
    <d v="2027-03-01T00:00:00"/>
    <x v="3"/>
    <s v="Complete"/>
    <n v="3"/>
    <s v="Jordan Lee"/>
    <d v="2026-07-23T00:00:00"/>
    <s v="Completed"/>
    <x v="1"/>
    <x v="1"/>
    <x v="2"/>
    <s v="Standard"/>
  </r>
  <r>
    <s v="CTRL-0896"/>
    <s v="Change Control 896"/>
    <s v="RESPOND"/>
    <s v="RS.MA"/>
    <x v="3"/>
    <x v="1"/>
    <s v="Canada"/>
    <x v="2"/>
    <s v="Sam Rivera"/>
    <s v="Semiannual"/>
    <d v="2026-02-08T00:00:00"/>
    <d v="2027-02-08T00:00:00"/>
    <x v="1"/>
    <s v="Pending"/>
    <n v="0"/>
    <s v="Liam Brown"/>
    <d v="2026-09-12T00:00:00"/>
    <s v="Not Required"/>
    <x v="1"/>
    <x v="1"/>
    <x v="3"/>
    <s v="Standard"/>
  </r>
  <r>
    <s v="CTRL-0897"/>
    <s v="Vendor Control 897"/>
    <s v="GOVERN"/>
    <s v="GV.RM"/>
    <x v="4"/>
    <x v="2"/>
    <s v="Germany"/>
    <x v="1"/>
    <s v="Jordan Lee"/>
    <s v="Annual"/>
    <d v="2026-02-18T00:00:00"/>
    <d v="2026-08-17T00:00:00"/>
    <x v="0"/>
    <s v="Complete"/>
    <n v="2"/>
    <s v="Emma Schmidt"/>
    <d v="2026-11-26T00:00:00"/>
    <s v="In Progress"/>
    <x v="0"/>
    <x v="1"/>
    <x v="2"/>
    <s v="Standard"/>
  </r>
  <r>
    <s v="CTRL-0898"/>
    <s v="Change Control 898"/>
    <s v="IDENTIFY"/>
    <s v="ID.AM"/>
    <x v="1"/>
    <x v="2"/>
    <s v="Germany"/>
    <x v="2"/>
    <s v="Sam Rivera"/>
    <s v="Annual"/>
    <d v="2026-07-02T00:00:00"/>
    <d v="2027-07-02T00:00:00"/>
    <x v="3"/>
    <s v="Missing"/>
    <n v="3"/>
    <s v="Liam Brown"/>
    <d v="2026-04-14T00:00:00"/>
    <s v="Completed"/>
    <x v="1"/>
    <x v="1"/>
    <x v="1"/>
    <s v="Standard"/>
  </r>
  <r>
    <s v="CTRL-0899"/>
    <s v="Reconciliation Control 899"/>
    <s v="IDENTIFY"/>
    <s v="ID.AM"/>
    <x v="2"/>
    <x v="0"/>
    <s v="Singapore"/>
    <x v="1"/>
    <s v="Emma Schmidt"/>
    <s v="Quarterly"/>
    <d v="2025-12-02T00:00:00"/>
    <d v="2026-12-02T00:00:00"/>
    <x v="3"/>
    <s v="Pending"/>
    <n v="2"/>
    <s v="Taylor Morgan"/>
    <d v="2026-08-03T00:00:00"/>
    <s v="Completed"/>
    <x v="1"/>
    <x v="1"/>
    <x v="3"/>
    <s v="Standard"/>
  </r>
  <r>
    <s v="CTRL-0900"/>
    <s v="Policy Control 900"/>
    <s v="DETECT"/>
    <s v="DE.CM"/>
    <x v="1"/>
    <x v="1"/>
    <s v="United States"/>
    <x v="2"/>
    <s v="Liam Brown"/>
    <s v="Quarterly"/>
    <d v="2026-05-08T00:00:00"/>
    <d v="2027-05-08T00:00:00"/>
    <x v="3"/>
    <s v="Complete"/>
    <n v="3"/>
    <s v="Sam Rivera"/>
    <d v="2026-12-15T00:00:00"/>
    <s v="In Progress"/>
    <x v="1"/>
    <x v="1"/>
    <x v="2"/>
    <s v="Standard"/>
  </r>
  <r>
    <s v="CTRL-0901"/>
    <s v="Incident Control 901"/>
    <s v="PROTECT"/>
    <s v="PR.AA"/>
    <x v="0"/>
    <x v="2"/>
    <s v="United Kingdom"/>
    <x v="0"/>
    <s v="Emma Schmidt"/>
    <s v="Annual"/>
    <d v="2025-06-24T00:00:00"/>
    <d v="2026-06-24T00:00:00"/>
    <x v="0"/>
    <s v="Pending"/>
    <n v="3"/>
    <s v="Maya Patel"/>
    <d v="2026-05-09T00:00:00"/>
    <s v="Overdue"/>
    <x v="0"/>
    <x v="1"/>
    <x v="3"/>
    <s v="Elevated"/>
  </r>
  <r>
    <s v="CTRL-0902"/>
    <s v="Vendor Control 902"/>
    <s v="RECOVER"/>
    <s v="RC.RP"/>
    <x v="4"/>
    <x v="0"/>
    <s v="Singapore"/>
    <x v="2"/>
    <s v="Alex Chen"/>
    <s v="Quarterly"/>
    <d v="2026-04-14T00:00:00"/>
    <d v="2026-10-11T00:00:00"/>
    <x v="3"/>
    <s v="Pending"/>
    <n v="3"/>
    <s v="Maya Patel"/>
    <d v="2026-12-20T00:00:00"/>
    <s v="In Progress"/>
    <x v="1"/>
    <x v="1"/>
    <x v="3"/>
    <s v="Standard"/>
  </r>
  <r>
    <s v="CTRL-0903"/>
    <s v="Policy Control 903"/>
    <s v="IDENTIFY"/>
    <s v="ID.AM"/>
    <x v="3"/>
    <x v="1"/>
    <s v="Canada"/>
    <x v="0"/>
    <s v="Maya Patel"/>
    <s v="Semiannual"/>
    <d v="2025-09-06T00:00:00"/>
    <d v="2025-12-05T00:00:00"/>
    <x v="0"/>
    <s v="Pending"/>
    <n v="3"/>
    <s v="Sam Rivera"/>
    <d v="2026-09-23T00:00:00"/>
    <s v="Completed"/>
    <x v="0"/>
    <x v="1"/>
    <x v="3"/>
    <s v="Elevated"/>
  </r>
  <r>
    <s v="CTRL-0904"/>
    <s v="Reconciliation Control 904"/>
    <s v="RECOVER"/>
    <s v="RC.RP"/>
    <x v="2"/>
    <x v="2"/>
    <s v="United Kingdom"/>
    <x v="2"/>
    <s v="Maya Patel"/>
    <s v="Semiannual"/>
    <d v="2026-01-19T00:00:00"/>
    <d v="2027-01-19T00:00:00"/>
    <x v="1"/>
    <s v="Complete"/>
    <n v="2"/>
    <s v="Taylor Morgan"/>
    <d v="2026-09-25T00:00:00"/>
    <s v="Completed"/>
    <x v="1"/>
    <x v="1"/>
    <x v="2"/>
    <s v="Standard"/>
  </r>
  <r>
    <s v="CTRL-0905"/>
    <s v="Reconciliation Control 905"/>
    <s v="PROTECT"/>
    <s v="PR.AA"/>
    <x v="3"/>
    <x v="0"/>
    <s v="Singapore"/>
    <x v="1"/>
    <s v="Jordan Lee"/>
    <s v="Annual"/>
    <d v="2026-06-27T00:00:00"/>
    <d v="2027-06-27T00:00:00"/>
    <x v="1"/>
    <s v="Complete"/>
    <n v="2"/>
    <s v="Jordan Lee"/>
    <d v="2027-01-16T00:00:00"/>
    <s v="In Progress"/>
    <x v="1"/>
    <x v="1"/>
    <x v="2"/>
    <s v="Standard"/>
  </r>
  <r>
    <s v="CTRL-0906"/>
    <s v="Incident Control 906"/>
    <s v="PROTECT"/>
    <s v="PR.AA"/>
    <x v="4"/>
    <x v="0"/>
    <s v="Singapore"/>
    <x v="0"/>
    <s v="Taylor Morgan"/>
    <s v="Quarterly"/>
    <d v="2026-06-23T00:00:00"/>
    <d v="2027-06-23T00:00:00"/>
    <x v="3"/>
    <s v="Complete"/>
    <n v="4"/>
    <s v="Alex Chen"/>
    <d v="2026-08-30T00:00:00"/>
    <s v="Overdue"/>
    <x v="1"/>
    <x v="1"/>
    <x v="2"/>
    <s v="Elevated"/>
  </r>
  <r>
    <s v="CTRL-0907"/>
    <s v="Reconciliation Control 907"/>
    <s v="GOVERN"/>
    <s v="GV.RR"/>
    <x v="1"/>
    <x v="1"/>
    <s v="Canada"/>
    <x v="2"/>
    <s v="Taylor Morgan"/>
    <s v="Annual"/>
    <d v="2026-03-08T00:00:00"/>
    <d v="2027-03-08T00:00:00"/>
    <x v="1"/>
    <s v="Missing"/>
    <n v="3"/>
    <s v="Jordan Lee"/>
    <d v="2026-12-03T00:00:00"/>
    <s v="In Progress"/>
    <x v="1"/>
    <x v="1"/>
    <x v="1"/>
    <s v="Standard"/>
  </r>
  <r>
    <s v="CTRL-0908"/>
    <s v="Access Control 908"/>
    <s v="RESPOND"/>
    <s v="RS.MA"/>
    <x v="3"/>
    <x v="0"/>
    <s v="Singapore"/>
    <x v="2"/>
    <s v="Liam Brown"/>
    <s v="Annual"/>
    <d v="2025-10-14T00:00:00"/>
    <d v="2026-01-12T00:00:00"/>
    <x v="0"/>
    <s v="Missing"/>
    <n v="3"/>
    <s v="Maya Patel"/>
    <d v="2026-07-01T00:00:00"/>
    <s v="Overdue"/>
    <x v="0"/>
    <x v="1"/>
    <x v="1"/>
    <s v="Standard"/>
  </r>
  <r>
    <s v="CTRL-0909"/>
    <s v="Policy Control 909"/>
    <s v="GOVERN"/>
    <s v="GV.OC"/>
    <x v="2"/>
    <x v="2"/>
    <s v="United Kingdom"/>
    <x v="1"/>
    <s v="Jordan Lee"/>
    <s v="Annual"/>
    <d v="2026-04-21T00:00:00"/>
    <d v="2027-04-21T00:00:00"/>
    <x v="3"/>
    <s v="Missing"/>
    <n v="1"/>
    <s v="Sam Rivera"/>
    <d v="2026-10-02T00:00:00"/>
    <s v="In Progress"/>
    <x v="1"/>
    <x v="1"/>
    <x v="1"/>
    <s v="Standard"/>
  </r>
  <r>
    <s v="CTRL-0910"/>
    <s v="Policy Control 910"/>
    <s v="GOVERN"/>
    <s v="GV.RM"/>
    <x v="2"/>
    <x v="0"/>
    <s v="Singapore"/>
    <x v="2"/>
    <s v="Emma Schmidt"/>
    <s v="Quarterly"/>
    <d v="2025-10-25T00:00:00"/>
    <d v="2026-01-23T00:00:00"/>
    <x v="0"/>
    <s v="Pending"/>
    <n v="0"/>
    <s v="Liam Brown"/>
    <d v="2026-08-19T00:00:00"/>
    <s v="Not Required"/>
    <x v="0"/>
    <x v="1"/>
    <x v="3"/>
    <s v="Standard"/>
  </r>
  <r>
    <s v="CTRL-0911"/>
    <s v="Data Control 911"/>
    <s v="PROTECT"/>
    <s v="PR.AA"/>
    <x v="1"/>
    <x v="0"/>
    <s v="Singapore"/>
    <x v="1"/>
    <s v="Jordan Lee"/>
    <s v="Semiannual"/>
    <d v="2025-09-22T00:00:00"/>
    <d v="2026-09-22T00:00:00"/>
    <x v="0"/>
    <s v="Complete"/>
    <n v="1"/>
    <s v="Maya Patel"/>
    <d v="2026-11-22T00:00:00"/>
    <s v="Completed"/>
    <x v="0"/>
    <x v="1"/>
    <x v="2"/>
    <s v="Standard"/>
  </r>
  <r>
    <s v="CTRL-0912"/>
    <s v="Data Control 912"/>
    <s v="IDENTIFY"/>
    <s v="ID.AM"/>
    <x v="5"/>
    <x v="0"/>
    <s v="Singapore"/>
    <x v="0"/>
    <s v="Maya Patel"/>
    <s v="Annual"/>
    <d v="2025-06-04T00:00:00"/>
    <d v="2025-09-02T00:00:00"/>
    <x v="0"/>
    <s v="Missing"/>
    <n v="2"/>
    <s v="Liam Brown"/>
    <d v="2026-05-04T00:00:00"/>
    <s v="Completed"/>
    <x v="0"/>
    <x v="1"/>
    <x v="1"/>
    <s v="Elevated"/>
  </r>
  <r>
    <s v="CTRL-0913"/>
    <s v="Vendor Control 913"/>
    <s v="GOVERN"/>
    <s v="GV.RM"/>
    <x v="3"/>
    <x v="2"/>
    <s v="United Kingdom"/>
    <x v="0"/>
    <s v="Alex Chen"/>
    <s v="Quarterly"/>
    <d v="2026-03-31T00:00:00"/>
    <d v="2027-03-31T00:00:00"/>
    <x v="1"/>
    <s v="Pending"/>
    <n v="0"/>
    <s v="Maya Patel"/>
    <d v="2026-11-15T00:00:00"/>
    <s v="Not Required"/>
    <x v="1"/>
    <x v="1"/>
    <x v="3"/>
    <s v="Elevated"/>
  </r>
  <r>
    <s v="CTRL-0914"/>
    <s v="Data Control 914"/>
    <s v="IDENTIFY"/>
    <s v="ID.AM"/>
    <x v="3"/>
    <x v="0"/>
    <s v="Singapore"/>
    <x v="2"/>
    <s v="Alex Chen"/>
    <s v="Annual"/>
    <d v="2025-11-17T00:00:00"/>
    <d v="2026-05-16T00:00:00"/>
    <x v="0"/>
    <m/>
    <n v="0"/>
    <s v="Liam Brown"/>
    <d v="2026-11-15T00:00:00"/>
    <s v="Not Required"/>
    <x v="0"/>
    <x v="1"/>
    <x v="0"/>
    <s v="Standard"/>
  </r>
  <r>
    <s v="CTRL-0915"/>
    <s v="Reconciliation Control 915"/>
    <s v="PROTECT"/>
    <s v="PR.AA"/>
    <x v="4"/>
    <x v="1"/>
    <s v="Canada"/>
    <x v="2"/>
    <s v="Liam Brown"/>
    <s v="Annual"/>
    <d v="2025-10-22T00:00:00"/>
    <d v="2026-01-20T00:00:00"/>
    <x v="0"/>
    <s v="Pending"/>
    <n v="3"/>
    <s v="Sam Rivera"/>
    <d v="2026-12-22T00:00:00"/>
    <s v="Completed"/>
    <x v="0"/>
    <x v="1"/>
    <x v="3"/>
    <s v="Standard"/>
  </r>
  <r>
    <s v="CTRL-0916"/>
    <s v="Vendor Control 916"/>
    <s v="RECOVER"/>
    <s v="RC.RP"/>
    <x v="5"/>
    <x v="2"/>
    <s v="Germany"/>
    <x v="2"/>
    <s v="Taylor Morgan"/>
    <s v="Quarterly"/>
    <d v="2025-10-25T00:00:00"/>
    <d v="2026-04-23T00:00:00"/>
    <x v="0"/>
    <s v="Complete"/>
    <n v="1"/>
    <s v="Jordan Lee"/>
    <d v="2026-12-08T00:00:00"/>
    <s v="Completed"/>
    <x v="0"/>
    <x v="1"/>
    <x v="2"/>
    <s v="Standard"/>
  </r>
  <r>
    <s v="CTRL-0917"/>
    <s v="Reconciliation Control 917"/>
    <s v="IDENTIFY"/>
    <s v="ID.AM"/>
    <x v="5"/>
    <x v="1"/>
    <s v="Canada"/>
    <x v="2"/>
    <s v="Liam Brown"/>
    <s v="Annual"/>
    <d v="2026-03-19T00:00:00"/>
    <d v="2027-03-19T00:00:00"/>
    <x v="3"/>
    <s v="Complete"/>
    <n v="0"/>
    <s v="Taylor Morgan"/>
    <d v="2026-07-30T00:00:00"/>
    <s v="Not Required"/>
    <x v="1"/>
    <x v="1"/>
    <x v="2"/>
    <s v="Standard"/>
  </r>
  <r>
    <s v="CTRL-0918"/>
    <s v="Data Control 918"/>
    <s v="GOVERN"/>
    <s v="GV.RR"/>
    <x v="0"/>
    <x v="2"/>
    <s v="Germany"/>
    <x v="2"/>
    <s v="Sam Rivera"/>
    <s v="Annual"/>
    <d v="2025-11-22T00:00:00"/>
    <d v="2026-11-22T00:00:00"/>
    <x v="1"/>
    <s v="Complete"/>
    <n v="1"/>
    <s v="Jordan Lee"/>
    <d v="2026-10-22T00:00:00"/>
    <s v="In Progress"/>
    <x v="1"/>
    <x v="1"/>
    <x v="2"/>
    <s v="Standard"/>
  </r>
  <r>
    <s v="CTRL-0919"/>
    <s v="Reconciliation Control 919"/>
    <s v="PROTECT"/>
    <s v="PR.AA"/>
    <x v="5"/>
    <x v="2"/>
    <s v="Germany"/>
    <x v="2"/>
    <s v="Emma Schmidt"/>
    <s v="Quarterly"/>
    <d v="2025-08-07T00:00:00"/>
    <d v="2026-08-07T00:00:00"/>
    <x v="0"/>
    <s v="Pending"/>
    <n v="1"/>
    <s v="Taylor Morgan"/>
    <d v="2026-08-15T00:00:00"/>
    <s v="Overdue"/>
    <x v="0"/>
    <x v="1"/>
    <x v="3"/>
    <s v="Standard"/>
  </r>
  <r>
    <s v="CTRL-0920"/>
    <s v="Vendor Control 920"/>
    <s v="GOVERN"/>
    <s v="GV.OC"/>
    <x v="5"/>
    <x v="2"/>
    <s v="Germany"/>
    <x v="2"/>
    <s v="Taylor Morgan"/>
    <s v="Semiannual"/>
    <d v="2026-02-05T00:00:00"/>
    <d v="2027-02-05T00:00:00"/>
    <x v="1"/>
    <s v="Pending"/>
    <n v="0"/>
    <s v="Jordan Lee"/>
    <d v="2026-10-26T00:00:00"/>
    <s v="Not Required"/>
    <x v="1"/>
    <x v="1"/>
    <x v="3"/>
    <s v="Standard"/>
  </r>
  <r>
    <s v="CTRL-0921"/>
    <s v="Policy Control 921"/>
    <s v="RESPOND"/>
    <s v="RS.MA"/>
    <x v="0"/>
    <x v="2"/>
    <s v="Germany"/>
    <x v="0"/>
    <s v="Sam Rivera"/>
    <s v="Semiannual"/>
    <d v="2026-05-27T00:00:00"/>
    <d v="2027-05-27T00:00:00"/>
    <x v="2"/>
    <s v="Pending"/>
    <n v="0"/>
    <s v="Noah Williams"/>
    <d v="2026-09-14T00:00:00"/>
    <s v="Not Required"/>
    <x v="1"/>
    <x v="1"/>
    <x v="3"/>
    <s v="Elevated"/>
  </r>
  <r>
    <s v="CTRL-0922"/>
    <s v="Reconciliation Control 922"/>
    <s v="GOVERN"/>
    <s v="GV.RR"/>
    <x v="1"/>
    <x v="0"/>
    <s v="Singapore"/>
    <x v="2"/>
    <s v="Liam Brown"/>
    <s v="Annual"/>
    <d v="2025-06-29T00:00:00"/>
    <d v="2025-12-26T00:00:00"/>
    <x v="0"/>
    <s v="Complete"/>
    <n v="0"/>
    <s v="Liam Brown"/>
    <d v="2026-08-05T00:00:00"/>
    <s v="Not Required"/>
    <x v="0"/>
    <x v="1"/>
    <x v="2"/>
    <s v="Standard"/>
  </r>
  <r>
    <s v="CTRL-0923"/>
    <s v="Access Control 923"/>
    <s v="RESPOND"/>
    <s v="RS.MA"/>
    <x v="0"/>
    <x v="0"/>
    <s v="Singapore"/>
    <x v="0"/>
    <s v="Emma Schmidt"/>
    <s v="Quarterly"/>
    <d v="2025-09-23T00:00:00"/>
    <d v="2026-09-23T00:00:00"/>
    <x v="0"/>
    <s v="Pending"/>
    <n v="1"/>
    <s v="Alex Chen"/>
    <d v="2026-08-24T00:00:00"/>
    <s v="Overdue"/>
    <x v="0"/>
    <x v="1"/>
    <x v="3"/>
    <s v="Elevated"/>
  </r>
  <r>
    <s v="CTRL-0924"/>
    <s v="Reconciliation Control 924"/>
    <s v="GOVERN"/>
    <s v="GV.RM"/>
    <x v="2"/>
    <x v="0"/>
    <s v="Singapore"/>
    <x v="2"/>
    <s v="Liam Brown"/>
    <s v="Annual"/>
    <d v="2025-05-26T00:00:00"/>
    <d v="2025-11-22T00:00:00"/>
    <x v="0"/>
    <s v="Complete"/>
    <n v="3"/>
    <s v="Emma Schmidt"/>
    <d v="2026-06-10T00:00:00"/>
    <s v="Overdue"/>
    <x v="0"/>
    <x v="1"/>
    <x v="2"/>
    <s v="Standard"/>
  </r>
  <r>
    <s v="CTRL-0925"/>
    <s v="Data Control 925"/>
    <s v="PROTECT"/>
    <s v="PR.AA"/>
    <x v="3"/>
    <x v="1"/>
    <s v="United States"/>
    <x v="1"/>
    <s v="Sam Rivera"/>
    <s v="Annual"/>
    <d v="2025-11-27T00:00:00"/>
    <d v="2026-02-25T00:00:00"/>
    <x v="0"/>
    <s v="Pending"/>
    <n v="1"/>
    <s v="Taylor Morgan"/>
    <d v="2026-09-17T00:00:00"/>
    <s v="Overdue"/>
    <x v="0"/>
    <x v="1"/>
    <x v="3"/>
    <s v="Standard"/>
  </r>
  <r>
    <s v="CTRL-0926"/>
    <s v="Policy Control 926"/>
    <s v="DETECT"/>
    <s v="DE.CM"/>
    <x v="1"/>
    <x v="0"/>
    <s v="Singapore"/>
    <x v="0"/>
    <s v="Maya Patel"/>
    <s v="Semiannual"/>
    <d v="2025-06-22T00:00:00"/>
    <d v="2026-06-22T00:00:00"/>
    <x v="0"/>
    <s v="Missing"/>
    <n v="5"/>
    <s v="Sam Rivera"/>
    <d v="2026-09-10T00:00:00"/>
    <s v="Overdue"/>
    <x v="0"/>
    <x v="1"/>
    <x v="1"/>
    <s v="Elevated"/>
  </r>
  <r>
    <s v="CTRL-0927"/>
    <s v="Change Control 927"/>
    <s v="GOVERN"/>
    <s v="GV.OC"/>
    <x v="4"/>
    <x v="1"/>
    <s v="Canada"/>
    <x v="1"/>
    <s v="Noah Williams"/>
    <s v="Quarterly"/>
    <d v="2026-03-24T00:00:00"/>
    <d v="2026-06-22T00:00:00"/>
    <x v="0"/>
    <s v="Missing"/>
    <n v="2"/>
    <s v="Emma Schmidt"/>
    <d v="2026-08-11T00:00:00"/>
    <s v="Overdue"/>
    <x v="0"/>
    <x v="1"/>
    <x v="1"/>
    <s v="Standard"/>
  </r>
  <r>
    <s v="CTRL-0928"/>
    <s v="Access Control 928"/>
    <s v="RESPOND"/>
    <s v="RS.MA"/>
    <x v="4"/>
    <x v="2"/>
    <s v="Germany"/>
    <x v="0"/>
    <s v="Alex Chen"/>
    <s v="Annual"/>
    <d v="2025-05-31T00:00:00"/>
    <d v="2026-05-31T00:00:00"/>
    <x v="0"/>
    <s v="Pending"/>
    <n v="0"/>
    <s v="Noah Williams"/>
    <d v="2027-01-17T00:00:00"/>
    <s v="Not Required"/>
    <x v="0"/>
    <x v="1"/>
    <x v="3"/>
    <s v="Elevated"/>
  </r>
  <r>
    <s v="CTRL-0929"/>
    <s v="Data Control 929"/>
    <s v="GOVERN"/>
    <s v="GV.RM"/>
    <x v="2"/>
    <x v="0"/>
    <s v="Singapore"/>
    <x v="2"/>
    <s v="Maya Patel"/>
    <s v="Quarterly"/>
    <d v="2025-08-30T00:00:00"/>
    <d v="2025-11-28T00:00:00"/>
    <x v="0"/>
    <s v="Missing"/>
    <n v="0"/>
    <s v="Maya Patel"/>
    <d v="2027-01-13T00:00:00"/>
    <s v="Not Required"/>
    <x v="0"/>
    <x v="1"/>
    <x v="1"/>
    <s v="Standard"/>
  </r>
  <r>
    <s v="CTRL-0930"/>
    <s v="Incident Control 930"/>
    <s v="GOVERN"/>
    <s v="GV.RR"/>
    <x v="3"/>
    <x v="0"/>
    <s v="Singapore"/>
    <x v="2"/>
    <s v="Sam Rivera"/>
    <s v="Semiannual"/>
    <d v="2025-08-22T00:00:00"/>
    <d v="2025-11-20T00:00:00"/>
    <x v="0"/>
    <s v="Missing"/>
    <n v="3"/>
    <s v="Maya Patel"/>
    <d v="2026-08-22T00:00:00"/>
    <s v="Overdue"/>
    <x v="0"/>
    <x v="1"/>
    <x v="1"/>
    <s v="Standard"/>
  </r>
  <r>
    <s v="CTRL-0931"/>
    <s v="Access Control 931"/>
    <s v="RESPOND"/>
    <s v="RS.MA"/>
    <x v="4"/>
    <x v="1"/>
    <s v="Canada"/>
    <x v="2"/>
    <s v="Emma Schmidt"/>
    <s v="Quarterly"/>
    <d v="2025-06-12T00:00:00"/>
    <d v="2025-09-10T00:00:00"/>
    <x v="0"/>
    <s v="Pending"/>
    <n v="2"/>
    <s v="Sam Rivera"/>
    <d v="2026-04-06T00:00:00"/>
    <s v="Overdue"/>
    <x v="0"/>
    <x v="1"/>
    <x v="3"/>
    <s v="Standard"/>
  </r>
  <r>
    <s v="CTRL-0932"/>
    <s v="Change Control 932"/>
    <s v="GOVERN"/>
    <s v="GV.RR"/>
    <x v="1"/>
    <x v="2"/>
    <s v="Germany"/>
    <x v="1"/>
    <s v="Sam Rivera"/>
    <s v="Quarterly"/>
    <d v="2025-11-15T00:00:00"/>
    <d v="2026-11-15T00:00:00"/>
    <x v="2"/>
    <s v="Missing"/>
    <n v="1"/>
    <s v="Sam Rivera"/>
    <d v="2027-01-22T00:00:00"/>
    <s v="In Progress"/>
    <x v="1"/>
    <x v="1"/>
    <x v="1"/>
    <s v="Standard"/>
  </r>
  <r>
    <s v="CTRL-0933"/>
    <s v="Change Control 933"/>
    <s v="DETECT"/>
    <s v="DE.CM"/>
    <x v="0"/>
    <x v="2"/>
    <s v="United Kingdom"/>
    <x v="1"/>
    <s v="Alex Chen"/>
    <s v="Annual"/>
    <d v="2025-08-07T00:00:00"/>
    <d v="2025-11-05T00:00:00"/>
    <x v="0"/>
    <s v="Missing"/>
    <n v="2"/>
    <s v="Sam Rivera"/>
    <d v="2026-05-08T00:00:00"/>
    <s v="Completed"/>
    <x v="0"/>
    <x v="1"/>
    <x v="1"/>
    <s v="Standard"/>
  </r>
  <r>
    <s v="CTRL-0934"/>
    <s v="Access Control 934"/>
    <s v="RECOVER"/>
    <s v="RC.RP"/>
    <x v="1"/>
    <x v="1"/>
    <s v="Canada"/>
    <x v="2"/>
    <s v="Taylor Morgan"/>
    <s v="Semiannual"/>
    <d v="2026-05-14T00:00:00"/>
    <d v="2026-08-12T00:00:00"/>
    <x v="0"/>
    <s v="Pending"/>
    <n v="0"/>
    <s v="Alex Chen"/>
    <d v="2026-06-12T00:00:00"/>
    <s v="Not Required"/>
    <x v="0"/>
    <x v="1"/>
    <x v="3"/>
    <s v="Standard"/>
  </r>
  <r>
    <s v="CTRL-0935"/>
    <s v="Data Control 935"/>
    <s v="GOVERN"/>
    <s v="GV.RR"/>
    <x v="4"/>
    <x v="2"/>
    <s v="United Kingdom"/>
    <x v="1"/>
    <s v="Liam Brown"/>
    <s v="Annual"/>
    <d v="2026-02-18T00:00:00"/>
    <d v="2026-05-19T00:00:00"/>
    <x v="0"/>
    <s v="Complete"/>
    <n v="3"/>
    <s v="Maya Patel"/>
    <d v="2026-06-05T00:00:00"/>
    <s v="Completed"/>
    <x v="0"/>
    <x v="1"/>
    <x v="2"/>
    <s v="Standard"/>
  </r>
  <r>
    <s v="CTRL-0936"/>
    <s v="Vendor Control 936"/>
    <s v="DETECT"/>
    <s v="DE.CM"/>
    <x v="0"/>
    <x v="1"/>
    <s v="United States"/>
    <x v="3"/>
    <s v="Noah Williams"/>
    <s v="Semiannual"/>
    <d v="2025-08-23T00:00:00"/>
    <d v="2026-02-19T00:00:00"/>
    <x v="0"/>
    <s v="Pending"/>
    <n v="1"/>
    <s v="Maya Patel"/>
    <d v="2026-07-19T00:00:00"/>
    <s v="Overdue"/>
    <x v="0"/>
    <x v="1"/>
    <x v="3"/>
    <s v="Elevated"/>
  </r>
  <r>
    <s v="CTRL-0937"/>
    <s v="Policy Control 937"/>
    <s v="RESPOND"/>
    <s v="RS.MA"/>
    <x v="0"/>
    <x v="2"/>
    <s v="United Kingdom"/>
    <x v="2"/>
    <s v="Emma Schmidt"/>
    <s v="Annual"/>
    <d v="2026-02-18T00:00:00"/>
    <d v="2026-05-19T00:00:00"/>
    <x v="0"/>
    <s v="Pending"/>
    <n v="2"/>
    <s v="Taylor Morgan"/>
    <d v="2026-09-08T00:00:00"/>
    <s v="Overdue"/>
    <x v="0"/>
    <x v="1"/>
    <x v="3"/>
    <s v="Standard"/>
  </r>
  <r>
    <s v="CTRL-0938"/>
    <s v="Change Control 938"/>
    <s v="IDENTIFY"/>
    <s v="ID.AM"/>
    <x v="5"/>
    <x v="1"/>
    <s v="United States"/>
    <x v="2"/>
    <s v="Emma Schmidt"/>
    <s v="Annual"/>
    <d v="2025-06-19T00:00:00"/>
    <d v="2025-12-16T00:00:00"/>
    <x v="0"/>
    <s v="Complete"/>
    <n v="2"/>
    <s v="Alex Chen"/>
    <d v="2026-09-15T00:00:00"/>
    <s v="Completed"/>
    <x v="0"/>
    <x v="1"/>
    <x v="2"/>
    <s v="Standard"/>
  </r>
  <r>
    <s v="CTRL-0939"/>
    <s v="Data Control 939"/>
    <s v="GOVERN"/>
    <s v="GV.RR"/>
    <x v="1"/>
    <x v="1"/>
    <s v="United States"/>
    <x v="2"/>
    <s v="Alex Chen"/>
    <s v="Quarterly"/>
    <d v="2026-08-10T00:00:00"/>
    <d v="2027-08-10T00:00:00"/>
    <x v="2"/>
    <s v="Pending"/>
    <n v="3"/>
    <s v="Jordan Lee"/>
    <d v="2026-06-22T00:00:00"/>
    <s v="Overdue"/>
    <x v="1"/>
    <x v="1"/>
    <x v="3"/>
    <s v="Standard"/>
  </r>
  <r>
    <s v="CTRL-0940"/>
    <s v="Access Control 940"/>
    <s v="DETECT"/>
    <s v="DE.CM"/>
    <x v="1"/>
    <x v="2"/>
    <s v="United Kingdom"/>
    <x v="1"/>
    <s v="Sam Rivera"/>
    <s v="Semiannual"/>
    <d v="2026-04-07T00:00:00"/>
    <d v="2026-10-04T00:00:00"/>
    <x v="2"/>
    <s v="Missing"/>
    <n v="2"/>
    <s v="Alex Chen"/>
    <d v="2026-04-17T00:00:00"/>
    <s v="Overdue"/>
    <x v="1"/>
    <x v="1"/>
    <x v="1"/>
    <s v="Standard"/>
  </r>
  <r>
    <s v="CTRL-0941"/>
    <s v="Change Control 941"/>
    <s v="DETECT"/>
    <s v="DE.CM"/>
    <x v="4"/>
    <x v="0"/>
    <s v="Singapore"/>
    <x v="1"/>
    <m/>
    <s v="Quarterly"/>
    <d v="2026-03-01T00:00:00"/>
    <d v="2027-03-01T00:00:00"/>
    <x v="3"/>
    <s v="Complete"/>
    <n v="0"/>
    <s v="Emma Schmidt"/>
    <d v="2026-04-10T00:00:00"/>
    <s v="Not Required"/>
    <x v="1"/>
    <x v="0"/>
    <x v="2"/>
    <s v="Standard"/>
  </r>
  <r>
    <s v="CTRL-0942"/>
    <s v="Reconciliation Control 942"/>
    <s v="RECOVER"/>
    <s v="RC.RP"/>
    <x v="4"/>
    <x v="1"/>
    <s v="United States"/>
    <x v="2"/>
    <s v="Emma Schmidt"/>
    <s v="Quarterly"/>
    <d v="2025-06-29T00:00:00"/>
    <d v="2026-06-29T00:00:00"/>
    <x v="0"/>
    <s v="Pending"/>
    <n v="1"/>
    <s v="Noah Williams"/>
    <d v="2026-04-03T00:00:00"/>
    <s v="Completed"/>
    <x v="0"/>
    <x v="1"/>
    <x v="3"/>
    <s v="Standard"/>
  </r>
  <r>
    <s v="CTRL-0943"/>
    <s v="Policy Control 943"/>
    <s v="GOVERN"/>
    <s v="GV.RR"/>
    <x v="3"/>
    <x v="0"/>
    <s v="Singapore"/>
    <x v="2"/>
    <s v="Maya Patel"/>
    <s v="Quarterly"/>
    <d v="2026-01-09T00:00:00"/>
    <d v="2026-07-08T00:00:00"/>
    <x v="0"/>
    <s v="Missing"/>
    <n v="1"/>
    <s v="Sam Rivera"/>
    <d v="2026-06-06T00:00:00"/>
    <s v="Completed"/>
    <x v="0"/>
    <x v="1"/>
    <x v="1"/>
    <s v="Standard"/>
  </r>
  <r>
    <s v="CTRL-0944"/>
    <s v="Reconciliation Control 944"/>
    <s v="PROTECT"/>
    <s v="PR.AA"/>
    <x v="5"/>
    <x v="0"/>
    <s v="Singapore"/>
    <x v="1"/>
    <s v="Emma Schmidt"/>
    <s v="Annual"/>
    <d v="2026-04-19T00:00:00"/>
    <d v="2027-04-19T00:00:00"/>
    <x v="1"/>
    <s v="Complete"/>
    <n v="2"/>
    <s v="Liam Brown"/>
    <d v="2026-07-06T00:00:00"/>
    <s v="Overdue"/>
    <x v="1"/>
    <x v="1"/>
    <x v="2"/>
    <s v="Standard"/>
  </r>
  <r>
    <s v="CTRL-0945"/>
    <s v="Policy Control 945"/>
    <s v="GOVERN"/>
    <s v="GV.OC"/>
    <x v="1"/>
    <x v="0"/>
    <s v="Singapore"/>
    <x v="2"/>
    <s v="Noah Williams"/>
    <s v="Quarterly"/>
    <d v="2025-10-07T00:00:00"/>
    <d v="2026-01-05T00:00:00"/>
    <x v="0"/>
    <s v="Missing"/>
    <n v="0"/>
    <s v="Jordan Lee"/>
    <d v="2026-10-17T00:00:00"/>
    <s v="Not Required"/>
    <x v="0"/>
    <x v="1"/>
    <x v="1"/>
    <s v="Standard"/>
  </r>
  <r>
    <s v="CTRL-0946"/>
    <s v="Incident Control 946"/>
    <s v="IDENTIFY"/>
    <s v="ID.AM"/>
    <x v="5"/>
    <x v="1"/>
    <s v="United States"/>
    <x v="1"/>
    <s v="Sam Rivera"/>
    <s v="Annual"/>
    <d v="2026-06-20T00:00:00"/>
    <d v="2026-12-17T00:00:00"/>
    <x v="1"/>
    <s v="Missing"/>
    <n v="3"/>
    <s v="Emma Schmidt"/>
    <d v="2026-12-06T00:00:00"/>
    <s v="In Progress"/>
    <x v="1"/>
    <x v="1"/>
    <x v="1"/>
    <s v="Standard"/>
  </r>
  <r>
    <s v="CTRL-0947"/>
    <s v="Reconciliation Control 947"/>
    <s v="GOVERN"/>
    <s v="GV.RR"/>
    <x v="4"/>
    <x v="2"/>
    <s v="United Kingdom"/>
    <x v="2"/>
    <s v="Liam Brown"/>
    <s v="Semiannual"/>
    <d v="2026-07-12T00:00:00"/>
    <d v="2027-07-12T00:00:00"/>
    <x v="1"/>
    <s v="Missing"/>
    <n v="2"/>
    <s v="Liam Brown"/>
    <d v="2026-09-22T00:00:00"/>
    <s v="Overdue"/>
    <x v="1"/>
    <x v="1"/>
    <x v="1"/>
    <s v="Standard"/>
  </r>
  <r>
    <s v="CTRL-0948"/>
    <s v="Incident Control 948"/>
    <s v="RESPOND"/>
    <s v="RS.MA"/>
    <x v="5"/>
    <x v="0"/>
    <s v="Singapore"/>
    <x v="1"/>
    <s v="Noah Williams"/>
    <s v="Quarterly"/>
    <d v="2025-08-16T00:00:00"/>
    <d v="2026-08-16T00:00:00"/>
    <x v="0"/>
    <s v="Pending"/>
    <n v="0"/>
    <s v="Jordan Lee"/>
    <d v="2026-10-07T00:00:00"/>
    <s v="Not Required"/>
    <x v="0"/>
    <x v="1"/>
    <x v="3"/>
    <s v="Standard"/>
  </r>
  <r>
    <s v="CTRL-0949"/>
    <s v="Policy Control 949"/>
    <s v="GOVERN"/>
    <s v="GV.RM"/>
    <x v="4"/>
    <x v="1"/>
    <s v="United States"/>
    <x v="0"/>
    <s v="Maya Patel"/>
    <s v="Annual"/>
    <d v="2025-12-03T00:00:00"/>
    <d v="2026-12-03T00:00:00"/>
    <x v="1"/>
    <s v="Pending"/>
    <n v="2"/>
    <s v="Jordan Lee"/>
    <d v="2026-11-20T00:00:00"/>
    <s v="In Progress"/>
    <x v="1"/>
    <x v="1"/>
    <x v="3"/>
    <s v="Elevated"/>
  </r>
  <r>
    <s v="CTRL-0950"/>
    <s v="Data Control 950"/>
    <s v="GOVERN"/>
    <s v="GV.RR"/>
    <x v="1"/>
    <x v="2"/>
    <s v="United Kingdom"/>
    <x v="0"/>
    <s v="Sam Rivera"/>
    <s v="Annual"/>
    <d v="2025-08-09T00:00:00"/>
    <d v="2025-11-07T00:00:00"/>
    <x v="0"/>
    <s v="Complete"/>
    <n v="5"/>
    <s v="Alex Chen"/>
    <d v="2026-10-01T00:00:00"/>
    <s v="In Progress"/>
    <x v="0"/>
    <x v="1"/>
    <x v="2"/>
    <s v="Elevated"/>
  </r>
  <r>
    <s v="CTRL-0951"/>
    <s v="Data Control 951"/>
    <s v="GOVERN"/>
    <s v="GV.RR"/>
    <x v="3"/>
    <x v="0"/>
    <s v="Singapore"/>
    <x v="1"/>
    <s v="Jordan Lee"/>
    <s v="Annual"/>
    <d v="2026-03-03T00:00:00"/>
    <d v="2026-06-01T00:00:00"/>
    <x v="0"/>
    <s v="Complete"/>
    <n v="1"/>
    <s v="Emma Schmidt"/>
    <d v="2026-07-27T00:00:00"/>
    <s v="Overdue"/>
    <x v="0"/>
    <x v="1"/>
    <x v="2"/>
    <s v="Standard"/>
  </r>
  <r>
    <s v="CTRL-0952"/>
    <s v="Access Control 952"/>
    <s v="PROTECT"/>
    <s v="PR.AA"/>
    <x v="0"/>
    <x v="1"/>
    <s v="Canada"/>
    <x v="3"/>
    <s v="Emma Schmidt"/>
    <s v="Quarterly"/>
    <d v="2026-04-12T00:00:00"/>
    <d v="2026-10-09T00:00:00"/>
    <x v="2"/>
    <s v="Pending"/>
    <n v="3"/>
    <s v="Taylor Morgan"/>
    <d v="2026-09-14T00:00:00"/>
    <s v="Completed"/>
    <x v="1"/>
    <x v="1"/>
    <x v="3"/>
    <s v="Elevated"/>
  </r>
  <r>
    <s v="CTRL-0953"/>
    <s v="Incident Control 953"/>
    <s v="GOVERN"/>
    <s v="GV.RR"/>
    <x v="1"/>
    <x v="0"/>
    <s v="Singapore"/>
    <x v="3"/>
    <s v="Maya Patel"/>
    <s v="Semiannual"/>
    <d v="2026-08-11T00:00:00"/>
    <d v="2027-02-07T00:00:00"/>
    <x v="1"/>
    <s v="Pending"/>
    <n v="1"/>
    <s v="Emma Schmidt"/>
    <d v="2026-08-05T00:00:00"/>
    <s v="Overdue"/>
    <x v="1"/>
    <x v="1"/>
    <x v="3"/>
    <s v="Elevated"/>
  </r>
  <r>
    <s v="CTRL-0954"/>
    <s v="Change Control 954"/>
    <s v="GOVERN"/>
    <s v="GV.RR"/>
    <x v="1"/>
    <x v="0"/>
    <s v="Singapore"/>
    <x v="0"/>
    <s v="Maya Patel"/>
    <s v="Semiannual"/>
    <d v="2026-05-18T00:00:00"/>
    <d v="2026-11-14T00:00:00"/>
    <x v="1"/>
    <s v="Pending"/>
    <n v="0"/>
    <s v="Jordan Lee"/>
    <d v="2027-01-27T00:00:00"/>
    <s v="Not Required"/>
    <x v="1"/>
    <x v="1"/>
    <x v="3"/>
    <s v="Elevated"/>
  </r>
  <r>
    <s v="CTRL-0955"/>
    <s v="Incident Control 955"/>
    <s v="IDENTIFY"/>
    <s v="ID.AM"/>
    <x v="2"/>
    <x v="0"/>
    <s v="Singapore"/>
    <x v="1"/>
    <s v="Maya Patel"/>
    <s v="Semiannual"/>
    <d v="2025-12-18T00:00:00"/>
    <d v="2026-06-16T00:00:00"/>
    <x v="0"/>
    <s v="Missing"/>
    <n v="0"/>
    <s v="Taylor Morgan"/>
    <d v="2026-11-30T00:00:00"/>
    <s v="Not Required"/>
    <x v="0"/>
    <x v="1"/>
    <x v="1"/>
    <s v="Standard"/>
  </r>
  <r>
    <s v="CTRL-0956"/>
    <s v="Vendor Control 956"/>
    <s v="RECOVER"/>
    <s v="RC.RP"/>
    <x v="1"/>
    <x v="1"/>
    <s v="Canada"/>
    <x v="1"/>
    <s v="Noah Williams"/>
    <s v="Annual"/>
    <d v="2025-06-19T00:00:00"/>
    <d v="2025-12-16T00:00:00"/>
    <x v="0"/>
    <s v="Complete"/>
    <n v="3"/>
    <s v="Jordan Lee"/>
    <d v="2026-08-11T00:00:00"/>
    <s v="Completed"/>
    <x v="0"/>
    <x v="1"/>
    <x v="2"/>
    <s v="Standard"/>
  </r>
  <r>
    <s v="CTRL-0957"/>
    <s v="Policy Control 957"/>
    <s v="GOVERN"/>
    <s v="GV.RM"/>
    <x v="2"/>
    <x v="0"/>
    <s v="Singapore"/>
    <x v="1"/>
    <s v="Maya Patel"/>
    <s v="Semiannual"/>
    <d v="2026-07-27T00:00:00"/>
    <d v="2027-07-27T00:00:00"/>
    <x v="2"/>
    <s v="Complete"/>
    <n v="3"/>
    <s v="Taylor Morgan"/>
    <d v="2026-11-10T00:00:00"/>
    <s v="In Progress"/>
    <x v="1"/>
    <x v="1"/>
    <x v="2"/>
    <s v="Standard"/>
  </r>
  <r>
    <s v="CTRL-0958"/>
    <s v="Data Control 958"/>
    <s v="IDENTIFY"/>
    <s v="ID.AM"/>
    <x v="4"/>
    <x v="2"/>
    <s v="Germany"/>
    <x v="2"/>
    <s v="Taylor Morgan"/>
    <s v="Semiannual"/>
    <d v="2026-03-12T00:00:00"/>
    <d v="2026-06-10T00:00:00"/>
    <x v="0"/>
    <s v="Complete"/>
    <n v="0"/>
    <s v="Sam Rivera"/>
    <d v="2026-12-07T00:00:00"/>
    <s v="Not Required"/>
    <x v="0"/>
    <x v="1"/>
    <x v="2"/>
    <s v="Standard"/>
  </r>
  <r>
    <s v="CTRL-0959"/>
    <s v="Data Control 959"/>
    <s v="GOVERN"/>
    <s v="GV.RM"/>
    <x v="5"/>
    <x v="0"/>
    <s v="Singapore"/>
    <x v="1"/>
    <s v="Liam Brown"/>
    <s v="Quarterly"/>
    <d v="2025-11-27T00:00:00"/>
    <d v="2026-11-27T00:00:00"/>
    <x v="2"/>
    <s v="Missing"/>
    <n v="3"/>
    <s v="Maya Patel"/>
    <d v="2026-04-24T00:00:00"/>
    <s v="Overdue"/>
    <x v="1"/>
    <x v="1"/>
    <x v="1"/>
    <s v="Standard"/>
  </r>
  <r>
    <s v="CTRL-0960"/>
    <s v="Policy Control 960"/>
    <s v="RECOVER"/>
    <s v="RC.RP"/>
    <x v="3"/>
    <x v="1"/>
    <s v="Canada"/>
    <x v="2"/>
    <s v="Emma Schmidt"/>
    <s v="Semiannual"/>
    <d v="2025-07-20T00:00:00"/>
    <d v="2026-01-16T00:00:00"/>
    <x v="0"/>
    <s v="Missing"/>
    <n v="0"/>
    <s v="Alex Chen"/>
    <d v="2026-09-27T00:00:00"/>
    <s v="Not Required"/>
    <x v="0"/>
    <x v="1"/>
    <x v="1"/>
    <s v="Standard"/>
  </r>
  <r>
    <s v="CTRL-0961"/>
    <s v="Policy Control 961"/>
    <s v="RESPOND"/>
    <s v="RS.MA"/>
    <x v="5"/>
    <x v="2"/>
    <s v="Germany"/>
    <x v="0"/>
    <s v="Sam Rivera"/>
    <s v="Quarterly"/>
    <d v="2025-11-24T00:00:00"/>
    <d v="2026-02-22T00:00:00"/>
    <x v="0"/>
    <s v="Complete"/>
    <n v="5"/>
    <s v="Liam Brown"/>
    <d v="2026-09-18T00:00:00"/>
    <s v="Completed"/>
    <x v="0"/>
    <x v="1"/>
    <x v="2"/>
    <s v="Elevated"/>
  </r>
  <r>
    <s v="CTRL-0962"/>
    <s v="Incident Control 962"/>
    <s v="DETECT"/>
    <s v="DE.CM"/>
    <x v="5"/>
    <x v="2"/>
    <s v="Germany"/>
    <x v="2"/>
    <s v="Sam Rivera"/>
    <s v="Semiannual"/>
    <d v="2026-04-22T00:00:00"/>
    <d v="2026-10-19T00:00:00"/>
    <x v="2"/>
    <s v="Pending"/>
    <n v="2"/>
    <s v="Noah Williams"/>
    <d v="2026-06-24T00:00:00"/>
    <s v="Completed"/>
    <x v="1"/>
    <x v="1"/>
    <x v="3"/>
    <s v="Standard"/>
  </r>
  <r>
    <s v="CTRL-0963"/>
    <s v="Data Control 963"/>
    <s v="DETECT"/>
    <s v="DE.CM"/>
    <x v="0"/>
    <x v="1"/>
    <s v="Canada"/>
    <x v="2"/>
    <s v="Sam Rivera"/>
    <s v="Semiannual"/>
    <d v="2026-04-01T00:00:00"/>
    <d v="2026-09-28T00:00:00"/>
    <x v="0"/>
    <s v="Complete"/>
    <n v="0"/>
    <s v="Jordan Lee"/>
    <d v="2026-10-27T00:00:00"/>
    <s v="Not Required"/>
    <x v="0"/>
    <x v="1"/>
    <x v="2"/>
    <s v="Standard"/>
  </r>
  <r>
    <s v="CTRL-0964"/>
    <s v="Access Control 964"/>
    <s v="DETECT"/>
    <s v="DE.CM"/>
    <x v="2"/>
    <x v="2"/>
    <s v="United Kingdom"/>
    <x v="0"/>
    <s v="Liam Brown"/>
    <s v="Quarterly"/>
    <d v="2026-03-15T00:00:00"/>
    <d v="2026-09-11T00:00:00"/>
    <x v="0"/>
    <s v="Pending"/>
    <n v="2"/>
    <s v="Sam Rivera"/>
    <d v="2026-06-23T00:00:00"/>
    <s v="Overdue"/>
    <x v="0"/>
    <x v="1"/>
    <x v="3"/>
    <s v="Elevated"/>
  </r>
  <r>
    <s v="CTRL-0965"/>
    <s v="Change Control 965"/>
    <s v="GOVERN"/>
    <s v="GV.RM"/>
    <x v="3"/>
    <x v="0"/>
    <s v="Singapore"/>
    <x v="0"/>
    <s v="Taylor Morgan"/>
    <s v="Quarterly"/>
    <d v="2025-08-19T00:00:00"/>
    <d v="2026-08-19T00:00:00"/>
    <x v="0"/>
    <s v="Missing"/>
    <n v="1"/>
    <s v="Maya Patel"/>
    <d v="2026-10-23T00:00:00"/>
    <s v="In Progress"/>
    <x v="0"/>
    <x v="1"/>
    <x v="1"/>
    <s v="Elevated"/>
  </r>
  <r>
    <s v="CTRL-0966"/>
    <s v="Data Control 966"/>
    <s v="PROTECT"/>
    <s v="PR.AA"/>
    <x v="2"/>
    <x v="0"/>
    <s v="Singapore"/>
    <x v="1"/>
    <s v="Noah Williams"/>
    <s v="Annual"/>
    <d v="2025-12-12T00:00:00"/>
    <d v="2026-06-10T00:00:00"/>
    <x v="0"/>
    <s v="Pending"/>
    <n v="1"/>
    <s v="Maya Patel"/>
    <d v="2026-10-17T00:00:00"/>
    <s v="Completed"/>
    <x v="0"/>
    <x v="1"/>
    <x v="3"/>
    <s v="Standard"/>
  </r>
  <r>
    <s v="CTRL-0967"/>
    <s v="Change Control 967"/>
    <s v="IDENTIFY"/>
    <s v="ID.AM"/>
    <x v="4"/>
    <x v="2"/>
    <s v="United Kingdom"/>
    <x v="0"/>
    <s v="Sam Rivera"/>
    <s v="Quarterly"/>
    <d v="2025-12-04T00:00:00"/>
    <d v="2026-03-04T00:00:00"/>
    <x v="0"/>
    <s v="Missing"/>
    <n v="2"/>
    <s v="Liam Brown"/>
    <d v="2026-04-16T00:00:00"/>
    <s v="Overdue"/>
    <x v="0"/>
    <x v="1"/>
    <x v="1"/>
    <s v="Elevated"/>
  </r>
  <r>
    <s v="CTRL-0968"/>
    <s v="Vendor Control 968"/>
    <s v="IDENTIFY"/>
    <s v="ID.AM"/>
    <x v="1"/>
    <x v="0"/>
    <s v="Singapore"/>
    <x v="1"/>
    <s v="Sam Rivera"/>
    <s v="Quarterly"/>
    <d v="2026-08-31T00:00:00"/>
    <d v="2027-08-31T00:00:00"/>
    <x v="1"/>
    <s v="Pending"/>
    <n v="3"/>
    <s v="Emma Schmidt"/>
    <d v="2027-01-12T00:00:00"/>
    <s v="In Progress"/>
    <x v="1"/>
    <x v="1"/>
    <x v="3"/>
    <s v="Standard"/>
  </r>
  <r>
    <s v="CTRL-0969"/>
    <s v="Reconciliation Control 969"/>
    <s v="IDENTIFY"/>
    <s v="ID.AM"/>
    <x v="5"/>
    <x v="0"/>
    <s v="Singapore"/>
    <x v="1"/>
    <s v="Noah Williams"/>
    <s v="Annual"/>
    <d v="2025-07-26T00:00:00"/>
    <d v="2026-01-22T00:00:00"/>
    <x v="0"/>
    <s v="Pending"/>
    <n v="2"/>
    <s v="Noah Williams"/>
    <d v="2026-10-06T00:00:00"/>
    <s v="In Progress"/>
    <x v="0"/>
    <x v="1"/>
    <x v="3"/>
    <s v="Standard"/>
  </r>
  <r>
    <s v="CTRL-0970"/>
    <s v="Data Control 970"/>
    <s v="RECOVER"/>
    <s v="RC.RP"/>
    <x v="2"/>
    <x v="1"/>
    <s v="United States"/>
    <x v="0"/>
    <s v="Sam Rivera"/>
    <s v="Semiannual"/>
    <d v="2025-07-30T00:00:00"/>
    <d v="2026-07-30T00:00:00"/>
    <x v="0"/>
    <s v="Missing"/>
    <n v="1"/>
    <s v="Maya Patel"/>
    <d v="2026-05-22T00:00:00"/>
    <s v="Overdue"/>
    <x v="0"/>
    <x v="1"/>
    <x v="1"/>
    <s v="Elevated"/>
  </r>
  <r>
    <s v="CTRL-0971"/>
    <s v="Vendor Control 971"/>
    <s v="RECOVER"/>
    <s v="RC.RP"/>
    <x v="5"/>
    <x v="0"/>
    <s v="Singapore"/>
    <x v="2"/>
    <s v="Sam Rivera"/>
    <s v="Annual"/>
    <d v="2026-01-15T00:00:00"/>
    <d v="2026-07-14T00:00:00"/>
    <x v="0"/>
    <s v="Missing"/>
    <n v="0"/>
    <s v="Emma Schmidt"/>
    <d v="2026-11-24T00:00:00"/>
    <s v="Not Required"/>
    <x v="0"/>
    <x v="1"/>
    <x v="1"/>
    <s v="Standard"/>
  </r>
  <r>
    <s v="CTRL-0972"/>
    <s v="Incident Control 972"/>
    <s v="GOVERN"/>
    <s v="GV.RM"/>
    <x v="0"/>
    <x v="1"/>
    <s v="United States"/>
    <x v="2"/>
    <s v="Alex Chen"/>
    <s v="Semiannual"/>
    <d v="2025-06-09T00:00:00"/>
    <d v="2025-12-06T00:00:00"/>
    <x v="0"/>
    <s v="Pending"/>
    <n v="1"/>
    <s v="Taylor Morgan"/>
    <d v="2026-05-05T00:00:00"/>
    <s v="Overdue"/>
    <x v="0"/>
    <x v="1"/>
    <x v="3"/>
    <s v="Standard"/>
  </r>
  <r>
    <s v="CTRL-0973"/>
    <s v="Reconciliation Control 973"/>
    <s v="PROTECT"/>
    <s v="PR.AA"/>
    <x v="5"/>
    <x v="0"/>
    <s v="Singapore"/>
    <x v="2"/>
    <s v="Emma Schmidt"/>
    <s v="Quarterly"/>
    <d v="2025-09-15T00:00:00"/>
    <d v="2025-12-14T00:00:00"/>
    <x v="0"/>
    <s v="Pending"/>
    <n v="1"/>
    <s v="Emma Schmidt"/>
    <d v="2026-11-20T00:00:00"/>
    <s v="Completed"/>
    <x v="0"/>
    <x v="1"/>
    <x v="3"/>
    <s v="Standard"/>
  </r>
  <r>
    <s v="CTRL-0974"/>
    <s v="Data Control 974"/>
    <s v="GOVERN"/>
    <s v="GV.RM"/>
    <x v="0"/>
    <x v="1"/>
    <s v="Canada"/>
    <x v="3"/>
    <s v="Alex Chen"/>
    <s v="Semiannual"/>
    <d v="2025-09-11T00:00:00"/>
    <d v="2026-03-10T00:00:00"/>
    <x v="0"/>
    <s v="Missing"/>
    <n v="0"/>
    <s v="Jordan Lee"/>
    <d v="2026-05-09T00:00:00"/>
    <s v="Not Required"/>
    <x v="0"/>
    <x v="1"/>
    <x v="1"/>
    <s v="Elevated"/>
  </r>
  <r>
    <s v="CTRL-0975"/>
    <s v="Access Control 975"/>
    <s v="DETECT"/>
    <s v="DE.CM"/>
    <x v="1"/>
    <x v="0"/>
    <s v="Singapore"/>
    <x v="3"/>
    <s v="Jordan Lee"/>
    <s v="Quarterly"/>
    <d v="2025-07-10T00:00:00"/>
    <d v="2025-10-08T00:00:00"/>
    <x v="0"/>
    <s v="Complete"/>
    <n v="5"/>
    <s v="Emma Schmidt"/>
    <d v="2026-12-12T00:00:00"/>
    <s v="In Progress"/>
    <x v="0"/>
    <x v="1"/>
    <x v="2"/>
    <s v="Elevated"/>
  </r>
  <r>
    <s v="CTRL-0976"/>
    <s v="Vendor Control 976"/>
    <s v="PROTECT"/>
    <s v="PR.AA"/>
    <x v="4"/>
    <x v="0"/>
    <s v="Singapore"/>
    <x v="2"/>
    <s v="Liam Brown"/>
    <s v="Quarterly"/>
    <d v="2026-07-02T00:00:00"/>
    <d v="2026-12-29T00:00:00"/>
    <x v="1"/>
    <s v="Pending"/>
    <n v="2"/>
    <s v="Jordan Lee"/>
    <d v="2026-07-02T00:00:00"/>
    <s v="Overdue"/>
    <x v="1"/>
    <x v="1"/>
    <x v="3"/>
    <s v="Standard"/>
  </r>
  <r>
    <s v="CTRL-0977"/>
    <s v="Data Control 977"/>
    <s v="GOVERN"/>
    <s v="GV.OC"/>
    <x v="1"/>
    <x v="2"/>
    <s v="Germany"/>
    <x v="1"/>
    <s v="Maya Patel"/>
    <s v="Quarterly"/>
    <d v="2026-03-21T00:00:00"/>
    <d v="2026-09-17T00:00:00"/>
    <x v="0"/>
    <s v="Complete"/>
    <n v="2"/>
    <s v="Noah Williams"/>
    <d v="2026-04-13T00:00:00"/>
    <s v="Overdue"/>
    <x v="0"/>
    <x v="1"/>
    <x v="2"/>
    <s v="Standard"/>
  </r>
  <r>
    <s v="CTRL-0978"/>
    <s v="Change Control 978"/>
    <s v="GOVERN"/>
    <s v="GV.RM"/>
    <x v="0"/>
    <x v="1"/>
    <s v="United States"/>
    <x v="3"/>
    <s v="Alex Chen"/>
    <s v="Quarterly"/>
    <d v="2026-09-08T00:00:00"/>
    <d v="2027-03-07T00:00:00"/>
    <x v="1"/>
    <s v="Complete"/>
    <n v="4"/>
    <s v="Liam Brown"/>
    <d v="2027-01-16T00:00:00"/>
    <s v="In Progress"/>
    <x v="1"/>
    <x v="1"/>
    <x v="2"/>
    <s v="Elevated"/>
  </r>
  <r>
    <s v="CTRL-0979"/>
    <s v="Data Control 979"/>
    <s v="GOVERN"/>
    <s v="GV.RR"/>
    <x v="2"/>
    <x v="1"/>
    <s v="United States"/>
    <x v="1"/>
    <s v="Jordan Lee"/>
    <s v="Quarterly"/>
    <d v="2025-11-07T00:00:00"/>
    <d v="2026-05-06T00:00:00"/>
    <x v="0"/>
    <s v="Missing"/>
    <n v="1"/>
    <s v="Liam Brown"/>
    <d v="2026-11-14T00:00:00"/>
    <s v="In Progress"/>
    <x v="0"/>
    <x v="1"/>
    <x v="1"/>
    <s v="Standard"/>
  </r>
  <r>
    <s v="CTRL-0980"/>
    <s v="Data Control 980"/>
    <s v="GOVERN"/>
    <s v="GV.RR"/>
    <x v="3"/>
    <x v="1"/>
    <s v="United States"/>
    <x v="0"/>
    <s v="Maya Patel"/>
    <s v="Annual"/>
    <d v="2025-07-24T00:00:00"/>
    <d v="2026-01-20T00:00:00"/>
    <x v="0"/>
    <s v="Pending"/>
    <n v="0"/>
    <s v="Jordan Lee"/>
    <d v="2026-09-28T00:00:00"/>
    <s v="Not Required"/>
    <x v="0"/>
    <x v="1"/>
    <x v="3"/>
    <s v="Elevated"/>
  </r>
  <r>
    <s v="CTRL-0981"/>
    <s v="Reconciliation Control 981"/>
    <s v="GOVERN"/>
    <s v="GV.RM"/>
    <x v="1"/>
    <x v="1"/>
    <s v="Canada"/>
    <x v="2"/>
    <s v="Noah Williams"/>
    <s v="Quarterly"/>
    <d v="2025-05-18T00:00:00"/>
    <d v="2025-11-14T00:00:00"/>
    <x v="0"/>
    <s v="Missing"/>
    <n v="3"/>
    <s v="Noah Williams"/>
    <d v="2026-11-18T00:00:00"/>
    <s v="In Progress"/>
    <x v="0"/>
    <x v="1"/>
    <x v="1"/>
    <s v="Standard"/>
  </r>
  <r>
    <s v="CTRL-0982"/>
    <s v="Incident Control 982"/>
    <s v="GOVERN"/>
    <s v="GV.RM"/>
    <x v="4"/>
    <x v="1"/>
    <s v="United States"/>
    <x v="1"/>
    <s v="Emma Schmidt"/>
    <s v="Annual"/>
    <d v="2026-08-20T00:00:00"/>
    <d v="2027-02-16T00:00:00"/>
    <x v="1"/>
    <s v="Pending"/>
    <n v="0"/>
    <s v="Noah Williams"/>
    <d v="2026-12-25T00:00:00"/>
    <s v="Not Required"/>
    <x v="1"/>
    <x v="1"/>
    <x v="3"/>
    <s v="Standard"/>
  </r>
  <r>
    <s v="CTRL-0983"/>
    <s v="Vendor Control 983"/>
    <s v="RESPOND"/>
    <s v="RS.MA"/>
    <x v="3"/>
    <x v="0"/>
    <s v="Singapore"/>
    <x v="2"/>
    <s v="Taylor Morgan"/>
    <s v="Semiannual"/>
    <d v="2026-03-30T00:00:00"/>
    <d v="2026-06-28T00:00:00"/>
    <x v="0"/>
    <s v="Pending"/>
    <n v="1"/>
    <s v="Emma Schmidt"/>
    <d v="2026-08-30T00:00:00"/>
    <s v="Overdue"/>
    <x v="0"/>
    <x v="1"/>
    <x v="3"/>
    <s v="Standard"/>
  </r>
  <r>
    <s v="CTRL-0984"/>
    <s v="Policy Control 984"/>
    <s v="PROTECT"/>
    <s v="PR.AA"/>
    <x v="0"/>
    <x v="1"/>
    <s v="Canada"/>
    <x v="2"/>
    <s v="Noah Williams"/>
    <s v="Annual"/>
    <d v="2025-11-27T00:00:00"/>
    <d v="2026-05-26T00:00:00"/>
    <x v="0"/>
    <s v="Missing"/>
    <n v="3"/>
    <s v="Alex Chen"/>
    <d v="2026-09-06T00:00:00"/>
    <s v="Overdue"/>
    <x v="0"/>
    <x v="1"/>
    <x v="1"/>
    <s v="Standard"/>
  </r>
  <r>
    <s v="CTRL-0985"/>
    <s v="Incident Control 985"/>
    <s v="DETECT"/>
    <s v="DE.CM"/>
    <x v="1"/>
    <x v="0"/>
    <s v="Singapore"/>
    <x v="3"/>
    <s v="Taylor Morgan"/>
    <s v="Quarterly"/>
    <d v="2025-06-11T00:00:00"/>
    <d v="2026-06-11T00:00:00"/>
    <x v="0"/>
    <s v="Missing"/>
    <n v="4"/>
    <s v="Alex Chen"/>
    <d v="2027-01-05T00:00:00"/>
    <s v="Completed"/>
    <x v="0"/>
    <x v="1"/>
    <x v="1"/>
    <s v="Elevated"/>
  </r>
  <r>
    <s v="CTRL-0986"/>
    <s v="Change Control 986"/>
    <s v="GOVERN"/>
    <s v="GV.OC"/>
    <x v="4"/>
    <x v="1"/>
    <s v="Canada"/>
    <x v="1"/>
    <s v="Alex Chen"/>
    <s v="Quarterly"/>
    <d v="2025-07-16T00:00:00"/>
    <d v="2026-07-16T00:00:00"/>
    <x v="0"/>
    <s v="Pending"/>
    <n v="1"/>
    <s v="Liam Brown"/>
    <d v="2026-12-19T00:00:00"/>
    <s v="In Progress"/>
    <x v="0"/>
    <x v="1"/>
    <x v="3"/>
    <s v="Standard"/>
  </r>
  <r>
    <s v="CTRL-0987"/>
    <s v="Change Control 987"/>
    <s v="RESPOND"/>
    <s v="RS.MA"/>
    <x v="5"/>
    <x v="1"/>
    <s v="United States"/>
    <x v="2"/>
    <s v="Sam Rivera"/>
    <s v="Annual"/>
    <d v="2025-12-31T00:00:00"/>
    <d v="2026-03-31T00:00:00"/>
    <x v="0"/>
    <s v="Missing"/>
    <n v="0"/>
    <s v="Maya Patel"/>
    <d v="2026-04-26T00:00:00"/>
    <s v="Not Required"/>
    <x v="0"/>
    <x v="1"/>
    <x v="1"/>
    <s v="Standard"/>
  </r>
  <r>
    <s v="CTRL-0988"/>
    <s v="Access Control 988"/>
    <s v="RESPOND"/>
    <s v="RS.MA"/>
    <x v="1"/>
    <x v="2"/>
    <s v="United Kingdom"/>
    <x v="2"/>
    <m/>
    <s v="Quarterly"/>
    <d v="2025-05-30T00:00:00"/>
    <d v="2025-11-26T00:00:00"/>
    <x v="0"/>
    <s v="Complete"/>
    <n v="3"/>
    <s v="Jordan Lee"/>
    <d v="2026-07-28T00:00:00"/>
    <s v="Overdue"/>
    <x v="0"/>
    <x v="0"/>
    <x v="2"/>
    <s v="Standard"/>
  </r>
  <r>
    <s v="CTRL-0989"/>
    <s v="Vendor Control 989"/>
    <s v="PROTECT"/>
    <s v="PR.AA"/>
    <x v="3"/>
    <x v="0"/>
    <s v="Singapore"/>
    <x v="2"/>
    <s v="Emma Schmidt"/>
    <s v="Annual"/>
    <d v="2025-09-27T00:00:00"/>
    <d v="2026-09-27T00:00:00"/>
    <x v="0"/>
    <s v="Missing"/>
    <n v="2"/>
    <s v="Alex Chen"/>
    <d v="2026-07-16T00:00:00"/>
    <s v="Overdue"/>
    <x v="0"/>
    <x v="1"/>
    <x v="1"/>
    <s v="Standard"/>
  </r>
  <r>
    <s v="CTRL-0990"/>
    <s v="Incident Control 990"/>
    <s v="GOVERN"/>
    <s v="GV.OC"/>
    <x v="4"/>
    <x v="2"/>
    <s v="Germany"/>
    <x v="1"/>
    <s v="Sam Rivera"/>
    <s v="Semiannual"/>
    <d v="2025-07-19T00:00:00"/>
    <d v="2026-01-15T00:00:00"/>
    <x v="0"/>
    <s v="Pending"/>
    <n v="0"/>
    <s v="Jordan Lee"/>
    <d v="2026-10-22T00:00:00"/>
    <s v="Not Required"/>
    <x v="0"/>
    <x v="1"/>
    <x v="3"/>
    <s v="Standard"/>
  </r>
  <r>
    <s v="CTRL-0991"/>
    <s v="Incident Control 991"/>
    <s v="PROTECT"/>
    <s v="PR.AA"/>
    <x v="0"/>
    <x v="0"/>
    <s v="Singapore"/>
    <x v="2"/>
    <s v="Maya Patel"/>
    <s v="Annual"/>
    <d v="2026-06-21T00:00:00"/>
    <d v="2026-12-18T00:00:00"/>
    <x v="1"/>
    <s v="Missing"/>
    <n v="2"/>
    <s v="Emma Schmidt"/>
    <d v="2026-06-27T00:00:00"/>
    <s v="Overdue"/>
    <x v="1"/>
    <x v="1"/>
    <x v="1"/>
    <s v="Standard"/>
  </r>
  <r>
    <s v="CTRL-0992"/>
    <s v="Change Control 992"/>
    <s v="RECOVER"/>
    <s v="RC.RP"/>
    <x v="2"/>
    <x v="2"/>
    <s v="Germany"/>
    <x v="0"/>
    <s v="Taylor Morgan"/>
    <s v="Quarterly"/>
    <d v="2026-07-17T00:00:00"/>
    <d v="2026-10-15T00:00:00"/>
    <x v="1"/>
    <s v="Complete"/>
    <n v="0"/>
    <s v="Alex Chen"/>
    <d v="2027-01-12T00:00:00"/>
    <s v="Not Required"/>
    <x v="1"/>
    <x v="1"/>
    <x v="2"/>
    <s v="Elevated"/>
  </r>
  <r>
    <s v="CTRL-0993"/>
    <s v="Vendor Control 993"/>
    <s v="IDENTIFY"/>
    <s v="ID.AM"/>
    <x v="0"/>
    <x v="2"/>
    <s v="Germany"/>
    <x v="1"/>
    <s v="Alex Chen"/>
    <s v="Annual"/>
    <d v="2025-07-11T00:00:00"/>
    <d v="2026-01-07T00:00:00"/>
    <x v="0"/>
    <s v="Complete"/>
    <n v="0"/>
    <s v="Noah Williams"/>
    <d v="2026-05-07T00:00:00"/>
    <s v="Not Required"/>
    <x v="0"/>
    <x v="1"/>
    <x v="2"/>
    <s v="Standard"/>
  </r>
  <r>
    <s v="CTRL-0994"/>
    <s v="Reconciliation Control 994"/>
    <s v="GOVERN"/>
    <s v="GV.RR"/>
    <x v="4"/>
    <x v="2"/>
    <s v="United Kingdom"/>
    <x v="2"/>
    <s v="Alex Chen"/>
    <s v="Semiannual"/>
    <d v="2025-10-06T00:00:00"/>
    <d v="2026-10-06T00:00:00"/>
    <x v="3"/>
    <s v="Complete"/>
    <n v="2"/>
    <s v="Jordan Lee"/>
    <d v="2026-04-25T00:00:00"/>
    <s v="Overdue"/>
    <x v="1"/>
    <x v="1"/>
    <x v="2"/>
    <s v="Standard"/>
  </r>
  <r>
    <s v="CTRL-0995"/>
    <s v="Incident Control 995"/>
    <s v="GOVERN"/>
    <s v="GV.RR"/>
    <x v="1"/>
    <x v="2"/>
    <s v="Germany"/>
    <x v="0"/>
    <s v="Alex Chen"/>
    <s v="Quarterly"/>
    <d v="2026-02-22T00:00:00"/>
    <d v="2026-08-21T00:00:00"/>
    <x v="0"/>
    <s v="Complete"/>
    <n v="2"/>
    <s v="Noah Williams"/>
    <d v="2026-12-17T00:00:00"/>
    <s v="Completed"/>
    <x v="0"/>
    <x v="1"/>
    <x v="2"/>
    <s v="Elevated"/>
  </r>
  <r>
    <s v="CTRL-0996"/>
    <s v="Data Control 996"/>
    <s v="GOVERN"/>
    <s v="GV.RR"/>
    <x v="0"/>
    <x v="0"/>
    <s v="Singapore"/>
    <x v="0"/>
    <s v="Maya Patel"/>
    <s v="Semiannual"/>
    <d v="2025-07-06T00:00:00"/>
    <d v="2025-10-04T00:00:00"/>
    <x v="0"/>
    <s v="Missing"/>
    <n v="4"/>
    <s v="Alex Chen"/>
    <d v="2026-08-28T00:00:00"/>
    <s v="Overdue"/>
    <x v="0"/>
    <x v="1"/>
    <x v="1"/>
    <s v="Elevated"/>
  </r>
  <r>
    <s v="CTRL-0997"/>
    <s v="Incident Control 997"/>
    <s v="GOVERN"/>
    <s v="GV.RM"/>
    <x v="4"/>
    <x v="1"/>
    <s v="United States"/>
    <x v="2"/>
    <s v="Alex Chen"/>
    <s v="Quarterly"/>
    <d v="2025-10-29T00:00:00"/>
    <d v="2026-10-29T00:00:00"/>
    <x v="1"/>
    <m/>
    <n v="2"/>
    <s v="Alex Chen"/>
    <d v="2026-10-09T00:00:00"/>
    <s v="Completed"/>
    <x v="1"/>
    <x v="1"/>
    <x v="0"/>
    <s v="Standard"/>
  </r>
  <r>
    <s v="CTRL-0998"/>
    <s v="Access Control 998"/>
    <s v="GOVERN"/>
    <s v="GV.RM"/>
    <x v="3"/>
    <x v="2"/>
    <s v="United Kingdom"/>
    <x v="1"/>
    <s v="Emma Schmidt"/>
    <s v="Annual"/>
    <d v="2025-08-13T00:00:00"/>
    <d v="2026-08-13T00:00:00"/>
    <x v="0"/>
    <s v="Complete"/>
    <n v="1"/>
    <s v="Liam Brown"/>
    <d v="2026-04-21T00:00:00"/>
    <s v="Overdue"/>
    <x v="0"/>
    <x v="1"/>
    <x v="2"/>
    <s v="Standard"/>
  </r>
  <r>
    <s v="CTRL-0999"/>
    <s v="Vendor Control 999"/>
    <s v="RECOVER"/>
    <s v="RC.RP"/>
    <x v="2"/>
    <x v="0"/>
    <s v="Singapore"/>
    <x v="2"/>
    <s v="Emma Schmidt"/>
    <s v="Quarterly"/>
    <d v="2026-01-23T00:00:00"/>
    <d v="2027-01-23T00:00:00"/>
    <x v="1"/>
    <s v="Pending"/>
    <n v="2"/>
    <s v="Liam Brown"/>
    <d v="2026-09-26T00:00:00"/>
    <s v="Overdue"/>
    <x v="1"/>
    <x v="1"/>
    <x v="3"/>
    <s v="Standard"/>
  </r>
  <r>
    <s v="CTRL-1000"/>
    <s v="Change Control 1000"/>
    <s v="PROTECT"/>
    <s v="PR.AA"/>
    <x v="1"/>
    <x v="0"/>
    <s v="Singapore"/>
    <x v="1"/>
    <s v="Jordan Lee"/>
    <s v="Quarterly"/>
    <d v="2026-02-24T00:00:00"/>
    <d v="2026-08-23T00:00:00"/>
    <x v="0"/>
    <s v="Complete"/>
    <n v="2"/>
    <s v="Liam Brown"/>
    <d v="2026-04-13T00:00:00"/>
    <s v="Overdue"/>
    <x v="0"/>
    <x v="1"/>
    <x v="2"/>
    <s v="Standard"/>
  </r>
  <r>
    <s v="CTRL-1001"/>
    <s v="Vendor Control 1001"/>
    <s v="RESPOND"/>
    <s v="RS.MA"/>
    <x v="4"/>
    <x v="2"/>
    <s v="United Kingdom"/>
    <x v="1"/>
    <s v="Noah Williams"/>
    <s v="Semiannual"/>
    <d v="2026-05-27T00:00:00"/>
    <d v="2026-11-23T00:00:00"/>
    <x v="1"/>
    <s v="Pending"/>
    <n v="3"/>
    <s v="Noah Williams"/>
    <d v="2026-11-20T00:00:00"/>
    <s v="In Progress"/>
    <x v="1"/>
    <x v="1"/>
    <x v="3"/>
    <s v="Standard"/>
  </r>
  <r>
    <s v="CTRL-1002"/>
    <s v="Vendor Control 1002"/>
    <s v="DETECT"/>
    <s v="DE.CM"/>
    <x v="1"/>
    <x v="2"/>
    <s v="Germany"/>
    <x v="0"/>
    <s v="Sam Rivera"/>
    <s v="Annual"/>
    <d v="2026-05-08T00:00:00"/>
    <d v="2026-08-06T00:00:00"/>
    <x v="0"/>
    <s v="Missing"/>
    <n v="1"/>
    <s v="Emma Schmidt"/>
    <d v="2027-01-19T00:00:00"/>
    <s v="Completed"/>
    <x v="0"/>
    <x v="1"/>
    <x v="1"/>
    <s v="Elevated"/>
  </r>
  <r>
    <s v="CTRL-1003"/>
    <s v="Data Control 1003"/>
    <s v="DETECT"/>
    <s v="DE.CM"/>
    <x v="1"/>
    <x v="2"/>
    <s v="Germany"/>
    <x v="2"/>
    <s v="Liam Brown"/>
    <s v="Quarterly"/>
    <d v="2026-07-17T00:00:00"/>
    <d v="2027-07-17T00:00:00"/>
    <x v="2"/>
    <s v="Missing"/>
    <n v="3"/>
    <s v="Emma Schmidt"/>
    <d v="2026-04-29T00:00:00"/>
    <s v="Completed"/>
    <x v="1"/>
    <x v="1"/>
    <x v="1"/>
    <s v="Standard"/>
  </r>
  <r>
    <s v="CTRL-1004"/>
    <s v="Incident Control 1004"/>
    <s v="GOVERN"/>
    <s v="GV.RR"/>
    <x v="1"/>
    <x v="0"/>
    <s v="Singapore"/>
    <x v="3"/>
    <s v="Alex Chen"/>
    <s v="Semiannual"/>
    <d v="2025-09-20T00:00:00"/>
    <d v="2025-12-19T00:00:00"/>
    <x v="0"/>
    <s v="Pending"/>
    <n v="4"/>
    <s v="Sam Rivera"/>
    <d v="2026-06-30T00:00:00"/>
    <s v="Completed"/>
    <x v="0"/>
    <x v="1"/>
    <x v="3"/>
    <s v="Elevated"/>
  </r>
  <r>
    <s v="CTRL-1005"/>
    <s v="Access Control 1005"/>
    <s v="GOVERN"/>
    <s v="GV.RM"/>
    <x v="2"/>
    <x v="1"/>
    <s v="Canada"/>
    <x v="2"/>
    <s v="Jordan Lee"/>
    <s v="Quarterly"/>
    <d v="2025-08-16T00:00:00"/>
    <d v="2026-02-12T00:00:00"/>
    <x v="0"/>
    <s v="Pending"/>
    <n v="0"/>
    <s v="Alex Chen"/>
    <d v="2026-05-22T00:00:00"/>
    <s v="Not Required"/>
    <x v="0"/>
    <x v="1"/>
    <x v="3"/>
    <s v="Standard"/>
  </r>
  <r>
    <s v="CTRL-1006"/>
    <s v="Data Control 1006"/>
    <s v="DETECT"/>
    <s v="DE.CM"/>
    <x v="0"/>
    <x v="1"/>
    <s v="Canada"/>
    <x v="2"/>
    <s v="Noah Williams"/>
    <s v="Semiannual"/>
    <d v="2026-05-30T00:00:00"/>
    <d v="2027-05-30T00:00:00"/>
    <x v="1"/>
    <s v="Complete"/>
    <n v="2"/>
    <s v="Liam Brown"/>
    <d v="2026-05-06T00:00:00"/>
    <s v="Overdue"/>
    <x v="1"/>
    <x v="1"/>
    <x v="2"/>
    <s v="Standard"/>
  </r>
  <r>
    <s v="CTRL-1007"/>
    <s v="Change Control 1007"/>
    <s v="RESPOND"/>
    <s v="RS.MA"/>
    <x v="2"/>
    <x v="2"/>
    <s v="United Kingdom"/>
    <x v="2"/>
    <s v="Jordan Lee"/>
    <s v="Annual"/>
    <d v="2025-06-06T00:00:00"/>
    <d v="2025-09-04T00:00:00"/>
    <x v="0"/>
    <s v="Complete"/>
    <n v="3"/>
    <s v="Liam Brown"/>
    <d v="2026-06-02T00:00:00"/>
    <s v="Overdue"/>
    <x v="0"/>
    <x v="1"/>
    <x v="2"/>
    <s v="Standard"/>
  </r>
  <r>
    <s v="CTRL-1008"/>
    <s v="Vendor Control 1008"/>
    <s v="RESPOND"/>
    <s v="RS.MA"/>
    <x v="5"/>
    <x v="0"/>
    <s v="Singapore"/>
    <x v="0"/>
    <s v="Sam Rivera"/>
    <s v="Semiannual"/>
    <d v="2026-07-14T00:00:00"/>
    <d v="2027-07-14T00:00:00"/>
    <x v="2"/>
    <s v="Complete"/>
    <n v="0"/>
    <s v="Liam Brown"/>
    <d v="2026-06-11T00:00:00"/>
    <s v="Not Required"/>
    <x v="1"/>
    <x v="1"/>
    <x v="2"/>
    <s v="Elevated"/>
  </r>
  <r>
    <s v="CTRL-1009"/>
    <s v="Incident Control 1009"/>
    <s v="RECOVER"/>
    <s v="RC.RP"/>
    <x v="3"/>
    <x v="1"/>
    <s v="United States"/>
    <x v="2"/>
    <s v="Noah Williams"/>
    <s v="Annual"/>
    <d v="2025-05-22T00:00:00"/>
    <d v="2025-11-18T00:00:00"/>
    <x v="0"/>
    <s v="Missing"/>
    <n v="1"/>
    <s v="Noah Williams"/>
    <d v="2026-11-18T00:00:00"/>
    <s v="In Progress"/>
    <x v="0"/>
    <x v="1"/>
    <x v="1"/>
    <s v="Standard"/>
  </r>
  <r>
    <s v="CTRL-1010"/>
    <s v="Incident Control 1010"/>
    <s v="IDENTIFY"/>
    <s v="ID.AM"/>
    <x v="2"/>
    <x v="2"/>
    <s v="United Kingdom"/>
    <x v="1"/>
    <s v="Jordan Lee"/>
    <s v="Semiannual"/>
    <d v="2025-10-26T00:00:00"/>
    <d v="2026-04-24T00:00:00"/>
    <x v="0"/>
    <s v="Missing"/>
    <n v="3"/>
    <s v="Taylor Morgan"/>
    <d v="2026-06-18T00:00:00"/>
    <s v="Completed"/>
    <x v="0"/>
    <x v="1"/>
    <x v="1"/>
    <s v="Standard"/>
  </r>
  <r>
    <s v="CTRL-1011"/>
    <s v="Data Control 1011"/>
    <s v="PROTECT"/>
    <s v="PR.AA"/>
    <x v="2"/>
    <x v="0"/>
    <s v="Singapore"/>
    <x v="2"/>
    <s v="Liam Brown"/>
    <s v="Quarterly"/>
    <d v="2026-09-02T00:00:00"/>
    <d v="2027-09-02T00:00:00"/>
    <x v="2"/>
    <s v="Complete"/>
    <n v="2"/>
    <s v="Liam Brown"/>
    <d v="2026-08-10T00:00:00"/>
    <s v="Completed"/>
    <x v="1"/>
    <x v="1"/>
    <x v="2"/>
    <s v="Standard"/>
  </r>
  <r>
    <s v="CTRL-1012"/>
    <s v="Data Control 1012"/>
    <s v="DETECT"/>
    <s v="DE.CM"/>
    <x v="0"/>
    <x v="2"/>
    <s v="United Kingdom"/>
    <x v="2"/>
    <s v="Taylor Morgan"/>
    <s v="Quarterly"/>
    <d v="2026-04-29T00:00:00"/>
    <d v="2026-10-26T00:00:00"/>
    <x v="2"/>
    <s v="Complete"/>
    <n v="2"/>
    <s v="Jordan Lee"/>
    <d v="2026-11-23T00:00:00"/>
    <s v="In Progress"/>
    <x v="1"/>
    <x v="1"/>
    <x v="2"/>
    <s v="Standard"/>
  </r>
  <r>
    <s v="CTRL-1013"/>
    <s v="Incident Control 1013"/>
    <s v="PROTECT"/>
    <s v="PR.AA"/>
    <x v="5"/>
    <x v="0"/>
    <s v="Singapore"/>
    <x v="2"/>
    <s v="Taylor Morgan"/>
    <s v="Semiannual"/>
    <d v="2026-02-28T00:00:00"/>
    <d v="2026-05-29T00:00:00"/>
    <x v="0"/>
    <s v="Pending"/>
    <n v="3"/>
    <s v="Noah Williams"/>
    <d v="2026-10-18T00:00:00"/>
    <s v="Completed"/>
    <x v="0"/>
    <x v="1"/>
    <x v="3"/>
    <s v="Standard"/>
  </r>
  <r>
    <s v="CTRL-1014"/>
    <s v="Incident Control 1014"/>
    <s v="RECOVER"/>
    <s v="RC.RP"/>
    <x v="4"/>
    <x v="2"/>
    <s v="Germany"/>
    <x v="0"/>
    <s v="Jordan Lee"/>
    <s v="Quarterly"/>
    <d v="2026-03-17T00:00:00"/>
    <d v="2027-03-17T00:00:00"/>
    <x v="1"/>
    <s v="Complete"/>
    <n v="3"/>
    <s v="Noah Williams"/>
    <d v="2026-08-25T00:00:00"/>
    <s v="Completed"/>
    <x v="1"/>
    <x v="1"/>
    <x v="2"/>
    <s v="Elevated"/>
  </r>
  <r>
    <s v="CTRL-1015"/>
    <s v="Policy Control 1015"/>
    <s v="IDENTIFY"/>
    <s v="ID.AM"/>
    <x v="0"/>
    <x v="0"/>
    <s v="Singapore"/>
    <x v="0"/>
    <s v="Maya Patel"/>
    <s v="Quarterly"/>
    <d v="2026-05-09T00:00:00"/>
    <d v="2026-08-07T00:00:00"/>
    <x v="0"/>
    <s v="Complete"/>
    <n v="2"/>
    <s v="Maya Patel"/>
    <d v="2026-05-06T00:00:00"/>
    <s v="Completed"/>
    <x v="0"/>
    <x v="1"/>
    <x v="2"/>
    <s v="Elevated"/>
  </r>
  <r>
    <s v="CTRL-1016"/>
    <s v="Incident Control 1016"/>
    <s v="GOVERN"/>
    <s v="GV.OC"/>
    <x v="5"/>
    <x v="1"/>
    <s v="United States"/>
    <x v="0"/>
    <s v="Maya Patel"/>
    <s v="Quarterly"/>
    <d v="2026-06-23T00:00:00"/>
    <d v="2027-06-23T00:00:00"/>
    <x v="2"/>
    <s v="Missing"/>
    <n v="2"/>
    <s v="Sam Rivera"/>
    <d v="2026-05-27T00:00:00"/>
    <s v="Overdue"/>
    <x v="1"/>
    <x v="1"/>
    <x v="1"/>
    <s v="Elevated"/>
  </r>
  <r>
    <s v="CTRL-1017"/>
    <s v="Reconciliation Control 1017"/>
    <s v="RESPOND"/>
    <s v="RS.MA"/>
    <x v="1"/>
    <x v="0"/>
    <s v="Singapore"/>
    <x v="1"/>
    <s v="Maya Patel"/>
    <s v="Annual"/>
    <d v="2026-09-09T00:00:00"/>
    <d v="2027-03-08T00:00:00"/>
    <x v="3"/>
    <s v="Complete"/>
    <n v="0"/>
    <s v="Sam Rivera"/>
    <d v="2026-05-13T00:00:00"/>
    <s v="Not Required"/>
    <x v="1"/>
    <x v="1"/>
    <x v="2"/>
    <s v="Standard"/>
  </r>
  <r>
    <s v="CTRL-1018"/>
    <s v="Access Control 1018"/>
    <s v="GOVERN"/>
    <s v="GV.OC"/>
    <x v="5"/>
    <x v="2"/>
    <s v="United Kingdom"/>
    <x v="3"/>
    <s v="Jordan Lee"/>
    <s v="Quarterly"/>
    <d v="2026-01-13T00:00:00"/>
    <d v="2026-07-12T00:00:00"/>
    <x v="0"/>
    <s v="Missing"/>
    <n v="5"/>
    <s v="Sam Rivera"/>
    <d v="2026-05-04T00:00:00"/>
    <s v="Overdue"/>
    <x v="0"/>
    <x v="1"/>
    <x v="1"/>
    <s v="Elevated"/>
  </r>
  <r>
    <s v="CTRL-1019"/>
    <s v="Policy Control 1019"/>
    <s v="GOVERN"/>
    <s v="GV.RR"/>
    <x v="3"/>
    <x v="2"/>
    <s v="United Kingdom"/>
    <x v="2"/>
    <s v="Sam Rivera"/>
    <s v="Semiannual"/>
    <d v="2025-09-17T00:00:00"/>
    <d v="2025-12-16T00:00:00"/>
    <x v="0"/>
    <s v="Missing"/>
    <n v="0"/>
    <s v="Sam Rivera"/>
    <d v="2026-07-08T00:00:00"/>
    <s v="Not Required"/>
    <x v="0"/>
    <x v="1"/>
    <x v="1"/>
    <s v="Standard"/>
  </r>
  <r>
    <s v="CTRL-1020"/>
    <s v="Policy Control 1020"/>
    <s v="PROTECT"/>
    <s v="PR.AA"/>
    <x v="5"/>
    <x v="1"/>
    <s v="Canada"/>
    <x v="0"/>
    <s v="Taylor Morgan"/>
    <s v="Semiannual"/>
    <d v="2025-11-07T00:00:00"/>
    <d v="2026-05-06T00:00:00"/>
    <x v="0"/>
    <s v="Missing"/>
    <n v="5"/>
    <s v="Sam Rivera"/>
    <d v="2026-08-27T00:00:00"/>
    <s v="Completed"/>
    <x v="0"/>
    <x v="1"/>
    <x v="1"/>
    <s v="Elevated"/>
  </r>
  <r>
    <s v="CTRL-1021"/>
    <s v="Reconciliation Control 1021"/>
    <s v="RECOVER"/>
    <s v="RC.RP"/>
    <x v="5"/>
    <x v="0"/>
    <s v="Singapore"/>
    <x v="0"/>
    <s v="Taylor Morgan"/>
    <s v="Annual"/>
    <d v="2026-04-19T00:00:00"/>
    <d v="2026-07-18T00:00:00"/>
    <x v="0"/>
    <s v="Complete"/>
    <n v="0"/>
    <s v="Alex Chen"/>
    <d v="2026-05-05T00:00:00"/>
    <s v="Not Required"/>
    <x v="0"/>
    <x v="1"/>
    <x v="2"/>
    <s v="Elevated"/>
  </r>
  <r>
    <s v="CTRL-1022"/>
    <s v="Vendor Control 1022"/>
    <s v="DETECT"/>
    <s v="DE.CM"/>
    <x v="0"/>
    <x v="0"/>
    <s v="Singapore"/>
    <x v="2"/>
    <s v="Liam Brown"/>
    <s v="Semiannual"/>
    <d v="2026-09-04T00:00:00"/>
    <d v="2027-09-04T00:00:00"/>
    <x v="2"/>
    <s v="Missing"/>
    <n v="2"/>
    <s v="Liam Brown"/>
    <d v="2026-05-06T00:00:00"/>
    <s v="Overdue"/>
    <x v="1"/>
    <x v="1"/>
    <x v="1"/>
    <s v="Standard"/>
  </r>
  <r>
    <s v="CTRL-1023"/>
    <s v="Vendor Control 1023"/>
    <s v="RESPOND"/>
    <s v="RS.MA"/>
    <x v="2"/>
    <x v="2"/>
    <s v="Germany"/>
    <x v="0"/>
    <s v="Noah Williams"/>
    <s v="Semiannual"/>
    <d v="2025-12-05T00:00:00"/>
    <d v="2026-12-05T00:00:00"/>
    <x v="1"/>
    <s v="Missing"/>
    <n v="1"/>
    <s v="Noah Williams"/>
    <d v="2026-04-24T00:00:00"/>
    <s v="Overdue"/>
    <x v="1"/>
    <x v="1"/>
    <x v="1"/>
    <s v="Elevated"/>
  </r>
  <r>
    <s v="CTRL-1024"/>
    <s v="Vendor Control 1024"/>
    <s v="DETECT"/>
    <s v="DE.CM"/>
    <x v="4"/>
    <x v="2"/>
    <s v="Germany"/>
    <x v="2"/>
    <s v="Jordan Lee"/>
    <s v="Annual"/>
    <d v="2025-08-29T00:00:00"/>
    <d v="2026-02-25T00:00:00"/>
    <x v="0"/>
    <s v="Pending"/>
    <n v="0"/>
    <s v="Jordan Lee"/>
    <d v="2026-06-13T00:00:00"/>
    <s v="Not Required"/>
    <x v="0"/>
    <x v="1"/>
    <x v="3"/>
    <s v="Standard"/>
  </r>
  <r>
    <s v="CTRL-1025"/>
    <s v="Change Control 1025"/>
    <s v="RECOVER"/>
    <s v="RC.RP"/>
    <x v="0"/>
    <x v="2"/>
    <s v="Germany"/>
    <x v="2"/>
    <s v="Jordan Lee"/>
    <s v="Semiannual"/>
    <d v="2026-06-25T00:00:00"/>
    <d v="2027-06-25T00:00:00"/>
    <x v="3"/>
    <s v="Complete"/>
    <n v="0"/>
    <s v="Noah Williams"/>
    <d v="2026-10-20T00:00:00"/>
    <s v="Not Required"/>
    <x v="1"/>
    <x v="1"/>
    <x v="2"/>
    <s v="Standard"/>
  </r>
  <r>
    <s v="CTRL-1026"/>
    <s v="Vendor Control 1026"/>
    <s v="RECOVER"/>
    <s v="RC.RP"/>
    <x v="4"/>
    <x v="1"/>
    <s v="United StatesA"/>
    <x v="2"/>
    <s v="Taylor Morgan"/>
    <s v="Semiannual"/>
    <d v="2025-07-13T00:00:00"/>
    <d v="2026-07-13T00:00:00"/>
    <x v="0"/>
    <s v="Pending"/>
    <n v="1"/>
    <s v="Jordan Lee"/>
    <d v="2026-07-09T00:00:00"/>
    <s v="Overdue"/>
    <x v="0"/>
    <x v="1"/>
    <x v="3"/>
    <s v="Standard"/>
  </r>
  <r>
    <s v="CTRL-1027"/>
    <s v="Policy Control 1027"/>
    <s v="RECOVER"/>
    <s v="RC.RP"/>
    <x v="2"/>
    <x v="2"/>
    <s v="United Kingdom"/>
    <x v="3"/>
    <s v="Maya Patel"/>
    <s v="Quarterly"/>
    <d v="2026-03-29T00:00:00"/>
    <d v="2027-03-29T00:00:00"/>
    <x v="1"/>
    <s v="Pending"/>
    <n v="1"/>
    <s v="Emma Schmidt"/>
    <d v="2026-08-01T00:00:00"/>
    <s v="Overdue"/>
    <x v="1"/>
    <x v="1"/>
    <x v="3"/>
    <s v="Elevated"/>
  </r>
  <r>
    <s v="CTRL-1028"/>
    <s v="Reconciliation Control 1028"/>
    <s v="PROTECT"/>
    <s v="PR.AA"/>
    <x v="2"/>
    <x v="2"/>
    <s v="United Kingdom"/>
    <x v="2"/>
    <s v="Noah Williams"/>
    <s v="Annual"/>
    <d v="2025-10-23T00:00:00"/>
    <d v="2026-04-21T00:00:00"/>
    <x v="0"/>
    <s v="Missing"/>
    <n v="3"/>
    <s v="Noah Williams"/>
    <d v="2026-06-04T00:00:00"/>
    <s v="Overdue"/>
    <x v="0"/>
    <x v="1"/>
    <x v="1"/>
    <s v="Standard"/>
  </r>
  <r>
    <s v="CTRL-1029"/>
    <s v="Policy Control 1029"/>
    <s v="IDENTIFY"/>
    <s v="ID.AM"/>
    <x v="2"/>
    <x v="0"/>
    <s v="Singapore"/>
    <x v="2"/>
    <s v="Liam Brown"/>
    <s v="Semiannual"/>
    <d v="2026-08-09T00:00:00"/>
    <d v="2026-11-07T00:00:00"/>
    <x v="1"/>
    <s v="Pending"/>
    <n v="1"/>
    <s v="Liam Brown"/>
    <d v="2026-07-19T00:00:00"/>
    <s v="Overdue"/>
    <x v="1"/>
    <x v="1"/>
    <x v="3"/>
    <s v="Standard"/>
  </r>
  <r>
    <s v="CTRL-1030"/>
    <s v="Incident Control 1030"/>
    <s v="IDENTIFY"/>
    <s v="ID.AM"/>
    <x v="3"/>
    <x v="2"/>
    <s v="Germany"/>
    <x v="0"/>
    <s v="Sam Rivera"/>
    <s v="Annual"/>
    <d v="2025-06-06T00:00:00"/>
    <d v="2025-09-04T00:00:00"/>
    <x v="0"/>
    <s v="Pending"/>
    <n v="5"/>
    <s v="Sam Rivera"/>
    <d v="2027-01-21T00:00:00"/>
    <s v="In Progress"/>
    <x v="0"/>
    <x v="1"/>
    <x v="3"/>
    <s v="Elevated"/>
  </r>
  <r>
    <s v="CTRL-1031"/>
    <s v="Data Control 1031"/>
    <s v="RECOVER"/>
    <s v="RC.RP"/>
    <x v="3"/>
    <x v="1"/>
    <s v="Canada"/>
    <x v="2"/>
    <s v="Alex Chen"/>
    <s v="Annual"/>
    <d v="2026-04-03T00:00:00"/>
    <d v="2027-04-03T00:00:00"/>
    <x v="2"/>
    <s v="Complete"/>
    <n v="2"/>
    <s v="Taylor Morgan"/>
    <d v="2026-05-14T00:00:00"/>
    <s v="Overdue"/>
    <x v="1"/>
    <x v="1"/>
    <x v="2"/>
    <s v="Standard"/>
  </r>
  <r>
    <s v="CTRL-1032"/>
    <s v="Change Control 1032"/>
    <s v="IDENTIFY"/>
    <s v="ID.AM"/>
    <x v="4"/>
    <x v="1"/>
    <s v="Canada"/>
    <x v="0"/>
    <s v="Taylor Morgan"/>
    <s v="Annual"/>
    <d v="2025-09-11T00:00:00"/>
    <d v="2025-12-10T00:00:00"/>
    <x v="0"/>
    <s v="Pending"/>
    <n v="0"/>
    <s v="Alex Chen"/>
    <d v="2026-12-01T00:00:00"/>
    <s v="Not Required"/>
    <x v="0"/>
    <x v="1"/>
    <x v="3"/>
    <s v="Elevated"/>
  </r>
  <r>
    <s v="CTRL-1033"/>
    <s v="Policy Control 1033"/>
    <s v="IDENTIFY"/>
    <s v="ID.AM"/>
    <x v="3"/>
    <x v="2"/>
    <s v="Germany"/>
    <x v="2"/>
    <s v="Jordan Lee"/>
    <s v="Annual"/>
    <d v="2025-08-05T00:00:00"/>
    <d v="2026-02-01T00:00:00"/>
    <x v="0"/>
    <s v="Pending"/>
    <n v="3"/>
    <s v="Sam Rivera"/>
    <d v="2026-09-10T00:00:00"/>
    <s v="Overdue"/>
    <x v="0"/>
    <x v="1"/>
    <x v="3"/>
    <s v="Standard"/>
  </r>
  <r>
    <s v="CTRL-1034"/>
    <s v="Change Control 1034"/>
    <s v="IDENTIFY"/>
    <s v="ID.AM"/>
    <x v="2"/>
    <x v="0"/>
    <s v="Singapore"/>
    <x v="0"/>
    <s v="Sam Rivera"/>
    <s v="Semiannual"/>
    <d v="2025-12-16T00:00:00"/>
    <d v="2026-12-16T00:00:00"/>
    <x v="1"/>
    <s v="Pending"/>
    <n v="3"/>
    <s v="Alex Chen"/>
    <d v="2026-04-08T00:00:00"/>
    <s v="Completed"/>
    <x v="1"/>
    <x v="1"/>
    <x v="3"/>
    <s v="Elevated"/>
  </r>
  <r>
    <s v="CTRL-1035"/>
    <s v="Policy Control 1035"/>
    <s v="RECOVER"/>
    <s v="RC.RP"/>
    <x v="0"/>
    <x v="1"/>
    <s v="Canada"/>
    <x v="2"/>
    <m/>
    <s v="Semiannual"/>
    <d v="2025-08-09T00:00:00"/>
    <d v="2025-11-07T00:00:00"/>
    <x v="0"/>
    <s v="Pending"/>
    <n v="3"/>
    <s v="Maya Patel"/>
    <d v="2027-01-12T00:00:00"/>
    <s v="Completed"/>
    <x v="0"/>
    <x v="0"/>
    <x v="3"/>
    <s v="Standard"/>
  </r>
  <r>
    <s v="CTRL-1036"/>
    <s v="Access Control 1036"/>
    <s v="GOVERN"/>
    <s v="GV.RM"/>
    <x v="2"/>
    <x v="2"/>
    <s v="Germany"/>
    <x v="1"/>
    <s v="Liam Brown"/>
    <s v="Semiannual"/>
    <d v="2026-04-18T00:00:00"/>
    <d v="2026-07-17T00:00:00"/>
    <x v="0"/>
    <s v="Missing"/>
    <n v="1"/>
    <s v="Liam Brown"/>
    <d v="2026-09-15T00:00:00"/>
    <s v="Overdue"/>
    <x v="0"/>
    <x v="1"/>
    <x v="1"/>
    <s v="Standard"/>
  </r>
  <r>
    <s v="CTRL-1037"/>
    <s v="Data Control 1037"/>
    <s v="DETECT"/>
    <s v="DE.CM"/>
    <x v="2"/>
    <x v="2"/>
    <s v="United Kingdom"/>
    <x v="0"/>
    <s v="Emma Schmidt"/>
    <s v="Quarterly"/>
    <d v="2025-12-03T00:00:00"/>
    <d v="2026-03-03T00:00:00"/>
    <x v="0"/>
    <s v="Missing"/>
    <n v="3"/>
    <s v="Taylor Morgan"/>
    <d v="2026-09-15T00:00:00"/>
    <s v="Overdue"/>
    <x v="0"/>
    <x v="1"/>
    <x v="1"/>
    <s v="Elevated"/>
  </r>
  <r>
    <s v="CTRL-1038"/>
    <s v="Incident Control 1038"/>
    <s v="GOVERN"/>
    <s v="GV.RR"/>
    <x v="3"/>
    <x v="2"/>
    <s v="United Kingdom"/>
    <x v="1"/>
    <s v="Jordan Lee"/>
    <s v="Quarterly"/>
    <d v="2025-12-30T00:00:00"/>
    <d v="2026-03-30T00:00:00"/>
    <x v="0"/>
    <s v="Complete"/>
    <n v="1"/>
    <s v="Maya Patel"/>
    <d v="2026-06-19T00:00:00"/>
    <s v="Completed"/>
    <x v="0"/>
    <x v="1"/>
    <x v="2"/>
    <s v="Standard"/>
  </r>
  <r>
    <s v="CTRL-1039"/>
    <s v="Incident Control 1039"/>
    <s v="RESPOND"/>
    <s v="RS.MA"/>
    <x v="2"/>
    <x v="2"/>
    <s v="Germany"/>
    <x v="1"/>
    <s v="Noah Williams"/>
    <s v="Semiannual"/>
    <d v="2025-08-22T00:00:00"/>
    <d v="2025-11-20T00:00:00"/>
    <x v="0"/>
    <s v="Pending"/>
    <n v="3"/>
    <s v="Jordan Lee"/>
    <d v="2027-01-07T00:00:00"/>
    <s v="Completed"/>
    <x v="0"/>
    <x v="1"/>
    <x v="3"/>
    <s v="Standard"/>
  </r>
  <r>
    <s v="CTRL-1040"/>
    <s v="Access Control 1040"/>
    <s v="GOVERN"/>
    <s v="GV.OC"/>
    <x v="1"/>
    <x v="0"/>
    <s v="Singapore"/>
    <x v="2"/>
    <s v="Maya Patel"/>
    <s v="Annual"/>
    <d v="2025-08-16T00:00:00"/>
    <d v="2026-02-12T00:00:00"/>
    <x v="0"/>
    <s v="Complete"/>
    <n v="1"/>
    <s v="Sam Rivera"/>
    <d v="2026-05-01T00:00:00"/>
    <s v="Overdue"/>
    <x v="0"/>
    <x v="1"/>
    <x v="2"/>
    <s v="Standard"/>
  </r>
  <r>
    <s v="CTRL-1041"/>
    <s v="Access Control 1041"/>
    <s v="RESPOND"/>
    <s v="RS.MA"/>
    <x v="0"/>
    <x v="2"/>
    <s v="United Kingdom"/>
    <x v="1"/>
    <s v="Sam Rivera"/>
    <s v="Annual"/>
    <d v="2026-06-24T00:00:00"/>
    <d v="2026-09-22T00:00:00"/>
    <x v="0"/>
    <s v="Missing"/>
    <n v="2"/>
    <s v="Taylor Morgan"/>
    <d v="2026-09-15T00:00:00"/>
    <s v="Overdue"/>
    <x v="0"/>
    <x v="1"/>
    <x v="1"/>
    <s v="Standard"/>
  </r>
  <r>
    <s v="CTRL-1042"/>
    <s v="Access Control 1042"/>
    <s v="RECOVER"/>
    <s v="RC.RP"/>
    <x v="5"/>
    <x v="2"/>
    <s v="United Kingdom"/>
    <x v="0"/>
    <s v="Emma Schmidt"/>
    <s v="Semiannual"/>
    <d v="2025-12-03T00:00:00"/>
    <d v="2026-03-03T00:00:00"/>
    <x v="0"/>
    <s v="Complete"/>
    <n v="1"/>
    <s v="Maya Patel"/>
    <d v="2026-04-21T00:00:00"/>
    <s v="Completed"/>
    <x v="0"/>
    <x v="1"/>
    <x v="2"/>
    <s v="Elevated"/>
  </r>
  <r>
    <s v="CTRL-1043"/>
    <s v="Reconciliation Control 1043"/>
    <s v="PROTECT"/>
    <s v="PR.AA"/>
    <x v="3"/>
    <x v="0"/>
    <s v="Singapore"/>
    <x v="0"/>
    <s v="Jordan Lee"/>
    <s v="Annual"/>
    <d v="2026-02-19T00:00:00"/>
    <d v="2026-05-20T00:00:00"/>
    <x v="0"/>
    <s v="Complete"/>
    <n v="4"/>
    <s v="Noah Williams"/>
    <d v="2026-04-06T00:00:00"/>
    <s v="Overdue"/>
    <x v="0"/>
    <x v="1"/>
    <x v="2"/>
    <s v="Elevated"/>
  </r>
  <r>
    <s v="CTRL-1044"/>
    <s v="Vendor Control 1044"/>
    <s v="PROTECT"/>
    <s v="PR.AA"/>
    <x v="1"/>
    <x v="0"/>
    <s v="Singapore"/>
    <x v="0"/>
    <s v="Taylor Morgan"/>
    <s v="Quarterly"/>
    <d v="2026-03-23T00:00:00"/>
    <d v="2026-06-21T00:00:00"/>
    <x v="0"/>
    <s v="Pending"/>
    <n v="2"/>
    <s v="Liam Brown"/>
    <d v="2026-10-21T00:00:00"/>
    <s v="Completed"/>
    <x v="0"/>
    <x v="1"/>
    <x v="3"/>
    <s v="Elevated"/>
  </r>
  <r>
    <s v="CTRL-1045"/>
    <s v="Policy Control 1045"/>
    <s v="PROTECT"/>
    <s v="PR.AA"/>
    <x v="1"/>
    <x v="0"/>
    <s v="Singapore"/>
    <x v="1"/>
    <s v="Alex Chen"/>
    <s v="Annual"/>
    <d v="2026-02-24T00:00:00"/>
    <d v="2026-05-25T00:00:00"/>
    <x v="0"/>
    <s v="Missing"/>
    <n v="1"/>
    <s v="Sam Rivera"/>
    <d v="2026-07-14T00:00:00"/>
    <s v="Overdue"/>
    <x v="0"/>
    <x v="1"/>
    <x v="1"/>
    <s v="Standard"/>
  </r>
  <r>
    <s v="CTRL-1046"/>
    <s v="Change Control 1046"/>
    <s v="GOVERN"/>
    <s v="GV.OC"/>
    <x v="2"/>
    <x v="0"/>
    <s v="Singapore"/>
    <x v="2"/>
    <s v="Sam Rivera"/>
    <s v="Quarterly"/>
    <d v="2025-11-24T00:00:00"/>
    <d v="2026-05-23T00:00:00"/>
    <x v="0"/>
    <s v="Complete"/>
    <n v="0"/>
    <s v="Noah Williams"/>
    <d v="2026-09-08T00:00:00"/>
    <s v="Not Required"/>
    <x v="0"/>
    <x v="1"/>
    <x v="2"/>
    <s v="Standard"/>
  </r>
  <r>
    <s v="CTRL-1047"/>
    <s v="Policy Control 1047"/>
    <s v="PROTECT"/>
    <s v="PR.AA"/>
    <x v="5"/>
    <x v="1"/>
    <s v="Canada"/>
    <x v="2"/>
    <s v="Noah Williams"/>
    <s v="Annual"/>
    <d v="2026-01-19T00:00:00"/>
    <d v="2026-07-18T00:00:00"/>
    <x v="0"/>
    <s v="Missing"/>
    <n v="1"/>
    <s v="Sam Rivera"/>
    <d v="2026-12-10T00:00:00"/>
    <s v="In Progress"/>
    <x v="0"/>
    <x v="1"/>
    <x v="1"/>
    <s v="Standard"/>
  </r>
  <r>
    <s v="CTRL-1048"/>
    <s v="Vendor Control 1048"/>
    <s v="RECOVER"/>
    <s v="RC.RP"/>
    <x v="0"/>
    <x v="1"/>
    <s v="United States"/>
    <x v="0"/>
    <s v="Alex Chen"/>
    <s v="Annual"/>
    <d v="2025-06-29T00:00:00"/>
    <d v="2025-09-27T00:00:00"/>
    <x v="0"/>
    <s v="Pending"/>
    <n v="0"/>
    <s v="Jordan Lee"/>
    <d v="2026-09-05T00:00:00"/>
    <s v="Not Required"/>
    <x v="0"/>
    <x v="1"/>
    <x v="3"/>
    <s v="Elevated"/>
  </r>
  <r>
    <s v="CTRL-1049"/>
    <s v="Access Control 1049"/>
    <s v="GOVERN"/>
    <s v="GV.OC"/>
    <x v="2"/>
    <x v="1"/>
    <s v="United States"/>
    <x v="1"/>
    <s v="Sam Rivera"/>
    <s v="Semiannual"/>
    <d v="2026-02-06T00:00:00"/>
    <d v="2027-02-06T00:00:00"/>
    <x v="3"/>
    <s v="Pending"/>
    <n v="3"/>
    <s v="Jordan Lee"/>
    <d v="2026-04-14T00:00:00"/>
    <s v="Completed"/>
    <x v="1"/>
    <x v="1"/>
    <x v="3"/>
    <s v="Standard"/>
  </r>
  <r>
    <s v="CTRL-1050"/>
    <s v="Incident Control 1050"/>
    <s v="GOVERN"/>
    <s v="GV.RM"/>
    <x v="1"/>
    <x v="2"/>
    <s v="Germany"/>
    <x v="1"/>
    <s v="Alex Chen"/>
    <s v="Quarterly"/>
    <d v="2025-06-17T00:00:00"/>
    <d v="2025-12-14T00:00:00"/>
    <x v="0"/>
    <s v="Complete"/>
    <n v="0"/>
    <s v="Liam Brown"/>
    <d v="2026-05-30T00:00:00"/>
    <s v="Not Required"/>
    <x v="0"/>
    <x v="1"/>
    <x v="2"/>
    <s v="Standard"/>
  </r>
  <r>
    <s v="CTRL-1051"/>
    <s v="Vendor Control 1051"/>
    <s v="RECOVER"/>
    <s v="RC.RP"/>
    <x v="2"/>
    <x v="0"/>
    <s v="Singapore"/>
    <x v="1"/>
    <s v="Liam Brown"/>
    <s v="Semiannual"/>
    <d v="2026-08-09T00:00:00"/>
    <d v="2027-08-09T00:00:00"/>
    <x v="3"/>
    <s v="Complete"/>
    <n v="3"/>
    <s v="Emma Schmidt"/>
    <d v="2026-10-13T00:00:00"/>
    <s v="Completed"/>
    <x v="1"/>
    <x v="1"/>
    <x v="2"/>
    <s v="Standard"/>
  </r>
  <r>
    <s v="CTRL-1052"/>
    <s v="Access Control 1052"/>
    <s v="PROTECT"/>
    <s v="PR.AA"/>
    <x v="3"/>
    <x v="1"/>
    <s v="United States"/>
    <x v="0"/>
    <s v="Maya Patel"/>
    <s v="Annual"/>
    <d v="2025-08-12T00:00:00"/>
    <d v="2026-02-08T00:00:00"/>
    <x v="0"/>
    <s v="Missing"/>
    <n v="2"/>
    <s v="Taylor Morgan"/>
    <d v="2026-12-04T00:00:00"/>
    <s v="Completed"/>
    <x v="0"/>
    <x v="1"/>
    <x v="1"/>
    <s v="Elevated"/>
  </r>
  <r>
    <s v="CTRL-1053"/>
    <s v="Policy Control 1053"/>
    <s v="RECOVER"/>
    <s v="RC.RP"/>
    <x v="5"/>
    <x v="1"/>
    <s v="United States"/>
    <x v="2"/>
    <s v="Alex Chen"/>
    <s v="Quarterly"/>
    <d v="2025-10-13T00:00:00"/>
    <d v="2026-01-11T00:00:00"/>
    <x v="0"/>
    <s v="Missing"/>
    <n v="3"/>
    <s v="Alex Chen"/>
    <d v="2027-01-14T00:00:00"/>
    <s v="In Progress"/>
    <x v="0"/>
    <x v="1"/>
    <x v="1"/>
    <s v="Standard"/>
  </r>
  <r>
    <s v="CTRL-1054"/>
    <s v="Incident Control 1054"/>
    <s v="DETECT"/>
    <s v="DE.CM"/>
    <x v="0"/>
    <x v="2"/>
    <s v="Germany"/>
    <x v="2"/>
    <s v="Liam Brown"/>
    <s v="Annual"/>
    <d v="2025-07-17T00:00:00"/>
    <d v="2026-01-13T00:00:00"/>
    <x v="0"/>
    <s v="Missing"/>
    <n v="1"/>
    <s v="Jordan Lee"/>
    <d v="2026-10-11T00:00:00"/>
    <s v="In Progress"/>
    <x v="0"/>
    <x v="1"/>
    <x v="1"/>
    <s v="Standard"/>
  </r>
  <r>
    <s v="CTRL-1055"/>
    <s v="Incident Control 1055"/>
    <s v="RECOVER"/>
    <s v="RC.RP"/>
    <x v="4"/>
    <x v="2"/>
    <s v="Germany"/>
    <x v="1"/>
    <s v="Emma Schmidt"/>
    <s v="Annual"/>
    <d v="2026-03-04T00:00:00"/>
    <d v="2026-08-31T00:00:00"/>
    <x v="0"/>
    <s v="Pending"/>
    <n v="2"/>
    <s v="Emma Schmidt"/>
    <d v="2026-06-17T00:00:00"/>
    <s v="Overdue"/>
    <x v="0"/>
    <x v="1"/>
    <x v="3"/>
    <s v="Standard"/>
  </r>
  <r>
    <s v="CTRL-1056"/>
    <s v="Access Control 1056"/>
    <s v="GOVERN"/>
    <s v="GV.RR"/>
    <x v="0"/>
    <x v="2"/>
    <s v="Germany"/>
    <x v="2"/>
    <s v="Jordan Lee"/>
    <s v="Semiannual"/>
    <d v="2026-03-24T00:00:00"/>
    <d v="2026-09-20T00:00:00"/>
    <x v="0"/>
    <s v="Missing"/>
    <n v="3"/>
    <s v="Jordan Lee"/>
    <d v="2026-11-19T00:00:00"/>
    <s v="In Progress"/>
    <x v="0"/>
    <x v="1"/>
    <x v="1"/>
    <s v="Standard"/>
  </r>
  <r>
    <s v="CTRL-1057"/>
    <s v="Access Control 1057"/>
    <s v="RESPOND"/>
    <s v="RS.MA"/>
    <x v="3"/>
    <x v="0"/>
    <s v="Singapore"/>
    <x v="2"/>
    <s v="Jordan Lee"/>
    <s v="Annual"/>
    <d v="2025-07-02T00:00:00"/>
    <d v="2026-07-02T00:00:00"/>
    <x v="0"/>
    <s v="Complete"/>
    <n v="1"/>
    <s v="Alex Chen"/>
    <d v="2026-10-22T00:00:00"/>
    <s v="Completed"/>
    <x v="0"/>
    <x v="1"/>
    <x v="2"/>
    <s v="Standard"/>
  </r>
  <r>
    <s v="CTRL-1058"/>
    <s v="Data Control 1058"/>
    <s v="DETECT"/>
    <s v="DE.CM"/>
    <x v="3"/>
    <x v="0"/>
    <s v="Singapore"/>
    <x v="1"/>
    <s v="Jordan Lee"/>
    <s v="Semiannual"/>
    <d v="2025-08-28T00:00:00"/>
    <d v="2025-11-26T00:00:00"/>
    <x v="0"/>
    <s v="Missing"/>
    <n v="2"/>
    <s v="Emma Schmidt"/>
    <d v="2026-12-09T00:00:00"/>
    <s v="Completed"/>
    <x v="0"/>
    <x v="1"/>
    <x v="1"/>
    <s v="Standard"/>
  </r>
  <r>
    <s v="CTRL-1059"/>
    <s v="Vendor Control 1059"/>
    <s v="GOVERN"/>
    <s v="GV.RM"/>
    <x v="5"/>
    <x v="1"/>
    <s v="Canada"/>
    <x v="2"/>
    <s v="Maya Patel"/>
    <s v="Quarterly"/>
    <d v="2026-05-18T00:00:00"/>
    <d v="2027-05-18T00:00:00"/>
    <x v="3"/>
    <s v="Missing"/>
    <n v="1"/>
    <s v="Maya Patel"/>
    <d v="2026-04-03T00:00:00"/>
    <s v="Overdue"/>
    <x v="1"/>
    <x v="1"/>
    <x v="1"/>
    <s v="Standard"/>
  </r>
  <r>
    <s v="CTRL-1060"/>
    <s v="Access Control 1060"/>
    <s v="IDENTIFY"/>
    <s v="ID.AM"/>
    <x v="1"/>
    <x v="0"/>
    <s v="Singapore"/>
    <x v="0"/>
    <s v="Taylor Morgan"/>
    <s v="Quarterly"/>
    <d v="2025-07-15T00:00:00"/>
    <d v="2025-10-13T00:00:00"/>
    <x v="0"/>
    <s v="Missing"/>
    <n v="5"/>
    <s v="Alex Chen"/>
    <d v="2026-05-22T00:00:00"/>
    <s v="Overdue"/>
    <x v="0"/>
    <x v="1"/>
    <x v="1"/>
    <s v="Elevated"/>
  </r>
  <r>
    <s v="CTRL-1061"/>
    <s v="Incident Control 1061"/>
    <s v="GOVERN"/>
    <s v="GV.OC"/>
    <x v="1"/>
    <x v="2"/>
    <s v="United Kingdom"/>
    <x v="1"/>
    <s v="Maya Patel"/>
    <s v="Annual"/>
    <d v="2026-08-07T00:00:00"/>
    <d v="2027-02-03T00:00:00"/>
    <x v="1"/>
    <s v="Complete"/>
    <n v="3"/>
    <s v="Taylor Morgan"/>
    <d v="2026-10-03T00:00:00"/>
    <s v="In Progress"/>
    <x v="1"/>
    <x v="1"/>
    <x v="2"/>
    <s v="Standard"/>
  </r>
  <r>
    <s v="CTRL-1062"/>
    <s v="Access Control 1062"/>
    <s v="DETECT"/>
    <s v="DE.CM"/>
    <x v="2"/>
    <x v="2"/>
    <s v="Germany"/>
    <x v="1"/>
    <s v="Emma Schmidt"/>
    <s v="Semiannual"/>
    <d v="2025-10-28T00:00:00"/>
    <d v="2026-10-28T00:00:00"/>
    <x v="3"/>
    <s v="Missing"/>
    <n v="3"/>
    <s v="Liam Brown"/>
    <d v="2026-04-19T00:00:00"/>
    <s v="Overdue"/>
    <x v="1"/>
    <x v="1"/>
    <x v="1"/>
    <s v="Standard"/>
  </r>
  <r>
    <s v="CTRL-1063"/>
    <s v="Vendor Control 1063"/>
    <s v="GOVERN"/>
    <s v="GV.RM"/>
    <x v="4"/>
    <x v="2"/>
    <s v="United Kingdom"/>
    <x v="2"/>
    <s v="Noah Williams"/>
    <s v="Semiannual"/>
    <d v="2025-09-25T00:00:00"/>
    <d v="2026-03-24T00:00:00"/>
    <x v="0"/>
    <s v="Complete"/>
    <n v="3"/>
    <s v="Maya Patel"/>
    <d v="2026-04-22T00:00:00"/>
    <s v="Overdue"/>
    <x v="0"/>
    <x v="1"/>
    <x v="2"/>
    <s v="Standard"/>
  </r>
  <r>
    <s v="CTRL-1064"/>
    <s v="Access Control 1064"/>
    <s v="RECOVER"/>
    <s v="RC.RP"/>
    <x v="5"/>
    <x v="1"/>
    <s v="United States"/>
    <x v="0"/>
    <s v="Maya Patel"/>
    <s v="Semiannual"/>
    <d v="2026-01-21T00:00:00"/>
    <d v="2026-07-20T00:00:00"/>
    <x v="0"/>
    <s v="Missing"/>
    <n v="2"/>
    <s v="Taylor Morgan"/>
    <d v="2026-08-04T00:00:00"/>
    <s v="Overdue"/>
    <x v="0"/>
    <x v="1"/>
    <x v="1"/>
    <s v="Elevated"/>
  </r>
  <r>
    <s v="CTRL-1065"/>
    <s v="Access Control 1065"/>
    <s v="RECOVER"/>
    <s v="RC.RP"/>
    <x v="1"/>
    <x v="0"/>
    <s v="Singapore"/>
    <x v="2"/>
    <s v="Maya Patel"/>
    <s v="Annual"/>
    <d v="2026-09-05T00:00:00"/>
    <d v="2027-09-05T00:00:00"/>
    <x v="1"/>
    <s v="Missing"/>
    <n v="0"/>
    <s v="Jordan Lee"/>
    <d v="2026-12-18T00:00:00"/>
    <s v="Not Required"/>
    <x v="1"/>
    <x v="1"/>
    <x v="1"/>
    <s v="Standard"/>
  </r>
  <r>
    <s v="CTRL-1066"/>
    <s v="Policy Control 1066"/>
    <s v="PROTECT"/>
    <s v="PR.AA"/>
    <x v="5"/>
    <x v="2"/>
    <s v="Germany"/>
    <x v="2"/>
    <s v="Alex Chen"/>
    <s v="Quarterly"/>
    <d v="2026-05-04T00:00:00"/>
    <d v="2027-05-04T00:00:00"/>
    <x v="1"/>
    <s v="Missing"/>
    <n v="3"/>
    <s v="Alex Chen"/>
    <d v="2026-07-01T00:00:00"/>
    <s v="Overdue"/>
    <x v="1"/>
    <x v="1"/>
    <x v="1"/>
    <s v="Standard"/>
  </r>
  <r>
    <s v="CTRL-1067"/>
    <s v="Policy Control 1067"/>
    <s v="RESPOND"/>
    <s v="RS.MA"/>
    <x v="4"/>
    <x v="2"/>
    <s v="Germany"/>
    <x v="1"/>
    <s v="Jordan Lee"/>
    <s v="Annual"/>
    <d v="2025-07-09T00:00:00"/>
    <d v="2025-10-07T00:00:00"/>
    <x v="0"/>
    <s v="Complete"/>
    <n v="3"/>
    <s v="Jordan Lee"/>
    <d v="2026-12-07T00:00:00"/>
    <s v="Completed"/>
    <x v="0"/>
    <x v="1"/>
    <x v="2"/>
    <s v="Standard"/>
  </r>
  <r>
    <s v="CTRL-1068"/>
    <s v="Access Control 1068"/>
    <s v="GOVERN"/>
    <s v="GV.RM"/>
    <x v="2"/>
    <x v="2"/>
    <s v="United Kingdom"/>
    <x v="1"/>
    <s v="Noah Williams"/>
    <s v="Quarterly"/>
    <d v="2025-06-24T00:00:00"/>
    <d v="2026-06-24T00:00:00"/>
    <x v="0"/>
    <s v="Missing"/>
    <n v="3"/>
    <s v="Jordan Lee"/>
    <d v="2026-07-29T00:00:00"/>
    <s v="Overdue"/>
    <x v="0"/>
    <x v="1"/>
    <x v="1"/>
    <s v="Standard"/>
  </r>
  <r>
    <s v="CTRL-1069"/>
    <s v="Access Control 1069"/>
    <s v="RECOVER"/>
    <s v="RC.RP"/>
    <x v="4"/>
    <x v="1"/>
    <s v="United States"/>
    <x v="2"/>
    <s v="Emma Schmidt"/>
    <s v="Semiannual"/>
    <d v="2026-08-31T00:00:00"/>
    <d v="2027-08-31T00:00:00"/>
    <x v="1"/>
    <s v="Missing"/>
    <n v="2"/>
    <s v="Emma Schmidt"/>
    <d v="2027-01-06T00:00:00"/>
    <s v="Completed"/>
    <x v="1"/>
    <x v="1"/>
    <x v="1"/>
    <s v="Standard"/>
  </r>
  <r>
    <s v="CTRL-1070"/>
    <s v="Change Control 1070"/>
    <s v="IDENTIFY"/>
    <s v="ID.AM"/>
    <x v="0"/>
    <x v="0"/>
    <s v="Singapore"/>
    <x v="1"/>
    <s v="Taylor Morgan"/>
    <s v="Quarterly"/>
    <d v="2025-06-18T00:00:00"/>
    <d v="2026-06-18T00:00:00"/>
    <x v="0"/>
    <s v="Pending"/>
    <n v="3"/>
    <s v="Alex Chen"/>
    <d v="2026-10-25T00:00:00"/>
    <s v="In Progress"/>
    <x v="0"/>
    <x v="1"/>
    <x v="3"/>
    <s v="Standard"/>
  </r>
  <r>
    <s v="CTRL-1071"/>
    <s v="Data Control 1071"/>
    <s v="GOVERN"/>
    <s v="GV.RR"/>
    <x v="3"/>
    <x v="1"/>
    <s v="United States"/>
    <x v="1"/>
    <s v="Sam Rivera"/>
    <s v="Semiannual"/>
    <d v="2026-01-25T00:00:00"/>
    <d v="2027-01-25T00:00:00"/>
    <x v="2"/>
    <s v="Missing"/>
    <n v="2"/>
    <s v="Maya Patel"/>
    <d v="2026-12-03T00:00:00"/>
    <s v="Completed"/>
    <x v="1"/>
    <x v="1"/>
    <x v="1"/>
    <s v="Standard"/>
  </r>
  <r>
    <s v="CTRL-1072"/>
    <s v="Access Control 1072"/>
    <s v="GOVERN"/>
    <s v="GV.OC"/>
    <x v="1"/>
    <x v="0"/>
    <s v="Singapore"/>
    <x v="1"/>
    <s v="Taylor Morgan"/>
    <s v="Annual"/>
    <d v="2026-07-04T00:00:00"/>
    <d v="2027-07-04T00:00:00"/>
    <x v="3"/>
    <s v="Pending"/>
    <n v="0"/>
    <s v="Taylor Morgan"/>
    <d v="2026-12-20T00:00:00"/>
    <s v="Not Required"/>
    <x v="1"/>
    <x v="1"/>
    <x v="3"/>
    <s v="Standard"/>
  </r>
  <r>
    <s v="CTRL-1073"/>
    <s v="Vendor Control 1073"/>
    <s v="RECOVER"/>
    <s v="RC.RP"/>
    <x v="2"/>
    <x v="0"/>
    <s v="Singapore"/>
    <x v="0"/>
    <s v="Jordan Lee"/>
    <s v="Quarterly"/>
    <d v="2026-03-31T00:00:00"/>
    <d v="2026-06-29T00:00:00"/>
    <x v="0"/>
    <s v="Pending"/>
    <n v="1"/>
    <s v="Maya Patel"/>
    <d v="2026-07-08T00:00:00"/>
    <s v="Overdue"/>
    <x v="0"/>
    <x v="1"/>
    <x v="3"/>
    <s v="Elevated"/>
  </r>
  <r>
    <s v="CTRL-1074"/>
    <s v="Data Control 1074"/>
    <s v="GOVERN"/>
    <s v="GV.RM"/>
    <x v="3"/>
    <x v="1"/>
    <s v="Canada"/>
    <x v="2"/>
    <s v="Maya Patel"/>
    <s v="Quarterly"/>
    <d v="2026-06-28T00:00:00"/>
    <d v="2027-06-28T00:00:00"/>
    <x v="1"/>
    <s v="Missing"/>
    <n v="1"/>
    <s v="Sam Rivera"/>
    <d v="2026-05-07T00:00:00"/>
    <s v="Overdue"/>
    <x v="1"/>
    <x v="1"/>
    <x v="1"/>
    <s v="Standard"/>
  </r>
  <r>
    <s v="CTRL-1075"/>
    <s v="Policy Control 1075"/>
    <s v="GOVERN"/>
    <s v="GV.OC"/>
    <x v="5"/>
    <x v="0"/>
    <s v="Singapore"/>
    <x v="2"/>
    <s v="Sam Rivera"/>
    <s v="Semiannual"/>
    <d v="2025-07-14T00:00:00"/>
    <d v="2026-01-10T00:00:00"/>
    <x v="0"/>
    <s v="Pending"/>
    <n v="0"/>
    <s v="Emma Schmidt"/>
    <d v="2026-11-10T00:00:00"/>
    <s v="Not Required"/>
    <x v="0"/>
    <x v="1"/>
    <x v="3"/>
    <s v="Standard"/>
  </r>
  <r>
    <s v="CTRL-1076"/>
    <s v="Incident Control 1076"/>
    <s v="RESPOND"/>
    <s v="RS.MA"/>
    <x v="5"/>
    <x v="1"/>
    <s v="United States"/>
    <x v="0"/>
    <s v="Noah Williams"/>
    <s v="Annual"/>
    <d v="2026-02-22T00:00:00"/>
    <d v="2026-08-21T00:00:00"/>
    <x v="0"/>
    <s v="Missing"/>
    <n v="1"/>
    <s v="Jordan Lee"/>
    <d v="2026-06-07T00:00:00"/>
    <s v="Overdue"/>
    <x v="0"/>
    <x v="1"/>
    <x v="1"/>
    <s v="Elevated"/>
  </r>
  <r>
    <s v="CTRL-1077"/>
    <s v="Incident Control 1077"/>
    <s v="GOVERN"/>
    <s v="GV.RM"/>
    <x v="4"/>
    <x v="1"/>
    <s v="Canada"/>
    <x v="0"/>
    <s v="Emma Schmidt"/>
    <s v="Quarterly"/>
    <d v="2025-11-07T00:00:00"/>
    <d v="2026-02-05T00:00:00"/>
    <x v="0"/>
    <s v="Pending"/>
    <n v="0"/>
    <s v="Alex Chen"/>
    <d v="2027-01-15T00:00:00"/>
    <s v="Not Required"/>
    <x v="0"/>
    <x v="1"/>
    <x v="3"/>
    <s v="Elevated"/>
  </r>
  <r>
    <s v="CTRL-1078"/>
    <s v="Vendor Control 1078"/>
    <s v="GOVERN"/>
    <s v="GV.RR"/>
    <x v="4"/>
    <x v="2"/>
    <s v="Germany"/>
    <x v="1"/>
    <s v="Noah Williams"/>
    <s v="Semiannual"/>
    <d v="2026-04-08T00:00:00"/>
    <d v="2027-04-08T00:00:00"/>
    <x v="2"/>
    <s v="Pending"/>
    <n v="3"/>
    <s v="Maya Patel"/>
    <d v="2026-10-17T00:00:00"/>
    <s v="In Progress"/>
    <x v="1"/>
    <x v="1"/>
    <x v="3"/>
    <s v="Standard"/>
  </r>
  <r>
    <s v="CTRL-1079"/>
    <s v="Change Control 1079"/>
    <s v="DETECT"/>
    <s v="DE.CM"/>
    <x v="2"/>
    <x v="0"/>
    <s v="Singapore"/>
    <x v="2"/>
    <s v="Maya Patel"/>
    <s v="Annual"/>
    <d v="2026-05-05T00:00:00"/>
    <d v="2027-05-05T00:00:00"/>
    <x v="1"/>
    <s v="Pending"/>
    <n v="2"/>
    <s v="Sam Rivera"/>
    <d v="2026-12-21T00:00:00"/>
    <s v="Completed"/>
    <x v="1"/>
    <x v="1"/>
    <x v="3"/>
    <s v="Standard"/>
  </r>
  <r>
    <s v="CTRL-1080"/>
    <s v="Change Control 1080"/>
    <s v="PROTECT"/>
    <s v="PR.AA"/>
    <x v="1"/>
    <x v="2"/>
    <s v="Germany"/>
    <x v="0"/>
    <s v="Emma Schmidt"/>
    <s v="Annual"/>
    <d v="2026-04-21T00:00:00"/>
    <d v="2026-10-18T00:00:00"/>
    <x v="3"/>
    <m/>
    <n v="4"/>
    <s v="Noah Williams"/>
    <d v="2026-06-13T00:00:00"/>
    <s v="Overdue"/>
    <x v="1"/>
    <x v="1"/>
    <x v="0"/>
    <s v="Elevated"/>
  </r>
  <r>
    <s v="CTRL-1081"/>
    <s v="Change Control 1081"/>
    <s v="DETECT"/>
    <s v="DE.CM"/>
    <x v="1"/>
    <x v="0"/>
    <s v="Singapore"/>
    <x v="0"/>
    <s v="Jordan Lee"/>
    <s v="Annual"/>
    <d v="2026-07-12T00:00:00"/>
    <d v="2027-07-12T00:00:00"/>
    <x v="2"/>
    <s v="Missing"/>
    <n v="1"/>
    <s v="Liam Brown"/>
    <d v="2026-07-17T00:00:00"/>
    <s v="Overdue"/>
    <x v="1"/>
    <x v="1"/>
    <x v="1"/>
    <s v="Elevated"/>
  </r>
  <r>
    <s v="CTRL-1082"/>
    <s v="Access Control 1082"/>
    <s v="PROTECT"/>
    <s v="PR.AA"/>
    <x v="4"/>
    <x v="2"/>
    <s v="United Kingdom"/>
    <x v="2"/>
    <m/>
    <s v="Semiannual"/>
    <d v="2026-04-25T00:00:00"/>
    <d v="2027-04-25T00:00:00"/>
    <x v="1"/>
    <s v="Pending"/>
    <n v="1"/>
    <s v="Emma Schmidt"/>
    <d v="2026-08-11T00:00:00"/>
    <s v="Overdue"/>
    <x v="1"/>
    <x v="0"/>
    <x v="3"/>
    <s v="Standard"/>
  </r>
  <r>
    <s v="CTRL-1083"/>
    <s v="Change Control 1083"/>
    <s v="RESPOND"/>
    <s v="RS.MA"/>
    <x v="1"/>
    <x v="1"/>
    <s v="United States"/>
    <x v="0"/>
    <s v="Taylor Morgan"/>
    <s v="Semiannual"/>
    <d v="2025-05-23T00:00:00"/>
    <d v="2025-11-19T00:00:00"/>
    <x v="0"/>
    <s v="Pending"/>
    <n v="4"/>
    <s v="Alex Chen"/>
    <d v="2027-01-26T00:00:00"/>
    <s v="In Progress"/>
    <x v="0"/>
    <x v="1"/>
    <x v="3"/>
    <s v="Elevated"/>
  </r>
  <r>
    <s v="CTRL-1084"/>
    <s v="Access Control 1084"/>
    <s v="GOVERN"/>
    <s v="GV.OC"/>
    <x v="3"/>
    <x v="2"/>
    <s v="Germany"/>
    <x v="1"/>
    <s v="Emma Schmidt"/>
    <s v="Quarterly"/>
    <d v="2026-02-24T00:00:00"/>
    <d v="2026-08-23T00:00:00"/>
    <x v="0"/>
    <s v="Complete"/>
    <n v="1"/>
    <s v="Taylor Morgan"/>
    <d v="2026-07-04T00:00:00"/>
    <s v="Completed"/>
    <x v="0"/>
    <x v="1"/>
    <x v="2"/>
    <s v="Standard"/>
  </r>
  <r>
    <s v="CTRL-1085"/>
    <s v="Data Control 1085"/>
    <s v="DETECT"/>
    <s v="DE.CM"/>
    <x v="1"/>
    <x v="1"/>
    <s v="Canada"/>
    <x v="0"/>
    <s v="Emma Schmidt"/>
    <s v="Annual"/>
    <d v="2026-05-29T00:00:00"/>
    <d v="2026-08-27T00:00:00"/>
    <x v="0"/>
    <s v="Missing"/>
    <n v="4"/>
    <s v="Taylor Morgan"/>
    <d v="2026-05-03T00:00:00"/>
    <s v="Completed"/>
    <x v="0"/>
    <x v="1"/>
    <x v="1"/>
    <s v="Elevated"/>
  </r>
  <r>
    <s v="CTRL-1086"/>
    <s v="Policy Control 1086"/>
    <s v="DETECT"/>
    <s v="DE.CM"/>
    <x v="1"/>
    <x v="2"/>
    <s v="Germany"/>
    <x v="1"/>
    <s v="Taylor Morgan"/>
    <s v="Quarterly"/>
    <d v="2025-05-23T00:00:00"/>
    <d v="2026-05-23T00:00:00"/>
    <x v="0"/>
    <s v="Pending"/>
    <n v="1"/>
    <s v="Jordan Lee"/>
    <d v="2026-06-19T00:00:00"/>
    <s v="Completed"/>
    <x v="0"/>
    <x v="1"/>
    <x v="3"/>
    <s v="Standard"/>
  </r>
  <r>
    <s v="CTRL-1087"/>
    <s v="Policy Control 1087"/>
    <s v="IDENTIFY"/>
    <s v="ID.AM"/>
    <x v="3"/>
    <x v="2"/>
    <s v="United Kingdom"/>
    <x v="2"/>
    <s v="Jordan Lee"/>
    <s v="Semiannual"/>
    <d v="2026-07-26T00:00:00"/>
    <d v="2027-07-26T00:00:00"/>
    <x v="2"/>
    <s v="Pending"/>
    <n v="0"/>
    <s v="Sam Rivera"/>
    <d v="2026-05-21T00:00:00"/>
    <s v="Not Required"/>
    <x v="1"/>
    <x v="1"/>
    <x v="3"/>
    <s v="Standard"/>
  </r>
  <r>
    <s v="CTRL-1088"/>
    <s v="Incident Control 1088"/>
    <s v="IDENTIFY"/>
    <s v="ID.AM"/>
    <x v="3"/>
    <x v="1"/>
    <s v="Canada"/>
    <x v="1"/>
    <s v="Jordan Lee"/>
    <s v="Semiannual"/>
    <d v="2025-05-29T00:00:00"/>
    <d v="2025-08-27T00:00:00"/>
    <x v="0"/>
    <s v="Pending"/>
    <n v="0"/>
    <s v="Emma Schmidt"/>
    <d v="2026-04-04T00:00:00"/>
    <s v="Not Required"/>
    <x v="0"/>
    <x v="1"/>
    <x v="3"/>
    <s v="Standard"/>
  </r>
  <r>
    <s v="CTRL-1089"/>
    <s v="Policy Control 1089"/>
    <s v="RESPOND"/>
    <s v="RS.MA"/>
    <x v="4"/>
    <x v="0"/>
    <s v="Singapore"/>
    <x v="1"/>
    <s v="Maya Patel"/>
    <s v="Annual"/>
    <d v="2025-07-04T00:00:00"/>
    <d v="2025-10-02T00:00:00"/>
    <x v="0"/>
    <s v="Pending"/>
    <n v="3"/>
    <s v="Emma Schmidt"/>
    <d v="2026-11-15T00:00:00"/>
    <s v="Completed"/>
    <x v="0"/>
    <x v="1"/>
    <x v="3"/>
    <s v="Standard"/>
  </r>
  <r>
    <s v="CTRL-1090"/>
    <s v="Data Control 1090"/>
    <s v="RECOVER"/>
    <s v="RC.RP"/>
    <x v="1"/>
    <x v="1"/>
    <s v="Canada"/>
    <x v="0"/>
    <s v="Liam Brown"/>
    <s v="Quarterly"/>
    <d v="2026-01-30T00:00:00"/>
    <d v="2027-01-30T00:00:00"/>
    <x v="1"/>
    <s v="Complete"/>
    <n v="3"/>
    <s v="Noah Williams"/>
    <d v="2026-12-18T00:00:00"/>
    <s v="In Progress"/>
    <x v="1"/>
    <x v="1"/>
    <x v="2"/>
    <s v="Elevated"/>
  </r>
  <r>
    <s v="CTRL-1091"/>
    <s v="Change Control 1091"/>
    <s v="PROTECT"/>
    <s v="PR.AA"/>
    <x v="3"/>
    <x v="1"/>
    <s v="United States"/>
    <x v="0"/>
    <s v="Emma Schmidt"/>
    <s v="Semiannual"/>
    <d v="2026-06-16T00:00:00"/>
    <d v="2026-12-13T00:00:00"/>
    <x v="1"/>
    <s v="Pending"/>
    <n v="2"/>
    <s v="Liam Brown"/>
    <d v="2026-10-27T00:00:00"/>
    <s v="Completed"/>
    <x v="1"/>
    <x v="1"/>
    <x v="3"/>
    <s v="Elevated"/>
  </r>
  <r>
    <s v="CTRL-1092"/>
    <s v="Vendor Control 1092"/>
    <s v="RECOVER"/>
    <s v="RC.RP"/>
    <x v="5"/>
    <x v="1"/>
    <s v="United States"/>
    <x v="2"/>
    <s v="Liam Brown"/>
    <s v="Annual"/>
    <d v="2025-09-10T00:00:00"/>
    <d v="2025-12-09T00:00:00"/>
    <x v="0"/>
    <s v="Pending"/>
    <n v="2"/>
    <s v="Liam Brown"/>
    <d v="2026-10-04T00:00:00"/>
    <s v="In Progress"/>
    <x v="0"/>
    <x v="1"/>
    <x v="3"/>
    <s v="Standard"/>
  </r>
  <r>
    <s v="CTRL-1093"/>
    <s v="Policy Control 1093"/>
    <s v="IDENTIFY"/>
    <s v="ID.AM"/>
    <x v="4"/>
    <x v="2"/>
    <s v="United Kingdom"/>
    <x v="1"/>
    <s v="Sam Rivera"/>
    <s v="Quarterly"/>
    <d v="2026-04-26T00:00:00"/>
    <d v="2026-10-23T00:00:00"/>
    <x v="2"/>
    <s v="Pending"/>
    <n v="1"/>
    <s v="Emma Schmidt"/>
    <d v="2026-06-28T00:00:00"/>
    <s v="Completed"/>
    <x v="1"/>
    <x v="1"/>
    <x v="3"/>
    <s v="Standard"/>
  </r>
  <r>
    <s v="CTRL-1094"/>
    <s v="Vendor Control 1094"/>
    <s v="PROTECT"/>
    <s v="PR.AA"/>
    <x v="1"/>
    <x v="2"/>
    <s v="United Kingdom"/>
    <x v="1"/>
    <s v="Jordan Lee"/>
    <s v="Quarterly"/>
    <d v="2026-07-25T00:00:00"/>
    <d v="2027-07-25T00:00:00"/>
    <x v="3"/>
    <s v="Pending"/>
    <n v="0"/>
    <s v="Taylor Morgan"/>
    <d v="2026-12-27T00:00:00"/>
    <s v="Not Required"/>
    <x v="1"/>
    <x v="1"/>
    <x v="3"/>
    <s v="Standard"/>
  </r>
  <r>
    <s v="CTRL-1095"/>
    <s v="Data Control 1095"/>
    <s v="GOVERN"/>
    <s v="GV.RM"/>
    <x v="2"/>
    <x v="1"/>
    <s v="Canada"/>
    <x v="0"/>
    <s v="Jordan Lee"/>
    <s v="Quarterly"/>
    <d v="2026-05-16T00:00:00"/>
    <d v="2026-11-12T00:00:00"/>
    <x v="1"/>
    <s v="Missing"/>
    <n v="0"/>
    <s v="Jordan Lee"/>
    <d v="2026-07-30T00:00:00"/>
    <s v="Not Required"/>
    <x v="1"/>
    <x v="1"/>
    <x v="1"/>
    <s v="Elevated"/>
  </r>
  <r>
    <s v="CTRL-1096"/>
    <s v="Data Control 1096"/>
    <s v="GOVERN"/>
    <s v="GV.RR"/>
    <x v="4"/>
    <x v="2"/>
    <s v="Germany"/>
    <x v="0"/>
    <s v="Sam Rivera"/>
    <s v="Quarterly"/>
    <d v="2026-09-02T00:00:00"/>
    <d v="2026-12-01T00:00:00"/>
    <x v="3"/>
    <s v="Complete"/>
    <n v="0"/>
    <s v="Liam Brown"/>
    <d v="2026-08-18T00:00:00"/>
    <s v="Not Required"/>
    <x v="1"/>
    <x v="1"/>
    <x v="2"/>
    <s v="Elevated"/>
  </r>
  <r>
    <s v="CTRL-1097"/>
    <s v="Data Control 1097"/>
    <s v="GOVERN"/>
    <s v="GV.OC"/>
    <x v="5"/>
    <x v="0"/>
    <s v="Singapore"/>
    <x v="1"/>
    <s v="Jordan Lee"/>
    <s v="Annual"/>
    <d v="2026-05-08T00:00:00"/>
    <d v="2026-08-06T00:00:00"/>
    <x v="0"/>
    <s v="Pending"/>
    <n v="1"/>
    <s v="Alex Chen"/>
    <d v="2026-08-20T00:00:00"/>
    <s v="Overdue"/>
    <x v="0"/>
    <x v="1"/>
    <x v="3"/>
    <s v="Standard"/>
  </r>
  <r>
    <s v="CTRL-1098"/>
    <s v="Change Control 1098"/>
    <s v="RECOVER"/>
    <s v="RC.RP"/>
    <x v="1"/>
    <x v="2"/>
    <s v="United Kingdom"/>
    <x v="1"/>
    <s v="Jordan Lee"/>
    <s v="Semiannual"/>
    <d v="2025-07-04T00:00:00"/>
    <d v="2025-10-02T00:00:00"/>
    <x v="0"/>
    <s v="Complete"/>
    <n v="2"/>
    <s v="Jordan Lee"/>
    <d v="2027-01-21T00:00:00"/>
    <s v="In Progress"/>
    <x v="0"/>
    <x v="1"/>
    <x v="2"/>
    <s v="Standard"/>
  </r>
  <r>
    <s v="CTRL-1099"/>
    <s v="Data Control 1099"/>
    <s v="RESPOND"/>
    <s v="RS.MA"/>
    <x v="5"/>
    <x v="0"/>
    <s v="Singapore"/>
    <x v="1"/>
    <s v="Alex Chen"/>
    <s v="Annual"/>
    <d v="2026-08-07T00:00:00"/>
    <d v="2027-02-03T00:00:00"/>
    <x v="1"/>
    <s v="Pending"/>
    <n v="3"/>
    <s v="Emma Schmidt"/>
    <d v="2026-12-29T00:00:00"/>
    <s v="In Progress"/>
    <x v="1"/>
    <x v="1"/>
    <x v="3"/>
    <s v="Standard"/>
  </r>
  <r>
    <s v="CTRL-1100"/>
    <s v="Change Control 1100"/>
    <s v="RESPOND"/>
    <s v="RS.MA"/>
    <x v="5"/>
    <x v="0"/>
    <s v="Singapore"/>
    <x v="3"/>
    <s v="Noah Williams"/>
    <s v="Annual"/>
    <d v="2025-08-04T00:00:00"/>
    <d v="2026-08-04T00:00:00"/>
    <x v="0"/>
    <s v="Missing"/>
    <n v="5"/>
    <s v="Liam Brown"/>
    <d v="2026-10-27T00:00:00"/>
    <s v="In Progress"/>
    <x v="0"/>
    <x v="1"/>
    <x v="1"/>
    <s v="Elevated"/>
  </r>
  <r>
    <s v="CTRL-1101"/>
    <s v="Access Control 1101"/>
    <s v="DETECT"/>
    <s v="DE.CM"/>
    <x v="1"/>
    <x v="1"/>
    <s v="United States"/>
    <x v="1"/>
    <s v="Noah Williams"/>
    <s v="Semiannual"/>
    <d v="2025-07-06T00:00:00"/>
    <d v="2026-01-02T00:00:00"/>
    <x v="0"/>
    <s v="Complete"/>
    <n v="3"/>
    <s v="Liam Brown"/>
    <d v="2026-10-15T00:00:00"/>
    <s v="In Progress"/>
    <x v="0"/>
    <x v="1"/>
    <x v="2"/>
    <s v="Standard"/>
  </r>
  <r>
    <s v="CTRL-1102"/>
    <s v="Change Control 1102"/>
    <s v="GOVERN"/>
    <s v="GV.OC"/>
    <x v="1"/>
    <x v="1"/>
    <s v="United States"/>
    <x v="2"/>
    <s v="Jordan Lee"/>
    <s v="Semiannual"/>
    <d v="2026-01-23T00:00:00"/>
    <d v="2027-01-23T00:00:00"/>
    <x v="3"/>
    <s v="Missing"/>
    <n v="2"/>
    <s v="Taylor Morgan"/>
    <d v="2026-10-22T00:00:00"/>
    <s v="Completed"/>
    <x v="1"/>
    <x v="1"/>
    <x v="1"/>
    <s v="Standard"/>
  </r>
  <r>
    <s v="CTRL-1103"/>
    <s v="Change Control 1103"/>
    <s v="IDENTIFY"/>
    <s v="ID.AM"/>
    <x v="4"/>
    <x v="2"/>
    <s v="Germany"/>
    <x v="0"/>
    <s v="Noah Williams"/>
    <s v="Annual"/>
    <d v="2025-06-16T00:00:00"/>
    <d v="2025-09-14T00:00:00"/>
    <x v="0"/>
    <s v="Pending"/>
    <n v="1"/>
    <s v="Maya Patel"/>
    <d v="2026-11-01T00:00:00"/>
    <s v="In Progress"/>
    <x v="0"/>
    <x v="1"/>
    <x v="3"/>
    <s v="Elevated"/>
  </r>
  <r>
    <s v="CTRL-1104"/>
    <s v="Policy Control 1104"/>
    <s v="DETECT"/>
    <s v="DE.CM"/>
    <x v="0"/>
    <x v="2"/>
    <s v="Germany"/>
    <x v="2"/>
    <s v="Emma Schmidt"/>
    <s v="Annual"/>
    <d v="2025-06-13T00:00:00"/>
    <d v="2026-06-13T00:00:00"/>
    <x v="0"/>
    <s v="Pending"/>
    <n v="0"/>
    <s v="Liam Brown"/>
    <d v="2026-08-31T00:00:00"/>
    <s v="Not Required"/>
    <x v="0"/>
    <x v="1"/>
    <x v="3"/>
    <s v="Standard"/>
  </r>
  <r>
    <s v="CTRL-1105"/>
    <s v="Data Control 1105"/>
    <s v="GOVERN"/>
    <s v="GV.OC"/>
    <x v="0"/>
    <x v="1"/>
    <s v="Canada"/>
    <x v="2"/>
    <s v="Sam Rivera"/>
    <s v="Quarterly"/>
    <d v="2026-04-05T00:00:00"/>
    <d v="2027-04-05T00:00:00"/>
    <x v="1"/>
    <s v="Complete"/>
    <n v="1"/>
    <s v="Noah Williams"/>
    <d v="2027-01-15T00:00:00"/>
    <s v="Completed"/>
    <x v="1"/>
    <x v="1"/>
    <x v="2"/>
    <s v="Standard"/>
  </r>
  <r>
    <s v="CTRL-1106"/>
    <s v="Vendor Control 1106"/>
    <s v="GOVERN"/>
    <s v="GV.RM"/>
    <x v="4"/>
    <x v="1"/>
    <s v="Canada"/>
    <x v="2"/>
    <s v="Liam Brown"/>
    <s v="Semiannual"/>
    <d v="2026-03-17T00:00:00"/>
    <d v="2027-03-17T00:00:00"/>
    <x v="1"/>
    <s v="Pending"/>
    <n v="0"/>
    <s v="Emma Schmidt"/>
    <d v="2026-12-23T00:00:00"/>
    <s v="Not Required"/>
    <x v="1"/>
    <x v="1"/>
    <x v="3"/>
    <s v="Standard"/>
  </r>
  <r>
    <s v="CTRL-1107"/>
    <s v="Access Control 1107"/>
    <s v="IDENTIFY"/>
    <s v="ID.AM"/>
    <x v="5"/>
    <x v="0"/>
    <s v="Singapore"/>
    <x v="0"/>
    <s v="Maya Patel"/>
    <s v="Annual"/>
    <d v="2026-06-24T00:00:00"/>
    <d v="2026-12-21T00:00:00"/>
    <x v="1"/>
    <s v="Missing"/>
    <n v="3"/>
    <s v="Emma Schmidt"/>
    <d v="2026-08-17T00:00:00"/>
    <s v="Completed"/>
    <x v="1"/>
    <x v="1"/>
    <x v="1"/>
    <s v="Elevated"/>
  </r>
  <r>
    <s v="CTRL-1108"/>
    <s v="Vendor Control 1108"/>
    <s v="GOVERN"/>
    <s v="GV.RR"/>
    <x v="1"/>
    <x v="2"/>
    <s v="Germany"/>
    <x v="1"/>
    <s v="Taylor Morgan"/>
    <s v="Annual"/>
    <d v="2026-09-04T00:00:00"/>
    <d v="2026-12-03T00:00:00"/>
    <x v="1"/>
    <s v="Missing"/>
    <n v="1"/>
    <s v="Taylor Morgan"/>
    <d v="2026-11-02T00:00:00"/>
    <s v="In Progress"/>
    <x v="1"/>
    <x v="1"/>
    <x v="1"/>
    <s v="Standard"/>
  </r>
  <r>
    <s v="CTRL-1109"/>
    <s v="Incident Control 1109"/>
    <s v="GOVERN"/>
    <s v="GV.RR"/>
    <x v="0"/>
    <x v="1"/>
    <s v="United States"/>
    <x v="1"/>
    <s v="Alex Chen"/>
    <s v="Semiannual"/>
    <d v="2026-04-28T00:00:00"/>
    <d v="2027-04-28T00:00:00"/>
    <x v="1"/>
    <s v="Complete"/>
    <n v="1"/>
    <s v="Maya Patel"/>
    <d v="2026-11-28T00:00:00"/>
    <s v="In Progress"/>
    <x v="1"/>
    <x v="1"/>
    <x v="2"/>
    <s v="Standard"/>
  </r>
  <r>
    <s v="CTRL-1110"/>
    <s v="Policy Control 1110"/>
    <s v="PROTECT"/>
    <s v="PR.AA"/>
    <x v="2"/>
    <x v="1"/>
    <s v="Canada"/>
    <x v="2"/>
    <s v="Noah Williams"/>
    <s v="Annual"/>
    <d v="2025-07-02T00:00:00"/>
    <d v="2025-12-29T00:00:00"/>
    <x v="0"/>
    <s v="Pending"/>
    <n v="2"/>
    <s v="Sam Rivera"/>
    <d v="2026-09-17T00:00:00"/>
    <s v="Overdue"/>
    <x v="0"/>
    <x v="1"/>
    <x v="3"/>
    <s v="Standard"/>
  </r>
  <r>
    <s v="CTRL-1111"/>
    <s v="Policy Control 1111"/>
    <s v="PROTECT"/>
    <s v="PR.AA"/>
    <x v="4"/>
    <x v="1"/>
    <s v="United States"/>
    <x v="2"/>
    <s v="Noah Williams"/>
    <s v="Semiannual"/>
    <d v="2025-12-24T00:00:00"/>
    <d v="2026-06-22T00:00:00"/>
    <x v="0"/>
    <s v="Pending"/>
    <n v="3"/>
    <s v="Maya Patel"/>
    <d v="2026-04-29T00:00:00"/>
    <s v="Overdue"/>
    <x v="0"/>
    <x v="1"/>
    <x v="3"/>
    <s v="Standard"/>
  </r>
  <r>
    <s v="CTRL-1112"/>
    <s v="Incident Control 1112"/>
    <s v="RESPOND"/>
    <s v="RS.MA"/>
    <x v="1"/>
    <x v="1"/>
    <s v="United States"/>
    <x v="0"/>
    <s v="Sam Rivera"/>
    <s v="Semiannual"/>
    <d v="2026-01-16T00:00:00"/>
    <d v="2026-04-16T00:00:00"/>
    <x v="0"/>
    <s v="Complete"/>
    <n v="5"/>
    <s v="Emma Schmidt"/>
    <d v="2027-01-05T00:00:00"/>
    <s v="In Progress"/>
    <x v="0"/>
    <x v="1"/>
    <x v="2"/>
    <s v="Elevated"/>
  </r>
  <r>
    <s v="CTRL-1113"/>
    <s v="Vendor Control 1113"/>
    <s v="GOVERN"/>
    <s v="GV.OC"/>
    <x v="2"/>
    <x v="0"/>
    <s v="Singapore"/>
    <x v="1"/>
    <s v="Jordan Lee"/>
    <s v="Semiannual"/>
    <d v="2025-10-26T00:00:00"/>
    <d v="2026-04-24T00:00:00"/>
    <x v="0"/>
    <s v="Missing"/>
    <n v="0"/>
    <s v="Emma Schmidt"/>
    <d v="2026-09-10T00:00:00"/>
    <s v="Not Required"/>
    <x v="0"/>
    <x v="1"/>
    <x v="1"/>
    <s v="Standard"/>
  </r>
  <r>
    <s v="CTRL-1114"/>
    <s v="Vendor Control 1114"/>
    <s v="RECOVER"/>
    <s v="RC.RP"/>
    <x v="4"/>
    <x v="1"/>
    <s v="Canada"/>
    <x v="3"/>
    <s v="Noah Williams"/>
    <s v="Annual"/>
    <d v="2025-05-18T00:00:00"/>
    <d v="2025-11-14T00:00:00"/>
    <x v="0"/>
    <s v="Complete"/>
    <n v="2"/>
    <s v="Sam Rivera"/>
    <d v="2026-08-01T00:00:00"/>
    <s v="Overdue"/>
    <x v="0"/>
    <x v="1"/>
    <x v="2"/>
    <s v="Elevated"/>
  </r>
  <r>
    <s v="CTRL-1115"/>
    <s v="Access Control 1115"/>
    <s v="GOVERN"/>
    <s v="GV.RM"/>
    <x v="1"/>
    <x v="2"/>
    <s v="Germany"/>
    <x v="1"/>
    <s v="Jordan Lee"/>
    <s v="Quarterly"/>
    <d v="2026-03-22T00:00:00"/>
    <d v="2026-06-20T00:00:00"/>
    <x v="0"/>
    <s v="Missing"/>
    <n v="2"/>
    <s v="Alex Chen"/>
    <d v="2026-10-12T00:00:00"/>
    <s v="In Progress"/>
    <x v="0"/>
    <x v="1"/>
    <x v="1"/>
    <s v="Standard"/>
  </r>
  <r>
    <s v="CTRL-1116"/>
    <s v="Incident Control 1116"/>
    <s v="DETECT"/>
    <s v="DE.CM"/>
    <x v="4"/>
    <x v="1"/>
    <s v="Canada"/>
    <x v="0"/>
    <s v="Jordan Lee"/>
    <s v="Annual"/>
    <d v="2026-08-15T00:00:00"/>
    <d v="2026-11-13T00:00:00"/>
    <x v="1"/>
    <s v="Complete"/>
    <n v="1"/>
    <s v="Noah Williams"/>
    <d v="2026-08-30T00:00:00"/>
    <s v="Overdue"/>
    <x v="1"/>
    <x v="1"/>
    <x v="2"/>
    <s v="Elevated"/>
  </r>
  <r>
    <s v="CTRL-1117"/>
    <s v="Policy Control 1117"/>
    <s v="GOVERN"/>
    <s v="GV.OC"/>
    <x v="0"/>
    <x v="0"/>
    <s v="Singapore"/>
    <x v="1"/>
    <s v="Taylor Morgan"/>
    <s v="Quarterly"/>
    <d v="2026-03-25T00:00:00"/>
    <d v="2026-06-23T00:00:00"/>
    <x v="0"/>
    <s v="Complete"/>
    <n v="0"/>
    <s v="Jordan Lee"/>
    <d v="2026-04-23T00:00:00"/>
    <s v="Not Required"/>
    <x v="0"/>
    <x v="1"/>
    <x v="2"/>
    <s v="Standard"/>
  </r>
  <r>
    <s v="CTRL-1118"/>
    <s v="Change Control 1118"/>
    <s v="PROTECT"/>
    <s v="PR.AA"/>
    <x v="0"/>
    <x v="2"/>
    <s v="Germany"/>
    <x v="1"/>
    <s v="Taylor Morgan"/>
    <s v="Annual"/>
    <d v="2025-10-30T00:00:00"/>
    <d v="2026-10-30T00:00:00"/>
    <x v="1"/>
    <s v="Missing"/>
    <n v="2"/>
    <s v="Maya Patel"/>
    <d v="2026-06-12T00:00:00"/>
    <s v="Completed"/>
    <x v="1"/>
    <x v="1"/>
    <x v="1"/>
    <s v="Standard"/>
  </r>
  <r>
    <s v="CTRL-1119"/>
    <s v="Data Control 1119"/>
    <s v="DETECT"/>
    <s v="DE.CM"/>
    <x v="5"/>
    <x v="2"/>
    <s v="United Kingdom"/>
    <x v="1"/>
    <s v="Emma Schmidt"/>
    <s v="Semiannual"/>
    <d v="2025-07-01T00:00:00"/>
    <d v="2025-12-28T00:00:00"/>
    <x v="0"/>
    <s v="Missing"/>
    <n v="1"/>
    <s v="Taylor Morgan"/>
    <d v="2026-12-01T00:00:00"/>
    <s v="In Progress"/>
    <x v="0"/>
    <x v="1"/>
    <x v="1"/>
    <s v="Standard"/>
  </r>
  <r>
    <s v="CTRL-1120"/>
    <s v="Incident Control 1120"/>
    <s v="GOVERN"/>
    <s v="GV.RR"/>
    <x v="4"/>
    <x v="0"/>
    <s v="Singapore"/>
    <x v="0"/>
    <s v="Sam Rivera"/>
    <s v="Quarterly"/>
    <d v="2025-07-31T00:00:00"/>
    <d v="2026-01-27T00:00:00"/>
    <x v="0"/>
    <s v="Missing"/>
    <n v="2"/>
    <s v="Alex Chen"/>
    <d v="2026-07-19T00:00:00"/>
    <s v="Completed"/>
    <x v="0"/>
    <x v="1"/>
    <x v="1"/>
    <s v="Elevated"/>
  </r>
  <r>
    <s v="CTRL-1121"/>
    <s v="Incident Control 1121"/>
    <s v="DETECT"/>
    <s v="DE.CM"/>
    <x v="3"/>
    <x v="1"/>
    <s v="United States"/>
    <x v="0"/>
    <s v="Jordan Lee"/>
    <s v="Semiannual"/>
    <d v="2026-07-17T00:00:00"/>
    <d v="2027-01-13T00:00:00"/>
    <x v="1"/>
    <s v="Missing"/>
    <n v="0"/>
    <s v="Sam Rivera"/>
    <d v="2026-08-25T00:00:00"/>
    <s v="Not Required"/>
    <x v="1"/>
    <x v="1"/>
    <x v="1"/>
    <s v="Elevated"/>
  </r>
  <r>
    <s v="CTRL-1122"/>
    <s v="Change Control 1122"/>
    <s v="RESPOND"/>
    <s v="RS.MA"/>
    <x v="4"/>
    <x v="0"/>
    <s v="Singapore"/>
    <x v="2"/>
    <s v="Taylor Morgan"/>
    <s v="Semiannual"/>
    <d v="2025-05-19T00:00:00"/>
    <d v="2026-05-19T00:00:00"/>
    <x v="0"/>
    <s v="Complete"/>
    <n v="3"/>
    <s v="Maya Patel"/>
    <d v="2026-04-20T00:00:00"/>
    <s v="Overdue"/>
    <x v="0"/>
    <x v="1"/>
    <x v="2"/>
    <s v="Standard"/>
  </r>
  <r>
    <s v="CTRL-1123"/>
    <s v="Incident Control 1123"/>
    <s v="RESPOND"/>
    <s v="RS.MA"/>
    <x v="2"/>
    <x v="1"/>
    <s v="United States"/>
    <x v="2"/>
    <s v="Liam Brown"/>
    <s v="Semiannual"/>
    <d v="2026-01-16T00:00:00"/>
    <d v="2027-01-16T00:00:00"/>
    <x v="2"/>
    <s v="Pending"/>
    <n v="1"/>
    <s v="Jordan Lee"/>
    <d v="2026-09-17T00:00:00"/>
    <s v="Overdue"/>
    <x v="1"/>
    <x v="1"/>
    <x v="3"/>
    <s v="Standard"/>
  </r>
  <r>
    <s v="CTRL-1124"/>
    <s v="Data Control 1124"/>
    <s v="IDENTIFY"/>
    <s v="ID.AM"/>
    <x v="2"/>
    <x v="1"/>
    <s v="United States"/>
    <x v="2"/>
    <s v="Liam Brown"/>
    <s v="Annual"/>
    <d v="2025-06-19T00:00:00"/>
    <d v="2025-12-16T00:00:00"/>
    <x v="0"/>
    <s v="Complete"/>
    <n v="0"/>
    <s v="Liam Brown"/>
    <d v="2026-06-13T00:00:00"/>
    <s v="Not Required"/>
    <x v="0"/>
    <x v="1"/>
    <x v="2"/>
    <s v="Standard"/>
  </r>
  <r>
    <s v="CTRL-1125"/>
    <s v="Reconciliation Control 1125"/>
    <s v="DETECT"/>
    <s v="DE.CM"/>
    <x v="5"/>
    <x v="2"/>
    <s v="United Kingdom"/>
    <x v="1"/>
    <s v="Alex Chen"/>
    <s v="Quarterly"/>
    <d v="2025-08-12T00:00:00"/>
    <d v="2025-11-10T00:00:00"/>
    <x v="0"/>
    <s v="Missing"/>
    <n v="2"/>
    <s v="Maya Patel"/>
    <d v="2026-09-25T00:00:00"/>
    <s v="Overdue"/>
    <x v="0"/>
    <x v="1"/>
    <x v="1"/>
    <s v="Standard"/>
  </r>
  <r>
    <s v="CTRL-1126"/>
    <s v="Vendor Control 1126"/>
    <s v="GOVERN"/>
    <s v="GV.OC"/>
    <x v="1"/>
    <x v="2"/>
    <s v="United Kingdom"/>
    <x v="1"/>
    <s v="Taylor Morgan"/>
    <s v="Annual"/>
    <d v="2025-12-13T00:00:00"/>
    <d v="2026-06-11T00:00:00"/>
    <x v="0"/>
    <s v="Missing"/>
    <n v="1"/>
    <s v="Taylor Morgan"/>
    <d v="2026-11-11T00:00:00"/>
    <s v="In Progress"/>
    <x v="0"/>
    <x v="1"/>
    <x v="1"/>
    <s v="Standard"/>
  </r>
  <r>
    <s v="CTRL-1127"/>
    <s v="Reconciliation Control 1127"/>
    <s v="IDENTIFY"/>
    <s v="ID.AM"/>
    <x v="0"/>
    <x v="0"/>
    <s v="Singapore"/>
    <x v="1"/>
    <s v="Alex Chen"/>
    <s v="Annual"/>
    <d v="2026-02-14T00:00:00"/>
    <d v="2027-02-14T00:00:00"/>
    <x v="3"/>
    <s v="Pending"/>
    <n v="3"/>
    <s v="Sam Rivera"/>
    <d v="2026-11-26T00:00:00"/>
    <s v="In Progress"/>
    <x v="1"/>
    <x v="1"/>
    <x v="3"/>
    <s v="Standard"/>
  </r>
  <r>
    <s v="CTRL-1128"/>
    <s v="Data Control 1128"/>
    <s v="GOVERN"/>
    <s v="GV.OC"/>
    <x v="2"/>
    <x v="2"/>
    <s v="Germany"/>
    <x v="0"/>
    <s v="Alex Chen"/>
    <s v="Quarterly"/>
    <d v="2025-07-19T00:00:00"/>
    <d v="2025-10-17T00:00:00"/>
    <x v="0"/>
    <s v="Missing"/>
    <n v="4"/>
    <s v="Alex Chen"/>
    <d v="2026-08-11T00:00:00"/>
    <s v="Overdue"/>
    <x v="0"/>
    <x v="1"/>
    <x v="1"/>
    <s v="Elevated"/>
  </r>
  <r>
    <s v="CTRL-1129"/>
    <s v="Access Control 1129"/>
    <s v="RESPOND"/>
    <s v="RS.MA"/>
    <x v="1"/>
    <x v="1"/>
    <s v="Canada"/>
    <x v="2"/>
    <m/>
    <s v="Annual"/>
    <d v="2026-02-02T00:00:00"/>
    <d v="2026-05-03T00:00:00"/>
    <x v="0"/>
    <s v="Complete"/>
    <n v="2"/>
    <s v="Taylor Morgan"/>
    <d v="2027-01-02T00:00:00"/>
    <s v="In Progress"/>
    <x v="0"/>
    <x v="0"/>
    <x v="2"/>
    <s v="Standard"/>
  </r>
  <r>
    <s v="CTRL-1130"/>
    <s v="Data Control 1130"/>
    <s v="GOVERN"/>
    <s v="GV.RR"/>
    <x v="4"/>
    <x v="0"/>
    <s v="Singapore"/>
    <x v="3"/>
    <s v="Sam Rivera"/>
    <s v="Annual"/>
    <d v="2025-12-11T00:00:00"/>
    <d v="2026-12-11T00:00:00"/>
    <x v="3"/>
    <s v="Complete"/>
    <n v="3"/>
    <s v="Sam Rivera"/>
    <d v="2027-01-15T00:00:00"/>
    <s v="In Progress"/>
    <x v="1"/>
    <x v="1"/>
    <x v="2"/>
    <s v="Elevated"/>
  </r>
  <r>
    <s v="CTRL-1131"/>
    <s v="Incident Control 1131"/>
    <s v="PROTECT"/>
    <s v="PR.AA"/>
    <x v="0"/>
    <x v="1"/>
    <s v="Canada"/>
    <x v="2"/>
    <s v="Sam Rivera"/>
    <s v="Semiannual"/>
    <d v="2026-01-08T00:00:00"/>
    <d v="2026-04-08T00:00:00"/>
    <x v="0"/>
    <s v="Complete"/>
    <n v="1"/>
    <s v="Emma Schmidt"/>
    <d v="2026-08-13T00:00:00"/>
    <s v="Completed"/>
    <x v="0"/>
    <x v="1"/>
    <x v="2"/>
    <s v="Standard"/>
  </r>
  <r>
    <s v="CTRL-1132"/>
    <s v="Change Control 1132"/>
    <s v="GOVERN"/>
    <s v="GV.RM"/>
    <x v="1"/>
    <x v="1"/>
    <s v="Canada"/>
    <x v="0"/>
    <s v="Noah Williams"/>
    <s v="Quarterly"/>
    <d v="2026-07-23T00:00:00"/>
    <d v="2027-01-19T00:00:00"/>
    <x v="1"/>
    <s v="Missing"/>
    <n v="5"/>
    <s v="Alex Chen"/>
    <d v="2027-01-08T00:00:00"/>
    <s v="In Progress"/>
    <x v="1"/>
    <x v="1"/>
    <x v="1"/>
    <s v="Elevated"/>
  </r>
  <r>
    <s v="CTRL-1133"/>
    <s v="Data Control 1133"/>
    <s v="RECOVER"/>
    <s v="RC.RP"/>
    <x v="2"/>
    <x v="1"/>
    <s v="United States"/>
    <x v="3"/>
    <s v="Maya Patel"/>
    <s v="Quarterly"/>
    <d v="2025-08-15T00:00:00"/>
    <d v="2026-02-11T00:00:00"/>
    <x v="0"/>
    <s v="Pending"/>
    <n v="0"/>
    <s v="Liam Brown"/>
    <d v="2026-12-15T00:00:00"/>
    <s v="Not Required"/>
    <x v="0"/>
    <x v="1"/>
    <x v="3"/>
    <s v="Elevated"/>
  </r>
  <r>
    <s v="CTRL-1134"/>
    <s v="Data Control 1134"/>
    <s v="GOVERN"/>
    <s v="GV.OC"/>
    <x v="0"/>
    <x v="0"/>
    <s v="Singapore"/>
    <x v="2"/>
    <s v="Maya Patel"/>
    <s v="Quarterly"/>
    <d v="2026-03-14T00:00:00"/>
    <d v="2026-06-12T00:00:00"/>
    <x v="0"/>
    <s v="Pending"/>
    <n v="1"/>
    <s v="Maya Patel"/>
    <d v="2027-01-07T00:00:00"/>
    <s v="In Progress"/>
    <x v="0"/>
    <x v="1"/>
    <x v="3"/>
    <s v="Standard"/>
  </r>
  <r>
    <s v="CTRL-1135"/>
    <s v="Change Control 1135"/>
    <s v="RESPOND"/>
    <s v="RS.MA"/>
    <x v="2"/>
    <x v="1"/>
    <s v="United States"/>
    <x v="1"/>
    <s v="Sam Rivera"/>
    <s v="Quarterly"/>
    <d v="2026-01-08T00:00:00"/>
    <d v="2027-01-08T00:00:00"/>
    <x v="1"/>
    <s v="Pending"/>
    <n v="3"/>
    <s v="Sam Rivera"/>
    <d v="2026-11-10T00:00:00"/>
    <s v="Completed"/>
    <x v="1"/>
    <x v="1"/>
    <x v="3"/>
    <s v="Standard"/>
  </r>
  <r>
    <s v="CTRL-1136"/>
    <s v="Reconciliation Control 1136"/>
    <s v="RESPOND"/>
    <s v="RS.MA"/>
    <x v="3"/>
    <x v="0"/>
    <s v="Singapore"/>
    <x v="0"/>
    <s v="Maya Patel"/>
    <s v="Annual"/>
    <d v="2025-08-25T00:00:00"/>
    <d v="2025-11-23T00:00:00"/>
    <x v="0"/>
    <s v="Missing"/>
    <n v="3"/>
    <s v="Noah Williams"/>
    <d v="2027-01-13T00:00:00"/>
    <s v="In Progress"/>
    <x v="0"/>
    <x v="1"/>
    <x v="1"/>
    <s v="Elevated"/>
  </r>
  <r>
    <s v="CTRL-1137"/>
    <s v="Reconciliation Control 1137"/>
    <s v="GOVERN"/>
    <s v="GV.OC"/>
    <x v="0"/>
    <x v="1"/>
    <s v="United States"/>
    <x v="2"/>
    <s v="Alex Chen"/>
    <s v="Semiannual"/>
    <d v="2025-11-22T00:00:00"/>
    <d v="2026-05-21T00:00:00"/>
    <x v="0"/>
    <s v="Complete"/>
    <n v="2"/>
    <s v="Maya Patel"/>
    <d v="2026-09-23T00:00:00"/>
    <s v="Overdue"/>
    <x v="0"/>
    <x v="1"/>
    <x v="2"/>
    <s v="Standard"/>
  </r>
  <r>
    <s v="CTRL-1138"/>
    <s v="Access Control 1138"/>
    <s v="DETECT"/>
    <s v="DE.CM"/>
    <x v="3"/>
    <x v="1"/>
    <s v="United States"/>
    <x v="2"/>
    <s v="Maya Patel"/>
    <s v="Annual"/>
    <d v="2025-11-11T00:00:00"/>
    <d v="2026-02-09T00:00:00"/>
    <x v="0"/>
    <s v="Pending"/>
    <n v="3"/>
    <s v="Alex Chen"/>
    <d v="2027-01-11T00:00:00"/>
    <s v="In Progress"/>
    <x v="0"/>
    <x v="1"/>
    <x v="3"/>
    <s v="Standard"/>
  </r>
  <r>
    <s v="CTRL-1139"/>
    <s v="Incident Control 1139"/>
    <s v="GOVERN"/>
    <s v="GV.RR"/>
    <x v="1"/>
    <x v="0"/>
    <s v="Singapore"/>
    <x v="2"/>
    <s v="Emma Schmidt"/>
    <s v="Semiannual"/>
    <d v="2026-04-13T00:00:00"/>
    <d v="2026-07-12T00:00:00"/>
    <x v="0"/>
    <s v="Complete"/>
    <n v="0"/>
    <s v="Emma Schmidt"/>
    <d v="2026-09-03T00:00:00"/>
    <s v="Not Required"/>
    <x v="0"/>
    <x v="1"/>
    <x v="2"/>
    <s v="Standard"/>
  </r>
  <r>
    <s v="CTRL-1140"/>
    <s v="Access Control 1140"/>
    <s v="RESPOND"/>
    <s v="RS.MA"/>
    <x v="2"/>
    <x v="1"/>
    <s v="Canada"/>
    <x v="0"/>
    <s v="Maya Patel"/>
    <s v="Quarterly"/>
    <d v="2025-12-13T00:00:00"/>
    <d v="2026-06-11T00:00:00"/>
    <x v="0"/>
    <s v="Complete"/>
    <n v="3"/>
    <s v="Taylor Morgan"/>
    <d v="2026-09-07T00:00:00"/>
    <s v="Overdue"/>
    <x v="0"/>
    <x v="1"/>
    <x v="2"/>
    <s v="Elevated"/>
  </r>
  <r>
    <s v="CTRL-1141"/>
    <s v="Access Control 1141"/>
    <s v="GOVERN"/>
    <s v="GV.RM"/>
    <x v="5"/>
    <x v="2"/>
    <s v="United Kingdom"/>
    <x v="1"/>
    <s v="Jordan Lee"/>
    <s v="Semiannual"/>
    <d v="2025-05-22T00:00:00"/>
    <d v="2026-05-22T00:00:00"/>
    <x v="0"/>
    <s v="Missing"/>
    <n v="0"/>
    <s v="Noah Williams"/>
    <d v="2026-10-05T00:00:00"/>
    <s v="Not Required"/>
    <x v="0"/>
    <x v="1"/>
    <x v="1"/>
    <s v="Standard"/>
  </r>
  <r>
    <s v="CTRL-1142"/>
    <s v="Policy Control 1142"/>
    <s v="GOVERN"/>
    <s v="GV.RM"/>
    <x v="1"/>
    <x v="2"/>
    <s v="United Kingdom"/>
    <x v="2"/>
    <s v="Maya Patel"/>
    <s v="Annual"/>
    <d v="2026-05-15T00:00:00"/>
    <d v="2026-08-13T00:00:00"/>
    <x v="0"/>
    <s v="Pending"/>
    <n v="2"/>
    <s v="Taylor Morgan"/>
    <d v="2027-01-09T00:00:00"/>
    <s v="In Progress"/>
    <x v="0"/>
    <x v="1"/>
    <x v="3"/>
    <s v="Standard"/>
  </r>
  <r>
    <s v="CTRL-1143"/>
    <s v="Data Control 1143"/>
    <s v="GOVERN"/>
    <s v="GV.RM"/>
    <x v="0"/>
    <x v="0"/>
    <s v="Singapore"/>
    <x v="0"/>
    <s v="Alex Chen"/>
    <s v="Quarterly"/>
    <d v="2026-04-04T00:00:00"/>
    <d v="2026-10-01T00:00:00"/>
    <x v="1"/>
    <s v="Pending"/>
    <n v="2"/>
    <s v="Maya Patel"/>
    <d v="2026-04-29T00:00:00"/>
    <s v="Completed"/>
    <x v="1"/>
    <x v="1"/>
    <x v="3"/>
    <s v="Elevated"/>
  </r>
  <r>
    <s v="CTRL-1144"/>
    <s v="Access Control 1144"/>
    <s v="IDENTIFY"/>
    <s v="ID.AM"/>
    <x v="4"/>
    <x v="2"/>
    <s v="United Kingdom"/>
    <x v="0"/>
    <s v="Emma Schmidt"/>
    <s v="Semiannual"/>
    <d v="2025-12-07T00:00:00"/>
    <d v="2026-03-07T00:00:00"/>
    <x v="0"/>
    <s v="Pending"/>
    <n v="1"/>
    <s v="Jordan Lee"/>
    <d v="2027-01-15T00:00:00"/>
    <s v="In Progress"/>
    <x v="0"/>
    <x v="1"/>
    <x v="3"/>
    <s v="Elevated"/>
  </r>
  <r>
    <s v="CTRL-1145"/>
    <s v="Access Control 1145"/>
    <s v="RESPOND"/>
    <s v="RS.MA"/>
    <x v="5"/>
    <x v="1"/>
    <s v="United States"/>
    <x v="0"/>
    <s v="Liam Brown"/>
    <s v="Annual"/>
    <d v="2026-05-22T00:00:00"/>
    <d v="2027-05-22T00:00:00"/>
    <x v="3"/>
    <s v="Missing"/>
    <n v="5"/>
    <s v="Taylor Morgan"/>
    <d v="2026-12-19T00:00:00"/>
    <s v="Completed"/>
    <x v="1"/>
    <x v="1"/>
    <x v="1"/>
    <s v="Elevated"/>
  </r>
  <r>
    <s v="CTRL-1146"/>
    <s v="Reconciliation Control 1146"/>
    <s v="PROTECT"/>
    <s v="PR.AA"/>
    <x v="4"/>
    <x v="0"/>
    <s v="Singapore"/>
    <x v="2"/>
    <s v="Alex Chen"/>
    <s v="Quarterly"/>
    <d v="2026-02-02T00:00:00"/>
    <d v="2026-05-03T00:00:00"/>
    <x v="0"/>
    <s v="Missing"/>
    <n v="3"/>
    <s v="Emma Schmidt"/>
    <d v="2026-07-10T00:00:00"/>
    <s v="Overdue"/>
    <x v="0"/>
    <x v="1"/>
    <x v="1"/>
    <s v="Standard"/>
  </r>
  <r>
    <s v="CTRL-1147"/>
    <s v="Access Control 1147"/>
    <s v="RECOVER"/>
    <s v="RC.RP"/>
    <x v="3"/>
    <x v="0"/>
    <s v="Singapore"/>
    <x v="1"/>
    <s v="Sam Rivera"/>
    <s v="Quarterly"/>
    <d v="2025-10-30T00:00:00"/>
    <d v="2026-01-28T00:00:00"/>
    <x v="0"/>
    <s v="Missing"/>
    <n v="3"/>
    <s v="Emma Schmidt"/>
    <d v="2026-08-11T00:00:00"/>
    <s v="Overdue"/>
    <x v="0"/>
    <x v="1"/>
    <x v="1"/>
    <s v="Standard"/>
  </r>
  <r>
    <s v="CTRL-1148"/>
    <s v="Incident Control 1148"/>
    <s v="GOVERN"/>
    <s v="GV.RR"/>
    <x v="5"/>
    <x v="0"/>
    <s v="Singapore"/>
    <x v="1"/>
    <s v="Jordan Lee"/>
    <s v="Quarterly"/>
    <d v="2025-11-19T00:00:00"/>
    <d v="2026-02-17T00:00:00"/>
    <x v="0"/>
    <s v="Missing"/>
    <n v="0"/>
    <s v="Sam Rivera"/>
    <d v="2026-08-08T00:00:00"/>
    <s v="Not Required"/>
    <x v="0"/>
    <x v="1"/>
    <x v="1"/>
    <s v="Standard"/>
  </r>
  <r>
    <s v="CTRL-1149"/>
    <s v="Policy Control 1149"/>
    <s v="GOVERN"/>
    <s v="GV.RM"/>
    <x v="5"/>
    <x v="1"/>
    <s v="United StatesA"/>
    <x v="1"/>
    <s v="Emma Schmidt"/>
    <s v="Annual"/>
    <d v="2026-07-04T00:00:00"/>
    <d v="2026-10-02T00:00:00"/>
    <x v="1"/>
    <s v="Complete"/>
    <n v="0"/>
    <s v="Alex Chen"/>
    <d v="2026-07-19T00:00:00"/>
    <s v="Not Required"/>
    <x v="1"/>
    <x v="1"/>
    <x v="2"/>
    <s v="Standard"/>
  </r>
  <r>
    <s v="CTRL-1150"/>
    <s v="Vendor Control 1150"/>
    <s v="PROTECT"/>
    <s v="PR.AA"/>
    <x v="2"/>
    <x v="2"/>
    <s v="United Kingdom"/>
    <x v="1"/>
    <s v="Jordan Lee"/>
    <s v="Annual"/>
    <d v="2026-06-27T00:00:00"/>
    <d v="2027-06-27T00:00:00"/>
    <x v="3"/>
    <s v="Pending"/>
    <n v="2"/>
    <s v="Sam Rivera"/>
    <d v="2026-10-30T00:00:00"/>
    <s v="In Progress"/>
    <x v="1"/>
    <x v="1"/>
    <x v="3"/>
    <s v="Standard"/>
  </r>
  <r>
    <s v="CTRL-1151"/>
    <s v="Vendor Control 1151"/>
    <s v="PROTECT"/>
    <s v="PR.AA"/>
    <x v="1"/>
    <x v="0"/>
    <s v="Singapore"/>
    <x v="2"/>
    <s v="Sam Rivera"/>
    <s v="Quarterly"/>
    <d v="2025-06-22T00:00:00"/>
    <d v="2026-06-22T00:00:00"/>
    <x v="0"/>
    <s v="Missing"/>
    <n v="1"/>
    <s v="Taylor Morgan"/>
    <d v="2026-12-09T00:00:00"/>
    <s v="In Progress"/>
    <x v="0"/>
    <x v="1"/>
    <x v="1"/>
    <s v="Standard"/>
  </r>
  <r>
    <s v="CTRL-1152"/>
    <s v="Change Control 1152"/>
    <s v="PROTECT"/>
    <s v="PR.AA"/>
    <x v="4"/>
    <x v="1"/>
    <s v="Canada"/>
    <x v="1"/>
    <s v="Alex Chen"/>
    <s v="Semiannual"/>
    <d v="2025-08-23T00:00:00"/>
    <d v="2026-02-19T00:00:00"/>
    <x v="0"/>
    <s v="Missing"/>
    <n v="2"/>
    <s v="Taylor Morgan"/>
    <d v="2026-07-16T00:00:00"/>
    <s v="Overdue"/>
    <x v="0"/>
    <x v="1"/>
    <x v="1"/>
    <s v="Standard"/>
  </r>
  <r>
    <s v="CTRL-1153"/>
    <s v="Policy Control 1153"/>
    <s v="PROTECT"/>
    <s v="PR.AA"/>
    <x v="0"/>
    <x v="1"/>
    <s v="Canada"/>
    <x v="2"/>
    <s v="Maya Patel"/>
    <s v="Semiannual"/>
    <d v="2025-11-14T00:00:00"/>
    <d v="2026-05-13T00:00:00"/>
    <x v="0"/>
    <s v="Pending"/>
    <n v="2"/>
    <s v="Emma Schmidt"/>
    <d v="2026-07-26T00:00:00"/>
    <s v="Overdue"/>
    <x v="0"/>
    <x v="1"/>
    <x v="3"/>
    <s v="Standard"/>
  </r>
  <r>
    <s v="CTRL-1154"/>
    <s v="Data Control 1154"/>
    <s v="DETECT"/>
    <s v="DE.CM"/>
    <x v="4"/>
    <x v="2"/>
    <s v="United Kingdom"/>
    <x v="1"/>
    <s v="Jordan Lee"/>
    <s v="Semiannual"/>
    <d v="2026-09-02T00:00:00"/>
    <d v="2026-12-01T00:00:00"/>
    <x v="2"/>
    <s v="Complete"/>
    <n v="1"/>
    <s v="Maya Patel"/>
    <d v="2026-05-29T00:00:00"/>
    <s v="Completed"/>
    <x v="1"/>
    <x v="1"/>
    <x v="2"/>
    <s v="Standard"/>
  </r>
  <r>
    <s v="CTRL-1155"/>
    <s v="Incident Control 1155"/>
    <s v="GOVERN"/>
    <s v="GV.RR"/>
    <x v="5"/>
    <x v="2"/>
    <s v="Germany"/>
    <x v="2"/>
    <s v="Maya Patel"/>
    <s v="Semiannual"/>
    <d v="2025-11-24T00:00:00"/>
    <d v="2026-02-22T00:00:00"/>
    <x v="0"/>
    <s v="Complete"/>
    <n v="2"/>
    <s v="Alex Chen"/>
    <d v="2026-08-10T00:00:00"/>
    <s v="Overdue"/>
    <x v="0"/>
    <x v="1"/>
    <x v="2"/>
    <s v="Standard"/>
  </r>
  <r>
    <s v="CTRL-1156"/>
    <s v="Incident Control 1156"/>
    <s v="PROTECT"/>
    <s v="PR.AA"/>
    <x v="2"/>
    <x v="1"/>
    <s v="United States"/>
    <x v="0"/>
    <s v="Emma Schmidt"/>
    <s v="Semiannual"/>
    <d v="2025-11-24T00:00:00"/>
    <d v="2026-05-23T00:00:00"/>
    <x v="0"/>
    <s v="Complete"/>
    <n v="3"/>
    <s v="Taylor Morgan"/>
    <d v="2026-07-11T00:00:00"/>
    <s v="Completed"/>
    <x v="0"/>
    <x v="1"/>
    <x v="2"/>
    <s v="Elevated"/>
  </r>
  <r>
    <s v="CTRL-1157"/>
    <s v="Reconciliation Control 1157"/>
    <s v="IDENTIFY"/>
    <s v="ID.AM"/>
    <x v="3"/>
    <x v="0"/>
    <s v="Singapore"/>
    <x v="1"/>
    <s v="Emma Schmidt"/>
    <s v="Quarterly"/>
    <d v="2025-10-03T00:00:00"/>
    <d v="2026-10-03T00:00:00"/>
    <x v="2"/>
    <s v="Complete"/>
    <n v="3"/>
    <s v="Noah Williams"/>
    <d v="2026-11-30T00:00:00"/>
    <s v="In Progress"/>
    <x v="1"/>
    <x v="1"/>
    <x v="2"/>
    <s v="Standard"/>
  </r>
  <r>
    <s v="CTRL-1158"/>
    <s v="Change Control 1158"/>
    <s v="GOVERN"/>
    <s v="GV.RR"/>
    <x v="1"/>
    <x v="2"/>
    <s v="Germany"/>
    <x v="2"/>
    <s v="Liam Brown"/>
    <s v="Semiannual"/>
    <d v="2026-05-17T00:00:00"/>
    <d v="2026-11-13T00:00:00"/>
    <x v="3"/>
    <s v="Missing"/>
    <n v="0"/>
    <s v="Alex Chen"/>
    <d v="2026-05-25T00:00:00"/>
    <s v="Not Required"/>
    <x v="1"/>
    <x v="1"/>
    <x v="1"/>
    <s v="Standard"/>
  </r>
  <r>
    <s v="CTRL-1159"/>
    <s v="Reconciliation Control 1159"/>
    <s v="IDENTIFY"/>
    <s v="ID.AM"/>
    <x v="4"/>
    <x v="1"/>
    <s v="Canada"/>
    <x v="2"/>
    <s v="Maya Patel"/>
    <s v="Quarterly"/>
    <d v="2026-07-20T00:00:00"/>
    <d v="2027-07-20T00:00:00"/>
    <x v="2"/>
    <s v="Missing"/>
    <n v="1"/>
    <s v="Alex Chen"/>
    <d v="2026-07-25T00:00:00"/>
    <s v="Overdue"/>
    <x v="1"/>
    <x v="1"/>
    <x v="1"/>
    <s v="Standard"/>
  </r>
  <r>
    <s v="CTRL-1160"/>
    <s v="Policy Control 1160"/>
    <s v="GOVERN"/>
    <s v="GV.RM"/>
    <x v="3"/>
    <x v="2"/>
    <s v="United Kingdom"/>
    <x v="2"/>
    <s v="Taylor Morgan"/>
    <s v="Semiannual"/>
    <d v="2025-10-16T00:00:00"/>
    <d v="2026-10-16T00:00:00"/>
    <x v="3"/>
    <s v="Complete"/>
    <n v="2"/>
    <s v="Sam Rivera"/>
    <d v="2026-08-02T00:00:00"/>
    <s v="Overdue"/>
    <x v="1"/>
    <x v="1"/>
    <x v="2"/>
    <s v="Standard"/>
  </r>
  <r>
    <s v="CTRL-1161"/>
    <s v="Data Control 1161"/>
    <s v="IDENTIFY"/>
    <s v="ID.AM"/>
    <x v="5"/>
    <x v="1"/>
    <s v="Canada"/>
    <x v="1"/>
    <s v="Jordan Lee"/>
    <s v="Semiannual"/>
    <d v="2025-10-09T00:00:00"/>
    <d v="2026-10-09T00:00:00"/>
    <x v="2"/>
    <s v="Complete"/>
    <n v="3"/>
    <s v="Alex Chen"/>
    <d v="2026-09-19T00:00:00"/>
    <s v="Completed"/>
    <x v="1"/>
    <x v="1"/>
    <x v="2"/>
    <s v="Standard"/>
  </r>
  <r>
    <s v="CTRL-1162"/>
    <s v="Change Control 1162"/>
    <s v="IDENTIFY"/>
    <s v="ID.AM"/>
    <x v="2"/>
    <x v="2"/>
    <s v="Germany"/>
    <x v="0"/>
    <s v="Jordan Lee"/>
    <s v="Quarterly"/>
    <d v="2026-08-28T00:00:00"/>
    <d v="2027-08-28T00:00:00"/>
    <x v="1"/>
    <s v="Missing"/>
    <n v="4"/>
    <s v="Sam Rivera"/>
    <d v="2026-04-13T00:00:00"/>
    <s v="Overdue"/>
    <x v="1"/>
    <x v="1"/>
    <x v="1"/>
    <s v="Elevated"/>
  </r>
  <r>
    <s v="CTRL-1163"/>
    <s v="Change Control 1163"/>
    <s v="RECOVER"/>
    <s v="RC.RP"/>
    <x v="5"/>
    <x v="0"/>
    <s v="Singapore"/>
    <x v="1"/>
    <s v="Sam Rivera"/>
    <s v="Annual"/>
    <d v="2026-06-01T00:00:00"/>
    <d v="2026-08-30T00:00:00"/>
    <x v="0"/>
    <m/>
    <n v="2"/>
    <s v="Jordan Lee"/>
    <d v="2026-11-24T00:00:00"/>
    <s v="Completed"/>
    <x v="0"/>
    <x v="1"/>
    <x v="0"/>
    <s v="Standard"/>
  </r>
  <r>
    <s v="CTRL-1164"/>
    <s v="Vendor Control 1164"/>
    <s v="GOVERN"/>
    <s v="GV.RR"/>
    <x v="5"/>
    <x v="1"/>
    <s v="United States"/>
    <x v="0"/>
    <s v="Sam Rivera"/>
    <s v="Semiannual"/>
    <d v="2026-03-07T00:00:00"/>
    <d v="2027-03-07T00:00:00"/>
    <x v="2"/>
    <s v="Missing"/>
    <n v="3"/>
    <s v="Alex Chen"/>
    <d v="2026-06-20T00:00:00"/>
    <s v="Overdue"/>
    <x v="1"/>
    <x v="1"/>
    <x v="1"/>
    <s v="Elevated"/>
  </r>
  <r>
    <s v="CTRL-1165"/>
    <s v="Incident Control 1165"/>
    <s v="IDENTIFY"/>
    <s v="ID.AM"/>
    <x v="0"/>
    <x v="1"/>
    <s v="Canada"/>
    <x v="2"/>
    <s v="Emma Schmidt"/>
    <s v="Quarterly"/>
    <d v="2026-07-17T00:00:00"/>
    <d v="2026-10-15T00:00:00"/>
    <x v="3"/>
    <s v="Complete"/>
    <n v="1"/>
    <s v="Taylor Morgan"/>
    <d v="2026-11-01T00:00:00"/>
    <s v="Completed"/>
    <x v="1"/>
    <x v="1"/>
    <x v="2"/>
    <s v="Standard"/>
  </r>
  <r>
    <s v="CTRL-1166"/>
    <s v="Incident Control 1166"/>
    <s v="IDENTIFY"/>
    <s v="ID.AM"/>
    <x v="4"/>
    <x v="0"/>
    <s v="Singapore"/>
    <x v="1"/>
    <s v="Sam Rivera"/>
    <s v="Quarterly"/>
    <d v="2026-01-24T00:00:00"/>
    <d v="2026-07-23T00:00:00"/>
    <x v="0"/>
    <s v="Complete"/>
    <n v="3"/>
    <s v="Sam Rivera"/>
    <d v="2026-08-23T00:00:00"/>
    <s v="Completed"/>
    <x v="0"/>
    <x v="1"/>
    <x v="2"/>
    <s v="Standard"/>
  </r>
  <r>
    <s v="CTRL-1167"/>
    <s v="Change Control 1167"/>
    <s v="GOVERN"/>
    <s v="GV.OC"/>
    <x v="4"/>
    <x v="2"/>
    <s v="Germany"/>
    <x v="0"/>
    <s v="Liam Brown"/>
    <s v="Annual"/>
    <d v="2025-05-24T00:00:00"/>
    <d v="2025-08-22T00:00:00"/>
    <x v="0"/>
    <s v="Missing"/>
    <n v="0"/>
    <s v="Maya Patel"/>
    <d v="2026-06-06T00:00:00"/>
    <s v="Not Required"/>
    <x v="0"/>
    <x v="1"/>
    <x v="1"/>
    <s v="Elevated"/>
  </r>
  <r>
    <s v="CTRL-1168"/>
    <s v="Change Control 1168"/>
    <s v="GOVERN"/>
    <s v="GV.RM"/>
    <x v="4"/>
    <x v="0"/>
    <s v="Singapore"/>
    <x v="0"/>
    <s v="Jordan Lee"/>
    <s v="Annual"/>
    <d v="2026-08-14T00:00:00"/>
    <d v="2027-08-14T00:00:00"/>
    <x v="1"/>
    <s v="Complete"/>
    <n v="1"/>
    <s v="Maya Patel"/>
    <d v="2026-08-04T00:00:00"/>
    <s v="Overdue"/>
    <x v="1"/>
    <x v="1"/>
    <x v="2"/>
    <s v="Elevated"/>
  </r>
  <r>
    <s v="CTRL-1169"/>
    <s v="Change Control 1169"/>
    <s v="IDENTIFY"/>
    <s v="ID.AM"/>
    <x v="2"/>
    <x v="2"/>
    <s v="United Kingdom"/>
    <x v="1"/>
    <s v="Jordan Lee"/>
    <s v="Quarterly"/>
    <d v="2025-07-14T00:00:00"/>
    <d v="2025-10-12T00:00:00"/>
    <x v="0"/>
    <s v="Complete"/>
    <n v="3"/>
    <s v="Maya Patel"/>
    <d v="2026-12-10T00:00:00"/>
    <s v="In Progress"/>
    <x v="0"/>
    <x v="1"/>
    <x v="2"/>
    <s v="Standard"/>
  </r>
  <r>
    <s v="CTRL-1170"/>
    <s v="Change Control 1170"/>
    <s v="RECOVER"/>
    <s v="RC.RP"/>
    <x v="3"/>
    <x v="0"/>
    <s v="Singapore"/>
    <x v="2"/>
    <s v="Emma Schmidt"/>
    <s v="Annual"/>
    <d v="2025-09-06T00:00:00"/>
    <d v="2026-09-06T00:00:00"/>
    <x v="0"/>
    <s v="Missing"/>
    <n v="0"/>
    <s v="Taylor Morgan"/>
    <d v="2026-09-14T00:00:00"/>
    <s v="Not Required"/>
    <x v="0"/>
    <x v="1"/>
    <x v="1"/>
    <s v="Standard"/>
  </r>
  <r>
    <s v="CTRL-1171"/>
    <s v="Reconciliation Control 1171"/>
    <s v="GOVERN"/>
    <s v="GV.RM"/>
    <x v="0"/>
    <x v="2"/>
    <s v="United Kingdom"/>
    <x v="0"/>
    <s v="Alex Chen"/>
    <s v="Quarterly"/>
    <d v="2025-08-10T00:00:00"/>
    <d v="2026-08-10T00:00:00"/>
    <x v="0"/>
    <s v="Missing"/>
    <n v="0"/>
    <s v="Maya Patel"/>
    <d v="2026-04-18T00:00:00"/>
    <s v="Not Required"/>
    <x v="0"/>
    <x v="1"/>
    <x v="1"/>
    <s v="Elevated"/>
  </r>
  <r>
    <s v="CTRL-1172"/>
    <s v="Reconciliation Control 1172"/>
    <s v="DETECT"/>
    <s v="DE.CM"/>
    <x v="4"/>
    <x v="1"/>
    <s v="United States"/>
    <x v="3"/>
    <s v="Maya Patel"/>
    <s v="Semiannual"/>
    <d v="2026-01-29T00:00:00"/>
    <d v="2027-01-29T00:00:00"/>
    <x v="3"/>
    <s v="Missing"/>
    <n v="5"/>
    <s v="Maya Patel"/>
    <d v="2026-04-16T00:00:00"/>
    <s v="Overdue"/>
    <x v="1"/>
    <x v="1"/>
    <x v="1"/>
    <s v="Elevated"/>
  </r>
  <r>
    <s v="CTRL-1173"/>
    <s v="Change Control 1173"/>
    <s v="GOVERN"/>
    <s v="GV.RM"/>
    <x v="2"/>
    <x v="0"/>
    <s v="Singapore"/>
    <x v="1"/>
    <s v="Maya Patel"/>
    <s v="Quarterly"/>
    <d v="2025-12-05T00:00:00"/>
    <d v="2026-03-05T00:00:00"/>
    <x v="0"/>
    <s v="Missing"/>
    <n v="3"/>
    <s v="Taylor Morgan"/>
    <d v="2026-08-28T00:00:00"/>
    <s v="Overdue"/>
    <x v="0"/>
    <x v="1"/>
    <x v="1"/>
    <s v="Standard"/>
  </r>
  <r>
    <s v="CTRL-1174"/>
    <s v="Access Control 1174"/>
    <s v="GOVERN"/>
    <s v="GV.OC"/>
    <x v="2"/>
    <x v="0"/>
    <s v="Singapore"/>
    <x v="2"/>
    <s v="Alex Chen"/>
    <s v="Annual"/>
    <d v="2025-12-25T00:00:00"/>
    <d v="2026-06-23T00:00:00"/>
    <x v="0"/>
    <s v="Pending"/>
    <n v="0"/>
    <s v="Taylor Morgan"/>
    <d v="2026-04-25T00:00:00"/>
    <s v="Not Required"/>
    <x v="0"/>
    <x v="1"/>
    <x v="3"/>
    <s v="Standard"/>
  </r>
  <r>
    <s v="CTRL-1175"/>
    <s v="Change Control 1175"/>
    <s v="GOVERN"/>
    <s v="GV.RM"/>
    <x v="2"/>
    <x v="1"/>
    <s v="Canada"/>
    <x v="2"/>
    <s v="Maya Patel"/>
    <s v="Semiannual"/>
    <d v="2026-03-09T00:00:00"/>
    <d v="2027-03-09T00:00:00"/>
    <x v="1"/>
    <s v="Missing"/>
    <n v="1"/>
    <s v="Jordan Lee"/>
    <d v="2026-10-27T00:00:00"/>
    <s v="In Progress"/>
    <x v="1"/>
    <x v="1"/>
    <x v="1"/>
    <s v="Standard"/>
  </r>
  <r>
    <s v="CTRL-1176"/>
    <s v="Incident Control 1176"/>
    <s v="GOVERN"/>
    <s v="GV.OC"/>
    <x v="2"/>
    <x v="2"/>
    <s v="United Kingdom"/>
    <x v="2"/>
    <m/>
    <s v="Semiannual"/>
    <d v="2026-08-16T00:00:00"/>
    <d v="2027-02-12T00:00:00"/>
    <x v="1"/>
    <s v="Complete"/>
    <n v="3"/>
    <s v="Alex Chen"/>
    <d v="2026-04-24T00:00:00"/>
    <s v="Overdue"/>
    <x v="1"/>
    <x v="0"/>
    <x v="2"/>
    <s v="Standard"/>
  </r>
  <r>
    <s v="CTRL-1177"/>
    <s v="Policy Control 1177"/>
    <s v="PROTECT"/>
    <s v="PR.AA"/>
    <x v="1"/>
    <x v="2"/>
    <s v="United Kingdom"/>
    <x v="2"/>
    <s v="Liam Brown"/>
    <s v="Quarterly"/>
    <d v="2025-10-29T00:00:00"/>
    <d v="2026-04-27T00:00:00"/>
    <x v="0"/>
    <s v="Complete"/>
    <n v="1"/>
    <s v="Maya Patel"/>
    <d v="2026-06-06T00:00:00"/>
    <s v="Completed"/>
    <x v="0"/>
    <x v="1"/>
    <x v="2"/>
    <s v="Standard"/>
  </r>
  <r>
    <s v="CTRL-1178"/>
    <s v="Data Control 1178"/>
    <s v="IDENTIFY"/>
    <s v="ID.AM"/>
    <x v="3"/>
    <x v="2"/>
    <s v="Germany"/>
    <x v="1"/>
    <s v="Alex Chen"/>
    <s v="Quarterly"/>
    <d v="2026-04-30T00:00:00"/>
    <d v="2027-04-30T00:00:00"/>
    <x v="3"/>
    <s v="Missing"/>
    <n v="3"/>
    <s v="Emma Schmidt"/>
    <d v="2026-12-14T00:00:00"/>
    <s v="In Progress"/>
    <x v="1"/>
    <x v="1"/>
    <x v="1"/>
    <s v="Standard"/>
  </r>
  <r>
    <s v="CTRL-1179"/>
    <s v="Data Control 1179"/>
    <s v="RESPOND"/>
    <s v="RS.MA"/>
    <x v="3"/>
    <x v="0"/>
    <s v="Singapore"/>
    <x v="2"/>
    <s v="Emma Schmidt"/>
    <s v="Annual"/>
    <d v="2026-04-26T00:00:00"/>
    <d v="2026-07-25T00:00:00"/>
    <x v="0"/>
    <s v="Complete"/>
    <n v="0"/>
    <s v="Taylor Morgan"/>
    <d v="2026-06-14T00:00:00"/>
    <s v="Not Required"/>
    <x v="0"/>
    <x v="1"/>
    <x v="2"/>
    <s v="Standard"/>
  </r>
  <r>
    <s v="CTRL-1180"/>
    <s v="Policy Control 1180"/>
    <s v="RESPOND"/>
    <s v="RS.MA"/>
    <x v="3"/>
    <x v="0"/>
    <s v="Singapore"/>
    <x v="2"/>
    <s v="Taylor Morgan"/>
    <s v="Annual"/>
    <d v="2026-02-14T00:00:00"/>
    <d v="2026-08-13T00:00:00"/>
    <x v="0"/>
    <s v="Complete"/>
    <n v="0"/>
    <s v="Jordan Lee"/>
    <d v="2026-08-05T00:00:00"/>
    <s v="Not Required"/>
    <x v="0"/>
    <x v="1"/>
    <x v="2"/>
    <s v="Standard"/>
  </r>
  <r>
    <s v="CTRL-1181"/>
    <s v="Policy Control 1181"/>
    <s v="DETECT"/>
    <s v="DE.CM"/>
    <x v="1"/>
    <x v="2"/>
    <s v="Germany"/>
    <x v="1"/>
    <s v="Taylor Morgan"/>
    <s v="Semiannual"/>
    <d v="2026-07-30T00:00:00"/>
    <d v="2027-01-26T00:00:00"/>
    <x v="2"/>
    <s v="Pending"/>
    <n v="3"/>
    <s v="Alex Chen"/>
    <d v="2026-06-22T00:00:00"/>
    <s v="Overdue"/>
    <x v="1"/>
    <x v="1"/>
    <x v="3"/>
    <s v="Standard"/>
  </r>
  <r>
    <s v="CTRL-1182"/>
    <s v="Vendor Control 1182"/>
    <s v="RECOVER"/>
    <s v="RC.RP"/>
    <x v="1"/>
    <x v="1"/>
    <s v="Canada"/>
    <x v="0"/>
    <s v="Noah Williams"/>
    <s v="Semiannual"/>
    <d v="2026-03-20T00:00:00"/>
    <d v="2027-03-20T00:00:00"/>
    <x v="2"/>
    <s v="Complete"/>
    <n v="5"/>
    <s v="Emma Schmidt"/>
    <d v="2026-04-14T00:00:00"/>
    <s v="Overdue"/>
    <x v="1"/>
    <x v="1"/>
    <x v="2"/>
    <s v="Elevated"/>
  </r>
  <r>
    <s v="CTRL-1183"/>
    <s v="Data Control 1183"/>
    <s v="IDENTIFY"/>
    <s v="ID.AM"/>
    <x v="3"/>
    <x v="2"/>
    <s v="Germany"/>
    <x v="2"/>
    <s v="Alex Chen"/>
    <s v="Annual"/>
    <d v="2025-08-11T00:00:00"/>
    <d v="2025-11-09T00:00:00"/>
    <x v="0"/>
    <s v="Missing"/>
    <n v="0"/>
    <s v="Jordan Lee"/>
    <d v="2026-10-08T00:00:00"/>
    <s v="Not Required"/>
    <x v="0"/>
    <x v="1"/>
    <x v="1"/>
    <s v="Standard"/>
  </r>
  <r>
    <s v="CTRL-1184"/>
    <s v="Policy Control 1184"/>
    <s v="GOVERN"/>
    <s v="GV.OC"/>
    <x v="5"/>
    <x v="2"/>
    <s v="Germany"/>
    <x v="3"/>
    <s v="Liam Brown"/>
    <s v="Semiannual"/>
    <d v="2025-11-02T00:00:00"/>
    <d v="2026-11-02T00:00:00"/>
    <x v="1"/>
    <s v="Missing"/>
    <n v="2"/>
    <s v="Sam Rivera"/>
    <d v="2026-04-22T00:00:00"/>
    <s v="Completed"/>
    <x v="1"/>
    <x v="1"/>
    <x v="1"/>
    <s v="Elevated"/>
  </r>
  <r>
    <s v="CTRL-1185"/>
    <s v="Policy Control 1185"/>
    <s v="IDENTIFY"/>
    <s v="ID.AM"/>
    <x v="1"/>
    <x v="1"/>
    <s v="United States"/>
    <x v="3"/>
    <s v="Noah Williams"/>
    <s v="Quarterly"/>
    <d v="2026-06-03T00:00:00"/>
    <d v="2027-06-03T00:00:00"/>
    <x v="1"/>
    <s v="Pending"/>
    <n v="5"/>
    <s v="Maya Patel"/>
    <d v="2026-06-04T00:00:00"/>
    <s v="Overdue"/>
    <x v="1"/>
    <x v="1"/>
    <x v="3"/>
    <s v="Elevated"/>
  </r>
  <r>
    <s v="CTRL-1186"/>
    <s v="Data Control 1186"/>
    <s v="IDENTIFY"/>
    <s v="ID.AM"/>
    <x v="5"/>
    <x v="1"/>
    <s v="United States"/>
    <x v="2"/>
    <s v="Liam Brown"/>
    <s v="Quarterly"/>
    <d v="2025-09-06T00:00:00"/>
    <d v="2025-12-05T00:00:00"/>
    <x v="0"/>
    <s v="Missing"/>
    <n v="0"/>
    <s v="Sam Rivera"/>
    <d v="2026-07-13T00:00:00"/>
    <s v="Not Required"/>
    <x v="0"/>
    <x v="1"/>
    <x v="1"/>
    <s v="Standard"/>
  </r>
  <r>
    <s v="CTRL-1187"/>
    <s v="Policy Control 1187"/>
    <s v="GOVERN"/>
    <s v="GV.RM"/>
    <x v="1"/>
    <x v="2"/>
    <s v="United Kingdom"/>
    <x v="2"/>
    <s v="Noah Williams"/>
    <s v="Annual"/>
    <d v="2026-05-18T00:00:00"/>
    <d v="2026-08-16T00:00:00"/>
    <x v="0"/>
    <s v="Pending"/>
    <n v="0"/>
    <s v="Liam Brown"/>
    <d v="2026-05-12T00:00:00"/>
    <s v="Not Required"/>
    <x v="0"/>
    <x v="1"/>
    <x v="3"/>
    <s v="Standard"/>
  </r>
  <r>
    <s v="CTRL-1188"/>
    <s v="Change Control 1188"/>
    <s v="GOVERN"/>
    <s v="GV.RR"/>
    <x v="0"/>
    <x v="2"/>
    <s v="Germany"/>
    <x v="2"/>
    <s v="Emma Schmidt"/>
    <s v="Quarterly"/>
    <d v="2025-08-08T00:00:00"/>
    <d v="2026-08-08T00:00:00"/>
    <x v="0"/>
    <s v="Missing"/>
    <n v="0"/>
    <s v="Alex Chen"/>
    <d v="2026-04-08T00:00:00"/>
    <s v="Not Required"/>
    <x v="0"/>
    <x v="1"/>
    <x v="1"/>
    <s v="Standard"/>
  </r>
  <r>
    <s v="CTRL-1189"/>
    <s v="Reconciliation Control 1189"/>
    <s v="RESPOND"/>
    <s v="RS.MA"/>
    <x v="2"/>
    <x v="0"/>
    <s v="Singapore"/>
    <x v="0"/>
    <s v="Maya Patel"/>
    <s v="Semiannual"/>
    <d v="2025-12-03T00:00:00"/>
    <d v="2026-03-03T00:00:00"/>
    <x v="0"/>
    <s v="Missing"/>
    <n v="4"/>
    <s v="Liam Brown"/>
    <d v="2026-04-09T00:00:00"/>
    <s v="Completed"/>
    <x v="0"/>
    <x v="1"/>
    <x v="1"/>
    <s v="Elevated"/>
  </r>
  <r>
    <s v="CTRL-1190"/>
    <s v="Change Control 1190"/>
    <s v="DETECT"/>
    <s v="DE.CM"/>
    <x v="3"/>
    <x v="2"/>
    <s v="Germany"/>
    <x v="1"/>
    <s v="Emma Schmidt"/>
    <s v="Quarterly"/>
    <d v="2025-05-29T00:00:00"/>
    <d v="2025-08-27T00:00:00"/>
    <x v="0"/>
    <s v="Missing"/>
    <n v="1"/>
    <s v="Maya Patel"/>
    <d v="2026-10-20T00:00:00"/>
    <s v="In Progress"/>
    <x v="0"/>
    <x v="1"/>
    <x v="1"/>
    <s v="Standard"/>
  </r>
  <r>
    <s v="CTRL-1191"/>
    <s v="Data Control 1191"/>
    <s v="GOVERN"/>
    <s v="GV.OC"/>
    <x v="0"/>
    <x v="2"/>
    <s v="United Kingdom"/>
    <x v="0"/>
    <s v="Taylor Morgan"/>
    <s v="Quarterly"/>
    <d v="2026-07-17T00:00:00"/>
    <d v="2027-07-17T00:00:00"/>
    <x v="1"/>
    <s v="Complete"/>
    <n v="3"/>
    <s v="Emma Schmidt"/>
    <d v="2026-12-30T00:00:00"/>
    <s v="In Progress"/>
    <x v="1"/>
    <x v="1"/>
    <x v="2"/>
    <s v="Elevated"/>
  </r>
  <r>
    <s v="CTRL-1192"/>
    <s v="Vendor Control 1192"/>
    <s v="DETECT"/>
    <s v="DE.CM"/>
    <x v="5"/>
    <x v="1"/>
    <s v="United States"/>
    <x v="1"/>
    <s v="Sam Rivera"/>
    <s v="Quarterly"/>
    <d v="2025-11-04T00:00:00"/>
    <d v="2026-11-04T00:00:00"/>
    <x v="1"/>
    <s v="Complete"/>
    <n v="1"/>
    <s v="Maya Patel"/>
    <d v="2026-11-20T00:00:00"/>
    <s v="Completed"/>
    <x v="1"/>
    <x v="1"/>
    <x v="2"/>
    <s v="Standard"/>
  </r>
  <r>
    <s v="CTRL-1193"/>
    <s v="Policy Control 1193"/>
    <s v="GOVERN"/>
    <s v="GV.OC"/>
    <x v="5"/>
    <x v="2"/>
    <s v="United Kingdom"/>
    <x v="0"/>
    <s v="Taylor Morgan"/>
    <s v="Semiannual"/>
    <d v="2026-07-06T00:00:00"/>
    <d v="2027-07-06T00:00:00"/>
    <x v="1"/>
    <s v="Missing"/>
    <n v="0"/>
    <s v="Sam Rivera"/>
    <d v="2026-10-07T00:00:00"/>
    <s v="Not Required"/>
    <x v="1"/>
    <x v="1"/>
    <x v="1"/>
    <s v="Elevated"/>
  </r>
  <r>
    <s v="CTRL-1194"/>
    <s v="Access Control 1194"/>
    <s v="GOVERN"/>
    <s v="GV.OC"/>
    <x v="4"/>
    <x v="2"/>
    <s v="Germany"/>
    <x v="2"/>
    <s v="Alex Chen"/>
    <s v="Quarterly"/>
    <d v="2025-12-19T00:00:00"/>
    <d v="2026-12-19T00:00:00"/>
    <x v="1"/>
    <s v="Missing"/>
    <n v="1"/>
    <s v="Alex Chen"/>
    <d v="2026-11-07T00:00:00"/>
    <s v="In Progress"/>
    <x v="1"/>
    <x v="1"/>
    <x v="1"/>
    <s v="Standard"/>
  </r>
  <r>
    <s v="CTRL-1195"/>
    <s v="Access Control 1195"/>
    <s v="IDENTIFY"/>
    <s v="ID.AM"/>
    <x v="2"/>
    <x v="0"/>
    <s v="Singapore"/>
    <x v="2"/>
    <s v="Maya Patel"/>
    <s v="Quarterly"/>
    <d v="2025-07-19T00:00:00"/>
    <d v="2025-10-17T00:00:00"/>
    <x v="0"/>
    <s v="Pending"/>
    <n v="1"/>
    <s v="Sam Rivera"/>
    <d v="2026-11-22T00:00:00"/>
    <s v="Completed"/>
    <x v="0"/>
    <x v="1"/>
    <x v="3"/>
    <s v="Standard"/>
  </r>
  <r>
    <s v="CTRL-1196"/>
    <s v="Vendor Control 1196"/>
    <s v="RECOVER"/>
    <s v="RC.RP"/>
    <x v="2"/>
    <x v="2"/>
    <s v="Germany"/>
    <x v="1"/>
    <s v="Emma Schmidt"/>
    <s v="Annual"/>
    <d v="2025-12-24T00:00:00"/>
    <d v="2026-12-24T00:00:00"/>
    <x v="1"/>
    <s v="Missing"/>
    <n v="0"/>
    <s v="Jordan Lee"/>
    <d v="2026-12-07T00:00:00"/>
    <s v="Not Required"/>
    <x v="1"/>
    <x v="1"/>
    <x v="1"/>
    <s v="Standard"/>
  </r>
  <r>
    <s v="CTRL-1197"/>
    <s v="Policy Control 1197"/>
    <s v="GOVERN"/>
    <s v="GV.OC"/>
    <x v="3"/>
    <x v="0"/>
    <s v="Singapore"/>
    <x v="0"/>
    <s v="Taylor Morgan"/>
    <s v="Annual"/>
    <d v="2025-08-23T00:00:00"/>
    <d v="2025-11-21T00:00:00"/>
    <x v="0"/>
    <s v="Complete"/>
    <n v="1"/>
    <s v="Liam Brown"/>
    <d v="2026-09-05T00:00:00"/>
    <s v="Overdue"/>
    <x v="0"/>
    <x v="1"/>
    <x v="2"/>
    <s v="Elevated"/>
  </r>
  <r>
    <s v="CTRL-1198"/>
    <s v="Access Control 1198"/>
    <s v="GOVERN"/>
    <s v="GV.RM"/>
    <x v="2"/>
    <x v="1"/>
    <s v="Canada"/>
    <x v="1"/>
    <s v="Jordan Lee"/>
    <s v="Quarterly"/>
    <d v="2026-02-14T00:00:00"/>
    <d v="2026-05-15T00:00:00"/>
    <x v="0"/>
    <s v="Complete"/>
    <n v="1"/>
    <s v="Noah Williams"/>
    <d v="2026-10-11T00:00:00"/>
    <s v="In Progress"/>
    <x v="0"/>
    <x v="1"/>
    <x v="2"/>
    <s v="Standard"/>
  </r>
  <r>
    <s v="CTRL-1199"/>
    <s v="Reconciliation Control 1199"/>
    <s v="RECOVER"/>
    <s v="RC.RP"/>
    <x v="3"/>
    <x v="2"/>
    <s v="United Kingdom"/>
    <x v="0"/>
    <s v="Noah Williams"/>
    <s v="Annual"/>
    <d v="2025-11-25T00:00:00"/>
    <d v="2026-11-25T00:00:00"/>
    <x v="2"/>
    <s v="Pending"/>
    <n v="4"/>
    <s v="Jordan Lee"/>
    <d v="2026-07-05T00:00:00"/>
    <s v="Overdue"/>
    <x v="1"/>
    <x v="1"/>
    <x v="3"/>
    <s v="Elevated"/>
  </r>
  <r>
    <s v="CTRL-1200"/>
    <s v="Change Control 1200"/>
    <s v="PROTECT"/>
    <s v="PR.AA"/>
    <x v="3"/>
    <x v="2"/>
    <s v="Germany"/>
    <x v="2"/>
    <s v="Emma Schmidt"/>
    <s v="Annual"/>
    <d v="2025-06-22T00:00:00"/>
    <d v="2026-06-22T00:00:00"/>
    <x v="0"/>
    <s v="Pending"/>
    <n v="3"/>
    <s v="Noah Williams"/>
    <d v="2026-05-18T00:00:00"/>
    <s v="Overdue"/>
    <x v="0"/>
    <x v="1"/>
    <x v="3"/>
    <s v="Standard"/>
  </r>
  <r>
    <s v="CTRL-1201"/>
    <s v="Change Control 1201"/>
    <s v="IDENTIFY"/>
    <s v="ID.AM"/>
    <x v="5"/>
    <x v="0"/>
    <s v="Singapore"/>
    <x v="3"/>
    <s v="Sam Rivera"/>
    <s v="Quarterly"/>
    <d v="2026-06-27T00:00:00"/>
    <d v="2026-12-24T00:00:00"/>
    <x v="2"/>
    <s v="Complete"/>
    <n v="4"/>
    <s v="Maya Patel"/>
    <d v="2026-09-08T00:00:00"/>
    <s v="Overdue"/>
    <x v="1"/>
    <x v="1"/>
    <x v="2"/>
    <s v="Elevated"/>
  </r>
  <r>
    <s v="CTRL-1202"/>
    <s v="Change Control 1202"/>
    <s v="RECOVER"/>
    <s v="RC.RP"/>
    <x v="2"/>
    <x v="1"/>
    <s v="United States"/>
    <x v="0"/>
    <s v="Emma Schmidt"/>
    <s v="Semiannual"/>
    <d v="2026-02-16T00:00:00"/>
    <d v="2027-02-16T00:00:00"/>
    <x v="3"/>
    <s v="Pending"/>
    <n v="4"/>
    <s v="Maya Patel"/>
    <d v="2026-04-14T00:00:00"/>
    <s v="Overdue"/>
    <x v="1"/>
    <x v="1"/>
    <x v="3"/>
    <s v="Elevated"/>
  </r>
  <r>
    <s v="CTRL-1203"/>
    <s v="Incident Control 1203"/>
    <s v="DETECT"/>
    <s v="DE.CM"/>
    <x v="0"/>
    <x v="2"/>
    <s v="Germany"/>
    <x v="2"/>
    <s v="Jordan Lee"/>
    <s v="Annual"/>
    <d v="2025-08-23T00:00:00"/>
    <d v="2025-11-21T00:00:00"/>
    <x v="0"/>
    <s v="Pending"/>
    <n v="1"/>
    <s v="Noah Williams"/>
    <d v="2026-12-25T00:00:00"/>
    <s v="In Progress"/>
    <x v="0"/>
    <x v="1"/>
    <x v="3"/>
    <s v="Standard"/>
  </r>
  <r>
    <s v="CTRL-1204"/>
    <s v="Change Control 1204"/>
    <s v="GOVERN"/>
    <s v="GV.RM"/>
    <x v="3"/>
    <x v="0"/>
    <s v="Singapore"/>
    <x v="1"/>
    <s v="Alex Chen"/>
    <s v="Annual"/>
    <d v="2025-07-09T00:00:00"/>
    <d v="2026-01-05T00:00:00"/>
    <x v="0"/>
    <s v="Complete"/>
    <n v="2"/>
    <s v="Emma Schmidt"/>
    <d v="2026-10-28T00:00:00"/>
    <s v="In Progress"/>
    <x v="0"/>
    <x v="1"/>
    <x v="2"/>
    <s v="Standard"/>
  </r>
  <r>
    <s v="CTRL-1205"/>
    <s v="Data Control 1205"/>
    <s v="RESPOND"/>
    <s v="RS.MA"/>
    <x v="3"/>
    <x v="2"/>
    <s v="United Kingdom"/>
    <x v="0"/>
    <s v="Jordan Lee"/>
    <s v="Semiannual"/>
    <d v="2026-02-15T00:00:00"/>
    <d v="2027-02-15T00:00:00"/>
    <x v="3"/>
    <s v="Pending"/>
    <n v="5"/>
    <s v="Noah Williams"/>
    <d v="2026-08-17T00:00:00"/>
    <s v="Completed"/>
    <x v="1"/>
    <x v="1"/>
    <x v="3"/>
    <s v="Elevated"/>
  </r>
  <r>
    <s v="CTRL-1206"/>
    <s v="Data Control 1206"/>
    <s v="DETECT"/>
    <s v="DE.CM"/>
    <x v="1"/>
    <x v="2"/>
    <s v="United Kingdom"/>
    <x v="1"/>
    <s v="Liam Brown"/>
    <s v="Semiannual"/>
    <d v="2025-07-23T00:00:00"/>
    <d v="2026-01-19T00:00:00"/>
    <x v="0"/>
    <s v="Complete"/>
    <n v="1"/>
    <s v="Maya Patel"/>
    <d v="2026-07-09T00:00:00"/>
    <s v="Overdue"/>
    <x v="0"/>
    <x v="1"/>
    <x v="2"/>
    <s v="Standard"/>
  </r>
  <r>
    <s v="CTRL-1207"/>
    <s v="Vendor Control 1207"/>
    <s v="GOVERN"/>
    <s v="GV.RR"/>
    <x v="2"/>
    <x v="2"/>
    <s v="United Kingdom"/>
    <x v="2"/>
    <s v="Jordan Lee"/>
    <s v="Quarterly"/>
    <d v="2026-05-10T00:00:00"/>
    <d v="2027-05-10T00:00:00"/>
    <x v="2"/>
    <s v="Missing"/>
    <n v="2"/>
    <s v="Alex Chen"/>
    <d v="2026-04-23T00:00:00"/>
    <s v="Overdue"/>
    <x v="1"/>
    <x v="1"/>
    <x v="1"/>
    <s v="Standard"/>
  </r>
  <r>
    <s v="CTRL-1208"/>
    <s v="Policy Control 1208"/>
    <s v="IDENTIFY"/>
    <s v="ID.AM"/>
    <x v="3"/>
    <x v="1"/>
    <s v="Canada"/>
    <x v="2"/>
    <s v="Emma Schmidt"/>
    <s v="Annual"/>
    <d v="2026-08-09T00:00:00"/>
    <d v="2026-11-07T00:00:00"/>
    <x v="1"/>
    <s v="Pending"/>
    <n v="1"/>
    <s v="Noah Williams"/>
    <d v="2026-05-11T00:00:00"/>
    <s v="Completed"/>
    <x v="1"/>
    <x v="1"/>
    <x v="3"/>
    <s v="Standard"/>
  </r>
  <r>
    <s v="CTRL-1209"/>
    <s v="Vendor Control 1209"/>
    <s v="GOVERN"/>
    <s v="GV.OC"/>
    <x v="0"/>
    <x v="1"/>
    <s v="United States"/>
    <x v="2"/>
    <s v="Alex Chen"/>
    <s v="Semiannual"/>
    <d v="2025-11-01T00:00:00"/>
    <d v="2026-11-01T00:00:00"/>
    <x v="1"/>
    <s v="Pending"/>
    <n v="0"/>
    <s v="Jordan Lee"/>
    <d v="2026-09-14T00:00:00"/>
    <s v="Not Required"/>
    <x v="1"/>
    <x v="1"/>
    <x v="3"/>
    <s v="Standard"/>
  </r>
  <r>
    <s v="CTRL-1210"/>
    <s v="Reconciliation Control 1210"/>
    <s v="PROTECT"/>
    <s v="PR.AA"/>
    <x v="3"/>
    <x v="0"/>
    <s v="Singapore"/>
    <x v="3"/>
    <s v="Emma Schmidt"/>
    <s v="Quarterly"/>
    <d v="2025-10-24T00:00:00"/>
    <d v="2026-01-22T00:00:00"/>
    <x v="0"/>
    <s v="Complete"/>
    <n v="5"/>
    <s v="Liam Brown"/>
    <d v="2026-10-08T00:00:00"/>
    <s v="Completed"/>
    <x v="0"/>
    <x v="1"/>
    <x v="2"/>
    <s v="Elevated"/>
  </r>
  <r>
    <s v="CTRL-1211"/>
    <s v="Reconciliation Control 1211"/>
    <s v="GOVERN"/>
    <s v="GV.RR"/>
    <x v="3"/>
    <x v="2"/>
    <s v="Germany"/>
    <x v="1"/>
    <s v="Jordan Lee"/>
    <s v="Quarterly"/>
    <d v="2026-08-12T00:00:00"/>
    <d v="2027-08-12T00:00:00"/>
    <x v="3"/>
    <s v="Missing"/>
    <n v="3"/>
    <s v="Maya Patel"/>
    <d v="2026-10-30T00:00:00"/>
    <s v="In Progress"/>
    <x v="1"/>
    <x v="1"/>
    <x v="1"/>
    <s v="Standard"/>
  </r>
  <r>
    <s v="CTRL-1212"/>
    <s v="Policy Control 1212"/>
    <s v="GOVERN"/>
    <s v="GV.RM"/>
    <x v="5"/>
    <x v="0"/>
    <s v="Singapore"/>
    <x v="2"/>
    <s v="Liam Brown"/>
    <s v="Semiannual"/>
    <d v="2025-05-26T00:00:00"/>
    <d v="2025-11-22T00:00:00"/>
    <x v="0"/>
    <s v="Complete"/>
    <n v="1"/>
    <s v="Alex Chen"/>
    <d v="2027-01-17T00:00:00"/>
    <s v="In Progress"/>
    <x v="0"/>
    <x v="1"/>
    <x v="2"/>
    <s v="Standard"/>
  </r>
  <r>
    <s v="CTRL-1213"/>
    <s v="Change Control 1213"/>
    <s v="GOVERN"/>
    <s v="GV.RR"/>
    <x v="0"/>
    <x v="2"/>
    <s v="Germany"/>
    <x v="3"/>
    <s v="Sam Rivera"/>
    <s v="Semiannual"/>
    <d v="2026-05-30T00:00:00"/>
    <d v="2026-11-26T00:00:00"/>
    <x v="1"/>
    <s v="Complete"/>
    <n v="2"/>
    <s v="Emma Schmidt"/>
    <d v="2026-10-03T00:00:00"/>
    <s v="In Progress"/>
    <x v="1"/>
    <x v="1"/>
    <x v="2"/>
    <s v="Elevated"/>
  </r>
  <r>
    <s v="CTRL-1214"/>
    <s v="Access Control 1214"/>
    <s v="GOVERN"/>
    <s v="GV.RR"/>
    <x v="3"/>
    <x v="1"/>
    <s v="Canada"/>
    <x v="3"/>
    <s v="Liam Brown"/>
    <s v="Semiannual"/>
    <d v="2026-09-05T00:00:00"/>
    <d v="2026-12-04T00:00:00"/>
    <x v="3"/>
    <s v="Missing"/>
    <n v="0"/>
    <s v="Maya Patel"/>
    <d v="2026-05-13T00:00:00"/>
    <s v="Not Required"/>
    <x v="1"/>
    <x v="1"/>
    <x v="1"/>
    <s v="Elevated"/>
  </r>
  <r>
    <s v="CTRL-1215"/>
    <s v="Vendor Control 1215"/>
    <s v="IDENTIFY"/>
    <s v="ID.AM"/>
    <x v="1"/>
    <x v="1"/>
    <s v="Canada"/>
    <x v="0"/>
    <s v="Noah Williams"/>
    <s v="Quarterly"/>
    <d v="2026-07-05T00:00:00"/>
    <d v="2027-01-01T00:00:00"/>
    <x v="1"/>
    <s v="Missing"/>
    <n v="2"/>
    <s v="Taylor Morgan"/>
    <d v="2026-10-12T00:00:00"/>
    <s v="Completed"/>
    <x v="1"/>
    <x v="1"/>
    <x v="1"/>
    <s v="Elevated"/>
  </r>
  <r>
    <s v="CTRL-1216"/>
    <s v="Reconciliation Control 1216"/>
    <s v="RESPOND"/>
    <s v="RS.MA"/>
    <x v="3"/>
    <x v="2"/>
    <s v="Germany"/>
    <x v="1"/>
    <s v="Jordan Lee"/>
    <s v="Annual"/>
    <d v="2025-06-25T00:00:00"/>
    <d v="2026-06-25T00:00:00"/>
    <x v="0"/>
    <s v="Pending"/>
    <n v="0"/>
    <s v="Alex Chen"/>
    <d v="2026-06-14T00:00:00"/>
    <s v="Not Required"/>
    <x v="0"/>
    <x v="1"/>
    <x v="3"/>
    <s v="Standard"/>
  </r>
  <r>
    <s v="CTRL-1217"/>
    <s v="Data Control 1217"/>
    <s v="RECOVER"/>
    <s v="RC.RP"/>
    <x v="2"/>
    <x v="1"/>
    <s v="Canada"/>
    <x v="1"/>
    <s v="Alex Chen"/>
    <s v="Quarterly"/>
    <d v="2026-05-12T00:00:00"/>
    <d v="2026-11-08T00:00:00"/>
    <x v="1"/>
    <s v="Pending"/>
    <n v="0"/>
    <s v="Jordan Lee"/>
    <d v="2026-10-23T00:00:00"/>
    <s v="Not Required"/>
    <x v="1"/>
    <x v="1"/>
    <x v="3"/>
    <s v="Standard"/>
  </r>
  <r>
    <s v="CTRL-1218"/>
    <s v="Data Control 1218"/>
    <s v="PROTECT"/>
    <s v="PR.AA"/>
    <x v="5"/>
    <x v="2"/>
    <s v="Germany"/>
    <x v="2"/>
    <s v="Jordan Lee"/>
    <s v="Semiannual"/>
    <d v="2026-08-03T00:00:00"/>
    <d v="2026-11-01T00:00:00"/>
    <x v="3"/>
    <s v="Pending"/>
    <n v="1"/>
    <s v="Jordan Lee"/>
    <d v="2026-05-25T00:00:00"/>
    <s v="Overdue"/>
    <x v="1"/>
    <x v="1"/>
    <x v="3"/>
    <s v="Standard"/>
  </r>
  <r>
    <s v="CTRL-1219"/>
    <s v="Data Control 1219"/>
    <s v="GOVERN"/>
    <s v="GV.RR"/>
    <x v="5"/>
    <x v="0"/>
    <s v="Singapore"/>
    <x v="0"/>
    <s v="Liam Brown"/>
    <s v="Annual"/>
    <d v="2026-05-14T00:00:00"/>
    <d v="2026-11-10T00:00:00"/>
    <x v="3"/>
    <s v="Missing"/>
    <n v="1"/>
    <s v="Noah Williams"/>
    <d v="2026-05-31T00:00:00"/>
    <s v="Overdue"/>
    <x v="1"/>
    <x v="1"/>
    <x v="1"/>
    <s v="Elevated"/>
  </r>
  <r>
    <s v="CTRL-1220"/>
    <s v="Vendor Control 1220"/>
    <s v="GOVERN"/>
    <s v="GV.RM"/>
    <x v="2"/>
    <x v="2"/>
    <s v="United Kingdom"/>
    <x v="1"/>
    <s v="Liam Brown"/>
    <s v="Semiannual"/>
    <d v="2025-08-28T00:00:00"/>
    <d v="2025-11-26T00:00:00"/>
    <x v="0"/>
    <s v="Pending"/>
    <n v="3"/>
    <s v="Alex Chen"/>
    <d v="2026-10-26T00:00:00"/>
    <s v="In Progress"/>
    <x v="0"/>
    <x v="1"/>
    <x v="3"/>
    <s v="Standard"/>
  </r>
  <r>
    <s v="CTRL-1221"/>
    <s v="Access Control 1221"/>
    <s v="GOVERN"/>
    <s v="GV.RR"/>
    <x v="1"/>
    <x v="2"/>
    <s v="Germany"/>
    <x v="0"/>
    <s v="Jordan Lee"/>
    <s v="Annual"/>
    <d v="2025-06-27T00:00:00"/>
    <d v="2025-09-25T00:00:00"/>
    <x v="0"/>
    <s v="Pending"/>
    <n v="0"/>
    <s v="Jordan Lee"/>
    <d v="2026-10-12T00:00:00"/>
    <s v="Not Required"/>
    <x v="0"/>
    <x v="1"/>
    <x v="3"/>
    <s v="Elevated"/>
  </r>
  <r>
    <s v="CTRL-1222"/>
    <s v="Incident Control 1222"/>
    <s v="GOVERN"/>
    <s v="GV.RM"/>
    <x v="5"/>
    <x v="1"/>
    <s v="United States"/>
    <x v="2"/>
    <s v="Jordan Lee"/>
    <s v="Semiannual"/>
    <d v="2026-07-28T00:00:00"/>
    <d v="2027-01-24T00:00:00"/>
    <x v="2"/>
    <s v="Complete"/>
    <n v="2"/>
    <s v="Emma Schmidt"/>
    <d v="2027-01-04T00:00:00"/>
    <s v="In Progress"/>
    <x v="1"/>
    <x v="1"/>
    <x v="2"/>
    <s v="Standard"/>
  </r>
  <r>
    <s v="CTRL-1223"/>
    <s v="Policy Control 1223"/>
    <s v="RECOVER"/>
    <s v="RC.RP"/>
    <x v="5"/>
    <x v="0"/>
    <s v="Singapore"/>
    <x v="1"/>
    <m/>
    <s v="Annual"/>
    <d v="2025-10-12T00:00:00"/>
    <d v="2026-01-10T00:00:00"/>
    <x v="0"/>
    <s v="Complete"/>
    <n v="1"/>
    <s v="Alex Chen"/>
    <d v="2026-09-17T00:00:00"/>
    <s v="Overdue"/>
    <x v="0"/>
    <x v="0"/>
    <x v="2"/>
    <s v="Standard"/>
  </r>
  <r>
    <s v="CTRL-1224"/>
    <s v="Policy Control 1224"/>
    <s v="GOVERN"/>
    <s v="GV.OC"/>
    <x v="1"/>
    <x v="0"/>
    <s v="Singapore"/>
    <x v="2"/>
    <s v="Taylor Morgan"/>
    <s v="Semiannual"/>
    <d v="2025-08-05T00:00:00"/>
    <d v="2026-08-05T00:00:00"/>
    <x v="0"/>
    <s v="Complete"/>
    <n v="1"/>
    <s v="Alex Chen"/>
    <d v="2026-06-06T00:00:00"/>
    <s v="Overdue"/>
    <x v="0"/>
    <x v="1"/>
    <x v="2"/>
    <s v="Standard"/>
  </r>
  <r>
    <s v="CTRL-1225"/>
    <s v="Incident Control 1225"/>
    <s v="PROTECT"/>
    <s v="PR.AA"/>
    <x v="5"/>
    <x v="0"/>
    <s v="Singapore"/>
    <x v="0"/>
    <s v="Emma Schmidt"/>
    <s v="Quarterly"/>
    <d v="2025-09-07T00:00:00"/>
    <d v="2026-09-07T00:00:00"/>
    <x v="0"/>
    <s v="Missing"/>
    <n v="5"/>
    <s v="Taylor Morgan"/>
    <d v="2026-08-09T00:00:00"/>
    <s v="Overdue"/>
    <x v="0"/>
    <x v="1"/>
    <x v="1"/>
    <s v="Elevated"/>
  </r>
  <r>
    <s v="CTRL-1226"/>
    <s v="Policy Control 1226"/>
    <s v="RECOVER"/>
    <s v="RC.RP"/>
    <x v="5"/>
    <x v="0"/>
    <s v="Singapore"/>
    <x v="2"/>
    <s v="Maya Patel"/>
    <s v="Quarterly"/>
    <d v="2025-10-14T00:00:00"/>
    <d v="2026-01-12T00:00:00"/>
    <x v="0"/>
    <s v="Pending"/>
    <n v="2"/>
    <s v="Liam Brown"/>
    <d v="2026-11-20T00:00:00"/>
    <s v="In Progress"/>
    <x v="0"/>
    <x v="1"/>
    <x v="3"/>
    <s v="Standard"/>
  </r>
  <r>
    <s v="CTRL-1227"/>
    <s v="Access Control 1227"/>
    <s v="GOVERN"/>
    <s v="GV.RR"/>
    <x v="1"/>
    <x v="1"/>
    <s v="Canada"/>
    <x v="1"/>
    <s v="Emma Schmidt"/>
    <s v="Annual"/>
    <d v="2026-01-24T00:00:00"/>
    <d v="2026-07-23T00:00:00"/>
    <x v="0"/>
    <s v="Pending"/>
    <n v="1"/>
    <s v="Liam Brown"/>
    <d v="2027-01-04T00:00:00"/>
    <s v="In Progress"/>
    <x v="0"/>
    <x v="1"/>
    <x v="3"/>
    <s v="Standard"/>
  </r>
  <r>
    <s v="CTRL-1228"/>
    <s v="Vendor Control 1228"/>
    <s v="RECOVER"/>
    <s v="RC.RP"/>
    <x v="0"/>
    <x v="2"/>
    <s v="Germany"/>
    <x v="3"/>
    <s v="Maya Patel"/>
    <s v="Annual"/>
    <d v="2025-09-07T00:00:00"/>
    <d v="2026-09-07T00:00:00"/>
    <x v="0"/>
    <s v="Missing"/>
    <n v="3"/>
    <s v="Jordan Lee"/>
    <d v="2026-12-12T00:00:00"/>
    <s v="In Progress"/>
    <x v="0"/>
    <x v="1"/>
    <x v="1"/>
    <s v="Elevated"/>
  </r>
  <r>
    <s v="CTRL-1229"/>
    <s v="Policy Control 1229"/>
    <s v="GOVERN"/>
    <s v="GV.OC"/>
    <x v="3"/>
    <x v="0"/>
    <s v="Singapore"/>
    <x v="2"/>
    <s v="Jordan Lee"/>
    <s v="Annual"/>
    <d v="2025-07-09T00:00:00"/>
    <d v="2025-10-07T00:00:00"/>
    <x v="0"/>
    <s v="Pending"/>
    <n v="1"/>
    <s v="Noah Williams"/>
    <d v="2026-12-11T00:00:00"/>
    <s v="In Progress"/>
    <x v="0"/>
    <x v="1"/>
    <x v="3"/>
    <s v="Standard"/>
  </r>
  <r>
    <s v="CTRL-1230"/>
    <s v="Policy Control 1230"/>
    <s v="DETECT"/>
    <s v="DE.CM"/>
    <x v="4"/>
    <x v="0"/>
    <s v="Singapore"/>
    <x v="2"/>
    <s v="Sam Rivera"/>
    <s v="Semiannual"/>
    <d v="2026-03-06T00:00:00"/>
    <d v="2026-06-04T00:00:00"/>
    <x v="0"/>
    <s v="Missing"/>
    <n v="2"/>
    <s v="Emma Schmidt"/>
    <d v="2026-04-18T00:00:00"/>
    <s v="Overdue"/>
    <x v="0"/>
    <x v="1"/>
    <x v="1"/>
    <s v="Standard"/>
  </r>
  <r>
    <s v="CTRL-1231"/>
    <s v="Reconciliation Control 1231"/>
    <s v="PROTECT"/>
    <s v="PR.AA"/>
    <x v="5"/>
    <x v="0"/>
    <s v="Singapore"/>
    <x v="2"/>
    <s v="Alex Chen"/>
    <s v="Quarterly"/>
    <d v="2026-08-26T00:00:00"/>
    <d v="2027-08-26T00:00:00"/>
    <x v="1"/>
    <s v="Pending"/>
    <n v="1"/>
    <s v="Emma Schmidt"/>
    <d v="2026-09-25T00:00:00"/>
    <s v="Overdue"/>
    <x v="1"/>
    <x v="1"/>
    <x v="3"/>
    <s v="Standard"/>
  </r>
  <r>
    <s v="CTRL-1232"/>
    <s v="Policy Control 1232"/>
    <s v="IDENTIFY"/>
    <s v="ID.AM"/>
    <x v="1"/>
    <x v="2"/>
    <s v="Germany"/>
    <x v="1"/>
    <s v="Taylor Morgan"/>
    <s v="Quarterly"/>
    <d v="2026-06-07T00:00:00"/>
    <d v="2027-06-07T00:00:00"/>
    <x v="1"/>
    <s v="Complete"/>
    <n v="2"/>
    <s v="Maya Patel"/>
    <d v="2026-10-20T00:00:00"/>
    <s v="In Progress"/>
    <x v="1"/>
    <x v="1"/>
    <x v="2"/>
    <s v="Standard"/>
  </r>
  <r>
    <s v="CTRL-1233"/>
    <s v="Vendor Control 1233"/>
    <s v="GOVERN"/>
    <s v="GV.RR"/>
    <x v="1"/>
    <x v="2"/>
    <s v="Germany"/>
    <x v="1"/>
    <s v="Noah Williams"/>
    <s v="Annual"/>
    <d v="2026-06-07T00:00:00"/>
    <d v="2027-06-07T00:00:00"/>
    <x v="2"/>
    <s v="Complete"/>
    <n v="2"/>
    <s v="Sam Rivera"/>
    <d v="2026-10-19T00:00:00"/>
    <s v="Completed"/>
    <x v="1"/>
    <x v="1"/>
    <x v="2"/>
    <s v="Standard"/>
  </r>
  <r>
    <s v="CTRL-1234"/>
    <s v="Data Control 1234"/>
    <s v="RECOVER"/>
    <s v="RC.RP"/>
    <x v="2"/>
    <x v="0"/>
    <s v="Singapore"/>
    <x v="2"/>
    <s v="Noah Williams"/>
    <s v="Semiannual"/>
    <d v="2026-07-20T00:00:00"/>
    <d v="2026-10-18T00:00:00"/>
    <x v="3"/>
    <s v="Missing"/>
    <n v="3"/>
    <s v="Emma Schmidt"/>
    <d v="2026-10-09T00:00:00"/>
    <s v="In Progress"/>
    <x v="1"/>
    <x v="1"/>
    <x v="1"/>
    <s v="Standard"/>
  </r>
  <r>
    <s v="CTRL-1235"/>
    <s v="Incident Control 1235"/>
    <s v="PROTECT"/>
    <s v="PR.AA"/>
    <x v="0"/>
    <x v="0"/>
    <s v="Singapore"/>
    <x v="2"/>
    <s v="Liam Brown"/>
    <s v="Annual"/>
    <d v="2025-08-11T00:00:00"/>
    <d v="2026-08-11T00:00:00"/>
    <x v="0"/>
    <s v="Pending"/>
    <n v="2"/>
    <s v="Maya Patel"/>
    <d v="2026-07-26T00:00:00"/>
    <s v="Completed"/>
    <x v="0"/>
    <x v="1"/>
    <x v="3"/>
    <s v="Standard"/>
  </r>
  <r>
    <s v="CTRL-1236"/>
    <s v="Policy Control 1236"/>
    <s v="PROTECT"/>
    <s v="PR.AA"/>
    <x v="0"/>
    <x v="0"/>
    <s v="Singapore"/>
    <x v="0"/>
    <s v="Liam Brown"/>
    <s v="Quarterly"/>
    <d v="2026-06-18T00:00:00"/>
    <d v="2026-09-16T00:00:00"/>
    <x v="0"/>
    <s v="Complete"/>
    <n v="4"/>
    <s v="Maya Patel"/>
    <d v="2026-09-20T00:00:00"/>
    <s v="Overdue"/>
    <x v="0"/>
    <x v="1"/>
    <x v="2"/>
    <s v="Elevated"/>
  </r>
  <r>
    <s v="CTRL-1237"/>
    <s v="Reconciliation Control 1237"/>
    <s v="GOVERN"/>
    <s v="GV.RR"/>
    <x v="4"/>
    <x v="2"/>
    <s v="United Kingdom"/>
    <x v="2"/>
    <s v="Noah Williams"/>
    <s v="Annual"/>
    <d v="2026-04-13T00:00:00"/>
    <d v="2026-10-10T00:00:00"/>
    <x v="1"/>
    <s v="Pending"/>
    <n v="1"/>
    <s v="Sam Rivera"/>
    <d v="2026-05-27T00:00:00"/>
    <s v="Completed"/>
    <x v="1"/>
    <x v="1"/>
    <x v="3"/>
    <s v="Standard"/>
  </r>
  <r>
    <s v="CTRL-1238"/>
    <s v="Policy Control 1238"/>
    <s v="PROTECT"/>
    <s v="PR.AA"/>
    <x v="5"/>
    <x v="2"/>
    <s v="Germany"/>
    <x v="0"/>
    <s v="Maya Patel"/>
    <s v="Quarterly"/>
    <d v="2026-05-12T00:00:00"/>
    <d v="2026-11-08T00:00:00"/>
    <x v="1"/>
    <s v="Pending"/>
    <n v="0"/>
    <s v="Maya Patel"/>
    <d v="2026-04-11T00:00:00"/>
    <s v="Not Required"/>
    <x v="1"/>
    <x v="1"/>
    <x v="3"/>
    <s v="Elevated"/>
  </r>
  <r>
    <s v="CTRL-1239"/>
    <s v="Data Control 1239"/>
    <s v="RECOVER"/>
    <s v="RC.RP"/>
    <x v="0"/>
    <x v="2"/>
    <s v="United Kingdom"/>
    <x v="0"/>
    <s v="Jordan Lee"/>
    <s v="Quarterly"/>
    <d v="2026-01-20T00:00:00"/>
    <d v="2026-07-19T00:00:00"/>
    <x v="0"/>
    <s v="Missing"/>
    <n v="4"/>
    <s v="Jordan Lee"/>
    <d v="2026-06-04T00:00:00"/>
    <s v="Overdue"/>
    <x v="0"/>
    <x v="1"/>
    <x v="1"/>
    <s v="Elevated"/>
  </r>
  <r>
    <s v="CTRL-1240"/>
    <s v="Reconciliation Control 1240"/>
    <s v="GOVERN"/>
    <s v="GV.RR"/>
    <x v="2"/>
    <x v="2"/>
    <s v="United Kingdom"/>
    <x v="2"/>
    <s v="Sam Rivera"/>
    <s v="Annual"/>
    <d v="2025-07-05T00:00:00"/>
    <d v="2026-07-05T00:00:00"/>
    <x v="0"/>
    <s v="Missing"/>
    <n v="2"/>
    <s v="Emma Schmidt"/>
    <d v="2026-10-25T00:00:00"/>
    <s v="Completed"/>
    <x v="0"/>
    <x v="1"/>
    <x v="1"/>
    <s v="Standard"/>
  </r>
  <r>
    <s v="CTRL-1241"/>
    <s v="Change Control 1241"/>
    <s v="GOVERN"/>
    <s v="GV.RR"/>
    <x v="2"/>
    <x v="2"/>
    <s v="United Kingdom"/>
    <x v="0"/>
    <s v="Emma Schmidt"/>
    <s v="Semiannual"/>
    <d v="2025-08-01T00:00:00"/>
    <d v="2026-01-28T00:00:00"/>
    <x v="0"/>
    <s v="Missing"/>
    <n v="3"/>
    <s v="Noah Williams"/>
    <d v="2026-08-24T00:00:00"/>
    <s v="Completed"/>
    <x v="0"/>
    <x v="1"/>
    <x v="1"/>
    <s v="Elevated"/>
  </r>
  <r>
    <s v="CTRL-1242"/>
    <s v="Policy Control 1242"/>
    <s v="DETECT"/>
    <s v="DE.CM"/>
    <x v="5"/>
    <x v="0"/>
    <s v="Singapore"/>
    <x v="0"/>
    <s v="Taylor Morgan"/>
    <s v="Annual"/>
    <d v="2025-12-07T00:00:00"/>
    <d v="2026-12-07T00:00:00"/>
    <x v="1"/>
    <s v="Missing"/>
    <n v="3"/>
    <s v="Taylor Morgan"/>
    <d v="2026-10-06T00:00:00"/>
    <s v="In Progress"/>
    <x v="1"/>
    <x v="1"/>
    <x v="1"/>
    <s v="Elevated"/>
  </r>
  <r>
    <s v="CTRL-1243"/>
    <s v="Access Control 1243"/>
    <s v="GOVERN"/>
    <s v="GV.OC"/>
    <x v="2"/>
    <x v="1"/>
    <s v="United States"/>
    <x v="3"/>
    <s v="Maya Patel"/>
    <s v="Quarterly"/>
    <d v="2026-07-30T00:00:00"/>
    <d v="2027-07-30T00:00:00"/>
    <x v="1"/>
    <s v="Pending"/>
    <n v="0"/>
    <s v="Jordan Lee"/>
    <d v="2026-06-11T00:00:00"/>
    <s v="Not Required"/>
    <x v="1"/>
    <x v="1"/>
    <x v="3"/>
    <s v="Elevated"/>
  </r>
  <r>
    <s v="CTRL-1244"/>
    <s v="Reconciliation Control 1244"/>
    <s v="GOVERN"/>
    <s v="GV.OC"/>
    <x v="5"/>
    <x v="2"/>
    <s v="Germany"/>
    <x v="1"/>
    <s v="Sam Rivera"/>
    <s v="Semiannual"/>
    <d v="2026-08-04T00:00:00"/>
    <d v="2026-11-02T00:00:00"/>
    <x v="1"/>
    <s v="Complete"/>
    <n v="2"/>
    <s v="Liam Brown"/>
    <d v="2026-09-12T00:00:00"/>
    <s v="Completed"/>
    <x v="1"/>
    <x v="1"/>
    <x v="2"/>
    <s v="Standard"/>
  </r>
  <r>
    <s v="CTRL-1245"/>
    <s v="Vendor Control 1245"/>
    <s v="RESPOND"/>
    <s v="RS.MA"/>
    <x v="5"/>
    <x v="1"/>
    <s v="United States"/>
    <x v="2"/>
    <s v="Jordan Lee"/>
    <s v="Annual"/>
    <d v="2025-09-26T00:00:00"/>
    <d v="2025-12-25T00:00:00"/>
    <x v="0"/>
    <s v="Pending"/>
    <n v="2"/>
    <s v="Liam Brown"/>
    <d v="2026-08-26T00:00:00"/>
    <s v="Overdue"/>
    <x v="0"/>
    <x v="1"/>
    <x v="3"/>
    <s v="Standard"/>
  </r>
  <r>
    <s v="CTRL-1246"/>
    <s v="Incident Control 1246"/>
    <s v="PROTECT"/>
    <s v="PR.AA"/>
    <x v="5"/>
    <x v="1"/>
    <s v="Canada"/>
    <x v="3"/>
    <s v="Sam Rivera"/>
    <s v="Semiannual"/>
    <d v="2026-02-06T00:00:00"/>
    <d v="2026-08-05T00:00:00"/>
    <x v="0"/>
    <m/>
    <n v="5"/>
    <s v="Jordan Lee"/>
    <d v="2026-11-14T00:00:00"/>
    <s v="In Progress"/>
    <x v="0"/>
    <x v="1"/>
    <x v="0"/>
    <s v="Elevated"/>
  </r>
  <r>
    <s v="CTRL-1247"/>
    <s v="Incident Control 1247"/>
    <s v="GOVERN"/>
    <s v="GV.RR"/>
    <x v="1"/>
    <x v="0"/>
    <s v="Singapore"/>
    <x v="2"/>
    <s v="Jordan Lee"/>
    <s v="Annual"/>
    <d v="2025-05-28T00:00:00"/>
    <d v="2025-11-24T00:00:00"/>
    <x v="0"/>
    <s v="Pending"/>
    <n v="1"/>
    <s v="Maya Patel"/>
    <d v="2026-05-08T00:00:00"/>
    <s v="Overdue"/>
    <x v="0"/>
    <x v="1"/>
    <x v="3"/>
    <s v="Standard"/>
  </r>
  <r>
    <s v="CTRL-1248"/>
    <s v="Access Control 1248"/>
    <s v="GOVERN"/>
    <s v="GV.RM"/>
    <x v="1"/>
    <x v="0"/>
    <s v="Singapore"/>
    <x v="0"/>
    <s v="Jordan Lee"/>
    <s v="Semiannual"/>
    <d v="2026-05-31T00:00:00"/>
    <d v="2027-05-31T00:00:00"/>
    <x v="1"/>
    <s v="Missing"/>
    <n v="0"/>
    <s v="Alex Chen"/>
    <d v="2026-09-06T00:00:00"/>
    <s v="Not Required"/>
    <x v="1"/>
    <x v="1"/>
    <x v="1"/>
    <s v="Elevated"/>
  </r>
  <r>
    <s v="CTRL-1249"/>
    <s v="Incident Control 1249"/>
    <s v="GOVERN"/>
    <s v="GV.RM"/>
    <x v="4"/>
    <x v="1"/>
    <s v="United States"/>
    <x v="1"/>
    <s v="Jordan Lee"/>
    <s v="Semiannual"/>
    <d v="2026-05-29T00:00:00"/>
    <d v="2027-05-29T00:00:00"/>
    <x v="2"/>
    <s v="Complete"/>
    <n v="1"/>
    <s v="Jordan Lee"/>
    <d v="2026-11-30T00:00:00"/>
    <s v="In Progress"/>
    <x v="1"/>
    <x v="1"/>
    <x v="2"/>
    <s v="Standard"/>
  </r>
  <r>
    <s v="CTRL-1250"/>
    <s v="Policy Control 1250"/>
    <s v="GOVERN"/>
    <s v="GV.RR"/>
    <x v="4"/>
    <x v="1"/>
    <s v="Canada"/>
    <x v="2"/>
    <s v="Taylor Morgan"/>
    <s v="Annual"/>
    <d v="2025-08-24T00:00:00"/>
    <d v="2026-02-20T00:00:00"/>
    <x v="0"/>
    <s v="Missing"/>
    <n v="2"/>
    <s v="Alex Chen"/>
    <d v="2026-12-06T00:00:00"/>
    <s v="Completed"/>
    <x v="0"/>
    <x v="1"/>
    <x v="1"/>
    <s v="Standard"/>
  </r>
  <r>
    <s v="CTRL-1251"/>
    <s v="Incident Control 1251"/>
    <s v="GOVERN"/>
    <s v="GV.RR"/>
    <x v="3"/>
    <x v="2"/>
    <s v="United Kingdom"/>
    <x v="1"/>
    <s v="Liam Brown"/>
    <s v="Semiannual"/>
    <d v="2026-02-27T00:00:00"/>
    <d v="2027-02-27T00:00:00"/>
    <x v="3"/>
    <s v="Pending"/>
    <n v="0"/>
    <s v="Maya Patel"/>
    <d v="2027-01-09T00:00:00"/>
    <s v="Not Required"/>
    <x v="1"/>
    <x v="1"/>
    <x v="3"/>
    <s v="Standard"/>
  </r>
  <r>
    <s v="CTRL-1252"/>
    <s v="Change Control 1252"/>
    <s v="GOVERN"/>
    <s v="GV.RR"/>
    <x v="1"/>
    <x v="0"/>
    <s v="Singapore"/>
    <x v="1"/>
    <s v="Sam Rivera"/>
    <s v="Annual"/>
    <d v="2026-06-01T00:00:00"/>
    <d v="2026-11-28T00:00:00"/>
    <x v="3"/>
    <s v="Missing"/>
    <n v="1"/>
    <s v="Sam Rivera"/>
    <d v="2026-04-17T00:00:00"/>
    <s v="Completed"/>
    <x v="1"/>
    <x v="1"/>
    <x v="1"/>
    <s v="Standard"/>
  </r>
  <r>
    <s v="CTRL-1253"/>
    <s v="Data Control 1253"/>
    <s v="IDENTIFY"/>
    <s v="ID.AM"/>
    <x v="1"/>
    <x v="0"/>
    <s v="Singapore"/>
    <x v="3"/>
    <s v="Emma Schmidt"/>
    <s v="Annual"/>
    <d v="2025-07-28T00:00:00"/>
    <d v="2026-01-24T00:00:00"/>
    <x v="0"/>
    <s v="Missing"/>
    <n v="4"/>
    <s v="Jordan Lee"/>
    <d v="2026-05-11T00:00:00"/>
    <s v="Overdue"/>
    <x v="0"/>
    <x v="1"/>
    <x v="1"/>
    <s v="Elevated"/>
  </r>
  <r>
    <s v="CTRL-1254"/>
    <s v="Reconciliation Control 1254"/>
    <s v="PROTECT"/>
    <s v="PR.AA"/>
    <x v="2"/>
    <x v="1"/>
    <s v="United States"/>
    <x v="2"/>
    <s v="Sam Rivera"/>
    <s v="Semiannual"/>
    <d v="2025-08-02T00:00:00"/>
    <d v="2026-08-02T00:00:00"/>
    <x v="0"/>
    <s v="Missing"/>
    <n v="1"/>
    <s v="Maya Patel"/>
    <d v="2026-09-13T00:00:00"/>
    <s v="Overdue"/>
    <x v="0"/>
    <x v="1"/>
    <x v="1"/>
    <s v="Standard"/>
  </r>
  <r>
    <s v="CTRL-1255"/>
    <s v="Reconciliation Control 1255"/>
    <s v="DETECT"/>
    <s v="DE.CM"/>
    <x v="5"/>
    <x v="2"/>
    <s v="Germany"/>
    <x v="0"/>
    <s v="Liam Brown"/>
    <s v="Semiannual"/>
    <d v="2026-05-21T00:00:00"/>
    <d v="2026-08-19T00:00:00"/>
    <x v="0"/>
    <s v="Pending"/>
    <n v="2"/>
    <s v="Liam Brown"/>
    <d v="2026-08-07T00:00:00"/>
    <s v="Overdue"/>
    <x v="0"/>
    <x v="1"/>
    <x v="3"/>
    <s v="Elevated"/>
  </r>
  <r>
    <s v="CTRL-1256"/>
    <s v="Policy Control 1256"/>
    <s v="RECOVER"/>
    <s v="RC.RP"/>
    <x v="1"/>
    <x v="0"/>
    <s v="Singapore"/>
    <x v="0"/>
    <s v="Liam Brown"/>
    <s v="Annual"/>
    <d v="2026-09-09T00:00:00"/>
    <d v="2026-12-08T00:00:00"/>
    <x v="2"/>
    <s v="Complete"/>
    <n v="1"/>
    <s v="Liam Brown"/>
    <d v="2026-05-01T00:00:00"/>
    <s v="Completed"/>
    <x v="1"/>
    <x v="1"/>
    <x v="2"/>
    <s v="Elevated"/>
  </r>
  <r>
    <s v="CTRL-1257"/>
    <s v="Change Control 1257"/>
    <s v="GOVERN"/>
    <s v="GV.RM"/>
    <x v="1"/>
    <x v="0"/>
    <s v="Singapore"/>
    <x v="2"/>
    <s v="Noah Williams"/>
    <s v="Semiannual"/>
    <d v="2026-07-02T00:00:00"/>
    <d v="2027-07-02T00:00:00"/>
    <x v="3"/>
    <s v="Complete"/>
    <n v="1"/>
    <s v="Emma Schmidt"/>
    <d v="2026-04-17T00:00:00"/>
    <s v="Overdue"/>
    <x v="1"/>
    <x v="1"/>
    <x v="2"/>
    <s v="Standard"/>
  </r>
  <r>
    <s v="CTRL-1258"/>
    <s v="Reconciliation Control 1258"/>
    <s v="RECOVER"/>
    <s v="RC.RP"/>
    <x v="3"/>
    <x v="0"/>
    <s v="Singapore"/>
    <x v="1"/>
    <s v="Alex Chen"/>
    <s v="Annual"/>
    <d v="2025-06-15T00:00:00"/>
    <d v="2025-09-13T00:00:00"/>
    <x v="0"/>
    <s v="Pending"/>
    <n v="3"/>
    <s v="Sam Rivera"/>
    <d v="2026-11-27T00:00:00"/>
    <s v="In Progress"/>
    <x v="0"/>
    <x v="1"/>
    <x v="3"/>
    <s v="Standard"/>
  </r>
  <r>
    <s v="CTRL-1259"/>
    <s v="Reconciliation Control 1259"/>
    <s v="GOVERN"/>
    <s v="GV.OC"/>
    <x v="5"/>
    <x v="0"/>
    <s v="Singapore"/>
    <x v="2"/>
    <s v="Jordan Lee"/>
    <s v="Semiannual"/>
    <d v="2026-05-12T00:00:00"/>
    <d v="2027-05-12T00:00:00"/>
    <x v="1"/>
    <s v="Complete"/>
    <n v="0"/>
    <s v="Sam Rivera"/>
    <d v="2026-07-15T00:00:00"/>
    <s v="Not Required"/>
    <x v="1"/>
    <x v="1"/>
    <x v="2"/>
    <s v="Standard"/>
  </r>
  <r>
    <s v="CTRL-1260"/>
    <s v="Access Control 1260"/>
    <s v="GOVERN"/>
    <s v="GV.RM"/>
    <x v="3"/>
    <x v="2"/>
    <s v="United Kingdom"/>
    <x v="0"/>
    <s v="Noah Williams"/>
    <s v="Quarterly"/>
    <d v="2026-07-16T00:00:00"/>
    <d v="2027-01-12T00:00:00"/>
    <x v="1"/>
    <s v="Complete"/>
    <n v="1"/>
    <s v="Jordan Lee"/>
    <d v="2027-01-20T00:00:00"/>
    <s v="In Progress"/>
    <x v="1"/>
    <x v="1"/>
    <x v="2"/>
    <s v="Elevated"/>
  </r>
  <r>
    <s v="CTRL-1261"/>
    <s v="Access Control 1261"/>
    <s v="IDENTIFY"/>
    <s v="ID.AM"/>
    <x v="5"/>
    <x v="0"/>
    <s v="Singapore"/>
    <x v="1"/>
    <s v="Taylor Morgan"/>
    <s v="Annual"/>
    <d v="2026-06-01T00:00:00"/>
    <d v="2026-11-28T00:00:00"/>
    <x v="1"/>
    <s v="Missing"/>
    <n v="1"/>
    <s v="Emma Schmidt"/>
    <d v="2026-05-02T00:00:00"/>
    <s v="Overdue"/>
    <x v="1"/>
    <x v="1"/>
    <x v="1"/>
    <s v="Standard"/>
  </r>
  <r>
    <s v="CTRL-1262"/>
    <s v="Access Control 1262"/>
    <s v="GOVERN"/>
    <s v="GV.RR"/>
    <x v="1"/>
    <x v="2"/>
    <s v="United Kingdom"/>
    <x v="2"/>
    <s v="Liam Brown"/>
    <s v="Quarterly"/>
    <d v="2026-07-25T00:00:00"/>
    <d v="2027-07-25T00:00:00"/>
    <x v="3"/>
    <s v="Pending"/>
    <n v="0"/>
    <s v="Jordan Lee"/>
    <d v="2026-06-19T00:00:00"/>
    <s v="Not Required"/>
    <x v="1"/>
    <x v="1"/>
    <x v="3"/>
    <s v="Standard"/>
  </r>
  <r>
    <s v="CTRL-1263"/>
    <s v="Access Control 1263"/>
    <s v="RESPOND"/>
    <s v="RS.MA"/>
    <x v="4"/>
    <x v="1"/>
    <s v="Canada"/>
    <x v="2"/>
    <s v="Jordan Lee"/>
    <s v="Quarterly"/>
    <d v="2026-08-14T00:00:00"/>
    <d v="2026-11-12T00:00:00"/>
    <x v="3"/>
    <s v="Complete"/>
    <n v="0"/>
    <s v="Jordan Lee"/>
    <d v="2026-10-15T00:00:00"/>
    <s v="Not Required"/>
    <x v="1"/>
    <x v="1"/>
    <x v="2"/>
    <s v="Standard"/>
  </r>
  <r>
    <s v="CTRL-1264"/>
    <s v="Data Control 1264"/>
    <s v="IDENTIFY"/>
    <s v="ID.AM"/>
    <x v="3"/>
    <x v="1"/>
    <s v="United States"/>
    <x v="0"/>
    <s v="Liam Brown"/>
    <s v="Annual"/>
    <d v="2026-07-03T00:00:00"/>
    <d v="2027-07-03T00:00:00"/>
    <x v="1"/>
    <s v="Missing"/>
    <n v="4"/>
    <s v="Sam Rivera"/>
    <d v="2026-11-13T00:00:00"/>
    <s v="In Progress"/>
    <x v="1"/>
    <x v="1"/>
    <x v="1"/>
    <s v="Elevated"/>
  </r>
  <r>
    <s v="CTRL-1265"/>
    <s v="Incident Control 1265"/>
    <s v="RECOVER"/>
    <s v="RC.RP"/>
    <x v="3"/>
    <x v="1"/>
    <s v="Canada"/>
    <x v="1"/>
    <s v="Emma Schmidt"/>
    <s v="Annual"/>
    <d v="2026-03-22T00:00:00"/>
    <d v="2026-06-20T00:00:00"/>
    <x v="0"/>
    <s v="Missing"/>
    <n v="0"/>
    <s v="Taylor Morgan"/>
    <d v="2026-07-03T00:00:00"/>
    <s v="Not Required"/>
    <x v="0"/>
    <x v="1"/>
    <x v="1"/>
    <s v="Standard"/>
  </r>
  <r>
    <s v="CTRL-1266"/>
    <s v="Incident Control 1266"/>
    <s v="RESPOND"/>
    <s v="RS.MA"/>
    <x v="1"/>
    <x v="0"/>
    <s v="Singapore"/>
    <x v="0"/>
    <s v="Taylor Morgan"/>
    <s v="Annual"/>
    <d v="2026-06-12T00:00:00"/>
    <d v="2026-09-10T00:00:00"/>
    <x v="0"/>
    <s v="Complete"/>
    <n v="2"/>
    <s v="Jordan Lee"/>
    <d v="2026-04-14T00:00:00"/>
    <s v="Overdue"/>
    <x v="0"/>
    <x v="1"/>
    <x v="2"/>
    <s v="Elevated"/>
  </r>
  <r>
    <s v="CTRL-1267"/>
    <s v="Reconciliation Control 1267"/>
    <s v="DETECT"/>
    <s v="DE.CM"/>
    <x v="3"/>
    <x v="2"/>
    <s v="United Kingdom"/>
    <x v="2"/>
    <s v="Jordan Lee"/>
    <s v="Annual"/>
    <d v="2026-06-26T00:00:00"/>
    <d v="2027-06-26T00:00:00"/>
    <x v="1"/>
    <s v="Complete"/>
    <n v="0"/>
    <s v="Emma Schmidt"/>
    <d v="2026-07-11T00:00:00"/>
    <s v="Not Required"/>
    <x v="1"/>
    <x v="1"/>
    <x v="2"/>
    <s v="Standard"/>
  </r>
  <r>
    <s v="CTRL-1268"/>
    <s v="Change Control 1268"/>
    <s v="PROTECT"/>
    <s v="PR.AA"/>
    <x v="1"/>
    <x v="1"/>
    <s v="United States"/>
    <x v="0"/>
    <s v="Noah Williams"/>
    <s v="Semiannual"/>
    <d v="2026-07-07T00:00:00"/>
    <d v="2027-07-07T00:00:00"/>
    <x v="3"/>
    <s v="Complete"/>
    <n v="1"/>
    <s v="Noah Williams"/>
    <d v="2026-11-21T00:00:00"/>
    <s v="Completed"/>
    <x v="1"/>
    <x v="1"/>
    <x v="2"/>
    <s v="Elevated"/>
  </r>
  <r>
    <s v="CTRL-1269"/>
    <s v="Incident Control 1269"/>
    <s v="GOVERN"/>
    <s v="GV.RM"/>
    <x v="3"/>
    <x v="0"/>
    <s v="Singapore"/>
    <x v="2"/>
    <s v="Taylor Morgan"/>
    <s v="Quarterly"/>
    <d v="2025-08-16T00:00:00"/>
    <d v="2025-11-14T00:00:00"/>
    <x v="0"/>
    <s v="Complete"/>
    <n v="0"/>
    <s v="Alex Chen"/>
    <d v="2026-08-13T00:00:00"/>
    <s v="Not Required"/>
    <x v="0"/>
    <x v="1"/>
    <x v="2"/>
    <s v="Standard"/>
  </r>
  <r>
    <s v="CTRL-1270"/>
    <s v="Vendor Control 1270"/>
    <s v="GOVERN"/>
    <s v="GV.OC"/>
    <x v="0"/>
    <x v="1"/>
    <s v="Canada"/>
    <x v="2"/>
    <m/>
    <s v="Annual"/>
    <d v="2026-03-09T00:00:00"/>
    <d v="2027-03-09T00:00:00"/>
    <x v="1"/>
    <s v="Complete"/>
    <n v="3"/>
    <s v="Maya Patel"/>
    <d v="2026-08-23T00:00:00"/>
    <s v="Completed"/>
    <x v="1"/>
    <x v="0"/>
    <x v="2"/>
    <s v="Standard"/>
  </r>
  <r>
    <s v="CTRL-1271"/>
    <s v="Policy Control 1271"/>
    <s v="GOVERN"/>
    <s v="GV.RR"/>
    <x v="3"/>
    <x v="2"/>
    <s v="Germany"/>
    <x v="1"/>
    <s v="Sam Rivera"/>
    <s v="Annual"/>
    <d v="2026-07-06T00:00:00"/>
    <d v="2026-10-04T00:00:00"/>
    <x v="3"/>
    <s v="Pending"/>
    <n v="2"/>
    <s v="Alex Chen"/>
    <d v="2026-08-14T00:00:00"/>
    <s v="Overdue"/>
    <x v="1"/>
    <x v="1"/>
    <x v="3"/>
    <s v="Standard"/>
  </r>
  <r>
    <s v="CTRL-1272"/>
    <s v="Reconciliation Control 1272"/>
    <s v="RECOVER"/>
    <s v="RC.RP"/>
    <x v="0"/>
    <x v="1"/>
    <s v="Canada"/>
    <x v="1"/>
    <s v="Maya Patel"/>
    <s v="Semiannual"/>
    <d v="2026-09-02T00:00:00"/>
    <d v="2027-09-02T00:00:00"/>
    <x v="1"/>
    <s v="Pending"/>
    <n v="3"/>
    <s v="Taylor Morgan"/>
    <d v="2027-01-16T00:00:00"/>
    <s v="In Progress"/>
    <x v="1"/>
    <x v="1"/>
    <x v="3"/>
    <s v="Standard"/>
  </r>
  <r>
    <s v="CTRL-1273"/>
    <s v="Change Control 1273"/>
    <s v="GOVERN"/>
    <s v="GV.RM"/>
    <x v="2"/>
    <x v="0"/>
    <s v="Singapore"/>
    <x v="2"/>
    <s v="Noah Williams"/>
    <s v="Semiannual"/>
    <d v="2026-03-04T00:00:00"/>
    <d v="2026-08-31T00:00:00"/>
    <x v="0"/>
    <s v="Pending"/>
    <n v="1"/>
    <s v="Liam Brown"/>
    <d v="2026-08-07T00:00:00"/>
    <s v="Completed"/>
    <x v="0"/>
    <x v="1"/>
    <x v="3"/>
    <s v="Standard"/>
  </r>
  <r>
    <s v="CTRL-1274"/>
    <s v="Access Control 1274"/>
    <s v="IDENTIFY"/>
    <s v="ID.AM"/>
    <x v="0"/>
    <x v="2"/>
    <s v="United Kingdom"/>
    <x v="1"/>
    <s v="Alex Chen"/>
    <s v="Annual"/>
    <d v="2025-08-13T00:00:00"/>
    <d v="2025-11-11T00:00:00"/>
    <x v="0"/>
    <s v="Missing"/>
    <n v="0"/>
    <s v="Emma Schmidt"/>
    <d v="2026-04-22T00:00:00"/>
    <s v="Not Required"/>
    <x v="0"/>
    <x v="1"/>
    <x v="1"/>
    <s v="Standard"/>
  </r>
  <r>
    <s v="CTRL-1275"/>
    <s v="Data Control 1275"/>
    <s v="GOVERN"/>
    <s v="GV.OC"/>
    <x v="0"/>
    <x v="0"/>
    <s v="Singapore"/>
    <x v="2"/>
    <s v="Taylor Morgan"/>
    <s v="Quarterly"/>
    <d v="2025-08-16T00:00:00"/>
    <d v="2025-11-14T00:00:00"/>
    <x v="0"/>
    <s v="Pending"/>
    <n v="1"/>
    <s v="Noah Williams"/>
    <d v="2026-11-05T00:00:00"/>
    <s v="In Progress"/>
    <x v="0"/>
    <x v="1"/>
    <x v="3"/>
    <s v="Standard"/>
  </r>
  <r>
    <s v="CTRL-1276"/>
    <s v="Access Control 1276"/>
    <s v="RECOVER"/>
    <s v="RC.RP"/>
    <x v="1"/>
    <x v="2"/>
    <s v="United Kingdom"/>
    <x v="2"/>
    <s v="Maya Patel"/>
    <s v="Quarterly"/>
    <d v="2026-03-19T00:00:00"/>
    <d v="2027-03-19T00:00:00"/>
    <x v="1"/>
    <s v="Complete"/>
    <n v="1"/>
    <s v="Alex Chen"/>
    <d v="2026-12-19T00:00:00"/>
    <s v="Completed"/>
    <x v="1"/>
    <x v="1"/>
    <x v="2"/>
    <s v="Standard"/>
  </r>
  <r>
    <s v="CTRL-1277"/>
    <s v="Change Control 1277"/>
    <s v="RESPOND"/>
    <s v="RS.MA"/>
    <x v="2"/>
    <x v="2"/>
    <s v="United Kingdom"/>
    <x v="1"/>
    <s v="Alex Chen"/>
    <s v="Quarterly"/>
    <d v="2025-07-21T00:00:00"/>
    <d v="2026-01-17T00:00:00"/>
    <x v="0"/>
    <s v="Pending"/>
    <n v="2"/>
    <s v="Sam Rivera"/>
    <d v="2026-12-10T00:00:00"/>
    <s v="Completed"/>
    <x v="0"/>
    <x v="1"/>
    <x v="3"/>
    <s v="Standard"/>
  </r>
  <r>
    <s v="CTRL-1278"/>
    <s v="Access Control 1278"/>
    <s v="IDENTIFY"/>
    <s v="ID.AM"/>
    <x v="3"/>
    <x v="1"/>
    <s v="United States"/>
    <x v="2"/>
    <s v="Noah Williams"/>
    <s v="Annual"/>
    <d v="2025-12-12T00:00:00"/>
    <d v="2026-12-12T00:00:00"/>
    <x v="2"/>
    <s v="Pending"/>
    <n v="3"/>
    <s v="Alex Chen"/>
    <d v="2026-08-10T00:00:00"/>
    <s v="Overdue"/>
    <x v="1"/>
    <x v="1"/>
    <x v="3"/>
    <s v="Standard"/>
  </r>
  <r>
    <s v="CTRL-1279"/>
    <s v="Vendor Control 1279"/>
    <s v="RESPOND"/>
    <s v="RS.MA"/>
    <x v="5"/>
    <x v="2"/>
    <s v="United Kingdom"/>
    <x v="0"/>
    <s v="Sam Rivera"/>
    <s v="Quarterly"/>
    <d v="2025-11-04T00:00:00"/>
    <d v="2026-05-03T00:00:00"/>
    <x v="0"/>
    <s v="Complete"/>
    <n v="3"/>
    <s v="Maya Patel"/>
    <d v="2026-08-11T00:00:00"/>
    <s v="Overdue"/>
    <x v="0"/>
    <x v="1"/>
    <x v="2"/>
    <s v="Elevated"/>
  </r>
  <r>
    <s v="CTRL-1280"/>
    <s v="Vendor Control 1280"/>
    <s v="PROTECT"/>
    <s v="PR.AA"/>
    <x v="3"/>
    <x v="2"/>
    <s v="United Kingdom"/>
    <x v="1"/>
    <s v="Jordan Lee"/>
    <s v="Semiannual"/>
    <d v="2025-09-17T00:00:00"/>
    <d v="2026-03-16T00:00:00"/>
    <x v="0"/>
    <s v="Complete"/>
    <n v="0"/>
    <s v="Emma Schmidt"/>
    <d v="2026-05-02T00:00:00"/>
    <s v="Not Required"/>
    <x v="0"/>
    <x v="1"/>
    <x v="2"/>
    <s v="Standard"/>
  </r>
  <r>
    <s v="CTRL-1281"/>
    <s v="Incident Control 1281"/>
    <s v="RECOVER"/>
    <s v="RC.RP"/>
    <x v="2"/>
    <x v="1"/>
    <s v="Canada"/>
    <x v="2"/>
    <s v="Alex Chen"/>
    <s v="Semiannual"/>
    <d v="2025-08-20T00:00:00"/>
    <d v="2025-11-18T00:00:00"/>
    <x v="0"/>
    <s v="Complete"/>
    <n v="0"/>
    <s v="Maya Patel"/>
    <d v="2026-11-17T00:00:00"/>
    <s v="Not Required"/>
    <x v="0"/>
    <x v="1"/>
    <x v="2"/>
    <s v="Standard"/>
  </r>
  <r>
    <s v="CTRL-1282"/>
    <s v="Data Control 1282"/>
    <s v="PROTECT"/>
    <s v="PR.AA"/>
    <x v="0"/>
    <x v="2"/>
    <s v="United Kingdom"/>
    <x v="0"/>
    <s v="Taylor Morgan"/>
    <s v="Quarterly"/>
    <d v="2025-11-15T00:00:00"/>
    <d v="2026-02-13T00:00:00"/>
    <x v="0"/>
    <s v="Missing"/>
    <n v="4"/>
    <s v="Noah Williams"/>
    <d v="2026-05-07T00:00:00"/>
    <s v="Overdue"/>
    <x v="0"/>
    <x v="1"/>
    <x v="1"/>
    <s v="Elevated"/>
  </r>
  <r>
    <s v="CTRL-1283"/>
    <s v="Policy Control 1283"/>
    <s v="RESPOND"/>
    <s v="RS.MA"/>
    <x v="2"/>
    <x v="1"/>
    <s v="United States"/>
    <x v="0"/>
    <s v="Alex Chen"/>
    <s v="Annual"/>
    <d v="2026-05-03T00:00:00"/>
    <d v="2027-05-03T00:00:00"/>
    <x v="3"/>
    <s v="Missing"/>
    <n v="2"/>
    <s v="Liam Brown"/>
    <d v="2026-12-13T00:00:00"/>
    <s v="In Progress"/>
    <x v="1"/>
    <x v="1"/>
    <x v="1"/>
    <s v="Elevated"/>
  </r>
  <r>
    <s v="CTRL-1284"/>
    <s v="Data Control 1284"/>
    <s v="RESPOND"/>
    <s v="RS.MA"/>
    <x v="5"/>
    <x v="0"/>
    <s v="Singapore"/>
    <x v="1"/>
    <s v="Liam Brown"/>
    <s v="Annual"/>
    <d v="2025-11-12T00:00:00"/>
    <d v="2026-05-11T00:00:00"/>
    <x v="0"/>
    <s v="Missing"/>
    <n v="0"/>
    <s v="Taylor Morgan"/>
    <d v="2026-11-01T00:00:00"/>
    <s v="Not Required"/>
    <x v="0"/>
    <x v="1"/>
    <x v="1"/>
    <s v="Standard"/>
  </r>
  <r>
    <s v="CTRL-1285"/>
    <s v="Change Control 1285"/>
    <s v="IDENTIFY"/>
    <s v="ID.AM"/>
    <x v="4"/>
    <x v="1"/>
    <s v="Canada"/>
    <x v="3"/>
    <s v="Jordan Lee"/>
    <s v="Quarterly"/>
    <d v="2026-05-23T00:00:00"/>
    <d v="2026-11-19T00:00:00"/>
    <x v="1"/>
    <s v="Complete"/>
    <n v="3"/>
    <s v="Noah Williams"/>
    <d v="2026-12-04T00:00:00"/>
    <s v="In Progress"/>
    <x v="1"/>
    <x v="1"/>
    <x v="2"/>
    <s v="Elevated"/>
  </r>
  <r>
    <s v="CTRL-1286"/>
    <s v="Vendor Control 1286"/>
    <s v="GOVERN"/>
    <s v="GV.RR"/>
    <x v="1"/>
    <x v="2"/>
    <s v="United Kingdom"/>
    <x v="0"/>
    <s v="Taylor Morgan"/>
    <s v="Annual"/>
    <d v="2025-11-16T00:00:00"/>
    <d v="2026-11-16T00:00:00"/>
    <x v="2"/>
    <s v="Complete"/>
    <n v="0"/>
    <s v="Jordan Lee"/>
    <d v="2026-08-16T00:00:00"/>
    <s v="Not Required"/>
    <x v="1"/>
    <x v="1"/>
    <x v="2"/>
    <s v="Elevated"/>
  </r>
  <r>
    <s v="CTRL-1287"/>
    <s v="Access Control 1287"/>
    <s v="RESPOND"/>
    <s v="RS.MA"/>
    <x v="4"/>
    <x v="1"/>
    <s v="United States"/>
    <x v="1"/>
    <s v="Liam Brown"/>
    <s v="Quarterly"/>
    <d v="2025-07-18T00:00:00"/>
    <d v="2026-07-18T00:00:00"/>
    <x v="0"/>
    <s v="Complete"/>
    <n v="0"/>
    <s v="Alex Chen"/>
    <d v="2026-05-18T00:00:00"/>
    <s v="Not Required"/>
    <x v="0"/>
    <x v="1"/>
    <x v="2"/>
    <s v="Standard"/>
  </r>
  <r>
    <s v="CTRL-1288"/>
    <s v="Access Control 1288"/>
    <s v="RECOVER"/>
    <s v="RC.RP"/>
    <x v="0"/>
    <x v="0"/>
    <s v="Singapore"/>
    <x v="0"/>
    <s v="Maya Patel"/>
    <s v="Annual"/>
    <d v="2026-05-13T00:00:00"/>
    <d v="2026-11-09T00:00:00"/>
    <x v="2"/>
    <s v="Complete"/>
    <n v="0"/>
    <s v="Taylor Morgan"/>
    <d v="2026-05-15T00:00:00"/>
    <s v="Not Required"/>
    <x v="1"/>
    <x v="1"/>
    <x v="2"/>
    <s v="Elevated"/>
  </r>
  <r>
    <s v="CTRL-1289"/>
    <s v="Vendor Control 1289"/>
    <s v="GOVERN"/>
    <s v="GV.RM"/>
    <x v="0"/>
    <x v="0"/>
    <s v="Singapore"/>
    <x v="3"/>
    <s v="Emma Schmidt"/>
    <s v="Semiannual"/>
    <d v="2025-06-10T00:00:00"/>
    <d v="2025-12-07T00:00:00"/>
    <x v="0"/>
    <s v="Pending"/>
    <n v="4"/>
    <s v="Sam Rivera"/>
    <d v="2026-06-12T00:00:00"/>
    <s v="Completed"/>
    <x v="0"/>
    <x v="1"/>
    <x v="3"/>
    <s v="Elevated"/>
  </r>
  <r>
    <s v="CTRL-1290"/>
    <s v="Vendor Control 1290"/>
    <s v="GOVERN"/>
    <s v="GV.OC"/>
    <x v="3"/>
    <x v="0"/>
    <s v="Singapore"/>
    <x v="2"/>
    <s v="Alex Chen"/>
    <s v="Semiannual"/>
    <d v="2025-12-08T00:00:00"/>
    <d v="2026-03-08T00:00:00"/>
    <x v="0"/>
    <s v="Complete"/>
    <n v="0"/>
    <s v="Noah Williams"/>
    <d v="2026-08-13T00:00:00"/>
    <s v="Not Required"/>
    <x v="0"/>
    <x v="1"/>
    <x v="2"/>
    <s v="Standard"/>
  </r>
  <r>
    <s v="CTRL-1291"/>
    <s v="Change Control 1291"/>
    <s v="GOVERN"/>
    <s v="GV.RM"/>
    <x v="1"/>
    <x v="2"/>
    <s v="United Kingdom"/>
    <x v="0"/>
    <s v="Emma Schmidt"/>
    <s v="Annual"/>
    <d v="2025-11-26T00:00:00"/>
    <d v="2026-02-24T00:00:00"/>
    <x v="0"/>
    <s v="Pending"/>
    <n v="4"/>
    <s v="Liam Brown"/>
    <d v="2026-10-26T00:00:00"/>
    <s v="Completed"/>
    <x v="0"/>
    <x v="1"/>
    <x v="3"/>
    <s v="Elevated"/>
  </r>
  <r>
    <s v="CTRL-1292"/>
    <s v="Incident Control 1292"/>
    <s v="RECOVER"/>
    <s v="RC.RP"/>
    <x v="1"/>
    <x v="0"/>
    <s v="Singapore"/>
    <x v="2"/>
    <s v="Emma Schmidt"/>
    <s v="Annual"/>
    <d v="2025-11-28T00:00:00"/>
    <d v="2026-11-28T00:00:00"/>
    <x v="1"/>
    <s v="Missing"/>
    <n v="3"/>
    <s v="Alex Chen"/>
    <d v="2027-01-24T00:00:00"/>
    <s v="In Progress"/>
    <x v="1"/>
    <x v="1"/>
    <x v="1"/>
    <s v="Standard"/>
  </r>
  <r>
    <s v="CTRL-1293"/>
    <s v="Vendor Control 1293"/>
    <s v="GOVERN"/>
    <s v="GV.OC"/>
    <x v="3"/>
    <x v="2"/>
    <s v="United Kingdom"/>
    <x v="2"/>
    <s v="Maya Patel"/>
    <s v="Annual"/>
    <d v="2026-05-01T00:00:00"/>
    <d v="2026-07-30T00:00:00"/>
    <x v="0"/>
    <s v="Missing"/>
    <n v="3"/>
    <s v="Sam Rivera"/>
    <d v="2026-05-30T00:00:00"/>
    <s v="Overdue"/>
    <x v="0"/>
    <x v="1"/>
    <x v="1"/>
    <s v="Standard"/>
  </r>
  <r>
    <s v="CTRL-1294"/>
    <s v="Change Control 1294"/>
    <s v="RESPOND"/>
    <s v="RS.MA"/>
    <x v="2"/>
    <x v="1"/>
    <s v="Canada"/>
    <x v="2"/>
    <s v="Sam Rivera"/>
    <s v="Semiannual"/>
    <d v="2026-03-24T00:00:00"/>
    <d v="2027-03-24T00:00:00"/>
    <x v="1"/>
    <s v="Complete"/>
    <n v="3"/>
    <s v="Alex Chen"/>
    <d v="2027-01-25T00:00:00"/>
    <s v="In Progress"/>
    <x v="1"/>
    <x v="1"/>
    <x v="2"/>
    <s v="Standard"/>
  </r>
  <r>
    <s v="CTRL-1295"/>
    <s v="Change Control 1295"/>
    <s v="PROTECT"/>
    <s v="PR.AA"/>
    <x v="5"/>
    <x v="0"/>
    <s v="Singapore"/>
    <x v="2"/>
    <s v="Emma Schmidt"/>
    <s v="Quarterly"/>
    <d v="2026-02-26T00:00:00"/>
    <d v="2027-02-26T00:00:00"/>
    <x v="1"/>
    <s v="Pending"/>
    <n v="3"/>
    <s v="Liam Brown"/>
    <d v="2026-04-16T00:00:00"/>
    <s v="Completed"/>
    <x v="1"/>
    <x v="1"/>
    <x v="3"/>
    <s v="Standard"/>
  </r>
  <r>
    <s v="CTRL-1296"/>
    <s v="Access Control 1296"/>
    <s v="GOVERN"/>
    <s v="GV.RR"/>
    <x v="3"/>
    <x v="1"/>
    <s v="United States"/>
    <x v="2"/>
    <s v="Emma Schmidt"/>
    <s v="Annual"/>
    <d v="2026-06-30T00:00:00"/>
    <d v="2026-09-28T00:00:00"/>
    <x v="0"/>
    <s v="Pending"/>
    <n v="1"/>
    <s v="Sam Rivera"/>
    <d v="2026-10-28T00:00:00"/>
    <s v="Completed"/>
    <x v="0"/>
    <x v="1"/>
    <x v="3"/>
    <s v="Standard"/>
  </r>
  <r>
    <s v="CTRL-1297"/>
    <s v="Policy Control 1297"/>
    <s v="GOVERN"/>
    <s v="GV.RR"/>
    <x v="3"/>
    <x v="2"/>
    <s v="Germany"/>
    <x v="2"/>
    <s v="Sam Rivera"/>
    <s v="Annual"/>
    <d v="2025-10-31T00:00:00"/>
    <d v="2026-01-29T00:00:00"/>
    <x v="0"/>
    <s v="Pending"/>
    <n v="1"/>
    <s v="Liam Brown"/>
    <d v="2026-08-13T00:00:00"/>
    <s v="Overdue"/>
    <x v="0"/>
    <x v="1"/>
    <x v="3"/>
    <s v="Standard"/>
  </r>
  <r>
    <s v="CTRL-1298"/>
    <s v="Policy Control 1298"/>
    <s v="GOVERN"/>
    <s v="GV.RR"/>
    <x v="4"/>
    <x v="0"/>
    <s v="Singapore"/>
    <x v="1"/>
    <s v="Maya Patel"/>
    <s v="Quarterly"/>
    <d v="2026-07-27T00:00:00"/>
    <d v="2027-01-23T00:00:00"/>
    <x v="1"/>
    <s v="Complete"/>
    <n v="1"/>
    <s v="Emma Schmidt"/>
    <d v="2026-10-03T00:00:00"/>
    <s v="In Progress"/>
    <x v="1"/>
    <x v="1"/>
    <x v="2"/>
    <s v="Standard"/>
  </r>
  <r>
    <s v="CTRL-1299"/>
    <s v="Reconciliation Control 1299"/>
    <s v="PROTECT"/>
    <s v="PR.AA"/>
    <x v="1"/>
    <x v="1"/>
    <s v="United States"/>
    <x v="2"/>
    <s v="Emma Schmidt"/>
    <s v="Annual"/>
    <d v="2025-06-10T00:00:00"/>
    <d v="2025-09-08T00:00:00"/>
    <x v="0"/>
    <s v="Pending"/>
    <n v="1"/>
    <s v="Maya Patel"/>
    <d v="2026-08-08T00:00:00"/>
    <s v="Completed"/>
    <x v="0"/>
    <x v="1"/>
    <x v="3"/>
    <s v="Standard"/>
  </r>
  <r>
    <s v="CTRL-1300"/>
    <s v="Vendor Control 1300"/>
    <s v="GOVERN"/>
    <s v="GV.RM"/>
    <x v="5"/>
    <x v="2"/>
    <s v="Germany"/>
    <x v="1"/>
    <s v="Jordan Lee"/>
    <s v="Semiannual"/>
    <d v="2026-03-10T00:00:00"/>
    <d v="2026-09-06T00:00:00"/>
    <x v="0"/>
    <s v="Pending"/>
    <n v="3"/>
    <s v="Alex Chen"/>
    <d v="2026-06-16T00:00:00"/>
    <s v="Completed"/>
    <x v="0"/>
    <x v="1"/>
    <x v="3"/>
    <s v="Standard"/>
  </r>
  <r>
    <s v="CTRL-1301"/>
    <s v="Incident Control 1301"/>
    <s v="GOVERN"/>
    <s v="GV.RR"/>
    <x v="2"/>
    <x v="1"/>
    <s v="Canada"/>
    <x v="1"/>
    <s v="Emma Schmidt"/>
    <s v="Semiannual"/>
    <d v="2026-02-17T00:00:00"/>
    <d v="2026-05-18T00:00:00"/>
    <x v="0"/>
    <s v="Pending"/>
    <n v="3"/>
    <s v="Alex Chen"/>
    <d v="2026-05-06T00:00:00"/>
    <s v="Overdue"/>
    <x v="0"/>
    <x v="1"/>
    <x v="3"/>
    <s v="Standard"/>
  </r>
  <r>
    <s v="CTRL-1302"/>
    <s v="Policy Control 1302"/>
    <s v="GOVERN"/>
    <s v="GV.RM"/>
    <x v="4"/>
    <x v="0"/>
    <s v="Singapore"/>
    <x v="2"/>
    <s v="Jordan Lee"/>
    <s v="Quarterly"/>
    <d v="2026-07-23T00:00:00"/>
    <d v="2027-01-19T00:00:00"/>
    <x v="1"/>
    <s v="Pending"/>
    <n v="3"/>
    <s v="Noah Williams"/>
    <d v="2026-12-23T00:00:00"/>
    <s v="In Progress"/>
    <x v="1"/>
    <x v="1"/>
    <x v="3"/>
    <s v="Standard"/>
  </r>
  <r>
    <s v="CTRL-1303"/>
    <s v="Reconciliation Control 1303"/>
    <s v="RECOVER"/>
    <s v="RC.RP"/>
    <x v="4"/>
    <x v="0"/>
    <s v="Singapore"/>
    <x v="2"/>
    <s v="Taylor Morgan"/>
    <s v="Annual"/>
    <d v="2025-12-05T00:00:00"/>
    <d v="2026-06-03T00:00:00"/>
    <x v="0"/>
    <s v="Missing"/>
    <n v="1"/>
    <s v="Emma Schmidt"/>
    <d v="2027-01-25T00:00:00"/>
    <s v="In Progress"/>
    <x v="0"/>
    <x v="1"/>
    <x v="1"/>
    <s v="Standard"/>
  </r>
  <r>
    <s v="CTRL-1304"/>
    <s v="Access Control 1304"/>
    <s v="GOVERN"/>
    <s v="GV.OC"/>
    <x v="5"/>
    <x v="0"/>
    <s v="Singapore"/>
    <x v="0"/>
    <s v="Maya Patel"/>
    <s v="Quarterly"/>
    <d v="2026-03-27T00:00:00"/>
    <d v="2026-09-23T00:00:00"/>
    <x v="0"/>
    <s v="Missing"/>
    <n v="2"/>
    <s v="Jordan Lee"/>
    <d v="2026-09-10T00:00:00"/>
    <s v="Overdue"/>
    <x v="0"/>
    <x v="1"/>
    <x v="1"/>
    <s v="Elevated"/>
  </r>
  <r>
    <s v="CTRL-1305"/>
    <s v="Vendor Control 1305"/>
    <s v="GOVERN"/>
    <s v="GV.RM"/>
    <x v="0"/>
    <x v="0"/>
    <s v="Singapore"/>
    <x v="0"/>
    <s v="Liam Brown"/>
    <s v="Quarterly"/>
    <d v="2026-03-10T00:00:00"/>
    <d v="2026-06-08T00:00:00"/>
    <x v="0"/>
    <s v="Missing"/>
    <n v="3"/>
    <s v="Emma Schmidt"/>
    <d v="2026-04-25T00:00:00"/>
    <s v="Overdue"/>
    <x v="0"/>
    <x v="1"/>
    <x v="1"/>
    <s v="Elevated"/>
  </r>
  <r>
    <s v="CTRL-1306"/>
    <s v="Reconciliation Control 1306"/>
    <s v="PROTECT"/>
    <s v="PR.AA"/>
    <x v="1"/>
    <x v="0"/>
    <s v="Singapore"/>
    <x v="0"/>
    <s v="Emma Schmidt"/>
    <s v="Semiannual"/>
    <d v="2026-05-27T00:00:00"/>
    <d v="2026-11-23T00:00:00"/>
    <x v="1"/>
    <s v="Pending"/>
    <n v="5"/>
    <s v="Alex Chen"/>
    <d v="2026-06-06T00:00:00"/>
    <s v="Completed"/>
    <x v="1"/>
    <x v="1"/>
    <x v="3"/>
    <s v="Elevated"/>
  </r>
  <r>
    <s v="CTRL-1307"/>
    <s v="Vendor Control 1307"/>
    <s v="RESPOND"/>
    <s v="RS.MA"/>
    <x v="0"/>
    <x v="2"/>
    <s v="Germany"/>
    <x v="1"/>
    <s v="Taylor Morgan"/>
    <s v="Annual"/>
    <d v="2025-07-24T00:00:00"/>
    <d v="2025-10-22T00:00:00"/>
    <x v="0"/>
    <s v="Pending"/>
    <n v="2"/>
    <s v="Taylor Morgan"/>
    <d v="2026-07-03T00:00:00"/>
    <s v="Completed"/>
    <x v="0"/>
    <x v="1"/>
    <x v="3"/>
    <s v="Standard"/>
  </r>
  <r>
    <s v="CTRL-1308"/>
    <s v="Reconciliation Control 1308"/>
    <s v="PROTECT"/>
    <s v="PR.AA"/>
    <x v="4"/>
    <x v="0"/>
    <s v="Singapore"/>
    <x v="2"/>
    <s v="Alex Chen"/>
    <s v="Semiannual"/>
    <d v="2026-03-27T00:00:00"/>
    <d v="2026-09-23T00:00:00"/>
    <x v="0"/>
    <s v="Pending"/>
    <n v="1"/>
    <s v="Noah Williams"/>
    <d v="2026-04-10T00:00:00"/>
    <s v="Overdue"/>
    <x v="0"/>
    <x v="1"/>
    <x v="3"/>
    <s v="Standard"/>
  </r>
  <r>
    <s v="CTRL-1309"/>
    <s v="Vendor Control 1309"/>
    <s v="GOVERN"/>
    <s v="GV.OC"/>
    <x v="2"/>
    <x v="2"/>
    <s v="Germany"/>
    <x v="2"/>
    <s v="Alex Chen"/>
    <s v="Quarterly"/>
    <d v="2025-11-22T00:00:00"/>
    <d v="2026-05-21T00:00:00"/>
    <x v="0"/>
    <s v="Pending"/>
    <n v="2"/>
    <s v="Sam Rivera"/>
    <d v="2026-07-25T00:00:00"/>
    <s v="Completed"/>
    <x v="0"/>
    <x v="1"/>
    <x v="3"/>
    <s v="Standard"/>
  </r>
  <r>
    <s v="CTRL-1310"/>
    <s v="Access Control 1310"/>
    <s v="GOVERN"/>
    <s v="GV.OC"/>
    <x v="4"/>
    <x v="2"/>
    <s v="Germany"/>
    <x v="0"/>
    <s v="Jordan Lee"/>
    <s v="Semiannual"/>
    <d v="2025-06-30T00:00:00"/>
    <d v="2026-06-30T00:00:00"/>
    <x v="0"/>
    <s v="Complete"/>
    <n v="3"/>
    <s v="Noah Williams"/>
    <d v="2026-09-22T00:00:00"/>
    <s v="Overdue"/>
    <x v="0"/>
    <x v="1"/>
    <x v="2"/>
    <s v="Elevated"/>
  </r>
  <r>
    <s v="CTRL-1311"/>
    <s v="Reconciliation Control 1311"/>
    <s v="GOVERN"/>
    <s v="GV.RR"/>
    <x v="1"/>
    <x v="0"/>
    <s v="Singapore"/>
    <x v="3"/>
    <s v="Alex Chen"/>
    <s v="Quarterly"/>
    <d v="2025-09-20T00:00:00"/>
    <d v="2026-09-20T00:00:00"/>
    <x v="0"/>
    <s v="Pending"/>
    <n v="1"/>
    <s v="Liam Brown"/>
    <d v="2026-07-07T00:00:00"/>
    <s v="Completed"/>
    <x v="0"/>
    <x v="1"/>
    <x v="3"/>
    <s v="Elevated"/>
  </r>
  <r>
    <s v="CTRL-1312"/>
    <s v="Access Control 1312"/>
    <s v="GOVERN"/>
    <s v="GV.OC"/>
    <x v="5"/>
    <x v="2"/>
    <s v="Germany"/>
    <x v="2"/>
    <s v="Taylor Morgan"/>
    <s v="Quarterly"/>
    <d v="2026-02-17T00:00:00"/>
    <d v="2026-05-18T00:00:00"/>
    <x v="0"/>
    <s v="Pending"/>
    <n v="0"/>
    <s v="Jordan Lee"/>
    <d v="2026-10-19T00:00:00"/>
    <s v="Not Required"/>
    <x v="0"/>
    <x v="1"/>
    <x v="3"/>
    <s v="Standard"/>
  </r>
  <r>
    <s v="CTRL-1313"/>
    <s v="Data Control 1313"/>
    <s v="RECOVER"/>
    <s v="RC.RP"/>
    <x v="0"/>
    <x v="2"/>
    <s v="United Kingdom"/>
    <x v="2"/>
    <s v="Taylor Morgan"/>
    <s v="Annual"/>
    <d v="2025-12-11T00:00:00"/>
    <d v="2026-12-11T00:00:00"/>
    <x v="3"/>
    <s v="Complete"/>
    <n v="0"/>
    <s v="Emma Schmidt"/>
    <d v="2026-05-28T00:00:00"/>
    <s v="Not Required"/>
    <x v="1"/>
    <x v="1"/>
    <x v="2"/>
    <s v="Standard"/>
  </r>
  <r>
    <s v="CTRL-1314"/>
    <s v="Change Control 1314"/>
    <s v="RECOVER"/>
    <s v="RC.RP"/>
    <x v="3"/>
    <x v="2"/>
    <s v="Germany"/>
    <x v="1"/>
    <s v="Maya Patel"/>
    <s v="Annual"/>
    <d v="2026-06-14T00:00:00"/>
    <d v="2027-06-14T00:00:00"/>
    <x v="2"/>
    <s v="Pending"/>
    <n v="0"/>
    <s v="Emma Schmidt"/>
    <d v="2026-08-20T00:00:00"/>
    <s v="Not Required"/>
    <x v="1"/>
    <x v="1"/>
    <x v="3"/>
    <s v="Standard"/>
  </r>
  <r>
    <s v="CTRL-1315"/>
    <s v="Change Control 1315"/>
    <s v="PROTECT"/>
    <s v="PR.AA"/>
    <x v="5"/>
    <x v="2"/>
    <s v="United Kingdom"/>
    <x v="0"/>
    <s v="Maya Patel"/>
    <s v="Annual"/>
    <d v="2026-06-27T00:00:00"/>
    <d v="2027-06-27T00:00:00"/>
    <x v="1"/>
    <s v="Complete"/>
    <n v="0"/>
    <s v="Liam Brown"/>
    <d v="2026-07-16T00:00:00"/>
    <s v="Not Required"/>
    <x v="1"/>
    <x v="1"/>
    <x v="2"/>
    <s v="Elevated"/>
  </r>
  <r>
    <s v="CTRL-1316"/>
    <s v="Reconciliation Control 1316"/>
    <s v="GOVERN"/>
    <s v="GV.RR"/>
    <x v="4"/>
    <x v="2"/>
    <s v="United Kingdom"/>
    <x v="2"/>
    <s v="Emma Schmidt"/>
    <s v="Semiannual"/>
    <d v="2025-06-24T00:00:00"/>
    <d v="2026-06-24T00:00:00"/>
    <x v="0"/>
    <s v="Complete"/>
    <n v="3"/>
    <s v="Jordan Lee"/>
    <d v="2027-01-11T00:00:00"/>
    <s v="In Progress"/>
    <x v="0"/>
    <x v="1"/>
    <x v="2"/>
    <s v="Standard"/>
  </r>
  <r>
    <s v="CTRL-1317"/>
    <s v="Access Control 1317"/>
    <s v="PROTECT"/>
    <s v="PR.AA"/>
    <x v="0"/>
    <x v="2"/>
    <s v="United Kingdom"/>
    <x v="2"/>
    <m/>
    <s v="Quarterly"/>
    <d v="2025-09-20T00:00:00"/>
    <d v="2025-12-19T00:00:00"/>
    <x v="0"/>
    <s v="Missing"/>
    <n v="2"/>
    <s v="Emma Schmidt"/>
    <d v="2026-08-10T00:00:00"/>
    <s v="Overdue"/>
    <x v="0"/>
    <x v="0"/>
    <x v="1"/>
    <s v="Standard"/>
  </r>
  <r>
    <s v="CTRL-1318"/>
    <s v="Change Control 1318"/>
    <s v="GOVERN"/>
    <s v="GV.RR"/>
    <x v="5"/>
    <x v="2"/>
    <s v="Germany"/>
    <x v="2"/>
    <s v="Liam Brown"/>
    <s v="Quarterly"/>
    <d v="2026-03-21T00:00:00"/>
    <d v="2027-03-21T00:00:00"/>
    <x v="1"/>
    <s v="Complete"/>
    <n v="0"/>
    <s v="Liam Brown"/>
    <d v="2026-05-30T00:00:00"/>
    <s v="Not Required"/>
    <x v="1"/>
    <x v="1"/>
    <x v="2"/>
    <s v="Standard"/>
  </r>
  <r>
    <s v="CTRL-1319"/>
    <s v="Vendor Control 1319"/>
    <s v="GOVERN"/>
    <s v="GV.RR"/>
    <x v="5"/>
    <x v="2"/>
    <s v="Germany"/>
    <x v="3"/>
    <s v="Maya Patel"/>
    <s v="Quarterly"/>
    <d v="2026-01-23T00:00:00"/>
    <d v="2026-07-22T00:00:00"/>
    <x v="0"/>
    <s v="Pending"/>
    <n v="1"/>
    <s v="Alex Chen"/>
    <d v="2026-08-05T00:00:00"/>
    <s v="Overdue"/>
    <x v="0"/>
    <x v="1"/>
    <x v="3"/>
    <s v="Elevated"/>
  </r>
  <r>
    <s v="CTRL-1320"/>
    <s v="Policy Control 1320"/>
    <s v="GOVERN"/>
    <s v="GV.OC"/>
    <x v="5"/>
    <x v="1"/>
    <s v="Canada"/>
    <x v="1"/>
    <s v="Maya Patel"/>
    <s v="Quarterly"/>
    <d v="2025-06-08T00:00:00"/>
    <d v="2025-12-05T00:00:00"/>
    <x v="0"/>
    <s v="Pending"/>
    <n v="0"/>
    <s v="Emma Schmidt"/>
    <d v="2027-01-05T00:00:00"/>
    <s v="Not Required"/>
    <x v="0"/>
    <x v="1"/>
    <x v="3"/>
    <s v="Standard"/>
  </r>
  <r>
    <s v="CTRL-1321"/>
    <s v="Reconciliation Control 1321"/>
    <s v="IDENTIFY"/>
    <s v="ID.AM"/>
    <x v="2"/>
    <x v="1"/>
    <s v="United States"/>
    <x v="2"/>
    <s v="Sam Rivera"/>
    <s v="Quarterly"/>
    <d v="2026-08-25T00:00:00"/>
    <d v="2027-02-21T00:00:00"/>
    <x v="3"/>
    <s v="Pending"/>
    <n v="1"/>
    <s v="Taylor Morgan"/>
    <d v="2026-08-17T00:00:00"/>
    <s v="Overdue"/>
    <x v="1"/>
    <x v="1"/>
    <x v="3"/>
    <s v="Standard"/>
  </r>
  <r>
    <s v="CTRL-1322"/>
    <s v="Data Control 1322"/>
    <s v="PROTECT"/>
    <s v="PR.AA"/>
    <x v="5"/>
    <x v="1"/>
    <s v="United States"/>
    <x v="0"/>
    <s v="Maya Patel"/>
    <s v="Quarterly"/>
    <d v="2025-12-21T00:00:00"/>
    <d v="2026-03-21T00:00:00"/>
    <x v="0"/>
    <s v="Missing"/>
    <n v="3"/>
    <s v="Emma Schmidt"/>
    <d v="2026-11-14T00:00:00"/>
    <s v="In Progress"/>
    <x v="0"/>
    <x v="1"/>
    <x v="1"/>
    <s v="Elevated"/>
  </r>
  <r>
    <s v="CTRL-1323"/>
    <s v="Vendor Control 1323"/>
    <s v="GOVERN"/>
    <s v="GV.RM"/>
    <x v="2"/>
    <x v="2"/>
    <s v="United Kingdom"/>
    <x v="1"/>
    <s v="Noah Williams"/>
    <s v="Annual"/>
    <d v="2026-04-30T00:00:00"/>
    <d v="2026-10-27T00:00:00"/>
    <x v="1"/>
    <s v="Missing"/>
    <n v="1"/>
    <s v="Sam Rivera"/>
    <d v="2027-01-01T00:00:00"/>
    <s v="In Progress"/>
    <x v="1"/>
    <x v="1"/>
    <x v="1"/>
    <s v="Standard"/>
  </r>
  <r>
    <s v="CTRL-1324"/>
    <s v="Policy Control 1324"/>
    <s v="PROTECT"/>
    <s v="PR.AA"/>
    <x v="0"/>
    <x v="2"/>
    <s v="United Kingdom"/>
    <x v="2"/>
    <s v="Noah Williams"/>
    <s v="Annual"/>
    <d v="2026-05-10T00:00:00"/>
    <d v="2027-05-10T00:00:00"/>
    <x v="3"/>
    <s v="Missing"/>
    <n v="3"/>
    <s v="Emma Schmidt"/>
    <d v="2026-12-16T00:00:00"/>
    <s v="In Progress"/>
    <x v="1"/>
    <x v="1"/>
    <x v="1"/>
    <s v="Standard"/>
  </r>
  <r>
    <s v="CTRL-1325"/>
    <s v="Vendor Control 1325"/>
    <s v="DETECT"/>
    <s v="DE.CM"/>
    <x v="3"/>
    <x v="0"/>
    <s v="Singapore"/>
    <x v="2"/>
    <s v="Jordan Lee"/>
    <s v="Annual"/>
    <d v="2025-06-14T00:00:00"/>
    <d v="2026-06-14T00:00:00"/>
    <x v="0"/>
    <s v="Missing"/>
    <n v="0"/>
    <s v="Jordan Lee"/>
    <d v="2026-09-06T00:00:00"/>
    <s v="Not Required"/>
    <x v="0"/>
    <x v="1"/>
    <x v="1"/>
    <s v="Standard"/>
  </r>
  <r>
    <s v="CTRL-1326"/>
    <s v="Incident Control 1326"/>
    <s v="RESPOND"/>
    <s v="RS.MA"/>
    <x v="2"/>
    <x v="2"/>
    <s v="United Kingdom"/>
    <x v="0"/>
    <s v="Jordan Lee"/>
    <s v="Semiannual"/>
    <d v="2026-05-04T00:00:00"/>
    <d v="2026-10-31T00:00:00"/>
    <x v="1"/>
    <s v="Complete"/>
    <n v="5"/>
    <s v="Jordan Lee"/>
    <d v="2027-01-04T00:00:00"/>
    <s v="In Progress"/>
    <x v="1"/>
    <x v="1"/>
    <x v="2"/>
    <s v="Elevated"/>
  </r>
  <r>
    <s v="CTRL-1327"/>
    <s v="Change Control 1327"/>
    <s v="GOVERN"/>
    <s v="GV.RM"/>
    <x v="1"/>
    <x v="2"/>
    <s v="United Kingdom"/>
    <x v="0"/>
    <s v="Sam Rivera"/>
    <s v="Quarterly"/>
    <d v="2025-11-11T00:00:00"/>
    <d v="2026-05-10T00:00:00"/>
    <x v="0"/>
    <s v="Complete"/>
    <n v="4"/>
    <s v="Liam Brown"/>
    <d v="2026-08-01T00:00:00"/>
    <s v="Completed"/>
    <x v="0"/>
    <x v="1"/>
    <x v="2"/>
    <s v="Elevated"/>
  </r>
  <r>
    <s v="CTRL-1328"/>
    <s v="Change Control 1328"/>
    <s v="GOVERN"/>
    <s v="GV.RR"/>
    <x v="1"/>
    <x v="1"/>
    <s v="Canada"/>
    <x v="3"/>
    <s v="Sam Rivera"/>
    <s v="Quarterly"/>
    <d v="2026-06-14T00:00:00"/>
    <d v="2027-06-14T00:00:00"/>
    <x v="3"/>
    <s v="Missing"/>
    <n v="4"/>
    <s v="Alex Chen"/>
    <d v="2027-01-13T00:00:00"/>
    <s v="In Progress"/>
    <x v="1"/>
    <x v="1"/>
    <x v="1"/>
    <s v="Elevated"/>
  </r>
  <r>
    <s v="CTRL-1329"/>
    <s v="Access Control 1329"/>
    <s v="GOVERN"/>
    <s v="GV.OC"/>
    <x v="1"/>
    <x v="1"/>
    <s v="United States"/>
    <x v="1"/>
    <s v="Alex Chen"/>
    <s v="Annual"/>
    <d v="2026-09-02T00:00:00"/>
    <d v="2026-12-01T00:00:00"/>
    <x v="2"/>
    <m/>
    <n v="3"/>
    <s v="Liam Brown"/>
    <d v="2026-11-11T00:00:00"/>
    <s v="In Progress"/>
    <x v="1"/>
    <x v="1"/>
    <x v="0"/>
    <s v="Standard"/>
  </r>
  <r>
    <s v="CTRL-1330"/>
    <s v="Access Control 1330"/>
    <s v="PROTECT"/>
    <s v="PR.AA"/>
    <x v="0"/>
    <x v="0"/>
    <s v="Singapore"/>
    <x v="1"/>
    <s v="Maya Patel"/>
    <s v="Annual"/>
    <d v="2025-07-19T00:00:00"/>
    <d v="2026-01-15T00:00:00"/>
    <x v="0"/>
    <s v="Complete"/>
    <n v="2"/>
    <s v="Sam Rivera"/>
    <d v="2026-10-16T00:00:00"/>
    <s v="In Progress"/>
    <x v="0"/>
    <x v="1"/>
    <x v="2"/>
    <s v="Standard"/>
  </r>
  <r>
    <s v="CTRL-1331"/>
    <s v="Reconciliation Control 1331"/>
    <s v="IDENTIFY"/>
    <s v="ID.AM"/>
    <x v="2"/>
    <x v="0"/>
    <s v="Singapore"/>
    <x v="2"/>
    <s v="Maya Patel"/>
    <s v="Semiannual"/>
    <d v="2025-11-13T00:00:00"/>
    <d v="2026-11-13T00:00:00"/>
    <x v="2"/>
    <s v="Pending"/>
    <n v="3"/>
    <s v="Emma Schmidt"/>
    <d v="2027-01-09T00:00:00"/>
    <s v="In Progress"/>
    <x v="1"/>
    <x v="1"/>
    <x v="3"/>
    <s v="Standard"/>
  </r>
  <r>
    <s v="CTRL-1332"/>
    <s v="Reconciliation Control 1332"/>
    <s v="PROTECT"/>
    <s v="PR.AA"/>
    <x v="5"/>
    <x v="0"/>
    <s v="Singapore"/>
    <x v="0"/>
    <s v="Alex Chen"/>
    <s v="Annual"/>
    <d v="2026-09-09T00:00:00"/>
    <d v="2026-12-08T00:00:00"/>
    <x v="3"/>
    <s v="Pending"/>
    <n v="3"/>
    <s v="Emma Schmidt"/>
    <d v="2026-07-05T00:00:00"/>
    <s v="Completed"/>
    <x v="1"/>
    <x v="1"/>
    <x v="3"/>
    <s v="Elevated"/>
  </r>
  <r>
    <s v="CTRL-1333"/>
    <s v="Access Control 1333"/>
    <s v="GOVERN"/>
    <s v="GV.RM"/>
    <x v="2"/>
    <x v="2"/>
    <s v="United Kingdom"/>
    <x v="1"/>
    <s v="Alex Chen"/>
    <s v="Annual"/>
    <d v="2026-01-30T00:00:00"/>
    <d v="2026-07-29T00:00:00"/>
    <x v="0"/>
    <s v="Missing"/>
    <n v="3"/>
    <s v="Emma Schmidt"/>
    <d v="2026-11-05T00:00:00"/>
    <s v="Completed"/>
    <x v="0"/>
    <x v="1"/>
    <x v="1"/>
    <s v="Standard"/>
  </r>
  <r>
    <s v="CTRL-1334"/>
    <s v="Policy Control 1334"/>
    <s v="PROTECT"/>
    <s v="PR.AA"/>
    <x v="0"/>
    <x v="2"/>
    <s v="Germany"/>
    <x v="0"/>
    <s v="Sam Rivera"/>
    <s v="Annual"/>
    <d v="2026-04-19T00:00:00"/>
    <d v="2026-07-18T00:00:00"/>
    <x v="0"/>
    <s v="Pending"/>
    <n v="4"/>
    <s v="Liam Brown"/>
    <d v="2026-09-15T00:00:00"/>
    <s v="Completed"/>
    <x v="0"/>
    <x v="1"/>
    <x v="3"/>
    <s v="Elevated"/>
  </r>
  <r>
    <s v="CTRL-1335"/>
    <s v="Data Control 1335"/>
    <s v="RESPOND"/>
    <s v="RS.MA"/>
    <x v="2"/>
    <x v="1"/>
    <s v="United States"/>
    <x v="0"/>
    <s v="Sam Rivera"/>
    <s v="Annual"/>
    <d v="2026-02-02T00:00:00"/>
    <d v="2026-08-01T00:00:00"/>
    <x v="0"/>
    <s v="Missing"/>
    <n v="1"/>
    <s v="Emma Schmidt"/>
    <d v="2026-08-31T00:00:00"/>
    <s v="Overdue"/>
    <x v="0"/>
    <x v="1"/>
    <x v="1"/>
    <s v="Elevated"/>
  </r>
  <r>
    <s v="CTRL-1336"/>
    <s v="Vendor Control 1336"/>
    <s v="GOVERN"/>
    <s v="GV.RM"/>
    <x v="3"/>
    <x v="1"/>
    <s v="Canada"/>
    <x v="2"/>
    <s v="Alex Chen"/>
    <s v="Annual"/>
    <d v="2025-12-14T00:00:00"/>
    <d v="2026-03-14T00:00:00"/>
    <x v="0"/>
    <s v="Missing"/>
    <n v="3"/>
    <s v="Liam Brown"/>
    <d v="2027-01-13T00:00:00"/>
    <s v="In Progress"/>
    <x v="0"/>
    <x v="1"/>
    <x v="1"/>
    <s v="Standard"/>
  </r>
  <r>
    <s v="CTRL-1337"/>
    <s v="Change Control 1337"/>
    <s v="IDENTIFY"/>
    <s v="ID.AM"/>
    <x v="2"/>
    <x v="0"/>
    <s v="Singapore"/>
    <x v="1"/>
    <s v="Emma Schmidt"/>
    <s v="Quarterly"/>
    <d v="2026-06-10T00:00:00"/>
    <d v="2026-12-07T00:00:00"/>
    <x v="1"/>
    <s v="Complete"/>
    <n v="3"/>
    <s v="Maya Patel"/>
    <d v="2026-10-13T00:00:00"/>
    <s v="Completed"/>
    <x v="1"/>
    <x v="1"/>
    <x v="2"/>
    <s v="Standard"/>
  </r>
  <r>
    <s v="CTRL-1338"/>
    <s v="Data Control 1338"/>
    <s v="GOVERN"/>
    <s v="GV.RM"/>
    <x v="5"/>
    <x v="1"/>
    <s v="Canada"/>
    <x v="0"/>
    <s v="Noah Williams"/>
    <s v="Quarterly"/>
    <d v="2026-01-21T00:00:00"/>
    <d v="2027-01-21T00:00:00"/>
    <x v="1"/>
    <s v="Missing"/>
    <n v="1"/>
    <s v="Noah Williams"/>
    <d v="2026-10-14T00:00:00"/>
    <s v="Completed"/>
    <x v="1"/>
    <x v="1"/>
    <x v="1"/>
    <s v="Elevated"/>
  </r>
  <r>
    <s v="CTRL-1339"/>
    <s v="Reconciliation Control 1339"/>
    <s v="RECOVER"/>
    <s v="RC.RP"/>
    <x v="4"/>
    <x v="1"/>
    <s v="United States"/>
    <x v="2"/>
    <s v="Noah Williams"/>
    <s v="Semiannual"/>
    <d v="2026-07-12T00:00:00"/>
    <d v="2027-01-08T00:00:00"/>
    <x v="1"/>
    <s v="Pending"/>
    <n v="0"/>
    <s v="Jordan Lee"/>
    <d v="2026-06-12T00:00:00"/>
    <s v="Not Required"/>
    <x v="1"/>
    <x v="1"/>
    <x v="3"/>
    <s v="Standard"/>
  </r>
  <r>
    <s v="CTRL-1340"/>
    <s v="Change Control 1340"/>
    <s v="GOVERN"/>
    <s v="GV.RR"/>
    <x v="3"/>
    <x v="1"/>
    <s v="United States"/>
    <x v="2"/>
    <s v="Jordan Lee"/>
    <s v="Quarterly"/>
    <d v="2026-04-20T00:00:00"/>
    <d v="2026-07-19T00:00:00"/>
    <x v="0"/>
    <s v="Missing"/>
    <n v="3"/>
    <s v="Liam Brown"/>
    <d v="2026-06-12T00:00:00"/>
    <s v="Overdue"/>
    <x v="0"/>
    <x v="1"/>
    <x v="1"/>
    <s v="Standard"/>
  </r>
  <r>
    <s v="CTRL-1341"/>
    <s v="Incident Control 1341"/>
    <s v="DETECT"/>
    <s v="DE.CM"/>
    <x v="4"/>
    <x v="2"/>
    <s v="United Kingdom"/>
    <x v="1"/>
    <s v="Taylor Morgan"/>
    <s v="Semiannual"/>
    <d v="2025-09-06T00:00:00"/>
    <d v="2026-09-06T00:00:00"/>
    <x v="0"/>
    <s v="Pending"/>
    <n v="2"/>
    <s v="Noah Williams"/>
    <d v="2026-06-09T00:00:00"/>
    <s v="Completed"/>
    <x v="0"/>
    <x v="1"/>
    <x v="3"/>
    <s v="Standard"/>
  </r>
  <r>
    <s v="CTRL-1342"/>
    <s v="Incident Control 1342"/>
    <s v="GOVERN"/>
    <s v="GV.OC"/>
    <x v="2"/>
    <x v="2"/>
    <s v="United Kingdom"/>
    <x v="2"/>
    <s v="Jordan Lee"/>
    <s v="Quarterly"/>
    <d v="2026-09-09T00:00:00"/>
    <d v="2027-09-09T00:00:00"/>
    <x v="1"/>
    <s v="Pending"/>
    <n v="3"/>
    <s v="Maya Patel"/>
    <d v="2026-04-03T00:00:00"/>
    <s v="Overdue"/>
    <x v="1"/>
    <x v="1"/>
    <x v="3"/>
    <s v="Standard"/>
  </r>
  <r>
    <s v="CTRL-1343"/>
    <s v="Reconciliation Control 1343"/>
    <s v="GOVERN"/>
    <s v="GV.RR"/>
    <x v="1"/>
    <x v="0"/>
    <s v="Singapore"/>
    <x v="3"/>
    <s v="Noah Williams"/>
    <s v="Semiannual"/>
    <d v="2026-02-13T00:00:00"/>
    <d v="2026-08-12T00:00:00"/>
    <x v="0"/>
    <s v="Complete"/>
    <n v="3"/>
    <s v="Jordan Lee"/>
    <d v="2026-06-29T00:00:00"/>
    <s v="Completed"/>
    <x v="0"/>
    <x v="1"/>
    <x v="2"/>
    <s v="Elevated"/>
  </r>
  <r>
    <s v="CTRL-1344"/>
    <s v="Change Control 1344"/>
    <s v="RECOVER"/>
    <s v="RC.RP"/>
    <x v="3"/>
    <x v="0"/>
    <s v="Singapore"/>
    <x v="2"/>
    <s v="Taylor Morgan"/>
    <s v="Quarterly"/>
    <d v="2026-09-08T00:00:00"/>
    <d v="2026-12-07T00:00:00"/>
    <x v="1"/>
    <s v="Missing"/>
    <n v="1"/>
    <s v="Jordan Lee"/>
    <d v="2026-06-24T00:00:00"/>
    <s v="Overdue"/>
    <x v="1"/>
    <x v="1"/>
    <x v="1"/>
    <s v="Standard"/>
  </r>
  <r>
    <s v="CTRL-1345"/>
    <s v="Access Control 1345"/>
    <s v="DETECT"/>
    <s v="DE.CM"/>
    <x v="4"/>
    <x v="2"/>
    <s v="United Kingdom"/>
    <x v="3"/>
    <s v="Noah Williams"/>
    <s v="Annual"/>
    <d v="2026-09-07T00:00:00"/>
    <d v="2027-03-06T00:00:00"/>
    <x v="1"/>
    <s v="Pending"/>
    <n v="4"/>
    <s v="Jordan Lee"/>
    <d v="2026-05-03T00:00:00"/>
    <s v="Completed"/>
    <x v="1"/>
    <x v="1"/>
    <x v="3"/>
    <s v="Elevated"/>
  </r>
  <r>
    <s v="CTRL-1346"/>
    <s v="Policy Control 1346"/>
    <s v="IDENTIFY"/>
    <s v="ID.AM"/>
    <x v="5"/>
    <x v="2"/>
    <s v="United Kingdom"/>
    <x v="1"/>
    <s v="Jordan Lee"/>
    <s v="Semiannual"/>
    <d v="2026-02-04T00:00:00"/>
    <d v="2026-05-05T00:00:00"/>
    <x v="0"/>
    <s v="Missing"/>
    <n v="0"/>
    <s v="Alex Chen"/>
    <d v="2026-10-05T00:00:00"/>
    <s v="Not Required"/>
    <x v="0"/>
    <x v="1"/>
    <x v="1"/>
    <s v="Standard"/>
  </r>
  <r>
    <s v="CTRL-1347"/>
    <s v="Data Control 1347"/>
    <s v="GOVERN"/>
    <s v="GV.RM"/>
    <x v="1"/>
    <x v="0"/>
    <s v="Singapore"/>
    <x v="1"/>
    <s v="Liam Brown"/>
    <s v="Annual"/>
    <d v="2026-08-05T00:00:00"/>
    <d v="2027-02-01T00:00:00"/>
    <x v="3"/>
    <s v="Complete"/>
    <n v="3"/>
    <s v="Taylor Morgan"/>
    <d v="2026-08-12T00:00:00"/>
    <s v="Overdue"/>
    <x v="1"/>
    <x v="1"/>
    <x v="2"/>
    <s v="Standard"/>
  </r>
  <r>
    <s v="CTRL-1348"/>
    <s v="Policy Control 1348"/>
    <s v="IDENTIFY"/>
    <s v="ID.AM"/>
    <x v="5"/>
    <x v="0"/>
    <s v="Singapore"/>
    <x v="1"/>
    <s v="Jordan Lee"/>
    <s v="Semiannual"/>
    <d v="2025-07-29T00:00:00"/>
    <d v="2026-07-29T00:00:00"/>
    <x v="0"/>
    <s v="Missing"/>
    <n v="3"/>
    <s v="Noah Williams"/>
    <d v="2026-10-31T00:00:00"/>
    <s v="In Progress"/>
    <x v="0"/>
    <x v="1"/>
    <x v="1"/>
    <s v="Standard"/>
  </r>
  <r>
    <s v="CTRL-1349"/>
    <s v="Change Control 1349"/>
    <s v="RECOVER"/>
    <s v="RC.RP"/>
    <x v="2"/>
    <x v="1"/>
    <s v="Canada"/>
    <x v="3"/>
    <s v="Maya Patel"/>
    <s v="Semiannual"/>
    <d v="2026-02-11T00:00:00"/>
    <d v="2027-02-11T00:00:00"/>
    <x v="1"/>
    <s v="Missing"/>
    <n v="5"/>
    <s v="Maya Patel"/>
    <d v="2026-12-22T00:00:00"/>
    <s v="In Progress"/>
    <x v="1"/>
    <x v="1"/>
    <x v="1"/>
    <s v="Elevated"/>
  </r>
  <r>
    <s v="CTRL-1350"/>
    <s v="Change Control 1350"/>
    <s v="PROTECT"/>
    <s v="PR.AA"/>
    <x v="0"/>
    <x v="1"/>
    <s v="United States"/>
    <x v="1"/>
    <s v="Alex Chen"/>
    <s v="Annual"/>
    <d v="2026-06-24T00:00:00"/>
    <d v="2026-12-21T00:00:00"/>
    <x v="2"/>
    <s v="Complete"/>
    <n v="1"/>
    <s v="Noah Williams"/>
    <d v="2026-05-08T00:00:00"/>
    <s v="Overdue"/>
    <x v="1"/>
    <x v="1"/>
    <x v="2"/>
    <s v="Standard"/>
  </r>
  <r>
    <s v="CTRL-1351"/>
    <s v="Data Control 1351"/>
    <s v="PROTECT"/>
    <s v="PR.AA"/>
    <x v="3"/>
    <x v="2"/>
    <s v="Germany"/>
    <x v="0"/>
    <s v="Sam Rivera"/>
    <s v="Semiannual"/>
    <d v="2026-03-22T00:00:00"/>
    <d v="2026-06-20T00:00:00"/>
    <x v="0"/>
    <s v="Pending"/>
    <n v="4"/>
    <s v="Alex Chen"/>
    <d v="2026-05-03T00:00:00"/>
    <s v="Overdue"/>
    <x v="0"/>
    <x v="1"/>
    <x v="3"/>
    <s v="Elevated"/>
  </r>
  <r>
    <s v="CTRL-1352"/>
    <s v="Reconciliation Control 1352"/>
    <s v="GOVERN"/>
    <s v="GV.RR"/>
    <x v="4"/>
    <x v="0"/>
    <s v="Singapore"/>
    <x v="1"/>
    <s v="Sam Rivera"/>
    <s v="Quarterly"/>
    <d v="2025-09-08T00:00:00"/>
    <d v="2026-03-07T00:00:00"/>
    <x v="0"/>
    <s v="Pending"/>
    <n v="1"/>
    <s v="Emma Schmidt"/>
    <d v="2027-01-08T00:00:00"/>
    <s v="Completed"/>
    <x v="0"/>
    <x v="1"/>
    <x v="3"/>
    <s v="Standard"/>
  </r>
  <r>
    <s v="CTRL-1353"/>
    <s v="Vendor Control 1353"/>
    <s v="GOVERN"/>
    <s v="GV.OC"/>
    <x v="4"/>
    <x v="0"/>
    <s v="Singapore"/>
    <x v="0"/>
    <s v="Alex Chen"/>
    <s v="Semiannual"/>
    <d v="2026-03-25T00:00:00"/>
    <d v="2026-09-21T00:00:00"/>
    <x v="0"/>
    <s v="Complete"/>
    <n v="3"/>
    <s v="Liam Brown"/>
    <d v="2026-11-16T00:00:00"/>
    <s v="In Progress"/>
    <x v="0"/>
    <x v="1"/>
    <x v="2"/>
    <s v="Elevated"/>
  </r>
  <r>
    <s v="CTRL-1354"/>
    <s v="Policy Control 1354"/>
    <s v="DETECT"/>
    <s v="DE.CM"/>
    <x v="2"/>
    <x v="0"/>
    <s v="Singapore"/>
    <x v="1"/>
    <s v="Emma Schmidt"/>
    <s v="Semiannual"/>
    <d v="2026-06-21T00:00:00"/>
    <d v="2026-09-19T00:00:00"/>
    <x v="0"/>
    <s v="Missing"/>
    <n v="1"/>
    <s v="Maya Patel"/>
    <d v="2026-04-07T00:00:00"/>
    <s v="Overdue"/>
    <x v="0"/>
    <x v="1"/>
    <x v="1"/>
    <s v="Standard"/>
  </r>
  <r>
    <s v="CTRL-1355"/>
    <s v="Vendor Control 1355"/>
    <s v="GOVERN"/>
    <s v="GV.RM"/>
    <x v="5"/>
    <x v="1"/>
    <s v="Canada"/>
    <x v="2"/>
    <s v="Alex Chen"/>
    <s v="Annual"/>
    <d v="2025-10-04T00:00:00"/>
    <d v="2026-10-04T00:00:00"/>
    <x v="1"/>
    <s v="Complete"/>
    <n v="0"/>
    <s v="Emma Schmidt"/>
    <d v="2026-05-15T00:00:00"/>
    <s v="Not Required"/>
    <x v="1"/>
    <x v="1"/>
    <x v="2"/>
    <s v="Standard"/>
  </r>
  <r>
    <s v="CTRL-1356"/>
    <s v="Change Control 1356"/>
    <s v="GOVERN"/>
    <s v="GV.RR"/>
    <x v="1"/>
    <x v="1"/>
    <s v="United States"/>
    <x v="2"/>
    <s v="Taylor Morgan"/>
    <s v="Annual"/>
    <d v="2025-09-15T00:00:00"/>
    <d v="2026-03-14T00:00:00"/>
    <x v="0"/>
    <s v="Missing"/>
    <n v="3"/>
    <s v="Alex Chen"/>
    <d v="2026-04-30T00:00:00"/>
    <s v="Overdue"/>
    <x v="0"/>
    <x v="1"/>
    <x v="1"/>
    <s v="Standard"/>
  </r>
  <r>
    <s v="CTRL-1357"/>
    <s v="Change Control 1357"/>
    <s v="GOVERN"/>
    <s v="GV.RR"/>
    <x v="1"/>
    <x v="2"/>
    <s v="Germany"/>
    <x v="2"/>
    <s v="Taylor Morgan"/>
    <s v="Semiannual"/>
    <d v="2025-09-18T00:00:00"/>
    <d v="2025-12-17T00:00:00"/>
    <x v="0"/>
    <s v="Missing"/>
    <n v="1"/>
    <s v="Noah Williams"/>
    <d v="2026-04-03T00:00:00"/>
    <s v="Overdue"/>
    <x v="0"/>
    <x v="1"/>
    <x v="1"/>
    <s v="Standard"/>
  </r>
  <r>
    <s v="CTRL-1358"/>
    <s v="Reconciliation Control 1358"/>
    <s v="GOVERN"/>
    <s v="GV.RM"/>
    <x v="0"/>
    <x v="0"/>
    <s v="Singapore"/>
    <x v="1"/>
    <s v="Emma Schmidt"/>
    <s v="Quarterly"/>
    <d v="2025-08-18T00:00:00"/>
    <d v="2026-08-18T00:00:00"/>
    <x v="0"/>
    <s v="Complete"/>
    <n v="0"/>
    <s v="Jordan Lee"/>
    <d v="2026-09-13T00:00:00"/>
    <s v="Not Required"/>
    <x v="0"/>
    <x v="1"/>
    <x v="2"/>
    <s v="Standard"/>
  </r>
  <r>
    <s v="CTRL-1359"/>
    <s v="Policy Control 1359"/>
    <s v="IDENTIFY"/>
    <s v="ID.AM"/>
    <x v="4"/>
    <x v="2"/>
    <s v="Germany"/>
    <x v="2"/>
    <s v="Noah Williams"/>
    <s v="Quarterly"/>
    <d v="2026-08-25T00:00:00"/>
    <d v="2027-02-21T00:00:00"/>
    <x v="1"/>
    <s v="Pending"/>
    <n v="0"/>
    <s v="Liam Brown"/>
    <d v="2026-11-15T00:00:00"/>
    <s v="Not Required"/>
    <x v="1"/>
    <x v="1"/>
    <x v="3"/>
    <s v="Standard"/>
  </r>
  <r>
    <s v="CTRL-1360"/>
    <s v="Reconciliation Control 1360"/>
    <s v="RESPOND"/>
    <s v="RS.MA"/>
    <x v="2"/>
    <x v="0"/>
    <s v="Singapore"/>
    <x v="0"/>
    <s v="Noah Williams"/>
    <s v="Annual"/>
    <d v="2025-10-16T00:00:00"/>
    <d v="2026-01-14T00:00:00"/>
    <x v="0"/>
    <s v="Complete"/>
    <n v="5"/>
    <s v="Sam Rivera"/>
    <d v="2026-05-06T00:00:00"/>
    <s v="Completed"/>
    <x v="0"/>
    <x v="1"/>
    <x v="2"/>
    <s v="Elevated"/>
  </r>
  <r>
    <s v="CTRL-1361"/>
    <s v="Access Control 1361"/>
    <s v="PROTECT"/>
    <s v="PR.AA"/>
    <x v="1"/>
    <x v="2"/>
    <s v="United Kingdom"/>
    <x v="2"/>
    <s v="Maya Patel"/>
    <s v="Quarterly"/>
    <d v="2026-09-09T00:00:00"/>
    <d v="2027-03-08T00:00:00"/>
    <x v="1"/>
    <s v="Complete"/>
    <n v="1"/>
    <s v="Taylor Morgan"/>
    <d v="2026-11-08T00:00:00"/>
    <s v="Completed"/>
    <x v="1"/>
    <x v="1"/>
    <x v="2"/>
    <s v="Standard"/>
  </r>
  <r>
    <s v="CTRL-1362"/>
    <s v="Reconciliation Control 1362"/>
    <s v="IDENTIFY"/>
    <s v="ID.AM"/>
    <x v="1"/>
    <x v="0"/>
    <s v="Singapore"/>
    <x v="3"/>
    <s v="Noah Williams"/>
    <s v="Annual"/>
    <d v="2025-06-17T00:00:00"/>
    <d v="2026-06-17T00:00:00"/>
    <x v="0"/>
    <s v="Missing"/>
    <n v="1"/>
    <s v="Noah Williams"/>
    <d v="2027-01-07T00:00:00"/>
    <s v="In Progress"/>
    <x v="0"/>
    <x v="1"/>
    <x v="1"/>
    <s v="Elevated"/>
  </r>
  <r>
    <s v="CTRL-1363"/>
    <s v="Policy Control 1363"/>
    <s v="RESPOND"/>
    <s v="RS.MA"/>
    <x v="2"/>
    <x v="1"/>
    <s v="United States"/>
    <x v="2"/>
    <s v="Alex Chen"/>
    <s v="Annual"/>
    <d v="2026-08-11T00:00:00"/>
    <d v="2027-02-07T00:00:00"/>
    <x v="3"/>
    <s v="Missing"/>
    <n v="0"/>
    <s v="Alex Chen"/>
    <d v="2026-10-23T00:00:00"/>
    <s v="Not Required"/>
    <x v="1"/>
    <x v="1"/>
    <x v="1"/>
    <s v="Standard"/>
  </r>
  <r>
    <s v="CTRL-1364"/>
    <s v="Incident Control 1364"/>
    <s v="GOVERN"/>
    <s v="GV.RR"/>
    <x v="5"/>
    <x v="1"/>
    <s v="Canada"/>
    <x v="2"/>
    <m/>
    <s v="Quarterly"/>
    <d v="2026-04-29T00:00:00"/>
    <d v="2026-07-28T00:00:00"/>
    <x v="0"/>
    <s v="Missing"/>
    <n v="1"/>
    <s v="Sam Rivera"/>
    <d v="2026-12-04T00:00:00"/>
    <s v="In Progress"/>
    <x v="0"/>
    <x v="0"/>
    <x v="1"/>
    <s v="Standard"/>
  </r>
  <r>
    <s v="CTRL-1365"/>
    <s v="Vendor Control 1365"/>
    <s v="RECOVER"/>
    <s v="RC.RP"/>
    <x v="2"/>
    <x v="0"/>
    <s v="Singapore"/>
    <x v="2"/>
    <s v="Noah Williams"/>
    <s v="Semiannual"/>
    <d v="2025-06-26T00:00:00"/>
    <d v="2025-09-24T00:00:00"/>
    <x v="0"/>
    <s v="Complete"/>
    <n v="0"/>
    <s v="Jordan Lee"/>
    <d v="2026-10-21T00:00:00"/>
    <s v="Not Required"/>
    <x v="0"/>
    <x v="1"/>
    <x v="2"/>
    <s v="Standard"/>
  </r>
  <r>
    <s v="CTRL-1366"/>
    <s v="Reconciliation Control 1366"/>
    <s v="DETECT"/>
    <s v="DE.CM"/>
    <x v="0"/>
    <x v="2"/>
    <s v="Germany"/>
    <x v="1"/>
    <s v="Noah Williams"/>
    <s v="Quarterly"/>
    <d v="2025-07-13T00:00:00"/>
    <d v="2025-10-11T00:00:00"/>
    <x v="0"/>
    <s v="Complete"/>
    <n v="3"/>
    <s v="Emma Schmidt"/>
    <d v="2026-07-20T00:00:00"/>
    <s v="Overdue"/>
    <x v="0"/>
    <x v="1"/>
    <x v="2"/>
    <s v="Standard"/>
  </r>
  <r>
    <s v="CTRL-1367"/>
    <s v="Reconciliation Control 1367"/>
    <s v="PROTECT"/>
    <s v="PR.AA"/>
    <x v="0"/>
    <x v="1"/>
    <s v="Canada"/>
    <x v="2"/>
    <s v="Taylor Morgan"/>
    <s v="Quarterly"/>
    <d v="2026-06-08T00:00:00"/>
    <d v="2027-06-08T00:00:00"/>
    <x v="1"/>
    <s v="Complete"/>
    <n v="1"/>
    <s v="Maya Patel"/>
    <d v="2026-07-24T00:00:00"/>
    <s v="Overdue"/>
    <x v="1"/>
    <x v="1"/>
    <x v="2"/>
    <s v="Standard"/>
  </r>
  <r>
    <s v="CTRL-1368"/>
    <s v="Data Control 1368"/>
    <s v="RESPOND"/>
    <s v="RS.MA"/>
    <x v="3"/>
    <x v="1"/>
    <s v="United States"/>
    <x v="1"/>
    <s v="Emma Schmidt"/>
    <s v="Semiannual"/>
    <d v="2025-07-08T00:00:00"/>
    <d v="2026-07-08T00:00:00"/>
    <x v="0"/>
    <s v="Complete"/>
    <n v="2"/>
    <s v="Sam Rivera"/>
    <d v="2026-08-06T00:00:00"/>
    <s v="Completed"/>
    <x v="0"/>
    <x v="1"/>
    <x v="2"/>
    <s v="Standard"/>
  </r>
  <r>
    <s v="CTRL-1369"/>
    <s v="Vendor Control 1369"/>
    <s v="DETECT"/>
    <s v="DE.CM"/>
    <x v="0"/>
    <x v="1"/>
    <s v="United States"/>
    <x v="1"/>
    <s v="Emma Schmidt"/>
    <s v="Semiannual"/>
    <d v="2026-01-26T00:00:00"/>
    <d v="2026-04-26T00:00:00"/>
    <x v="0"/>
    <s v="Complete"/>
    <n v="0"/>
    <s v="Liam Brown"/>
    <d v="2026-08-25T00:00:00"/>
    <s v="Not Required"/>
    <x v="0"/>
    <x v="1"/>
    <x v="2"/>
    <s v="Standard"/>
  </r>
  <r>
    <s v="CTRL-1370"/>
    <s v="Vendor Control 1370"/>
    <s v="IDENTIFY"/>
    <s v="ID.AM"/>
    <x v="0"/>
    <x v="2"/>
    <s v="United Kingdom"/>
    <x v="1"/>
    <s v="Emma Schmidt"/>
    <s v="Annual"/>
    <d v="2026-04-04T00:00:00"/>
    <d v="2026-07-03T00:00:00"/>
    <x v="0"/>
    <s v="Pending"/>
    <n v="0"/>
    <s v="Jordan Lee"/>
    <d v="2026-07-30T00:00:00"/>
    <s v="Not Required"/>
    <x v="0"/>
    <x v="1"/>
    <x v="3"/>
    <s v="Standard"/>
  </r>
  <r>
    <s v="CTRL-1371"/>
    <s v="Vendor Control 1371"/>
    <s v="GOVERN"/>
    <s v="GV.OC"/>
    <x v="4"/>
    <x v="1"/>
    <s v="United States"/>
    <x v="2"/>
    <s v="Jordan Lee"/>
    <s v="Quarterly"/>
    <d v="2026-08-02T00:00:00"/>
    <d v="2027-01-29T00:00:00"/>
    <x v="1"/>
    <s v="Pending"/>
    <n v="0"/>
    <s v="Maya Patel"/>
    <d v="2026-06-06T00:00:00"/>
    <s v="Not Required"/>
    <x v="1"/>
    <x v="1"/>
    <x v="3"/>
    <s v="Standard"/>
  </r>
  <r>
    <s v="CTRL-1372"/>
    <s v="Access Control 1372"/>
    <s v="GOVERN"/>
    <s v="GV.RR"/>
    <x v="1"/>
    <x v="2"/>
    <s v="United Kingdom"/>
    <x v="0"/>
    <s v="Alex Chen"/>
    <s v="Semiannual"/>
    <d v="2026-06-10T00:00:00"/>
    <d v="2026-09-08T00:00:00"/>
    <x v="0"/>
    <s v="Pending"/>
    <n v="5"/>
    <s v="Maya Patel"/>
    <d v="2026-06-28T00:00:00"/>
    <s v="Completed"/>
    <x v="0"/>
    <x v="1"/>
    <x v="3"/>
    <s v="Elevated"/>
  </r>
  <r>
    <s v="CTRL-1373"/>
    <s v="Change Control 1373"/>
    <s v="RESPOND"/>
    <s v="RS.MA"/>
    <x v="5"/>
    <x v="0"/>
    <s v="Singapore"/>
    <x v="1"/>
    <s v="Noah Williams"/>
    <s v="Annual"/>
    <d v="2025-11-25T00:00:00"/>
    <d v="2026-02-23T00:00:00"/>
    <x v="0"/>
    <s v="Pending"/>
    <n v="0"/>
    <s v="Noah Williams"/>
    <d v="2026-05-30T00:00:00"/>
    <s v="Not Required"/>
    <x v="0"/>
    <x v="1"/>
    <x v="3"/>
    <s v="Standard"/>
  </r>
  <r>
    <s v="CTRL-1374"/>
    <s v="Incident Control 1374"/>
    <s v="GOVERN"/>
    <s v="GV.OC"/>
    <x v="5"/>
    <x v="2"/>
    <s v="United Kingdom"/>
    <x v="2"/>
    <s v="Noah Williams"/>
    <s v="Quarterly"/>
    <d v="2025-11-23T00:00:00"/>
    <d v="2026-11-23T00:00:00"/>
    <x v="1"/>
    <s v="Pending"/>
    <n v="1"/>
    <s v="Noah Williams"/>
    <d v="2026-05-21T00:00:00"/>
    <s v="Overdue"/>
    <x v="1"/>
    <x v="1"/>
    <x v="3"/>
    <s v="Standard"/>
  </r>
  <r>
    <s v="CTRL-1375"/>
    <s v="Reconciliation Control 1375"/>
    <s v="PROTECT"/>
    <s v="PR.AA"/>
    <x v="3"/>
    <x v="1"/>
    <s v="Canada"/>
    <x v="0"/>
    <s v="Sam Rivera"/>
    <s v="Semiannual"/>
    <d v="2026-08-07T00:00:00"/>
    <d v="2027-08-07T00:00:00"/>
    <x v="3"/>
    <s v="Missing"/>
    <n v="4"/>
    <s v="Alex Chen"/>
    <d v="2026-12-04T00:00:00"/>
    <s v="In Progress"/>
    <x v="1"/>
    <x v="1"/>
    <x v="1"/>
    <s v="Elevated"/>
  </r>
  <r>
    <s v="CTRL-1376"/>
    <s v="Data Control 1376"/>
    <s v="PROTECT"/>
    <s v="PR.AA"/>
    <x v="3"/>
    <x v="0"/>
    <s v="Singapore"/>
    <x v="1"/>
    <s v="Liam Brown"/>
    <s v="Quarterly"/>
    <d v="2026-06-19T00:00:00"/>
    <d v="2026-09-17T00:00:00"/>
    <x v="0"/>
    <s v="Complete"/>
    <n v="1"/>
    <s v="Sam Rivera"/>
    <d v="2027-01-10T00:00:00"/>
    <s v="Completed"/>
    <x v="0"/>
    <x v="1"/>
    <x v="2"/>
    <s v="Standard"/>
  </r>
  <r>
    <s v="CTRL-1377"/>
    <s v="Vendor Control 1377"/>
    <s v="GOVERN"/>
    <s v="GV.RM"/>
    <x v="0"/>
    <x v="1"/>
    <s v="United States"/>
    <x v="1"/>
    <s v="Taylor Morgan"/>
    <s v="Semiannual"/>
    <d v="2026-04-21T00:00:00"/>
    <d v="2026-10-18T00:00:00"/>
    <x v="3"/>
    <s v="Missing"/>
    <n v="1"/>
    <s v="Sam Rivera"/>
    <d v="2026-12-27T00:00:00"/>
    <s v="In Progress"/>
    <x v="1"/>
    <x v="1"/>
    <x v="1"/>
    <s v="Standard"/>
  </r>
  <r>
    <s v="CTRL-1378"/>
    <s v="Incident Control 1378"/>
    <s v="GOVERN"/>
    <s v="GV.RR"/>
    <x v="5"/>
    <x v="0"/>
    <s v="Singapore"/>
    <x v="1"/>
    <s v="Alex Chen"/>
    <s v="Semiannual"/>
    <d v="2026-07-07T00:00:00"/>
    <d v="2026-10-05T00:00:00"/>
    <x v="3"/>
    <s v="Pending"/>
    <n v="1"/>
    <s v="Liam Brown"/>
    <d v="2026-07-24T00:00:00"/>
    <s v="Overdue"/>
    <x v="1"/>
    <x v="1"/>
    <x v="3"/>
    <s v="Standard"/>
  </r>
  <r>
    <s v="CTRL-1379"/>
    <s v="Vendor Control 1379"/>
    <s v="GOVERN"/>
    <s v="GV.OC"/>
    <x v="5"/>
    <x v="2"/>
    <s v="United Kingdom"/>
    <x v="0"/>
    <s v="Sam Rivera"/>
    <s v="Semiannual"/>
    <d v="2026-03-04T00:00:00"/>
    <d v="2027-03-04T00:00:00"/>
    <x v="1"/>
    <s v="Complete"/>
    <n v="4"/>
    <s v="Emma Schmidt"/>
    <d v="2026-05-20T00:00:00"/>
    <s v="Overdue"/>
    <x v="1"/>
    <x v="1"/>
    <x v="2"/>
    <s v="Elevated"/>
  </r>
  <r>
    <s v="CTRL-1380"/>
    <s v="Data Control 1380"/>
    <s v="GOVERN"/>
    <s v="GV.RM"/>
    <x v="5"/>
    <x v="1"/>
    <s v="United States"/>
    <x v="3"/>
    <s v="Alex Chen"/>
    <s v="Annual"/>
    <d v="2026-03-18T00:00:00"/>
    <d v="2027-03-18T00:00:00"/>
    <x v="3"/>
    <s v="Pending"/>
    <n v="3"/>
    <s v="Sam Rivera"/>
    <d v="2026-11-24T00:00:00"/>
    <s v="In Progress"/>
    <x v="1"/>
    <x v="1"/>
    <x v="3"/>
    <s v="Elevated"/>
  </r>
  <r>
    <s v="CTRL-1381"/>
    <s v="Vendor Control 1381"/>
    <s v="PROTECT"/>
    <s v="PR.AA"/>
    <x v="5"/>
    <x v="1"/>
    <s v="United States"/>
    <x v="1"/>
    <s v="Jordan Lee"/>
    <s v="Annual"/>
    <d v="2025-11-08T00:00:00"/>
    <d v="2026-02-06T00:00:00"/>
    <x v="0"/>
    <s v="Pending"/>
    <n v="0"/>
    <s v="Alex Chen"/>
    <d v="2026-11-29T00:00:00"/>
    <s v="Not Required"/>
    <x v="0"/>
    <x v="1"/>
    <x v="3"/>
    <s v="Standard"/>
  </r>
  <r>
    <s v="CTRL-1382"/>
    <s v="Vendor Control 1382"/>
    <s v="RESPOND"/>
    <s v="RS.MA"/>
    <x v="0"/>
    <x v="1"/>
    <s v="United States"/>
    <x v="3"/>
    <s v="Alex Chen"/>
    <s v="Quarterly"/>
    <d v="2026-04-29T00:00:00"/>
    <d v="2026-07-28T00:00:00"/>
    <x v="0"/>
    <s v="Missing"/>
    <n v="4"/>
    <s v="Jordan Lee"/>
    <d v="2026-08-22T00:00:00"/>
    <s v="Completed"/>
    <x v="0"/>
    <x v="1"/>
    <x v="1"/>
    <s v="Elevated"/>
  </r>
  <r>
    <s v="CTRL-1383"/>
    <s v="Data Control 1383"/>
    <s v="RESPOND"/>
    <s v="RS.MA"/>
    <x v="1"/>
    <x v="0"/>
    <s v="Singapore"/>
    <x v="3"/>
    <s v="Emma Schmidt"/>
    <s v="Semiannual"/>
    <d v="2026-01-04T00:00:00"/>
    <d v="2026-04-04T00:00:00"/>
    <x v="0"/>
    <s v="Missing"/>
    <n v="0"/>
    <s v="Emma Schmidt"/>
    <d v="2026-10-07T00:00:00"/>
    <s v="Not Required"/>
    <x v="0"/>
    <x v="1"/>
    <x v="1"/>
    <s v="Elevated"/>
  </r>
  <r>
    <s v="CTRL-1384"/>
    <s v="Data Control 1384"/>
    <s v="PROTECT"/>
    <s v="PR.AA"/>
    <x v="0"/>
    <x v="2"/>
    <s v="Germany"/>
    <x v="2"/>
    <s v="Emma Schmidt"/>
    <s v="Semiannual"/>
    <d v="2025-05-22T00:00:00"/>
    <d v="2025-08-20T00:00:00"/>
    <x v="0"/>
    <s v="Complete"/>
    <n v="3"/>
    <s v="Taylor Morgan"/>
    <d v="2026-10-05T00:00:00"/>
    <s v="In Progress"/>
    <x v="0"/>
    <x v="1"/>
    <x v="2"/>
    <s v="Standard"/>
  </r>
  <r>
    <s v="CTRL-1385"/>
    <s v="Access Control 1385"/>
    <s v="DETECT"/>
    <s v="DE.CM"/>
    <x v="4"/>
    <x v="2"/>
    <s v="United Kingdom"/>
    <x v="3"/>
    <s v="Emma Schmidt"/>
    <s v="Semiannual"/>
    <d v="2026-06-02T00:00:00"/>
    <d v="2027-06-02T00:00:00"/>
    <x v="1"/>
    <s v="Complete"/>
    <n v="5"/>
    <s v="Emma Schmidt"/>
    <d v="2026-07-27T00:00:00"/>
    <s v="Overdue"/>
    <x v="1"/>
    <x v="1"/>
    <x v="2"/>
    <s v="Elevated"/>
  </r>
  <r>
    <s v="CTRL-1386"/>
    <s v="Change Control 1386"/>
    <s v="PROTECT"/>
    <s v="PR.AA"/>
    <x v="1"/>
    <x v="1"/>
    <s v="Canada"/>
    <x v="1"/>
    <s v="Jordan Lee"/>
    <s v="Semiannual"/>
    <d v="2026-02-25T00:00:00"/>
    <d v="2026-05-26T00:00:00"/>
    <x v="0"/>
    <s v="Pending"/>
    <n v="0"/>
    <s v="Sam Rivera"/>
    <d v="2026-05-18T00:00:00"/>
    <s v="Not Required"/>
    <x v="0"/>
    <x v="1"/>
    <x v="3"/>
    <s v="Standard"/>
  </r>
  <r>
    <s v="CTRL-1387"/>
    <s v="Data Control 1387"/>
    <s v="RECOVER"/>
    <s v="RC.RP"/>
    <x v="5"/>
    <x v="2"/>
    <s v="United Kingdom"/>
    <x v="2"/>
    <s v="Noah Williams"/>
    <s v="Annual"/>
    <d v="2026-04-27T00:00:00"/>
    <d v="2027-04-27T00:00:00"/>
    <x v="1"/>
    <s v="Missing"/>
    <n v="0"/>
    <s v="Maya Patel"/>
    <d v="2027-01-01T00:00:00"/>
    <s v="Not Required"/>
    <x v="1"/>
    <x v="1"/>
    <x v="1"/>
    <s v="Standard"/>
  </r>
  <r>
    <s v="CTRL-1388"/>
    <s v="Policy Control 1388"/>
    <s v="DETECT"/>
    <s v="DE.CM"/>
    <x v="1"/>
    <x v="0"/>
    <s v="Singapore"/>
    <x v="2"/>
    <s v="Taylor Morgan"/>
    <s v="Quarterly"/>
    <d v="2025-06-03T00:00:00"/>
    <d v="2026-06-03T00:00:00"/>
    <x v="0"/>
    <s v="Complete"/>
    <n v="3"/>
    <s v="Jordan Lee"/>
    <d v="2026-08-15T00:00:00"/>
    <s v="Completed"/>
    <x v="0"/>
    <x v="1"/>
    <x v="2"/>
    <s v="Standard"/>
  </r>
  <r>
    <s v="CTRL-1389"/>
    <s v="Change Control 1389"/>
    <s v="IDENTIFY"/>
    <s v="ID.AM"/>
    <x v="4"/>
    <x v="0"/>
    <s v="Singapore"/>
    <x v="3"/>
    <s v="Jordan Lee"/>
    <s v="Quarterly"/>
    <d v="2025-06-12T00:00:00"/>
    <d v="2025-12-09T00:00:00"/>
    <x v="0"/>
    <s v="Missing"/>
    <n v="0"/>
    <s v="Taylor Morgan"/>
    <d v="2026-10-06T00:00:00"/>
    <s v="Not Required"/>
    <x v="0"/>
    <x v="1"/>
    <x v="1"/>
    <s v="Elevated"/>
  </r>
  <r>
    <s v="CTRL-1390"/>
    <s v="Reconciliation Control 1390"/>
    <s v="PROTECT"/>
    <s v="PR.AA"/>
    <x v="5"/>
    <x v="1"/>
    <s v="United States"/>
    <x v="1"/>
    <s v="Maya Patel"/>
    <s v="Semiannual"/>
    <d v="2025-09-14T00:00:00"/>
    <d v="2026-03-13T00:00:00"/>
    <x v="0"/>
    <s v="Missing"/>
    <n v="3"/>
    <s v="Emma Schmidt"/>
    <d v="2026-10-27T00:00:00"/>
    <s v="Completed"/>
    <x v="0"/>
    <x v="1"/>
    <x v="1"/>
    <s v="Standard"/>
  </r>
  <r>
    <s v="CTRL-1391"/>
    <s v="Vendor Control 1391"/>
    <s v="IDENTIFY"/>
    <s v="ID.AM"/>
    <x v="4"/>
    <x v="0"/>
    <s v="Singapore"/>
    <x v="2"/>
    <s v="Liam Brown"/>
    <s v="Semiannual"/>
    <d v="2026-02-17T00:00:00"/>
    <d v="2027-02-17T00:00:00"/>
    <x v="2"/>
    <s v="Missing"/>
    <n v="2"/>
    <s v="Liam Brown"/>
    <d v="2026-07-14T00:00:00"/>
    <s v="Overdue"/>
    <x v="1"/>
    <x v="1"/>
    <x v="1"/>
    <s v="Standard"/>
  </r>
  <r>
    <s v="CTRL-1392"/>
    <s v="Reconciliation Control 1392"/>
    <s v="GOVERN"/>
    <s v="GV.RR"/>
    <x v="4"/>
    <x v="2"/>
    <s v="Germany"/>
    <x v="3"/>
    <s v="Emma Schmidt"/>
    <s v="Semiannual"/>
    <d v="2025-07-24T00:00:00"/>
    <d v="2025-10-22T00:00:00"/>
    <x v="0"/>
    <s v="Pending"/>
    <n v="1"/>
    <s v="Noah Williams"/>
    <d v="2026-08-24T00:00:00"/>
    <s v="Completed"/>
    <x v="0"/>
    <x v="1"/>
    <x v="3"/>
    <s v="Elevated"/>
  </r>
  <r>
    <s v="CTRL-1393"/>
    <s v="Policy Control 1393"/>
    <s v="DETECT"/>
    <s v="DE.CM"/>
    <x v="3"/>
    <x v="1"/>
    <s v="United States"/>
    <x v="2"/>
    <s v="Taylor Morgan"/>
    <s v="Semiannual"/>
    <d v="2025-12-24T00:00:00"/>
    <d v="2026-03-24T00:00:00"/>
    <x v="0"/>
    <s v="Pending"/>
    <n v="1"/>
    <s v="Emma Schmidt"/>
    <d v="2026-10-24T00:00:00"/>
    <s v="In Progress"/>
    <x v="0"/>
    <x v="1"/>
    <x v="3"/>
    <s v="Standard"/>
  </r>
  <r>
    <s v="CTRL-1394"/>
    <s v="Reconciliation Control 1394"/>
    <s v="GOVERN"/>
    <s v="GV.RM"/>
    <x v="4"/>
    <x v="2"/>
    <s v="Germany"/>
    <x v="1"/>
    <s v="Sam Rivera"/>
    <s v="Quarterly"/>
    <d v="2026-09-04T00:00:00"/>
    <d v="2027-03-03T00:00:00"/>
    <x v="2"/>
    <s v="Complete"/>
    <n v="1"/>
    <s v="Emma Schmidt"/>
    <d v="2026-10-08T00:00:00"/>
    <s v="In Progress"/>
    <x v="1"/>
    <x v="1"/>
    <x v="2"/>
    <s v="Standard"/>
  </r>
  <r>
    <s v="CTRL-1395"/>
    <s v="Reconciliation Control 1395"/>
    <s v="DETECT"/>
    <s v="DE.CM"/>
    <x v="0"/>
    <x v="1"/>
    <s v="Canada"/>
    <x v="3"/>
    <s v="Taylor Morgan"/>
    <s v="Quarterly"/>
    <d v="2025-10-12T00:00:00"/>
    <d v="2026-10-12T00:00:00"/>
    <x v="3"/>
    <s v="Complete"/>
    <n v="3"/>
    <s v="Alex Chen"/>
    <d v="2026-06-01T00:00:00"/>
    <s v="Completed"/>
    <x v="1"/>
    <x v="1"/>
    <x v="2"/>
    <s v="Elevated"/>
  </r>
  <r>
    <s v="CTRL-1396"/>
    <s v="Vendor Control 1396"/>
    <s v="GOVERN"/>
    <s v="GV.RM"/>
    <x v="1"/>
    <x v="2"/>
    <s v="Germany"/>
    <x v="2"/>
    <s v="Liam Brown"/>
    <s v="Annual"/>
    <d v="2026-05-18T00:00:00"/>
    <d v="2026-08-16T00:00:00"/>
    <x v="0"/>
    <s v="Missing"/>
    <n v="0"/>
    <s v="Noah Williams"/>
    <d v="2026-04-18T00:00:00"/>
    <s v="Not Required"/>
    <x v="0"/>
    <x v="1"/>
    <x v="1"/>
    <s v="Standard"/>
  </r>
  <r>
    <s v="CTRL-1397"/>
    <s v="Incident Control 1397"/>
    <s v="PROTECT"/>
    <s v="PR.AA"/>
    <x v="0"/>
    <x v="1"/>
    <s v="United States"/>
    <x v="1"/>
    <s v="Liam Brown"/>
    <s v="Quarterly"/>
    <d v="2026-07-25T00:00:00"/>
    <d v="2027-07-25T00:00:00"/>
    <x v="1"/>
    <s v="Complete"/>
    <n v="1"/>
    <s v="Emma Schmidt"/>
    <d v="2026-10-05T00:00:00"/>
    <s v="In Progress"/>
    <x v="1"/>
    <x v="1"/>
    <x v="2"/>
    <s v="Standard"/>
  </r>
  <r>
    <s v="CTRL-1398"/>
    <s v="Policy Control 1398"/>
    <s v="RESPOND"/>
    <s v="RS.MA"/>
    <x v="2"/>
    <x v="0"/>
    <s v="Singapore"/>
    <x v="1"/>
    <s v="Liam Brown"/>
    <s v="Semiannual"/>
    <d v="2026-08-17T00:00:00"/>
    <d v="2026-11-15T00:00:00"/>
    <x v="1"/>
    <s v="Missing"/>
    <n v="1"/>
    <s v="Jordan Lee"/>
    <d v="2026-04-15T00:00:00"/>
    <s v="Overdue"/>
    <x v="1"/>
    <x v="1"/>
    <x v="1"/>
    <s v="Standard"/>
  </r>
  <r>
    <s v="CTRL-1399"/>
    <s v="Access Control 1399"/>
    <s v="PROTECT"/>
    <s v="PR.AA"/>
    <x v="4"/>
    <x v="1"/>
    <s v="Canada"/>
    <x v="2"/>
    <s v="Emma Schmidt"/>
    <s v="Annual"/>
    <d v="2026-02-18T00:00:00"/>
    <d v="2027-02-18T00:00:00"/>
    <x v="1"/>
    <s v="Complete"/>
    <n v="1"/>
    <s v="Alex Chen"/>
    <d v="2026-11-28T00:00:00"/>
    <s v="Completed"/>
    <x v="1"/>
    <x v="1"/>
    <x v="2"/>
    <s v="Standard"/>
  </r>
  <r>
    <s v="CTRL-1400"/>
    <s v="Vendor Control 1400"/>
    <s v="GOVERN"/>
    <s v="GV.RR"/>
    <x v="1"/>
    <x v="0"/>
    <s v="Singapore"/>
    <x v="0"/>
    <s v="Maya Patel"/>
    <s v="Annual"/>
    <d v="2026-08-29T00:00:00"/>
    <d v="2027-02-25T00:00:00"/>
    <x v="1"/>
    <s v="Missing"/>
    <n v="5"/>
    <s v="Jordan Lee"/>
    <d v="2026-04-26T00:00:00"/>
    <s v="Completed"/>
    <x v="1"/>
    <x v="1"/>
    <x v="1"/>
    <s v="Elevated"/>
  </r>
  <r>
    <s v="CTRL-1401"/>
    <s v="Data Control 1401"/>
    <s v="IDENTIFY"/>
    <s v="ID.AM"/>
    <x v="0"/>
    <x v="0"/>
    <s v="Singapore"/>
    <x v="2"/>
    <s v="Noah Williams"/>
    <s v="Annual"/>
    <d v="2026-01-16T00:00:00"/>
    <d v="2027-01-16T00:00:00"/>
    <x v="3"/>
    <s v="Complete"/>
    <n v="3"/>
    <s v="Maya Patel"/>
    <d v="2026-04-16T00:00:00"/>
    <s v="Overdue"/>
    <x v="1"/>
    <x v="1"/>
    <x v="2"/>
    <s v="Standard"/>
  </r>
  <r>
    <s v="CTRL-1402"/>
    <s v="Reconciliation Control 1402"/>
    <s v="DETECT"/>
    <s v="DE.CM"/>
    <x v="3"/>
    <x v="1"/>
    <s v="Canada"/>
    <x v="0"/>
    <s v="Maya Patel"/>
    <s v="Annual"/>
    <d v="2025-12-31T00:00:00"/>
    <d v="2026-03-31T00:00:00"/>
    <x v="0"/>
    <s v="Complete"/>
    <n v="1"/>
    <s v="Jordan Lee"/>
    <d v="2026-06-04T00:00:00"/>
    <s v="Completed"/>
    <x v="0"/>
    <x v="1"/>
    <x v="2"/>
    <s v="Elevated"/>
  </r>
  <r>
    <s v="CTRL-1403"/>
    <s v="Change Control 1403"/>
    <s v="DETECT"/>
    <s v="DE.CM"/>
    <x v="1"/>
    <x v="0"/>
    <s v="Singapore"/>
    <x v="0"/>
    <s v="Alex Chen"/>
    <s v="Annual"/>
    <d v="2025-11-07T00:00:00"/>
    <d v="2026-11-07T00:00:00"/>
    <x v="1"/>
    <s v="Missing"/>
    <n v="5"/>
    <s v="Noah Williams"/>
    <d v="2026-12-07T00:00:00"/>
    <s v="In Progress"/>
    <x v="1"/>
    <x v="1"/>
    <x v="1"/>
    <s v="Elevated"/>
  </r>
  <r>
    <s v="CTRL-1404"/>
    <s v="Data Control 1404"/>
    <s v="IDENTIFY"/>
    <s v="ID.AM"/>
    <x v="5"/>
    <x v="0"/>
    <s v="Singapore"/>
    <x v="2"/>
    <s v="Sam Rivera"/>
    <s v="Annual"/>
    <d v="2026-06-27T00:00:00"/>
    <d v="2026-09-25T00:00:00"/>
    <x v="0"/>
    <s v="Complete"/>
    <n v="3"/>
    <s v="Jordan Lee"/>
    <d v="2026-07-28T00:00:00"/>
    <s v="Overdue"/>
    <x v="0"/>
    <x v="1"/>
    <x v="2"/>
    <s v="Standard"/>
  </r>
  <r>
    <s v="CTRL-1405"/>
    <s v="Data Control 1405"/>
    <s v="GOVERN"/>
    <s v="GV.RM"/>
    <x v="2"/>
    <x v="1"/>
    <s v="Canada"/>
    <x v="0"/>
    <s v="Sam Rivera"/>
    <s v="Semiannual"/>
    <d v="2025-08-06T00:00:00"/>
    <d v="2026-02-02T00:00:00"/>
    <x v="0"/>
    <s v="Complete"/>
    <n v="1"/>
    <s v="Alex Chen"/>
    <d v="2026-07-28T00:00:00"/>
    <s v="Overdue"/>
    <x v="0"/>
    <x v="1"/>
    <x v="2"/>
    <s v="Elevated"/>
  </r>
  <r>
    <s v="CTRL-1406"/>
    <s v="Policy Control 1406"/>
    <s v="GOVERN"/>
    <s v="GV.RR"/>
    <x v="0"/>
    <x v="2"/>
    <s v="Germany"/>
    <x v="0"/>
    <s v="Liam Brown"/>
    <s v="Quarterly"/>
    <d v="2026-08-18T00:00:00"/>
    <d v="2027-08-18T00:00:00"/>
    <x v="1"/>
    <s v="Missing"/>
    <n v="3"/>
    <s v="Emma Schmidt"/>
    <d v="2026-06-03T00:00:00"/>
    <s v="Overdue"/>
    <x v="1"/>
    <x v="1"/>
    <x v="1"/>
    <s v="Elevated"/>
  </r>
  <r>
    <s v="CTRL-1407"/>
    <s v="Incident Control 1407"/>
    <s v="GOVERN"/>
    <s v="GV.RR"/>
    <x v="0"/>
    <x v="1"/>
    <s v="United States"/>
    <x v="2"/>
    <s v="Jordan Lee"/>
    <s v="Quarterly"/>
    <d v="2026-02-20T00:00:00"/>
    <d v="2026-05-21T00:00:00"/>
    <x v="0"/>
    <s v="Pending"/>
    <n v="1"/>
    <s v="Liam Brown"/>
    <d v="2027-01-13T00:00:00"/>
    <s v="In Progress"/>
    <x v="0"/>
    <x v="1"/>
    <x v="3"/>
    <s v="Standard"/>
  </r>
  <r>
    <s v="CTRL-1408"/>
    <s v="Change Control 1408"/>
    <s v="PROTECT"/>
    <s v="PR.AA"/>
    <x v="5"/>
    <x v="0"/>
    <s v="Singapore"/>
    <x v="0"/>
    <s v="Taylor Morgan"/>
    <s v="Quarterly"/>
    <d v="2025-08-07T00:00:00"/>
    <d v="2026-02-03T00:00:00"/>
    <x v="0"/>
    <s v="Pending"/>
    <n v="1"/>
    <s v="Sam Rivera"/>
    <d v="2026-09-16T00:00:00"/>
    <s v="Overdue"/>
    <x v="0"/>
    <x v="1"/>
    <x v="3"/>
    <s v="Elevated"/>
  </r>
  <r>
    <s v="CTRL-1409"/>
    <s v="Data Control 1409"/>
    <s v="DETECT"/>
    <s v="DE.CM"/>
    <x v="1"/>
    <x v="1"/>
    <s v="United States"/>
    <x v="3"/>
    <s v="Alex Chen"/>
    <s v="Annual"/>
    <d v="2025-10-21T00:00:00"/>
    <d v="2026-01-19T00:00:00"/>
    <x v="0"/>
    <s v="Missing"/>
    <n v="2"/>
    <s v="Jordan Lee"/>
    <d v="2026-08-10T00:00:00"/>
    <s v="Overdue"/>
    <x v="0"/>
    <x v="1"/>
    <x v="1"/>
    <s v="Elevated"/>
  </r>
  <r>
    <s v="CTRL-1410"/>
    <s v="Vendor Control 1410"/>
    <s v="GOVERN"/>
    <s v="GV.OC"/>
    <x v="1"/>
    <x v="0"/>
    <s v="Singapore"/>
    <x v="0"/>
    <s v="Noah Williams"/>
    <s v="Quarterly"/>
    <d v="2026-02-15T00:00:00"/>
    <d v="2026-05-16T00:00:00"/>
    <x v="0"/>
    <s v="Pending"/>
    <n v="1"/>
    <s v="Liam Brown"/>
    <d v="2026-09-22T00:00:00"/>
    <s v="Completed"/>
    <x v="0"/>
    <x v="1"/>
    <x v="3"/>
    <s v="Elevated"/>
  </r>
  <r>
    <s v="CTRL-1411"/>
    <s v="Vendor Control 1411"/>
    <s v="GOVERN"/>
    <s v="GV.OC"/>
    <x v="5"/>
    <x v="1"/>
    <s v="United States"/>
    <x v="1"/>
    <m/>
    <s v="Annual"/>
    <d v="2026-08-13T00:00:00"/>
    <d v="2027-02-09T00:00:00"/>
    <x v="1"/>
    <s v="Pending"/>
    <n v="2"/>
    <s v="Noah Williams"/>
    <d v="2026-05-26T00:00:00"/>
    <s v="Overdue"/>
    <x v="1"/>
    <x v="0"/>
    <x v="3"/>
    <s v="Standard"/>
  </r>
  <r>
    <s v="CTRL-1412"/>
    <s v="Change Control 1412"/>
    <s v="RESPOND"/>
    <s v="RS.MA"/>
    <x v="0"/>
    <x v="1"/>
    <s v="Canada"/>
    <x v="2"/>
    <s v="Noah Williams"/>
    <s v="Semiannual"/>
    <d v="2026-06-26T00:00:00"/>
    <d v="2026-09-24T00:00:00"/>
    <x v="0"/>
    <m/>
    <n v="0"/>
    <s v="Alex Chen"/>
    <d v="2026-07-24T00:00:00"/>
    <s v="Not Required"/>
    <x v="0"/>
    <x v="1"/>
    <x v="0"/>
    <s v="Standard"/>
  </r>
  <r>
    <s v="CTRL-1413"/>
    <s v="Policy Control 1413"/>
    <s v="PROTECT"/>
    <s v="PR.AA"/>
    <x v="5"/>
    <x v="0"/>
    <s v="Singapore"/>
    <x v="2"/>
    <s v="Liam Brown"/>
    <s v="Semiannual"/>
    <d v="2025-10-09T00:00:00"/>
    <d v="2026-04-07T00:00:00"/>
    <x v="0"/>
    <s v="Pending"/>
    <n v="0"/>
    <s v="Alex Chen"/>
    <d v="2026-09-10T00:00:00"/>
    <s v="Not Required"/>
    <x v="0"/>
    <x v="1"/>
    <x v="3"/>
    <s v="Standard"/>
  </r>
  <r>
    <s v="CTRL-1414"/>
    <s v="Vendor Control 1414"/>
    <s v="GOVERN"/>
    <s v="GV.RM"/>
    <x v="2"/>
    <x v="2"/>
    <s v="Germany"/>
    <x v="2"/>
    <s v="Jordan Lee"/>
    <s v="Annual"/>
    <d v="2025-05-19T00:00:00"/>
    <d v="2026-05-19T00:00:00"/>
    <x v="0"/>
    <s v="Missing"/>
    <n v="0"/>
    <s v="Taylor Morgan"/>
    <d v="2026-10-08T00:00:00"/>
    <s v="Not Required"/>
    <x v="0"/>
    <x v="1"/>
    <x v="1"/>
    <s v="Standard"/>
  </r>
  <r>
    <s v="CTRL-1415"/>
    <s v="Data Control 1415"/>
    <s v="GOVERN"/>
    <s v="GV.RM"/>
    <x v="3"/>
    <x v="1"/>
    <s v="United States"/>
    <x v="0"/>
    <s v="Noah Williams"/>
    <s v="Annual"/>
    <d v="2026-03-26T00:00:00"/>
    <d v="2026-09-22T00:00:00"/>
    <x v="0"/>
    <s v="Pending"/>
    <n v="0"/>
    <s v="Emma Schmidt"/>
    <d v="2027-01-19T00:00:00"/>
    <s v="Not Required"/>
    <x v="0"/>
    <x v="1"/>
    <x v="3"/>
    <s v="Elevated"/>
  </r>
  <r>
    <s v="CTRL-1416"/>
    <s v="Reconciliation Control 1416"/>
    <s v="GOVERN"/>
    <s v="GV.OC"/>
    <x v="3"/>
    <x v="0"/>
    <s v="Singapore"/>
    <x v="2"/>
    <s v="Liam Brown"/>
    <s v="Quarterly"/>
    <d v="2026-03-11T00:00:00"/>
    <d v="2026-06-09T00:00:00"/>
    <x v="0"/>
    <s v="Complete"/>
    <n v="3"/>
    <s v="Emma Schmidt"/>
    <d v="2026-04-03T00:00:00"/>
    <s v="Overdue"/>
    <x v="0"/>
    <x v="1"/>
    <x v="2"/>
    <s v="Standard"/>
  </r>
  <r>
    <s v="CTRL-1417"/>
    <s v="Policy Control 1417"/>
    <s v="IDENTIFY"/>
    <s v="ID.AM"/>
    <x v="0"/>
    <x v="1"/>
    <s v="United States"/>
    <x v="2"/>
    <s v="Liam Brown"/>
    <s v="Annual"/>
    <d v="2026-07-23T00:00:00"/>
    <d v="2026-10-21T00:00:00"/>
    <x v="3"/>
    <s v="Complete"/>
    <n v="2"/>
    <s v="Emma Schmidt"/>
    <d v="2026-05-10T00:00:00"/>
    <s v="Overdue"/>
    <x v="1"/>
    <x v="1"/>
    <x v="2"/>
    <s v="Standard"/>
  </r>
  <r>
    <s v="CTRL-1418"/>
    <s v="Vendor Control 1418"/>
    <s v="RESPOND"/>
    <s v="RS.MA"/>
    <x v="4"/>
    <x v="0"/>
    <s v="Singapore"/>
    <x v="2"/>
    <s v="Liam Brown"/>
    <s v="Semiannual"/>
    <d v="2026-02-15T00:00:00"/>
    <d v="2026-05-16T00:00:00"/>
    <x v="0"/>
    <s v="Missing"/>
    <n v="3"/>
    <s v="Sam Rivera"/>
    <d v="2026-07-22T00:00:00"/>
    <s v="Completed"/>
    <x v="0"/>
    <x v="1"/>
    <x v="1"/>
    <s v="Standard"/>
  </r>
  <r>
    <s v="CTRL-1419"/>
    <s v="Incident Control 1419"/>
    <s v="RECOVER"/>
    <s v="RC.RP"/>
    <x v="1"/>
    <x v="1"/>
    <s v="United States"/>
    <x v="2"/>
    <s v="Emma Schmidt"/>
    <s v="Annual"/>
    <d v="2025-09-30T00:00:00"/>
    <d v="2025-12-29T00:00:00"/>
    <x v="0"/>
    <s v="Pending"/>
    <n v="2"/>
    <s v="Emma Schmidt"/>
    <d v="2027-01-23T00:00:00"/>
    <s v="In Progress"/>
    <x v="0"/>
    <x v="1"/>
    <x v="3"/>
    <s v="Standard"/>
  </r>
  <r>
    <s v="CTRL-1420"/>
    <s v="Reconciliation Control 1420"/>
    <s v="DETECT"/>
    <s v="DE.CM"/>
    <x v="5"/>
    <x v="2"/>
    <s v="United Kingdom"/>
    <x v="3"/>
    <s v="Taylor Morgan"/>
    <s v="Quarterly"/>
    <d v="2026-05-30T00:00:00"/>
    <d v="2026-08-28T00:00:00"/>
    <x v="0"/>
    <s v="Missing"/>
    <n v="0"/>
    <s v="Alex Chen"/>
    <d v="2026-10-15T00:00:00"/>
    <s v="Not Required"/>
    <x v="0"/>
    <x v="1"/>
    <x v="1"/>
    <s v="Elevated"/>
  </r>
  <r>
    <s v="CTRL-1421"/>
    <s v="Policy Control 1421"/>
    <s v="RECOVER"/>
    <s v="RC.RP"/>
    <x v="1"/>
    <x v="0"/>
    <s v="Singapore"/>
    <x v="1"/>
    <s v="Jordan Lee"/>
    <s v="Semiannual"/>
    <d v="2026-08-18T00:00:00"/>
    <d v="2026-11-16T00:00:00"/>
    <x v="1"/>
    <s v="Complete"/>
    <n v="2"/>
    <s v="Taylor Morgan"/>
    <d v="2026-04-15T00:00:00"/>
    <s v="Overdue"/>
    <x v="1"/>
    <x v="1"/>
    <x v="2"/>
    <s v="Standard"/>
  </r>
  <r>
    <s v="CTRL-1422"/>
    <s v="Vendor Control 1422"/>
    <s v="RESPOND"/>
    <s v="RS.MA"/>
    <x v="2"/>
    <x v="2"/>
    <s v="Germany"/>
    <x v="2"/>
    <s v="Alex Chen"/>
    <s v="Semiannual"/>
    <d v="2026-09-10T00:00:00"/>
    <d v="2026-12-09T00:00:00"/>
    <x v="1"/>
    <s v="Missing"/>
    <n v="3"/>
    <s v="Taylor Morgan"/>
    <d v="2026-10-22T00:00:00"/>
    <s v="Completed"/>
    <x v="1"/>
    <x v="1"/>
    <x v="1"/>
    <s v="Standard"/>
  </r>
  <r>
    <s v="CTRL-1423"/>
    <s v="Incident Control 1423"/>
    <s v="RESPOND"/>
    <s v="RS.MA"/>
    <x v="3"/>
    <x v="0"/>
    <s v="Singapore"/>
    <x v="2"/>
    <s v="Taylor Morgan"/>
    <s v="Quarterly"/>
    <d v="2025-06-14T00:00:00"/>
    <d v="2025-09-12T00:00:00"/>
    <x v="0"/>
    <s v="Pending"/>
    <n v="1"/>
    <s v="Taylor Morgan"/>
    <d v="2026-10-17T00:00:00"/>
    <s v="In Progress"/>
    <x v="0"/>
    <x v="1"/>
    <x v="3"/>
    <s v="Standard"/>
  </r>
  <r>
    <s v="CTRL-1424"/>
    <s v="Data Control 1424"/>
    <s v="PROTECT"/>
    <s v="PR.AA"/>
    <x v="0"/>
    <x v="2"/>
    <s v="United Kingdom"/>
    <x v="2"/>
    <s v="Noah Williams"/>
    <s v="Semiannual"/>
    <d v="2026-04-02T00:00:00"/>
    <d v="2027-04-02T00:00:00"/>
    <x v="1"/>
    <s v="Complete"/>
    <n v="0"/>
    <s v="Jordan Lee"/>
    <d v="2026-10-17T00:00:00"/>
    <s v="Not Required"/>
    <x v="1"/>
    <x v="1"/>
    <x v="2"/>
    <s v="Standard"/>
  </r>
  <r>
    <s v="CTRL-1425"/>
    <s v="Incident Control 1425"/>
    <s v="RECOVER"/>
    <s v="RC.RP"/>
    <x v="0"/>
    <x v="2"/>
    <s v="Germany"/>
    <x v="1"/>
    <s v="Noah Williams"/>
    <s v="Quarterly"/>
    <d v="2026-07-02T00:00:00"/>
    <d v="2027-07-02T00:00:00"/>
    <x v="3"/>
    <s v="Pending"/>
    <n v="1"/>
    <s v="Jordan Lee"/>
    <d v="2026-04-28T00:00:00"/>
    <s v="Overdue"/>
    <x v="1"/>
    <x v="1"/>
    <x v="3"/>
    <s v="Standard"/>
  </r>
  <r>
    <s v="CTRL-1426"/>
    <s v="Policy Control 1426"/>
    <s v="GOVERN"/>
    <s v="GV.RM"/>
    <x v="0"/>
    <x v="2"/>
    <s v="Germany"/>
    <x v="1"/>
    <s v="Jordan Lee"/>
    <s v="Semiannual"/>
    <d v="2026-01-17T00:00:00"/>
    <d v="2026-07-16T00:00:00"/>
    <x v="0"/>
    <s v="Missing"/>
    <n v="1"/>
    <s v="Taylor Morgan"/>
    <d v="2026-11-07T00:00:00"/>
    <s v="Completed"/>
    <x v="0"/>
    <x v="1"/>
    <x v="1"/>
    <s v="Standard"/>
  </r>
  <r>
    <s v="CTRL-1427"/>
    <s v="Incident Control 1427"/>
    <s v="PROTECT"/>
    <s v="PR.AA"/>
    <x v="3"/>
    <x v="0"/>
    <s v="Singapore"/>
    <x v="2"/>
    <s v="Taylor Morgan"/>
    <s v="Quarterly"/>
    <d v="2026-02-11T00:00:00"/>
    <d v="2027-02-11T00:00:00"/>
    <x v="1"/>
    <s v="Pending"/>
    <n v="2"/>
    <s v="Taylor Morgan"/>
    <d v="2026-08-15T00:00:00"/>
    <s v="Overdue"/>
    <x v="1"/>
    <x v="1"/>
    <x v="3"/>
    <s v="Standard"/>
  </r>
  <r>
    <s v="CTRL-1428"/>
    <s v="Policy Control 1428"/>
    <s v="IDENTIFY"/>
    <s v="ID.AM"/>
    <x v="0"/>
    <x v="0"/>
    <s v="Singapore"/>
    <x v="0"/>
    <s v="Taylor Morgan"/>
    <s v="Annual"/>
    <d v="2025-11-01T00:00:00"/>
    <d v="2026-01-30T00:00:00"/>
    <x v="0"/>
    <s v="Pending"/>
    <n v="4"/>
    <s v="Taylor Morgan"/>
    <d v="2026-08-06T00:00:00"/>
    <s v="Overdue"/>
    <x v="0"/>
    <x v="1"/>
    <x v="3"/>
    <s v="Elevated"/>
  </r>
  <r>
    <s v="CTRL-1429"/>
    <s v="Change Control 1429"/>
    <s v="GOVERN"/>
    <s v="GV.RR"/>
    <x v="2"/>
    <x v="2"/>
    <s v="Germany"/>
    <x v="1"/>
    <s v="Taylor Morgan"/>
    <s v="Quarterly"/>
    <d v="2025-06-18T00:00:00"/>
    <d v="2025-12-15T00:00:00"/>
    <x v="0"/>
    <s v="Pending"/>
    <n v="0"/>
    <s v="Alex Chen"/>
    <d v="2026-12-28T00:00:00"/>
    <s v="Not Required"/>
    <x v="0"/>
    <x v="1"/>
    <x v="3"/>
    <s v="Standard"/>
  </r>
  <r>
    <s v="CTRL-1430"/>
    <s v="Access Control 1430"/>
    <s v="GOVERN"/>
    <s v="GV.RM"/>
    <x v="3"/>
    <x v="0"/>
    <s v="Singapore"/>
    <x v="2"/>
    <s v="Liam Brown"/>
    <s v="Annual"/>
    <d v="2025-09-05T00:00:00"/>
    <d v="2025-12-04T00:00:00"/>
    <x v="0"/>
    <s v="Missing"/>
    <n v="2"/>
    <s v="Liam Brown"/>
    <d v="2026-05-24T00:00:00"/>
    <s v="Completed"/>
    <x v="0"/>
    <x v="1"/>
    <x v="1"/>
    <s v="Standard"/>
  </r>
  <r>
    <s v="CTRL-1431"/>
    <s v="Change Control 1431"/>
    <s v="DETECT"/>
    <s v="DE.CM"/>
    <x v="5"/>
    <x v="1"/>
    <s v="United States"/>
    <x v="1"/>
    <s v="Liam Brown"/>
    <s v="Semiannual"/>
    <d v="2025-08-17T00:00:00"/>
    <d v="2025-11-15T00:00:00"/>
    <x v="0"/>
    <s v="Pending"/>
    <n v="2"/>
    <s v="Emma Schmidt"/>
    <d v="2026-09-04T00:00:00"/>
    <s v="Overdue"/>
    <x v="0"/>
    <x v="1"/>
    <x v="3"/>
    <s v="Standard"/>
  </r>
  <r>
    <s v="CTRL-1432"/>
    <s v="Data Control 1432"/>
    <s v="PROTECT"/>
    <s v="PR.AA"/>
    <x v="4"/>
    <x v="2"/>
    <s v="Germany"/>
    <x v="0"/>
    <s v="Jordan Lee"/>
    <s v="Semiannual"/>
    <d v="2025-06-28T00:00:00"/>
    <d v="2025-09-26T00:00:00"/>
    <x v="0"/>
    <s v="Complete"/>
    <n v="1"/>
    <s v="Taylor Morgan"/>
    <d v="2026-04-08T00:00:00"/>
    <s v="Completed"/>
    <x v="0"/>
    <x v="1"/>
    <x v="2"/>
    <s v="Elevated"/>
  </r>
  <r>
    <s v="CTRL-1433"/>
    <s v="Change Control 1433"/>
    <s v="GOVERN"/>
    <s v="GV.RM"/>
    <x v="1"/>
    <x v="2"/>
    <s v="United Kingdom"/>
    <x v="0"/>
    <s v="Sam Rivera"/>
    <s v="Annual"/>
    <d v="2025-11-24T00:00:00"/>
    <d v="2026-02-22T00:00:00"/>
    <x v="0"/>
    <s v="Complete"/>
    <n v="1"/>
    <s v="Liam Brown"/>
    <d v="2026-10-02T00:00:00"/>
    <s v="Completed"/>
    <x v="0"/>
    <x v="1"/>
    <x v="2"/>
    <s v="Elevated"/>
  </r>
  <r>
    <s v="CTRL-1434"/>
    <s v="Access Control 1434"/>
    <s v="IDENTIFY"/>
    <s v="ID.AM"/>
    <x v="2"/>
    <x v="2"/>
    <s v="Germany"/>
    <x v="2"/>
    <s v="Emma Schmidt"/>
    <s v="Semiannual"/>
    <d v="2026-06-05T00:00:00"/>
    <d v="2026-12-02T00:00:00"/>
    <x v="2"/>
    <s v="Complete"/>
    <n v="3"/>
    <s v="Noah Williams"/>
    <d v="2026-05-13T00:00:00"/>
    <s v="Overdue"/>
    <x v="1"/>
    <x v="1"/>
    <x v="2"/>
    <s v="Standard"/>
  </r>
  <r>
    <s v="CTRL-1435"/>
    <s v="Data Control 1435"/>
    <s v="IDENTIFY"/>
    <s v="ID.AM"/>
    <x v="1"/>
    <x v="0"/>
    <s v="Singapore"/>
    <x v="1"/>
    <s v="Noah Williams"/>
    <s v="Annual"/>
    <d v="2026-02-19T00:00:00"/>
    <d v="2026-08-18T00:00:00"/>
    <x v="0"/>
    <s v="Complete"/>
    <n v="0"/>
    <s v="Noah Williams"/>
    <d v="2026-05-10T00:00:00"/>
    <s v="Not Required"/>
    <x v="0"/>
    <x v="1"/>
    <x v="2"/>
    <s v="Standard"/>
  </r>
  <r>
    <s v="CTRL-1436"/>
    <s v="Change Control 1436"/>
    <s v="IDENTIFY"/>
    <s v="ID.AM"/>
    <x v="2"/>
    <x v="1"/>
    <s v="United StatesA"/>
    <x v="0"/>
    <s v="Sam Rivera"/>
    <s v="Semiannual"/>
    <d v="2025-07-13T00:00:00"/>
    <d v="2026-01-09T00:00:00"/>
    <x v="0"/>
    <s v="Complete"/>
    <n v="5"/>
    <s v="Liam Brown"/>
    <d v="2026-06-11T00:00:00"/>
    <s v="Completed"/>
    <x v="0"/>
    <x v="1"/>
    <x v="2"/>
    <s v="Elevated"/>
  </r>
  <r>
    <s v="CTRL-1437"/>
    <s v="Policy Control 1437"/>
    <s v="RESPOND"/>
    <s v="RS.MA"/>
    <x v="2"/>
    <x v="2"/>
    <s v="United Kingdom"/>
    <x v="2"/>
    <s v="Maya Patel"/>
    <s v="Annual"/>
    <d v="2026-09-01T00:00:00"/>
    <d v="2027-02-28T00:00:00"/>
    <x v="1"/>
    <s v="Pending"/>
    <n v="3"/>
    <s v="Alex Chen"/>
    <d v="2026-12-17T00:00:00"/>
    <s v="In Progress"/>
    <x v="1"/>
    <x v="1"/>
    <x v="3"/>
    <s v="Standard"/>
  </r>
  <r>
    <s v="CTRL-1438"/>
    <s v="Incident Control 1438"/>
    <s v="GOVERN"/>
    <s v="GV.RM"/>
    <x v="5"/>
    <x v="1"/>
    <s v="Canada"/>
    <x v="0"/>
    <s v="Jordan Lee"/>
    <s v="Annual"/>
    <d v="2025-11-23T00:00:00"/>
    <d v="2026-05-22T00:00:00"/>
    <x v="0"/>
    <s v="Pending"/>
    <n v="4"/>
    <s v="Liam Brown"/>
    <d v="2026-04-28T00:00:00"/>
    <s v="Completed"/>
    <x v="0"/>
    <x v="1"/>
    <x v="3"/>
    <s v="Elevated"/>
  </r>
  <r>
    <s v="CTRL-1439"/>
    <s v="Data Control 1439"/>
    <s v="IDENTIFY"/>
    <s v="ID.AM"/>
    <x v="0"/>
    <x v="2"/>
    <s v="Germany"/>
    <x v="2"/>
    <s v="Sam Rivera"/>
    <s v="Semiannual"/>
    <d v="2026-08-22T00:00:00"/>
    <d v="2027-02-18T00:00:00"/>
    <x v="1"/>
    <s v="Pending"/>
    <n v="0"/>
    <s v="Alex Chen"/>
    <d v="2026-06-21T00:00:00"/>
    <s v="Not Required"/>
    <x v="1"/>
    <x v="1"/>
    <x v="3"/>
    <s v="Standard"/>
  </r>
  <r>
    <s v="CTRL-1440"/>
    <s v="Change Control 1440"/>
    <s v="GOVERN"/>
    <s v="GV.RR"/>
    <x v="3"/>
    <x v="1"/>
    <s v="United States"/>
    <x v="2"/>
    <s v="Taylor Morgan"/>
    <s v="Quarterly"/>
    <d v="2026-02-06T00:00:00"/>
    <d v="2026-08-05T00:00:00"/>
    <x v="0"/>
    <s v="Pending"/>
    <n v="1"/>
    <s v="Jordan Lee"/>
    <d v="2026-11-18T00:00:00"/>
    <s v="In Progress"/>
    <x v="0"/>
    <x v="1"/>
    <x v="3"/>
    <s v="Standard"/>
  </r>
  <r>
    <s v="CTRL-1441"/>
    <s v="Change Control 1441"/>
    <s v="GOVERN"/>
    <s v="GV.OC"/>
    <x v="3"/>
    <x v="0"/>
    <s v="Singapore"/>
    <x v="0"/>
    <s v="Alex Chen"/>
    <s v="Quarterly"/>
    <d v="2026-07-03T00:00:00"/>
    <d v="2026-10-01T00:00:00"/>
    <x v="1"/>
    <s v="Pending"/>
    <n v="4"/>
    <s v="Sam Rivera"/>
    <d v="2026-05-28T00:00:00"/>
    <s v="Completed"/>
    <x v="1"/>
    <x v="1"/>
    <x v="3"/>
    <s v="Elevated"/>
  </r>
  <r>
    <s v="CTRL-1442"/>
    <s v="Vendor Control 1442"/>
    <s v="GOVERN"/>
    <s v="GV.OC"/>
    <x v="4"/>
    <x v="1"/>
    <s v="Canada"/>
    <x v="2"/>
    <s v="Maya Patel"/>
    <s v="Semiannual"/>
    <d v="2025-08-31T00:00:00"/>
    <d v="2026-08-31T00:00:00"/>
    <x v="0"/>
    <s v="Complete"/>
    <n v="3"/>
    <s v="Jordan Lee"/>
    <d v="2026-11-22T00:00:00"/>
    <s v="In Progress"/>
    <x v="0"/>
    <x v="1"/>
    <x v="2"/>
    <s v="Standard"/>
  </r>
  <r>
    <s v="CTRL-1443"/>
    <s v="Incident Control 1443"/>
    <s v="IDENTIFY"/>
    <s v="ID.AM"/>
    <x v="2"/>
    <x v="2"/>
    <s v="Germany"/>
    <x v="1"/>
    <s v="Alex Chen"/>
    <s v="Annual"/>
    <d v="2026-06-14T00:00:00"/>
    <d v="2026-12-11T00:00:00"/>
    <x v="3"/>
    <s v="Complete"/>
    <n v="0"/>
    <s v="Taylor Morgan"/>
    <d v="2026-06-30T00:00:00"/>
    <s v="Not Required"/>
    <x v="1"/>
    <x v="1"/>
    <x v="2"/>
    <s v="Standard"/>
  </r>
  <r>
    <s v="CTRL-1444"/>
    <s v="Policy Control 1444"/>
    <s v="GOVERN"/>
    <s v="GV.RM"/>
    <x v="1"/>
    <x v="2"/>
    <s v="United Kingdom"/>
    <x v="1"/>
    <s v="Taylor Morgan"/>
    <s v="Annual"/>
    <d v="2025-09-09T00:00:00"/>
    <d v="2025-12-08T00:00:00"/>
    <x v="0"/>
    <s v="Complete"/>
    <n v="1"/>
    <s v="Alex Chen"/>
    <d v="2027-01-04T00:00:00"/>
    <s v="Completed"/>
    <x v="0"/>
    <x v="1"/>
    <x v="2"/>
    <s v="Standard"/>
  </r>
  <r>
    <s v="CTRL-1445"/>
    <s v="Vendor Control 1445"/>
    <s v="GOVERN"/>
    <s v="GV.OC"/>
    <x v="5"/>
    <x v="1"/>
    <s v="Canada"/>
    <x v="1"/>
    <s v="Jordan Lee"/>
    <s v="Annual"/>
    <d v="2025-10-07T00:00:00"/>
    <d v="2026-01-05T00:00:00"/>
    <x v="0"/>
    <s v="Pending"/>
    <n v="0"/>
    <s v="Emma Schmidt"/>
    <d v="2026-10-11T00:00:00"/>
    <s v="Not Required"/>
    <x v="0"/>
    <x v="1"/>
    <x v="3"/>
    <s v="Standard"/>
  </r>
  <r>
    <s v="CTRL-1446"/>
    <s v="Vendor Control 1446"/>
    <s v="PROTECT"/>
    <s v="PR.AA"/>
    <x v="5"/>
    <x v="2"/>
    <s v="Germany"/>
    <x v="0"/>
    <s v="Maya Patel"/>
    <s v="Quarterly"/>
    <d v="2025-07-12T00:00:00"/>
    <d v="2026-01-08T00:00:00"/>
    <x v="0"/>
    <s v="Missing"/>
    <n v="5"/>
    <s v="Jordan Lee"/>
    <d v="2026-12-12T00:00:00"/>
    <s v="Completed"/>
    <x v="0"/>
    <x v="1"/>
    <x v="1"/>
    <s v="Elevated"/>
  </r>
  <r>
    <s v="CTRL-1447"/>
    <s v="Change Control 1447"/>
    <s v="GOVERN"/>
    <s v="GV.RM"/>
    <x v="4"/>
    <x v="2"/>
    <s v="United Kingdom"/>
    <x v="2"/>
    <s v="Sam Rivera"/>
    <s v="Quarterly"/>
    <d v="2025-12-10T00:00:00"/>
    <d v="2026-06-08T00:00:00"/>
    <x v="0"/>
    <s v="Complete"/>
    <n v="3"/>
    <s v="Noah Williams"/>
    <d v="2026-06-17T00:00:00"/>
    <s v="Completed"/>
    <x v="0"/>
    <x v="1"/>
    <x v="2"/>
    <s v="Standard"/>
  </r>
  <r>
    <s v="CTRL-1448"/>
    <s v="Change Control 1448"/>
    <s v="GOVERN"/>
    <s v="GV.RR"/>
    <x v="3"/>
    <x v="0"/>
    <s v="Singapore"/>
    <x v="0"/>
    <s v="Noah Williams"/>
    <s v="Semiannual"/>
    <d v="2026-02-25T00:00:00"/>
    <d v="2026-08-24T00:00:00"/>
    <x v="0"/>
    <s v="Missing"/>
    <n v="2"/>
    <s v="Sam Rivera"/>
    <d v="2026-08-11T00:00:00"/>
    <s v="Overdue"/>
    <x v="0"/>
    <x v="1"/>
    <x v="1"/>
    <s v="Elevated"/>
  </r>
  <r>
    <s v="CTRL-1449"/>
    <s v="Access Control 1449"/>
    <s v="GOVERN"/>
    <s v="GV.OC"/>
    <x v="4"/>
    <x v="0"/>
    <s v="Singapore"/>
    <x v="2"/>
    <s v="Maya Patel"/>
    <s v="Annual"/>
    <d v="2025-07-31T00:00:00"/>
    <d v="2025-10-29T00:00:00"/>
    <x v="0"/>
    <s v="Complete"/>
    <n v="1"/>
    <s v="Liam Brown"/>
    <d v="2026-05-16T00:00:00"/>
    <s v="Completed"/>
    <x v="0"/>
    <x v="1"/>
    <x v="2"/>
    <s v="Standard"/>
  </r>
  <r>
    <s v="CTRL-1450"/>
    <s v="Policy Control 1450"/>
    <s v="RECOVER"/>
    <s v="RC.RP"/>
    <x v="1"/>
    <x v="0"/>
    <s v="Singapore"/>
    <x v="2"/>
    <s v="Emma Schmidt"/>
    <s v="Quarterly"/>
    <d v="2025-07-24T00:00:00"/>
    <d v="2026-07-24T00:00:00"/>
    <x v="0"/>
    <s v="Missing"/>
    <n v="0"/>
    <s v="Liam Brown"/>
    <d v="2026-05-10T00:00:00"/>
    <s v="Not Required"/>
    <x v="0"/>
    <x v="1"/>
    <x v="1"/>
    <s v="Standard"/>
  </r>
  <r>
    <s v="CTRL-1451"/>
    <s v="Data Control 1451"/>
    <s v="GOVERN"/>
    <s v="GV.RR"/>
    <x v="5"/>
    <x v="2"/>
    <s v="United Kingdom"/>
    <x v="3"/>
    <s v="Jordan Lee"/>
    <s v="Semiannual"/>
    <d v="2026-03-14T00:00:00"/>
    <d v="2026-06-12T00:00:00"/>
    <x v="0"/>
    <s v="Missing"/>
    <n v="4"/>
    <s v="Maya Patel"/>
    <d v="2026-08-09T00:00:00"/>
    <s v="Overdue"/>
    <x v="0"/>
    <x v="1"/>
    <x v="1"/>
    <s v="Elevated"/>
  </r>
  <r>
    <s v="CTRL-1452"/>
    <s v="Policy Control 1452"/>
    <s v="DETECT"/>
    <s v="DE.CM"/>
    <x v="1"/>
    <x v="2"/>
    <s v="United Kingdom"/>
    <x v="1"/>
    <s v="Liam Brown"/>
    <s v="Semiannual"/>
    <d v="2026-02-24T00:00:00"/>
    <d v="2027-02-24T00:00:00"/>
    <x v="1"/>
    <s v="Complete"/>
    <n v="3"/>
    <s v="Jordan Lee"/>
    <d v="2026-07-05T00:00:00"/>
    <s v="Completed"/>
    <x v="1"/>
    <x v="1"/>
    <x v="2"/>
    <s v="Standard"/>
  </r>
  <r>
    <s v="CTRL-1453"/>
    <s v="Incident Control 1453"/>
    <s v="GOVERN"/>
    <s v="GV.OC"/>
    <x v="4"/>
    <x v="1"/>
    <s v="United States"/>
    <x v="1"/>
    <s v="Noah Williams"/>
    <s v="Annual"/>
    <d v="2025-09-25T00:00:00"/>
    <d v="2026-03-24T00:00:00"/>
    <x v="0"/>
    <s v="Missing"/>
    <n v="3"/>
    <s v="Sam Rivera"/>
    <d v="2026-07-10T00:00:00"/>
    <s v="Overdue"/>
    <x v="0"/>
    <x v="1"/>
    <x v="1"/>
    <s v="Standard"/>
  </r>
  <r>
    <s v="CTRL-1454"/>
    <s v="Policy Control 1454"/>
    <s v="GOVERN"/>
    <s v="GV.OC"/>
    <x v="2"/>
    <x v="1"/>
    <s v="Canada"/>
    <x v="2"/>
    <s v="Alex Chen"/>
    <s v="Quarterly"/>
    <d v="2026-04-07T00:00:00"/>
    <d v="2027-04-07T00:00:00"/>
    <x v="2"/>
    <s v="Missing"/>
    <n v="2"/>
    <s v="Alex Chen"/>
    <d v="2026-04-09T00:00:00"/>
    <s v="Completed"/>
    <x v="1"/>
    <x v="1"/>
    <x v="1"/>
    <s v="Standard"/>
  </r>
  <r>
    <s v="CTRL-1455"/>
    <s v="Vendor Control 1455"/>
    <s v="GOVERN"/>
    <s v="GV.RR"/>
    <x v="3"/>
    <x v="2"/>
    <s v="Germany"/>
    <x v="2"/>
    <s v="Maya Patel"/>
    <s v="Semiannual"/>
    <d v="2025-11-01T00:00:00"/>
    <d v="2026-04-30T00:00:00"/>
    <x v="0"/>
    <s v="Complete"/>
    <n v="3"/>
    <s v="Sam Rivera"/>
    <d v="2026-12-13T00:00:00"/>
    <s v="Completed"/>
    <x v="0"/>
    <x v="1"/>
    <x v="2"/>
    <s v="Standard"/>
  </r>
  <r>
    <s v="CTRL-1456"/>
    <s v="Data Control 1456"/>
    <s v="DETECT"/>
    <s v="DE.CM"/>
    <x v="4"/>
    <x v="1"/>
    <s v="Canada"/>
    <x v="1"/>
    <s v="Jordan Lee"/>
    <s v="Quarterly"/>
    <d v="2026-01-22T00:00:00"/>
    <d v="2026-07-21T00:00:00"/>
    <x v="0"/>
    <s v="Pending"/>
    <n v="2"/>
    <s v="Alex Chen"/>
    <d v="2026-06-29T00:00:00"/>
    <s v="Completed"/>
    <x v="0"/>
    <x v="1"/>
    <x v="3"/>
    <s v="Standard"/>
  </r>
  <r>
    <s v="CTRL-1457"/>
    <s v="Change Control 1457"/>
    <s v="GOVERN"/>
    <s v="GV.RR"/>
    <x v="4"/>
    <x v="2"/>
    <s v="United Kingdom"/>
    <x v="2"/>
    <s v="Maya Patel"/>
    <s v="Annual"/>
    <d v="2026-06-30T00:00:00"/>
    <d v="2027-06-30T00:00:00"/>
    <x v="1"/>
    <s v="Missing"/>
    <n v="2"/>
    <s v="Taylor Morgan"/>
    <d v="2027-01-21T00:00:00"/>
    <s v="In Progress"/>
    <x v="1"/>
    <x v="1"/>
    <x v="1"/>
    <s v="Standard"/>
  </r>
  <r>
    <s v="CTRL-1458"/>
    <s v="Reconciliation Control 1458"/>
    <s v="DETECT"/>
    <s v="DE.CM"/>
    <x v="2"/>
    <x v="1"/>
    <s v="United States"/>
    <x v="3"/>
    <m/>
    <s v="Annual"/>
    <d v="2025-05-23T00:00:00"/>
    <d v="2025-11-19T00:00:00"/>
    <x v="0"/>
    <s v="Complete"/>
    <n v="0"/>
    <s v="Emma Schmidt"/>
    <d v="2026-06-19T00:00:00"/>
    <s v="Not Required"/>
    <x v="0"/>
    <x v="0"/>
    <x v="2"/>
    <s v="Elevated"/>
  </r>
  <r>
    <s v="CTRL-1459"/>
    <s v="Access Control 1459"/>
    <s v="RESPOND"/>
    <s v="RS.MA"/>
    <x v="1"/>
    <x v="1"/>
    <s v="Canada"/>
    <x v="2"/>
    <s v="Jordan Lee"/>
    <s v="Semiannual"/>
    <d v="2025-10-15T00:00:00"/>
    <d v="2026-04-13T00:00:00"/>
    <x v="0"/>
    <s v="Complete"/>
    <n v="2"/>
    <s v="Taylor Morgan"/>
    <d v="2026-07-04T00:00:00"/>
    <s v="Completed"/>
    <x v="0"/>
    <x v="1"/>
    <x v="2"/>
    <s v="Standard"/>
  </r>
  <r>
    <s v="CTRL-1460"/>
    <s v="Access Control 1460"/>
    <s v="GOVERN"/>
    <s v="GV.OC"/>
    <x v="5"/>
    <x v="0"/>
    <s v="Singapore"/>
    <x v="2"/>
    <s v="Noah Williams"/>
    <s v="Semiannual"/>
    <d v="2026-07-23T00:00:00"/>
    <d v="2026-10-21T00:00:00"/>
    <x v="1"/>
    <s v="Complete"/>
    <n v="1"/>
    <s v="Sam Rivera"/>
    <d v="2027-01-03T00:00:00"/>
    <s v="In Progress"/>
    <x v="1"/>
    <x v="1"/>
    <x v="2"/>
    <s v="Standard"/>
  </r>
  <r>
    <s v="CTRL-1461"/>
    <s v="Data Control 1461"/>
    <s v="PROTECT"/>
    <s v="PR.AA"/>
    <x v="0"/>
    <x v="0"/>
    <s v="Singapore"/>
    <x v="0"/>
    <s v="Maya Patel"/>
    <s v="Annual"/>
    <d v="2026-06-12T00:00:00"/>
    <d v="2026-09-10T00:00:00"/>
    <x v="0"/>
    <s v="Complete"/>
    <n v="1"/>
    <s v="Maya Patel"/>
    <d v="2026-05-12T00:00:00"/>
    <s v="Overdue"/>
    <x v="0"/>
    <x v="1"/>
    <x v="2"/>
    <s v="Elevated"/>
  </r>
  <r>
    <s v="CTRL-1462"/>
    <s v="Access Control 1462"/>
    <s v="GOVERN"/>
    <s v="GV.OC"/>
    <x v="3"/>
    <x v="0"/>
    <s v="Singapore"/>
    <x v="1"/>
    <s v="Emma Schmidt"/>
    <s v="Annual"/>
    <d v="2025-12-06T00:00:00"/>
    <d v="2026-06-04T00:00:00"/>
    <x v="0"/>
    <s v="Missing"/>
    <n v="3"/>
    <s v="Maya Patel"/>
    <d v="2026-10-25T00:00:00"/>
    <s v="Completed"/>
    <x v="0"/>
    <x v="1"/>
    <x v="1"/>
    <s v="Standard"/>
  </r>
  <r>
    <s v="CTRL-1463"/>
    <s v="Change Control 1463"/>
    <s v="RESPOND"/>
    <s v="RS.MA"/>
    <x v="2"/>
    <x v="0"/>
    <s v="Singapore"/>
    <x v="2"/>
    <s v="Alex Chen"/>
    <s v="Annual"/>
    <d v="2026-02-23T00:00:00"/>
    <d v="2026-08-22T00:00:00"/>
    <x v="0"/>
    <s v="Pending"/>
    <n v="1"/>
    <s v="Liam Brown"/>
    <d v="2026-04-03T00:00:00"/>
    <s v="Completed"/>
    <x v="0"/>
    <x v="1"/>
    <x v="3"/>
    <s v="Standard"/>
  </r>
  <r>
    <s v="CTRL-1464"/>
    <s v="Incident Control 1464"/>
    <s v="RESPOND"/>
    <s v="RS.MA"/>
    <x v="1"/>
    <x v="2"/>
    <s v="Germany"/>
    <x v="0"/>
    <s v="Noah Williams"/>
    <s v="Semiannual"/>
    <d v="2025-08-09T00:00:00"/>
    <d v="2026-08-09T00:00:00"/>
    <x v="0"/>
    <s v="Pending"/>
    <n v="5"/>
    <s v="Maya Patel"/>
    <d v="2026-10-25T00:00:00"/>
    <s v="Completed"/>
    <x v="0"/>
    <x v="1"/>
    <x v="3"/>
    <s v="Elevated"/>
  </r>
  <r>
    <s v="CTRL-1465"/>
    <s v="Access Control 1465"/>
    <s v="GOVERN"/>
    <s v="GV.RR"/>
    <x v="5"/>
    <x v="0"/>
    <s v="Singapore"/>
    <x v="1"/>
    <s v="Taylor Morgan"/>
    <s v="Quarterly"/>
    <d v="2025-10-08T00:00:00"/>
    <d v="2026-01-06T00:00:00"/>
    <x v="0"/>
    <s v="Complete"/>
    <n v="1"/>
    <s v="Jordan Lee"/>
    <d v="2026-11-12T00:00:00"/>
    <s v="In Progress"/>
    <x v="0"/>
    <x v="1"/>
    <x v="2"/>
    <s v="Standard"/>
  </r>
  <r>
    <s v="CTRL-1466"/>
    <s v="Data Control 1466"/>
    <s v="RECOVER"/>
    <s v="RC.RP"/>
    <x v="5"/>
    <x v="1"/>
    <s v="Canada"/>
    <x v="1"/>
    <s v="Taylor Morgan"/>
    <s v="Annual"/>
    <d v="2026-06-19T00:00:00"/>
    <d v="2027-06-19T00:00:00"/>
    <x v="1"/>
    <s v="Complete"/>
    <n v="0"/>
    <s v="Maya Patel"/>
    <d v="2026-08-25T00:00:00"/>
    <s v="Not Required"/>
    <x v="1"/>
    <x v="1"/>
    <x v="2"/>
    <s v="Standard"/>
  </r>
  <r>
    <s v="CTRL-1467"/>
    <s v="Access Control 1467"/>
    <s v="IDENTIFY"/>
    <s v="ID.AM"/>
    <x v="3"/>
    <x v="1"/>
    <s v="Canada"/>
    <x v="2"/>
    <s v="Emma Schmidt"/>
    <s v="Annual"/>
    <d v="2025-11-13T00:00:00"/>
    <d v="2026-11-13T00:00:00"/>
    <x v="2"/>
    <s v="Missing"/>
    <n v="0"/>
    <s v="Alex Chen"/>
    <d v="2026-06-24T00:00:00"/>
    <s v="Not Required"/>
    <x v="1"/>
    <x v="1"/>
    <x v="1"/>
    <s v="Standard"/>
  </r>
  <r>
    <s v="CTRL-1468"/>
    <s v="Change Control 1468"/>
    <s v="DETECT"/>
    <s v="DE.CM"/>
    <x v="4"/>
    <x v="1"/>
    <s v="United States"/>
    <x v="2"/>
    <s v="Alex Chen"/>
    <s v="Annual"/>
    <d v="2025-08-29T00:00:00"/>
    <d v="2026-08-29T00:00:00"/>
    <x v="0"/>
    <s v="Missing"/>
    <n v="1"/>
    <s v="Jordan Lee"/>
    <d v="2026-04-04T00:00:00"/>
    <s v="Completed"/>
    <x v="0"/>
    <x v="1"/>
    <x v="1"/>
    <s v="Standard"/>
  </r>
  <r>
    <s v="CTRL-1469"/>
    <s v="Reconciliation Control 1469"/>
    <s v="GOVERN"/>
    <s v="GV.RR"/>
    <x v="1"/>
    <x v="0"/>
    <s v="Singapore"/>
    <x v="2"/>
    <s v="Sam Rivera"/>
    <s v="Quarterly"/>
    <d v="2025-06-21T00:00:00"/>
    <d v="2025-09-19T00:00:00"/>
    <x v="0"/>
    <s v="Complete"/>
    <n v="2"/>
    <s v="Sam Rivera"/>
    <d v="2026-04-26T00:00:00"/>
    <s v="Completed"/>
    <x v="0"/>
    <x v="1"/>
    <x v="2"/>
    <s v="Standard"/>
  </r>
  <r>
    <s v="CTRL-1470"/>
    <s v="Access Control 1470"/>
    <s v="GOVERN"/>
    <s v="GV.OC"/>
    <x v="2"/>
    <x v="0"/>
    <s v="Singapore"/>
    <x v="2"/>
    <s v="Jordan Lee"/>
    <s v="Semiannual"/>
    <d v="2025-05-25T00:00:00"/>
    <d v="2025-11-21T00:00:00"/>
    <x v="0"/>
    <s v="Missing"/>
    <n v="1"/>
    <s v="Emma Schmidt"/>
    <d v="2027-01-17T00:00:00"/>
    <s v="In Progress"/>
    <x v="0"/>
    <x v="1"/>
    <x v="1"/>
    <s v="Standard"/>
  </r>
  <r>
    <s v="CTRL-1471"/>
    <s v="Policy Control 1471"/>
    <s v="IDENTIFY"/>
    <s v="ID.AM"/>
    <x v="1"/>
    <x v="0"/>
    <s v="Singapore"/>
    <x v="0"/>
    <s v="Emma Schmidt"/>
    <s v="Annual"/>
    <d v="2025-05-21T00:00:00"/>
    <d v="2025-08-19T00:00:00"/>
    <x v="0"/>
    <s v="Complete"/>
    <n v="1"/>
    <s v="Emma Schmidt"/>
    <d v="2027-01-12T00:00:00"/>
    <s v="In Progress"/>
    <x v="0"/>
    <x v="1"/>
    <x v="2"/>
    <s v="Elevated"/>
  </r>
  <r>
    <s v="CTRL-1472"/>
    <s v="Change Control 1472"/>
    <s v="RESPOND"/>
    <s v="RS.MA"/>
    <x v="1"/>
    <x v="0"/>
    <s v="Singapore"/>
    <x v="0"/>
    <s v="Emma Schmidt"/>
    <s v="Semiannual"/>
    <d v="2025-06-07T00:00:00"/>
    <d v="2026-06-07T00:00:00"/>
    <x v="0"/>
    <s v="Complete"/>
    <n v="4"/>
    <s v="Liam Brown"/>
    <d v="2026-09-22T00:00:00"/>
    <s v="Overdue"/>
    <x v="0"/>
    <x v="1"/>
    <x v="2"/>
    <s v="Elevated"/>
  </r>
  <r>
    <s v="CTRL-1473"/>
    <s v="Access Control 1473"/>
    <s v="GOVERN"/>
    <s v="GV.RR"/>
    <x v="4"/>
    <x v="1"/>
    <s v="United States"/>
    <x v="2"/>
    <s v="Maya Patel"/>
    <s v="Annual"/>
    <d v="2026-09-10T00:00:00"/>
    <d v="2026-12-09T00:00:00"/>
    <x v="1"/>
    <s v="Missing"/>
    <n v="1"/>
    <s v="Sam Rivera"/>
    <d v="2026-07-14T00:00:00"/>
    <s v="Overdue"/>
    <x v="1"/>
    <x v="1"/>
    <x v="1"/>
    <s v="Standard"/>
  </r>
  <r>
    <s v="CTRL-1474"/>
    <s v="Vendor Control 1474"/>
    <s v="RECOVER"/>
    <s v="RC.RP"/>
    <x v="4"/>
    <x v="2"/>
    <s v="United Kingdom"/>
    <x v="0"/>
    <s v="Maya Patel"/>
    <s v="Semiannual"/>
    <d v="2025-12-14T00:00:00"/>
    <d v="2026-06-12T00:00:00"/>
    <x v="0"/>
    <s v="Pending"/>
    <n v="5"/>
    <s v="Maya Patel"/>
    <d v="2026-04-13T00:00:00"/>
    <s v="Overdue"/>
    <x v="0"/>
    <x v="1"/>
    <x v="3"/>
    <s v="Elevated"/>
  </r>
  <r>
    <s v="CTRL-1475"/>
    <s v="Policy Control 1475"/>
    <s v="GOVERN"/>
    <s v="GV.RM"/>
    <x v="4"/>
    <x v="0"/>
    <s v="Singapore"/>
    <x v="0"/>
    <s v="Noah Williams"/>
    <s v="Annual"/>
    <d v="2025-07-15T00:00:00"/>
    <d v="2026-07-15T00:00:00"/>
    <x v="0"/>
    <s v="Complete"/>
    <n v="0"/>
    <s v="Taylor Morgan"/>
    <d v="2027-01-03T00:00:00"/>
    <s v="Not Required"/>
    <x v="0"/>
    <x v="1"/>
    <x v="2"/>
    <s v="Elevated"/>
  </r>
  <r>
    <s v="CTRL-1476"/>
    <s v="Data Control 1476"/>
    <s v="RESPOND"/>
    <s v="RS.MA"/>
    <x v="3"/>
    <x v="1"/>
    <s v="United States"/>
    <x v="1"/>
    <s v="Liam Brown"/>
    <s v="Annual"/>
    <d v="2026-02-13T00:00:00"/>
    <d v="2026-05-14T00:00:00"/>
    <x v="0"/>
    <s v="Pending"/>
    <n v="0"/>
    <s v="Sam Rivera"/>
    <d v="2026-09-30T00:00:00"/>
    <s v="Not Required"/>
    <x v="0"/>
    <x v="1"/>
    <x v="3"/>
    <s v="Standard"/>
  </r>
  <r>
    <s v="CTRL-1477"/>
    <s v="Data Control 1477"/>
    <s v="RESPOND"/>
    <s v="RS.MA"/>
    <x v="2"/>
    <x v="0"/>
    <s v="Singapore"/>
    <x v="2"/>
    <s v="Jordan Lee"/>
    <s v="Semiannual"/>
    <d v="2025-08-30T00:00:00"/>
    <d v="2026-08-30T00:00:00"/>
    <x v="0"/>
    <s v="Complete"/>
    <n v="1"/>
    <s v="Jordan Lee"/>
    <d v="2026-10-20T00:00:00"/>
    <s v="In Progress"/>
    <x v="0"/>
    <x v="1"/>
    <x v="2"/>
    <s v="Standard"/>
  </r>
  <r>
    <s v="CTRL-1478"/>
    <s v="Reconciliation Control 1478"/>
    <s v="GOVERN"/>
    <s v="GV.RR"/>
    <x v="3"/>
    <x v="0"/>
    <s v="Singapore"/>
    <x v="0"/>
    <s v="Jordan Lee"/>
    <s v="Semiannual"/>
    <d v="2026-03-29T00:00:00"/>
    <d v="2026-09-25T00:00:00"/>
    <x v="0"/>
    <s v="Complete"/>
    <n v="2"/>
    <s v="Sam Rivera"/>
    <d v="2026-12-18T00:00:00"/>
    <s v="In Progress"/>
    <x v="0"/>
    <x v="1"/>
    <x v="2"/>
    <s v="Elevated"/>
  </r>
  <r>
    <s v="CTRL-1479"/>
    <s v="Vendor Control 1479"/>
    <s v="GOVERN"/>
    <s v="GV.OC"/>
    <x v="5"/>
    <x v="0"/>
    <s v="Singapore"/>
    <x v="2"/>
    <s v="Alex Chen"/>
    <s v="Semiannual"/>
    <d v="2025-08-15T00:00:00"/>
    <d v="2026-02-11T00:00:00"/>
    <x v="0"/>
    <s v="Missing"/>
    <n v="2"/>
    <s v="Liam Brown"/>
    <d v="2026-06-11T00:00:00"/>
    <s v="Overdue"/>
    <x v="0"/>
    <x v="1"/>
    <x v="1"/>
    <s v="Standard"/>
  </r>
  <r>
    <s v="CTRL-1480"/>
    <s v="Data Control 1480"/>
    <s v="GOVERN"/>
    <s v="GV.OC"/>
    <x v="4"/>
    <x v="1"/>
    <s v="Canada"/>
    <x v="2"/>
    <s v="Taylor Morgan"/>
    <s v="Annual"/>
    <d v="2026-08-09T00:00:00"/>
    <d v="2027-02-05T00:00:00"/>
    <x v="2"/>
    <s v="Pending"/>
    <n v="0"/>
    <s v="Liam Brown"/>
    <d v="2027-01-15T00:00:00"/>
    <s v="Not Required"/>
    <x v="1"/>
    <x v="1"/>
    <x v="3"/>
    <s v="Standard"/>
  </r>
  <r>
    <s v="CTRL-1481"/>
    <s v="Vendor Control 1481"/>
    <s v="GOVERN"/>
    <s v="GV.RM"/>
    <x v="2"/>
    <x v="2"/>
    <s v="Germany"/>
    <x v="2"/>
    <s v="Taylor Morgan"/>
    <s v="Semiannual"/>
    <d v="2026-02-15T00:00:00"/>
    <d v="2026-08-14T00:00:00"/>
    <x v="0"/>
    <s v="Complete"/>
    <n v="1"/>
    <s v="Sam Rivera"/>
    <d v="2026-12-17T00:00:00"/>
    <s v="In Progress"/>
    <x v="0"/>
    <x v="1"/>
    <x v="2"/>
    <s v="Standard"/>
  </r>
  <r>
    <s v="CTRL-1482"/>
    <s v="Reconciliation Control 1482"/>
    <s v="PROTECT"/>
    <s v="PR.AA"/>
    <x v="3"/>
    <x v="2"/>
    <s v="Germany"/>
    <x v="3"/>
    <s v="Noah Williams"/>
    <s v="Semiannual"/>
    <d v="2026-05-28T00:00:00"/>
    <d v="2026-11-24T00:00:00"/>
    <x v="3"/>
    <s v="Pending"/>
    <n v="2"/>
    <s v="Alex Chen"/>
    <d v="2027-01-27T00:00:00"/>
    <s v="In Progress"/>
    <x v="1"/>
    <x v="1"/>
    <x v="3"/>
    <s v="Elevated"/>
  </r>
  <r>
    <s v="CTRL-1483"/>
    <s v="Change Control 1483"/>
    <s v="GOVERN"/>
    <s v="GV.OC"/>
    <x v="5"/>
    <x v="0"/>
    <s v="Singapore"/>
    <x v="2"/>
    <s v="Emma Schmidt"/>
    <s v="Semiannual"/>
    <d v="2025-06-19T00:00:00"/>
    <d v="2025-09-17T00:00:00"/>
    <x v="0"/>
    <s v="Pending"/>
    <n v="1"/>
    <s v="Jordan Lee"/>
    <d v="2026-06-02T00:00:00"/>
    <s v="Overdue"/>
    <x v="0"/>
    <x v="1"/>
    <x v="3"/>
    <s v="Standard"/>
  </r>
  <r>
    <s v="CTRL-1484"/>
    <s v="Access Control 1484"/>
    <s v="IDENTIFY"/>
    <s v="ID.AM"/>
    <x v="4"/>
    <x v="2"/>
    <s v="United Kingdom"/>
    <x v="2"/>
    <s v="Alex Chen"/>
    <s v="Annual"/>
    <d v="2026-09-01T00:00:00"/>
    <d v="2027-09-01T00:00:00"/>
    <x v="1"/>
    <s v="Missing"/>
    <n v="2"/>
    <s v="Sam Rivera"/>
    <d v="2026-10-03T00:00:00"/>
    <s v="In Progress"/>
    <x v="1"/>
    <x v="1"/>
    <x v="1"/>
    <s v="Standard"/>
  </r>
  <r>
    <s v="CTRL-1485"/>
    <s v="Vendor Control 1485"/>
    <s v="DETECT"/>
    <s v="DE.CM"/>
    <x v="2"/>
    <x v="0"/>
    <s v="Singapore"/>
    <x v="2"/>
    <s v="Sam Rivera"/>
    <s v="Quarterly"/>
    <d v="2025-10-29T00:00:00"/>
    <d v="2026-10-29T00:00:00"/>
    <x v="2"/>
    <s v="Missing"/>
    <n v="0"/>
    <s v="Alex Chen"/>
    <d v="2027-01-11T00:00:00"/>
    <s v="Not Required"/>
    <x v="1"/>
    <x v="1"/>
    <x v="1"/>
    <s v="Standard"/>
  </r>
  <r>
    <s v="CTRL-1486"/>
    <s v="Access Control 1486"/>
    <s v="RESPOND"/>
    <s v="RS.MA"/>
    <x v="2"/>
    <x v="1"/>
    <s v="Canada"/>
    <x v="0"/>
    <s v="Alex Chen"/>
    <s v="Annual"/>
    <d v="2026-09-10T00:00:00"/>
    <d v="2026-12-09T00:00:00"/>
    <x v="1"/>
    <s v="Pending"/>
    <n v="5"/>
    <s v="Noah Williams"/>
    <d v="2026-10-19T00:00:00"/>
    <s v="In Progress"/>
    <x v="1"/>
    <x v="1"/>
    <x v="3"/>
    <s v="Elevated"/>
  </r>
  <r>
    <s v="CTRL-1487"/>
    <s v="Policy Control 1487"/>
    <s v="IDENTIFY"/>
    <s v="ID.AM"/>
    <x v="0"/>
    <x v="0"/>
    <s v="Singapore"/>
    <x v="0"/>
    <s v="Noah Williams"/>
    <s v="Semiannual"/>
    <d v="2026-02-24T00:00:00"/>
    <d v="2026-08-23T00:00:00"/>
    <x v="0"/>
    <s v="Complete"/>
    <n v="4"/>
    <s v="Taylor Morgan"/>
    <d v="2026-08-14T00:00:00"/>
    <s v="Overdue"/>
    <x v="0"/>
    <x v="1"/>
    <x v="2"/>
    <s v="Elevated"/>
  </r>
  <r>
    <s v="CTRL-1488"/>
    <s v="Change Control 1488"/>
    <s v="RECOVER"/>
    <s v="RC.RP"/>
    <x v="3"/>
    <x v="2"/>
    <s v="Germany"/>
    <x v="1"/>
    <s v="Liam Brown"/>
    <s v="Semiannual"/>
    <d v="2025-05-31T00:00:00"/>
    <d v="2026-05-31T00:00:00"/>
    <x v="0"/>
    <s v="Complete"/>
    <n v="0"/>
    <s v="Alex Chen"/>
    <d v="2026-12-30T00:00:00"/>
    <s v="Not Required"/>
    <x v="0"/>
    <x v="1"/>
    <x v="2"/>
    <s v="Standard"/>
  </r>
  <r>
    <s v="CTRL-1489"/>
    <s v="Change Control 1489"/>
    <s v="PROTECT"/>
    <s v="PR.AA"/>
    <x v="5"/>
    <x v="1"/>
    <s v="United States"/>
    <x v="0"/>
    <s v="Emma Schmidt"/>
    <s v="Annual"/>
    <d v="2026-03-04T00:00:00"/>
    <d v="2027-03-04T00:00:00"/>
    <x v="1"/>
    <s v="Complete"/>
    <n v="2"/>
    <s v="Alex Chen"/>
    <d v="2026-09-01T00:00:00"/>
    <s v="Completed"/>
    <x v="1"/>
    <x v="1"/>
    <x v="2"/>
    <s v="Elevated"/>
  </r>
  <r>
    <s v="CTRL-1490"/>
    <s v="Change Control 1490"/>
    <s v="RESPOND"/>
    <s v="RS.MA"/>
    <x v="2"/>
    <x v="2"/>
    <s v="Germany"/>
    <x v="2"/>
    <s v="Emma Schmidt"/>
    <s v="Quarterly"/>
    <d v="2025-11-28T00:00:00"/>
    <d v="2026-05-27T00:00:00"/>
    <x v="0"/>
    <s v="Pending"/>
    <n v="1"/>
    <s v="Maya Patel"/>
    <d v="2026-09-04T00:00:00"/>
    <s v="Overdue"/>
    <x v="0"/>
    <x v="1"/>
    <x v="3"/>
    <s v="Standard"/>
  </r>
  <r>
    <s v="CTRL-1491"/>
    <s v="Change Control 1491"/>
    <s v="DETECT"/>
    <s v="DE.CM"/>
    <x v="3"/>
    <x v="2"/>
    <s v="Germany"/>
    <x v="2"/>
    <s v="Liam Brown"/>
    <s v="Quarterly"/>
    <d v="2026-07-02T00:00:00"/>
    <d v="2026-12-29T00:00:00"/>
    <x v="3"/>
    <s v="Complete"/>
    <n v="1"/>
    <s v="Taylor Morgan"/>
    <d v="2026-06-05T00:00:00"/>
    <s v="Overdue"/>
    <x v="1"/>
    <x v="1"/>
    <x v="2"/>
    <s v="Standard"/>
  </r>
  <r>
    <s v="CTRL-1492"/>
    <s v="Data Control 1492"/>
    <s v="IDENTIFY"/>
    <s v="ID.AM"/>
    <x v="2"/>
    <x v="2"/>
    <s v="United Kingdom"/>
    <x v="2"/>
    <s v="Liam Brown"/>
    <s v="Semiannual"/>
    <d v="2025-06-06T00:00:00"/>
    <d v="2025-12-03T00:00:00"/>
    <x v="0"/>
    <s v="Pending"/>
    <n v="2"/>
    <s v="Noah Williams"/>
    <d v="2026-09-16T00:00:00"/>
    <s v="Overdue"/>
    <x v="0"/>
    <x v="1"/>
    <x v="3"/>
    <s v="Standard"/>
  </r>
  <r>
    <s v="CTRL-1493"/>
    <s v="Incident Control 1493"/>
    <s v="GOVERN"/>
    <s v="GV.RR"/>
    <x v="1"/>
    <x v="1"/>
    <s v="United States"/>
    <x v="2"/>
    <s v="Noah Williams"/>
    <s v="Annual"/>
    <d v="2026-09-07T00:00:00"/>
    <d v="2027-03-06T00:00:00"/>
    <x v="3"/>
    <s v="Pending"/>
    <n v="2"/>
    <s v="Alex Chen"/>
    <d v="2026-09-28T00:00:00"/>
    <s v="Completed"/>
    <x v="1"/>
    <x v="1"/>
    <x v="3"/>
    <s v="Standard"/>
  </r>
  <r>
    <s v="CTRL-1494"/>
    <s v="Policy Control 1494"/>
    <s v="RESPOND"/>
    <s v="RS.MA"/>
    <x v="4"/>
    <x v="1"/>
    <s v="United States"/>
    <x v="1"/>
    <s v="Jordan Lee"/>
    <s v="Semiannual"/>
    <d v="2026-07-26T00:00:00"/>
    <d v="2026-10-24T00:00:00"/>
    <x v="2"/>
    <s v="Complete"/>
    <n v="1"/>
    <s v="Sam Rivera"/>
    <d v="2026-11-26T00:00:00"/>
    <s v="In Progress"/>
    <x v="1"/>
    <x v="1"/>
    <x v="2"/>
    <s v="Standard"/>
  </r>
  <r>
    <s v="CTRL-1495"/>
    <s v="Change Control 1495"/>
    <s v="PROTECT"/>
    <s v="PR.AA"/>
    <x v="3"/>
    <x v="0"/>
    <s v="Singapore"/>
    <x v="2"/>
    <s v="Noah Williams"/>
    <s v="Annual"/>
    <d v="2025-12-01T00:00:00"/>
    <d v="2026-05-30T00:00:00"/>
    <x v="0"/>
    <m/>
    <n v="1"/>
    <s v="Noah Williams"/>
    <d v="2026-07-04T00:00:00"/>
    <s v="Overdue"/>
    <x v="0"/>
    <x v="1"/>
    <x v="0"/>
    <s v="Standard"/>
  </r>
  <r>
    <s v="CTRL-1496"/>
    <s v="Access Control 1496"/>
    <s v="GOVERN"/>
    <s v="GV.RM"/>
    <x v="0"/>
    <x v="1"/>
    <s v="Canada"/>
    <x v="2"/>
    <s v="Noah Williams"/>
    <s v="Semiannual"/>
    <d v="2026-01-03T00:00:00"/>
    <d v="2026-07-02T00:00:00"/>
    <x v="0"/>
    <s v="Missing"/>
    <n v="0"/>
    <s v="Alex Chen"/>
    <d v="2026-11-18T00:00:00"/>
    <s v="Not Required"/>
    <x v="0"/>
    <x v="1"/>
    <x v="1"/>
    <s v="Standard"/>
  </r>
  <r>
    <s v="CTRL-1497"/>
    <s v="Reconciliation Control 1497"/>
    <s v="IDENTIFY"/>
    <s v="ID.AM"/>
    <x v="2"/>
    <x v="0"/>
    <s v="Singapore"/>
    <x v="2"/>
    <s v="Maya Patel"/>
    <s v="Quarterly"/>
    <d v="2026-05-01T00:00:00"/>
    <d v="2026-10-28T00:00:00"/>
    <x v="1"/>
    <s v="Pending"/>
    <n v="3"/>
    <s v="Taylor Morgan"/>
    <d v="2026-07-29T00:00:00"/>
    <s v="Overdue"/>
    <x v="1"/>
    <x v="1"/>
    <x v="3"/>
    <s v="Standard"/>
  </r>
  <r>
    <s v="CTRL-1498"/>
    <s v="Access Control 1498"/>
    <s v="IDENTIFY"/>
    <s v="ID.AM"/>
    <x v="0"/>
    <x v="2"/>
    <s v="Germany"/>
    <x v="0"/>
    <s v="Liam Brown"/>
    <s v="Semiannual"/>
    <d v="2026-07-12T00:00:00"/>
    <d v="2027-01-08T00:00:00"/>
    <x v="2"/>
    <s v="Complete"/>
    <n v="2"/>
    <s v="Sam Rivera"/>
    <d v="2026-08-29T00:00:00"/>
    <s v="Overdue"/>
    <x v="1"/>
    <x v="1"/>
    <x v="2"/>
    <s v="Elevated"/>
  </r>
  <r>
    <s v="CTRL-1499"/>
    <s v="Vendor Control 1499"/>
    <s v="GOVERN"/>
    <s v="GV.RR"/>
    <x v="1"/>
    <x v="2"/>
    <s v="United Kingdom"/>
    <x v="1"/>
    <s v="Sam Rivera"/>
    <s v="Quarterly"/>
    <d v="2026-02-07T00:00:00"/>
    <d v="2026-05-08T00:00:00"/>
    <x v="0"/>
    <s v="Complete"/>
    <n v="1"/>
    <s v="Liam Brown"/>
    <d v="2026-08-03T00:00:00"/>
    <s v="Overdue"/>
    <x v="0"/>
    <x v="1"/>
    <x v="2"/>
    <s v="Standard"/>
  </r>
  <r>
    <s v="CTRL-1500"/>
    <s v="Incident Control 1500"/>
    <s v="DETECT"/>
    <s v="DE.CM"/>
    <x v="3"/>
    <x v="0"/>
    <s v="Singapore"/>
    <x v="1"/>
    <s v="Jordan Lee"/>
    <s v="Quarterly"/>
    <d v="2026-01-08T00:00:00"/>
    <d v="2027-01-08T00:00:00"/>
    <x v="1"/>
    <s v="Complete"/>
    <n v="2"/>
    <s v="Noah Williams"/>
    <d v="2027-01-12T00:00:00"/>
    <s v="In Progress"/>
    <x v="1"/>
    <x v="1"/>
    <x v="2"/>
    <s v="Stand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F8067E-E44D-9E45-BC12-49C687EDFD4C}"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2">
    <pivotField dataField="1" showAll="0"/>
    <pivotField showAll="0"/>
    <pivotField showAll="0"/>
    <pivotField showAll="0"/>
    <pivotField showAll="0">
      <items count="7">
        <item x="5"/>
        <item x="0"/>
        <item x="3"/>
        <item x="2"/>
        <item x="4"/>
        <item x="1"/>
        <item t="default"/>
      </items>
    </pivotField>
    <pivotField showAll="0">
      <items count="4">
        <item x="0"/>
        <item x="2"/>
        <item x="1"/>
        <item t="default"/>
      </items>
    </pivotField>
    <pivotField showAll="0"/>
    <pivotField axis="axisRow" showAll="0">
      <items count="5">
        <item x="3"/>
        <item x="0"/>
        <item x="1"/>
        <item x="2"/>
        <item t="default"/>
      </items>
    </pivotField>
    <pivotField showAll="0"/>
    <pivotField showAll="0"/>
    <pivotField numFmtId="14" showAll="0"/>
    <pivotField numFmtId="14" showAll="0"/>
    <pivotField showAll="0">
      <items count="5">
        <item x="1"/>
        <item x="3"/>
        <item x="2"/>
        <item x="0"/>
        <item t="default"/>
      </items>
    </pivotField>
    <pivotField showAll="0"/>
    <pivotField showAll="0"/>
    <pivotField showAll="0"/>
    <pivotField numFmtId="14"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Count of Control_ID"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13C01A-4021-FB4E-AFBC-6A27F13D81F0}"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s" colHeaderCaption="Risk Levels ">
  <location ref="A3:F8" firstHeaderRow="1" firstDataRow="2" firstDataCol="1"/>
  <pivotFields count="22">
    <pivotField dataField="1" showAll="0"/>
    <pivotField showAll="0"/>
    <pivotField showAll="0"/>
    <pivotField showAll="0"/>
    <pivotField showAll="0">
      <items count="7">
        <item x="5"/>
        <item x="0"/>
        <item x="3"/>
        <item x="2"/>
        <item x="4"/>
        <item x="1"/>
        <item t="default"/>
      </items>
    </pivotField>
    <pivotField axis="axisRow" showAll="0">
      <items count="4">
        <item x="0"/>
        <item x="2"/>
        <item x="1"/>
        <item t="default"/>
      </items>
    </pivotField>
    <pivotField showAll="0"/>
    <pivotField axis="axisCol" showAll="0">
      <items count="5">
        <item x="3"/>
        <item x="0"/>
        <item x="1"/>
        <item x="2"/>
        <item t="default"/>
      </items>
    </pivotField>
    <pivotField showAll="0"/>
    <pivotField showAll="0"/>
    <pivotField numFmtId="14" showAll="0"/>
    <pivotField numFmtId="14" showAll="0"/>
    <pivotField showAll="0">
      <items count="5">
        <item x="1"/>
        <item x="3"/>
        <item x="2"/>
        <item x="0"/>
        <item t="default"/>
      </items>
    </pivotField>
    <pivotField showAll="0"/>
    <pivotField showAll="0"/>
    <pivotField showAll="0"/>
    <pivotField numFmtId="14" showAll="0"/>
    <pivotField showAll="0"/>
    <pivotField showAll="0"/>
    <pivotField showAll="0"/>
    <pivotField showAll="0"/>
    <pivotField showAll="0"/>
  </pivotFields>
  <rowFields count="1">
    <field x="5"/>
  </rowFields>
  <rowItems count="4">
    <i>
      <x/>
    </i>
    <i>
      <x v="1"/>
    </i>
    <i>
      <x v="2"/>
    </i>
    <i t="grand">
      <x/>
    </i>
  </rowItems>
  <colFields count="1">
    <field x="7"/>
  </colFields>
  <colItems count="5">
    <i>
      <x/>
    </i>
    <i>
      <x v="1"/>
    </i>
    <i>
      <x v="2"/>
    </i>
    <i>
      <x v="3"/>
    </i>
    <i t="grand">
      <x/>
    </i>
  </colItems>
  <dataFields count="1">
    <dataField name="Count of Control_ID" fld="0" subtotal="count" baseField="0" baseItem="0"/>
  </dataFields>
  <chartFormats count="12">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4" format="8" series="1">
      <pivotArea type="data" outline="0" fieldPosition="0">
        <references count="2">
          <reference field="4294967294" count="1" selected="0">
            <x v="0"/>
          </reference>
          <reference field="7" count="1" selected="0">
            <x v="0"/>
          </reference>
        </references>
      </pivotArea>
    </chartFormat>
    <chartFormat chart="4" format="9" series="1">
      <pivotArea type="data" outline="0" fieldPosition="0">
        <references count="2">
          <reference field="4294967294" count="1" selected="0">
            <x v="0"/>
          </reference>
          <reference field="7" count="1" selected="0">
            <x v="1"/>
          </reference>
        </references>
      </pivotArea>
    </chartFormat>
    <chartFormat chart="4" format="10" series="1">
      <pivotArea type="data" outline="0" fieldPosition="0">
        <references count="2">
          <reference field="4294967294" count="1" selected="0">
            <x v="0"/>
          </reference>
          <reference field="7" count="1" selected="0">
            <x v="2"/>
          </reference>
        </references>
      </pivotArea>
    </chartFormat>
    <chartFormat chart="4" format="11" series="1">
      <pivotArea type="data" outline="0" fieldPosition="0">
        <references count="2">
          <reference field="4294967294" count="1" selected="0">
            <x v="0"/>
          </reference>
          <reference field="7" count="1" selected="0">
            <x v="3"/>
          </reference>
        </references>
      </pivotArea>
    </chartFormat>
    <chartFormat chart="6" format="8" series="1">
      <pivotArea type="data" outline="0" fieldPosition="0">
        <references count="2">
          <reference field="4294967294" count="1" selected="0">
            <x v="0"/>
          </reference>
          <reference field="7" count="1" selected="0">
            <x v="0"/>
          </reference>
        </references>
      </pivotArea>
    </chartFormat>
    <chartFormat chart="6" format="9" series="1">
      <pivotArea type="data" outline="0" fieldPosition="0">
        <references count="2">
          <reference field="4294967294" count="1" selected="0">
            <x v="0"/>
          </reference>
          <reference field="7" count="1" selected="0">
            <x v="1"/>
          </reference>
        </references>
      </pivotArea>
    </chartFormat>
    <chartFormat chart="6" format="10" series="1">
      <pivotArea type="data" outline="0" fieldPosition="0">
        <references count="2">
          <reference field="4294967294" count="1" selected="0">
            <x v="0"/>
          </reference>
          <reference field="7" count="1" selected="0">
            <x v="2"/>
          </reference>
        </references>
      </pivotArea>
    </chartFormat>
    <chartFormat chart="6"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4E57DE-5DB1-8E40-951C-1764EB889957}"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22">
    <pivotField showAll="0"/>
    <pivotField showAll="0"/>
    <pivotField showAll="0"/>
    <pivotField showAll="0"/>
    <pivotField axis="axisRow" showAll="0">
      <items count="7">
        <item x="5"/>
        <item x="0"/>
        <item x="3"/>
        <item x="2"/>
        <item x="4"/>
        <item x="1"/>
        <item t="default"/>
      </items>
    </pivotField>
    <pivotField showAll="0">
      <items count="4">
        <item x="0"/>
        <item x="2"/>
        <item x="1"/>
        <item t="default"/>
      </items>
    </pivotField>
    <pivotField showAll="0"/>
    <pivotField showAll="0">
      <items count="5">
        <item x="3"/>
        <item x="0"/>
        <item x="1"/>
        <item x="2"/>
        <item t="default"/>
      </items>
    </pivotField>
    <pivotField showAll="0"/>
    <pivotField showAll="0"/>
    <pivotField numFmtId="14" showAll="0"/>
    <pivotField numFmtId="14" showAll="0"/>
    <pivotField showAll="0">
      <items count="5">
        <item x="1"/>
        <item x="3"/>
        <item x="2"/>
        <item x="0"/>
        <item t="default"/>
      </items>
    </pivotField>
    <pivotField showAll="0"/>
    <pivotField dataField="1" showAll="0"/>
    <pivotField showAll="0"/>
    <pivotField numFmtId="14"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Sum of Issue_Count" fld="14" baseField="0" baseItem="0"/>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F5F003-9259-2A42-8D48-540FE0EE14BB}" name="ReviewFlagPivot" cacheId="1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3:H6" firstHeaderRow="1" firstDataRow="1"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6">
        <item x="5"/>
        <item x="0"/>
        <item x="3"/>
        <item x="2"/>
        <item x="4"/>
        <item x="1"/>
      </items>
    </pivotField>
    <pivotField compact="0" outline="0" showAll="0" defaultSubtotal="0">
      <items count="3">
        <item x="0"/>
        <item x="2"/>
        <item x="1"/>
      </items>
    </pivotField>
    <pivotField compact="0" outline="0" showAll="0" defaultSubtotal="0"/>
    <pivotField compact="0" outline="0" showAll="0" defaultSubtotal="0">
      <items count="4">
        <item x="3"/>
        <item x="0"/>
        <item x="1"/>
        <item x="2"/>
      </items>
    </pivotField>
    <pivotField compact="0" outline="0" showAll="0" defaultSubtotal="0"/>
    <pivotField compact="0" outline="0" showAll="0" defaultSubtotal="0"/>
    <pivotField compact="0" numFmtId="14" outline="0" showAll="0" defaultSubtotal="0"/>
    <pivotField compact="0" numFmtId="14" outline="0" showAll="0" defaultSubtotal="0"/>
    <pivotField compact="0" outline="0" showAll="0" defaultSubtotal="0">
      <items count="4">
        <item x="1"/>
        <item x="3"/>
        <item x="2"/>
        <item x="0"/>
      </items>
    </pivotField>
    <pivotField compact="0" outline="0" showAll="0" defaultSubtotal="0"/>
    <pivotField compact="0" outline="0" showAll="0" defaultSubtotal="0"/>
    <pivotField compact="0" outline="0" showAll="0" defaultSubtotal="0"/>
    <pivotField compact="0" numFmtId="14" outline="0" showAll="0" defaultSubtotal="0"/>
    <pivotField compact="0" outline="0" showAll="0" defaultSubtotal="0"/>
    <pivotField axis="axisRow" compact="0" outline="0" showAll="0" defaultSubtotal="0">
      <items count="2">
        <item x="1"/>
        <item x="0"/>
      </items>
    </pivotField>
    <pivotField compact="0" outline="0" showAll="0" defaultSubtotal="0"/>
    <pivotField compact="0" outline="0" showAll="0" defaultSubtotal="0"/>
    <pivotField compact="0" outline="0" showAll="0" defaultSubtotal="0"/>
  </pivotFields>
  <rowFields count="1">
    <field x="18"/>
  </rowFields>
  <rowItems count="3">
    <i>
      <x/>
    </i>
    <i>
      <x v="1"/>
    </i>
    <i t="grand">
      <x/>
    </i>
  </rowItems>
  <colItems count="1">
    <i/>
  </colItems>
  <dataFields count="1">
    <dataField name="Count of Control_ID" fld="0" subtotal="count" baseField="0" baseItem="0"/>
  </dataFields>
  <formats count="59">
    <format dxfId="2236">
      <pivotArea type="all" dataOnly="0" outline="0" fieldPosition="0"/>
    </format>
    <format dxfId="2237">
      <pivotArea outline="0" collapsedLevelsAreSubtotals="1" fieldPosition="0"/>
    </format>
    <format dxfId="2238">
      <pivotArea field="18" type="button" dataOnly="0" labelOnly="1" outline="0" axis="axisRow" fieldPosition="0"/>
    </format>
    <format dxfId="2239">
      <pivotArea dataOnly="0" labelOnly="1" outline="0" fieldPosition="0">
        <references count="1">
          <reference field="18" count="0"/>
        </references>
      </pivotArea>
    </format>
    <format dxfId="2240">
      <pivotArea dataOnly="0" labelOnly="1" grandRow="1" outline="0" fieldPosition="0"/>
    </format>
    <format dxfId="2241">
      <pivotArea dataOnly="0" labelOnly="1" outline="0" axis="axisValues" fieldPosition="0"/>
    </format>
    <format dxfId="2242">
      <pivotArea type="all" dataOnly="0" outline="0" fieldPosition="0"/>
    </format>
    <format dxfId="2243">
      <pivotArea outline="0" collapsedLevelsAreSubtotals="1" fieldPosition="0"/>
    </format>
    <format dxfId="2244">
      <pivotArea field="18" type="button" dataOnly="0" labelOnly="1" outline="0" axis="axisRow" fieldPosition="0"/>
    </format>
    <format dxfId="2245">
      <pivotArea dataOnly="0" labelOnly="1" outline="0" fieldPosition="0">
        <references count="1">
          <reference field="18" count="0"/>
        </references>
      </pivotArea>
    </format>
    <format dxfId="2246">
      <pivotArea dataOnly="0" labelOnly="1" grandRow="1" outline="0" fieldPosition="0"/>
    </format>
    <format dxfId="2247">
      <pivotArea dataOnly="0" labelOnly="1" outline="0" axis="axisValues" fieldPosition="0"/>
    </format>
    <format dxfId="2248">
      <pivotArea type="all" dataOnly="0" outline="0" fieldPosition="0"/>
    </format>
    <format dxfId="2249">
      <pivotArea outline="0" collapsedLevelsAreSubtotals="1" fieldPosition="0"/>
    </format>
    <format dxfId="2250">
      <pivotArea field="18" type="button" dataOnly="0" labelOnly="1" outline="0" axis="axisRow" fieldPosition="0"/>
    </format>
    <format dxfId="2251">
      <pivotArea dataOnly="0" labelOnly="1" outline="0" fieldPosition="0">
        <references count="1">
          <reference field="18" count="0"/>
        </references>
      </pivotArea>
    </format>
    <format dxfId="2252">
      <pivotArea dataOnly="0" labelOnly="1" grandRow="1" outline="0" fieldPosition="0"/>
    </format>
    <format dxfId="2253">
      <pivotArea dataOnly="0" labelOnly="1" outline="0" axis="axisValues" fieldPosition="0"/>
    </format>
    <format dxfId="2254">
      <pivotArea type="all" dataOnly="0" outline="0" fieldPosition="0"/>
    </format>
    <format dxfId="2255">
      <pivotArea outline="0" collapsedLevelsAreSubtotals="1" fieldPosition="0"/>
    </format>
    <format dxfId="2256">
      <pivotArea field="18" type="button" dataOnly="0" labelOnly="1" outline="0" axis="axisRow" fieldPosition="0"/>
    </format>
    <format dxfId="2257">
      <pivotArea dataOnly="0" labelOnly="1" outline="0" fieldPosition="0">
        <references count="1">
          <reference field="18" count="0"/>
        </references>
      </pivotArea>
    </format>
    <format dxfId="2258">
      <pivotArea dataOnly="0" labelOnly="1" grandRow="1" outline="0" fieldPosition="0"/>
    </format>
    <format dxfId="2259">
      <pivotArea dataOnly="0" labelOnly="1" outline="0" axis="axisValues" fieldPosition="0"/>
    </format>
    <format dxfId="2260">
      <pivotArea type="all" dataOnly="0" outline="0" fieldPosition="0"/>
    </format>
    <format dxfId="2261">
      <pivotArea outline="0" collapsedLevelsAreSubtotals="1" fieldPosition="0"/>
    </format>
    <format dxfId="2262">
      <pivotArea field="18" type="button" dataOnly="0" labelOnly="1" outline="0" axis="axisRow" fieldPosition="0"/>
    </format>
    <format dxfId="2263">
      <pivotArea dataOnly="0" labelOnly="1" outline="0" fieldPosition="0">
        <references count="1">
          <reference field="18" count="0"/>
        </references>
      </pivotArea>
    </format>
    <format dxfId="2264">
      <pivotArea dataOnly="0" labelOnly="1" grandRow="1" outline="0" fieldPosition="0"/>
    </format>
    <format dxfId="2265">
      <pivotArea dataOnly="0" labelOnly="1" outline="0" axis="axisValues" fieldPosition="0"/>
    </format>
    <format dxfId="2266">
      <pivotArea type="all" dataOnly="0" outline="0" fieldPosition="0"/>
    </format>
    <format dxfId="2267">
      <pivotArea outline="0" collapsedLevelsAreSubtotals="1" fieldPosition="0"/>
    </format>
    <format dxfId="2268">
      <pivotArea field="18" type="button" dataOnly="0" labelOnly="1" outline="0" axis="axisRow" fieldPosition="0"/>
    </format>
    <format dxfId="2269">
      <pivotArea dataOnly="0" labelOnly="1" outline="0" fieldPosition="0">
        <references count="1">
          <reference field="18" count="0"/>
        </references>
      </pivotArea>
    </format>
    <format dxfId="2270">
      <pivotArea dataOnly="0" labelOnly="1" grandRow="1" outline="0" fieldPosition="0"/>
    </format>
    <format dxfId="2271">
      <pivotArea dataOnly="0" labelOnly="1" outline="0" axis="axisValues" fieldPosition="0"/>
    </format>
    <format dxfId="2272">
      <pivotArea type="all" dataOnly="0" outline="0" fieldPosition="0"/>
    </format>
    <format dxfId="2273">
      <pivotArea outline="0" collapsedLevelsAreSubtotals="1" fieldPosition="0"/>
    </format>
    <format dxfId="2274">
      <pivotArea field="18" type="button" dataOnly="0" labelOnly="1" outline="0" axis="axisRow" fieldPosition="0"/>
    </format>
    <format dxfId="2275">
      <pivotArea dataOnly="0" labelOnly="1" outline="0" fieldPosition="0">
        <references count="1">
          <reference field="18" count="0"/>
        </references>
      </pivotArea>
    </format>
    <format dxfId="2276">
      <pivotArea dataOnly="0" labelOnly="1" grandRow="1" outline="0" fieldPosition="0"/>
    </format>
    <format dxfId="2277">
      <pivotArea dataOnly="0" labelOnly="1" outline="0" axis="axisValues" fieldPosition="0"/>
    </format>
    <format dxfId="2278">
      <pivotArea type="all" dataOnly="0" outline="0" fieldPosition="0"/>
    </format>
    <format dxfId="2279">
      <pivotArea outline="0" collapsedLevelsAreSubtotals="1" fieldPosition="0"/>
    </format>
    <format dxfId="2280">
      <pivotArea field="18" type="button" dataOnly="0" labelOnly="1" outline="0" axis="axisRow" fieldPosition="0"/>
    </format>
    <format dxfId="2281">
      <pivotArea dataOnly="0" labelOnly="1" outline="0" fieldPosition="0">
        <references count="1">
          <reference field="18" count="0"/>
        </references>
      </pivotArea>
    </format>
    <format dxfId="2282">
      <pivotArea dataOnly="0" labelOnly="1" grandRow="1" outline="0" fieldPosition="0"/>
    </format>
    <format dxfId="2283">
      <pivotArea dataOnly="0" labelOnly="1" outline="0" axis="axisValues" fieldPosition="0"/>
    </format>
    <format dxfId="2284">
      <pivotArea type="all" dataOnly="0" outline="0" fieldPosition="0"/>
    </format>
    <format dxfId="2285">
      <pivotArea outline="0" collapsedLevelsAreSubtotals="1" fieldPosition="0"/>
    </format>
    <format dxfId="2286">
      <pivotArea field="18" type="button" dataOnly="0" labelOnly="1" outline="0" axis="axisRow" fieldPosition="0"/>
    </format>
    <format dxfId="2287">
      <pivotArea dataOnly="0" labelOnly="1" outline="0" fieldPosition="0">
        <references count="1">
          <reference field="18" count="0"/>
        </references>
      </pivotArea>
    </format>
    <format dxfId="2288">
      <pivotArea dataOnly="0" labelOnly="1" grandRow="1" outline="0" fieldPosition="0"/>
    </format>
    <format dxfId="2289">
      <pivotArea dataOnly="0" labelOnly="1" outline="0" axis="axisValues" fieldPosition="0"/>
    </format>
    <format dxfId="2290">
      <pivotArea field="18" type="button" dataOnly="0" labelOnly="1" outline="0" axis="axisRow" fieldPosition="0"/>
    </format>
    <format dxfId="2291">
      <pivotArea dataOnly="0" labelOnly="1" outline="0" axis="axisValues" fieldPosition="0"/>
    </format>
    <format dxfId="2292">
      <pivotArea dataOnly="0" labelOnly="1" outline="0" fieldPosition="0">
        <references count="1">
          <reference field="18" count="0"/>
        </references>
      </pivotArea>
    </format>
    <format dxfId="2293">
      <pivotArea dataOnly="0" labelOnly="1" grandRow="1" outline="0" fieldPosition="0"/>
    </format>
    <format dxfId="2294">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4AE602-CBE3-AD45-BE9E-EF33BCA01242}" name="EvidenceFlagPivot" cacheId="1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3:E8" firstHeaderRow="1" firstDataRow="1"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6">
        <item x="5"/>
        <item x="0"/>
        <item x="3"/>
        <item x="2"/>
        <item x="4"/>
        <item x="1"/>
      </items>
    </pivotField>
    <pivotField compact="0" outline="0" showAll="0" defaultSubtotal="0">
      <items count="3">
        <item x="0"/>
        <item x="2"/>
        <item x="1"/>
      </items>
    </pivotField>
    <pivotField compact="0" outline="0" showAll="0" defaultSubtotal="0"/>
    <pivotField compact="0" outline="0" showAll="0" defaultSubtotal="0">
      <items count="4">
        <item x="3"/>
        <item x="0"/>
        <item x="1"/>
        <item x="2"/>
      </items>
    </pivotField>
    <pivotField compact="0" outline="0" showAll="0" defaultSubtotal="0"/>
    <pivotField compact="0" outline="0" showAll="0" defaultSubtotal="0"/>
    <pivotField compact="0" numFmtId="14" outline="0" showAll="0" defaultSubtotal="0"/>
    <pivotField compact="0" numFmtId="14" outline="0" showAll="0" defaultSubtotal="0"/>
    <pivotField compact="0" outline="0" showAll="0" defaultSubtotal="0">
      <items count="4">
        <item x="1"/>
        <item x="3"/>
        <item x="2"/>
        <item x="0"/>
      </items>
    </pivotField>
    <pivotField compact="0" outline="0" showAll="0" defaultSubtotal="0"/>
    <pivotField compact="0" outline="0" showAll="0" defaultSubtotal="0"/>
    <pivotField compact="0" outline="0" showAll="0" defaultSubtotal="0"/>
    <pivotField compact="0" numFmtId="14"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
        <item x="2"/>
        <item x="1"/>
        <item x="0"/>
        <item x="3"/>
      </items>
    </pivotField>
    <pivotField compact="0" outline="0" showAll="0" defaultSubtotal="0"/>
  </pivotFields>
  <rowFields count="1">
    <field x="20"/>
  </rowFields>
  <rowItems count="5">
    <i>
      <x/>
    </i>
    <i>
      <x v="1"/>
    </i>
    <i>
      <x v="2"/>
    </i>
    <i>
      <x v="3"/>
    </i>
    <i t="grand">
      <x/>
    </i>
  </rowItems>
  <colItems count="1">
    <i/>
  </colItems>
  <dataFields count="1">
    <dataField name="Count of Control_ID" fld="0" subtotal="count" baseField="0" baseItem="0"/>
  </dataFields>
  <formats count="107">
    <format dxfId="2301">
      <pivotArea type="all" dataOnly="0" outline="0" fieldPosition="0"/>
    </format>
    <format dxfId="2302">
      <pivotArea outline="0" collapsedLevelsAreSubtotals="1" fieldPosition="0"/>
    </format>
    <format dxfId="2303">
      <pivotArea field="20" type="button" dataOnly="0" labelOnly="1" outline="0" axis="axisRow" fieldPosition="0"/>
    </format>
    <format dxfId="2304">
      <pivotArea dataOnly="0" labelOnly="1" outline="0" fieldPosition="0">
        <references count="1">
          <reference field="20" count="0"/>
        </references>
      </pivotArea>
    </format>
    <format dxfId="2305">
      <pivotArea dataOnly="0" labelOnly="1" grandRow="1" outline="0" fieldPosition="0"/>
    </format>
    <format dxfId="2306">
      <pivotArea dataOnly="0" labelOnly="1" outline="0" axis="axisValues" fieldPosition="0"/>
    </format>
    <format dxfId="2307">
      <pivotArea type="all" dataOnly="0" outline="0" fieldPosition="0"/>
    </format>
    <format dxfId="2308">
      <pivotArea outline="0" collapsedLevelsAreSubtotals="1" fieldPosition="0"/>
    </format>
    <format dxfId="2309">
      <pivotArea field="20" type="button" dataOnly="0" labelOnly="1" outline="0" axis="axisRow" fieldPosition="0"/>
    </format>
    <format dxfId="2310">
      <pivotArea dataOnly="0" labelOnly="1" outline="0" fieldPosition="0">
        <references count="1">
          <reference field="20" count="0"/>
        </references>
      </pivotArea>
    </format>
    <format dxfId="2311">
      <pivotArea dataOnly="0" labelOnly="1" grandRow="1" outline="0" fieldPosition="0"/>
    </format>
    <format dxfId="2312">
      <pivotArea dataOnly="0" labelOnly="1" outline="0" axis="axisValues" fieldPosition="0"/>
    </format>
    <format dxfId="2313">
      <pivotArea type="all" dataOnly="0" outline="0" fieldPosition="0"/>
    </format>
    <format dxfId="2314">
      <pivotArea outline="0" collapsedLevelsAreSubtotals="1" fieldPosition="0"/>
    </format>
    <format dxfId="2315">
      <pivotArea field="20" type="button" dataOnly="0" labelOnly="1" outline="0" axis="axisRow" fieldPosition="0"/>
    </format>
    <format dxfId="2316">
      <pivotArea dataOnly="0" labelOnly="1" outline="0" fieldPosition="0">
        <references count="1">
          <reference field="20" count="0"/>
        </references>
      </pivotArea>
    </format>
    <format dxfId="2317">
      <pivotArea dataOnly="0" labelOnly="1" grandRow="1" outline="0" fieldPosition="0"/>
    </format>
    <format dxfId="2318">
      <pivotArea dataOnly="0" labelOnly="1" outline="0" axis="axisValues" fieldPosition="0"/>
    </format>
    <format dxfId="2319">
      <pivotArea type="all" dataOnly="0" outline="0" fieldPosition="0"/>
    </format>
    <format dxfId="2320">
      <pivotArea outline="0" collapsedLevelsAreSubtotals="1" fieldPosition="0"/>
    </format>
    <format dxfId="2321">
      <pivotArea field="20" type="button" dataOnly="0" labelOnly="1" outline="0" axis="axisRow" fieldPosition="0"/>
    </format>
    <format dxfId="2322">
      <pivotArea dataOnly="0" labelOnly="1" outline="0" fieldPosition="0">
        <references count="1">
          <reference field="20" count="0"/>
        </references>
      </pivotArea>
    </format>
    <format dxfId="2323">
      <pivotArea dataOnly="0" labelOnly="1" grandRow="1" outline="0" fieldPosition="0"/>
    </format>
    <format dxfId="2324">
      <pivotArea dataOnly="0" labelOnly="1" outline="0" axis="axisValues" fieldPosition="0"/>
    </format>
    <format dxfId="2325">
      <pivotArea type="all" dataOnly="0" outline="0" fieldPosition="0"/>
    </format>
    <format dxfId="2326">
      <pivotArea outline="0" collapsedLevelsAreSubtotals="1" fieldPosition="0"/>
    </format>
    <format dxfId="2327">
      <pivotArea field="20" type="button" dataOnly="0" labelOnly="1" outline="0" axis="axisRow" fieldPosition="0"/>
    </format>
    <format dxfId="2328">
      <pivotArea dataOnly="0" labelOnly="1" outline="0" fieldPosition="0">
        <references count="1">
          <reference field="20" count="0"/>
        </references>
      </pivotArea>
    </format>
    <format dxfId="2329">
      <pivotArea dataOnly="0" labelOnly="1" grandRow="1" outline="0" fieldPosition="0"/>
    </format>
    <format dxfId="2330">
      <pivotArea dataOnly="0" labelOnly="1" outline="0" axis="axisValues" fieldPosition="0"/>
    </format>
    <format dxfId="2331">
      <pivotArea type="all" dataOnly="0" outline="0" fieldPosition="0"/>
    </format>
    <format dxfId="2332">
      <pivotArea outline="0" collapsedLevelsAreSubtotals="1" fieldPosition="0"/>
    </format>
    <format dxfId="2333">
      <pivotArea field="20" type="button" dataOnly="0" labelOnly="1" outline="0" axis="axisRow" fieldPosition="0"/>
    </format>
    <format dxfId="2334">
      <pivotArea dataOnly="0" labelOnly="1" outline="0" fieldPosition="0">
        <references count="1">
          <reference field="20" count="0"/>
        </references>
      </pivotArea>
    </format>
    <format dxfId="2335">
      <pivotArea dataOnly="0" labelOnly="1" grandRow="1" outline="0" fieldPosition="0"/>
    </format>
    <format dxfId="2336">
      <pivotArea dataOnly="0" labelOnly="1" outline="0" axis="axisValues" fieldPosition="0"/>
    </format>
    <format dxfId="2337">
      <pivotArea type="all" dataOnly="0" outline="0" fieldPosition="0"/>
    </format>
    <format dxfId="2338">
      <pivotArea outline="0" collapsedLevelsAreSubtotals="1" fieldPosition="0"/>
    </format>
    <format dxfId="2339">
      <pivotArea field="20" type="button" dataOnly="0" labelOnly="1" outline="0" axis="axisRow" fieldPosition="0"/>
    </format>
    <format dxfId="2340">
      <pivotArea dataOnly="0" labelOnly="1" outline="0" fieldPosition="0">
        <references count="1">
          <reference field="20" count="0"/>
        </references>
      </pivotArea>
    </format>
    <format dxfId="2341">
      <pivotArea dataOnly="0" labelOnly="1" grandRow="1" outline="0" fieldPosition="0"/>
    </format>
    <format dxfId="2342">
      <pivotArea dataOnly="0" labelOnly="1" outline="0" axis="axisValues" fieldPosition="0"/>
    </format>
    <format dxfId="2343">
      <pivotArea type="all" dataOnly="0" outline="0" fieldPosition="0"/>
    </format>
    <format dxfId="2344">
      <pivotArea outline="0" collapsedLevelsAreSubtotals="1" fieldPosition="0"/>
    </format>
    <format dxfId="2345">
      <pivotArea field="20" type="button" dataOnly="0" labelOnly="1" outline="0" axis="axisRow" fieldPosition="0"/>
    </format>
    <format dxfId="2346">
      <pivotArea dataOnly="0" labelOnly="1" outline="0" fieldPosition="0">
        <references count="1">
          <reference field="20" count="0"/>
        </references>
      </pivotArea>
    </format>
    <format dxfId="2347">
      <pivotArea dataOnly="0" labelOnly="1" grandRow="1" outline="0" fieldPosition="0"/>
    </format>
    <format dxfId="2348">
      <pivotArea dataOnly="0" labelOnly="1" outline="0" axis="axisValues" fieldPosition="0"/>
    </format>
    <format dxfId="2349">
      <pivotArea type="all" dataOnly="0" outline="0" fieldPosition="0"/>
    </format>
    <format dxfId="2350">
      <pivotArea outline="0" collapsedLevelsAreSubtotals="1" fieldPosition="0"/>
    </format>
    <format dxfId="2351">
      <pivotArea field="20" type="button" dataOnly="0" labelOnly="1" outline="0" axis="axisRow" fieldPosition="0"/>
    </format>
    <format dxfId="2352">
      <pivotArea dataOnly="0" labelOnly="1" outline="0" fieldPosition="0">
        <references count="1">
          <reference field="20" count="0"/>
        </references>
      </pivotArea>
    </format>
    <format dxfId="2353">
      <pivotArea dataOnly="0" labelOnly="1" grandRow="1" outline="0" fieldPosition="0"/>
    </format>
    <format dxfId="2354">
      <pivotArea dataOnly="0" labelOnly="1" outline="0" axis="axisValues" fieldPosition="0"/>
    </format>
    <format dxfId="2355">
      <pivotArea type="all" dataOnly="0" outline="0" fieldPosition="0"/>
    </format>
    <format dxfId="2356">
      <pivotArea outline="0" collapsedLevelsAreSubtotals="1" fieldPosition="0"/>
    </format>
    <format dxfId="2357">
      <pivotArea field="20" type="button" dataOnly="0" labelOnly="1" outline="0" axis="axisRow" fieldPosition="0"/>
    </format>
    <format dxfId="2358">
      <pivotArea dataOnly="0" labelOnly="1" outline="0" fieldPosition="0">
        <references count="1">
          <reference field="20" count="0"/>
        </references>
      </pivotArea>
    </format>
    <format dxfId="2359">
      <pivotArea dataOnly="0" labelOnly="1" grandRow="1" outline="0" fieldPosition="0"/>
    </format>
    <format dxfId="2360">
      <pivotArea dataOnly="0" labelOnly="1" outline="0" axis="axisValues" fieldPosition="0"/>
    </format>
    <format dxfId="2361">
      <pivotArea type="all" dataOnly="0" outline="0" fieldPosition="0"/>
    </format>
    <format dxfId="2362">
      <pivotArea outline="0" collapsedLevelsAreSubtotals="1" fieldPosition="0"/>
    </format>
    <format dxfId="2363">
      <pivotArea field="20" type="button" dataOnly="0" labelOnly="1" outline="0" axis="axisRow" fieldPosition="0"/>
    </format>
    <format dxfId="2364">
      <pivotArea dataOnly="0" labelOnly="1" outline="0" fieldPosition="0">
        <references count="1">
          <reference field="20" count="0"/>
        </references>
      </pivotArea>
    </format>
    <format dxfId="2365">
      <pivotArea dataOnly="0" labelOnly="1" grandRow="1" outline="0" fieldPosition="0"/>
    </format>
    <format dxfId="2366">
      <pivotArea dataOnly="0" labelOnly="1" outline="0" axis="axisValues" fieldPosition="0"/>
    </format>
    <format dxfId="2367">
      <pivotArea type="all" dataOnly="0" outline="0" fieldPosition="0"/>
    </format>
    <format dxfId="2368">
      <pivotArea outline="0" collapsedLevelsAreSubtotals="1" fieldPosition="0"/>
    </format>
    <format dxfId="2369">
      <pivotArea field="20" type="button" dataOnly="0" labelOnly="1" outline="0" axis="axisRow" fieldPosition="0"/>
    </format>
    <format dxfId="2370">
      <pivotArea dataOnly="0" labelOnly="1" outline="0" fieldPosition="0">
        <references count="1">
          <reference field="20" count="0"/>
        </references>
      </pivotArea>
    </format>
    <format dxfId="2371">
      <pivotArea dataOnly="0" labelOnly="1" grandRow="1" outline="0" fieldPosition="0"/>
    </format>
    <format dxfId="2372">
      <pivotArea dataOnly="0" labelOnly="1" outline="0" axis="axisValues" fieldPosition="0"/>
    </format>
    <format dxfId="2373">
      <pivotArea type="all" dataOnly="0" outline="0" fieldPosition="0"/>
    </format>
    <format dxfId="2374">
      <pivotArea outline="0" collapsedLevelsAreSubtotals="1" fieldPosition="0"/>
    </format>
    <format dxfId="2375">
      <pivotArea field="20" type="button" dataOnly="0" labelOnly="1" outline="0" axis="axisRow" fieldPosition="0"/>
    </format>
    <format dxfId="2376">
      <pivotArea dataOnly="0" labelOnly="1" outline="0" fieldPosition="0">
        <references count="1">
          <reference field="20" count="0"/>
        </references>
      </pivotArea>
    </format>
    <format dxfId="2377">
      <pivotArea dataOnly="0" labelOnly="1" grandRow="1" outline="0" fieldPosition="0"/>
    </format>
    <format dxfId="2378">
      <pivotArea dataOnly="0" labelOnly="1" outline="0" axis="axisValues" fieldPosition="0"/>
    </format>
    <format dxfId="2379">
      <pivotArea type="all" dataOnly="0" outline="0" fieldPosition="0"/>
    </format>
    <format dxfId="2380">
      <pivotArea outline="0" collapsedLevelsAreSubtotals="1" fieldPosition="0"/>
    </format>
    <format dxfId="2381">
      <pivotArea field="20" type="button" dataOnly="0" labelOnly="1" outline="0" axis="axisRow" fieldPosition="0"/>
    </format>
    <format dxfId="2382">
      <pivotArea dataOnly="0" labelOnly="1" outline="0" fieldPosition="0">
        <references count="1">
          <reference field="20" count="0"/>
        </references>
      </pivotArea>
    </format>
    <format dxfId="2383">
      <pivotArea dataOnly="0" labelOnly="1" grandRow="1" outline="0" fieldPosition="0"/>
    </format>
    <format dxfId="2384">
      <pivotArea dataOnly="0" labelOnly="1" outline="0" axis="axisValues" fieldPosition="0"/>
    </format>
    <format dxfId="2385">
      <pivotArea type="all" dataOnly="0" outline="0" fieldPosition="0"/>
    </format>
    <format dxfId="2386">
      <pivotArea outline="0" collapsedLevelsAreSubtotals="1" fieldPosition="0"/>
    </format>
    <format dxfId="2387">
      <pivotArea field="20" type="button" dataOnly="0" labelOnly="1" outline="0" axis="axisRow" fieldPosition="0"/>
    </format>
    <format dxfId="2388">
      <pivotArea dataOnly="0" labelOnly="1" outline="0" fieldPosition="0">
        <references count="1">
          <reference field="20" count="0"/>
        </references>
      </pivotArea>
    </format>
    <format dxfId="2389">
      <pivotArea dataOnly="0" labelOnly="1" grandRow="1" outline="0" fieldPosition="0"/>
    </format>
    <format dxfId="2390">
      <pivotArea dataOnly="0" labelOnly="1" outline="0" axis="axisValues" fieldPosition="0"/>
    </format>
    <format dxfId="2391">
      <pivotArea type="all" dataOnly="0" outline="0" fieldPosition="0"/>
    </format>
    <format dxfId="2392">
      <pivotArea outline="0" collapsedLevelsAreSubtotals="1" fieldPosition="0"/>
    </format>
    <format dxfId="2393">
      <pivotArea field="20" type="button" dataOnly="0" labelOnly="1" outline="0" axis="axisRow" fieldPosition="0"/>
    </format>
    <format dxfId="2394">
      <pivotArea dataOnly="0" labelOnly="1" outline="0" fieldPosition="0">
        <references count="1">
          <reference field="20" count="0"/>
        </references>
      </pivotArea>
    </format>
    <format dxfId="2395">
      <pivotArea dataOnly="0" labelOnly="1" grandRow="1" outline="0" fieldPosition="0"/>
    </format>
    <format dxfId="2396">
      <pivotArea dataOnly="0" labelOnly="1" outline="0" axis="axisValues" fieldPosition="0"/>
    </format>
    <format dxfId="2397">
      <pivotArea type="all" dataOnly="0" outline="0" fieldPosition="0"/>
    </format>
    <format dxfId="2398">
      <pivotArea outline="0" collapsedLevelsAreSubtotals="1" fieldPosition="0"/>
    </format>
    <format dxfId="2399">
      <pivotArea field="20" type="button" dataOnly="0" labelOnly="1" outline="0" axis="axisRow" fieldPosition="0"/>
    </format>
    <format dxfId="2400">
      <pivotArea dataOnly="0" labelOnly="1" outline="0" fieldPosition="0">
        <references count="1">
          <reference field="20" count="0"/>
        </references>
      </pivotArea>
    </format>
    <format dxfId="2401">
      <pivotArea dataOnly="0" labelOnly="1" grandRow="1" outline="0" fieldPosition="0"/>
    </format>
    <format dxfId="2402">
      <pivotArea dataOnly="0" labelOnly="1" outline="0" axis="axisValues" fieldPosition="0"/>
    </format>
    <format dxfId="2403">
      <pivotArea field="20" type="button" dataOnly="0" labelOnly="1" outline="0" axis="axisRow" fieldPosition="0"/>
    </format>
    <format dxfId="2404">
      <pivotArea dataOnly="0" labelOnly="1" outline="0" axis="axisValues" fieldPosition="0"/>
    </format>
    <format dxfId="2405">
      <pivotArea dataOnly="0" labelOnly="1" outline="0" fieldPosition="0">
        <references count="1">
          <reference field="20" count="0"/>
        </references>
      </pivotArea>
    </format>
    <format dxfId="2406">
      <pivotArea dataOnly="0" labelOnly="1" grandRow="1" outline="0" fieldPosition="0"/>
    </format>
    <format dxfId="2407">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AE18E9-98A5-3D40-AC20-21EFD3A7BD1E}"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wnership_Flag">
  <location ref="A3:B6" firstHeaderRow="1" firstDataRow="1" firstDataCol="1"/>
  <pivotFields count="22">
    <pivotField dataField="1" showAll="0"/>
    <pivotField showAll="0"/>
    <pivotField showAll="0"/>
    <pivotField showAll="0"/>
    <pivotField showAll="0">
      <items count="7">
        <item x="5"/>
        <item x="0"/>
        <item x="3"/>
        <item x="2"/>
        <item x="4"/>
        <item x="1"/>
        <item t="default"/>
      </items>
    </pivotField>
    <pivotField showAll="0">
      <items count="4">
        <item x="0"/>
        <item x="2"/>
        <item x="1"/>
        <item t="default"/>
      </items>
    </pivotField>
    <pivotField showAll="0"/>
    <pivotField showAll="0">
      <items count="5">
        <item x="3"/>
        <item x="0"/>
        <item x="1"/>
        <item x="2"/>
        <item t="default"/>
      </items>
    </pivotField>
    <pivotField showAll="0"/>
    <pivotField showAll="0"/>
    <pivotField numFmtId="14" showAll="0"/>
    <pivotField numFmtId="14" showAll="0"/>
    <pivotField showAll="0">
      <items count="5">
        <item x="1"/>
        <item x="3"/>
        <item x="2"/>
        <item x="0"/>
        <item t="default"/>
      </items>
    </pivotField>
    <pivotField showAll="0"/>
    <pivotField showAll="0"/>
    <pivotField showAll="0"/>
    <pivotField numFmtId="14" showAll="0"/>
    <pivotField showAll="0"/>
    <pivotField showAll="0"/>
    <pivotField axis="axisRow" showAll="0">
      <items count="3">
        <item x="1"/>
        <item x="0"/>
        <item t="default"/>
      </items>
    </pivotField>
    <pivotField showAll="0"/>
    <pivotField showAll="0"/>
  </pivotFields>
  <rowFields count="1">
    <field x="19"/>
  </rowFields>
  <rowItems count="3">
    <i>
      <x/>
    </i>
    <i>
      <x v="1"/>
    </i>
    <i t="grand">
      <x/>
    </i>
  </rowItems>
  <colItems count="1">
    <i/>
  </colItems>
  <dataFields count="1">
    <dataField name="Count of Control_ID" fld="0" subtotal="count" baseField="0" baseItem="0"/>
  </dataFields>
  <formats count="6">
    <format dxfId="2295">
      <pivotArea type="all" dataOnly="0" outline="0" fieldPosition="0"/>
    </format>
    <format dxfId="2296">
      <pivotArea outline="0" collapsedLevelsAreSubtotals="1" fieldPosition="0"/>
    </format>
    <format dxfId="2297">
      <pivotArea field="19" type="button" dataOnly="0" labelOnly="1" outline="0" axis="axisRow" fieldPosition="0"/>
    </format>
    <format dxfId="2298">
      <pivotArea dataOnly="0" labelOnly="1" fieldPosition="0">
        <references count="1">
          <reference field="19" count="0"/>
        </references>
      </pivotArea>
    </format>
    <format dxfId="2299">
      <pivotArea dataOnly="0" labelOnly="1" grandRow="1" outline="0" fieldPosition="0"/>
    </format>
    <format dxfId="230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481D234-7F48-4446-B299-7A153D604C64}" autoFormatId="16" applyNumberFormats="0" applyBorderFormats="0" applyFontFormats="0" applyPatternFormats="0" applyAlignmentFormats="0" applyWidthHeightFormats="0">
  <queryTableRefresh nextId="23">
    <queryTableFields count="22">
      <queryTableField id="1" name="Control_ID" tableColumnId="1"/>
      <queryTableField id="2" name="Control_Name" tableColumnId="2"/>
      <queryTableField id="3" name="CSF_Function" tableColumnId="3"/>
      <queryTableField id="4" name="CSF_Category" tableColumnId="4"/>
      <queryTableField id="5" name="Business_Unit" tableColumnId="5"/>
      <queryTableField id="6" name="Region" tableColumnId="6"/>
      <queryTableField id="7" name="Country" tableColumnId="7"/>
      <queryTableField id="8" name="Risk_Level" tableColumnId="8"/>
      <queryTableField id="9" name="Control_Owner" tableColumnId="9"/>
      <queryTableField id="10" name="Review_Frequency" tableColumnId="10"/>
      <queryTableField id="11" name="Last_Review_Date" tableColumnId="11"/>
      <queryTableField id="12" name="Next_Review_Date" tableColumnId="12"/>
      <queryTableField id="13" name="Status" tableColumnId="13"/>
      <queryTableField id="14" name="Evidence_Status" tableColumnId="14"/>
      <queryTableField id="15" name="Issue_Count" tableColumnId="15"/>
      <queryTableField id="16" name="Remediation_Owner" tableColumnId="16"/>
      <queryTableField id="17" name="Remediation_Due_Date" tableColumnId="17"/>
      <queryTableField id="18" name="Remediation_Status" tableColumnId="18"/>
      <queryTableField id="19" name="Review_Flag" tableColumnId="19"/>
      <queryTableField id="20" name="Ownership_Flag" tableColumnId="20"/>
      <queryTableField id="21" name="Evidence_Flag" tableColumnId="21"/>
      <queryTableField id="22" name="Risk_Flag"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0316AB5-F203-C64B-A3F9-F6C861C16AAC}" sourceName="Status">
  <pivotTables>
    <pivotTable tabId="10" name="PivotTable1"/>
    <pivotTable tabId="14" name="EvidenceFlagPivot"/>
    <pivotTable tabId="14" name="PivotTable5"/>
    <pivotTable tabId="14" name="ReviewFlagPivot"/>
    <pivotTable tabId="13" name="PivotTable4"/>
    <pivotTable tabId="12" name="PivotTable3"/>
  </pivotTables>
  <data>
    <tabular pivotCacheId="2026200080">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88722552-48F5-7441-A356-8A6C477D8EFB}" sourceName="Risk_Level">
  <pivotTables>
    <pivotTable tabId="10" name="PivotTable1"/>
    <pivotTable tabId="14" name="EvidenceFlagPivot"/>
    <pivotTable tabId="14" name="PivotTable5"/>
    <pivotTable tabId="14" name="ReviewFlagPivot"/>
    <pivotTable tabId="13" name="PivotTable4"/>
    <pivotTable tabId="12" name="PivotTable3"/>
  </pivotTables>
  <data>
    <tabular pivotCacheId="2026200080">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CFF377B-92E5-8045-B3CC-79B8F441A915}" sourceName="Region">
  <pivotTables>
    <pivotTable tabId="10" name="PivotTable1"/>
    <pivotTable tabId="14" name="EvidenceFlagPivot"/>
    <pivotTable tabId="14" name="PivotTable5"/>
    <pivotTable tabId="14" name="ReviewFlagPivot"/>
    <pivotTable tabId="13" name="PivotTable4"/>
    <pivotTable tabId="12" name="PivotTable3"/>
  </pivotTables>
  <data>
    <tabular pivotCacheId="202620008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 xr10:uid="{F6F336A9-DC37-174E-A3B8-F4A70359C364}" sourceName="Business_Unit">
  <pivotTables>
    <pivotTable tabId="10" name="PivotTable1"/>
    <pivotTable tabId="14" name="EvidenceFlagPivot"/>
    <pivotTable tabId="14" name="PivotTable5"/>
    <pivotTable tabId="14" name="ReviewFlagPivot"/>
    <pivotTable tabId="13" name="PivotTable4"/>
    <pivotTable tabId="12" name="PivotTable3"/>
  </pivotTables>
  <data>
    <tabular pivotCacheId="2026200080">
      <items count="6">
        <i x="5" s="1"/>
        <i x="0" s="1"/>
        <i x="3"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EFD7C827-66CE-D044-9F9A-7E6F1D650F8A}" cache="Slicer_Status" caption="Status" rowHeight="230716"/>
  <slicer name="Risk_Level" xr10:uid="{D2C4F383-3298-5F49-BB59-C2BA2E093BD7}" cache="Slicer_Risk_Level" caption="Risk_Level" rowHeight="230716"/>
  <slicer name="Region" xr10:uid="{49BC8E78-54B0-884F-8DB2-EEB41C723C27}" cache="Slicer_Region" caption="Region" rowHeight="230716"/>
  <slicer name="Business_Unit" xr10:uid="{5B29E079-2073-0041-A616-34B50137884E}" cache="Slicer_Business_Unit" caption="Business_Unit"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5353C57-77B3-E44C-BD72-D87060655751}" name="Controls_Clean" displayName="Controls_Clean" ref="A1:V1501" tableType="queryTable" totalsRowShown="0">
  <autoFilter ref="A1:V1501" xr:uid="{75353C57-77B3-E44C-BD72-D87060655751}"/>
  <tableColumns count="22">
    <tableColumn id="1" xr3:uid="{8BD71440-5676-C544-8413-129E3BE84F06}" uniqueName="1" name="Control_ID" queryTableFieldId="1" dataDxfId="3628"/>
    <tableColumn id="2" xr3:uid="{E9E16546-AD42-8C44-9084-1E5EC19979AD}" uniqueName="2" name="Control_Name" queryTableFieldId="2" dataDxfId="3627"/>
    <tableColumn id="3" xr3:uid="{5A1E4938-CC34-254C-B4D5-BCA79C0F3600}" uniqueName="3" name="CSF_Function" queryTableFieldId="3" dataDxfId="3626"/>
    <tableColumn id="4" xr3:uid="{45C8B526-94A4-5E47-A772-83CFE559A6FA}" uniqueName="4" name="CSF_Category" queryTableFieldId="4" dataDxfId="3625"/>
    <tableColumn id="5" xr3:uid="{B36B5E47-6D01-FA48-8E44-E5EDC08125D5}" uniqueName="5" name="Business_Unit" queryTableFieldId="5" dataDxfId="3624"/>
    <tableColumn id="6" xr3:uid="{0D826BAA-AA62-9944-9717-4A4B1FDB5821}" uniqueName="6" name="Region" queryTableFieldId="6" dataDxfId="3623"/>
    <tableColumn id="7" xr3:uid="{24CDEE13-CA7B-F149-8BFD-334D6E1A1752}" uniqueName="7" name="Country" queryTableFieldId="7" dataDxfId="3622"/>
    <tableColumn id="8" xr3:uid="{36FB653A-5387-504F-8AC3-1CC58851C715}" uniqueName="8" name="Risk_Level" queryTableFieldId="8" dataDxfId="3621"/>
    <tableColumn id="9" xr3:uid="{DCB28394-B831-C640-9DFA-E74B913105C2}" uniqueName="9" name="Control_Owner" queryTableFieldId="9" dataDxfId="3620"/>
    <tableColumn id="10" xr3:uid="{6D9CFD02-88F6-5A42-9D5D-B308019C9DEF}" uniqueName="10" name="Review_Frequency" queryTableFieldId="10" dataDxfId="3619"/>
    <tableColumn id="11" xr3:uid="{E70C4143-4FB0-D64F-9558-0B6A2C1CB76A}" uniqueName="11" name="Last_Review_Date" queryTableFieldId="11" dataDxfId="3614"/>
    <tableColumn id="12" xr3:uid="{CF97A651-1C8A-6341-86F4-4EFEFDB7ED62}" uniqueName="12" name="Next_Review_Date" queryTableFieldId="12" dataDxfId="3613"/>
    <tableColumn id="13" xr3:uid="{02F17E6C-CBF4-8647-A7AE-E8F4B444DC44}" uniqueName="13" name="Status" queryTableFieldId="13" dataDxfId="3618"/>
    <tableColumn id="14" xr3:uid="{2878BFAA-26CE-1A4A-8BCB-1C31C6D0D39B}" uniqueName="14" name="Evidence_Status" queryTableFieldId="14" dataDxfId="3617"/>
    <tableColumn id="15" xr3:uid="{0482A375-21C2-0745-ADE5-19EA2D56350D}" uniqueName="15" name="Issue_Count" queryTableFieldId="15"/>
    <tableColumn id="16" xr3:uid="{FEF29055-0648-4A43-A751-3233C73B1256}" uniqueName="16" name="Remediation_Owner" queryTableFieldId="16" dataDxfId="3616"/>
    <tableColumn id="17" xr3:uid="{6E9C2FE2-F2B2-D74E-B0DB-CE7183839892}" uniqueName="17" name="Remediation_Due_Date" queryTableFieldId="17" dataDxfId="3612"/>
    <tableColumn id="18" xr3:uid="{32AF8836-67F2-0D41-9A64-FF9D4134D85F}" uniqueName="18" name="Remediation_Status" queryTableFieldId="18" dataDxfId="3615"/>
    <tableColumn id="19" xr3:uid="{63604799-51A7-764A-8717-82C7341DDAF4}" uniqueName="19" name="Review_Flag" queryTableFieldId="19"/>
    <tableColumn id="20" xr3:uid="{4811BE79-948B-9648-80D8-D23CA905DE9D}" uniqueName="20" name="Ownership_Flag" queryTableFieldId="20"/>
    <tableColumn id="21" xr3:uid="{0FDEEEA9-FA3A-E040-99B1-E198BCA8C14A}" uniqueName="21" name="Evidence_Flag" queryTableFieldId="21"/>
    <tableColumn id="22" xr3:uid="{85B48864-0A32-9547-BF12-A1C27FAAB344}" uniqueName="22" name="Risk_Flag" queryTableField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rolsRawTable" displayName="ControlsRawTable" ref="A4:R1504">
  <autoFilter ref="A4:R1504" xr:uid="{00000000-0009-0000-0100-000001000000}"/>
  <tableColumns count="18">
    <tableColumn id="1" xr3:uid="{00000000-0010-0000-0000-000001000000}" name="Control_ID"/>
    <tableColumn id="2" xr3:uid="{00000000-0010-0000-0000-000002000000}" name="Control_Name"/>
    <tableColumn id="3" xr3:uid="{00000000-0010-0000-0000-000003000000}" name="CSF_Function"/>
    <tableColumn id="4" xr3:uid="{00000000-0010-0000-0000-000004000000}" name="CSF_Category"/>
    <tableColumn id="5" xr3:uid="{00000000-0010-0000-0000-000005000000}" name="Business_Unit"/>
    <tableColumn id="6" xr3:uid="{00000000-0010-0000-0000-000006000000}" name="Region"/>
    <tableColumn id="7" xr3:uid="{00000000-0010-0000-0000-000007000000}" name="Country"/>
    <tableColumn id="8" xr3:uid="{00000000-0010-0000-0000-000008000000}" name="Risk_Level"/>
    <tableColumn id="9" xr3:uid="{00000000-0010-0000-0000-000009000000}" name="Control_Owner"/>
    <tableColumn id="10" xr3:uid="{00000000-0010-0000-0000-00000A000000}" name="Review_Frequency"/>
    <tableColumn id="11" xr3:uid="{00000000-0010-0000-0000-00000B000000}" name="Last_Review_Date"/>
    <tableColumn id="12" xr3:uid="{00000000-0010-0000-0000-00000C000000}" name="Next_Review_Date"/>
    <tableColumn id="13" xr3:uid="{00000000-0010-0000-0000-00000D000000}" name="Status"/>
    <tableColumn id="14" xr3:uid="{00000000-0010-0000-0000-00000E000000}" name="Evidence_Status"/>
    <tableColumn id="15" xr3:uid="{00000000-0010-0000-0000-00000F000000}" name="Issue_Count"/>
    <tableColumn id="16" xr3:uid="{00000000-0010-0000-0000-000010000000}" name="Remediation_Owner"/>
    <tableColumn id="17" xr3:uid="{00000000-0010-0000-0000-000011000000}" name="Remediation_Due_Date"/>
    <tableColumn id="18" xr3:uid="{00000000-0010-0000-0000-000012000000}" name="Remediation_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eanedControlsTable" displayName="CleanedControlsTable" ref="A4:R1504">
  <autoFilter ref="A4:R1504" xr:uid="{00000000-0009-0000-0100-000002000000}"/>
  <tableColumns count="18">
    <tableColumn id="1" xr3:uid="{00000000-0010-0000-0100-000001000000}" name="Control_ID"/>
    <tableColumn id="2" xr3:uid="{00000000-0010-0000-0100-000002000000}" name="Control_Name"/>
    <tableColumn id="3" xr3:uid="{00000000-0010-0000-0100-000003000000}" name="CSF_Function"/>
    <tableColumn id="4" xr3:uid="{00000000-0010-0000-0100-000004000000}" name="CSF_Category"/>
    <tableColumn id="5" xr3:uid="{00000000-0010-0000-0100-000005000000}" name="Business_Unit"/>
    <tableColumn id="6" xr3:uid="{00000000-0010-0000-0100-000006000000}" name="Region"/>
    <tableColumn id="7" xr3:uid="{00000000-0010-0000-0100-000007000000}" name="Country"/>
    <tableColumn id="8" xr3:uid="{00000000-0010-0000-0100-000008000000}" name="Risk_Level"/>
    <tableColumn id="9" xr3:uid="{00000000-0010-0000-0100-000009000000}" name="Control_Owner"/>
    <tableColumn id="10" xr3:uid="{00000000-0010-0000-0100-00000A000000}" name="Review_Frequency"/>
    <tableColumn id="11" xr3:uid="{00000000-0010-0000-0100-00000B000000}" name="Last_Review_Date"/>
    <tableColumn id="12" xr3:uid="{00000000-0010-0000-0100-00000C000000}" name="Next_Review_Date"/>
    <tableColumn id="13" xr3:uid="{00000000-0010-0000-0100-00000D000000}" name="Status"/>
    <tableColumn id="14" xr3:uid="{00000000-0010-0000-0100-00000E000000}" name="Evidence_Status"/>
    <tableColumn id="15" xr3:uid="{00000000-0010-0000-0100-00000F000000}" name="Issue_Count"/>
    <tableColumn id="16" xr3:uid="{00000000-0010-0000-0100-000010000000}" name="Remediation_Owner"/>
    <tableColumn id="17" xr3:uid="{00000000-0010-0000-0100-000011000000}" name="Remediation_Due_Date"/>
    <tableColumn id="18" xr3:uid="{00000000-0010-0000-0100-000012000000}" name="Remediation_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ataQualityTable" displayName="DataQualityTable" ref="A4:I1504">
  <autoFilter ref="A4:I1504" xr:uid="{00000000-0009-0000-0100-000003000000}"/>
  <tableColumns count="9">
    <tableColumn id="1" xr3:uid="{00000000-0010-0000-0200-000001000000}" name="Control_ID"/>
    <tableColumn id="2" xr3:uid="{00000000-0010-0000-0200-000002000000}" name="Duplicate_Flag"/>
    <tableColumn id="3" xr3:uid="{00000000-0010-0000-0200-000003000000}" name="Missing_Owner"/>
    <tableColumn id="4" xr3:uid="{00000000-0010-0000-0200-000004000000}" name="Missing_Evidence"/>
    <tableColumn id="5" xr3:uid="{00000000-0010-0000-0200-000005000000}" name="Country_Issue"/>
    <tableColumn id="6" xr3:uid="{00000000-0010-0000-0200-000006000000}" name="BU_Whitespace"/>
    <tableColumn id="7" xr3:uid="{00000000-0010-0000-0200-000007000000}" name="Overdue_Review"/>
    <tableColumn id="8" xr3:uid="{00000000-0010-0000-0200-000008000000}" name="Overdue_Remediation"/>
    <tableColumn id="9" xr3:uid="{00000000-0010-0000-0200-000009000000}" name="Overall_Resul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workbookViewId="0">
      <selection sqref="A1:J1"/>
    </sheetView>
  </sheetViews>
  <sheetFormatPr baseColWidth="10" defaultColWidth="8.83203125" defaultRowHeight="15" x14ac:dyDescent="0.2"/>
  <cols>
    <col min="1" max="1" width="25" customWidth="1"/>
    <col min="2" max="2" width="100" customWidth="1"/>
  </cols>
  <sheetData>
    <row r="1" spans="1:10" ht="28" customHeight="1" x14ac:dyDescent="0.2">
      <c r="A1" s="5" t="s">
        <v>0</v>
      </c>
      <c r="B1" s="6"/>
      <c r="C1" s="6"/>
      <c r="D1" s="6"/>
      <c r="E1" s="6"/>
      <c r="F1" s="6"/>
      <c r="G1" s="6"/>
      <c r="H1" s="6"/>
      <c r="I1" s="6"/>
      <c r="J1" s="6"/>
    </row>
    <row r="3" spans="1:10" x14ac:dyDescent="0.2">
      <c r="A3" s="1" t="s">
        <v>1</v>
      </c>
      <c r="B3" t="s">
        <v>2</v>
      </c>
    </row>
    <row r="4" spans="1:10" x14ac:dyDescent="0.2">
      <c r="A4" s="1" t="s">
        <v>3</v>
      </c>
      <c r="B4" s="2">
        <v>46295</v>
      </c>
    </row>
    <row r="5" spans="1:10" x14ac:dyDescent="0.2">
      <c r="A5" s="1" t="s">
        <v>4</v>
      </c>
      <c r="B5" t="s">
        <v>5</v>
      </c>
    </row>
    <row r="6" spans="1:10" x14ac:dyDescent="0.2">
      <c r="A6" s="1" t="s">
        <v>6</v>
      </c>
      <c r="B6" t="s">
        <v>7</v>
      </c>
    </row>
    <row r="7" spans="1:10" x14ac:dyDescent="0.2">
      <c r="A7" s="1" t="s">
        <v>8</v>
      </c>
      <c r="B7" t="s">
        <v>9</v>
      </c>
    </row>
  </sheetData>
  <mergeCells count="1">
    <mergeCell ref="A1:J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4135B-E716-064B-88AC-DE872393DE3C}">
  <dimension ref="A3:B8"/>
  <sheetViews>
    <sheetView zoomScale="125" zoomScaleNormal="125" workbookViewId="0">
      <selection activeCell="K13" sqref="K13"/>
    </sheetView>
  </sheetViews>
  <sheetFormatPr baseColWidth="10" defaultRowHeight="15" x14ac:dyDescent="0.2"/>
  <cols>
    <col min="1" max="1" width="12.1640625" bestFit="1" customWidth="1"/>
    <col min="2" max="2" width="16.83203125" bestFit="1" customWidth="1"/>
  </cols>
  <sheetData>
    <row r="3" spans="1:2" x14ac:dyDescent="0.2">
      <c r="A3" s="9" t="s">
        <v>3157</v>
      </c>
      <c r="B3" t="s">
        <v>3159</v>
      </c>
    </row>
    <row r="4" spans="1:2" x14ac:dyDescent="0.2">
      <c r="A4" s="10" t="s">
        <v>98</v>
      </c>
      <c r="B4" s="11">
        <v>126</v>
      </c>
    </row>
    <row r="5" spans="1:2" x14ac:dyDescent="0.2">
      <c r="A5" s="10" t="s">
        <v>36</v>
      </c>
      <c r="B5" s="11">
        <v>317</v>
      </c>
    </row>
    <row r="6" spans="1:2" x14ac:dyDescent="0.2">
      <c r="A6" s="10" t="s">
        <v>47</v>
      </c>
      <c r="B6" s="11">
        <v>438</v>
      </c>
    </row>
    <row r="7" spans="1:2" x14ac:dyDescent="0.2">
      <c r="A7" s="10" t="s">
        <v>88</v>
      </c>
      <c r="B7" s="11">
        <v>619</v>
      </c>
    </row>
    <row r="8" spans="1:2" x14ac:dyDescent="0.2">
      <c r="A8" s="10" t="s">
        <v>3158</v>
      </c>
      <c r="B8" s="11">
        <v>1500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B6A26-D079-B34F-AD9D-BA2D20F092FC}">
  <dimension ref="A3:F8"/>
  <sheetViews>
    <sheetView workbookViewId="0">
      <selection activeCell="M38" sqref="M38"/>
    </sheetView>
  </sheetViews>
  <sheetFormatPr baseColWidth="10" defaultRowHeight="15" x14ac:dyDescent="0.2"/>
  <cols>
    <col min="1" max="1" width="16.5" bestFit="1" customWidth="1"/>
    <col min="2" max="2" width="12.1640625" bestFit="1" customWidth="1"/>
    <col min="3" max="3" width="4.6640625" bestFit="1" customWidth="1"/>
    <col min="4" max="4" width="4.33203125" bestFit="1" customWidth="1"/>
    <col min="5" max="5" width="7.83203125" bestFit="1" customWidth="1"/>
    <col min="6" max="6" width="10" bestFit="1" customWidth="1"/>
  </cols>
  <sheetData>
    <row r="3" spans="1:6" x14ac:dyDescent="0.2">
      <c r="A3" s="9" t="s">
        <v>3159</v>
      </c>
      <c r="B3" s="9" t="s">
        <v>3160</v>
      </c>
    </row>
    <row r="4" spans="1:6" x14ac:dyDescent="0.2">
      <c r="A4" s="9" t="s">
        <v>3161</v>
      </c>
      <c r="B4" t="s">
        <v>98</v>
      </c>
      <c r="C4" t="s">
        <v>36</v>
      </c>
      <c r="D4" t="s">
        <v>47</v>
      </c>
      <c r="E4" t="s">
        <v>88</v>
      </c>
      <c r="F4" t="s">
        <v>3158</v>
      </c>
    </row>
    <row r="5" spans="1:6" x14ac:dyDescent="0.2">
      <c r="A5" s="10" t="s">
        <v>34</v>
      </c>
      <c r="B5" s="11">
        <v>35</v>
      </c>
      <c r="C5" s="11">
        <v>95</v>
      </c>
      <c r="D5" s="11">
        <v>149</v>
      </c>
      <c r="E5" s="11">
        <v>206</v>
      </c>
      <c r="F5" s="11">
        <v>485</v>
      </c>
    </row>
    <row r="6" spans="1:6" x14ac:dyDescent="0.2">
      <c r="A6" s="10" t="s">
        <v>67</v>
      </c>
      <c r="B6" s="11">
        <v>46</v>
      </c>
      <c r="C6" s="11">
        <v>127</v>
      </c>
      <c r="D6" s="11">
        <v>157</v>
      </c>
      <c r="E6" s="11">
        <v>207</v>
      </c>
      <c r="F6" s="11">
        <v>537</v>
      </c>
    </row>
    <row r="7" spans="1:6" x14ac:dyDescent="0.2">
      <c r="A7" s="10" t="s">
        <v>45</v>
      </c>
      <c r="B7" s="11">
        <v>45</v>
      </c>
      <c r="C7" s="11">
        <v>95</v>
      </c>
      <c r="D7" s="11">
        <v>132</v>
      </c>
      <c r="E7" s="11">
        <v>206</v>
      </c>
      <c r="F7" s="11">
        <v>478</v>
      </c>
    </row>
    <row r="8" spans="1:6" x14ac:dyDescent="0.2">
      <c r="A8" s="10" t="s">
        <v>3158</v>
      </c>
      <c r="B8" s="11">
        <v>126</v>
      </c>
      <c r="C8" s="11">
        <v>317</v>
      </c>
      <c r="D8" s="11">
        <v>438</v>
      </c>
      <c r="E8" s="11">
        <v>619</v>
      </c>
      <c r="F8" s="11">
        <v>1500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3434F-BCB1-C748-96CE-F38858B88C1E}">
  <dimension ref="A1:B8"/>
  <sheetViews>
    <sheetView workbookViewId="0">
      <selection activeCell="M13" sqref="M13"/>
    </sheetView>
  </sheetViews>
  <sheetFormatPr baseColWidth="10" defaultRowHeight="15" x14ac:dyDescent="0.2"/>
  <cols>
    <col min="1" max="1" width="15.1640625" bestFit="1" customWidth="1"/>
    <col min="2" max="2" width="16" bestFit="1" customWidth="1"/>
  </cols>
  <sheetData>
    <row r="1" spans="1:2" x14ac:dyDescent="0.2">
      <c r="A1" s="9" t="s">
        <v>3157</v>
      </c>
      <c r="B1" t="s">
        <v>3162</v>
      </c>
    </row>
    <row r="2" spans="1:2" x14ac:dyDescent="0.2">
      <c r="A2" s="10" t="s">
        <v>91</v>
      </c>
      <c r="B2" s="11">
        <v>502</v>
      </c>
    </row>
    <row r="3" spans="1:2" x14ac:dyDescent="0.2">
      <c r="A3" s="10" t="s">
        <v>105</v>
      </c>
      <c r="B3" s="11">
        <v>473</v>
      </c>
    </row>
    <row r="4" spans="1:2" x14ac:dyDescent="0.2">
      <c r="A4" s="10" t="s">
        <v>60</v>
      </c>
      <c r="B4" s="11">
        <v>370</v>
      </c>
    </row>
    <row r="5" spans="1:2" x14ac:dyDescent="0.2">
      <c r="A5" s="10" t="s">
        <v>53</v>
      </c>
      <c r="B5" s="11">
        <v>450</v>
      </c>
    </row>
    <row r="6" spans="1:2" x14ac:dyDescent="0.2">
      <c r="A6" s="10" t="s">
        <v>80</v>
      </c>
      <c r="B6" s="11">
        <v>436</v>
      </c>
    </row>
    <row r="7" spans="1:2" x14ac:dyDescent="0.2">
      <c r="A7" s="10" t="s">
        <v>44</v>
      </c>
      <c r="B7" s="11">
        <v>493</v>
      </c>
    </row>
    <row r="8" spans="1:2" x14ac:dyDescent="0.2">
      <c r="A8" s="10" t="s">
        <v>3158</v>
      </c>
      <c r="B8" s="11">
        <v>2724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084BB-0BC6-CC46-A10E-8EF848838DA4}">
  <dimension ref="A3:H8"/>
  <sheetViews>
    <sheetView workbookViewId="0">
      <selection activeCell="P34" sqref="P34"/>
    </sheetView>
  </sheetViews>
  <sheetFormatPr baseColWidth="10" defaultRowHeight="15" x14ac:dyDescent="0.2"/>
  <cols>
    <col min="1" max="1" width="15.83203125" bestFit="1" customWidth="1"/>
    <col min="2" max="2" width="16.5" bestFit="1" customWidth="1"/>
    <col min="4" max="4" width="14.5" bestFit="1" customWidth="1"/>
    <col min="5" max="5" width="16.5" customWidth="1"/>
    <col min="7" max="7" width="13.1640625" bestFit="1" customWidth="1"/>
    <col min="8" max="8" width="16.5" customWidth="1"/>
  </cols>
  <sheetData>
    <row r="3" spans="1:8" ht="15" customHeight="1" x14ac:dyDescent="0.2">
      <c r="A3" s="12" t="s">
        <v>3147</v>
      </c>
      <c r="B3" s="13" t="s">
        <v>3159</v>
      </c>
      <c r="D3" s="15" t="s">
        <v>3148</v>
      </c>
      <c r="E3" s="15" t="s">
        <v>3159</v>
      </c>
      <c r="G3" s="15" t="s">
        <v>3146</v>
      </c>
      <c r="H3" s="15" t="s">
        <v>3159</v>
      </c>
    </row>
    <row r="4" spans="1:8" ht="15" customHeight="1" x14ac:dyDescent="0.2">
      <c r="A4" s="21" t="s">
        <v>3153</v>
      </c>
      <c r="B4" s="14">
        <v>1468</v>
      </c>
      <c r="D4" s="17" t="s">
        <v>55</v>
      </c>
      <c r="E4" s="16">
        <v>503</v>
      </c>
      <c r="G4" s="17" t="s">
        <v>3155</v>
      </c>
      <c r="H4" s="16">
        <v>622</v>
      </c>
    </row>
    <row r="5" spans="1:8" ht="15" customHeight="1" x14ac:dyDescent="0.2">
      <c r="A5" s="21" t="s">
        <v>3150</v>
      </c>
      <c r="B5" s="14">
        <v>32</v>
      </c>
      <c r="D5" s="17" t="s">
        <v>49</v>
      </c>
      <c r="E5" s="16">
        <v>503</v>
      </c>
      <c r="G5" s="17" t="s">
        <v>38</v>
      </c>
      <c r="H5" s="16">
        <v>878</v>
      </c>
    </row>
    <row r="6" spans="1:8" ht="15" customHeight="1" x14ac:dyDescent="0.2">
      <c r="A6" s="21" t="s">
        <v>3158</v>
      </c>
      <c r="B6" s="14">
        <v>1500</v>
      </c>
      <c r="D6" s="17" t="s">
        <v>3151</v>
      </c>
      <c r="E6" s="16">
        <v>19</v>
      </c>
      <c r="G6" s="17" t="s">
        <v>3158</v>
      </c>
      <c r="H6" s="16">
        <v>1500</v>
      </c>
    </row>
    <row r="7" spans="1:8" ht="15" customHeight="1" x14ac:dyDescent="0.2">
      <c r="D7" s="17" t="s">
        <v>75</v>
      </c>
      <c r="E7" s="16">
        <v>475</v>
      </c>
    </row>
    <row r="8" spans="1:8" ht="15" customHeight="1" x14ac:dyDescent="0.2">
      <c r="D8" s="17" t="s">
        <v>3158</v>
      </c>
      <c r="E8" s="16">
        <v>1500</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B2B2B-DE2A-7D43-971F-37A0B7C6DD8B}">
  <dimension ref="A1:V1501"/>
  <sheetViews>
    <sheetView topLeftCell="A2" workbookViewId="0">
      <selection activeCell="E675" sqref="E675"/>
    </sheetView>
  </sheetViews>
  <sheetFormatPr baseColWidth="10" defaultRowHeight="15" x14ac:dyDescent="0.2"/>
  <cols>
    <col min="1" max="1" width="12" bestFit="1" customWidth="1"/>
    <col min="2" max="2" width="23" bestFit="1" customWidth="1"/>
    <col min="3" max="4" width="14" bestFit="1" customWidth="1"/>
    <col min="5" max="5" width="15.1640625" bestFit="1" customWidth="1"/>
    <col min="6" max="6" width="12.1640625" bestFit="1" customWidth="1"/>
    <col min="7" max="7" width="13.5" bestFit="1" customWidth="1"/>
    <col min="8" max="8" width="11.6640625" bestFit="1" customWidth="1"/>
    <col min="9" max="9" width="15.5" bestFit="1" customWidth="1"/>
    <col min="10" max="10" width="18.33203125" bestFit="1" customWidth="1"/>
    <col min="11" max="11" width="17.6640625" bestFit="1" customWidth="1"/>
    <col min="12" max="12" width="18.33203125" bestFit="1" customWidth="1"/>
    <col min="13" max="13" width="9.83203125" bestFit="1" customWidth="1"/>
    <col min="14" max="14" width="16.1640625" bestFit="1" customWidth="1"/>
    <col min="15" max="15" width="13" bestFit="1" customWidth="1"/>
    <col min="16" max="16" width="19.83203125" bestFit="1" customWidth="1"/>
    <col min="17" max="17" width="22.33203125" bestFit="1" customWidth="1"/>
    <col min="18" max="18" width="19.33203125" bestFit="1" customWidth="1"/>
    <col min="19" max="19" width="13.1640625" bestFit="1" customWidth="1"/>
    <col min="20" max="20" width="15.83203125" bestFit="1" customWidth="1"/>
    <col min="21" max="21" width="14.5" bestFit="1" customWidth="1"/>
    <col min="22" max="22" width="10.5" bestFit="1" customWidth="1"/>
  </cols>
  <sheetData>
    <row r="1" spans="1:22" x14ac:dyDescent="0.2">
      <c r="A1" t="s">
        <v>11</v>
      </c>
      <c r="B1" t="s">
        <v>12</v>
      </c>
      <c r="C1" t="s">
        <v>13</v>
      </c>
      <c r="D1" t="s">
        <v>14</v>
      </c>
      <c r="E1" t="s">
        <v>15</v>
      </c>
      <c r="F1" t="s">
        <v>16</v>
      </c>
      <c r="G1" t="s">
        <v>17</v>
      </c>
      <c r="H1" t="s">
        <v>18</v>
      </c>
      <c r="I1" t="s">
        <v>19</v>
      </c>
      <c r="J1" t="s">
        <v>20</v>
      </c>
      <c r="K1" t="s">
        <v>21</v>
      </c>
      <c r="L1" t="s">
        <v>22</v>
      </c>
      <c r="M1" t="s">
        <v>23</v>
      </c>
      <c r="N1" t="s">
        <v>24</v>
      </c>
      <c r="O1" t="s">
        <v>25</v>
      </c>
      <c r="P1" t="s">
        <v>26</v>
      </c>
      <c r="Q1" t="s">
        <v>27</v>
      </c>
      <c r="R1" t="s">
        <v>28</v>
      </c>
      <c r="S1" t="s">
        <v>3146</v>
      </c>
      <c r="T1" t="s">
        <v>3147</v>
      </c>
      <c r="U1" t="s">
        <v>3148</v>
      </c>
      <c r="V1" t="s">
        <v>3149</v>
      </c>
    </row>
    <row r="2" spans="1:22" x14ac:dyDescent="0.2">
      <c r="A2" t="s">
        <v>29</v>
      </c>
      <c r="B2" t="s">
        <v>30</v>
      </c>
      <c r="C2" t="s">
        <v>31</v>
      </c>
      <c r="D2" t="s">
        <v>32</v>
      </c>
      <c r="E2" t="s">
        <v>105</v>
      </c>
      <c r="F2" t="s">
        <v>34</v>
      </c>
      <c r="G2" t="s">
        <v>35</v>
      </c>
      <c r="H2" t="s">
        <v>36</v>
      </c>
      <c r="J2" t="s">
        <v>37</v>
      </c>
      <c r="K2" s="4">
        <v>46150</v>
      </c>
      <c r="L2" s="4">
        <v>46240</v>
      </c>
      <c r="M2" t="s">
        <v>38</v>
      </c>
      <c r="O2">
        <v>1</v>
      </c>
      <c r="P2" t="s">
        <v>39</v>
      </c>
      <c r="Q2" s="4">
        <v>46167</v>
      </c>
      <c r="R2" t="s">
        <v>38</v>
      </c>
      <c r="S2" t="s">
        <v>38</v>
      </c>
      <c r="T2" t="s">
        <v>3150</v>
      </c>
      <c r="U2" t="s">
        <v>3151</v>
      </c>
      <c r="V2" t="s">
        <v>3152</v>
      </c>
    </row>
    <row r="3" spans="1:22" x14ac:dyDescent="0.2">
      <c r="A3" t="s">
        <v>40</v>
      </c>
      <c r="B3" t="s">
        <v>41</v>
      </c>
      <c r="C3" t="s">
        <v>42</v>
      </c>
      <c r="D3" t="s">
        <v>43</v>
      </c>
      <c r="E3" t="s">
        <v>44</v>
      </c>
      <c r="F3" t="s">
        <v>45</v>
      </c>
      <c r="G3" t="s">
        <v>46</v>
      </c>
      <c r="H3" t="s">
        <v>47</v>
      </c>
      <c r="I3" t="s">
        <v>39</v>
      </c>
      <c r="J3" t="s">
        <v>48</v>
      </c>
      <c r="K3" s="4">
        <v>45988</v>
      </c>
      <c r="L3" s="4">
        <v>46078</v>
      </c>
      <c r="M3" t="s">
        <v>38</v>
      </c>
      <c r="N3" t="s">
        <v>49</v>
      </c>
      <c r="O3">
        <v>3</v>
      </c>
      <c r="P3" t="s">
        <v>50</v>
      </c>
      <c r="Q3" s="4">
        <v>46227</v>
      </c>
      <c r="R3" t="s">
        <v>38</v>
      </c>
      <c r="S3" t="s">
        <v>38</v>
      </c>
      <c r="T3" t="s">
        <v>3153</v>
      </c>
      <c r="U3" t="s">
        <v>49</v>
      </c>
      <c r="V3" t="s">
        <v>3154</v>
      </c>
    </row>
    <row r="4" spans="1:22" x14ac:dyDescent="0.2">
      <c r="A4" t="s">
        <v>51</v>
      </c>
      <c r="B4" t="s">
        <v>52</v>
      </c>
      <c r="C4" t="s">
        <v>31</v>
      </c>
      <c r="D4" t="s">
        <v>32</v>
      </c>
      <c r="E4" t="s">
        <v>53</v>
      </c>
      <c r="F4" t="s">
        <v>34</v>
      </c>
      <c r="G4" t="s">
        <v>35</v>
      </c>
      <c r="H4" t="s">
        <v>47</v>
      </c>
      <c r="I4" t="s">
        <v>54</v>
      </c>
      <c r="J4" t="s">
        <v>37</v>
      </c>
      <c r="K4" s="4">
        <v>45885</v>
      </c>
      <c r="L4" s="4">
        <v>46065</v>
      </c>
      <c r="M4" t="s">
        <v>38</v>
      </c>
      <c r="N4" t="s">
        <v>55</v>
      </c>
      <c r="O4">
        <v>0</v>
      </c>
      <c r="P4" t="s">
        <v>56</v>
      </c>
      <c r="Q4" s="4">
        <v>46309</v>
      </c>
      <c r="R4" t="s">
        <v>57</v>
      </c>
      <c r="S4" t="s">
        <v>38</v>
      </c>
      <c r="T4" t="s">
        <v>3153</v>
      </c>
      <c r="U4" t="s">
        <v>55</v>
      </c>
      <c r="V4" t="s">
        <v>3154</v>
      </c>
    </row>
    <row r="5" spans="1:22" x14ac:dyDescent="0.2">
      <c r="A5" t="s">
        <v>58</v>
      </c>
      <c r="B5" t="s">
        <v>59</v>
      </c>
      <c r="C5" t="s">
        <v>31</v>
      </c>
      <c r="D5" t="s">
        <v>32</v>
      </c>
      <c r="E5" t="s">
        <v>60</v>
      </c>
      <c r="F5" t="s">
        <v>45</v>
      </c>
      <c r="G5" t="s">
        <v>61</v>
      </c>
      <c r="H5" t="s">
        <v>47</v>
      </c>
      <c r="I5" t="s">
        <v>62</v>
      </c>
      <c r="J5" t="s">
        <v>63</v>
      </c>
      <c r="K5" s="4">
        <v>46235</v>
      </c>
      <c r="L5" s="4">
        <v>46600</v>
      </c>
      <c r="M5" t="s">
        <v>64</v>
      </c>
      <c r="N5" t="s">
        <v>49</v>
      </c>
      <c r="O5">
        <v>2</v>
      </c>
      <c r="P5" t="s">
        <v>54</v>
      </c>
      <c r="Q5" s="4">
        <v>46410</v>
      </c>
      <c r="R5" t="s">
        <v>64</v>
      </c>
      <c r="S5" t="s">
        <v>3155</v>
      </c>
      <c r="T5" t="s">
        <v>3153</v>
      </c>
      <c r="U5" t="s">
        <v>49</v>
      </c>
      <c r="V5" t="s">
        <v>3154</v>
      </c>
    </row>
    <row r="6" spans="1:22" x14ac:dyDescent="0.2">
      <c r="A6" t="s">
        <v>65</v>
      </c>
      <c r="B6" t="s">
        <v>66</v>
      </c>
      <c r="C6" t="s">
        <v>42</v>
      </c>
      <c r="D6" t="s">
        <v>43</v>
      </c>
      <c r="E6" t="s">
        <v>44</v>
      </c>
      <c r="F6" t="s">
        <v>67</v>
      </c>
      <c r="G6" t="s">
        <v>68</v>
      </c>
      <c r="H6" t="s">
        <v>36</v>
      </c>
      <c r="I6" t="s">
        <v>62</v>
      </c>
      <c r="J6" t="s">
        <v>63</v>
      </c>
      <c r="K6" s="4">
        <v>46133</v>
      </c>
      <c r="L6" s="4">
        <v>46313</v>
      </c>
      <c r="M6" t="s">
        <v>69</v>
      </c>
      <c r="N6" t="s">
        <v>55</v>
      </c>
      <c r="O6">
        <v>2</v>
      </c>
      <c r="P6" t="s">
        <v>70</v>
      </c>
      <c r="Q6" s="4">
        <v>46296</v>
      </c>
      <c r="R6" t="s">
        <v>64</v>
      </c>
      <c r="S6" t="s">
        <v>3155</v>
      </c>
      <c r="T6" t="s">
        <v>3153</v>
      </c>
      <c r="U6" t="s">
        <v>55</v>
      </c>
      <c r="V6" t="s">
        <v>3152</v>
      </c>
    </row>
    <row r="7" spans="1:22" x14ac:dyDescent="0.2">
      <c r="A7" t="s">
        <v>71</v>
      </c>
      <c r="B7" t="s">
        <v>72</v>
      </c>
      <c r="C7" t="s">
        <v>73</v>
      </c>
      <c r="D7" t="s">
        <v>74</v>
      </c>
      <c r="E7" t="s">
        <v>60</v>
      </c>
      <c r="F7" t="s">
        <v>34</v>
      </c>
      <c r="G7" t="s">
        <v>35</v>
      </c>
      <c r="H7" t="s">
        <v>36</v>
      </c>
      <c r="I7" t="s">
        <v>50</v>
      </c>
      <c r="J7" t="s">
        <v>48</v>
      </c>
      <c r="K7" s="4">
        <v>46039</v>
      </c>
      <c r="L7" s="4">
        <v>46219</v>
      </c>
      <c r="M7" t="s">
        <v>38</v>
      </c>
      <c r="N7" t="s">
        <v>75</v>
      </c>
      <c r="O7">
        <v>5</v>
      </c>
      <c r="P7" t="s">
        <v>54</v>
      </c>
      <c r="Q7" s="4">
        <v>46400</v>
      </c>
      <c r="R7" t="s">
        <v>64</v>
      </c>
      <c r="S7" t="s">
        <v>38</v>
      </c>
      <c r="T7" t="s">
        <v>3153</v>
      </c>
      <c r="U7" t="s">
        <v>75</v>
      </c>
      <c r="V7" t="s">
        <v>3152</v>
      </c>
    </row>
    <row r="8" spans="1:22" x14ac:dyDescent="0.2">
      <c r="A8" t="s">
        <v>76</v>
      </c>
      <c r="B8" t="s">
        <v>77</v>
      </c>
      <c r="C8" t="s">
        <v>78</v>
      </c>
      <c r="D8" t="s">
        <v>79</v>
      </c>
      <c r="E8" t="s">
        <v>80</v>
      </c>
      <c r="F8" t="s">
        <v>45</v>
      </c>
      <c r="G8" t="s">
        <v>61</v>
      </c>
      <c r="H8" t="s">
        <v>47</v>
      </c>
      <c r="I8" t="s">
        <v>54</v>
      </c>
      <c r="J8" t="s">
        <v>37</v>
      </c>
      <c r="K8" s="4">
        <v>45808</v>
      </c>
      <c r="L8" s="4">
        <v>46173</v>
      </c>
      <c r="M8" t="s">
        <v>38</v>
      </c>
      <c r="N8" t="s">
        <v>49</v>
      </c>
      <c r="O8">
        <v>2</v>
      </c>
      <c r="P8" t="s">
        <v>50</v>
      </c>
      <c r="Q8" s="4">
        <v>46223</v>
      </c>
      <c r="R8" t="s">
        <v>38</v>
      </c>
      <c r="S8" t="s">
        <v>38</v>
      </c>
      <c r="T8" t="s">
        <v>3153</v>
      </c>
      <c r="U8" t="s">
        <v>49</v>
      </c>
      <c r="V8" t="s">
        <v>3154</v>
      </c>
    </row>
    <row r="9" spans="1:22" x14ac:dyDescent="0.2">
      <c r="A9" t="s">
        <v>81</v>
      </c>
      <c r="B9" t="s">
        <v>82</v>
      </c>
      <c r="C9" t="s">
        <v>31</v>
      </c>
      <c r="D9" t="s">
        <v>83</v>
      </c>
      <c r="E9" t="s">
        <v>44</v>
      </c>
      <c r="F9" t="s">
        <v>67</v>
      </c>
      <c r="G9" t="s">
        <v>68</v>
      </c>
      <c r="H9" t="s">
        <v>36</v>
      </c>
      <c r="I9" t="s">
        <v>56</v>
      </c>
      <c r="J9" t="s">
        <v>37</v>
      </c>
      <c r="K9" s="4">
        <v>45893</v>
      </c>
      <c r="L9" s="4">
        <v>46258</v>
      </c>
      <c r="M9" t="s">
        <v>38</v>
      </c>
      <c r="N9" t="s">
        <v>75</v>
      </c>
      <c r="O9">
        <v>4</v>
      </c>
      <c r="P9" t="s">
        <v>70</v>
      </c>
      <c r="Q9" s="4">
        <v>46319</v>
      </c>
      <c r="R9" t="s">
        <v>84</v>
      </c>
      <c r="S9" t="s">
        <v>38</v>
      </c>
      <c r="T9" t="s">
        <v>3153</v>
      </c>
      <c r="U9" t="s">
        <v>75</v>
      </c>
      <c r="V9" t="s">
        <v>3152</v>
      </c>
    </row>
    <row r="10" spans="1:22" x14ac:dyDescent="0.2">
      <c r="A10" t="s">
        <v>85</v>
      </c>
      <c r="B10" t="s">
        <v>86</v>
      </c>
      <c r="C10" t="s">
        <v>31</v>
      </c>
      <c r="D10" t="s">
        <v>87</v>
      </c>
      <c r="E10" t="s">
        <v>44</v>
      </c>
      <c r="F10" t="s">
        <v>45</v>
      </c>
      <c r="G10" t="s">
        <v>46</v>
      </c>
      <c r="H10" t="s">
        <v>88</v>
      </c>
      <c r="I10" t="s">
        <v>62</v>
      </c>
      <c r="J10" t="s">
        <v>63</v>
      </c>
      <c r="K10" s="4">
        <v>45970</v>
      </c>
      <c r="L10" s="4">
        <v>46060</v>
      </c>
      <c r="M10" t="s">
        <v>38</v>
      </c>
      <c r="N10" t="s">
        <v>75</v>
      </c>
      <c r="O10">
        <v>3</v>
      </c>
      <c r="P10" t="s">
        <v>70</v>
      </c>
      <c r="Q10" s="4">
        <v>46354</v>
      </c>
      <c r="R10" t="s">
        <v>84</v>
      </c>
      <c r="S10" t="s">
        <v>38</v>
      </c>
      <c r="T10" t="s">
        <v>3153</v>
      </c>
      <c r="U10" t="s">
        <v>75</v>
      </c>
      <c r="V10" t="s">
        <v>3154</v>
      </c>
    </row>
    <row r="11" spans="1:22" x14ac:dyDescent="0.2">
      <c r="A11" t="s">
        <v>89</v>
      </c>
      <c r="B11" t="s">
        <v>90</v>
      </c>
      <c r="C11" t="s">
        <v>31</v>
      </c>
      <c r="D11" t="s">
        <v>83</v>
      </c>
      <c r="E11" t="s">
        <v>91</v>
      </c>
      <c r="F11" t="s">
        <v>34</v>
      </c>
      <c r="G11" t="s">
        <v>35</v>
      </c>
      <c r="H11" t="s">
        <v>88</v>
      </c>
      <c r="I11" t="s">
        <v>56</v>
      </c>
      <c r="J11" t="s">
        <v>48</v>
      </c>
      <c r="K11" s="4">
        <v>46053</v>
      </c>
      <c r="L11" s="4">
        <v>46143</v>
      </c>
      <c r="M11" t="s">
        <v>38</v>
      </c>
      <c r="N11" t="s">
        <v>75</v>
      </c>
      <c r="O11">
        <v>0</v>
      </c>
      <c r="P11" t="s">
        <v>56</v>
      </c>
      <c r="Q11" s="4">
        <v>46249</v>
      </c>
      <c r="R11" t="s">
        <v>57</v>
      </c>
      <c r="S11" t="s">
        <v>38</v>
      </c>
      <c r="T11" t="s">
        <v>3153</v>
      </c>
      <c r="U11" t="s">
        <v>75</v>
      </c>
      <c r="V11" t="s">
        <v>3154</v>
      </c>
    </row>
    <row r="12" spans="1:22" x14ac:dyDescent="0.2">
      <c r="A12" t="s">
        <v>92</v>
      </c>
      <c r="B12" t="s">
        <v>93</v>
      </c>
      <c r="C12" t="s">
        <v>73</v>
      </c>
      <c r="D12" t="s">
        <v>74</v>
      </c>
      <c r="E12" t="s">
        <v>44</v>
      </c>
      <c r="F12" t="s">
        <v>34</v>
      </c>
      <c r="G12" t="s">
        <v>35</v>
      </c>
      <c r="H12" t="s">
        <v>88</v>
      </c>
      <c r="I12" t="s">
        <v>50</v>
      </c>
      <c r="J12" t="s">
        <v>37</v>
      </c>
      <c r="K12" s="4">
        <v>45999</v>
      </c>
      <c r="L12" s="4">
        <v>46364</v>
      </c>
      <c r="M12" t="s">
        <v>69</v>
      </c>
      <c r="N12" t="s">
        <v>75</v>
      </c>
      <c r="O12">
        <v>0</v>
      </c>
      <c r="P12" t="s">
        <v>54</v>
      </c>
      <c r="Q12" s="4">
        <v>46172</v>
      </c>
      <c r="R12" t="s">
        <v>57</v>
      </c>
      <c r="S12" t="s">
        <v>3155</v>
      </c>
      <c r="T12" t="s">
        <v>3153</v>
      </c>
      <c r="U12" t="s">
        <v>75</v>
      </c>
      <c r="V12" t="s">
        <v>3154</v>
      </c>
    </row>
    <row r="13" spans="1:22" x14ac:dyDescent="0.2">
      <c r="A13" t="s">
        <v>94</v>
      </c>
      <c r="B13" t="s">
        <v>95</v>
      </c>
      <c r="C13" t="s">
        <v>96</v>
      </c>
      <c r="D13" t="s">
        <v>97</v>
      </c>
      <c r="E13" t="s">
        <v>60</v>
      </c>
      <c r="F13" t="s">
        <v>45</v>
      </c>
      <c r="G13" t="s">
        <v>46</v>
      </c>
      <c r="H13" t="s">
        <v>98</v>
      </c>
      <c r="I13" t="s">
        <v>70</v>
      </c>
      <c r="J13" t="s">
        <v>48</v>
      </c>
      <c r="K13" s="4">
        <v>45901</v>
      </c>
      <c r="L13" s="4">
        <v>46081</v>
      </c>
      <c r="M13" t="s">
        <v>38</v>
      </c>
      <c r="N13" t="s">
        <v>55</v>
      </c>
      <c r="O13">
        <v>4</v>
      </c>
      <c r="P13" t="s">
        <v>56</v>
      </c>
      <c r="Q13" s="4">
        <v>46179</v>
      </c>
      <c r="R13" t="s">
        <v>64</v>
      </c>
      <c r="S13" t="s">
        <v>38</v>
      </c>
      <c r="T13" t="s">
        <v>3153</v>
      </c>
      <c r="U13" t="s">
        <v>55</v>
      </c>
      <c r="V13" t="s">
        <v>3152</v>
      </c>
    </row>
    <row r="14" spans="1:22" x14ac:dyDescent="0.2">
      <c r="A14" t="s">
        <v>99</v>
      </c>
      <c r="B14" t="s">
        <v>100</v>
      </c>
      <c r="C14" t="s">
        <v>96</v>
      </c>
      <c r="D14" t="s">
        <v>97</v>
      </c>
      <c r="E14" t="s">
        <v>44</v>
      </c>
      <c r="F14" t="s">
        <v>34</v>
      </c>
      <c r="G14" t="s">
        <v>35</v>
      </c>
      <c r="H14" t="s">
        <v>98</v>
      </c>
      <c r="I14" t="s">
        <v>54</v>
      </c>
      <c r="J14" t="s">
        <v>48</v>
      </c>
      <c r="K14" s="4">
        <v>45910</v>
      </c>
      <c r="L14" s="4">
        <v>46090</v>
      </c>
      <c r="M14" t="s">
        <v>38</v>
      </c>
      <c r="N14" t="s">
        <v>75</v>
      </c>
      <c r="O14">
        <v>5</v>
      </c>
      <c r="P14" t="s">
        <v>54</v>
      </c>
      <c r="Q14" s="4">
        <v>46306</v>
      </c>
      <c r="R14" t="s">
        <v>84</v>
      </c>
      <c r="S14" t="s">
        <v>38</v>
      </c>
      <c r="T14" t="s">
        <v>3153</v>
      </c>
      <c r="U14" t="s">
        <v>75</v>
      </c>
      <c r="V14" t="s">
        <v>3152</v>
      </c>
    </row>
    <row r="15" spans="1:22" x14ac:dyDescent="0.2">
      <c r="A15" t="s">
        <v>101</v>
      </c>
      <c r="B15" t="s">
        <v>102</v>
      </c>
      <c r="C15" t="s">
        <v>103</v>
      </c>
      <c r="D15" t="s">
        <v>104</v>
      </c>
      <c r="E15" t="s">
        <v>105</v>
      </c>
      <c r="F15" t="s">
        <v>45</v>
      </c>
      <c r="G15" t="s">
        <v>61</v>
      </c>
      <c r="H15" t="s">
        <v>88</v>
      </c>
      <c r="I15" t="s">
        <v>54</v>
      </c>
      <c r="J15" t="s">
        <v>48</v>
      </c>
      <c r="K15" s="4">
        <v>45974</v>
      </c>
      <c r="L15" s="4">
        <v>46064</v>
      </c>
      <c r="M15" t="s">
        <v>38</v>
      </c>
      <c r="N15" t="s">
        <v>55</v>
      </c>
      <c r="O15">
        <v>0</v>
      </c>
      <c r="P15" t="s">
        <v>106</v>
      </c>
      <c r="Q15" s="4">
        <v>46145</v>
      </c>
      <c r="R15" t="s">
        <v>57</v>
      </c>
      <c r="S15" t="s">
        <v>38</v>
      </c>
      <c r="T15" t="s">
        <v>3153</v>
      </c>
      <c r="U15" t="s">
        <v>55</v>
      </c>
      <c r="V15" t="s">
        <v>3154</v>
      </c>
    </row>
    <row r="16" spans="1:22" x14ac:dyDescent="0.2">
      <c r="A16" t="s">
        <v>107</v>
      </c>
      <c r="B16" t="s">
        <v>108</v>
      </c>
      <c r="C16" t="s">
        <v>78</v>
      </c>
      <c r="D16" t="s">
        <v>79</v>
      </c>
      <c r="E16" t="s">
        <v>53</v>
      </c>
      <c r="F16" t="s">
        <v>45</v>
      </c>
      <c r="G16" t="s">
        <v>46</v>
      </c>
      <c r="H16" t="s">
        <v>88</v>
      </c>
      <c r="I16" t="s">
        <v>54</v>
      </c>
      <c r="J16" t="s">
        <v>48</v>
      </c>
      <c r="K16" s="4">
        <v>45999</v>
      </c>
      <c r="L16" s="4">
        <v>46089</v>
      </c>
      <c r="M16" t="s">
        <v>38</v>
      </c>
      <c r="N16" t="s">
        <v>49</v>
      </c>
      <c r="O16">
        <v>3</v>
      </c>
      <c r="P16" t="s">
        <v>70</v>
      </c>
      <c r="Q16" s="4">
        <v>46239</v>
      </c>
      <c r="R16" t="s">
        <v>38</v>
      </c>
      <c r="S16" t="s">
        <v>38</v>
      </c>
      <c r="T16" t="s">
        <v>3153</v>
      </c>
      <c r="U16" t="s">
        <v>49</v>
      </c>
      <c r="V16" t="s">
        <v>3154</v>
      </c>
    </row>
    <row r="17" spans="1:22" x14ac:dyDescent="0.2">
      <c r="A17" t="s">
        <v>109</v>
      </c>
      <c r="B17" t="s">
        <v>110</v>
      </c>
      <c r="C17" t="s">
        <v>78</v>
      </c>
      <c r="D17" t="s">
        <v>79</v>
      </c>
      <c r="E17" t="s">
        <v>53</v>
      </c>
      <c r="F17" t="s">
        <v>34</v>
      </c>
      <c r="G17" t="s">
        <v>35</v>
      </c>
      <c r="H17" t="s">
        <v>88</v>
      </c>
      <c r="I17" t="s">
        <v>111</v>
      </c>
      <c r="J17" t="s">
        <v>37</v>
      </c>
      <c r="K17" s="4">
        <v>45833</v>
      </c>
      <c r="L17" s="4">
        <v>46198</v>
      </c>
      <c r="M17" t="s">
        <v>38</v>
      </c>
      <c r="N17" t="s">
        <v>55</v>
      </c>
      <c r="O17">
        <v>0</v>
      </c>
      <c r="P17" t="s">
        <v>70</v>
      </c>
      <c r="Q17" s="4">
        <v>46146</v>
      </c>
      <c r="R17" t="s">
        <v>57</v>
      </c>
      <c r="S17" t="s">
        <v>38</v>
      </c>
      <c r="T17" t="s">
        <v>3153</v>
      </c>
      <c r="U17" t="s">
        <v>55</v>
      </c>
      <c r="V17" t="s">
        <v>3154</v>
      </c>
    </row>
    <row r="18" spans="1:22" x14ac:dyDescent="0.2">
      <c r="A18" t="s">
        <v>112</v>
      </c>
      <c r="B18" t="s">
        <v>113</v>
      </c>
      <c r="C18" t="s">
        <v>31</v>
      </c>
      <c r="D18" t="s">
        <v>32</v>
      </c>
      <c r="E18" t="s">
        <v>44</v>
      </c>
      <c r="F18" t="s">
        <v>45</v>
      </c>
      <c r="G18" t="s">
        <v>46</v>
      </c>
      <c r="H18" t="s">
        <v>88</v>
      </c>
      <c r="I18" t="s">
        <v>50</v>
      </c>
      <c r="J18" t="s">
        <v>63</v>
      </c>
      <c r="K18" s="4">
        <v>46059</v>
      </c>
      <c r="L18" s="4">
        <v>46149</v>
      </c>
      <c r="M18" t="s">
        <v>38</v>
      </c>
      <c r="N18" t="s">
        <v>75</v>
      </c>
      <c r="O18">
        <v>3</v>
      </c>
      <c r="P18" t="s">
        <v>70</v>
      </c>
      <c r="Q18" s="4">
        <v>46242</v>
      </c>
      <c r="R18" t="s">
        <v>38</v>
      </c>
      <c r="S18" t="s">
        <v>38</v>
      </c>
      <c r="T18" t="s">
        <v>3153</v>
      </c>
      <c r="U18" t="s">
        <v>75</v>
      </c>
      <c r="V18" t="s">
        <v>3154</v>
      </c>
    </row>
    <row r="19" spans="1:22" x14ac:dyDescent="0.2">
      <c r="A19" t="s">
        <v>114</v>
      </c>
      <c r="B19" t="s">
        <v>115</v>
      </c>
      <c r="C19" t="s">
        <v>31</v>
      </c>
      <c r="D19" t="s">
        <v>87</v>
      </c>
      <c r="E19" t="s">
        <v>105</v>
      </c>
      <c r="F19" t="s">
        <v>45</v>
      </c>
      <c r="G19" t="s">
        <v>46</v>
      </c>
      <c r="H19" t="s">
        <v>98</v>
      </c>
      <c r="I19" t="s">
        <v>54</v>
      </c>
      <c r="J19" t="s">
        <v>37</v>
      </c>
      <c r="K19" s="4">
        <v>46190</v>
      </c>
      <c r="L19" s="4">
        <v>46370</v>
      </c>
      <c r="M19" t="s">
        <v>64</v>
      </c>
      <c r="N19" t="s">
        <v>55</v>
      </c>
      <c r="O19">
        <v>3</v>
      </c>
      <c r="P19" t="s">
        <v>111</v>
      </c>
      <c r="Q19" s="4">
        <v>46145</v>
      </c>
      <c r="R19" t="s">
        <v>64</v>
      </c>
      <c r="S19" t="s">
        <v>3155</v>
      </c>
      <c r="T19" t="s">
        <v>3153</v>
      </c>
      <c r="U19" t="s">
        <v>55</v>
      </c>
      <c r="V19" t="s">
        <v>3152</v>
      </c>
    </row>
    <row r="20" spans="1:22" x14ac:dyDescent="0.2">
      <c r="A20" t="s">
        <v>116</v>
      </c>
      <c r="B20" t="s">
        <v>117</v>
      </c>
      <c r="C20" t="s">
        <v>31</v>
      </c>
      <c r="D20" t="s">
        <v>87</v>
      </c>
      <c r="E20" t="s">
        <v>91</v>
      </c>
      <c r="F20" t="s">
        <v>67</v>
      </c>
      <c r="G20" t="s">
        <v>118</v>
      </c>
      <c r="H20" t="s">
        <v>98</v>
      </c>
      <c r="I20" t="s">
        <v>111</v>
      </c>
      <c r="J20" t="s">
        <v>37</v>
      </c>
      <c r="K20" s="4">
        <v>46196</v>
      </c>
      <c r="L20" s="4">
        <v>46286</v>
      </c>
      <c r="M20" t="s">
        <v>38</v>
      </c>
      <c r="N20" t="s">
        <v>75</v>
      </c>
      <c r="O20">
        <v>1</v>
      </c>
      <c r="P20" t="s">
        <v>39</v>
      </c>
      <c r="Q20" s="4">
        <v>46144</v>
      </c>
      <c r="R20" t="s">
        <v>38</v>
      </c>
      <c r="S20" t="s">
        <v>38</v>
      </c>
      <c r="T20" t="s">
        <v>3153</v>
      </c>
      <c r="U20" t="s">
        <v>75</v>
      </c>
      <c r="V20" t="s">
        <v>3152</v>
      </c>
    </row>
    <row r="21" spans="1:22" x14ac:dyDescent="0.2">
      <c r="A21" t="s">
        <v>119</v>
      </c>
      <c r="B21" t="s">
        <v>120</v>
      </c>
      <c r="C21" t="s">
        <v>103</v>
      </c>
      <c r="D21" t="s">
        <v>104</v>
      </c>
      <c r="E21" t="s">
        <v>60</v>
      </c>
      <c r="F21" t="s">
        <v>45</v>
      </c>
      <c r="G21" t="s">
        <v>61</v>
      </c>
      <c r="H21" t="s">
        <v>36</v>
      </c>
      <c r="I21" t="s">
        <v>50</v>
      </c>
      <c r="J21" t="s">
        <v>48</v>
      </c>
      <c r="K21" s="4">
        <v>46246</v>
      </c>
      <c r="L21" s="4">
        <v>46611</v>
      </c>
      <c r="M21" t="s">
        <v>64</v>
      </c>
      <c r="N21" t="s">
        <v>55</v>
      </c>
      <c r="O21">
        <v>0</v>
      </c>
      <c r="P21" t="s">
        <v>54</v>
      </c>
      <c r="Q21" s="4">
        <v>46149</v>
      </c>
      <c r="R21" t="s">
        <v>57</v>
      </c>
      <c r="S21" t="s">
        <v>3155</v>
      </c>
      <c r="T21" t="s">
        <v>3153</v>
      </c>
      <c r="U21" t="s">
        <v>55</v>
      </c>
      <c r="V21" t="s">
        <v>3152</v>
      </c>
    </row>
    <row r="22" spans="1:22" x14ac:dyDescent="0.2">
      <c r="A22" t="s">
        <v>121</v>
      </c>
      <c r="B22" t="s">
        <v>122</v>
      </c>
      <c r="C22" t="s">
        <v>31</v>
      </c>
      <c r="D22" t="s">
        <v>83</v>
      </c>
      <c r="E22" t="s">
        <v>60</v>
      </c>
      <c r="F22" t="s">
        <v>34</v>
      </c>
      <c r="G22" t="s">
        <v>35</v>
      </c>
      <c r="H22" t="s">
        <v>47</v>
      </c>
      <c r="I22" t="s">
        <v>106</v>
      </c>
      <c r="J22" t="s">
        <v>63</v>
      </c>
      <c r="K22" s="4">
        <v>45797</v>
      </c>
      <c r="L22" s="4">
        <v>45977</v>
      </c>
      <c r="M22" t="s">
        <v>38</v>
      </c>
      <c r="N22" t="s">
        <v>55</v>
      </c>
      <c r="O22">
        <v>2</v>
      </c>
      <c r="P22" t="s">
        <v>56</v>
      </c>
      <c r="Q22" s="4">
        <v>46237</v>
      </c>
      <c r="R22" t="s">
        <v>64</v>
      </c>
      <c r="S22" t="s">
        <v>38</v>
      </c>
      <c r="T22" t="s">
        <v>3153</v>
      </c>
      <c r="U22" t="s">
        <v>55</v>
      </c>
      <c r="V22" t="s">
        <v>3154</v>
      </c>
    </row>
    <row r="23" spans="1:22" x14ac:dyDescent="0.2">
      <c r="A23" t="s">
        <v>123</v>
      </c>
      <c r="B23" t="s">
        <v>124</v>
      </c>
      <c r="C23" t="s">
        <v>103</v>
      </c>
      <c r="D23" t="s">
        <v>104</v>
      </c>
      <c r="E23" t="s">
        <v>105</v>
      </c>
      <c r="F23" t="s">
        <v>67</v>
      </c>
      <c r="G23" t="s">
        <v>118</v>
      </c>
      <c r="H23" t="s">
        <v>47</v>
      </c>
      <c r="I23" t="s">
        <v>70</v>
      </c>
      <c r="J23" t="s">
        <v>37</v>
      </c>
      <c r="K23" s="4">
        <v>46238</v>
      </c>
      <c r="L23" s="4">
        <v>46603</v>
      </c>
      <c r="M23" t="s">
        <v>64</v>
      </c>
      <c r="N23" t="s">
        <v>75</v>
      </c>
      <c r="O23">
        <v>1</v>
      </c>
      <c r="P23" t="s">
        <v>50</v>
      </c>
      <c r="Q23" s="4">
        <v>46293</v>
      </c>
      <c r="R23" t="s">
        <v>38</v>
      </c>
      <c r="S23" t="s">
        <v>3155</v>
      </c>
      <c r="T23" t="s">
        <v>3153</v>
      </c>
      <c r="U23" t="s">
        <v>75</v>
      </c>
      <c r="V23" t="s">
        <v>3154</v>
      </c>
    </row>
    <row r="24" spans="1:22" x14ac:dyDescent="0.2">
      <c r="A24" t="s">
        <v>125</v>
      </c>
      <c r="B24" t="s">
        <v>126</v>
      </c>
      <c r="C24" t="s">
        <v>42</v>
      </c>
      <c r="D24" t="s">
        <v>43</v>
      </c>
      <c r="E24" t="s">
        <v>60</v>
      </c>
      <c r="F24" t="s">
        <v>67</v>
      </c>
      <c r="G24" t="s">
        <v>118</v>
      </c>
      <c r="H24" t="s">
        <v>98</v>
      </c>
      <c r="I24" t="s">
        <v>39</v>
      </c>
      <c r="J24" t="s">
        <v>48</v>
      </c>
      <c r="K24" s="4">
        <v>45934</v>
      </c>
      <c r="L24" s="4">
        <v>46299</v>
      </c>
      <c r="M24" t="s">
        <v>64</v>
      </c>
      <c r="N24" t="s">
        <v>49</v>
      </c>
      <c r="O24">
        <v>0</v>
      </c>
      <c r="P24" t="s">
        <v>50</v>
      </c>
      <c r="Q24" s="4">
        <v>46183</v>
      </c>
      <c r="R24" t="s">
        <v>57</v>
      </c>
      <c r="S24" t="s">
        <v>3155</v>
      </c>
      <c r="T24" t="s">
        <v>3153</v>
      </c>
      <c r="U24" t="s">
        <v>49</v>
      </c>
      <c r="V24" t="s">
        <v>3152</v>
      </c>
    </row>
    <row r="25" spans="1:22" x14ac:dyDescent="0.2">
      <c r="A25" t="s">
        <v>127</v>
      </c>
      <c r="B25" t="s">
        <v>128</v>
      </c>
      <c r="C25" t="s">
        <v>31</v>
      </c>
      <c r="D25" t="s">
        <v>87</v>
      </c>
      <c r="E25" t="s">
        <v>60</v>
      </c>
      <c r="F25" t="s">
        <v>67</v>
      </c>
      <c r="G25" t="s">
        <v>118</v>
      </c>
      <c r="H25" t="s">
        <v>47</v>
      </c>
      <c r="I25" t="s">
        <v>106</v>
      </c>
      <c r="J25" t="s">
        <v>63</v>
      </c>
      <c r="K25" s="4">
        <v>46171</v>
      </c>
      <c r="L25" s="4">
        <v>46536</v>
      </c>
      <c r="M25" t="s">
        <v>69</v>
      </c>
      <c r="N25" t="s">
        <v>49</v>
      </c>
      <c r="O25">
        <v>3</v>
      </c>
      <c r="P25" t="s">
        <v>62</v>
      </c>
      <c r="Q25" s="4">
        <v>46243</v>
      </c>
      <c r="R25" t="s">
        <v>38</v>
      </c>
      <c r="S25" t="s">
        <v>3155</v>
      </c>
      <c r="T25" t="s">
        <v>3153</v>
      </c>
      <c r="U25" t="s">
        <v>49</v>
      </c>
      <c r="V25" t="s">
        <v>3154</v>
      </c>
    </row>
    <row r="26" spans="1:22" x14ac:dyDescent="0.2">
      <c r="A26" t="s">
        <v>129</v>
      </c>
      <c r="B26" t="s">
        <v>130</v>
      </c>
      <c r="C26" t="s">
        <v>31</v>
      </c>
      <c r="D26" t="s">
        <v>87</v>
      </c>
      <c r="E26" t="s">
        <v>105</v>
      </c>
      <c r="F26" t="s">
        <v>67</v>
      </c>
      <c r="G26" t="s">
        <v>68</v>
      </c>
      <c r="H26" t="s">
        <v>88</v>
      </c>
      <c r="I26" t="s">
        <v>50</v>
      </c>
      <c r="J26" t="s">
        <v>48</v>
      </c>
      <c r="K26" s="4">
        <v>45949</v>
      </c>
      <c r="L26" s="4">
        <v>46129</v>
      </c>
      <c r="M26" t="s">
        <v>38</v>
      </c>
      <c r="N26" t="s">
        <v>55</v>
      </c>
      <c r="O26">
        <v>3</v>
      </c>
      <c r="P26" t="s">
        <v>50</v>
      </c>
      <c r="Q26" s="4">
        <v>46397</v>
      </c>
      <c r="R26" t="s">
        <v>84</v>
      </c>
      <c r="S26" t="s">
        <v>38</v>
      </c>
      <c r="T26" t="s">
        <v>3153</v>
      </c>
      <c r="U26" t="s">
        <v>55</v>
      </c>
      <c r="V26" t="s">
        <v>3154</v>
      </c>
    </row>
    <row r="27" spans="1:22" x14ac:dyDescent="0.2">
      <c r="A27" t="s">
        <v>131</v>
      </c>
      <c r="B27" t="s">
        <v>132</v>
      </c>
      <c r="C27" t="s">
        <v>31</v>
      </c>
      <c r="D27" t="s">
        <v>87</v>
      </c>
      <c r="E27" t="s">
        <v>53</v>
      </c>
      <c r="F27" t="s">
        <v>34</v>
      </c>
      <c r="G27" t="s">
        <v>35</v>
      </c>
      <c r="H27" t="s">
        <v>88</v>
      </c>
      <c r="I27" t="s">
        <v>50</v>
      </c>
      <c r="J27" t="s">
        <v>48</v>
      </c>
      <c r="K27" s="4">
        <v>46055</v>
      </c>
      <c r="L27" s="4">
        <v>46145</v>
      </c>
      <c r="M27" t="s">
        <v>38</v>
      </c>
      <c r="N27" t="s">
        <v>55</v>
      </c>
      <c r="O27">
        <v>2</v>
      </c>
      <c r="P27" t="s">
        <v>54</v>
      </c>
      <c r="Q27" s="4">
        <v>46301</v>
      </c>
      <c r="R27" t="s">
        <v>84</v>
      </c>
      <c r="S27" t="s">
        <v>38</v>
      </c>
      <c r="T27" t="s">
        <v>3153</v>
      </c>
      <c r="U27" t="s">
        <v>55</v>
      </c>
      <c r="V27" t="s">
        <v>3154</v>
      </c>
    </row>
    <row r="28" spans="1:22" x14ac:dyDescent="0.2">
      <c r="A28" t="s">
        <v>133</v>
      </c>
      <c r="B28" t="s">
        <v>134</v>
      </c>
      <c r="C28" t="s">
        <v>31</v>
      </c>
      <c r="D28" t="s">
        <v>87</v>
      </c>
      <c r="E28" t="s">
        <v>53</v>
      </c>
      <c r="F28" t="s">
        <v>34</v>
      </c>
      <c r="G28" t="s">
        <v>35</v>
      </c>
      <c r="H28" t="s">
        <v>36</v>
      </c>
      <c r="I28" t="s">
        <v>62</v>
      </c>
      <c r="J28" t="s">
        <v>63</v>
      </c>
      <c r="K28" s="4">
        <v>45958</v>
      </c>
      <c r="L28" s="4">
        <v>46323</v>
      </c>
      <c r="M28" t="s">
        <v>64</v>
      </c>
      <c r="N28" t="s">
        <v>55</v>
      </c>
      <c r="O28">
        <v>1</v>
      </c>
      <c r="P28" t="s">
        <v>106</v>
      </c>
      <c r="Q28" s="4">
        <v>46205</v>
      </c>
      <c r="R28" t="s">
        <v>38</v>
      </c>
      <c r="S28" t="s">
        <v>3155</v>
      </c>
      <c r="T28" t="s">
        <v>3153</v>
      </c>
      <c r="U28" t="s">
        <v>55</v>
      </c>
      <c r="V28" t="s">
        <v>3152</v>
      </c>
    </row>
    <row r="29" spans="1:22" x14ac:dyDescent="0.2">
      <c r="A29" t="s">
        <v>135</v>
      </c>
      <c r="B29" t="s">
        <v>136</v>
      </c>
      <c r="C29" t="s">
        <v>96</v>
      </c>
      <c r="D29" t="s">
        <v>97</v>
      </c>
      <c r="E29" t="s">
        <v>53</v>
      </c>
      <c r="F29" t="s">
        <v>67</v>
      </c>
      <c r="G29" t="s">
        <v>68</v>
      </c>
      <c r="H29" t="s">
        <v>47</v>
      </c>
      <c r="I29" t="s">
        <v>70</v>
      </c>
      <c r="J29" t="s">
        <v>37</v>
      </c>
      <c r="K29" s="4">
        <v>46080</v>
      </c>
      <c r="L29" s="4">
        <v>46170</v>
      </c>
      <c r="M29" t="s">
        <v>38</v>
      </c>
      <c r="N29" t="s">
        <v>75</v>
      </c>
      <c r="O29">
        <v>1</v>
      </c>
      <c r="P29" t="s">
        <v>54</v>
      </c>
      <c r="Q29" s="4">
        <v>46217</v>
      </c>
      <c r="R29" t="s">
        <v>38</v>
      </c>
      <c r="S29" t="s">
        <v>38</v>
      </c>
      <c r="T29" t="s">
        <v>3153</v>
      </c>
      <c r="U29" t="s">
        <v>75</v>
      </c>
      <c r="V29" t="s">
        <v>3154</v>
      </c>
    </row>
    <row r="30" spans="1:22" x14ac:dyDescent="0.2">
      <c r="A30" t="s">
        <v>137</v>
      </c>
      <c r="B30" t="s">
        <v>138</v>
      </c>
      <c r="C30" t="s">
        <v>73</v>
      </c>
      <c r="D30" t="s">
        <v>74</v>
      </c>
      <c r="E30" t="s">
        <v>91</v>
      </c>
      <c r="F30" t="s">
        <v>45</v>
      </c>
      <c r="G30" t="s">
        <v>46</v>
      </c>
      <c r="H30" t="s">
        <v>47</v>
      </c>
      <c r="I30" t="s">
        <v>106</v>
      </c>
      <c r="J30" t="s">
        <v>48</v>
      </c>
      <c r="K30" s="4">
        <v>46133</v>
      </c>
      <c r="L30" s="4">
        <v>46223</v>
      </c>
      <c r="M30" t="s">
        <v>38</v>
      </c>
      <c r="N30" t="s">
        <v>75</v>
      </c>
      <c r="O30">
        <v>2</v>
      </c>
      <c r="P30" t="s">
        <v>56</v>
      </c>
      <c r="Q30" s="4">
        <v>46375</v>
      </c>
      <c r="R30" t="s">
        <v>84</v>
      </c>
      <c r="S30" t="s">
        <v>38</v>
      </c>
      <c r="T30" t="s">
        <v>3153</v>
      </c>
      <c r="U30" t="s">
        <v>75</v>
      </c>
      <c r="V30" t="s">
        <v>3154</v>
      </c>
    </row>
    <row r="31" spans="1:22" x14ac:dyDescent="0.2">
      <c r="A31" t="s">
        <v>139</v>
      </c>
      <c r="B31" t="s">
        <v>140</v>
      </c>
      <c r="C31" t="s">
        <v>103</v>
      </c>
      <c r="D31" t="s">
        <v>104</v>
      </c>
      <c r="E31" t="s">
        <v>105</v>
      </c>
      <c r="F31" t="s">
        <v>45</v>
      </c>
      <c r="G31" t="s">
        <v>61</v>
      </c>
      <c r="H31" t="s">
        <v>47</v>
      </c>
      <c r="I31" t="s">
        <v>62</v>
      </c>
      <c r="J31" t="s">
        <v>48</v>
      </c>
      <c r="K31" s="4">
        <v>46099</v>
      </c>
      <c r="L31" s="4">
        <v>46464</v>
      </c>
      <c r="M31" t="s">
        <v>69</v>
      </c>
      <c r="N31" t="s">
        <v>49</v>
      </c>
      <c r="O31">
        <v>0</v>
      </c>
      <c r="P31" t="s">
        <v>62</v>
      </c>
      <c r="Q31" s="4">
        <v>46312</v>
      </c>
      <c r="R31" t="s">
        <v>57</v>
      </c>
      <c r="S31" t="s">
        <v>3155</v>
      </c>
      <c r="T31" t="s">
        <v>3153</v>
      </c>
      <c r="U31" t="s">
        <v>49</v>
      </c>
      <c r="V31" t="s">
        <v>3154</v>
      </c>
    </row>
    <row r="32" spans="1:22" x14ac:dyDescent="0.2">
      <c r="A32" t="s">
        <v>141</v>
      </c>
      <c r="B32" t="s">
        <v>142</v>
      </c>
      <c r="C32" t="s">
        <v>42</v>
      </c>
      <c r="D32" t="s">
        <v>43</v>
      </c>
      <c r="E32" t="s">
        <v>53</v>
      </c>
      <c r="F32" t="s">
        <v>45</v>
      </c>
      <c r="G32" t="s">
        <v>46</v>
      </c>
      <c r="H32" t="s">
        <v>88</v>
      </c>
      <c r="I32" t="s">
        <v>106</v>
      </c>
      <c r="J32" t="s">
        <v>37</v>
      </c>
      <c r="K32" s="4">
        <v>45956</v>
      </c>
      <c r="L32" s="4">
        <v>46136</v>
      </c>
      <c r="M32" t="s">
        <v>38</v>
      </c>
      <c r="N32" t="s">
        <v>49</v>
      </c>
      <c r="O32">
        <v>0</v>
      </c>
      <c r="P32" t="s">
        <v>106</v>
      </c>
      <c r="Q32" s="4">
        <v>46268</v>
      </c>
      <c r="R32" t="s">
        <v>57</v>
      </c>
      <c r="S32" t="s">
        <v>38</v>
      </c>
      <c r="T32" t="s">
        <v>3153</v>
      </c>
      <c r="U32" t="s">
        <v>49</v>
      </c>
      <c r="V32" t="s">
        <v>3154</v>
      </c>
    </row>
    <row r="33" spans="1:22" x14ac:dyDescent="0.2">
      <c r="A33" t="s">
        <v>143</v>
      </c>
      <c r="B33" t="s">
        <v>144</v>
      </c>
      <c r="C33" t="s">
        <v>31</v>
      </c>
      <c r="D33" t="s">
        <v>87</v>
      </c>
      <c r="E33" t="s">
        <v>60</v>
      </c>
      <c r="F33" t="s">
        <v>67</v>
      </c>
      <c r="G33" t="s">
        <v>118</v>
      </c>
      <c r="H33" t="s">
        <v>47</v>
      </c>
      <c r="I33" t="s">
        <v>62</v>
      </c>
      <c r="J33" t="s">
        <v>37</v>
      </c>
      <c r="K33" s="4">
        <v>45935</v>
      </c>
      <c r="L33" s="4">
        <v>46115</v>
      </c>
      <c r="M33" t="s">
        <v>38</v>
      </c>
      <c r="N33" t="s">
        <v>49</v>
      </c>
      <c r="O33">
        <v>1</v>
      </c>
      <c r="P33" t="s">
        <v>54</v>
      </c>
      <c r="Q33" s="4">
        <v>46406</v>
      </c>
      <c r="R33" t="s">
        <v>64</v>
      </c>
      <c r="S33" t="s">
        <v>38</v>
      </c>
      <c r="T33" t="s">
        <v>3153</v>
      </c>
      <c r="U33" t="s">
        <v>49</v>
      </c>
      <c r="V33" t="s">
        <v>3154</v>
      </c>
    </row>
    <row r="34" spans="1:22" x14ac:dyDescent="0.2">
      <c r="A34" t="s">
        <v>145</v>
      </c>
      <c r="B34" t="s">
        <v>146</v>
      </c>
      <c r="C34" t="s">
        <v>73</v>
      </c>
      <c r="D34" t="s">
        <v>74</v>
      </c>
      <c r="E34" t="s">
        <v>80</v>
      </c>
      <c r="F34" t="s">
        <v>67</v>
      </c>
      <c r="G34" t="s">
        <v>118</v>
      </c>
      <c r="H34" t="s">
        <v>88</v>
      </c>
      <c r="I34" t="s">
        <v>54</v>
      </c>
      <c r="J34" t="s">
        <v>48</v>
      </c>
      <c r="K34" s="4">
        <v>46014</v>
      </c>
      <c r="L34" s="4">
        <v>46194</v>
      </c>
      <c r="M34" t="s">
        <v>38</v>
      </c>
      <c r="N34" t="s">
        <v>49</v>
      </c>
      <c r="O34">
        <v>1</v>
      </c>
      <c r="P34" t="s">
        <v>56</v>
      </c>
      <c r="Q34" s="4">
        <v>46158</v>
      </c>
      <c r="R34" t="s">
        <v>64</v>
      </c>
      <c r="S34" t="s">
        <v>38</v>
      </c>
      <c r="T34" t="s">
        <v>3153</v>
      </c>
      <c r="U34" t="s">
        <v>49</v>
      </c>
      <c r="V34" t="s">
        <v>3154</v>
      </c>
    </row>
    <row r="35" spans="1:22" x14ac:dyDescent="0.2">
      <c r="A35" t="s">
        <v>147</v>
      </c>
      <c r="B35" t="s">
        <v>148</v>
      </c>
      <c r="C35" t="s">
        <v>78</v>
      </c>
      <c r="D35" t="s">
        <v>79</v>
      </c>
      <c r="E35" t="s">
        <v>44</v>
      </c>
      <c r="F35" t="s">
        <v>45</v>
      </c>
      <c r="G35" t="s">
        <v>46</v>
      </c>
      <c r="H35" t="s">
        <v>47</v>
      </c>
      <c r="I35" t="s">
        <v>54</v>
      </c>
      <c r="J35" t="s">
        <v>37</v>
      </c>
      <c r="K35" s="4">
        <v>46032</v>
      </c>
      <c r="L35" s="4">
        <v>46397</v>
      </c>
      <c r="M35" t="s">
        <v>84</v>
      </c>
      <c r="N35" t="s">
        <v>75</v>
      </c>
      <c r="O35">
        <v>3</v>
      </c>
      <c r="P35" t="s">
        <v>54</v>
      </c>
      <c r="Q35" s="4">
        <v>46409</v>
      </c>
      <c r="R35" t="s">
        <v>64</v>
      </c>
      <c r="S35" t="s">
        <v>3155</v>
      </c>
      <c r="T35" t="s">
        <v>3153</v>
      </c>
      <c r="U35" t="s">
        <v>75</v>
      </c>
      <c r="V35" t="s">
        <v>3154</v>
      </c>
    </row>
    <row r="36" spans="1:22" x14ac:dyDescent="0.2">
      <c r="A36" t="s">
        <v>149</v>
      </c>
      <c r="B36" t="s">
        <v>150</v>
      </c>
      <c r="C36" t="s">
        <v>31</v>
      </c>
      <c r="D36" t="s">
        <v>32</v>
      </c>
      <c r="E36" t="s">
        <v>105</v>
      </c>
      <c r="F36" t="s">
        <v>45</v>
      </c>
      <c r="G36" t="s">
        <v>46</v>
      </c>
      <c r="H36" t="s">
        <v>36</v>
      </c>
      <c r="I36" t="s">
        <v>54</v>
      </c>
      <c r="J36" t="s">
        <v>48</v>
      </c>
      <c r="K36" s="4">
        <v>46185</v>
      </c>
      <c r="L36" s="4">
        <v>46550</v>
      </c>
      <c r="M36" t="s">
        <v>64</v>
      </c>
      <c r="N36" t="s">
        <v>55</v>
      </c>
      <c r="O36">
        <v>4</v>
      </c>
      <c r="P36" t="s">
        <v>111</v>
      </c>
      <c r="Q36" s="4">
        <v>46242</v>
      </c>
      <c r="R36" t="s">
        <v>38</v>
      </c>
      <c r="S36" t="s">
        <v>3155</v>
      </c>
      <c r="T36" t="s">
        <v>3153</v>
      </c>
      <c r="U36" t="s">
        <v>55</v>
      </c>
      <c r="V36" t="s">
        <v>3152</v>
      </c>
    </row>
    <row r="37" spans="1:22" x14ac:dyDescent="0.2">
      <c r="A37" t="s">
        <v>29</v>
      </c>
      <c r="B37" t="s">
        <v>151</v>
      </c>
      <c r="C37" t="s">
        <v>103</v>
      </c>
      <c r="D37" t="s">
        <v>104</v>
      </c>
      <c r="E37" t="s">
        <v>80</v>
      </c>
      <c r="F37" t="s">
        <v>34</v>
      </c>
      <c r="G37" t="s">
        <v>35</v>
      </c>
      <c r="H37" t="s">
        <v>88</v>
      </c>
      <c r="I37" t="s">
        <v>62</v>
      </c>
      <c r="J37" t="s">
        <v>63</v>
      </c>
      <c r="K37" s="4">
        <v>45850</v>
      </c>
      <c r="L37" s="4">
        <v>46215</v>
      </c>
      <c r="M37" t="s">
        <v>38</v>
      </c>
      <c r="N37" t="s">
        <v>75</v>
      </c>
      <c r="O37">
        <v>1</v>
      </c>
      <c r="P37" t="s">
        <v>56</v>
      </c>
      <c r="Q37" s="4">
        <v>46358</v>
      </c>
      <c r="R37" t="s">
        <v>84</v>
      </c>
      <c r="S37" t="s">
        <v>38</v>
      </c>
      <c r="T37" t="s">
        <v>3153</v>
      </c>
      <c r="U37" t="s">
        <v>75</v>
      </c>
      <c r="V37" t="s">
        <v>3154</v>
      </c>
    </row>
    <row r="38" spans="1:22" x14ac:dyDescent="0.2">
      <c r="A38" t="s">
        <v>40</v>
      </c>
      <c r="B38" t="s">
        <v>152</v>
      </c>
      <c r="C38" t="s">
        <v>31</v>
      </c>
      <c r="D38" t="s">
        <v>32</v>
      </c>
      <c r="E38" t="s">
        <v>91</v>
      </c>
      <c r="F38" t="s">
        <v>34</v>
      </c>
      <c r="G38" t="s">
        <v>35</v>
      </c>
      <c r="H38" t="s">
        <v>47</v>
      </c>
      <c r="I38" t="s">
        <v>111</v>
      </c>
      <c r="J38" t="s">
        <v>48</v>
      </c>
      <c r="K38" s="4">
        <v>46236</v>
      </c>
      <c r="L38" s="4">
        <v>46601</v>
      </c>
      <c r="M38" t="s">
        <v>64</v>
      </c>
      <c r="N38" t="s">
        <v>75</v>
      </c>
      <c r="O38">
        <v>2</v>
      </c>
      <c r="P38" t="s">
        <v>54</v>
      </c>
      <c r="Q38" s="4">
        <v>46278</v>
      </c>
      <c r="R38" t="s">
        <v>38</v>
      </c>
      <c r="S38" t="s">
        <v>3155</v>
      </c>
      <c r="T38" t="s">
        <v>3153</v>
      </c>
      <c r="U38" t="s">
        <v>75</v>
      </c>
      <c r="V38" t="s">
        <v>3154</v>
      </c>
    </row>
    <row r="39" spans="1:22" x14ac:dyDescent="0.2">
      <c r="A39" t="s">
        <v>51</v>
      </c>
      <c r="B39" t="s">
        <v>153</v>
      </c>
      <c r="C39" t="s">
        <v>78</v>
      </c>
      <c r="D39" t="s">
        <v>79</v>
      </c>
      <c r="E39" t="s">
        <v>91</v>
      </c>
      <c r="F39" t="s">
        <v>67</v>
      </c>
      <c r="G39" t="s">
        <v>68</v>
      </c>
      <c r="H39" t="s">
        <v>47</v>
      </c>
      <c r="I39" t="s">
        <v>62</v>
      </c>
      <c r="J39" t="s">
        <v>63</v>
      </c>
      <c r="K39" s="4">
        <v>46067</v>
      </c>
      <c r="L39" s="4">
        <v>46247</v>
      </c>
      <c r="M39" t="s">
        <v>38</v>
      </c>
      <c r="N39" t="s">
        <v>49</v>
      </c>
      <c r="O39">
        <v>3</v>
      </c>
      <c r="P39" t="s">
        <v>39</v>
      </c>
      <c r="Q39" s="4">
        <v>46327</v>
      </c>
      <c r="R39" t="s">
        <v>64</v>
      </c>
      <c r="S39" t="s">
        <v>38</v>
      </c>
      <c r="T39" t="s">
        <v>3153</v>
      </c>
      <c r="U39" t="s">
        <v>49</v>
      </c>
      <c r="V39" t="s">
        <v>3154</v>
      </c>
    </row>
    <row r="40" spans="1:22" x14ac:dyDescent="0.2">
      <c r="A40" t="s">
        <v>58</v>
      </c>
      <c r="B40" t="s">
        <v>154</v>
      </c>
      <c r="C40" t="s">
        <v>78</v>
      </c>
      <c r="D40" t="s">
        <v>79</v>
      </c>
      <c r="E40" t="s">
        <v>80</v>
      </c>
      <c r="F40" t="s">
        <v>34</v>
      </c>
      <c r="G40" t="s">
        <v>35</v>
      </c>
      <c r="H40" t="s">
        <v>47</v>
      </c>
      <c r="I40" t="s">
        <v>106</v>
      </c>
      <c r="J40" t="s">
        <v>48</v>
      </c>
      <c r="K40" s="4">
        <v>46123</v>
      </c>
      <c r="L40" s="4">
        <v>46303</v>
      </c>
      <c r="M40" t="s">
        <v>69</v>
      </c>
      <c r="N40" t="s">
        <v>49</v>
      </c>
      <c r="O40">
        <v>1</v>
      </c>
      <c r="P40" t="s">
        <v>62</v>
      </c>
      <c r="Q40" s="4">
        <v>46364</v>
      </c>
      <c r="R40" t="s">
        <v>64</v>
      </c>
      <c r="S40" t="s">
        <v>3155</v>
      </c>
      <c r="T40" t="s">
        <v>3153</v>
      </c>
      <c r="U40" t="s">
        <v>49</v>
      </c>
      <c r="V40" t="s">
        <v>3154</v>
      </c>
    </row>
    <row r="41" spans="1:22" x14ac:dyDescent="0.2">
      <c r="A41" t="s">
        <v>65</v>
      </c>
      <c r="B41" t="s">
        <v>155</v>
      </c>
      <c r="C41" t="s">
        <v>31</v>
      </c>
      <c r="D41" t="s">
        <v>87</v>
      </c>
      <c r="E41" t="s">
        <v>91</v>
      </c>
      <c r="F41" t="s">
        <v>67</v>
      </c>
      <c r="G41" t="s">
        <v>118</v>
      </c>
      <c r="H41" t="s">
        <v>47</v>
      </c>
      <c r="I41" t="s">
        <v>111</v>
      </c>
      <c r="J41" t="s">
        <v>63</v>
      </c>
      <c r="K41" s="4">
        <v>45805</v>
      </c>
      <c r="L41" s="4">
        <v>45895</v>
      </c>
      <c r="M41" t="s">
        <v>38</v>
      </c>
      <c r="N41" t="s">
        <v>49</v>
      </c>
      <c r="O41">
        <v>0</v>
      </c>
      <c r="P41" t="s">
        <v>62</v>
      </c>
      <c r="Q41" s="4">
        <v>46316</v>
      </c>
      <c r="R41" t="s">
        <v>57</v>
      </c>
      <c r="S41" t="s">
        <v>38</v>
      </c>
      <c r="T41" t="s">
        <v>3153</v>
      </c>
      <c r="U41" t="s">
        <v>49</v>
      </c>
      <c r="V41" t="s">
        <v>3154</v>
      </c>
    </row>
    <row r="42" spans="1:22" x14ac:dyDescent="0.2">
      <c r="A42" t="s">
        <v>71</v>
      </c>
      <c r="B42" t="s">
        <v>156</v>
      </c>
      <c r="C42" t="s">
        <v>78</v>
      </c>
      <c r="D42" t="s">
        <v>79</v>
      </c>
      <c r="E42" t="s">
        <v>44</v>
      </c>
      <c r="F42" t="s">
        <v>45</v>
      </c>
      <c r="G42" t="s">
        <v>61</v>
      </c>
      <c r="H42" t="s">
        <v>47</v>
      </c>
      <c r="I42" t="s">
        <v>62</v>
      </c>
      <c r="J42" t="s">
        <v>37</v>
      </c>
      <c r="K42" s="4">
        <v>46108</v>
      </c>
      <c r="L42" s="4">
        <v>46198</v>
      </c>
      <c r="M42" t="s">
        <v>38</v>
      </c>
      <c r="N42" t="s">
        <v>75</v>
      </c>
      <c r="O42">
        <v>2</v>
      </c>
      <c r="P42" t="s">
        <v>56</v>
      </c>
      <c r="Q42" s="4">
        <v>46287</v>
      </c>
      <c r="R42" t="s">
        <v>38</v>
      </c>
      <c r="S42" t="s">
        <v>38</v>
      </c>
      <c r="T42" t="s">
        <v>3153</v>
      </c>
      <c r="U42" t="s">
        <v>75</v>
      </c>
      <c r="V42" t="s">
        <v>3154</v>
      </c>
    </row>
    <row r="43" spans="1:22" x14ac:dyDescent="0.2">
      <c r="A43" t="s">
        <v>76</v>
      </c>
      <c r="B43" t="s">
        <v>157</v>
      </c>
      <c r="C43" t="s">
        <v>31</v>
      </c>
      <c r="D43" t="s">
        <v>87</v>
      </c>
      <c r="E43" t="s">
        <v>105</v>
      </c>
      <c r="F43" t="s">
        <v>45</v>
      </c>
      <c r="G43" t="s">
        <v>61</v>
      </c>
      <c r="H43" t="s">
        <v>36</v>
      </c>
      <c r="I43" t="s">
        <v>39</v>
      </c>
      <c r="J43" t="s">
        <v>48</v>
      </c>
      <c r="K43" s="4">
        <v>46096</v>
      </c>
      <c r="L43" s="4">
        <v>46186</v>
      </c>
      <c r="M43" t="s">
        <v>38</v>
      </c>
      <c r="N43" t="s">
        <v>49</v>
      </c>
      <c r="O43">
        <v>0</v>
      </c>
      <c r="P43" t="s">
        <v>39</v>
      </c>
      <c r="Q43" s="4">
        <v>46135</v>
      </c>
      <c r="R43" t="s">
        <v>57</v>
      </c>
      <c r="S43" t="s">
        <v>38</v>
      </c>
      <c r="T43" t="s">
        <v>3153</v>
      </c>
      <c r="U43" t="s">
        <v>49</v>
      </c>
      <c r="V43" t="s">
        <v>3152</v>
      </c>
    </row>
    <row r="44" spans="1:22" x14ac:dyDescent="0.2">
      <c r="A44" t="s">
        <v>81</v>
      </c>
      <c r="B44" t="s">
        <v>158</v>
      </c>
      <c r="C44" t="s">
        <v>31</v>
      </c>
      <c r="D44" t="s">
        <v>32</v>
      </c>
      <c r="E44" t="s">
        <v>44</v>
      </c>
      <c r="F44" t="s">
        <v>34</v>
      </c>
      <c r="G44" t="s">
        <v>35</v>
      </c>
      <c r="H44" t="s">
        <v>47</v>
      </c>
      <c r="I44" t="s">
        <v>70</v>
      </c>
      <c r="J44" t="s">
        <v>48</v>
      </c>
      <c r="K44" s="4">
        <v>45987</v>
      </c>
      <c r="L44" s="4">
        <v>46077</v>
      </c>
      <c r="M44" t="s">
        <v>38</v>
      </c>
      <c r="N44" t="s">
        <v>75</v>
      </c>
      <c r="O44">
        <v>2</v>
      </c>
      <c r="P44" t="s">
        <v>56</v>
      </c>
      <c r="Q44" s="4">
        <v>46303</v>
      </c>
      <c r="R44" t="s">
        <v>64</v>
      </c>
      <c r="S44" t="s">
        <v>38</v>
      </c>
      <c r="T44" t="s">
        <v>3153</v>
      </c>
      <c r="U44" t="s">
        <v>75</v>
      </c>
      <c r="V44" t="s">
        <v>3154</v>
      </c>
    </row>
    <row r="45" spans="1:22" x14ac:dyDescent="0.2">
      <c r="A45" t="s">
        <v>85</v>
      </c>
      <c r="B45" t="s">
        <v>159</v>
      </c>
      <c r="C45" t="s">
        <v>42</v>
      </c>
      <c r="D45" t="s">
        <v>43</v>
      </c>
      <c r="E45" t="s">
        <v>53</v>
      </c>
      <c r="F45" t="s">
        <v>45</v>
      </c>
      <c r="G45" t="s">
        <v>46</v>
      </c>
      <c r="H45" t="s">
        <v>88</v>
      </c>
      <c r="I45" t="s">
        <v>62</v>
      </c>
      <c r="J45" t="s">
        <v>63</v>
      </c>
      <c r="K45" s="4">
        <v>46072</v>
      </c>
      <c r="L45" s="4">
        <v>46437</v>
      </c>
      <c r="M45" t="s">
        <v>64</v>
      </c>
      <c r="N45" t="s">
        <v>49</v>
      </c>
      <c r="O45">
        <v>1</v>
      </c>
      <c r="P45" t="s">
        <v>70</v>
      </c>
      <c r="Q45" s="4">
        <v>46167</v>
      </c>
      <c r="R45" t="s">
        <v>38</v>
      </c>
      <c r="S45" t="s">
        <v>3155</v>
      </c>
      <c r="T45" t="s">
        <v>3153</v>
      </c>
      <c r="U45" t="s">
        <v>49</v>
      </c>
      <c r="V45" t="s">
        <v>3154</v>
      </c>
    </row>
    <row r="46" spans="1:22" x14ac:dyDescent="0.2">
      <c r="A46" t="s">
        <v>89</v>
      </c>
      <c r="B46" t="s">
        <v>160</v>
      </c>
      <c r="C46" t="s">
        <v>73</v>
      </c>
      <c r="D46" t="s">
        <v>74</v>
      </c>
      <c r="E46" t="s">
        <v>53</v>
      </c>
      <c r="F46" t="s">
        <v>34</v>
      </c>
      <c r="G46" t="s">
        <v>35</v>
      </c>
      <c r="H46" t="s">
        <v>88</v>
      </c>
      <c r="I46" t="s">
        <v>106</v>
      </c>
      <c r="J46" t="s">
        <v>37</v>
      </c>
      <c r="K46" s="4">
        <v>46240</v>
      </c>
      <c r="L46" s="4">
        <v>46605</v>
      </c>
      <c r="M46" t="s">
        <v>84</v>
      </c>
      <c r="N46" t="s">
        <v>75</v>
      </c>
      <c r="O46">
        <v>3</v>
      </c>
      <c r="P46" t="s">
        <v>50</v>
      </c>
      <c r="Q46" s="4">
        <v>46169</v>
      </c>
      <c r="R46" t="s">
        <v>38</v>
      </c>
      <c r="S46" t="s">
        <v>3155</v>
      </c>
      <c r="T46" t="s">
        <v>3153</v>
      </c>
      <c r="U46" t="s">
        <v>75</v>
      </c>
      <c r="V46" t="s">
        <v>3154</v>
      </c>
    </row>
    <row r="47" spans="1:22" x14ac:dyDescent="0.2">
      <c r="A47" t="s">
        <v>92</v>
      </c>
      <c r="B47" t="s">
        <v>161</v>
      </c>
      <c r="C47" t="s">
        <v>31</v>
      </c>
      <c r="D47" t="s">
        <v>32</v>
      </c>
      <c r="E47" t="s">
        <v>91</v>
      </c>
      <c r="F47" t="s">
        <v>67</v>
      </c>
      <c r="G47" t="s">
        <v>68</v>
      </c>
      <c r="H47" t="s">
        <v>88</v>
      </c>
      <c r="I47" t="s">
        <v>56</v>
      </c>
      <c r="J47" t="s">
        <v>37</v>
      </c>
      <c r="K47" s="4">
        <v>45960</v>
      </c>
      <c r="L47" s="4">
        <v>46325</v>
      </c>
      <c r="M47" t="s">
        <v>69</v>
      </c>
      <c r="N47" t="s">
        <v>75</v>
      </c>
      <c r="O47">
        <v>2</v>
      </c>
      <c r="P47" t="s">
        <v>54</v>
      </c>
      <c r="Q47" s="4">
        <v>46280</v>
      </c>
      <c r="R47" t="s">
        <v>38</v>
      </c>
      <c r="S47" t="s">
        <v>3155</v>
      </c>
      <c r="T47" t="s">
        <v>3153</v>
      </c>
      <c r="U47" t="s">
        <v>75</v>
      </c>
      <c r="V47" t="s">
        <v>3154</v>
      </c>
    </row>
    <row r="48" spans="1:22" x14ac:dyDescent="0.2">
      <c r="A48" t="s">
        <v>94</v>
      </c>
      <c r="B48" t="s">
        <v>162</v>
      </c>
      <c r="C48" t="s">
        <v>42</v>
      </c>
      <c r="D48" t="s">
        <v>43</v>
      </c>
      <c r="E48" t="s">
        <v>53</v>
      </c>
      <c r="F48" t="s">
        <v>67</v>
      </c>
      <c r="G48" t="s">
        <v>118</v>
      </c>
      <c r="H48" t="s">
        <v>47</v>
      </c>
      <c r="I48" t="s">
        <v>106</v>
      </c>
      <c r="J48" t="s">
        <v>48</v>
      </c>
      <c r="K48" s="4">
        <v>46182</v>
      </c>
      <c r="L48" s="4">
        <v>46362</v>
      </c>
      <c r="M48" t="s">
        <v>64</v>
      </c>
      <c r="N48" t="s">
        <v>75</v>
      </c>
      <c r="O48">
        <v>2</v>
      </c>
      <c r="P48" t="s">
        <v>54</v>
      </c>
      <c r="Q48" s="4">
        <v>46258</v>
      </c>
      <c r="R48" t="s">
        <v>38</v>
      </c>
      <c r="S48" t="s">
        <v>3155</v>
      </c>
      <c r="T48" t="s">
        <v>3153</v>
      </c>
      <c r="U48" t="s">
        <v>75</v>
      </c>
      <c r="V48" t="s">
        <v>3154</v>
      </c>
    </row>
    <row r="49" spans="1:22" x14ac:dyDescent="0.2">
      <c r="A49" t="s">
        <v>99</v>
      </c>
      <c r="B49" t="s">
        <v>163</v>
      </c>
      <c r="C49" t="s">
        <v>31</v>
      </c>
      <c r="D49" t="s">
        <v>87</v>
      </c>
      <c r="E49" t="s">
        <v>91</v>
      </c>
      <c r="F49" t="s">
        <v>45</v>
      </c>
      <c r="G49" t="s">
        <v>46</v>
      </c>
      <c r="H49" t="s">
        <v>88</v>
      </c>
      <c r="J49" t="s">
        <v>37</v>
      </c>
      <c r="K49" s="4">
        <v>45991</v>
      </c>
      <c r="L49" s="4">
        <v>46081</v>
      </c>
      <c r="M49" t="s">
        <v>38</v>
      </c>
      <c r="N49" t="s">
        <v>49</v>
      </c>
      <c r="O49">
        <v>3</v>
      </c>
      <c r="P49" t="s">
        <v>54</v>
      </c>
      <c r="Q49" s="4">
        <v>46366</v>
      </c>
      <c r="R49" t="s">
        <v>84</v>
      </c>
      <c r="S49" t="s">
        <v>38</v>
      </c>
      <c r="T49" t="s">
        <v>3150</v>
      </c>
      <c r="U49" t="s">
        <v>49</v>
      </c>
      <c r="V49" t="s">
        <v>3154</v>
      </c>
    </row>
    <row r="50" spans="1:22" x14ac:dyDescent="0.2">
      <c r="A50" t="s">
        <v>101</v>
      </c>
      <c r="B50" t="s">
        <v>164</v>
      </c>
      <c r="C50" t="s">
        <v>42</v>
      </c>
      <c r="D50" t="s">
        <v>43</v>
      </c>
      <c r="E50" t="s">
        <v>53</v>
      </c>
      <c r="F50" t="s">
        <v>67</v>
      </c>
      <c r="G50" t="s">
        <v>68</v>
      </c>
      <c r="H50" t="s">
        <v>88</v>
      </c>
      <c r="I50" t="s">
        <v>106</v>
      </c>
      <c r="J50" t="s">
        <v>37</v>
      </c>
      <c r="K50" s="4">
        <v>46033</v>
      </c>
      <c r="L50" s="4">
        <v>46398</v>
      </c>
      <c r="M50" t="s">
        <v>64</v>
      </c>
      <c r="N50" t="s">
        <v>75</v>
      </c>
      <c r="O50">
        <v>2</v>
      </c>
      <c r="P50" t="s">
        <v>54</v>
      </c>
      <c r="Q50" s="4">
        <v>46295</v>
      </c>
      <c r="R50" t="s">
        <v>84</v>
      </c>
      <c r="S50" t="s">
        <v>3155</v>
      </c>
      <c r="T50" t="s">
        <v>3153</v>
      </c>
      <c r="U50" t="s">
        <v>75</v>
      </c>
      <c r="V50" t="s">
        <v>3154</v>
      </c>
    </row>
    <row r="51" spans="1:22" x14ac:dyDescent="0.2">
      <c r="A51" t="s">
        <v>107</v>
      </c>
      <c r="B51" t="s">
        <v>165</v>
      </c>
      <c r="C51" t="s">
        <v>42</v>
      </c>
      <c r="D51" t="s">
        <v>43</v>
      </c>
      <c r="E51" t="s">
        <v>53</v>
      </c>
      <c r="F51" t="s">
        <v>45</v>
      </c>
      <c r="G51" t="s">
        <v>46</v>
      </c>
      <c r="H51" t="s">
        <v>47</v>
      </c>
      <c r="I51" t="s">
        <v>50</v>
      </c>
      <c r="J51" t="s">
        <v>48</v>
      </c>
      <c r="K51" s="4">
        <v>46177</v>
      </c>
      <c r="L51" s="4">
        <v>46267</v>
      </c>
      <c r="M51" t="s">
        <v>38</v>
      </c>
      <c r="N51" t="s">
        <v>49</v>
      </c>
      <c r="O51">
        <v>3</v>
      </c>
      <c r="P51" t="s">
        <v>56</v>
      </c>
      <c r="Q51" s="4">
        <v>46256</v>
      </c>
      <c r="R51" t="s">
        <v>38</v>
      </c>
      <c r="S51" t="s">
        <v>38</v>
      </c>
      <c r="T51" t="s">
        <v>3153</v>
      </c>
      <c r="U51" t="s">
        <v>49</v>
      </c>
      <c r="V51" t="s">
        <v>3154</v>
      </c>
    </row>
    <row r="52" spans="1:22" x14ac:dyDescent="0.2">
      <c r="A52" t="s">
        <v>109</v>
      </c>
      <c r="B52" t="s">
        <v>166</v>
      </c>
      <c r="C52" t="s">
        <v>96</v>
      </c>
      <c r="D52" t="s">
        <v>97</v>
      </c>
      <c r="E52" t="s">
        <v>44</v>
      </c>
      <c r="F52" t="s">
        <v>45</v>
      </c>
      <c r="G52" t="s">
        <v>61</v>
      </c>
      <c r="H52" t="s">
        <v>88</v>
      </c>
      <c r="I52" t="s">
        <v>50</v>
      </c>
      <c r="J52" t="s">
        <v>48</v>
      </c>
      <c r="K52" s="4">
        <v>46135</v>
      </c>
      <c r="L52" s="4">
        <v>46225</v>
      </c>
      <c r="M52" t="s">
        <v>38</v>
      </c>
      <c r="N52" t="s">
        <v>55</v>
      </c>
      <c r="O52">
        <v>2</v>
      </c>
      <c r="P52" t="s">
        <v>56</v>
      </c>
      <c r="Q52" s="4">
        <v>46179</v>
      </c>
      <c r="R52" t="s">
        <v>38</v>
      </c>
      <c r="S52" t="s">
        <v>38</v>
      </c>
      <c r="T52" t="s">
        <v>3153</v>
      </c>
      <c r="U52" t="s">
        <v>55</v>
      </c>
      <c r="V52" t="s">
        <v>3154</v>
      </c>
    </row>
    <row r="53" spans="1:22" x14ac:dyDescent="0.2">
      <c r="A53" t="s">
        <v>112</v>
      </c>
      <c r="B53" t="s">
        <v>167</v>
      </c>
      <c r="C53" t="s">
        <v>31</v>
      </c>
      <c r="D53" t="s">
        <v>87</v>
      </c>
      <c r="E53" t="s">
        <v>80</v>
      </c>
      <c r="F53" t="s">
        <v>67</v>
      </c>
      <c r="G53" t="s">
        <v>118</v>
      </c>
      <c r="H53" t="s">
        <v>88</v>
      </c>
      <c r="I53" t="s">
        <v>39</v>
      </c>
      <c r="J53" t="s">
        <v>48</v>
      </c>
      <c r="K53" s="4">
        <v>46146</v>
      </c>
      <c r="L53" s="4">
        <v>46326</v>
      </c>
      <c r="M53" t="s">
        <v>64</v>
      </c>
      <c r="N53" t="s">
        <v>55</v>
      </c>
      <c r="O53">
        <v>3</v>
      </c>
      <c r="P53" t="s">
        <v>56</v>
      </c>
      <c r="Q53" s="4">
        <v>46366</v>
      </c>
      <c r="R53" t="s">
        <v>64</v>
      </c>
      <c r="S53" t="s">
        <v>3155</v>
      </c>
      <c r="T53" t="s">
        <v>3153</v>
      </c>
      <c r="U53" t="s">
        <v>55</v>
      </c>
      <c r="V53" t="s">
        <v>3154</v>
      </c>
    </row>
    <row r="54" spans="1:22" x14ac:dyDescent="0.2">
      <c r="A54" t="s">
        <v>114</v>
      </c>
      <c r="B54" t="s">
        <v>168</v>
      </c>
      <c r="C54" t="s">
        <v>42</v>
      </c>
      <c r="D54" t="s">
        <v>43</v>
      </c>
      <c r="E54" t="s">
        <v>105</v>
      </c>
      <c r="F54" t="s">
        <v>45</v>
      </c>
      <c r="G54" t="s">
        <v>46</v>
      </c>
      <c r="H54" t="s">
        <v>88</v>
      </c>
      <c r="I54" t="s">
        <v>62</v>
      </c>
      <c r="J54" t="s">
        <v>63</v>
      </c>
      <c r="K54" s="4">
        <v>45965</v>
      </c>
      <c r="L54" s="4">
        <v>46330</v>
      </c>
      <c r="M54" t="s">
        <v>84</v>
      </c>
      <c r="N54" t="s">
        <v>49</v>
      </c>
      <c r="O54">
        <v>3</v>
      </c>
      <c r="P54" t="s">
        <v>62</v>
      </c>
      <c r="Q54" s="4">
        <v>46345</v>
      </c>
      <c r="R54" t="s">
        <v>84</v>
      </c>
      <c r="S54" t="s">
        <v>3155</v>
      </c>
      <c r="T54" t="s">
        <v>3153</v>
      </c>
      <c r="U54" t="s">
        <v>49</v>
      </c>
      <c r="V54" t="s">
        <v>3154</v>
      </c>
    </row>
    <row r="55" spans="1:22" x14ac:dyDescent="0.2">
      <c r="A55" t="s">
        <v>116</v>
      </c>
      <c r="B55" t="s">
        <v>169</v>
      </c>
      <c r="C55" t="s">
        <v>31</v>
      </c>
      <c r="D55" t="s">
        <v>83</v>
      </c>
      <c r="E55" t="s">
        <v>60</v>
      </c>
      <c r="F55" t="s">
        <v>67</v>
      </c>
      <c r="G55" t="s">
        <v>68</v>
      </c>
      <c r="H55" t="s">
        <v>98</v>
      </c>
      <c r="I55" t="s">
        <v>70</v>
      </c>
      <c r="J55" t="s">
        <v>48</v>
      </c>
      <c r="K55" s="4">
        <v>45885</v>
      </c>
      <c r="L55" s="4">
        <v>45975</v>
      </c>
      <c r="M55" t="s">
        <v>38</v>
      </c>
      <c r="N55" t="s">
        <v>49</v>
      </c>
      <c r="O55">
        <v>1</v>
      </c>
      <c r="P55" t="s">
        <v>70</v>
      </c>
      <c r="Q55" s="4">
        <v>46250</v>
      </c>
      <c r="R55" t="s">
        <v>38</v>
      </c>
      <c r="S55" t="s">
        <v>38</v>
      </c>
      <c r="T55" t="s">
        <v>3153</v>
      </c>
      <c r="U55" t="s">
        <v>49</v>
      </c>
      <c r="V55" t="s">
        <v>3152</v>
      </c>
    </row>
    <row r="56" spans="1:22" x14ac:dyDescent="0.2">
      <c r="A56" t="s">
        <v>119</v>
      </c>
      <c r="B56" t="s">
        <v>171</v>
      </c>
      <c r="C56" t="s">
        <v>96</v>
      </c>
      <c r="D56" t="s">
        <v>97</v>
      </c>
      <c r="E56" t="s">
        <v>80</v>
      </c>
      <c r="F56" t="s">
        <v>45</v>
      </c>
      <c r="G56" t="s">
        <v>46</v>
      </c>
      <c r="H56" t="s">
        <v>88</v>
      </c>
      <c r="I56" t="s">
        <v>111</v>
      </c>
      <c r="J56" t="s">
        <v>63</v>
      </c>
      <c r="K56" s="4">
        <v>46126</v>
      </c>
      <c r="L56" s="4">
        <v>46216</v>
      </c>
      <c r="M56" t="s">
        <v>38</v>
      </c>
      <c r="N56" t="s">
        <v>55</v>
      </c>
      <c r="O56">
        <v>2</v>
      </c>
      <c r="P56" t="s">
        <v>54</v>
      </c>
      <c r="Q56" s="4">
        <v>46259</v>
      </c>
      <c r="R56" t="s">
        <v>38</v>
      </c>
      <c r="S56" t="s">
        <v>38</v>
      </c>
      <c r="T56" t="s">
        <v>3153</v>
      </c>
      <c r="U56" t="s">
        <v>55</v>
      </c>
      <c r="V56" t="s">
        <v>3154</v>
      </c>
    </row>
    <row r="57" spans="1:22" x14ac:dyDescent="0.2">
      <c r="A57" t="s">
        <v>172</v>
      </c>
      <c r="B57" t="s">
        <v>173</v>
      </c>
      <c r="C57" t="s">
        <v>42</v>
      </c>
      <c r="D57" t="s">
        <v>43</v>
      </c>
      <c r="E57" t="s">
        <v>80</v>
      </c>
      <c r="F57" t="s">
        <v>67</v>
      </c>
      <c r="G57" t="s">
        <v>68</v>
      </c>
      <c r="H57" t="s">
        <v>47</v>
      </c>
      <c r="I57" t="s">
        <v>54</v>
      </c>
      <c r="J57" t="s">
        <v>63</v>
      </c>
      <c r="K57" s="4">
        <v>45944</v>
      </c>
      <c r="L57" s="4">
        <v>46034</v>
      </c>
      <c r="M57" t="s">
        <v>38</v>
      </c>
      <c r="N57" t="s">
        <v>75</v>
      </c>
      <c r="O57">
        <v>1</v>
      </c>
      <c r="P57" t="s">
        <v>56</v>
      </c>
      <c r="Q57" s="4">
        <v>46151</v>
      </c>
      <c r="R57" t="s">
        <v>64</v>
      </c>
      <c r="S57" t="s">
        <v>38</v>
      </c>
      <c r="T57" t="s">
        <v>3153</v>
      </c>
      <c r="U57" t="s">
        <v>75</v>
      </c>
      <c r="V57" t="s">
        <v>3154</v>
      </c>
    </row>
    <row r="58" spans="1:22" x14ac:dyDescent="0.2">
      <c r="A58" t="s">
        <v>174</v>
      </c>
      <c r="B58" t="s">
        <v>175</v>
      </c>
      <c r="C58" t="s">
        <v>78</v>
      </c>
      <c r="D58" t="s">
        <v>79</v>
      </c>
      <c r="E58" t="s">
        <v>80</v>
      </c>
      <c r="F58" t="s">
        <v>67</v>
      </c>
      <c r="G58" t="s">
        <v>68</v>
      </c>
      <c r="H58" t="s">
        <v>88</v>
      </c>
      <c r="I58" t="s">
        <v>62</v>
      </c>
      <c r="J58" t="s">
        <v>37</v>
      </c>
      <c r="K58" s="4">
        <v>46136</v>
      </c>
      <c r="L58" s="4">
        <v>46501</v>
      </c>
      <c r="M58" t="s">
        <v>64</v>
      </c>
      <c r="N58" t="s">
        <v>75</v>
      </c>
      <c r="O58">
        <v>0</v>
      </c>
      <c r="P58" t="s">
        <v>56</v>
      </c>
      <c r="Q58" s="4">
        <v>46135</v>
      </c>
      <c r="R58" t="s">
        <v>57</v>
      </c>
      <c r="S58" t="s">
        <v>3155</v>
      </c>
      <c r="T58" t="s">
        <v>3153</v>
      </c>
      <c r="U58" t="s">
        <v>75</v>
      </c>
      <c r="V58" t="s">
        <v>3154</v>
      </c>
    </row>
    <row r="59" spans="1:22" x14ac:dyDescent="0.2">
      <c r="A59" t="s">
        <v>176</v>
      </c>
      <c r="B59" t="s">
        <v>177</v>
      </c>
      <c r="C59" t="s">
        <v>31</v>
      </c>
      <c r="D59" t="s">
        <v>83</v>
      </c>
      <c r="E59" t="s">
        <v>44</v>
      </c>
      <c r="F59" t="s">
        <v>45</v>
      </c>
      <c r="G59" t="s">
        <v>46</v>
      </c>
      <c r="H59" t="s">
        <v>98</v>
      </c>
      <c r="I59" t="s">
        <v>39</v>
      </c>
      <c r="J59" t="s">
        <v>63</v>
      </c>
      <c r="K59" s="4">
        <v>45884</v>
      </c>
      <c r="L59" s="4">
        <v>46249</v>
      </c>
      <c r="M59" t="s">
        <v>38</v>
      </c>
      <c r="N59" t="s">
        <v>75</v>
      </c>
      <c r="O59">
        <v>4</v>
      </c>
      <c r="P59" t="s">
        <v>111</v>
      </c>
      <c r="Q59" s="4">
        <v>46135</v>
      </c>
      <c r="R59" t="s">
        <v>38</v>
      </c>
      <c r="S59" t="s">
        <v>38</v>
      </c>
      <c r="T59" t="s">
        <v>3153</v>
      </c>
      <c r="U59" t="s">
        <v>75</v>
      </c>
      <c r="V59" t="s">
        <v>3152</v>
      </c>
    </row>
    <row r="60" spans="1:22" x14ac:dyDescent="0.2">
      <c r="A60" t="s">
        <v>178</v>
      </c>
      <c r="B60" t="s">
        <v>179</v>
      </c>
      <c r="C60" t="s">
        <v>73</v>
      </c>
      <c r="D60" t="s">
        <v>74</v>
      </c>
      <c r="E60" t="s">
        <v>60</v>
      </c>
      <c r="F60" t="s">
        <v>67</v>
      </c>
      <c r="G60" t="s">
        <v>68</v>
      </c>
      <c r="H60" t="s">
        <v>88</v>
      </c>
      <c r="I60" t="s">
        <v>111</v>
      </c>
      <c r="J60" t="s">
        <v>63</v>
      </c>
      <c r="K60" s="4">
        <v>46229</v>
      </c>
      <c r="L60" s="4">
        <v>46409</v>
      </c>
      <c r="M60" t="s">
        <v>64</v>
      </c>
      <c r="N60" t="s">
        <v>75</v>
      </c>
      <c r="O60">
        <v>2</v>
      </c>
      <c r="P60" t="s">
        <v>111</v>
      </c>
      <c r="Q60" s="4">
        <v>46168</v>
      </c>
      <c r="R60" t="s">
        <v>38</v>
      </c>
      <c r="S60" t="s">
        <v>3155</v>
      </c>
      <c r="T60" t="s">
        <v>3153</v>
      </c>
      <c r="U60" t="s">
        <v>75</v>
      </c>
      <c r="V60" t="s">
        <v>3154</v>
      </c>
    </row>
    <row r="61" spans="1:22" x14ac:dyDescent="0.2">
      <c r="A61" t="s">
        <v>180</v>
      </c>
      <c r="B61" t="s">
        <v>181</v>
      </c>
      <c r="C61" t="s">
        <v>31</v>
      </c>
      <c r="D61" t="s">
        <v>87</v>
      </c>
      <c r="E61" t="s">
        <v>60</v>
      </c>
      <c r="F61" t="s">
        <v>67</v>
      </c>
      <c r="G61" t="s">
        <v>118</v>
      </c>
      <c r="H61" t="s">
        <v>47</v>
      </c>
      <c r="I61" t="s">
        <v>70</v>
      </c>
      <c r="J61" t="s">
        <v>63</v>
      </c>
      <c r="K61" s="4">
        <v>46114</v>
      </c>
      <c r="L61" s="4">
        <v>46294</v>
      </c>
      <c r="M61" t="s">
        <v>38</v>
      </c>
      <c r="N61" t="s">
        <v>75</v>
      </c>
      <c r="O61">
        <v>0</v>
      </c>
      <c r="P61" t="s">
        <v>111</v>
      </c>
      <c r="Q61" s="4">
        <v>46321</v>
      </c>
      <c r="R61" t="s">
        <v>57</v>
      </c>
      <c r="S61" t="s">
        <v>38</v>
      </c>
      <c r="T61" t="s">
        <v>3153</v>
      </c>
      <c r="U61" t="s">
        <v>75</v>
      </c>
      <c r="V61" t="s">
        <v>3154</v>
      </c>
    </row>
    <row r="62" spans="1:22" x14ac:dyDescent="0.2">
      <c r="A62" t="s">
        <v>182</v>
      </c>
      <c r="B62" t="s">
        <v>183</v>
      </c>
      <c r="C62" t="s">
        <v>42</v>
      </c>
      <c r="D62" t="s">
        <v>43</v>
      </c>
      <c r="E62" t="s">
        <v>44</v>
      </c>
      <c r="F62" t="s">
        <v>67</v>
      </c>
      <c r="G62" t="s">
        <v>68</v>
      </c>
      <c r="H62" t="s">
        <v>88</v>
      </c>
      <c r="I62" t="s">
        <v>111</v>
      </c>
      <c r="J62" t="s">
        <v>63</v>
      </c>
      <c r="K62" s="4">
        <v>45955</v>
      </c>
      <c r="L62" s="4">
        <v>46135</v>
      </c>
      <c r="M62" t="s">
        <v>38</v>
      </c>
      <c r="N62" t="s">
        <v>55</v>
      </c>
      <c r="O62">
        <v>1</v>
      </c>
      <c r="P62" t="s">
        <v>111</v>
      </c>
      <c r="Q62" s="4">
        <v>46251</v>
      </c>
      <c r="R62" t="s">
        <v>38</v>
      </c>
      <c r="S62" t="s">
        <v>38</v>
      </c>
      <c r="T62" t="s">
        <v>3153</v>
      </c>
      <c r="U62" t="s">
        <v>55</v>
      </c>
      <c r="V62" t="s">
        <v>3154</v>
      </c>
    </row>
    <row r="63" spans="1:22" x14ac:dyDescent="0.2">
      <c r="A63" t="s">
        <v>184</v>
      </c>
      <c r="B63" t="s">
        <v>185</v>
      </c>
      <c r="C63" t="s">
        <v>78</v>
      </c>
      <c r="D63" t="s">
        <v>79</v>
      </c>
      <c r="E63" t="s">
        <v>91</v>
      </c>
      <c r="F63" t="s">
        <v>45</v>
      </c>
      <c r="G63" t="s">
        <v>46</v>
      </c>
      <c r="H63" t="s">
        <v>88</v>
      </c>
      <c r="I63" t="s">
        <v>54</v>
      </c>
      <c r="J63" t="s">
        <v>48</v>
      </c>
      <c r="K63" s="4">
        <v>45912</v>
      </c>
      <c r="L63" s="4">
        <v>46002</v>
      </c>
      <c r="M63" t="s">
        <v>38</v>
      </c>
      <c r="N63" t="s">
        <v>75</v>
      </c>
      <c r="O63">
        <v>0</v>
      </c>
      <c r="P63" t="s">
        <v>70</v>
      </c>
      <c r="Q63" s="4">
        <v>46397</v>
      </c>
      <c r="R63" t="s">
        <v>57</v>
      </c>
      <c r="S63" t="s">
        <v>38</v>
      </c>
      <c r="T63" t="s">
        <v>3153</v>
      </c>
      <c r="U63" t="s">
        <v>75</v>
      </c>
      <c r="V63" t="s">
        <v>3154</v>
      </c>
    </row>
    <row r="64" spans="1:22" x14ac:dyDescent="0.2">
      <c r="A64" t="s">
        <v>186</v>
      </c>
      <c r="B64" t="s">
        <v>187</v>
      </c>
      <c r="C64" t="s">
        <v>96</v>
      </c>
      <c r="D64" t="s">
        <v>97</v>
      </c>
      <c r="E64" t="s">
        <v>91</v>
      </c>
      <c r="F64" t="s">
        <v>67</v>
      </c>
      <c r="G64" t="s">
        <v>68</v>
      </c>
      <c r="H64" t="s">
        <v>36</v>
      </c>
      <c r="I64" t="s">
        <v>111</v>
      </c>
      <c r="J64" t="s">
        <v>48</v>
      </c>
      <c r="K64" s="4">
        <v>45798</v>
      </c>
      <c r="L64" s="4">
        <v>46163</v>
      </c>
      <c r="M64" t="s">
        <v>38</v>
      </c>
      <c r="N64" t="s">
        <v>75</v>
      </c>
      <c r="O64">
        <v>4</v>
      </c>
      <c r="P64" t="s">
        <v>111</v>
      </c>
      <c r="Q64" s="4">
        <v>46254</v>
      </c>
      <c r="R64" t="s">
        <v>38</v>
      </c>
      <c r="S64" t="s">
        <v>38</v>
      </c>
      <c r="T64" t="s">
        <v>3153</v>
      </c>
      <c r="U64" t="s">
        <v>75</v>
      </c>
      <c r="V64" t="s">
        <v>3152</v>
      </c>
    </row>
    <row r="65" spans="1:22" x14ac:dyDescent="0.2">
      <c r="A65" t="s">
        <v>188</v>
      </c>
      <c r="B65" t="s">
        <v>189</v>
      </c>
      <c r="C65" t="s">
        <v>42</v>
      </c>
      <c r="D65" t="s">
        <v>43</v>
      </c>
      <c r="E65" t="s">
        <v>80</v>
      </c>
      <c r="F65" t="s">
        <v>34</v>
      </c>
      <c r="G65" t="s">
        <v>35</v>
      </c>
      <c r="H65" t="s">
        <v>47</v>
      </c>
      <c r="I65" t="s">
        <v>50</v>
      </c>
      <c r="J65" t="s">
        <v>48</v>
      </c>
      <c r="K65" s="4">
        <v>45833</v>
      </c>
      <c r="L65" s="4">
        <v>45923</v>
      </c>
      <c r="M65" t="s">
        <v>38</v>
      </c>
      <c r="N65" t="s">
        <v>75</v>
      </c>
      <c r="O65">
        <v>3</v>
      </c>
      <c r="P65" t="s">
        <v>56</v>
      </c>
      <c r="Q65" s="4">
        <v>46289</v>
      </c>
      <c r="R65" t="s">
        <v>38</v>
      </c>
      <c r="S65" t="s">
        <v>38</v>
      </c>
      <c r="T65" t="s">
        <v>3153</v>
      </c>
      <c r="U65" t="s">
        <v>75</v>
      </c>
      <c r="V65" t="s">
        <v>3154</v>
      </c>
    </row>
    <row r="66" spans="1:22" x14ac:dyDescent="0.2">
      <c r="A66" t="s">
        <v>190</v>
      </c>
      <c r="B66" t="s">
        <v>191</v>
      </c>
      <c r="C66" t="s">
        <v>78</v>
      </c>
      <c r="D66" t="s">
        <v>79</v>
      </c>
      <c r="E66" t="s">
        <v>60</v>
      </c>
      <c r="F66" t="s">
        <v>34</v>
      </c>
      <c r="G66" t="s">
        <v>35</v>
      </c>
      <c r="H66" t="s">
        <v>88</v>
      </c>
      <c r="I66" t="s">
        <v>111</v>
      </c>
      <c r="J66" t="s">
        <v>37</v>
      </c>
      <c r="K66" s="4">
        <v>45832</v>
      </c>
      <c r="L66" s="4">
        <v>45922</v>
      </c>
      <c r="M66" t="s">
        <v>38</v>
      </c>
      <c r="N66" t="s">
        <v>75</v>
      </c>
      <c r="O66">
        <v>3</v>
      </c>
      <c r="P66" t="s">
        <v>54</v>
      </c>
      <c r="Q66" s="4">
        <v>46291</v>
      </c>
      <c r="R66" t="s">
        <v>64</v>
      </c>
      <c r="S66" t="s">
        <v>38</v>
      </c>
      <c r="T66" t="s">
        <v>3153</v>
      </c>
      <c r="U66" t="s">
        <v>75</v>
      </c>
      <c r="V66" t="s">
        <v>3154</v>
      </c>
    </row>
    <row r="67" spans="1:22" x14ac:dyDescent="0.2">
      <c r="A67" t="s">
        <v>192</v>
      </c>
      <c r="B67" t="s">
        <v>193</v>
      </c>
      <c r="C67" t="s">
        <v>31</v>
      </c>
      <c r="D67" t="s">
        <v>83</v>
      </c>
      <c r="E67" t="s">
        <v>60</v>
      </c>
      <c r="F67" t="s">
        <v>34</v>
      </c>
      <c r="G67" t="s">
        <v>35</v>
      </c>
      <c r="H67" t="s">
        <v>88</v>
      </c>
      <c r="I67" t="s">
        <v>62</v>
      </c>
      <c r="J67" t="s">
        <v>63</v>
      </c>
      <c r="K67" s="4">
        <v>46253</v>
      </c>
      <c r="L67" s="4">
        <v>46433</v>
      </c>
      <c r="M67" t="s">
        <v>69</v>
      </c>
      <c r="N67" t="s">
        <v>75</v>
      </c>
      <c r="O67">
        <v>1</v>
      </c>
      <c r="P67" t="s">
        <v>106</v>
      </c>
      <c r="Q67" s="4">
        <v>46368</v>
      </c>
      <c r="R67" t="s">
        <v>84</v>
      </c>
      <c r="S67" t="s">
        <v>3155</v>
      </c>
      <c r="T67" t="s">
        <v>3153</v>
      </c>
      <c r="U67" t="s">
        <v>75</v>
      </c>
      <c r="V67" t="s">
        <v>3154</v>
      </c>
    </row>
    <row r="68" spans="1:22" x14ac:dyDescent="0.2">
      <c r="A68" t="s">
        <v>194</v>
      </c>
      <c r="B68" t="s">
        <v>195</v>
      </c>
      <c r="C68" t="s">
        <v>42</v>
      </c>
      <c r="D68" t="s">
        <v>43</v>
      </c>
      <c r="E68" t="s">
        <v>105</v>
      </c>
      <c r="F68" t="s">
        <v>45</v>
      </c>
      <c r="G68" t="s">
        <v>61</v>
      </c>
      <c r="H68" t="s">
        <v>88</v>
      </c>
      <c r="I68" t="s">
        <v>111</v>
      </c>
      <c r="J68" t="s">
        <v>63</v>
      </c>
      <c r="K68" s="4">
        <v>46268</v>
      </c>
      <c r="L68" s="4">
        <v>46633</v>
      </c>
      <c r="M68" t="s">
        <v>64</v>
      </c>
      <c r="N68" t="s">
        <v>49</v>
      </c>
      <c r="O68">
        <v>1</v>
      </c>
      <c r="P68" t="s">
        <v>62</v>
      </c>
      <c r="Q68" s="4">
        <v>46153</v>
      </c>
      <c r="R68" t="s">
        <v>38</v>
      </c>
      <c r="S68" t="s">
        <v>3155</v>
      </c>
      <c r="T68" t="s">
        <v>3153</v>
      </c>
      <c r="U68" t="s">
        <v>49</v>
      </c>
      <c r="V68" t="s">
        <v>3154</v>
      </c>
    </row>
    <row r="69" spans="1:22" x14ac:dyDescent="0.2">
      <c r="A69" t="s">
        <v>196</v>
      </c>
      <c r="B69" t="s">
        <v>197</v>
      </c>
      <c r="C69" t="s">
        <v>103</v>
      </c>
      <c r="D69" t="s">
        <v>104</v>
      </c>
      <c r="E69" t="s">
        <v>53</v>
      </c>
      <c r="F69" t="s">
        <v>34</v>
      </c>
      <c r="G69" t="s">
        <v>35</v>
      </c>
      <c r="H69" t="s">
        <v>36</v>
      </c>
      <c r="I69" t="s">
        <v>62</v>
      </c>
      <c r="J69" t="s">
        <v>63</v>
      </c>
      <c r="K69" s="4">
        <v>46113</v>
      </c>
      <c r="L69" s="4">
        <v>46478</v>
      </c>
      <c r="M69" t="s">
        <v>69</v>
      </c>
      <c r="N69" t="s">
        <v>49</v>
      </c>
      <c r="O69">
        <v>0</v>
      </c>
      <c r="P69" t="s">
        <v>56</v>
      </c>
      <c r="Q69" s="4">
        <v>46150</v>
      </c>
      <c r="R69" t="s">
        <v>57</v>
      </c>
      <c r="S69" t="s">
        <v>3155</v>
      </c>
      <c r="T69" t="s">
        <v>3153</v>
      </c>
      <c r="U69" t="s">
        <v>49</v>
      </c>
      <c r="V69" t="s">
        <v>3152</v>
      </c>
    </row>
    <row r="70" spans="1:22" x14ac:dyDescent="0.2">
      <c r="A70" t="s">
        <v>198</v>
      </c>
      <c r="B70" t="s">
        <v>199</v>
      </c>
      <c r="C70" t="s">
        <v>31</v>
      </c>
      <c r="D70" t="s">
        <v>87</v>
      </c>
      <c r="E70" t="s">
        <v>80</v>
      </c>
      <c r="F70" t="s">
        <v>45</v>
      </c>
      <c r="G70" t="s">
        <v>46</v>
      </c>
      <c r="H70" t="s">
        <v>98</v>
      </c>
      <c r="I70" t="s">
        <v>70</v>
      </c>
      <c r="J70" t="s">
        <v>37</v>
      </c>
      <c r="K70" s="4">
        <v>46048</v>
      </c>
      <c r="L70" s="4">
        <v>46138</v>
      </c>
      <c r="M70" t="s">
        <v>38</v>
      </c>
      <c r="N70" t="s">
        <v>49</v>
      </c>
      <c r="O70">
        <v>2</v>
      </c>
      <c r="P70" t="s">
        <v>106</v>
      </c>
      <c r="Q70" s="4">
        <v>46129</v>
      </c>
      <c r="R70" t="s">
        <v>64</v>
      </c>
      <c r="S70" t="s">
        <v>38</v>
      </c>
      <c r="T70" t="s">
        <v>3153</v>
      </c>
      <c r="U70" t="s">
        <v>49</v>
      </c>
      <c r="V70" t="s">
        <v>3152</v>
      </c>
    </row>
    <row r="71" spans="1:22" x14ac:dyDescent="0.2">
      <c r="A71" t="s">
        <v>200</v>
      </c>
      <c r="B71" t="s">
        <v>201</v>
      </c>
      <c r="C71" t="s">
        <v>31</v>
      </c>
      <c r="D71" t="s">
        <v>83</v>
      </c>
      <c r="E71" t="s">
        <v>44</v>
      </c>
      <c r="F71" t="s">
        <v>67</v>
      </c>
      <c r="G71" t="s">
        <v>68</v>
      </c>
      <c r="H71" t="s">
        <v>88</v>
      </c>
      <c r="I71" t="s">
        <v>50</v>
      </c>
      <c r="J71" t="s">
        <v>37</v>
      </c>
      <c r="K71" s="4">
        <v>46188</v>
      </c>
      <c r="L71" s="4">
        <v>46278</v>
      </c>
      <c r="M71" t="s">
        <v>38</v>
      </c>
      <c r="N71" t="s">
        <v>55</v>
      </c>
      <c r="O71">
        <v>3</v>
      </c>
      <c r="P71" t="s">
        <v>56</v>
      </c>
      <c r="Q71" s="4">
        <v>46238</v>
      </c>
      <c r="R71" t="s">
        <v>38</v>
      </c>
      <c r="S71" t="s">
        <v>38</v>
      </c>
      <c r="T71" t="s">
        <v>3153</v>
      </c>
      <c r="U71" t="s">
        <v>55</v>
      </c>
      <c r="V71" t="s">
        <v>3154</v>
      </c>
    </row>
    <row r="72" spans="1:22" x14ac:dyDescent="0.2">
      <c r="A72" t="s">
        <v>202</v>
      </c>
      <c r="B72" t="s">
        <v>203</v>
      </c>
      <c r="C72" t="s">
        <v>73</v>
      </c>
      <c r="D72" t="s">
        <v>74</v>
      </c>
      <c r="E72" t="s">
        <v>91</v>
      </c>
      <c r="F72" t="s">
        <v>67</v>
      </c>
      <c r="G72" t="s">
        <v>118</v>
      </c>
      <c r="H72" t="s">
        <v>47</v>
      </c>
      <c r="I72" t="s">
        <v>111</v>
      </c>
      <c r="J72" t="s">
        <v>37</v>
      </c>
      <c r="K72" s="4">
        <v>45814</v>
      </c>
      <c r="L72" s="4">
        <v>45994</v>
      </c>
      <c r="M72" t="s">
        <v>38</v>
      </c>
      <c r="N72" t="s">
        <v>49</v>
      </c>
      <c r="O72">
        <v>1</v>
      </c>
      <c r="P72" t="s">
        <v>62</v>
      </c>
      <c r="Q72" s="4">
        <v>46152</v>
      </c>
      <c r="R72" t="s">
        <v>38</v>
      </c>
      <c r="S72" t="s">
        <v>38</v>
      </c>
      <c r="T72" t="s">
        <v>3153</v>
      </c>
      <c r="U72" t="s">
        <v>49</v>
      </c>
      <c r="V72" t="s">
        <v>3154</v>
      </c>
    </row>
    <row r="73" spans="1:22" x14ac:dyDescent="0.2">
      <c r="A73" t="s">
        <v>204</v>
      </c>
      <c r="B73" t="s">
        <v>205</v>
      </c>
      <c r="C73" t="s">
        <v>42</v>
      </c>
      <c r="D73" t="s">
        <v>43</v>
      </c>
      <c r="E73" t="s">
        <v>80</v>
      </c>
      <c r="F73" t="s">
        <v>34</v>
      </c>
      <c r="G73" t="s">
        <v>35</v>
      </c>
      <c r="H73" t="s">
        <v>36</v>
      </c>
      <c r="I73" t="s">
        <v>54</v>
      </c>
      <c r="J73" t="s">
        <v>37</v>
      </c>
      <c r="K73" s="4">
        <v>46079</v>
      </c>
      <c r="L73" s="4">
        <v>46259</v>
      </c>
      <c r="M73" t="s">
        <v>38</v>
      </c>
      <c r="N73" t="s">
        <v>55</v>
      </c>
      <c r="O73">
        <v>1</v>
      </c>
      <c r="P73" t="s">
        <v>39</v>
      </c>
      <c r="Q73" s="4">
        <v>46310</v>
      </c>
      <c r="R73" t="s">
        <v>84</v>
      </c>
      <c r="S73" t="s">
        <v>38</v>
      </c>
      <c r="T73" t="s">
        <v>3153</v>
      </c>
      <c r="U73" t="s">
        <v>55</v>
      </c>
      <c r="V73" t="s">
        <v>3152</v>
      </c>
    </row>
    <row r="74" spans="1:22" x14ac:dyDescent="0.2">
      <c r="A74" t="s">
        <v>206</v>
      </c>
      <c r="B74" t="s">
        <v>207</v>
      </c>
      <c r="C74" t="s">
        <v>103</v>
      </c>
      <c r="D74" t="s">
        <v>104</v>
      </c>
      <c r="E74" t="s">
        <v>53</v>
      </c>
      <c r="F74" t="s">
        <v>34</v>
      </c>
      <c r="G74" t="s">
        <v>35</v>
      </c>
      <c r="H74" t="s">
        <v>47</v>
      </c>
      <c r="I74" t="s">
        <v>39</v>
      </c>
      <c r="J74" t="s">
        <v>37</v>
      </c>
      <c r="K74" s="4">
        <v>45809</v>
      </c>
      <c r="L74" s="4">
        <v>46174</v>
      </c>
      <c r="M74" t="s">
        <v>38</v>
      </c>
      <c r="N74" t="s">
        <v>49</v>
      </c>
      <c r="O74">
        <v>3</v>
      </c>
      <c r="P74" t="s">
        <v>54</v>
      </c>
      <c r="Q74" s="4">
        <v>46261</v>
      </c>
      <c r="R74" t="s">
        <v>38</v>
      </c>
      <c r="S74" t="s">
        <v>38</v>
      </c>
      <c r="T74" t="s">
        <v>3153</v>
      </c>
      <c r="U74" t="s">
        <v>49</v>
      </c>
      <c r="V74" t="s">
        <v>3154</v>
      </c>
    </row>
    <row r="75" spans="1:22" x14ac:dyDescent="0.2">
      <c r="A75" t="s">
        <v>208</v>
      </c>
      <c r="B75" t="s">
        <v>209</v>
      </c>
      <c r="C75" t="s">
        <v>96</v>
      </c>
      <c r="D75" t="s">
        <v>97</v>
      </c>
      <c r="E75" t="s">
        <v>60</v>
      </c>
      <c r="F75" t="s">
        <v>34</v>
      </c>
      <c r="G75" t="s">
        <v>35</v>
      </c>
      <c r="H75" t="s">
        <v>47</v>
      </c>
      <c r="I75" t="s">
        <v>50</v>
      </c>
      <c r="J75" t="s">
        <v>63</v>
      </c>
      <c r="K75" s="4">
        <v>45954</v>
      </c>
      <c r="L75" s="4">
        <v>46044</v>
      </c>
      <c r="M75" t="s">
        <v>38</v>
      </c>
      <c r="N75" t="s">
        <v>49</v>
      </c>
      <c r="O75">
        <v>0</v>
      </c>
      <c r="P75" t="s">
        <v>106</v>
      </c>
      <c r="Q75" s="4">
        <v>46273</v>
      </c>
      <c r="R75" t="s">
        <v>57</v>
      </c>
      <c r="S75" t="s">
        <v>38</v>
      </c>
      <c r="T75" t="s">
        <v>3153</v>
      </c>
      <c r="U75" t="s">
        <v>49</v>
      </c>
      <c r="V75" t="s">
        <v>3154</v>
      </c>
    </row>
    <row r="76" spans="1:22" x14ac:dyDescent="0.2">
      <c r="A76" t="s">
        <v>211</v>
      </c>
      <c r="B76" t="s">
        <v>212</v>
      </c>
      <c r="C76" t="s">
        <v>73</v>
      </c>
      <c r="D76" t="s">
        <v>74</v>
      </c>
      <c r="E76" t="s">
        <v>105</v>
      </c>
      <c r="F76" t="s">
        <v>34</v>
      </c>
      <c r="G76" t="s">
        <v>35</v>
      </c>
      <c r="H76" t="s">
        <v>36</v>
      </c>
      <c r="I76" t="s">
        <v>106</v>
      </c>
      <c r="J76" t="s">
        <v>63</v>
      </c>
      <c r="K76" s="4">
        <v>45893</v>
      </c>
      <c r="L76" s="4">
        <v>46073</v>
      </c>
      <c r="M76" t="s">
        <v>38</v>
      </c>
      <c r="N76" t="s">
        <v>55</v>
      </c>
      <c r="O76">
        <v>1</v>
      </c>
      <c r="P76" t="s">
        <v>56</v>
      </c>
      <c r="Q76" s="4">
        <v>46182</v>
      </c>
      <c r="R76" t="s">
        <v>38</v>
      </c>
      <c r="S76" t="s">
        <v>38</v>
      </c>
      <c r="T76" t="s">
        <v>3153</v>
      </c>
      <c r="U76" t="s">
        <v>55</v>
      </c>
      <c r="V76" t="s">
        <v>3152</v>
      </c>
    </row>
    <row r="77" spans="1:22" x14ac:dyDescent="0.2">
      <c r="A77" t="s">
        <v>213</v>
      </c>
      <c r="B77" t="s">
        <v>214</v>
      </c>
      <c r="C77" t="s">
        <v>103</v>
      </c>
      <c r="D77" t="s">
        <v>104</v>
      </c>
      <c r="E77" t="s">
        <v>80</v>
      </c>
      <c r="F77" t="s">
        <v>45</v>
      </c>
      <c r="G77" t="s">
        <v>61</v>
      </c>
      <c r="H77" t="s">
        <v>98</v>
      </c>
      <c r="I77" t="s">
        <v>56</v>
      </c>
      <c r="J77" t="s">
        <v>63</v>
      </c>
      <c r="K77" s="4">
        <v>45893</v>
      </c>
      <c r="L77" s="4">
        <v>46073</v>
      </c>
      <c r="M77" t="s">
        <v>38</v>
      </c>
      <c r="N77" t="s">
        <v>55</v>
      </c>
      <c r="O77">
        <v>3</v>
      </c>
      <c r="P77" t="s">
        <v>62</v>
      </c>
      <c r="Q77" s="4">
        <v>46153</v>
      </c>
      <c r="R77" t="s">
        <v>64</v>
      </c>
      <c r="S77" t="s">
        <v>38</v>
      </c>
      <c r="T77" t="s">
        <v>3153</v>
      </c>
      <c r="U77" t="s">
        <v>55</v>
      </c>
      <c r="V77" t="s">
        <v>3152</v>
      </c>
    </row>
    <row r="78" spans="1:22" x14ac:dyDescent="0.2">
      <c r="A78" t="s">
        <v>215</v>
      </c>
      <c r="B78" t="s">
        <v>216</v>
      </c>
      <c r="C78" t="s">
        <v>73</v>
      </c>
      <c r="D78" t="s">
        <v>74</v>
      </c>
      <c r="E78" t="s">
        <v>105</v>
      </c>
      <c r="F78" t="s">
        <v>34</v>
      </c>
      <c r="G78" t="s">
        <v>35</v>
      </c>
      <c r="H78" t="s">
        <v>36</v>
      </c>
      <c r="I78" t="s">
        <v>39</v>
      </c>
      <c r="J78" t="s">
        <v>63</v>
      </c>
      <c r="K78" s="4">
        <v>46140</v>
      </c>
      <c r="L78" s="4">
        <v>46505</v>
      </c>
      <c r="M78" t="s">
        <v>64</v>
      </c>
      <c r="N78" t="s">
        <v>75</v>
      </c>
      <c r="O78">
        <v>5</v>
      </c>
      <c r="P78" t="s">
        <v>54</v>
      </c>
      <c r="Q78" s="4">
        <v>46249</v>
      </c>
      <c r="R78" t="s">
        <v>38</v>
      </c>
      <c r="S78" t="s">
        <v>3155</v>
      </c>
      <c r="T78" t="s">
        <v>3153</v>
      </c>
      <c r="U78" t="s">
        <v>75</v>
      </c>
      <c r="V78" t="s">
        <v>3152</v>
      </c>
    </row>
    <row r="79" spans="1:22" x14ac:dyDescent="0.2">
      <c r="A79" t="s">
        <v>217</v>
      </c>
      <c r="B79" t="s">
        <v>218</v>
      </c>
      <c r="C79" t="s">
        <v>96</v>
      </c>
      <c r="D79" t="s">
        <v>97</v>
      </c>
      <c r="E79" t="s">
        <v>60</v>
      </c>
      <c r="F79" t="s">
        <v>67</v>
      </c>
      <c r="G79" t="s">
        <v>68</v>
      </c>
      <c r="H79" t="s">
        <v>36</v>
      </c>
      <c r="I79" t="s">
        <v>106</v>
      </c>
      <c r="J79" t="s">
        <v>37</v>
      </c>
      <c r="K79" s="4">
        <v>45807</v>
      </c>
      <c r="L79" s="4">
        <v>46172</v>
      </c>
      <c r="M79" t="s">
        <v>38</v>
      </c>
      <c r="N79" t="s">
        <v>55</v>
      </c>
      <c r="O79">
        <v>5</v>
      </c>
      <c r="P79" t="s">
        <v>62</v>
      </c>
      <c r="Q79" s="4">
        <v>46147</v>
      </c>
      <c r="R79" t="s">
        <v>38</v>
      </c>
      <c r="S79" t="s">
        <v>38</v>
      </c>
      <c r="T79" t="s">
        <v>3153</v>
      </c>
      <c r="U79" t="s">
        <v>55</v>
      </c>
      <c r="V79" t="s">
        <v>3152</v>
      </c>
    </row>
    <row r="80" spans="1:22" x14ac:dyDescent="0.2">
      <c r="A80" t="s">
        <v>219</v>
      </c>
      <c r="B80" t="s">
        <v>220</v>
      </c>
      <c r="C80" t="s">
        <v>96</v>
      </c>
      <c r="D80" t="s">
        <v>97</v>
      </c>
      <c r="E80" t="s">
        <v>105</v>
      </c>
      <c r="F80" t="s">
        <v>45</v>
      </c>
      <c r="G80" t="s">
        <v>46</v>
      </c>
      <c r="H80" t="s">
        <v>98</v>
      </c>
      <c r="I80" t="s">
        <v>56</v>
      </c>
      <c r="J80" t="s">
        <v>63</v>
      </c>
      <c r="K80" s="4">
        <v>46023</v>
      </c>
      <c r="L80" s="4">
        <v>46113</v>
      </c>
      <c r="M80" t="s">
        <v>38</v>
      </c>
      <c r="N80" t="s">
        <v>55</v>
      </c>
      <c r="O80">
        <v>1</v>
      </c>
      <c r="P80" t="s">
        <v>62</v>
      </c>
      <c r="Q80" s="4">
        <v>46390</v>
      </c>
      <c r="R80" t="s">
        <v>64</v>
      </c>
      <c r="S80" t="s">
        <v>38</v>
      </c>
      <c r="T80" t="s">
        <v>3153</v>
      </c>
      <c r="U80" t="s">
        <v>55</v>
      </c>
      <c r="V80" t="s">
        <v>3152</v>
      </c>
    </row>
    <row r="81" spans="1:22" x14ac:dyDescent="0.2">
      <c r="A81" t="s">
        <v>221</v>
      </c>
      <c r="B81" t="s">
        <v>222</v>
      </c>
      <c r="C81" t="s">
        <v>103</v>
      </c>
      <c r="D81" t="s">
        <v>104</v>
      </c>
      <c r="E81" t="s">
        <v>80</v>
      </c>
      <c r="F81" t="s">
        <v>34</v>
      </c>
      <c r="G81" t="s">
        <v>35</v>
      </c>
      <c r="H81" t="s">
        <v>88</v>
      </c>
      <c r="I81" t="s">
        <v>111</v>
      </c>
      <c r="J81" t="s">
        <v>37</v>
      </c>
      <c r="K81" s="4">
        <v>45960</v>
      </c>
      <c r="L81" s="4">
        <v>46140</v>
      </c>
      <c r="M81" t="s">
        <v>38</v>
      </c>
      <c r="N81" t="s">
        <v>75</v>
      </c>
      <c r="O81">
        <v>0</v>
      </c>
      <c r="P81" t="s">
        <v>54</v>
      </c>
      <c r="Q81" s="4">
        <v>46304</v>
      </c>
      <c r="R81" t="s">
        <v>57</v>
      </c>
      <c r="S81" t="s">
        <v>38</v>
      </c>
      <c r="T81" t="s">
        <v>3153</v>
      </c>
      <c r="U81" t="s">
        <v>75</v>
      </c>
      <c r="V81" t="s">
        <v>3154</v>
      </c>
    </row>
    <row r="82" spans="1:22" x14ac:dyDescent="0.2">
      <c r="A82" t="s">
        <v>223</v>
      </c>
      <c r="B82" t="s">
        <v>224</v>
      </c>
      <c r="C82" t="s">
        <v>31</v>
      </c>
      <c r="D82" t="s">
        <v>87</v>
      </c>
      <c r="E82" t="s">
        <v>91</v>
      </c>
      <c r="F82" t="s">
        <v>67</v>
      </c>
      <c r="G82" t="s">
        <v>68</v>
      </c>
      <c r="H82" t="s">
        <v>88</v>
      </c>
      <c r="I82" t="s">
        <v>106</v>
      </c>
      <c r="J82" t="s">
        <v>37</v>
      </c>
      <c r="K82" s="4">
        <v>46244</v>
      </c>
      <c r="L82" s="4">
        <v>46424</v>
      </c>
      <c r="M82" t="s">
        <v>64</v>
      </c>
      <c r="N82" t="s">
        <v>55</v>
      </c>
      <c r="O82">
        <v>3</v>
      </c>
      <c r="P82" t="s">
        <v>54</v>
      </c>
      <c r="Q82" s="4">
        <v>46161</v>
      </c>
      <c r="R82" t="s">
        <v>38</v>
      </c>
      <c r="S82" t="s">
        <v>3155</v>
      </c>
      <c r="T82" t="s">
        <v>3153</v>
      </c>
      <c r="U82" t="s">
        <v>55</v>
      </c>
      <c r="V82" t="s">
        <v>3154</v>
      </c>
    </row>
    <row r="83" spans="1:22" x14ac:dyDescent="0.2">
      <c r="A83" t="s">
        <v>225</v>
      </c>
      <c r="B83" t="s">
        <v>226</v>
      </c>
      <c r="C83" t="s">
        <v>31</v>
      </c>
      <c r="D83" t="s">
        <v>87</v>
      </c>
      <c r="E83" t="s">
        <v>105</v>
      </c>
      <c r="F83" t="s">
        <v>45</v>
      </c>
      <c r="G83" t="s">
        <v>46</v>
      </c>
      <c r="H83" t="s">
        <v>36</v>
      </c>
      <c r="I83" t="s">
        <v>54</v>
      </c>
      <c r="J83" t="s">
        <v>48</v>
      </c>
      <c r="K83" s="4">
        <v>45975</v>
      </c>
      <c r="L83" s="4">
        <v>46065</v>
      </c>
      <c r="M83" t="s">
        <v>38</v>
      </c>
      <c r="N83" t="s">
        <v>55</v>
      </c>
      <c r="O83">
        <v>2</v>
      </c>
      <c r="P83" t="s">
        <v>50</v>
      </c>
      <c r="Q83" s="4">
        <v>46190</v>
      </c>
      <c r="R83" t="s">
        <v>38</v>
      </c>
      <c r="S83" t="s">
        <v>38</v>
      </c>
      <c r="T83" t="s">
        <v>3153</v>
      </c>
      <c r="U83" t="s">
        <v>55</v>
      </c>
      <c r="V83" t="s">
        <v>3152</v>
      </c>
    </row>
    <row r="84" spans="1:22" x14ac:dyDescent="0.2">
      <c r="A84" t="s">
        <v>227</v>
      </c>
      <c r="B84" t="s">
        <v>228</v>
      </c>
      <c r="C84" t="s">
        <v>31</v>
      </c>
      <c r="D84" t="s">
        <v>87</v>
      </c>
      <c r="E84" t="s">
        <v>44</v>
      </c>
      <c r="F84" t="s">
        <v>34</v>
      </c>
      <c r="G84" t="s">
        <v>35</v>
      </c>
      <c r="H84" t="s">
        <v>47</v>
      </c>
      <c r="I84" t="s">
        <v>39</v>
      </c>
      <c r="J84" t="s">
        <v>63</v>
      </c>
      <c r="K84" s="4">
        <v>46208</v>
      </c>
      <c r="L84" s="4">
        <v>46298</v>
      </c>
      <c r="M84" t="s">
        <v>64</v>
      </c>
      <c r="N84" t="s">
        <v>55</v>
      </c>
      <c r="O84">
        <v>2</v>
      </c>
      <c r="P84" t="s">
        <v>62</v>
      </c>
      <c r="Q84" s="4">
        <v>46123</v>
      </c>
      <c r="R84" t="s">
        <v>64</v>
      </c>
      <c r="S84" t="s">
        <v>3155</v>
      </c>
      <c r="T84" t="s">
        <v>3153</v>
      </c>
      <c r="U84" t="s">
        <v>55</v>
      </c>
      <c r="V84" t="s">
        <v>3154</v>
      </c>
    </row>
    <row r="85" spans="1:22" x14ac:dyDescent="0.2">
      <c r="A85" t="s">
        <v>229</v>
      </c>
      <c r="B85" t="s">
        <v>230</v>
      </c>
      <c r="C85" t="s">
        <v>103</v>
      </c>
      <c r="D85" t="s">
        <v>104</v>
      </c>
      <c r="E85" t="s">
        <v>91</v>
      </c>
      <c r="F85" t="s">
        <v>34</v>
      </c>
      <c r="G85" t="s">
        <v>35</v>
      </c>
      <c r="H85" t="s">
        <v>47</v>
      </c>
      <c r="I85" t="s">
        <v>111</v>
      </c>
      <c r="J85" t="s">
        <v>48</v>
      </c>
      <c r="K85" s="4">
        <v>45877</v>
      </c>
      <c r="L85" s="4">
        <v>46057</v>
      </c>
      <c r="M85" t="s">
        <v>38</v>
      </c>
      <c r="O85">
        <v>0</v>
      </c>
      <c r="P85" t="s">
        <v>56</v>
      </c>
      <c r="Q85" s="4">
        <v>46346</v>
      </c>
      <c r="R85" t="s">
        <v>57</v>
      </c>
      <c r="S85" t="s">
        <v>38</v>
      </c>
      <c r="T85" t="s">
        <v>3153</v>
      </c>
      <c r="U85" t="s">
        <v>3151</v>
      </c>
      <c r="V85" t="s">
        <v>3154</v>
      </c>
    </row>
    <row r="86" spans="1:22" x14ac:dyDescent="0.2">
      <c r="A86" t="s">
        <v>231</v>
      </c>
      <c r="B86" t="s">
        <v>232</v>
      </c>
      <c r="C86" t="s">
        <v>73</v>
      </c>
      <c r="D86" t="s">
        <v>74</v>
      </c>
      <c r="E86" t="s">
        <v>105</v>
      </c>
      <c r="F86" t="s">
        <v>67</v>
      </c>
      <c r="G86" t="s">
        <v>68</v>
      </c>
      <c r="H86" t="s">
        <v>98</v>
      </c>
      <c r="I86" t="s">
        <v>62</v>
      </c>
      <c r="J86" t="s">
        <v>48</v>
      </c>
      <c r="K86" s="4">
        <v>46057</v>
      </c>
      <c r="L86" s="4">
        <v>46422</v>
      </c>
      <c r="M86" t="s">
        <v>64</v>
      </c>
      <c r="N86" t="s">
        <v>49</v>
      </c>
      <c r="O86">
        <v>3</v>
      </c>
      <c r="P86" t="s">
        <v>70</v>
      </c>
      <c r="Q86" s="4">
        <v>46152</v>
      </c>
      <c r="R86" t="s">
        <v>38</v>
      </c>
      <c r="S86" t="s">
        <v>3155</v>
      </c>
      <c r="T86" t="s">
        <v>3153</v>
      </c>
      <c r="U86" t="s">
        <v>49</v>
      </c>
      <c r="V86" t="s">
        <v>3152</v>
      </c>
    </row>
    <row r="87" spans="1:22" x14ac:dyDescent="0.2">
      <c r="A87" t="s">
        <v>233</v>
      </c>
      <c r="B87" t="s">
        <v>234</v>
      </c>
      <c r="C87" t="s">
        <v>31</v>
      </c>
      <c r="D87" t="s">
        <v>32</v>
      </c>
      <c r="E87" t="s">
        <v>60</v>
      </c>
      <c r="F87" t="s">
        <v>45</v>
      </c>
      <c r="G87" t="s">
        <v>61</v>
      </c>
      <c r="H87" t="s">
        <v>88</v>
      </c>
      <c r="I87" t="s">
        <v>106</v>
      </c>
      <c r="J87" t="s">
        <v>63</v>
      </c>
      <c r="K87" s="4">
        <v>46080</v>
      </c>
      <c r="L87" s="4">
        <v>46445</v>
      </c>
      <c r="M87" t="s">
        <v>64</v>
      </c>
      <c r="N87" t="s">
        <v>75</v>
      </c>
      <c r="O87">
        <v>3</v>
      </c>
      <c r="P87" t="s">
        <v>54</v>
      </c>
      <c r="Q87" s="4">
        <v>46165</v>
      </c>
      <c r="R87" t="s">
        <v>38</v>
      </c>
      <c r="S87" t="s">
        <v>3155</v>
      </c>
      <c r="T87" t="s">
        <v>3153</v>
      </c>
      <c r="U87" t="s">
        <v>75</v>
      </c>
      <c r="V87" t="s">
        <v>3154</v>
      </c>
    </row>
    <row r="88" spans="1:22" x14ac:dyDescent="0.2">
      <c r="A88" t="s">
        <v>235</v>
      </c>
      <c r="B88" t="s">
        <v>236</v>
      </c>
      <c r="C88" t="s">
        <v>78</v>
      </c>
      <c r="D88" t="s">
        <v>79</v>
      </c>
      <c r="E88" t="s">
        <v>44</v>
      </c>
      <c r="F88" t="s">
        <v>67</v>
      </c>
      <c r="G88" t="s">
        <v>118</v>
      </c>
      <c r="H88" t="s">
        <v>88</v>
      </c>
      <c r="I88" t="s">
        <v>111</v>
      </c>
      <c r="J88" t="s">
        <v>63</v>
      </c>
      <c r="K88" s="4">
        <v>46071</v>
      </c>
      <c r="L88" s="4">
        <v>46251</v>
      </c>
      <c r="M88" t="s">
        <v>38</v>
      </c>
      <c r="N88" t="s">
        <v>49</v>
      </c>
      <c r="O88">
        <v>0</v>
      </c>
      <c r="P88" t="s">
        <v>56</v>
      </c>
      <c r="Q88" s="4">
        <v>46275</v>
      </c>
      <c r="R88" t="s">
        <v>57</v>
      </c>
      <c r="S88" t="s">
        <v>38</v>
      </c>
      <c r="T88" t="s">
        <v>3153</v>
      </c>
      <c r="U88" t="s">
        <v>49</v>
      </c>
      <c r="V88" t="s">
        <v>3154</v>
      </c>
    </row>
    <row r="89" spans="1:22" x14ac:dyDescent="0.2">
      <c r="A89" t="s">
        <v>237</v>
      </c>
      <c r="B89" t="s">
        <v>238</v>
      </c>
      <c r="C89" t="s">
        <v>31</v>
      </c>
      <c r="D89" t="s">
        <v>87</v>
      </c>
      <c r="E89" t="s">
        <v>91</v>
      </c>
      <c r="F89" t="s">
        <v>67</v>
      </c>
      <c r="G89" t="s">
        <v>68</v>
      </c>
      <c r="H89" t="s">
        <v>98</v>
      </c>
      <c r="I89" t="s">
        <v>70</v>
      </c>
      <c r="J89" t="s">
        <v>63</v>
      </c>
      <c r="K89" s="4">
        <v>46229</v>
      </c>
      <c r="L89" s="4">
        <v>46319</v>
      </c>
      <c r="M89" t="s">
        <v>64</v>
      </c>
      <c r="N89" t="s">
        <v>55</v>
      </c>
      <c r="O89">
        <v>5</v>
      </c>
      <c r="P89" t="s">
        <v>106</v>
      </c>
      <c r="Q89" s="4">
        <v>46305</v>
      </c>
      <c r="R89" t="s">
        <v>84</v>
      </c>
      <c r="S89" t="s">
        <v>3155</v>
      </c>
      <c r="T89" t="s">
        <v>3153</v>
      </c>
      <c r="U89" t="s">
        <v>55</v>
      </c>
      <c r="V89" t="s">
        <v>3152</v>
      </c>
    </row>
    <row r="90" spans="1:22" x14ac:dyDescent="0.2">
      <c r="A90" t="s">
        <v>239</v>
      </c>
      <c r="B90" t="s">
        <v>240</v>
      </c>
      <c r="C90" t="s">
        <v>103</v>
      </c>
      <c r="D90" t="s">
        <v>104</v>
      </c>
      <c r="E90" t="s">
        <v>80</v>
      </c>
      <c r="F90" t="s">
        <v>34</v>
      </c>
      <c r="G90" t="s">
        <v>35</v>
      </c>
      <c r="H90" t="s">
        <v>88</v>
      </c>
      <c r="I90" t="s">
        <v>62</v>
      </c>
      <c r="J90" t="s">
        <v>63</v>
      </c>
      <c r="K90" s="4">
        <v>45831</v>
      </c>
      <c r="L90" s="4">
        <v>46196</v>
      </c>
      <c r="M90" t="s">
        <v>38</v>
      </c>
      <c r="N90" t="s">
        <v>55</v>
      </c>
      <c r="O90">
        <v>2</v>
      </c>
      <c r="P90" t="s">
        <v>111</v>
      </c>
      <c r="Q90" s="4">
        <v>46274</v>
      </c>
      <c r="R90" t="s">
        <v>38</v>
      </c>
      <c r="S90" t="s">
        <v>38</v>
      </c>
      <c r="T90" t="s">
        <v>3153</v>
      </c>
      <c r="U90" t="s">
        <v>55</v>
      </c>
      <c r="V90" t="s">
        <v>3154</v>
      </c>
    </row>
    <row r="91" spans="1:22" x14ac:dyDescent="0.2">
      <c r="A91" t="s">
        <v>241</v>
      </c>
      <c r="B91" t="s">
        <v>242</v>
      </c>
      <c r="C91" t="s">
        <v>42</v>
      </c>
      <c r="D91" t="s">
        <v>43</v>
      </c>
      <c r="E91" t="s">
        <v>53</v>
      </c>
      <c r="F91" t="s">
        <v>45</v>
      </c>
      <c r="G91" t="s">
        <v>46</v>
      </c>
      <c r="H91" t="s">
        <v>36</v>
      </c>
      <c r="I91" t="s">
        <v>106</v>
      </c>
      <c r="J91" t="s">
        <v>48</v>
      </c>
      <c r="K91" s="4">
        <v>46217</v>
      </c>
      <c r="L91" s="4">
        <v>46397</v>
      </c>
      <c r="M91" t="s">
        <v>69</v>
      </c>
      <c r="N91" t="s">
        <v>49</v>
      </c>
      <c r="O91">
        <v>4</v>
      </c>
      <c r="P91" t="s">
        <v>56</v>
      </c>
      <c r="Q91" s="4">
        <v>46400</v>
      </c>
      <c r="R91" t="s">
        <v>64</v>
      </c>
      <c r="S91" t="s">
        <v>3155</v>
      </c>
      <c r="T91" t="s">
        <v>3153</v>
      </c>
      <c r="U91" t="s">
        <v>49</v>
      </c>
      <c r="V91" t="s">
        <v>3152</v>
      </c>
    </row>
    <row r="92" spans="1:22" x14ac:dyDescent="0.2">
      <c r="A92" t="s">
        <v>243</v>
      </c>
      <c r="B92" t="s">
        <v>244</v>
      </c>
      <c r="C92" t="s">
        <v>31</v>
      </c>
      <c r="D92" t="s">
        <v>87</v>
      </c>
      <c r="E92" t="s">
        <v>53</v>
      </c>
      <c r="F92" t="s">
        <v>34</v>
      </c>
      <c r="G92" t="s">
        <v>35</v>
      </c>
      <c r="H92" t="s">
        <v>88</v>
      </c>
      <c r="I92" t="s">
        <v>50</v>
      </c>
      <c r="J92" t="s">
        <v>63</v>
      </c>
      <c r="K92" s="4">
        <v>45830</v>
      </c>
      <c r="L92" s="4">
        <v>45920</v>
      </c>
      <c r="M92" t="s">
        <v>38</v>
      </c>
      <c r="N92" t="s">
        <v>49</v>
      </c>
      <c r="O92">
        <v>3</v>
      </c>
      <c r="P92" t="s">
        <v>54</v>
      </c>
      <c r="Q92" s="4">
        <v>46150</v>
      </c>
      <c r="R92" t="s">
        <v>64</v>
      </c>
      <c r="S92" t="s">
        <v>38</v>
      </c>
      <c r="T92" t="s">
        <v>3153</v>
      </c>
      <c r="U92" t="s">
        <v>49</v>
      </c>
      <c r="V92" t="s">
        <v>3154</v>
      </c>
    </row>
    <row r="93" spans="1:22" x14ac:dyDescent="0.2">
      <c r="A93" t="s">
        <v>245</v>
      </c>
      <c r="B93" t="s">
        <v>246</v>
      </c>
      <c r="C93" t="s">
        <v>31</v>
      </c>
      <c r="D93" t="s">
        <v>83</v>
      </c>
      <c r="E93" t="s">
        <v>80</v>
      </c>
      <c r="F93" t="s">
        <v>67</v>
      </c>
      <c r="G93" t="s">
        <v>118</v>
      </c>
      <c r="H93" t="s">
        <v>88</v>
      </c>
      <c r="I93" t="s">
        <v>106</v>
      </c>
      <c r="J93" t="s">
        <v>63</v>
      </c>
      <c r="K93" s="4">
        <v>46116</v>
      </c>
      <c r="L93" s="4">
        <v>46481</v>
      </c>
      <c r="M93" t="s">
        <v>64</v>
      </c>
      <c r="N93" t="s">
        <v>49</v>
      </c>
      <c r="O93">
        <v>0</v>
      </c>
      <c r="P93" t="s">
        <v>39</v>
      </c>
      <c r="Q93" s="4">
        <v>46141</v>
      </c>
      <c r="R93" t="s">
        <v>57</v>
      </c>
      <c r="S93" t="s">
        <v>3155</v>
      </c>
      <c r="T93" t="s">
        <v>3153</v>
      </c>
      <c r="U93" t="s">
        <v>49</v>
      </c>
      <c r="V93" t="s">
        <v>3154</v>
      </c>
    </row>
    <row r="94" spans="1:22" x14ac:dyDescent="0.2">
      <c r="A94" t="s">
        <v>247</v>
      </c>
      <c r="B94" t="s">
        <v>248</v>
      </c>
      <c r="C94" t="s">
        <v>78</v>
      </c>
      <c r="D94" t="s">
        <v>79</v>
      </c>
      <c r="E94" t="s">
        <v>53</v>
      </c>
      <c r="F94" t="s">
        <v>34</v>
      </c>
      <c r="G94" t="s">
        <v>35</v>
      </c>
      <c r="H94" t="s">
        <v>88</v>
      </c>
      <c r="I94" t="s">
        <v>62</v>
      </c>
      <c r="J94" t="s">
        <v>37</v>
      </c>
      <c r="K94" s="4">
        <v>46027</v>
      </c>
      <c r="L94" s="4">
        <v>46392</v>
      </c>
      <c r="M94" t="s">
        <v>64</v>
      </c>
      <c r="N94" t="s">
        <v>75</v>
      </c>
      <c r="O94">
        <v>1</v>
      </c>
      <c r="P94" t="s">
        <v>111</v>
      </c>
      <c r="Q94" s="4">
        <v>46377</v>
      </c>
      <c r="R94" t="s">
        <v>64</v>
      </c>
      <c r="S94" t="s">
        <v>3155</v>
      </c>
      <c r="T94" t="s">
        <v>3153</v>
      </c>
      <c r="U94" t="s">
        <v>75</v>
      </c>
      <c r="V94" t="s">
        <v>3154</v>
      </c>
    </row>
    <row r="95" spans="1:22" x14ac:dyDescent="0.2">
      <c r="A95" t="s">
        <v>249</v>
      </c>
      <c r="B95" t="s">
        <v>250</v>
      </c>
      <c r="C95" t="s">
        <v>31</v>
      </c>
      <c r="D95" t="s">
        <v>32</v>
      </c>
      <c r="E95" t="s">
        <v>105</v>
      </c>
      <c r="F95" t="s">
        <v>34</v>
      </c>
      <c r="G95" t="s">
        <v>35</v>
      </c>
      <c r="H95" t="s">
        <v>47</v>
      </c>
      <c r="I95" t="s">
        <v>39</v>
      </c>
      <c r="J95" t="s">
        <v>37</v>
      </c>
      <c r="K95" s="4">
        <v>46272</v>
      </c>
      <c r="L95" s="4">
        <v>46362</v>
      </c>
      <c r="M95" t="s">
        <v>64</v>
      </c>
      <c r="N95" t="s">
        <v>55</v>
      </c>
      <c r="O95">
        <v>1</v>
      </c>
      <c r="P95" t="s">
        <v>62</v>
      </c>
      <c r="Q95" s="4">
        <v>46245</v>
      </c>
      <c r="R95" t="s">
        <v>64</v>
      </c>
      <c r="S95" t="s">
        <v>3155</v>
      </c>
      <c r="T95" t="s">
        <v>3153</v>
      </c>
      <c r="U95" t="s">
        <v>55</v>
      </c>
      <c r="V95" t="s">
        <v>3154</v>
      </c>
    </row>
    <row r="96" spans="1:22" x14ac:dyDescent="0.2">
      <c r="A96" t="s">
        <v>251</v>
      </c>
      <c r="B96" t="s">
        <v>252</v>
      </c>
      <c r="C96" t="s">
        <v>96</v>
      </c>
      <c r="D96" t="s">
        <v>97</v>
      </c>
      <c r="E96" t="s">
        <v>80</v>
      </c>
      <c r="F96" t="s">
        <v>45</v>
      </c>
      <c r="G96" t="s">
        <v>46</v>
      </c>
      <c r="H96" t="s">
        <v>88</v>
      </c>
      <c r="J96" t="s">
        <v>37</v>
      </c>
      <c r="K96" s="4">
        <v>46158</v>
      </c>
      <c r="L96" s="4">
        <v>46523</v>
      </c>
      <c r="M96" t="s">
        <v>69</v>
      </c>
      <c r="N96" t="s">
        <v>55</v>
      </c>
      <c r="O96">
        <v>3</v>
      </c>
      <c r="P96" t="s">
        <v>62</v>
      </c>
      <c r="Q96" s="4">
        <v>46136</v>
      </c>
      <c r="R96" t="s">
        <v>38</v>
      </c>
      <c r="S96" t="s">
        <v>3155</v>
      </c>
      <c r="T96" t="s">
        <v>3150</v>
      </c>
      <c r="U96" t="s">
        <v>55</v>
      </c>
      <c r="V96" t="s">
        <v>3154</v>
      </c>
    </row>
    <row r="97" spans="1:22" x14ac:dyDescent="0.2">
      <c r="A97" t="s">
        <v>253</v>
      </c>
      <c r="B97" t="s">
        <v>254</v>
      </c>
      <c r="C97" t="s">
        <v>73</v>
      </c>
      <c r="D97" t="s">
        <v>74</v>
      </c>
      <c r="E97" t="s">
        <v>91</v>
      </c>
      <c r="F97" t="s">
        <v>34</v>
      </c>
      <c r="G97" t="s">
        <v>35</v>
      </c>
      <c r="H97" t="s">
        <v>88</v>
      </c>
      <c r="I97" t="s">
        <v>56</v>
      </c>
      <c r="J97" t="s">
        <v>37</v>
      </c>
      <c r="K97" s="4">
        <v>46217</v>
      </c>
      <c r="L97" s="4">
        <v>46397</v>
      </c>
      <c r="M97" t="s">
        <v>64</v>
      </c>
      <c r="N97" t="s">
        <v>75</v>
      </c>
      <c r="O97">
        <v>1</v>
      </c>
      <c r="P97" t="s">
        <v>70</v>
      </c>
      <c r="Q97" s="4">
        <v>46350</v>
      </c>
      <c r="R97" t="s">
        <v>84</v>
      </c>
      <c r="S97" t="s">
        <v>3155</v>
      </c>
      <c r="T97" t="s">
        <v>3153</v>
      </c>
      <c r="U97" t="s">
        <v>75</v>
      </c>
      <c r="V97" t="s">
        <v>3154</v>
      </c>
    </row>
    <row r="98" spans="1:22" x14ac:dyDescent="0.2">
      <c r="A98" t="s">
        <v>255</v>
      </c>
      <c r="B98" t="s">
        <v>256</v>
      </c>
      <c r="C98" t="s">
        <v>31</v>
      </c>
      <c r="D98" t="s">
        <v>83</v>
      </c>
      <c r="E98" t="s">
        <v>60</v>
      </c>
      <c r="F98" t="s">
        <v>45</v>
      </c>
      <c r="G98" t="s">
        <v>61</v>
      </c>
      <c r="H98" t="s">
        <v>88</v>
      </c>
      <c r="I98" t="s">
        <v>70</v>
      </c>
      <c r="J98" t="s">
        <v>63</v>
      </c>
      <c r="K98" s="4">
        <v>46073</v>
      </c>
      <c r="L98" s="4">
        <v>46253</v>
      </c>
      <c r="M98" t="s">
        <v>38</v>
      </c>
      <c r="N98" t="s">
        <v>49</v>
      </c>
      <c r="O98">
        <v>2</v>
      </c>
      <c r="P98" t="s">
        <v>70</v>
      </c>
      <c r="Q98" s="4">
        <v>46228</v>
      </c>
      <c r="R98" t="s">
        <v>64</v>
      </c>
      <c r="S98" t="s">
        <v>38</v>
      </c>
      <c r="T98" t="s">
        <v>3153</v>
      </c>
      <c r="U98" t="s">
        <v>49</v>
      </c>
      <c r="V98" t="s">
        <v>3154</v>
      </c>
    </row>
    <row r="99" spans="1:22" x14ac:dyDescent="0.2">
      <c r="A99" t="s">
        <v>257</v>
      </c>
      <c r="B99" t="s">
        <v>258</v>
      </c>
      <c r="C99" t="s">
        <v>31</v>
      </c>
      <c r="D99" t="s">
        <v>83</v>
      </c>
      <c r="E99" t="s">
        <v>53</v>
      </c>
      <c r="F99" t="s">
        <v>34</v>
      </c>
      <c r="G99" t="s">
        <v>35</v>
      </c>
      <c r="H99" t="s">
        <v>88</v>
      </c>
      <c r="I99" t="s">
        <v>50</v>
      </c>
      <c r="J99" t="s">
        <v>63</v>
      </c>
      <c r="K99" s="4">
        <v>46155</v>
      </c>
      <c r="L99" s="4">
        <v>46245</v>
      </c>
      <c r="M99" t="s">
        <v>38</v>
      </c>
      <c r="N99" t="s">
        <v>55</v>
      </c>
      <c r="O99">
        <v>2</v>
      </c>
      <c r="P99" t="s">
        <v>70</v>
      </c>
      <c r="Q99" s="4">
        <v>46216</v>
      </c>
      <c r="R99" t="s">
        <v>64</v>
      </c>
      <c r="S99" t="s">
        <v>38</v>
      </c>
      <c r="T99" t="s">
        <v>3153</v>
      </c>
      <c r="U99" t="s">
        <v>55</v>
      </c>
      <c r="V99" t="s">
        <v>3154</v>
      </c>
    </row>
    <row r="100" spans="1:22" x14ac:dyDescent="0.2">
      <c r="A100" t="s">
        <v>259</v>
      </c>
      <c r="B100" t="s">
        <v>260</v>
      </c>
      <c r="C100" t="s">
        <v>73</v>
      </c>
      <c r="D100" t="s">
        <v>74</v>
      </c>
      <c r="E100" t="s">
        <v>80</v>
      </c>
      <c r="F100" t="s">
        <v>45</v>
      </c>
      <c r="G100" t="s">
        <v>61</v>
      </c>
      <c r="H100" t="s">
        <v>36</v>
      </c>
      <c r="I100" t="s">
        <v>111</v>
      </c>
      <c r="J100" t="s">
        <v>37</v>
      </c>
      <c r="K100" s="4">
        <v>45927</v>
      </c>
      <c r="L100" s="4">
        <v>46292</v>
      </c>
      <c r="M100" t="s">
        <v>38</v>
      </c>
      <c r="N100" t="s">
        <v>49</v>
      </c>
      <c r="O100">
        <v>5</v>
      </c>
      <c r="P100" t="s">
        <v>70</v>
      </c>
      <c r="Q100" s="4">
        <v>46280</v>
      </c>
      <c r="R100" t="s">
        <v>38</v>
      </c>
      <c r="S100" t="s">
        <v>38</v>
      </c>
      <c r="T100" t="s">
        <v>3153</v>
      </c>
      <c r="U100" t="s">
        <v>49</v>
      </c>
      <c r="V100" t="s">
        <v>3152</v>
      </c>
    </row>
    <row r="101" spans="1:22" x14ac:dyDescent="0.2">
      <c r="A101" t="s">
        <v>261</v>
      </c>
      <c r="B101" t="s">
        <v>262</v>
      </c>
      <c r="C101" t="s">
        <v>96</v>
      </c>
      <c r="D101" t="s">
        <v>97</v>
      </c>
      <c r="E101" t="s">
        <v>91</v>
      </c>
      <c r="F101" t="s">
        <v>67</v>
      </c>
      <c r="G101" t="s">
        <v>118</v>
      </c>
      <c r="H101" t="s">
        <v>88</v>
      </c>
      <c r="I101" t="s">
        <v>56</v>
      </c>
      <c r="J101" t="s">
        <v>48</v>
      </c>
      <c r="K101" s="4">
        <v>45973</v>
      </c>
      <c r="L101" s="4">
        <v>46063</v>
      </c>
      <c r="M101" t="s">
        <v>38</v>
      </c>
      <c r="N101" t="s">
        <v>75</v>
      </c>
      <c r="O101">
        <v>0</v>
      </c>
      <c r="P101" t="s">
        <v>39</v>
      </c>
      <c r="Q101" s="4">
        <v>46273</v>
      </c>
      <c r="R101" t="s">
        <v>57</v>
      </c>
      <c r="S101" t="s">
        <v>38</v>
      </c>
      <c r="T101" t="s">
        <v>3153</v>
      </c>
      <c r="U101" t="s">
        <v>75</v>
      </c>
      <c r="V101" t="s">
        <v>3154</v>
      </c>
    </row>
    <row r="102" spans="1:22" x14ac:dyDescent="0.2">
      <c r="A102" t="s">
        <v>263</v>
      </c>
      <c r="B102" t="s">
        <v>264</v>
      </c>
      <c r="C102" t="s">
        <v>103</v>
      </c>
      <c r="D102" t="s">
        <v>104</v>
      </c>
      <c r="E102" t="s">
        <v>105</v>
      </c>
      <c r="F102" t="s">
        <v>67</v>
      </c>
      <c r="G102" t="s">
        <v>118</v>
      </c>
      <c r="H102" t="s">
        <v>88</v>
      </c>
      <c r="I102" t="s">
        <v>70</v>
      </c>
      <c r="J102" t="s">
        <v>63</v>
      </c>
      <c r="K102" s="4">
        <v>45961</v>
      </c>
      <c r="L102" s="4">
        <v>46326</v>
      </c>
      <c r="M102" t="s">
        <v>64</v>
      </c>
      <c r="N102" t="s">
        <v>75</v>
      </c>
      <c r="O102">
        <v>0</v>
      </c>
      <c r="P102" t="s">
        <v>111</v>
      </c>
      <c r="Q102" s="4">
        <v>46345</v>
      </c>
      <c r="R102" t="s">
        <v>57</v>
      </c>
      <c r="S102" t="s">
        <v>3155</v>
      </c>
      <c r="T102" t="s">
        <v>3153</v>
      </c>
      <c r="U102" t="s">
        <v>75</v>
      </c>
      <c r="V102" t="s">
        <v>3154</v>
      </c>
    </row>
    <row r="103" spans="1:22" x14ac:dyDescent="0.2">
      <c r="A103" t="s">
        <v>265</v>
      </c>
      <c r="B103" t="s">
        <v>266</v>
      </c>
      <c r="C103" t="s">
        <v>96</v>
      </c>
      <c r="D103" t="s">
        <v>97</v>
      </c>
      <c r="E103" t="s">
        <v>105</v>
      </c>
      <c r="F103" t="s">
        <v>34</v>
      </c>
      <c r="G103" t="s">
        <v>35</v>
      </c>
      <c r="H103" t="s">
        <v>88</v>
      </c>
      <c r="I103" t="s">
        <v>106</v>
      </c>
      <c r="J103" t="s">
        <v>63</v>
      </c>
      <c r="K103" s="4">
        <v>45910</v>
      </c>
      <c r="L103" s="4">
        <v>46000</v>
      </c>
      <c r="M103" t="s">
        <v>38</v>
      </c>
      <c r="N103" t="s">
        <v>49</v>
      </c>
      <c r="O103">
        <v>1</v>
      </c>
      <c r="P103" t="s">
        <v>50</v>
      </c>
      <c r="Q103" s="4">
        <v>46135</v>
      </c>
      <c r="R103" t="s">
        <v>64</v>
      </c>
      <c r="S103" t="s">
        <v>38</v>
      </c>
      <c r="T103" t="s">
        <v>3153</v>
      </c>
      <c r="U103" t="s">
        <v>49</v>
      </c>
      <c r="V103" t="s">
        <v>3154</v>
      </c>
    </row>
    <row r="104" spans="1:22" x14ac:dyDescent="0.2">
      <c r="A104" t="s">
        <v>267</v>
      </c>
      <c r="B104" t="s">
        <v>268</v>
      </c>
      <c r="C104" t="s">
        <v>78</v>
      </c>
      <c r="D104" t="s">
        <v>79</v>
      </c>
      <c r="E104" t="s">
        <v>53</v>
      </c>
      <c r="F104" t="s">
        <v>67</v>
      </c>
      <c r="G104" t="s">
        <v>118</v>
      </c>
      <c r="H104" t="s">
        <v>88</v>
      </c>
      <c r="I104" t="s">
        <v>106</v>
      </c>
      <c r="J104" t="s">
        <v>37</v>
      </c>
      <c r="K104" s="4">
        <v>45928</v>
      </c>
      <c r="L104" s="4">
        <v>46293</v>
      </c>
      <c r="M104" t="s">
        <v>38</v>
      </c>
      <c r="N104" t="s">
        <v>55</v>
      </c>
      <c r="O104">
        <v>2</v>
      </c>
      <c r="P104" t="s">
        <v>50</v>
      </c>
      <c r="Q104" s="4">
        <v>46148</v>
      </c>
      <c r="R104" t="s">
        <v>64</v>
      </c>
      <c r="S104" t="s">
        <v>38</v>
      </c>
      <c r="T104" t="s">
        <v>3153</v>
      </c>
      <c r="U104" t="s">
        <v>55</v>
      </c>
      <c r="V104" t="s">
        <v>3154</v>
      </c>
    </row>
    <row r="105" spans="1:22" x14ac:dyDescent="0.2">
      <c r="A105" t="s">
        <v>269</v>
      </c>
      <c r="B105" t="s">
        <v>270</v>
      </c>
      <c r="C105" t="s">
        <v>78</v>
      </c>
      <c r="D105" t="s">
        <v>79</v>
      </c>
      <c r="E105" t="s">
        <v>60</v>
      </c>
      <c r="F105" t="s">
        <v>67</v>
      </c>
      <c r="G105" t="s">
        <v>68</v>
      </c>
      <c r="H105" t="s">
        <v>88</v>
      </c>
      <c r="I105" t="s">
        <v>106</v>
      </c>
      <c r="J105" t="s">
        <v>37</v>
      </c>
      <c r="K105" s="4">
        <v>46117</v>
      </c>
      <c r="L105" s="4">
        <v>46482</v>
      </c>
      <c r="M105" t="s">
        <v>69</v>
      </c>
      <c r="N105" t="s">
        <v>55</v>
      </c>
      <c r="O105">
        <v>0</v>
      </c>
      <c r="P105" t="s">
        <v>50</v>
      </c>
      <c r="Q105" s="4">
        <v>46273</v>
      </c>
      <c r="R105" t="s">
        <v>57</v>
      </c>
      <c r="S105" t="s">
        <v>3155</v>
      </c>
      <c r="T105" t="s">
        <v>3153</v>
      </c>
      <c r="U105" t="s">
        <v>55</v>
      </c>
      <c r="V105" t="s">
        <v>3154</v>
      </c>
    </row>
    <row r="106" spans="1:22" x14ac:dyDescent="0.2">
      <c r="A106" t="s">
        <v>271</v>
      </c>
      <c r="B106" t="s">
        <v>272</v>
      </c>
      <c r="C106" t="s">
        <v>31</v>
      </c>
      <c r="D106" t="s">
        <v>83</v>
      </c>
      <c r="E106" t="s">
        <v>91</v>
      </c>
      <c r="F106" t="s">
        <v>34</v>
      </c>
      <c r="G106" t="s">
        <v>35</v>
      </c>
      <c r="H106" t="s">
        <v>88</v>
      </c>
      <c r="I106" t="s">
        <v>106</v>
      </c>
      <c r="J106" t="s">
        <v>48</v>
      </c>
      <c r="K106" s="4">
        <v>46266</v>
      </c>
      <c r="L106" s="4">
        <v>46446</v>
      </c>
      <c r="M106" t="s">
        <v>64</v>
      </c>
      <c r="N106" t="s">
        <v>55</v>
      </c>
      <c r="O106">
        <v>2</v>
      </c>
      <c r="P106" t="s">
        <v>56</v>
      </c>
      <c r="Q106" s="4">
        <v>46363</v>
      </c>
      <c r="R106" t="s">
        <v>64</v>
      </c>
      <c r="S106" t="s">
        <v>3155</v>
      </c>
      <c r="T106" t="s">
        <v>3153</v>
      </c>
      <c r="U106" t="s">
        <v>55</v>
      </c>
      <c r="V106" t="s">
        <v>3154</v>
      </c>
    </row>
    <row r="107" spans="1:22" x14ac:dyDescent="0.2">
      <c r="A107" t="s">
        <v>273</v>
      </c>
      <c r="B107" t="s">
        <v>274</v>
      </c>
      <c r="C107" t="s">
        <v>31</v>
      </c>
      <c r="D107" t="s">
        <v>83</v>
      </c>
      <c r="E107" t="s">
        <v>91</v>
      </c>
      <c r="F107" t="s">
        <v>45</v>
      </c>
      <c r="G107" t="s">
        <v>46</v>
      </c>
      <c r="H107" t="s">
        <v>88</v>
      </c>
      <c r="I107" t="s">
        <v>50</v>
      </c>
      <c r="J107" t="s">
        <v>37</v>
      </c>
      <c r="K107" s="4">
        <v>45970</v>
      </c>
      <c r="L107" s="4">
        <v>46150</v>
      </c>
      <c r="M107" t="s">
        <v>38</v>
      </c>
      <c r="N107" t="s">
        <v>55</v>
      </c>
      <c r="O107">
        <v>1</v>
      </c>
      <c r="P107" t="s">
        <v>39</v>
      </c>
      <c r="Q107" s="4">
        <v>46207</v>
      </c>
      <c r="R107" t="s">
        <v>38</v>
      </c>
      <c r="S107" t="s">
        <v>38</v>
      </c>
      <c r="T107" t="s">
        <v>3153</v>
      </c>
      <c r="U107" t="s">
        <v>55</v>
      </c>
      <c r="V107" t="s">
        <v>3154</v>
      </c>
    </row>
    <row r="108" spans="1:22" x14ac:dyDescent="0.2">
      <c r="A108" t="s">
        <v>275</v>
      </c>
      <c r="B108" t="s">
        <v>276</v>
      </c>
      <c r="C108" t="s">
        <v>42</v>
      </c>
      <c r="D108" t="s">
        <v>43</v>
      </c>
      <c r="E108" t="s">
        <v>91</v>
      </c>
      <c r="F108" t="s">
        <v>67</v>
      </c>
      <c r="G108" t="s">
        <v>118</v>
      </c>
      <c r="H108" t="s">
        <v>36</v>
      </c>
      <c r="I108" t="s">
        <v>111</v>
      </c>
      <c r="J108" t="s">
        <v>37</v>
      </c>
      <c r="K108" s="4">
        <v>45963</v>
      </c>
      <c r="L108" s="4">
        <v>46143</v>
      </c>
      <c r="M108" t="s">
        <v>38</v>
      </c>
      <c r="N108" t="s">
        <v>49</v>
      </c>
      <c r="O108">
        <v>3</v>
      </c>
      <c r="P108" t="s">
        <v>54</v>
      </c>
      <c r="Q108" s="4">
        <v>46234</v>
      </c>
      <c r="R108" t="s">
        <v>38</v>
      </c>
      <c r="S108" t="s">
        <v>38</v>
      </c>
      <c r="T108" t="s">
        <v>3153</v>
      </c>
      <c r="U108" t="s">
        <v>49</v>
      </c>
      <c r="V108" t="s">
        <v>3152</v>
      </c>
    </row>
    <row r="109" spans="1:22" x14ac:dyDescent="0.2">
      <c r="A109" t="s">
        <v>277</v>
      </c>
      <c r="B109" t="s">
        <v>278</v>
      </c>
      <c r="C109" t="s">
        <v>31</v>
      </c>
      <c r="D109" t="s">
        <v>87</v>
      </c>
      <c r="E109" t="s">
        <v>80</v>
      </c>
      <c r="F109" t="s">
        <v>67</v>
      </c>
      <c r="G109" t="s">
        <v>118</v>
      </c>
      <c r="H109" t="s">
        <v>36</v>
      </c>
      <c r="I109" t="s">
        <v>62</v>
      </c>
      <c r="J109" t="s">
        <v>37</v>
      </c>
      <c r="K109" s="4">
        <v>46018</v>
      </c>
      <c r="L109" s="4">
        <v>46383</v>
      </c>
      <c r="M109" t="s">
        <v>64</v>
      </c>
      <c r="N109" t="s">
        <v>55</v>
      </c>
      <c r="O109">
        <v>1</v>
      </c>
      <c r="P109" t="s">
        <v>106</v>
      </c>
      <c r="Q109" s="4">
        <v>46185</v>
      </c>
      <c r="R109" t="s">
        <v>38</v>
      </c>
      <c r="S109" t="s">
        <v>3155</v>
      </c>
      <c r="T109" t="s">
        <v>3153</v>
      </c>
      <c r="U109" t="s">
        <v>55</v>
      </c>
      <c r="V109" t="s">
        <v>3152</v>
      </c>
    </row>
    <row r="110" spans="1:22" x14ac:dyDescent="0.2">
      <c r="A110" t="s">
        <v>279</v>
      </c>
      <c r="B110" t="s">
        <v>280</v>
      </c>
      <c r="C110" t="s">
        <v>31</v>
      </c>
      <c r="D110" t="s">
        <v>83</v>
      </c>
      <c r="E110" t="s">
        <v>91</v>
      </c>
      <c r="F110" t="s">
        <v>34</v>
      </c>
      <c r="G110" t="s">
        <v>35</v>
      </c>
      <c r="H110" t="s">
        <v>36</v>
      </c>
      <c r="I110" t="s">
        <v>70</v>
      </c>
      <c r="J110" t="s">
        <v>37</v>
      </c>
      <c r="K110" s="4">
        <v>46130</v>
      </c>
      <c r="L110" s="4">
        <v>46220</v>
      </c>
      <c r="M110" t="s">
        <v>38</v>
      </c>
      <c r="N110" t="s">
        <v>55</v>
      </c>
      <c r="O110">
        <v>2</v>
      </c>
      <c r="P110" t="s">
        <v>70</v>
      </c>
      <c r="Q110" s="4">
        <v>46345</v>
      </c>
      <c r="R110" t="s">
        <v>84</v>
      </c>
      <c r="S110" t="s">
        <v>38</v>
      </c>
      <c r="T110" t="s">
        <v>3153</v>
      </c>
      <c r="U110" t="s">
        <v>55</v>
      </c>
      <c r="V110" t="s">
        <v>3152</v>
      </c>
    </row>
    <row r="111" spans="1:22" x14ac:dyDescent="0.2">
      <c r="A111" t="s">
        <v>281</v>
      </c>
      <c r="B111" t="s">
        <v>282</v>
      </c>
      <c r="C111" t="s">
        <v>31</v>
      </c>
      <c r="D111" t="s">
        <v>87</v>
      </c>
      <c r="E111" t="s">
        <v>53</v>
      </c>
      <c r="F111" t="s">
        <v>45</v>
      </c>
      <c r="G111" t="s">
        <v>61</v>
      </c>
      <c r="H111" t="s">
        <v>98</v>
      </c>
      <c r="I111" t="s">
        <v>62</v>
      </c>
      <c r="J111" t="s">
        <v>48</v>
      </c>
      <c r="K111" s="4">
        <v>46248</v>
      </c>
      <c r="L111" s="4">
        <v>46428</v>
      </c>
      <c r="M111" t="s">
        <v>64</v>
      </c>
      <c r="N111" t="s">
        <v>55</v>
      </c>
      <c r="O111">
        <v>3</v>
      </c>
      <c r="P111" t="s">
        <v>106</v>
      </c>
      <c r="Q111" s="4">
        <v>46156</v>
      </c>
      <c r="R111" t="s">
        <v>38</v>
      </c>
      <c r="S111" t="s">
        <v>3155</v>
      </c>
      <c r="T111" t="s">
        <v>3153</v>
      </c>
      <c r="U111" t="s">
        <v>55</v>
      </c>
      <c r="V111" t="s">
        <v>3152</v>
      </c>
    </row>
    <row r="112" spans="1:22" x14ac:dyDescent="0.2">
      <c r="A112" t="s">
        <v>283</v>
      </c>
      <c r="B112" t="s">
        <v>284</v>
      </c>
      <c r="C112" t="s">
        <v>31</v>
      </c>
      <c r="D112" t="s">
        <v>32</v>
      </c>
      <c r="E112" t="s">
        <v>105</v>
      </c>
      <c r="F112" t="s">
        <v>45</v>
      </c>
      <c r="G112" t="s">
        <v>46</v>
      </c>
      <c r="H112" t="s">
        <v>47</v>
      </c>
      <c r="I112" t="s">
        <v>111</v>
      </c>
      <c r="J112" t="s">
        <v>37</v>
      </c>
      <c r="K112" s="4">
        <v>45919</v>
      </c>
      <c r="L112" s="4">
        <v>46009</v>
      </c>
      <c r="M112" t="s">
        <v>38</v>
      </c>
      <c r="N112" t="s">
        <v>49</v>
      </c>
      <c r="O112">
        <v>3</v>
      </c>
      <c r="P112" t="s">
        <v>54</v>
      </c>
      <c r="Q112" s="4">
        <v>46344</v>
      </c>
      <c r="R112" t="s">
        <v>84</v>
      </c>
      <c r="S112" t="s">
        <v>38</v>
      </c>
      <c r="T112" t="s">
        <v>3153</v>
      </c>
      <c r="U112" t="s">
        <v>49</v>
      </c>
      <c r="V112" t="s">
        <v>3154</v>
      </c>
    </row>
    <row r="113" spans="1:22" x14ac:dyDescent="0.2">
      <c r="A113" t="s">
        <v>285</v>
      </c>
      <c r="B113" t="s">
        <v>286</v>
      </c>
      <c r="C113" t="s">
        <v>96</v>
      </c>
      <c r="D113" t="s">
        <v>97</v>
      </c>
      <c r="E113" t="s">
        <v>105</v>
      </c>
      <c r="F113" t="s">
        <v>45</v>
      </c>
      <c r="G113" t="s">
        <v>61</v>
      </c>
      <c r="H113" t="s">
        <v>36</v>
      </c>
      <c r="I113" t="s">
        <v>54</v>
      </c>
      <c r="J113" t="s">
        <v>48</v>
      </c>
      <c r="K113" s="4">
        <v>46121</v>
      </c>
      <c r="L113" s="4">
        <v>46211</v>
      </c>
      <c r="M113" t="s">
        <v>38</v>
      </c>
      <c r="N113" t="s">
        <v>55</v>
      </c>
      <c r="O113">
        <v>1</v>
      </c>
      <c r="P113" t="s">
        <v>111</v>
      </c>
      <c r="Q113" s="4">
        <v>46329</v>
      </c>
      <c r="R113" t="s">
        <v>84</v>
      </c>
      <c r="S113" t="s">
        <v>38</v>
      </c>
      <c r="T113" t="s">
        <v>3153</v>
      </c>
      <c r="U113" t="s">
        <v>55</v>
      </c>
      <c r="V113" t="s">
        <v>3152</v>
      </c>
    </row>
    <row r="114" spans="1:22" x14ac:dyDescent="0.2">
      <c r="A114" t="s">
        <v>287</v>
      </c>
      <c r="B114" t="s">
        <v>288</v>
      </c>
      <c r="C114" t="s">
        <v>103</v>
      </c>
      <c r="D114" t="s">
        <v>104</v>
      </c>
      <c r="E114" t="s">
        <v>91</v>
      </c>
      <c r="F114" t="s">
        <v>34</v>
      </c>
      <c r="G114" t="s">
        <v>35</v>
      </c>
      <c r="H114" t="s">
        <v>88</v>
      </c>
      <c r="I114" t="s">
        <v>54</v>
      </c>
      <c r="J114" t="s">
        <v>37</v>
      </c>
      <c r="K114" s="4">
        <v>45908</v>
      </c>
      <c r="L114" s="4">
        <v>45998</v>
      </c>
      <c r="M114" t="s">
        <v>38</v>
      </c>
      <c r="N114" t="s">
        <v>75</v>
      </c>
      <c r="O114">
        <v>3</v>
      </c>
      <c r="P114" t="s">
        <v>50</v>
      </c>
      <c r="Q114" s="4">
        <v>46115</v>
      </c>
      <c r="R114" t="s">
        <v>38</v>
      </c>
      <c r="S114" t="s">
        <v>38</v>
      </c>
      <c r="T114" t="s">
        <v>3153</v>
      </c>
      <c r="U114" t="s">
        <v>75</v>
      </c>
      <c r="V114" t="s">
        <v>3154</v>
      </c>
    </row>
    <row r="115" spans="1:22" x14ac:dyDescent="0.2">
      <c r="A115" t="s">
        <v>289</v>
      </c>
      <c r="B115" t="s">
        <v>290</v>
      </c>
      <c r="C115" t="s">
        <v>96</v>
      </c>
      <c r="D115" t="s">
        <v>97</v>
      </c>
      <c r="E115" t="s">
        <v>60</v>
      </c>
      <c r="F115" t="s">
        <v>34</v>
      </c>
      <c r="G115" t="s">
        <v>35</v>
      </c>
      <c r="H115" t="s">
        <v>98</v>
      </c>
      <c r="I115" t="s">
        <v>70</v>
      </c>
      <c r="J115" t="s">
        <v>63</v>
      </c>
      <c r="K115" s="4">
        <v>46006</v>
      </c>
      <c r="L115" s="4">
        <v>46371</v>
      </c>
      <c r="M115" t="s">
        <v>64</v>
      </c>
      <c r="N115" t="s">
        <v>49</v>
      </c>
      <c r="O115">
        <v>4</v>
      </c>
      <c r="P115" t="s">
        <v>62</v>
      </c>
      <c r="Q115" s="4">
        <v>46125</v>
      </c>
      <c r="R115" t="s">
        <v>38</v>
      </c>
      <c r="S115" t="s">
        <v>3155</v>
      </c>
      <c r="T115" t="s">
        <v>3153</v>
      </c>
      <c r="U115" t="s">
        <v>49</v>
      </c>
      <c r="V115" t="s">
        <v>3152</v>
      </c>
    </row>
    <row r="116" spans="1:22" x14ac:dyDescent="0.2">
      <c r="A116" t="s">
        <v>291</v>
      </c>
      <c r="B116" t="s">
        <v>292</v>
      </c>
      <c r="C116" t="s">
        <v>73</v>
      </c>
      <c r="D116" t="s">
        <v>74</v>
      </c>
      <c r="E116" t="s">
        <v>91</v>
      </c>
      <c r="F116" t="s">
        <v>67</v>
      </c>
      <c r="G116" t="s">
        <v>118</v>
      </c>
      <c r="H116" t="s">
        <v>47</v>
      </c>
      <c r="I116" t="s">
        <v>70</v>
      </c>
      <c r="J116" t="s">
        <v>48</v>
      </c>
      <c r="K116" s="4">
        <v>46099</v>
      </c>
      <c r="L116" s="4">
        <v>46189</v>
      </c>
      <c r="M116" t="s">
        <v>38</v>
      </c>
      <c r="N116" t="s">
        <v>49</v>
      </c>
      <c r="O116">
        <v>0</v>
      </c>
      <c r="P116" t="s">
        <v>106</v>
      </c>
      <c r="Q116" s="4">
        <v>46412</v>
      </c>
      <c r="R116" t="s">
        <v>57</v>
      </c>
      <c r="S116" t="s">
        <v>38</v>
      </c>
      <c r="T116" t="s">
        <v>3153</v>
      </c>
      <c r="U116" t="s">
        <v>49</v>
      </c>
      <c r="V116" t="s">
        <v>3154</v>
      </c>
    </row>
    <row r="117" spans="1:22" x14ac:dyDescent="0.2">
      <c r="A117" t="s">
        <v>293</v>
      </c>
      <c r="B117" t="s">
        <v>294</v>
      </c>
      <c r="C117" t="s">
        <v>96</v>
      </c>
      <c r="D117" t="s">
        <v>97</v>
      </c>
      <c r="E117" t="s">
        <v>91</v>
      </c>
      <c r="F117" t="s">
        <v>34</v>
      </c>
      <c r="G117" t="s">
        <v>35</v>
      </c>
      <c r="H117" t="s">
        <v>47</v>
      </c>
      <c r="I117" t="s">
        <v>111</v>
      </c>
      <c r="J117" t="s">
        <v>37</v>
      </c>
      <c r="K117" s="4">
        <v>45919</v>
      </c>
      <c r="L117" s="4">
        <v>46099</v>
      </c>
      <c r="M117" t="s">
        <v>38</v>
      </c>
      <c r="N117" t="s">
        <v>49</v>
      </c>
      <c r="O117">
        <v>1</v>
      </c>
      <c r="P117" t="s">
        <v>54</v>
      </c>
      <c r="Q117" s="4">
        <v>46184</v>
      </c>
      <c r="R117" t="s">
        <v>64</v>
      </c>
      <c r="S117" t="s">
        <v>38</v>
      </c>
      <c r="T117" t="s">
        <v>3153</v>
      </c>
      <c r="U117" t="s">
        <v>49</v>
      </c>
      <c r="V117" t="s">
        <v>3154</v>
      </c>
    </row>
    <row r="118" spans="1:22" x14ac:dyDescent="0.2">
      <c r="A118" t="s">
        <v>295</v>
      </c>
      <c r="B118" t="s">
        <v>296</v>
      </c>
      <c r="C118" t="s">
        <v>103</v>
      </c>
      <c r="D118" t="s">
        <v>104</v>
      </c>
      <c r="E118" t="s">
        <v>105</v>
      </c>
      <c r="F118" t="s">
        <v>45</v>
      </c>
      <c r="G118" t="s">
        <v>46</v>
      </c>
      <c r="H118" t="s">
        <v>88</v>
      </c>
      <c r="I118" t="s">
        <v>56</v>
      </c>
      <c r="J118" t="s">
        <v>37</v>
      </c>
      <c r="K118" s="4">
        <v>46012</v>
      </c>
      <c r="L118" s="4">
        <v>46192</v>
      </c>
      <c r="M118" t="s">
        <v>38</v>
      </c>
      <c r="N118" t="s">
        <v>49</v>
      </c>
      <c r="O118">
        <v>3</v>
      </c>
      <c r="P118" t="s">
        <v>39</v>
      </c>
      <c r="Q118" s="4">
        <v>46244</v>
      </c>
      <c r="R118" t="s">
        <v>64</v>
      </c>
      <c r="S118" t="s">
        <v>38</v>
      </c>
      <c r="T118" t="s">
        <v>3153</v>
      </c>
      <c r="U118" t="s">
        <v>49</v>
      </c>
      <c r="V118" t="s">
        <v>3154</v>
      </c>
    </row>
    <row r="119" spans="1:22" x14ac:dyDescent="0.2">
      <c r="A119" t="s">
        <v>297</v>
      </c>
      <c r="B119" t="s">
        <v>298</v>
      </c>
      <c r="C119" t="s">
        <v>31</v>
      </c>
      <c r="D119" t="s">
        <v>83</v>
      </c>
      <c r="E119" t="s">
        <v>53</v>
      </c>
      <c r="F119" t="s">
        <v>34</v>
      </c>
      <c r="G119" t="s">
        <v>35</v>
      </c>
      <c r="H119" t="s">
        <v>47</v>
      </c>
      <c r="I119" t="s">
        <v>106</v>
      </c>
      <c r="J119" t="s">
        <v>63</v>
      </c>
      <c r="K119" s="4">
        <v>46052</v>
      </c>
      <c r="L119" s="4">
        <v>46232</v>
      </c>
      <c r="M119" t="s">
        <v>38</v>
      </c>
      <c r="N119" t="s">
        <v>49</v>
      </c>
      <c r="O119">
        <v>3</v>
      </c>
      <c r="P119" t="s">
        <v>111</v>
      </c>
      <c r="Q119" s="4">
        <v>46312</v>
      </c>
      <c r="R119" t="s">
        <v>64</v>
      </c>
      <c r="S119" t="s">
        <v>38</v>
      </c>
      <c r="T119" t="s">
        <v>3153</v>
      </c>
      <c r="U119" t="s">
        <v>49</v>
      </c>
      <c r="V119" t="s">
        <v>3154</v>
      </c>
    </row>
    <row r="120" spans="1:22" x14ac:dyDescent="0.2">
      <c r="A120" t="s">
        <v>299</v>
      </c>
      <c r="B120" t="s">
        <v>300</v>
      </c>
      <c r="C120" t="s">
        <v>73</v>
      </c>
      <c r="D120" t="s">
        <v>74</v>
      </c>
      <c r="E120" t="s">
        <v>105</v>
      </c>
      <c r="F120" t="s">
        <v>67</v>
      </c>
      <c r="G120" t="s">
        <v>118</v>
      </c>
      <c r="H120" t="s">
        <v>36</v>
      </c>
      <c r="I120" t="s">
        <v>70</v>
      </c>
      <c r="J120" t="s">
        <v>37</v>
      </c>
      <c r="K120" s="4">
        <v>46055</v>
      </c>
      <c r="L120" s="4">
        <v>46420</v>
      </c>
      <c r="M120" t="s">
        <v>84</v>
      </c>
      <c r="N120" t="s">
        <v>49</v>
      </c>
      <c r="O120">
        <v>2</v>
      </c>
      <c r="P120" t="s">
        <v>56</v>
      </c>
      <c r="Q120" s="4">
        <v>46279</v>
      </c>
      <c r="R120" t="s">
        <v>64</v>
      </c>
      <c r="S120" t="s">
        <v>3155</v>
      </c>
      <c r="T120" t="s">
        <v>3153</v>
      </c>
      <c r="U120" t="s">
        <v>49</v>
      </c>
      <c r="V120" t="s">
        <v>3152</v>
      </c>
    </row>
    <row r="121" spans="1:22" x14ac:dyDescent="0.2">
      <c r="A121" t="s">
        <v>301</v>
      </c>
      <c r="B121" t="s">
        <v>302</v>
      </c>
      <c r="C121" t="s">
        <v>31</v>
      </c>
      <c r="D121" t="s">
        <v>87</v>
      </c>
      <c r="E121" t="s">
        <v>44</v>
      </c>
      <c r="F121" t="s">
        <v>67</v>
      </c>
      <c r="G121" t="s">
        <v>118</v>
      </c>
      <c r="H121" t="s">
        <v>88</v>
      </c>
      <c r="I121" t="s">
        <v>106</v>
      </c>
      <c r="J121" t="s">
        <v>63</v>
      </c>
      <c r="K121" s="4">
        <v>46047</v>
      </c>
      <c r="L121" s="4">
        <v>46137</v>
      </c>
      <c r="M121" t="s">
        <v>38</v>
      </c>
      <c r="N121" t="s">
        <v>49</v>
      </c>
      <c r="O121">
        <v>2</v>
      </c>
      <c r="P121" t="s">
        <v>62</v>
      </c>
      <c r="Q121" s="4">
        <v>46337</v>
      </c>
      <c r="R121" t="s">
        <v>64</v>
      </c>
      <c r="S121" t="s">
        <v>38</v>
      </c>
      <c r="T121" t="s">
        <v>3153</v>
      </c>
      <c r="U121" t="s">
        <v>49</v>
      </c>
      <c r="V121" t="s">
        <v>3154</v>
      </c>
    </row>
    <row r="122" spans="1:22" x14ac:dyDescent="0.2">
      <c r="A122" t="s">
        <v>303</v>
      </c>
      <c r="B122" t="s">
        <v>304</v>
      </c>
      <c r="C122" t="s">
        <v>31</v>
      </c>
      <c r="D122" t="s">
        <v>87</v>
      </c>
      <c r="E122" t="s">
        <v>105</v>
      </c>
      <c r="F122" t="s">
        <v>67</v>
      </c>
      <c r="G122" t="s">
        <v>68</v>
      </c>
      <c r="H122" t="s">
        <v>47</v>
      </c>
      <c r="I122" t="s">
        <v>111</v>
      </c>
      <c r="J122" t="s">
        <v>48</v>
      </c>
      <c r="K122" s="4">
        <v>46258</v>
      </c>
      <c r="L122" s="4">
        <v>46348</v>
      </c>
      <c r="M122" t="s">
        <v>64</v>
      </c>
      <c r="N122" t="s">
        <v>49</v>
      </c>
      <c r="O122">
        <v>2</v>
      </c>
      <c r="P122" t="s">
        <v>111</v>
      </c>
      <c r="Q122" s="4">
        <v>46300</v>
      </c>
      <c r="R122" t="s">
        <v>84</v>
      </c>
      <c r="S122" t="s">
        <v>3155</v>
      </c>
      <c r="T122" t="s">
        <v>3153</v>
      </c>
      <c r="U122" t="s">
        <v>49</v>
      </c>
      <c r="V122" t="s">
        <v>3154</v>
      </c>
    </row>
    <row r="123" spans="1:22" x14ac:dyDescent="0.2">
      <c r="A123" t="s">
        <v>305</v>
      </c>
      <c r="B123" t="s">
        <v>306</v>
      </c>
      <c r="C123" t="s">
        <v>31</v>
      </c>
      <c r="D123" t="s">
        <v>32</v>
      </c>
      <c r="E123" t="s">
        <v>80</v>
      </c>
      <c r="F123" t="s">
        <v>67</v>
      </c>
      <c r="G123" t="s">
        <v>118</v>
      </c>
      <c r="H123" t="s">
        <v>36</v>
      </c>
      <c r="I123" t="s">
        <v>50</v>
      </c>
      <c r="J123" t="s">
        <v>63</v>
      </c>
      <c r="K123" s="4">
        <v>46004</v>
      </c>
      <c r="L123" s="4">
        <v>46184</v>
      </c>
      <c r="M123" t="s">
        <v>38</v>
      </c>
      <c r="N123" t="s">
        <v>75</v>
      </c>
      <c r="O123">
        <v>2</v>
      </c>
      <c r="P123" t="s">
        <v>50</v>
      </c>
      <c r="Q123" s="4">
        <v>46257</v>
      </c>
      <c r="R123" t="s">
        <v>64</v>
      </c>
      <c r="S123" t="s">
        <v>38</v>
      </c>
      <c r="T123" t="s">
        <v>3153</v>
      </c>
      <c r="U123" t="s">
        <v>75</v>
      </c>
      <c r="V123" t="s">
        <v>3152</v>
      </c>
    </row>
    <row r="124" spans="1:22" x14ac:dyDescent="0.2">
      <c r="A124" t="s">
        <v>307</v>
      </c>
      <c r="B124" t="s">
        <v>308</v>
      </c>
      <c r="C124" t="s">
        <v>31</v>
      </c>
      <c r="D124" t="s">
        <v>83</v>
      </c>
      <c r="E124" t="s">
        <v>60</v>
      </c>
      <c r="F124" t="s">
        <v>67</v>
      </c>
      <c r="G124" t="s">
        <v>118</v>
      </c>
      <c r="H124" t="s">
        <v>47</v>
      </c>
      <c r="I124" t="s">
        <v>56</v>
      </c>
      <c r="J124" t="s">
        <v>48</v>
      </c>
      <c r="K124" s="4">
        <v>45915</v>
      </c>
      <c r="L124" s="4">
        <v>46095</v>
      </c>
      <c r="M124" t="s">
        <v>38</v>
      </c>
      <c r="N124" t="s">
        <v>55</v>
      </c>
      <c r="O124">
        <v>2</v>
      </c>
      <c r="P124" t="s">
        <v>111</v>
      </c>
      <c r="Q124" s="4">
        <v>46366</v>
      </c>
      <c r="R124" t="s">
        <v>64</v>
      </c>
      <c r="S124" t="s">
        <v>38</v>
      </c>
      <c r="T124" t="s">
        <v>3153</v>
      </c>
      <c r="U124" t="s">
        <v>55</v>
      </c>
      <c r="V124" t="s">
        <v>3154</v>
      </c>
    </row>
    <row r="125" spans="1:22" x14ac:dyDescent="0.2">
      <c r="A125" t="s">
        <v>309</v>
      </c>
      <c r="B125" t="s">
        <v>310</v>
      </c>
      <c r="C125" t="s">
        <v>42</v>
      </c>
      <c r="D125" t="s">
        <v>43</v>
      </c>
      <c r="E125" t="s">
        <v>105</v>
      </c>
      <c r="F125" t="s">
        <v>45</v>
      </c>
      <c r="G125" t="s">
        <v>61</v>
      </c>
      <c r="H125" t="s">
        <v>36</v>
      </c>
      <c r="I125" t="s">
        <v>106</v>
      </c>
      <c r="J125" t="s">
        <v>48</v>
      </c>
      <c r="K125" s="4">
        <v>45934</v>
      </c>
      <c r="L125" s="4">
        <v>46114</v>
      </c>
      <c r="M125" t="s">
        <v>38</v>
      </c>
      <c r="N125" t="s">
        <v>49</v>
      </c>
      <c r="O125">
        <v>0</v>
      </c>
      <c r="P125" t="s">
        <v>50</v>
      </c>
      <c r="Q125" s="4">
        <v>46396</v>
      </c>
      <c r="R125" t="s">
        <v>57</v>
      </c>
      <c r="S125" t="s">
        <v>38</v>
      </c>
      <c r="T125" t="s">
        <v>3153</v>
      </c>
      <c r="U125" t="s">
        <v>49</v>
      </c>
      <c r="V125" t="s">
        <v>3152</v>
      </c>
    </row>
    <row r="126" spans="1:22" x14ac:dyDescent="0.2">
      <c r="A126" t="s">
        <v>311</v>
      </c>
      <c r="B126" t="s">
        <v>312</v>
      </c>
      <c r="C126" t="s">
        <v>31</v>
      </c>
      <c r="D126" t="s">
        <v>83</v>
      </c>
      <c r="E126" t="s">
        <v>105</v>
      </c>
      <c r="F126" t="s">
        <v>67</v>
      </c>
      <c r="G126" t="s">
        <v>68</v>
      </c>
      <c r="H126" t="s">
        <v>98</v>
      </c>
      <c r="I126" t="s">
        <v>50</v>
      </c>
      <c r="J126" t="s">
        <v>48</v>
      </c>
      <c r="K126" s="4">
        <v>46154</v>
      </c>
      <c r="L126" s="4">
        <v>46334</v>
      </c>
      <c r="M126" t="s">
        <v>64</v>
      </c>
      <c r="N126" t="s">
        <v>49</v>
      </c>
      <c r="O126">
        <v>4</v>
      </c>
      <c r="P126" t="s">
        <v>70</v>
      </c>
      <c r="Q126" s="4">
        <v>46303</v>
      </c>
      <c r="R126" t="s">
        <v>84</v>
      </c>
      <c r="S126" t="s">
        <v>3155</v>
      </c>
      <c r="T126" t="s">
        <v>3153</v>
      </c>
      <c r="U126" t="s">
        <v>49</v>
      </c>
      <c r="V126" t="s">
        <v>3152</v>
      </c>
    </row>
    <row r="127" spans="1:22" x14ac:dyDescent="0.2">
      <c r="A127" t="s">
        <v>313</v>
      </c>
      <c r="B127" t="s">
        <v>314</v>
      </c>
      <c r="C127" t="s">
        <v>73</v>
      </c>
      <c r="D127" t="s">
        <v>74</v>
      </c>
      <c r="E127" t="s">
        <v>91</v>
      </c>
      <c r="F127" t="s">
        <v>67</v>
      </c>
      <c r="G127" t="s">
        <v>118</v>
      </c>
      <c r="H127" t="s">
        <v>36</v>
      </c>
      <c r="I127" t="s">
        <v>62</v>
      </c>
      <c r="J127" t="s">
        <v>48</v>
      </c>
      <c r="K127" s="4">
        <v>45882</v>
      </c>
      <c r="L127" s="4">
        <v>46062</v>
      </c>
      <c r="M127" t="s">
        <v>38</v>
      </c>
      <c r="N127" t="s">
        <v>49</v>
      </c>
      <c r="O127">
        <v>0</v>
      </c>
      <c r="P127" t="s">
        <v>111</v>
      </c>
      <c r="Q127" s="4">
        <v>46179</v>
      </c>
      <c r="R127" t="s">
        <v>57</v>
      </c>
      <c r="S127" t="s">
        <v>38</v>
      </c>
      <c r="T127" t="s">
        <v>3153</v>
      </c>
      <c r="U127" t="s">
        <v>49</v>
      </c>
      <c r="V127" t="s">
        <v>3152</v>
      </c>
    </row>
    <row r="128" spans="1:22" x14ac:dyDescent="0.2">
      <c r="A128" t="s">
        <v>315</v>
      </c>
      <c r="B128" t="s">
        <v>316</v>
      </c>
      <c r="C128" t="s">
        <v>31</v>
      </c>
      <c r="D128" t="s">
        <v>83</v>
      </c>
      <c r="E128" t="s">
        <v>44</v>
      </c>
      <c r="F128" t="s">
        <v>67</v>
      </c>
      <c r="G128" t="s">
        <v>118</v>
      </c>
      <c r="H128" t="s">
        <v>36</v>
      </c>
      <c r="I128" t="s">
        <v>50</v>
      </c>
      <c r="J128" t="s">
        <v>48</v>
      </c>
      <c r="K128" s="4">
        <v>45882</v>
      </c>
      <c r="L128" s="4">
        <v>45972</v>
      </c>
      <c r="M128" t="s">
        <v>38</v>
      </c>
      <c r="N128" t="s">
        <v>75</v>
      </c>
      <c r="O128">
        <v>4</v>
      </c>
      <c r="P128" t="s">
        <v>50</v>
      </c>
      <c r="Q128" s="4">
        <v>46143</v>
      </c>
      <c r="R128" t="s">
        <v>38</v>
      </c>
      <c r="S128" t="s">
        <v>38</v>
      </c>
      <c r="T128" t="s">
        <v>3153</v>
      </c>
      <c r="U128" t="s">
        <v>75</v>
      </c>
      <c r="V128" t="s">
        <v>3152</v>
      </c>
    </row>
    <row r="129" spans="1:22" x14ac:dyDescent="0.2">
      <c r="A129" t="s">
        <v>317</v>
      </c>
      <c r="B129" t="s">
        <v>318</v>
      </c>
      <c r="C129" t="s">
        <v>42</v>
      </c>
      <c r="D129" t="s">
        <v>43</v>
      </c>
      <c r="E129" t="s">
        <v>53</v>
      </c>
      <c r="F129" t="s">
        <v>67</v>
      </c>
      <c r="G129" t="s">
        <v>68</v>
      </c>
      <c r="H129" t="s">
        <v>98</v>
      </c>
      <c r="I129" t="s">
        <v>56</v>
      </c>
      <c r="J129" t="s">
        <v>63</v>
      </c>
      <c r="K129" s="4">
        <v>45842</v>
      </c>
      <c r="L129" s="4">
        <v>45932</v>
      </c>
      <c r="M129" t="s">
        <v>38</v>
      </c>
      <c r="N129" t="s">
        <v>75</v>
      </c>
      <c r="O129">
        <v>1</v>
      </c>
      <c r="P129" t="s">
        <v>70</v>
      </c>
      <c r="Q129" s="4">
        <v>46397</v>
      </c>
      <c r="R129" t="s">
        <v>64</v>
      </c>
      <c r="S129" t="s">
        <v>38</v>
      </c>
      <c r="T129" t="s">
        <v>3153</v>
      </c>
      <c r="U129" t="s">
        <v>75</v>
      </c>
      <c r="V129" t="s">
        <v>3152</v>
      </c>
    </row>
    <row r="130" spans="1:22" x14ac:dyDescent="0.2">
      <c r="A130" t="s">
        <v>319</v>
      </c>
      <c r="B130" t="s">
        <v>320</v>
      </c>
      <c r="C130" t="s">
        <v>31</v>
      </c>
      <c r="D130" t="s">
        <v>32</v>
      </c>
      <c r="E130" t="s">
        <v>60</v>
      </c>
      <c r="F130" t="s">
        <v>34</v>
      </c>
      <c r="G130" t="s">
        <v>35</v>
      </c>
      <c r="H130" t="s">
        <v>98</v>
      </c>
      <c r="I130" t="s">
        <v>50</v>
      </c>
      <c r="J130" t="s">
        <v>63</v>
      </c>
      <c r="K130" s="4">
        <v>46188</v>
      </c>
      <c r="L130" s="4">
        <v>46553</v>
      </c>
      <c r="M130" t="s">
        <v>69</v>
      </c>
      <c r="N130" t="s">
        <v>49</v>
      </c>
      <c r="O130">
        <v>0</v>
      </c>
      <c r="P130" t="s">
        <v>56</v>
      </c>
      <c r="Q130" s="4">
        <v>46129</v>
      </c>
      <c r="R130" t="s">
        <v>57</v>
      </c>
      <c r="S130" t="s">
        <v>3155</v>
      </c>
      <c r="T130" t="s">
        <v>3153</v>
      </c>
      <c r="U130" t="s">
        <v>49</v>
      </c>
      <c r="V130" t="s">
        <v>3152</v>
      </c>
    </row>
    <row r="131" spans="1:22" x14ac:dyDescent="0.2">
      <c r="A131" t="s">
        <v>321</v>
      </c>
      <c r="B131" t="s">
        <v>322</v>
      </c>
      <c r="C131" t="s">
        <v>78</v>
      </c>
      <c r="D131" t="s">
        <v>79</v>
      </c>
      <c r="E131" t="s">
        <v>60</v>
      </c>
      <c r="F131" t="s">
        <v>34</v>
      </c>
      <c r="G131" t="s">
        <v>35</v>
      </c>
      <c r="H131" t="s">
        <v>88</v>
      </c>
      <c r="I131" t="s">
        <v>39</v>
      </c>
      <c r="J131" t="s">
        <v>37</v>
      </c>
      <c r="K131" s="4">
        <v>46021</v>
      </c>
      <c r="L131" s="4">
        <v>46386</v>
      </c>
      <c r="M131" t="s">
        <v>64</v>
      </c>
      <c r="N131" t="s">
        <v>49</v>
      </c>
      <c r="O131">
        <v>2</v>
      </c>
      <c r="P131" t="s">
        <v>70</v>
      </c>
      <c r="Q131" s="4">
        <v>46362</v>
      </c>
      <c r="R131" t="s">
        <v>64</v>
      </c>
      <c r="S131" t="s">
        <v>3155</v>
      </c>
      <c r="T131" t="s">
        <v>3153</v>
      </c>
      <c r="U131" t="s">
        <v>49</v>
      </c>
      <c r="V131" t="s">
        <v>3154</v>
      </c>
    </row>
    <row r="132" spans="1:22" x14ac:dyDescent="0.2">
      <c r="A132" t="s">
        <v>323</v>
      </c>
      <c r="B132" t="s">
        <v>324</v>
      </c>
      <c r="C132" t="s">
        <v>73</v>
      </c>
      <c r="D132" t="s">
        <v>74</v>
      </c>
      <c r="E132" t="s">
        <v>44</v>
      </c>
      <c r="F132" t="s">
        <v>34</v>
      </c>
      <c r="G132" t="s">
        <v>35</v>
      </c>
      <c r="H132" t="s">
        <v>88</v>
      </c>
      <c r="I132" t="s">
        <v>111</v>
      </c>
      <c r="J132" t="s">
        <v>37</v>
      </c>
      <c r="K132" s="4">
        <v>46038</v>
      </c>
      <c r="L132" s="4">
        <v>46128</v>
      </c>
      <c r="M132" t="s">
        <v>38</v>
      </c>
      <c r="N132" t="s">
        <v>75</v>
      </c>
      <c r="O132">
        <v>1</v>
      </c>
      <c r="P132" t="s">
        <v>62</v>
      </c>
      <c r="Q132" s="4">
        <v>46275</v>
      </c>
      <c r="R132" t="s">
        <v>38</v>
      </c>
      <c r="S132" t="s">
        <v>38</v>
      </c>
      <c r="T132" t="s">
        <v>3153</v>
      </c>
      <c r="U132" t="s">
        <v>75</v>
      </c>
      <c r="V132" t="s">
        <v>3154</v>
      </c>
    </row>
    <row r="133" spans="1:22" x14ac:dyDescent="0.2">
      <c r="A133" t="s">
        <v>325</v>
      </c>
      <c r="B133" t="s">
        <v>326</v>
      </c>
      <c r="C133" t="s">
        <v>42</v>
      </c>
      <c r="D133" t="s">
        <v>43</v>
      </c>
      <c r="E133" t="s">
        <v>60</v>
      </c>
      <c r="F133" t="s">
        <v>45</v>
      </c>
      <c r="G133" t="s">
        <v>61</v>
      </c>
      <c r="H133" t="s">
        <v>88</v>
      </c>
      <c r="I133" t="s">
        <v>106</v>
      </c>
      <c r="J133" t="s">
        <v>63</v>
      </c>
      <c r="K133" s="4">
        <v>46152</v>
      </c>
      <c r="L133" s="4">
        <v>46332</v>
      </c>
      <c r="M133" t="s">
        <v>64</v>
      </c>
      <c r="N133" t="s">
        <v>75</v>
      </c>
      <c r="O133">
        <v>1</v>
      </c>
      <c r="P133" t="s">
        <v>62</v>
      </c>
      <c r="Q133" s="4">
        <v>46187</v>
      </c>
      <c r="R133" t="s">
        <v>64</v>
      </c>
      <c r="S133" t="s">
        <v>3155</v>
      </c>
      <c r="T133" t="s">
        <v>3153</v>
      </c>
      <c r="U133" t="s">
        <v>75</v>
      </c>
      <c r="V133" t="s">
        <v>3154</v>
      </c>
    </row>
    <row r="134" spans="1:22" x14ac:dyDescent="0.2">
      <c r="A134" t="s">
        <v>327</v>
      </c>
      <c r="B134" t="s">
        <v>328</v>
      </c>
      <c r="C134" t="s">
        <v>42</v>
      </c>
      <c r="D134" t="s">
        <v>43</v>
      </c>
      <c r="E134" t="s">
        <v>53</v>
      </c>
      <c r="F134" t="s">
        <v>45</v>
      </c>
      <c r="G134" t="s">
        <v>46</v>
      </c>
      <c r="H134" t="s">
        <v>98</v>
      </c>
      <c r="I134" t="s">
        <v>106</v>
      </c>
      <c r="J134" t="s">
        <v>48</v>
      </c>
      <c r="K134" s="4">
        <v>46178</v>
      </c>
      <c r="L134" s="4">
        <v>46268</v>
      </c>
      <c r="M134" t="s">
        <v>38</v>
      </c>
      <c r="N134" t="s">
        <v>75</v>
      </c>
      <c r="O134">
        <v>4</v>
      </c>
      <c r="P134" t="s">
        <v>70</v>
      </c>
      <c r="Q134" s="4">
        <v>46354</v>
      </c>
      <c r="R134" t="s">
        <v>84</v>
      </c>
      <c r="S134" t="s">
        <v>38</v>
      </c>
      <c r="T134" t="s">
        <v>3153</v>
      </c>
      <c r="U134" t="s">
        <v>75</v>
      </c>
      <c r="V134" t="s">
        <v>3152</v>
      </c>
    </row>
    <row r="135" spans="1:22" x14ac:dyDescent="0.2">
      <c r="A135" t="s">
        <v>329</v>
      </c>
      <c r="B135" t="s">
        <v>330</v>
      </c>
      <c r="C135" t="s">
        <v>31</v>
      </c>
      <c r="D135" t="s">
        <v>32</v>
      </c>
      <c r="E135" t="s">
        <v>44</v>
      </c>
      <c r="F135" t="s">
        <v>67</v>
      </c>
      <c r="G135" t="s">
        <v>118</v>
      </c>
      <c r="H135" t="s">
        <v>47</v>
      </c>
      <c r="I135" t="s">
        <v>106</v>
      </c>
      <c r="J135" t="s">
        <v>48</v>
      </c>
      <c r="K135" s="4">
        <v>46251</v>
      </c>
      <c r="L135" s="4">
        <v>46341</v>
      </c>
      <c r="M135" t="s">
        <v>64</v>
      </c>
      <c r="N135" t="s">
        <v>49</v>
      </c>
      <c r="O135">
        <v>3</v>
      </c>
      <c r="P135" t="s">
        <v>56</v>
      </c>
      <c r="Q135" s="4">
        <v>46261</v>
      </c>
      <c r="R135" t="s">
        <v>38</v>
      </c>
      <c r="S135" t="s">
        <v>3155</v>
      </c>
      <c r="T135" t="s">
        <v>3153</v>
      </c>
      <c r="U135" t="s">
        <v>49</v>
      </c>
      <c r="V135" t="s">
        <v>3154</v>
      </c>
    </row>
    <row r="136" spans="1:22" x14ac:dyDescent="0.2">
      <c r="A136" t="s">
        <v>331</v>
      </c>
      <c r="B136" t="s">
        <v>332</v>
      </c>
      <c r="C136" t="s">
        <v>96</v>
      </c>
      <c r="D136" t="s">
        <v>97</v>
      </c>
      <c r="E136" t="s">
        <v>80</v>
      </c>
      <c r="F136" t="s">
        <v>34</v>
      </c>
      <c r="G136" t="s">
        <v>35</v>
      </c>
      <c r="H136" t="s">
        <v>88</v>
      </c>
      <c r="I136" t="s">
        <v>62</v>
      </c>
      <c r="J136" t="s">
        <v>63</v>
      </c>
      <c r="K136" s="4">
        <v>46249</v>
      </c>
      <c r="L136" s="4">
        <v>46614</v>
      </c>
      <c r="M136" t="s">
        <v>69</v>
      </c>
      <c r="N136" t="s">
        <v>49</v>
      </c>
      <c r="O136">
        <v>2</v>
      </c>
      <c r="P136" t="s">
        <v>56</v>
      </c>
      <c r="Q136" s="4">
        <v>46152</v>
      </c>
      <c r="R136" t="s">
        <v>38</v>
      </c>
      <c r="S136" t="s">
        <v>3155</v>
      </c>
      <c r="T136" t="s">
        <v>3153</v>
      </c>
      <c r="U136" t="s">
        <v>49</v>
      </c>
      <c r="V136" t="s">
        <v>3154</v>
      </c>
    </row>
    <row r="137" spans="1:22" x14ac:dyDescent="0.2">
      <c r="A137" t="s">
        <v>333</v>
      </c>
      <c r="B137" t="s">
        <v>334</v>
      </c>
      <c r="C137" t="s">
        <v>78</v>
      </c>
      <c r="D137" t="s">
        <v>79</v>
      </c>
      <c r="E137" t="s">
        <v>44</v>
      </c>
      <c r="F137" t="s">
        <v>34</v>
      </c>
      <c r="G137" t="s">
        <v>35</v>
      </c>
      <c r="H137" t="s">
        <v>98</v>
      </c>
      <c r="I137" t="s">
        <v>62</v>
      </c>
      <c r="J137" t="s">
        <v>48</v>
      </c>
      <c r="K137" s="4">
        <v>46084</v>
      </c>
      <c r="L137" s="4">
        <v>46264</v>
      </c>
      <c r="M137" t="s">
        <v>38</v>
      </c>
      <c r="N137" t="s">
        <v>49</v>
      </c>
      <c r="O137">
        <v>2</v>
      </c>
      <c r="P137" t="s">
        <v>39</v>
      </c>
      <c r="Q137" s="4">
        <v>46188</v>
      </c>
      <c r="R137" t="s">
        <v>64</v>
      </c>
      <c r="S137" t="s">
        <v>38</v>
      </c>
      <c r="T137" t="s">
        <v>3153</v>
      </c>
      <c r="U137" t="s">
        <v>49</v>
      </c>
      <c r="V137" t="s">
        <v>3152</v>
      </c>
    </row>
    <row r="138" spans="1:22" x14ac:dyDescent="0.2">
      <c r="A138" t="s">
        <v>335</v>
      </c>
      <c r="B138" t="s">
        <v>336</v>
      </c>
      <c r="C138" t="s">
        <v>73</v>
      </c>
      <c r="D138" t="s">
        <v>74</v>
      </c>
      <c r="E138" t="s">
        <v>91</v>
      </c>
      <c r="F138" t="s">
        <v>45</v>
      </c>
      <c r="G138" t="s">
        <v>46</v>
      </c>
      <c r="H138" t="s">
        <v>88</v>
      </c>
      <c r="I138" t="s">
        <v>111</v>
      </c>
      <c r="J138" t="s">
        <v>37</v>
      </c>
      <c r="K138" s="4">
        <v>46010</v>
      </c>
      <c r="L138" s="4">
        <v>46190</v>
      </c>
      <c r="M138" t="s">
        <v>38</v>
      </c>
      <c r="N138" t="s">
        <v>55</v>
      </c>
      <c r="O138">
        <v>1</v>
      </c>
      <c r="P138" t="s">
        <v>56</v>
      </c>
      <c r="Q138" s="4">
        <v>46282</v>
      </c>
      <c r="R138" t="s">
        <v>38</v>
      </c>
      <c r="S138" t="s">
        <v>38</v>
      </c>
      <c r="T138" t="s">
        <v>3153</v>
      </c>
      <c r="U138" t="s">
        <v>55</v>
      </c>
      <c r="V138" t="s">
        <v>3154</v>
      </c>
    </row>
    <row r="139" spans="1:22" x14ac:dyDescent="0.2">
      <c r="A139" t="s">
        <v>337</v>
      </c>
      <c r="B139" t="s">
        <v>338</v>
      </c>
      <c r="C139" t="s">
        <v>31</v>
      </c>
      <c r="D139" t="s">
        <v>32</v>
      </c>
      <c r="E139" t="s">
        <v>60</v>
      </c>
      <c r="F139" t="s">
        <v>34</v>
      </c>
      <c r="G139" t="s">
        <v>35</v>
      </c>
      <c r="H139" t="s">
        <v>36</v>
      </c>
      <c r="I139" t="s">
        <v>111</v>
      </c>
      <c r="J139" t="s">
        <v>63</v>
      </c>
      <c r="K139" s="4">
        <v>45913</v>
      </c>
      <c r="L139" s="4">
        <v>46278</v>
      </c>
      <c r="M139" t="s">
        <v>38</v>
      </c>
      <c r="N139" t="s">
        <v>75</v>
      </c>
      <c r="O139">
        <v>3</v>
      </c>
      <c r="P139" t="s">
        <v>56</v>
      </c>
      <c r="Q139" s="4">
        <v>46123</v>
      </c>
      <c r="R139" t="s">
        <v>38</v>
      </c>
      <c r="S139" t="s">
        <v>38</v>
      </c>
      <c r="T139" t="s">
        <v>3153</v>
      </c>
      <c r="U139" t="s">
        <v>75</v>
      </c>
      <c r="V139" t="s">
        <v>3152</v>
      </c>
    </row>
    <row r="140" spans="1:22" x14ac:dyDescent="0.2">
      <c r="A140" t="s">
        <v>339</v>
      </c>
      <c r="B140" t="s">
        <v>340</v>
      </c>
      <c r="C140" t="s">
        <v>78</v>
      </c>
      <c r="D140" t="s">
        <v>79</v>
      </c>
      <c r="E140" t="s">
        <v>60</v>
      </c>
      <c r="F140" t="s">
        <v>34</v>
      </c>
      <c r="G140" t="s">
        <v>35</v>
      </c>
      <c r="H140" t="s">
        <v>88</v>
      </c>
      <c r="I140" t="s">
        <v>54</v>
      </c>
      <c r="J140" t="s">
        <v>63</v>
      </c>
      <c r="K140" s="4">
        <v>45906</v>
      </c>
      <c r="L140" s="4">
        <v>45996</v>
      </c>
      <c r="M140" t="s">
        <v>38</v>
      </c>
      <c r="N140" t="s">
        <v>49</v>
      </c>
      <c r="O140">
        <v>3</v>
      </c>
      <c r="P140" t="s">
        <v>54</v>
      </c>
      <c r="Q140" s="4">
        <v>46202</v>
      </c>
      <c r="R140" t="s">
        <v>38</v>
      </c>
      <c r="S140" t="s">
        <v>38</v>
      </c>
      <c r="T140" t="s">
        <v>3153</v>
      </c>
      <c r="U140" t="s">
        <v>49</v>
      </c>
      <c r="V140" t="s">
        <v>3154</v>
      </c>
    </row>
    <row r="141" spans="1:22" x14ac:dyDescent="0.2">
      <c r="A141" t="s">
        <v>341</v>
      </c>
      <c r="B141" t="s">
        <v>342</v>
      </c>
      <c r="C141" t="s">
        <v>96</v>
      </c>
      <c r="D141" t="s">
        <v>97</v>
      </c>
      <c r="E141" t="s">
        <v>44</v>
      </c>
      <c r="F141" t="s">
        <v>45</v>
      </c>
      <c r="G141" t="s">
        <v>46</v>
      </c>
      <c r="H141" t="s">
        <v>47</v>
      </c>
      <c r="I141" t="s">
        <v>106</v>
      </c>
      <c r="J141" t="s">
        <v>63</v>
      </c>
      <c r="K141" s="4">
        <v>46061</v>
      </c>
      <c r="L141" s="4">
        <v>46151</v>
      </c>
      <c r="M141" t="s">
        <v>38</v>
      </c>
      <c r="N141" t="s">
        <v>75</v>
      </c>
      <c r="O141">
        <v>1</v>
      </c>
      <c r="P141" t="s">
        <v>39</v>
      </c>
      <c r="Q141" s="4">
        <v>46325</v>
      </c>
      <c r="R141" t="s">
        <v>84</v>
      </c>
      <c r="S141" t="s">
        <v>38</v>
      </c>
      <c r="T141" t="s">
        <v>3153</v>
      </c>
      <c r="U141" t="s">
        <v>75</v>
      </c>
      <c r="V141" t="s">
        <v>3154</v>
      </c>
    </row>
    <row r="142" spans="1:22" x14ac:dyDescent="0.2">
      <c r="A142" t="s">
        <v>343</v>
      </c>
      <c r="B142" t="s">
        <v>344</v>
      </c>
      <c r="C142" t="s">
        <v>96</v>
      </c>
      <c r="D142" t="s">
        <v>97</v>
      </c>
      <c r="E142" t="s">
        <v>60</v>
      </c>
      <c r="F142" t="s">
        <v>34</v>
      </c>
      <c r="G142" t="s">
        <v>35</v>
      </c>
      <c r="H142" t="s">
        <v>47</v>
      </c>
      <c r="I142" t="s">
        <v>106</v>
      </c>
      <c r="J142" t="s">
        <v>37</v>
      </c>
      <c r="K142" s="4">
        <v>45936</v>
      </c>
      <c r="L142" s="4">
        <v>46116</v>
      </c>
      <c r="M142" t="s">
        <v>38</v>
      </c>
      <c r="N142" t="s">
        <v>49</v>
      </c>
      <c r="O142">
        <v>3</v>
      </c>
      <c r="P142" t="s">
        <v>106</v>
      </c>
      <c r="Q142" s="4">
        <v>46275</v>
      </c>
      <c r="R142" t="s">
        <v>38</v>
      </c>
      <c r="S142" t="s">
        <v>38</v>
      </c>
      <c r="T142" t="s">
        <v>3153</v>
      </c>
      <c r="U142" t="s">
        <v>49</v>
      </c>
      <c r="V142" t="s">
        <v>3154</v>
      </c>
    </row>
    <row r="143" spans="1:22" x14ac:dyDescent="0.2">
      <c r="A143" t="s">
        <v>345</v>
      </c>
      <c r="B143" t="s">
        <v>346</v>
      </c>
      <c r="C143" t="s">
        <v>96</v>
      </c>
      <c r="D143" t="s">
        <v>97</v>
      </c>
      <c r="E143" t="s">
        <v>60</v>
      </c>
      <c r="F143" t="s">
        <v>34</v>
      </c>
      <c r="G143" t="s">
        <v>35</v>
      </c>
      <c r="H143" t="s">
        <v>88</v>
      </c>
      <c r="J143" t="s">
        <v>37</v>
      </c>
      <c r="K143" s="4">
        <v>46149</v>
      </c>
      <c r="L143" s="4">
        <v>46329</v>
      </c>
      <c r="M143" t="s">
        <v>84</v>
      </c>
      <c r="N143" t="s">
        <v>75</v>
      </c>
      <c r="O143">
        <v>2</v>
      </c>
      <c r="P143" t="s">
        <v>106</v>
      </c>
      <c r="Q143" s="4">
        <v>46221</v>
      </c>
      <c r="R143" t="s">
        <v>38</v>
      </c>
      <c r="S143" t="s">
        <v>3155</v>
      </c>
      <c r="T143" t="s">
        <v>3150</v>
      </c>
      <c r="U143" t="s">
        <v>75</v>
      </c>
      <c r="V143" t="s">
        <v>3154</v>
      </c>
    </row>
    <row r="144" spans="1:22" x14ac:dyDescent="0.2">
      <c r="A144" t="s">
        <v>347</v>
      </c>
      <c r="B144" t="s">
        <v>348</v>
      </c>
      <c r="C144" t="s">
        <v>31</v>
      </c>
      <c r="D144" t="s">
        <v>32</v>
      </c>
      <c r="E144" t="s">
        <v>53</v>
      </c>
      <c r="F144" t="s">
        <v>34</v>
      </c>
      <c r="G144" t="s">
        <v>35</v>
      </c>
      <c r="H144" t="s">
        <v>47</v>
      </c>
      <c r="I144" t="s">
        <v>62</v>
      </c>
      <c r="J144" t="s">
        <v>37</v>
      </c>
      <c r="K144" s="4">
        <v>45817</v>
      </c>
      <c r="L144" s="4">
        <v>45997</v>
      </c>
      <c r="M144" t="s">
        <v>38</v>
      </c>
      <c r="N144" t="s">
        <v>75</v>
      </c>
      <c r="O144">
        <v>1</v>
      </c>
      <c r="P144" t="s">
        <v>56</v>
      </c>
      <c r="Q144" s="4">
        <v>46263</v>
      </c>
      <c r="R144" t="s">
        <v>64</v>
      </c>
      <c r="S144" t="s">
        <v>38</v>
      </c>
      <c r="T144" t="s">
        <v>3153</v>
      </c>
      <c r="U144" t="s">
        <v>75</v>
      </c>
      <c r="V144" t="s">
        <v>3154</v>
      </c>
    </row>
    <row r="145" spans="1:22" x14ac:dyDescent="0.2">
      <c r="A145" t="s">
        <v>349</v>
      </c>
      <c r="B145" t="s">
        <v>350</v>
      </c>
      <c r="C145" t="s">
        <v>103</v>
      </c>
      <c r="D145" t="s">
        <v>104</v>
      </c>
      <c r="E145" t="s">
        <v>44</v>
      </c>
      <c r="F145" t="s">
        <v>34</v>
      </c>
      <c r="G145" t="s">
        <v>35</v>
      </c>
      <c r="H145" t="s">
        <v>47</v>
      </c>
      <c r="I145" t="s">
        <v>56</v>
      </c>
      <c r="J145" t="s">
        <v>48</v>
      </c>
      <c r="K145" s="4">
        <v>45798</v>
      </c>
      <c r="L145" s="4">
        <v>46163</v>
      </c>
      <c r="M145" t="s">
        <v>38</v>
      </c>
      <c r="N145" t="s">
        <v>49</v>
      </c>
      <c r="O145">
        <v>2</v>
      </c>
      <c r="P145" t="s">
        <v>54</v>
      </c>
      <c r="Q145" s="4">
        <v>46185</v>
      </c>
      <c r="R145" t="s">
        <v>64</v>
      </c>
      <c r="S145" t="s">
        <v>38</v>
      </c>
      <c r="T145" t="s">
        <v>3153</v>
      </c>
      <c r="U145" t="s">
        <v>49</v>
      </c>
      <c r="V145" t="s">
        <v>3154</v>
      </c>
    </row>
    <row r="146" spans="1:22" x14ac:dyDescent="0.2">
      <c r="A146" t="s">
        <v>351</v>
      </c>
      <c r="B146" t="s">
        <v>352</v>
      </c>
      <c r="C146" t="s">
        <v>31</v>
      </c>
      <c r="D146" t="s">
        <v>83</v>
      </c>
      <c r="E146" t="s">
        <v>105</v>
      </c>
      <c r="F146" t="s">
        <v>34</v>
      </c>
      <c r="G146" t="s">
        <v>35</v>
      </c>
      <c r="H146" t="s">
        <v>47</v>
      </c>
      <c r="I146" t="s">
        <v>106</v>
      </c>
      <c r="J146" t="s">
        <v>63</v>
      </c>
      <c r="K146" s="4">
        <v>45908</v>
      </c>
      <c r="L146" s="4">
        <v>46088</v>
      </c>
      <c r="M146" t="s">
        <v>38</v>
      </c>
      <c r="N146" t="s">
        <v>55</v>
      </c>
      <c r="O146">
        <v>1</v>
      </c>
      <c r="P146" t="s">
        <v>111</v>
      </c>
      <c r="Q146" s="4">
        <v>46117</v>
      </c>
      <c r="R146" t="s">
        <v>38</v>
      </c>
      <c r="S146" t="s">
        <v>38</v>
      </c>
      <c r="T146" t="s">
        <v>3153</v>
      </c>
      <c r="U146" t="s">
        <v>55</v>
      </c>
      <c r="V146" t="s">
        <v>3154</v>
      </c>
    </row>
    <row r="147" spans="1:22" x14ac:dyDescent="0.2">
      <c r="A147" t="s">
        <v>353</v>
      </c>
      <c r="B147" t="s">
        <v>354</v>
      </c>
      <c r="C147" t="s">
        <v>31</v>
      </c>
      <c r="D147" t="s">
        <v>87</v>
      </c>
      <c r="E147" t="s">
        <v>53</v>
      </c>
      <c r="F147" t="s">
        <v>67</v>
      </c>
      <c r="G147" t="s">
        <v>68</v>
      </c>
      <c r="H147" t="s">
        <v>88</v>
      </c>
      <c r="I147" t="s">
        <v>39</v>
      </c>
      <c r="J147" t="s">
        <v>37</v>
      </c>
      <c r="K147" s="4">
        <v>45811</v>
      </c>
      <c r="L147" s="4">
        <v>45901</v>
      </c>
      <c r="M147" t="s">
        <v>38</v>
      </c>
      <c r="N147" t="s">
        <v>49</v>
      </c>
      <c r="O147">
        <v>1</v>
      </c>
      <c r="P147" t="s">
        <v>50</v>
      </c>
      <c r="Q147" s="4">
        <v>46388</v>
      </c>
      <c r="R147" t="s">
        <v>84</v>
      </c>
      <c r="S147" t="s">
        <v>38</v>
      </c>
      <c r="T147" t="s">
        <v>3153</v>
      </c>
      <c r="U147" t="s">
        <v>49</v>
      </c>
      <c r="V147" t="s">
        <v>3154</v>
      </c>
    </row>
    <row r="148" spans="1:22" x14ac:dyDescent="0.2">
      <c r="A148" t="s">
        <v>355</v>
      </c>
      <c r="B148" t="s">
        <v>356</v>
      </c>
      <c r="C148" t="s">
        <v>73</v>
      </c>
      <c r="D148" t="s">
        <v>74</v>
      </c>
      <c r="E148" t="s">
        <v>80</v>
      </c>
      <c r="F148" t="s">
        <v>45</v>
      </c>
      <c r="G148" t="s">
        <v>61</v>
      </c>
      <c r="H148" t="s">
        <v>47</v>
      </c>
      <c r="I148" t="s">
        <v>56</v>
      </c>
      <c r="J148" t="s">
        <v>37</v>
      </c>
      <c r="K148" s="4">
        <v>45827</v>
      </c>
      <c r="L148" s="4">
        <v>45917</v>
      </c>
      <c r="M148" t="s">
        <v>38</v>
      </c>
      <c r="N148" t="s">
        <v>55</v>
      </c>
      <c r="O148">
        <v>2</v>
      </c>
      <c r="P148" t="s">
        <v>111</v>
      </c>
      <c r="Q148" s="4">
        <v>46405</v>
      </c>
      <c r="R148" t="s">
        <v>84</v>
      </c>
      <c r="S148" t="s">
        <v>38</v>
      </c>
      <c r="T148" t="s">
        <v>3153</v>
      </c>
      <c r="U148" t="s">
        <v>55</v>
      </c>
      <c r="V148" t="s">
        <v>3154</v>
      </c>
    </row>
    <row r="149" spans="1:22" x14ac:dyDescent="0.2">
      <c r="A149" t="s">
        <v>358</v>
      </c>
      <c r="B149" t="s">
        <v>359</v>
      </c>
      <c r="C149" t="s">
        <v>31</v>
      </c>
      <c r="D149" t="s">
        <v>87</v>
      </c>
      <c r="E149" t="s">
        <v>53</v>
      </c>
      <c r="F149" t="s">
        <v>45</v>
      </c>
      <c r="G149" t="s">
        <v>61</v>
      </c>
      <c r="H149" t="s">
        <v>47</v>
      </c>
      <c r="I149" t="s">
        <v>70</v>
      </c>
      <c r="J149" t="s">
        <v>37</v>
      </c>
      <c r="K149" s="4">
        <v>46106</v>
      </c>
      <c r="L149" s="4">
        <v>46196</v>
      </c>
      <c r="M149" t="s">
        <v>38</v>
      </c>
      <c r="N149" t="s">
        <v>49</v>
      </c>
      <c r="O149">
        <v>3</v>
      </c>
      <c r="P149" t="s">
        <v>56</v>
      </c>
      <c r="Q149" s="4">
        <v>46246</v>
      </c>
      <c r="R149" t="s">
        <v>38</v>
      </c>
      <c r="S149" t="s">
        <v>38</v>
      </c>
      <c r="T149" t="s">
        <v>3153</v>
      </c>
      <c r="U149" t="s">
        <v>49</v>
      </c>
      <c r="V149" t="s">
        <v>3154</v>
      </c>
    </row>
    <row r="150" spans="1:22" x14ac:dyDescent="0.2">
      <c r="A150" t="s">
        <v>360</v>
      </c>
      <c r="B150" t="s">
        <v>361</v>
      </c>
      <c r="C150" t="s">
        <v>31</v>
      </c>
      <c r="D150" t="s">
        <v>32</v>
      </c>
      <c r="E150" t="s">
        <v>44</v>
      </c>
      <c r="F150" t="s">
        <v>34</v>
      </c>
      <c r="G150" t="s">
        <v>35</v>
      </c>
      <c r="H150" t="s">
        <v>88</v>
      </c>
      <c r="I150" t="s">
        <v>62</v>
      </c>
      <c r="J150" t="s">
        <v>48</v>
      </c>
      <c r="K150" s="4">
        <v>45852</v>
      </c>
      <c r="L150" s="4">
        <v>46032</v>
      </c>
      <c r="M150" t="s">
        <v>38</v>
      </c>
      <c r="N150" t="s">
        <v>49</v>
      </c>
      <c r="O150">
        <v>2</v>
      </c>
      <c r="P150" t="s">
        <v>111</v>
      </c>
      <c r="Q150" s="4">
        <v>46159</v>
      </c>
      <c r="R150" t="s">
        <v>38</v>
      </c>
      <c r="S150" t="s">
        <v>38</v>
      </c>
      <c r="T150" t="s">
        <v>3153</v>
      </c>
      <c r="U150" t="s">
        <v>49</v>
      </c>
      <c r="V150" t="s">
        <v>3154</v>
      </c>
    </row>
    <row r="151" spans="1:22" x14ac:dyDescent="0.2">
      <c r="A151" t="s">
        <v>362</v>
      </c>
      <c r="B151" t="s">
        <v>363</v>
      </c>
      <c r="C151" t="s">
        <v>31</v>
      </c>
      <c r="D151" t="s">
        <v>87</v>
      </c>
      <c r="E151" t="s">
        <v>105</v>
      </c>
      <c r="F151" t="s">
        <v>67</v>
      </c>
      <c r="G151" t="s">
        <v>68</v>
      </c>
      <c r="H151" t="s">
        <v>47</v>
      </c>
      <c r="I151" t="s">
        <v>54</v>
      </c>
      <c r="J151" t="s">
        <v>63</v>
      </c>
      <c r="K151" s="4">
        <v>46047</v>
      </c>
      <c r="L151" s="4">
        <v>46227</v>
      </c>
      <c r="M151" t="s">
        <v>38</v>
      </c>
      <c r="N151" t="s">
        <v>75</v>
      </c>
      <c r="O151">
        <v>2</v>
      </c>
      <c r="P151" t="s">
        <v>106</v>
      </c>
      <c r="Q151" s="4">
        <v>46413</v>
      </c>
      <c r="R151" t="s">
        <v>84</v>
      </c>
      <c r="S151" t="s">
        <v>38</v>
      </c>
      <c r="T151" t="s">
        <v>3153</v>
      </c>
      <c r="U151" t="s">
        <v>75</v>
      </c>
      <c r="V151" t="s">
        <v>3154</v>
      </c>
    </row>
    <row r="152" spans="1:22" x14ac:dyDescent="0.2">
      <c r="A152" t="s">
        <v>364</v>
      </c>
      <c r="B152" t="s">
        <v>365</v>
      </c>
      <c r="C152" t="s">
        <v>42</v>
      </c>
      <c r="D152" t="s">
        <v>43</v>
      </c>
      <c r="E152" t="s">
        <v>105</v>
      </c>
      <c r="F152" t="s">
        <v>34</v>
      </c>
      <c r="G152" t="s">
        <v>35</v>
      </c>
      <c r="H152" t="s">
        <v>88</v>
      </c>
      <c r="I152" t="s">
        <v>111</v>
      </c>
      <c r="J152" t="s">
        <v>63</v>
      </c>
      <c r="K152" s="4">
        <v>46118</v>
      </c>
      <c r="L152" s="4">
        <v>46208</v>
      </c>
      <c r="M152" t="s">
        <v>38</v>
      </c>
      <c r="N152" t="s">
        <v>75</v>
      </c>
      <c r="O152">
        <v>2</v>
      </c>
      <c r="P152" t="s">
        <v>54</v>
      </c>
      <c r="Q152" s="4">
        <v>46175</v>
      </c>
      <c r="R152" t="s">
        <v>38</v>
      </c>
      <c r="S152" t="s">
        <v>38</v>
      </c>
      <c r="T152" t="s">
        <v>3153</v>
      </c>
      <c r="U152" t="s">
        <v>75</v>
      </c>
      <c r="V152" t="s">
        <v>3154</v>
      </c>
    </row>
    <row r="153" spans="1:22" x14ac:dyDescent="0.2">
      <c r="A153" t="s">
        <v>366</v>
      </c>
      <c r="B153" t="s">
        <v>367</v>
      </c>
      <c r="C153" t="s">
        <v>31</v>
      </c>
      <c r="D153" t="s">
        <v>32</v>
      </c>
      <c r="E153" t="s">
        <v>80</v>
      </c>
      <c r="F153" t="s">
        <v>45</v>
      </c>
      <c r="G153" t="s">
        <v>46</v>
      </c>
      <c r="H153" t="s">
        <v>47</v>
      </c>
      <c r="I153" t="s">
        <v>106</v>
      </c>
      <c r="J153" t="s">
        <v>37</v>
      </c>
      <c r="K153" s="4">
        <v>46063</v>
      </c>
      <c r="L153" s="4">
        <v>46428</v>
      </c>
      <c r="M153" t="s">
        <v>64</v>
      </c>
      <c r="N153" t="s">
        <v>75</v>
      </c>
      <c r="O153">
        <v>1</v>
      </c>
      <c r="P153" t="s">
        <v>106</v>
      </c>
      <c r="Q153" s="4">
        <v>46241</v>
      </c>
      <c r="R153" t="s">
        <v>38</v>
      </c>
      <c r="S153" t="s">
        <v>3155</v>
      </c>
      <c r="T153" t="s">
        <v>3153</v>
      </c>
      <c r="U153" t="s">
        <v>75</v>
      </c>
      <c r="V153" t="s">
        <v>3154</v>
      </c>
    </row>
    <row r="154" spans="1:22" x14ac:dyDescent="0.2">
      <c r="A154" t="s">
        <v>368</v>
      </c>
      <c r="B154" t="s">
        <v>369</v>
      </c>
      <c r="C154" t="s">
        <v>103</v>
      </c>
      <c r="D154" t="s">
        <v>104</v>
      </c>
      <c r="E154" t="s">
        <v>105</v>
      </c>
      <c r="F154" t="s">
        <v>45</v>
      </c>
      <c r="G154" t="s">
        <v>46</v>
      </c>
      <c r="H154" t="s">
        <v>36</v>
      </c>
      <c r="I154" t="s">
        <v>54</v>
      </c>
      <c r="J154" t="s">
        <v>63</v>
      </c>
      <c r="K154" s="4">
        <v>45982</v>
      </c>
      <c r="L154" s="4">
        <v>46347</v>
      </c>
      <c r="M154" t="s">
        <v>64</v>
      </c>
      <c r="N154" t="s">
        <v>75</v>
      </c>
      <c r="O154">
        <v>4</v>
      </c>
      <c r="P154" t="s">
        <v>111</v>
      </c>
      <c r="Q154" s="4">
        <v>46341</v>
      </c>
      <c r="R154" t="s">
        <v>64</v>
      </c>
      <c r="S154" t="s">
        <v>3155</v>
      </c>
      <c r="T154" t="s">
        <v>3153</v>
      </c>
      <c r="U154" t="s">
        <v>75</v>
      </c>
      <c r="V154" t="s">
        <v>3152</v>
      </c>
    </row>
    <row r="155" spans="1:22" x14ac:dyDescent="0.2">
      <c r="A155" t="s">
        <v>370</v>
      </c>
      <c r="B155" t="s">
        <v>371</v>
      </c>
      <c r="C155" t="s">
        <v>31</v>
      </c>
      <c r="D155" t="s">
        <v>87</v>
      </c>
      <c r="E155" t="s">
        <v>105</v>
      </c>
      <c r="F155" t="s">
        <v>45</v>
      </c>
      <c r="G155" t="s">
        <v>61</v>
      </c>
      <c r="H155" t="s">
        <v>88</v>
      </c>
      <c r="I155" t="s">
        <v>62</v>
      </c>
      <c r="J155" t="s">
        <v>48</v>
      </c>
      <c r="K155" s="4">
        <v>46042</v>
      </c>
      <c r="L155" s="4">
        <v>46407</v>
      </c>
      <c r="M155" t="s">
        <v>64</v>
      </c>
      <c r="N155" t="s">
        <v>75</v>
      </c>
      <c r="O155">
        <v>2</v>
      </c>
      <c r="P155" t="s">
        <v>70</v>
      </c>
      <c r="Q155" s="4">
        <v>46126</v>
      </c>
      <c r="R155" t="s">
        <v>38</v>
      </c>
      <c r="S155" t="s">
        <v>3155</v>
      </c>
      <c r="T155" t="s">
        <v>3153</v>
      </c>
      <c r="U155" t="s">
        <v>75</v>
      </c>
      <c r="V155" t="s">
        <v>3154</v>
      </c>
    </row>
    <row r="156" spans="1:22" x14ac:dyDescent="0.2">
      <c r="A156" t="s">
        <v>372</v>
      </c>
      <c r="B156" t="s">
        <v>373</v>
      </c>
      <c r="C156" t="s">
        <v>78</v>
      </c>
      <c r="D156" t="s">
        <v>79</v>
      </c>
      <c r="E156" t="s">
        <v>53</v>
      </c>
      <c r="F156" t="s">
        <v>45</v>
      </c>
      <c r="G156" t="s">
        <v>61</v>
      </c>
      <c r="H156" t="s">
        <v>36</v>
      </c>
      <c r="I156" t="s">
        <v>39</v>
      </c>
      <c r="J156" t="s">
        <v>48</v>
      </c>
      <c r="K156" s="4">
        <v>45797</v>
      </c>
      <c r="L156" s="4">
        <v>45887</v>
      </c>
      <c r="M156" t="s">
        <v>38</v>
      </c>
      <c r="N156" t="s">
        <v>75</v>
      </c>
      <c r="O156">
        <v>0</v>
      </c>
      <c r="P156" t="s">
        <v>62</v>
      </c>
      <c r="Q156" s="4">
        <v>46261</v>
      </c>
      <c r="R156" t="s">
        <v>57</v>
      </c>
      <c r="S156" t="s">
        <v>38</v>
      </c>
      <c r="T156" t="s">
        <v>3153</v>
      </c>
      <c r="U156" t="s">
        <v>75</v>
      </c>
      <c r="V156" t="s">
        <v>3152</v>
      </c>
    </row>
    <row r="157" spans="1:22" x14ac:dyDescent="0.2">
      <c r="A157" t="s">
        <v>374</v>
      </c>
      <c r="B157" t="s">
        <v>375</v>
      </c>
      <c r="C157" t="s">
        <v>73</v>
      </c>
      <c r="D157" t="s">
        <v>74</v>
      </c>
      <c r="E157" t="s">
        <v>80</v>
      </c>
      <c r="F157" t="s">
        <v>67</v>
      </c>
      <c r="G157" t="s">
        <v>118</v>
      </c>
      <c r="H157" t="s">
        <v>36</v>
      </c>
      <c r="I157" t="s">
        <v>62</v>
      </c>
      <c r="J157" t="s">
        <v>48</v>
      </c>
      <c r="K157" s="4">
        <v>46083</v>
      </c>
      <c r="L157" s="4">
        <v>46173</v>
      </c>
      <c r="M157" t="s">
        <v>38</v>
      </c>
      <c r="N157" t="s">
        <v>49</v>
      </c>
      <c r="O157">
        <v>5</v>
      </c>
      <c r="P157" t="s">
        <v>62</v>
      </c>
      <c r="Q157" s="4">
        <v>46391</v>
      </c>
      <c r="R157" t="s">
        <v>64</v>
      </c>
      <c r="S157" t="s">
        <v>38</v>
      </c>
      <c r="T157" t="s">
        <v>3153</v>
      </c>
      <c r="U157" t="s">
        <v>49</v>
      </c>
      <c r="V157" t="s">
        <v>3152</v>
      </c>
    </row>
    <row r="158" spans="1:22" x14ac:dyDescent="0.2">
      <c r="A158" t="s">
        <v>376</v>
      </c>
      <c r="B158" t="s">
        <v>377</v>
      </c>
      <c r="C158" t="s">
        <v>78</v>
      </c>
      <c r="D158" t="s">
        <v>79</v>
      </c>
      <c r="E158" t="s">
        <v>91</v>
      </c>
      <c r="F158" t="s">
        <v>34</v>
      </c>
      <c r="G158" t="s">
        <v>35</v>
      </c>
      <c r="H158" t="s">
        <v>98</v>
      </c>
      <c r="I158" t="s">
        <v>39</v>
      </c>
      <c r="J158" t="s">
        <v>48</v>
      </c>
      <c r="K158" s="4">
        <v>45888</v>
      </c>
      <c r="L158" s="4">
        <v>45978</v>
      </c>
      <c r="M158" t="s">
        <v>38</v>
      </c>
      <c r="N158" t="s">
        <v>75</v>
      </c>
      <c r="O158">
        <v>3</v>
      </c>
      <c r="P158" t="s">
        <v>54</v>
      </c>
      <c r="Q158" s="4">
        <v>46393</v>
      </c>
      <c r="R158" t="s">
        <v>84</v>
      </c>
      <c r="S158" t="s">
        <v>38</v>
      </c>
      <c r="T158" t="s">
        <v>3153</v>
      </c>
      <c r="U158" t="s">
        <v>75</v>
      </c>
      <c r="V158" t="s">
        <v>3152</v>
      </c>
    </row>
    <row r="159" spans="1:22" x14ac:dyDescent="0.2">
      <c r="A159" t="s">
        <v>378</v>
      </c>
      <c r="B159" t="s">
        <v>379</v>
      </c>
      <c r="C159" t="s">
        <v>31</v>
      </c>
      <c r="D159" t="s">
        <v>87</v>
      </c>
      <c r="E159" t="s">
        <v>44</v>
      </c>
      <c r="F159" t="s">
        <v>67</v>
      </c>
      <c r="G159" t="s">
        <v>118</v>
      </c>
      <c r="H159" t="s">
        <v>47</v>
      </c>
      <c r="I159" t="s">
        <v>70</v>
      </c>
      <c r="J159" t="s">
        <v>63</v>
      </c>
      <c r="K159" s="4">
        <v>46259</v>
      </c>
      <c r="L159" s="4">
        <v>46624</v>
      </c>
      <c r="M159" t="s">
        <v>64</v>
      </c>
      <c r="N159" t="s">
        <v>55</v>
      </c>
      <c r="O159">
        <v>1</v>
      </c>
      <c r="P159" t="s">
        <v>39</v>
      </c>
      <c r="Q159" s="4">
        <v>46220</v>
      </c>
      <c r="R159" t="s">
        <v>64</v>
      </c>
      <c r="S159" t="s">
        <v>3155</v>
      </c>
      <c r="T159" t="s">
        <v>3153</v>
      </c>
      <c r="U159" t="s">
        <v>55</v>
      </c>
      <c r="V159" t="s">
        <v>3154</v>
      </c>
    </row>
    <row r="160" spans="1:22" x14ac:dyDescent="0.2">
      <c r="A160" t="s">
        <v>380</v>
      </c>
      <c r="B160" t="s">
        <v>381</v>
      </c>
      <c r="C160" t="s">
        <v>73</v>
      </c>
      <c r="D160" t="s">
        <v>74</v>
      </c>
      <c r="E160" t="s">
        <v>80</v>
      </c>
      <c r="F160" t="s">
        <v>45</v>
      </c>
      <c r="G160" t="s">
        <v>46</v>
      </c>
      <c r="H160" t="s">
        <v>88</v>
      </c>
      <c r="I160" t="s">
        <v>54</v>
      </c>
      <c r="J160" t="s">
        <v>63</v>
      </c>
      <c r="K160" s="4">
        <v>45889</v>
      </c>
      <c r="L160" s="4">
        <v>45979</v>
      </c>
      <c r="M160" t="s">
        <v>38</v>
      </c>
      <c r="N160" t="s">
        <v>55</v>
      </c>
      <c r="O160">
        <v>2</v>
      </c>
      <c r="P160" t="s">
        <v>106</v>
      </c>
      <c r="Q160" s="4">
        <v>46234</v>
      </c>
      <c r="R160" t="s">
        <v>38</v>
      </c>
      <c r="S160" t="s">
        <v>38</v>
      </c>
      <c r="T160" t="s">
        <v>3153</v>
      </c>
      <c r="U160" t="s">
        <v>55</v>
      </c>
      <c r="V160" t="s">
        <v>3154</v>
      </c>
    </row>
    <row r="161" spans="1:22" x14ac:dyDescent="0.2">
      <c r="A161" t="s">
        <v>382</v>
      </c>
      <c r="B161" t="s">
        <v>383</v>
      </c>
      <c r="C161" t="s">
        <v>31</v>
      </c>
      <c r="D161" t="s">
        <v>83</v>
      </c>
      <c r="E161" t="s">
        <v>44</v>
      </c>
      <c r="F161" t="s">
        <v>45</v>
      </c>
      <c r="G161" t="s">
        <v>61</v>
      </c>
      <c r="H161" t="s">
        <v>98</v>
      </c>
      <c r="I161" t="s">
        <v>54</v>
      </c>
      <c r="J161" t="s">
        <v>63</v>
      </c>
      <c r="K161" s="4">
        <v>46064</v>
      </c>
      <c r="L161" s="4">
        <v>46244</v>
      </c>
      <c r="M161" t="s">
        <v>38</v>
      </c>
      <c r="N161" t="s">
        <v>75</v>
      </c>
      <c r="O161">
        <v>0</v>
      </c>
      <c r="P161" t="s">
        <v>62</v>
      </c>
      <c r="Q161" s="4">
        <v>46400</v>
      </c>
      <c r="R161" t="s">
        <v>57</v>
      </c>
      <c r="S161" t="s">
        <v>38</v>
      </c>
      <c r="T161" t="s">
        <v>3153</v>
      </c>
      <c r="U161" t="s">
        <v>75</v>
      </c>
      <c r="V161" t="s">
        <v>3152</v>
      </c>
    </row>
    <row r="162" spans="1:22" x14ac:dyDescent="0.2">
      <c r="A162" t="s">
        <v>384</v>
      </c>
      <c r="B162" t="s">
        <v>385</v>
      </c>
      <c r="C162" t="s">
        <v>42</v>
      </c>
      <c r="D162" t="s">
        <v>43</v>
      </c>
      <c r="E162" t="s">
        <v>105</v>
      </c>
      <c r="F162" t="s">
        <v>34</v>
      </c>
      <c r="G162" t="s">
        <v>35</v>
      </c>
      <c r="H162" t="s">
        <v>98</v>
      </c>
      <c r="I162" t="s">
        <v>62</v>
      </c>
      <c r="J162" t="s">
        <v>48</v>
      </c>
      <c r="K162" s="4">
        <v>45873</v>
      </c>
      <c r="L162" s="4">
        <v>46238</v>
      </c>
      <c r="M162" t="s">
        <v>38</v>
      </c>
      <c r="N162" t="s">
        <v>75</v>
      </c>
      <c r="O162">
        <v>5</v>
      </c>
      <c r="P162" t="s">
        <v>111</v>
      </c>
      <c r="Q162" s="4">
        <v>46328</v>
      </c>
      <c r="R162" t="s">
        <v>84</v>
      </c>
      <c r="S162" t="s">
        <v>38</v>
      </c>
      <c r="T162" t="s">
        <v>3153</v>
      </c>
      <c r="U162" t="s">
        <v>75</v>
      </c>
      <c r="V162" t="s">
        <v>3152</v>
      </c>
    </row>
    <row r="163" spans="1:22" x14ac:dyDescent="0.2">
      <c r="A163" t="s">
        <v>386</v>
      </c>
      <c r="B163" t="s">
        <v>387</v>
      </c>
      <c r="C163" t="s">
        <v>31</v>
      </c>
      <c r="D163" t="s">
        <v>83</v>
      </c>
      <c r="E163" t="s">
        <v>53</v>
      </c>
      <c r="F163" t="s">
        <v>45</v>
      </c>
      <c r="G163" t="s">
        <v>46</v>
      </c>
      <c r="H163" t="s">
        <v>36</v>
      </c>
      <c r="I163" t="s">
        <v>50</v>
      </c>
      <c r="J163" t="s">
        <v>48</v>
      </c>
      <c r="K163" s="4">
        <v>45863</v>
      </c>
      <c r="L163" s="4">
        <v>46043</v>
      </c>
      <c r="M163" t="s">
        <v>38</v>
      </c>
      <c r="N163" t="s">
        <v>55</v>
      </c>
      <c r="O163">
        <v>4</v>
      </c>
      <c r="P163" t="s">
        <v>56</v>
      </c>
      <c r="Q163" s="4">
        <v>46326</v>
      </c>
      <c r="R163" t="s">
        <v>84</v>
      </c>
      <c r="S163" t="s">
        <v>38</v>
      </c>
      <c r="T163" t="s">
        <v>3153</v>
      </c>
      <c r="U163" t="s">
        <v>55</v>
      </c>
      <c r="V163" t="s">
        <v>3152</v>
      </c>
    </row>
    <row r="164" spans="1:22" x14ac:dyDescent="0.2">
      <c r="A164" t="s">
        <v>388</v>
      </c>
      <c r="B164" t="s">
        <v>389</v>
      </c>
      <c r="C164" t="s">
        <v>31</v>
      </c>
      <c r="D164" t="s">
        <v>87</v>
      </c>
      <c r="E164" t="s">
        <v>91</v>
      </c>
      <c r="F164" t="s">
        <v>45</v>
      </c>
      <c r="G164" t="s">
        <v>61</v>
      </c>
      <c r="H164" t="s">
        <v>47</v>
      </c>
      <c r="I164" t="s">
        <v>111</v>
      </c>
      <c r="J164" t="s">
        <v>48</v>
      </c>
      <c r="K164" s="4">
        <v>45842</v>
      </c>
      <c r="L164" s="4">
        <v>46022</v>
      </c>
      <c r="M164" t="s">
        <v>38</v>
      </c>
      <c r="N164" t="s">
        <v>55</v>
      </c>
      <c r="O164">
        <v>1</v>
      </c>
      <c r="P164" t="s">
        <v>54</v>
      </c>
      <c r="Q164" s="4">
        <v>46141</v>
      </c>
      <c r="R164" t="s">
        <v>64</v>
      </c>
      <c r="S164" t="s">
        <v>38</v>
      </c>
      <c r="T164" t="s">
        <v>3153</v>
      </c>
      <c r="U164" t="s">
        <v>55</v>
      </c>
      <c r="V164" t="s">
        <v>3154</v>
      </c>
    </row>
    <row r="165" spans="1:22" x14ac:dyDescent="0.2">
      <c r="A165" t="s">
        <v>390</v>
      </c>
      <c r="B165" t="s">
        <v>391</v>
      </c>
      <c r="C165" t="s">
        <v>96</v>
      </c>
      <c r="D165" t="s">
        <v>97</v>
      </c>
      <c r="E165" t="s">
        <v>80</v>
      </c>
      <c r="F165" t="s">
        <v>34</v>
      </c>
      <c r="G165" t="s">
        <v>35</v>
      </c>
      <c r="H165" t="s">
        <v>47</v>
      </c>
      <c r="I165" t="s">
        <v>106</v>
      </c>
      <c r="J165" t="s">
        <v>63</v>
      </c>
      <c r="K165" s="4">
        <v>46120</v>
      </c>
      <c r="L165" s="4">
        <v>46210</v>
      </c>
      <c r="M165" t="s">
        <v>38</v>
      </c>
      <c r="N165" t="s">
        <v>55</v>
      </c>
      <c r="O165">
        <v>1</v>
      </c>
      <c r="P165" t="s">
        <v>54</v>
      </c>
      <c r="Q165" s="4">
        <v>46175</v>
      </c>
      <c r="R165" t="s">
        <v>38</v>
      </c>
      <c r="S165" t="s">
        <v>38</v>
      </c>
      <c r="T165" t="s">
        <v>3153</v>
      </c>
      <c r="U165" t="s">
        <v>55</v>
      </c>
      <c r="V165" t="s">
        <v>3154</v>
      </c>
    </row>
    <row r="166" spans="1:22" x14ac:dyDescent="0.2">
      <c r="A166" t="s">
        <v>392</v>
      </c>
      <c r="B166" t="s">
        <v>393</v>
      </c>
      <c r="C166" t="s">
        <v>96</v>
      </c>
      <c r="D166" t="s">
        <v>97</v>
      </c>
      <c r="E166" t="s">
        <v>60</v>
      </c>
      <c r="F166" t="s">
        <v>67</v>
      </c>
      <c r="G166" t="s">
        <v>68</v>
      </c>
      <c r="H166" t="s">
        <v>88</v>
      </c>
      <c r="I166" t="s">
        <v>56</v>
      </c>
      <c r="J166" t="s">
        <v>48</v>
      </c>
      <c r="K166" s="4">
        <v>46081</v>
      </c>
      <c r="L166" s="4">
        <v>46261</v>
      </c>
      <c r="M166" t="s">
        <v>38</v>
      </c>
      <c r="N166" t="s">
        <v>49</v>
      </c>
      <c r="O166">
        <v>2</v>
      </c>
      <c r="P166" t="s">
        <v>111</v>
      </c>
      <c r="Q166" s="4">
        <v>46272</v>
      </c>
      <c r="R166" t="s">
        <v>64</v>
      </c>
      <c r="S166" t="s">
        <v>38</v>
      </c>
      <c r="T166" t="s">
        <v>3153</v>
      </c>
      <c r="U166" t="s">
        <v>49</v>
      </c>
      <c r="V166" t="s">
        <v>3154</v>
      </c>
    </row>
    <row r="167" spans="1:22" x14ac:dyDescent="0.2">
      <c r="A167" t="s">
        <v>394</v>
      </c>
      <c r="B167" t="s">
        <v>395</v>
      </c>
      <c r="C167" t="s">
        <v>78</v>
      </c>
      <c r="D167" t="s">
        <v>79</v>
      </c>
      <c r="E167" t="s">
        <v>53</v>
      </c>
      <c r="F167" t="s">
        <v>67</v>
      </c>
      <c r="G167" t="s">
        <v>68</v>
      </c>
      <c r="H167" t="s">
        <v>88</v>
      </c>
      <c r="I167" t="s">
        <v>39</v>
      </c>
      <c r="J167" t="s">
        <v>48</v>
      </c>
      <c r="K167" s="4">
        <v>45987</v>
      </c>
      <c r="L167" s="4">
        <v>46077</v>
      </c>
      <c r="M167" t="s">
        <v>38</v>
      </c>
      <c r="N167" t="s">
        <v>49</v>
      </c>
      <c r="O167">
        <v>1</v>
      </c>
      <c r="P167" t="s">
        <v>54</v>
      </c>
      <c r="Q167" s="4">
        <v>46123</v>
      </c>
      <c r="R167" t="s">
        <v>64</v>
      </c>
      <c r="S167" t="s">
        <v>38</v>
      </c>
      <c r="T167" t="s">
        <v>3153</v>
      </c>
      <c r="U167" t="s">
        <v>49</v>
      </c>
      <c r="V167" t="s">
        <v>3154</v>
      </c>
    </row>
    <row r="168" spans="1:22" x14ac:dyDescent="0.2">
      <c r="A168" t="s">
        <v>396</v>
      </c>
      <c r="B168" t="s">
        <v>397</v>
      </c>
      <c r="C168" t="s">
        <v>96</v>
      </c>
      <c r="D168" t="s">
        <v>97</v>
      </c>
      <c r="E168" t="s">
        <v>80</v>
      </c>
      <c r="F168" t="s">
        <v>67</v>
      </c>
      <c r="G168" t="s">
        <v>68</v>
      </c>
      <c r="H168" t="s">
        <v>88</v>
      </c>
      <c r="I168" t="s">
        <v>54</v>
      </c>
      <c r="J168" t="s">
        <v>48</v>
      </c>
      <c r="K168" s="4">
        <v>46020</v>
      </c>
      <c r="L168" s="4">
        <v>46385</v>
      </c>
      <c r="M168" t="s">
        <v>69</v>
      </c>
      <c r="O168">
        <v>2</v>
      </c>
      <c r="P168" t="s">
        <v>106</v>
      </c>
      <c r="Q168" s="4">
        <v>46365</v>
      </c>
      <c r="R168" t="s">
        <v>84</v>
      </c>
      <c r="S168" t="s">
        <v>3155</v>
      </c>
      <c r="T168" t="s">
        <v>3153</v>
      </c>
      <c r="U168" t="s">
        <v>3151</v>
      </c>
      <c r="V168" t="s">
        <v>3154</v>
      </c>
    </row>
    <row r="169" spans="1:22" x14ac:dyDescent="0.2">
      <c r="A169" t="s">
        <v>398</v>
      </c>
      <c r="B169" t="s">
        <v>399</v>
      </c>
      <c r="C169" t="s">
        <v>31</v>
      </c>
      <c r="D169" t="s">
        <v>87</v>
      </c>
      <c r="E169" t="s">
        <v>91</v>
      </c>
      <c r="F169" t="s">
        <v>45</v>
      </c>
      <c r="G169" t="s">
        <v>46</v>
      </c>
      <c r="H169" t="s">
        <v>88</v>
      </c>
      <c r="I169" t="s">
        <v>50</v>
      </c>
      <c r="J169" t="s">
        <v>48</v>
      </c>
      <c r="K169" s="4">
        <v>45806</v>
      </c>
      <c r="L169" s="4">
        <v>46171</v>
      </c>
      <c r="M169" t="s">
        <v>38</v>
      </c>
      <c r="N169" t="s">
        <v>49</v>
      </c>
      <c r="O169">
        <v>0</v>
      </c>
      <c r="P169" t="s">
        <v>39</v>
      </c>
      <c r="Q169" s="4">
        <v>46383</v>
      </c>
      <c r="R169" t="s">
        <v>57</v>
      </c>
      <c r="S169" t="s">
        <v>38</v>
      </c>
      <c r="T169" t="s">
        <v>3153</v>
      </c>
      <c r="U169" t="s">
        <v>49</v>
      </c>
      <c r="V169" t="s">
        <v>3154</v>
      </c>
    </row>
    <row r="170" spans="1:22" x14ac:dyDescent="0.2">
      <c r="A170" t="s">
        <v>400</v>
      </c>
      <c r="B170" t="s">
        <v>401</v>
      </c>
      <c r="C170" t="s">
        <v>96</v>
      </c>
      <c r="D170" t="s">
        <v>97</v>
      </c>
      <c r="E170" t="s">
        <v>44</v>
      </c>
      <c r="F170" t="s">
        <v>45</v>
      </c>
      <c r="G170" t="s">
        <v>61</v>
      </c>
      <c r="H170" t="s">
        <v>36</v>
      </c>
      <c r="I170" t="s">
        <v>54</v>
      </c>
      <c r="J170" t="s">
        <v>37</v>
      </c>
      <c r="K170" s="4">
        <v>46241</v>
      </c>
      <c r="L170" s="4">
        <v>46606</v>
      </c>
      <c r="M170" t="s">
        <v>64</v>
      </c>
      <c r="N170" t="s">
        <v>55</v>
      </c>
      <c r="O170">
        <v>4</v>
      </c>
      <c r="P170" t="s">
        <v>39</v>
      </c>
      <c r="Q170" s="4">
        <v>46348</v>
      </c>
      <c r="R170" t="s">
        <v>84</v>
      </c>
      <c r="S170" t="s">
        <v>3155</v>
      </c>
      <c r="T170" t="s">
        <v>3153</v>
      </c>
      <c r="U170" t="s">
        <v>55</v>
      </c>
      <c r="V170" t="s">
        <v>3152</v>
      </c>
    </row>
    <row r="171" spans="1:22" x14ac:dyDescent="0.2">
      <c r="A171" t="s">
        <v>402</v>
      </c>
      <c r="B171" t="s">
        <v>403</v>
      </c>
      <c r="C171" t="s">
        <v>31</v>
      </c>
      <c r="D171" t="s">
        <v>32</v>
      </c>
      <c r="E171" t="s">
        <v>105</v>
      </c>
      <c r="F171" t="s">
        <v>45</v>
      </c>
      <c r="G171" t="s">
        <v>61</v>
      </c>
      <c r="H171" t="s">
        <v>47</v>
      </c>
      <c r="I171" t="s">
        <v>56</v>
      </c>
      <c r="J171" t="s">
        <v>48</v>
      </c>
      <c r="K171" s="4">
        <v>46001</v>
      </c>
      <c r="L171" s="4">
        <v>46181</v>
      </c>
      <c r="M171" t="s">
        <v>38</v>
      </c>
      <c r="N171" t="s">
        <v>55</v>
      </c>
      <c r="O171">
        <v>3</v>
      </c>
      <c r="P171" t="s">
        <v>54</v>
      </c>
      <c r="Q171" s="4">
        <v>46206</v>
      </c>
      <c r="R171" t="s">
        <v>64</v>
      </c>
      <c r="S171" t="s">
        <v>38</v>
      </c>
      <c r="T171" t="s">
        <v>3153</v>
      </c>
      <c r="U171" t="s">
        <v>55</v>
      </c>
      <c r="V171" t="s">
        <v>3154</v>
      </c>
    </row>
    <row r="172" spans="1:22" x14ac:dyDescent="0.2">
      <c r="A172" t="s">
        <v>404</v>
      </c>
      <c r="B172" t="s">
        <v>405</v>
      </c>
      <c r="C172" t="s">
        <v>31</v>
      </c>
      <c r="D172" t="s">
        <v>32</v>
      </c>
      <c r="E172" t="s">
        <v>53</v>
      </c>
      <c r="F172" t="s">
        <v>45</v>
      </c>
      <c r="G172" t="s">
        <v>61</v>
      </c>
      <c r="H172" t="s">
        <v>47</v>
      </c>
      <c r="I172" t="s">
        <v>62</v>
      </c>
      <c r="J172" t="s">
        <v>63</v>
      </c>
      <c r="K172" s="4">
        <v>46235</v>
      </c>
      <c r="L172" s="4">
        <v>46415</v>
      </c>
      <c r="M172" t="s">
        <v>69</v>
      </c>
      <c r="N172" t="s">
        <v>49</v>
      </c>
      <c r="O172">
        <v>1</v>
      </c>
      <c r="P172" t="s">
        <v>39</v>
      </c>
      <c r="Q172" s="4">
        <v>46230</v>
      </c>
      <c r="R172" t="s">
        <v>64</v>
      </c>
      <c r="S172" t="s">
        <v>3155</v>
      </c>
      <c r="T172" t="s">
        <v>3153</v>
      </c>
      <c r="U172" t="s">
        <v>49</v>
      </c>
      <c r="V172" t="s">
        <v>3154</v>
      </c>
    </row>
    <row r="173" spans="1:22" x14ac:dyDescent="0.2">
      <c r="A173" t="s">
        <v>406</v>
      </c>
      <c r="B173" t="s">
        <v>407</v>
      </c>
      <c r="C173" t="s">
        <v>78</v>
      </c>
      <c r="D173" t="s">
        <v>79</v>
      </c>
      <c r="E173" t="s">
        <v>80</v>
      </c>
      <c r="F173" t="s">
        <v>45</v>
      </c>
      <c r="G173" t="s">
        <v>61</v>
      </c>
      <c r="H173" t="s">
        <v>88</v>
      </c>
      <c r="I173" t="s">
        <v>111</v>
      </c>
      <c r="J173" t="s">
        <v>37</v>
      </c>
      <c r="K173" s="4">
        <v>46247</v>
      </c>
      <c r="L173" s="4">
        <v>46612</v>
      </c>
      <c r="M173" t="s">
        <v>64</v>
      </c>
      <c r="N173" t="s">
        <v>55</v>
      </c>
      <c r="O173">
        <v>0</v>
      </c>
      <c r="P173" t="s">
        <v>70</v>
      </c>
      <c r="Q173" s="4">
        <v>46370</v>
      </c>
      <c r="R173" t="s">
        <v>57</v>
      </c>
      <c r="S173" t="s">
        <v>3155</v>
      </c>
      <c r="T173" t="s">
        <v>3153</v>
      </c>
      <c r="U173" t="s">
        <v>55</v>
      </c>
      <c r="V173" t="s">
        <v>3154</v>
      </c>
    </row>
    <row r="174" spans="1:22" x14ac:dyDescent="0.2">
      <c r="A174" t="s">
        <v>408</v>
      </c>
      <c r="B174" t="s">
        <v>409</v>
      </c>
      <c r="C174" t="s">
        <v>31</v>
      </c>
      <c r="D174" t="s">
        <v>87</v>
      </c>
      <c r="E174" t="s">
        <v>44</v>
      </c>
      <c r="F174" t="s">
        <v>34</v>
      </c>
      <c r="G174" t="s">
        <v>35</v>
      </c>
      <c r="H174" t="s">
        <v>47</v>
      </c>
      <c r="I174" t="s">
        <v>111</v>
      </c>
      <c r="J174" t="s">
        <v>37</v>
      </c>
      <c r="K174" s="4">
        <v>46137</v>
      </c>
      <c r="L174" s="4">
        <v>46227</v>
      </c>
      <c r="M174" t="s">
        <v>38</v>
      </c>
      <c r="N174" t="s">
        <v>55</v>
      </c>
      <c r="O174">
        <v>2</v>
      </c>
      <c r="P174" t="s">
        <v>39</v>
      </c>
      <c r="Q174" s="4">
        <v>46393</v>
      </c>
      <c r="R174" t="s">
        <v>84</v>
      </c>
      <c r="S174" t="s">
        <v>38</v>
      </c>
      <c r="T174" t="s">
        <v>3153</v>
      </c>
      <c r="U174" t="s">
        <v>55</v>
      </c>
      <c r="V174" t="s">
        <v>3154</v>
      </c>
    </row>
    <row r="175" spans="1:22" x14ac:dyDescent="0.2">
      <c r="A175" t="s">
        <v>410</v>
      </c>
      <c r="B175" t="s">
        <v>411</v>
      </c>
      <c r="C175" t="s">
        <v>78</v>
      </c>
      <c r="D175" t="s">
        <v>79</v>
      </c>
      <c r="E175" t="s">
        <v>91</v>
      </c>
      <c r="F175" t="s">
        <v>45</v>
      </c>
      <c r="G175" t="s">
        <v>46</v>
      </c>
      <c r="H175" t="s">
        <v>36</v>
      </c>
      <c r="I175" t="s">
        <v>70</v>
      </c>
      <c r="J175" t="s">
        <v>63</v>
      </c>
      <c r="K175" s="4">
        <v>46122</v>
      </c>
      <c r="L175" s="4">
        <v>46212</v>
      </c>
      <c r="M175" t="s">
        <v>38</v>
      </c>
      <c r="N175" t="s">
        <v>49</v>
      </c>
      <c r="O175">
        <v>1</v>
      </c>
      <c r="P175" t="s">
        <v>106</v>
      </c>
      <c r="Q175" s="4">
        <v>46405</v>
      </c>
      <c r="R175" t="s">
        <v>84</v>
      </c>
      <c r="S175" t="s">
        <v>38</v>
      </c>
      <c r="T175" t="s">
        <v>3153</v>
      </c>
      <c r="U175" t="s">
        <v>49</v>
      </c>
      <c r="V175" t="s">
        <v>3152</v>
      </c>
    </row>
    <row r="176" spans="1:22" x14ac:dyDescent="0.2">
      <c r="A176" t="s">
        <v>412</v>
      </c>
      <c r="B176" t="s">
        <v>413</v>
      </c>
      <c r="C176" t="s">
        <v>73</v>
      </c>
      <c r="D176" t="s">
        <v>74</v>
      </c>
      <c r="E176" t="s">
        <v>91</v>
      </c>
      <c r="F176" t="s">
        <v>67</v>
      </c>
      <c r="G176" t="s">
        <v>68</v>
      </c>
      <c r="H176" t="s">
        <v>36</v>
      </c>
      <c r="I176" t="s">
        <v>106</v>
      </c>
      <c r="J176" t="s">
        <v>63</v>
      </c>
      <c r="K176" s="4">
        <v>46248</v>
      </c>
      <c r="L176" s="4">
        <v>46338</v>
      </c>
      <c r="M176" t="s">
        <v>64</v>
      </c>
      <c r="N176" t="s">
        <v>55</v>
      </c>
      <c r="O176">
        <v>2</v>
      </c>
      <c r="P176" t="s">
        <v>56</v>
      </c>
      <c r="Q176" s="4">
        <v>46318</v>
      </c>
      <c r="R176" t="s">
        <v>84</v>
      </c>
      <c r="S176" t="s">
        <v>3155</v>
      </c>
      <c r="T176" t="s">
        <v>3153</v>
      </c>
      <c r="U176" t="s">
        <v>55</v>
      </c>
      <c r="V176" t="s">
        <v>3152</v>
      </c>
    </row>
    <row r="177" spans="1:22" x14ac:dyDescent="0.2">
      <c r="A177" t="s">
        <v>414</v>
      </c>
      <c r="B177" t="s">
        <v>415</v>
      </c>
      <c r="C177" t="s">
        <v>42</v>
      </c>
      <c r="D177" t="s">
        <v>43</v>
      </c>
      <c r="E177" t="s">
        <v>44</v>
      </c>
      <c r="F177" t="s">
        <v>67</v>
      </c>
      <c r="G177" t="s">
        <v>118</v>
      </c>
      <c r="H177" t="s">
        <v>88</v>
      </c>
      <c r="I177" t="s">
        <v>62</v>
      </c>
      <c r="J177" t="s">
        <v>48</v>
      </c>
      <c r="K177" s="4">
        <v>46054</v>
      </c>
      <c r="L177" s="4">
        <v>46144</v>
      </c>
      <c r="M177" t="s">
        <v>38</v>
      </c>
      <c r="N177" t="s">
        <v>49</v>
      </c>
      <c r="O177">
        <v>3</v>
      </c>
      <c r="P177" t="s">
        <v>70</v>
      </c>
      <c r="Q177" s="4">
        <v>46158</v>
      </c>
      <c r="R177" t="s">
        <v>38</v>
      </c>
      <c r="S177" t="s">
        <v>38</v>
      </c>
      <c r="T177" t="s">
        <v>3153</v>
      </c>
      <c r="U177" t="s">
        <v>49</v>
      </c>
      <c r="V177" t="s">
        <v>3154</v>
      </c>
    </row>
    <row r="178" spans="1:22" x14ac:dyDescent="0.2">
      <c r="A178" t="s">
        <v>416</v>
      </c>
      <c r="B178" t="s">
        <v>417</v>
      </c>
      <c r="C178" t="s">
        <v>42</v>
      </c>
      <c r="D178" t="s">
        <v>43</v>
      </c>
      <c r="E178" t="s">
        <v>44</v>
      </c>
      <c r="F178" t="s">
        <v>45</v>
      </c>
      <c r="G178" t="s">
        <v>61</v>
      </c>
      <c r="H178" t="s">
        <v>88</v>
      </c>
      <c r="I178" t="s">
        <v>50</v>
      </c>
      <c r="J178" t="s">
        <v>37</v>
      </c>
      <c r="K178" s="4">
        <v>45897</v>
      </c>
      <c r="L178" s="4">
        <v>46077</v>
      </c>
      <c r="M178" t="s">
        <v>38</v>
      </c>
      <c r="N178" t="s">
        <v>75</v>
      </c>
      <c r="O178">
        <v>2</v>
      </c>
      <c r="P178" t="s">
        <v>56</v>
      </c>
      <c r="Q178" s="4">
        <v>46169</v>
      </c>
      <c r="R178" t="s">
        <v>64</v>
      </c>
      <c r="S178" t="s">
        <v>38</v>
      </c>
      <c r="T178" t="s">
        <v>3153</v>
      </c>
      <c r="U178" t="s">
        <v>75</v>
      </c>
      <c r="V178" t="s">
        <v>3154</v>
      </c>
    </row>
    <row r="179" spans="1:22" x14ac:dyDescent="0.2">
      <c r="A179" t="s">
        <v>418</v>
      </c>
      <c r="B179" t="s">
        <v>419</v>
      </c>
      <c r="C179" t="s">
        <v>73</v>
      </c>
      <c r="D179" t="s">
        <v>74</v>
      </c>
      <c r="E179" t="s">
        <v>105</v>
      </c>
      <c r="F179" t="s">
        <v>45</v>
      </c>
      <c r="G179" t="s">
        <v>46</v>
      </c>
      <c r="H179" t="s">
        <v>47</v>
      </c>
      <c r="I179" t="s">
        <v>111</v>
      </c>
      <c r="J179" t="s">
        <v>48</v>
      </c>
      <c r="K179" s="4">
        <v>45990</v>
      </c>
      <c r="L179" s="4">
        <v>46355</v>
      </c>
      <c r="M179" t="s">
        <v>64</v>
      </c>
      <c r="N179" t="s">
        <v>55</v>
      </c>
      <c r="O179">
        <v>0</v>
      </c>
      <c r="P179" t="s">
        <v>106</v>
      </c>
      <c r="Q179" s="4">
        <v>46160</v>
      </c>
      <c r="R179" t="s">
        <v>57</v>
      </c>
      <c r="S179" t="s">
        <v>3155</v>
      </c>
      <c r="T179" t="s">
        <v>3153</v>
      </c>
      <c r="U179" t="s">
        <v>55</v>
      </c>
      <c r="V179" t="s">
        <v>3154</v>
      </c>
    </row>
    <row r="180" spans="1:22" x14ac:dyDescent="0.2">
      <c r="A180" t="s">
        <v>420</v>
      </c>
      <c r="B180" t="s">
        <v>421</v>
      </c>
      <c r="C180" t="s">
        <v>42</v>
      </c>
      <c r="D180" t="s">
        <v>43</v>
      </c>
      <c r="E180" t="s">
        <v>53</v>
      </c>
      <c r="F180" t="s">
        <v>67</v>
      </c>
      <c r="G180" t="s">
        <v>68</v>
      </c>
      <c r="H180" t="s">
        <v>88</v>
      </c>
      <c r="I180" t="s">
        <v>70</v>
      </c>
      <c r="J180" t="s">
        <v>37</v>
      </c>
      <c r="K180" s="4">
        <v>45904</v>
      </c>
      <c r="L180" s="4">
        <v>46269</v>
      </c>
      <c r="M180" t="s">
        <v>38</v>
      </c>
      <c r="N180" t="s">
        <v>55</v>
      </c>
      <c r="O180">
        <v>1</v>
      </c>
      <c r="P180" t="s">
        <v>111</v>
      </c>
      <c r="Q180" s="4">
        <v>46309</v>
      </c>
      <c r="R180" t="s">
        <v>64</v>
      </c>
      <c r="S180" t="s">
        <v>38</v>
      </c>
      <c r="T180" t="s">
        <v>3153</v>
      </c>
      <c r="U180" t="s">
        <v>55</v>
      </c>
      <c r="V180" t="s">
        <v>3154</v>
      </c>
    </row>
    <row r="181" spans="1:22" x14ac:dyDescent="0.2">
      <c r="A181" t="s">
        <v>422</v>
      </c>
      <c r="B181" t="s">
        <v>423</v>
      </c>
      <c r="C181" t="s">
        <v>103</v>
      </c>
      <c r="D181" t="s">
        <v>104</v>
      </c>
      <c r="E181" t="s">
        <v>44</v>
      </c>
      <c r="F181" t="s">
        <v>45</v>
      </c>
      <c r="G181" t="s">
        <v>46</v>
      </c>
      <c r="H181" t="s">
        <v>88</v>
      </c>
      <c r="I181" t="s">
        <v>62</v>
      </c>
      <c r="J181" t="s">
        <v>48</v>
      </c>
      <c r="K181" s="4">
        <v>46122</v>
      </c>
      <c r="L181" s="4">
        <v>46302</v>
      </c>
      <c r="M181" t="s">
        <v>69</v>
      </c>
      <c r="N181" t="s">
        <v>75</v>
      </c>
      <c r="O181">
        <v>1</v>
      </c>
      <c r="P181" t="s">
        <v>50</v>
      </c>
      <c r="Q181" s="4">
        <v>46368</v>
      </c>
      <c r="R181" t="s">
        <v>84</v>
      </c>
      <c r="S181" t="s">
        <v>3155</v>
      </c>
      <c r="T181" t="s">
        <v>3153</v>
      </c>
      <c r="U181" t="s">
        <v>75</v>
      </c>
      <c r="V181" t="s">
        <v>3154</v>
      </c>
    </row>
    <row r="182" spans="1:22" x14ac:dyDescent="0.2">
      <c r="A182" t="s">
        <v>424</v>
      </c>
      <c r="B182" t="s">
        <v>425</v>
      </c>
      <c r="C182" t="s">
        <v>31</v>
      </c>
      <c r="D182" t="s">
        <v>83</v>
      </c>
      <c r="E182" t="s">
        <v>80</v>
      </c>
      <c r="F182" t="s">
        <v>67</v>
      </c>
      <c r="G182" t="s">
        <v>68</v>
      </c>
      <c r="H182" t="s">
        <v>88</v>
      </c>
      <c r="I182" t="s">
        <v>62</v>
      </c>
      <c r="J182" t="s">
        <v>37</v>
      </c>
      <c r="K182" s="4">
        <v>45864</v>
      </c>
      <c r="L182" s="4">
        <v>46044</v>
      </c>
      <c r="M182" t="s">
        <v>38</v>
      </c>
      <c r="N182" t="s">
        <v>75</v>
      </c>
      <c r="O182">
        <v>2</v>
      </c>
      <c r="P182" t="s">
        <v>54</v>
      </c>
      <c r="Q182" s="4">
        <v>46335</v>
      </c>
      <c r="R182" t="s">
        <v>84</v>
      </c>
      <c r="S182" t="s">
        <v>38</v>
      </c>
      <c r="T182" t="s">
        <v>3153</v>
      </c>
      <c r="U182" t="s">
        <v>75</v>
      </c>
      <c r="V182" t="s">
        <v>3154</v>
      </c>
    </row>
    <row r="183" spans="1:22" x14ac:dyDescent="0.2">
      <c r="A183" t="s">
        <v>426</v>
      </c>
      <c r="B183" t="s">
        <v>427</v>
      </c>
      <c r="C183" t="s">
        <v>78</v>
      </c>
      <c r="D183" t="s">
        <v>79</v>
      </c>
      <c r="E183" t="s">
        <v>44</v>
      </c>
      <c r="F183" t="s">
        <v>67</v>
      </c>
      <c r="G183" t="s">
        <v>118</v>
      </c>
      <c r="H183" t="s">
        <v>98</v>
      </c>
      <c r="I183" t="s">
        <v>106</v>
      </c>
      <c r="J183" t="s">
        <v>48</v>
      </c>
      <c r="K183" s="4">
        <v>46126</v>
      </c>
      <c r="L183" s="4">
        <v>46491</v>
      </c>
      <c r="M183" t="s">
        <v>69</v>
      </c>
      <c r="N183" t="s">
        <v>49</v>
      </c>
      <c r="O183">
        <v>1</v>
      </c>
      <c r="P183" t="s">
        <v>54</v>
      </c>
      <c r="Q183" s="4">
        <v>46281</v>
      </c>
      <c r="R183" t="s">
        <v>38</v>
      </c>
      <c r="S183" t="s">
        <v>3155</v>
      </c>
      <c r="T183" t="s">
        <v>3153</v>
      </c>
      <c r="U183" t="s">
        <v>49</v>
      </c>
      <c r="V183" t="s">
        <v>3152</v>
      </c>
    </row>
    <row r="184" spans="1:22" x14ac:dyDescent="0.2">
      <c r="A184" t="s">
        <v>428</v>
      </c>
      <c r="B184" t="s">
        <v>429</v>
      </c>
      <c r="C184" t="s">
        <v>31</v>
      </c>
      <c r="D184" t="s">
        <v>32</v>
      </c>
      <c r="E184" t="s">
        <v>91</v>
      </c>
      <c r="F184" t="s">
        <v>34</v>
      </c>
      <c r="G184" t="s">
        <v>35</v>
      </c>
      <c r="H184" t="s">
        <v>36</v>
      </c>
      <c r="I184" t="s">
        <v>39</v>
      </c>
      <c r="J184" t="s">
        <v>37</v>
      </c>
      <c r="K184" s="4">
        <v>45903</v>
      </c>
      <c r="L184" s="4">
        <v>46083</v>
      </c>
      <c r="M184" t="s">
        <v>38</v>
      </c>
      <c r="N184" t="s">
        <v>49</v>
      </c>
      <c r="O184">
        <v>1</v>
      </c>
      <c r="P184" t="s">
        <v>111</v>
      </c>
      <c r="Q184" s="4">
        <v>46339</v>
      </c>
      <c r="R184" t="s">
        <v>84</v>
      </c>
      <c r="S184" t="s">
        <v>38</v>
      </c>
      <c r="T184" t="s">
        <v>3153</v>
      </c>
      <c r="U184" t="s">
        <v>49</v>
      </c>
      <c r="V184" t="s">
        <v>3152</v>
      </c>
    </row>
    <row r="185" spans="1:22" x14ac:dyDescent="0.2">
      <c r="A185" t="s">
        <v>430</v>
      </c>
      <c r="B185" t="s">
        <v>431</v>
      </c>
      <c r="C185" t="s">
        <v>96</v>
      </c>
      <c r="D185" t="s">
        <v>97</v>
      </c>
      <c r="E185" t="s">
        <v>44</v>
      </c>
      <c r="F185" t="s">
        <v>45</v>
      </c>
      <c r="G185" t="s">
        <v>61</v>
      </c>
      <c r="H185" t="s">
        <v>47</v>
      </c>
      <c r="I185" t="s">
        <v>50</v>
      </c>
      <c r="J185" t="s">
        <v>37</v>
      </c>
      <c r="K185" s="4">
        <v>45909</v>
      </c>
      <c r="L185" s="4">
        <v>46089</v>
      </c>
      <c r="M185" t="s">
        <v>38</v>
      </c>
      <c r="N185" t="s">
        <v>75</v>
      </c>
      <c r="O185">
        <v>0</v>
      </c>
      <c r="P185" t="s">
        <v>62</v>
      </c>
      <c r="Q185" s="4">
        <v>46344</v>
      </c>
      <c r="R185" t="s">
        <v>57</v>
      </c>
      <c r="S185" t="s">
        <v>38</v>
      </c>
      <c r="T185" t="s">
        <v>3153</v>
      </c>
      <c r="U185" t="s">
        <v>75</v>
      </c>
      <c r="V185" t="s">
        <v>3154</v>
      </c>
    </row>
    <row r="186" spans="1:22" x14ac:dyDescent="0.2">
      <c r="A186" t="s">
        <v>432</v>
      </c>
      <c r="B186" t="s">
        <v>433</v>
      </c>
      <c r="C186" t="s">
        <v>78</v>
      </c>
      <c r="D186" t="s">
        <v>79</v>
      </c>
      <c r="E186" t="s">
        <v>53</v>
      </c>
      <c r="F186" t="s">
        <v>34</v>
      </c>
      <c r="G186" t="s">
        <v>35</v>
      </c>
      <c r="H186" t="s">
        <v>36</v>
      </c>
      <c r="I186" t="s">
        <v>70</v>
      </c>
      <c r="J186" t="s">
        <v>37</v>
      </c>
      <c r="K186" s="4">
        <v>46220</v>
      </c>
      <c r="L186" s="4">
        <v>46310</v>
      </c>
      <c r="M186" t="s">
        <v>69</v>
      </c>
      <c r="N186" t="s">
        <v>55</v>
      </c>
      <c r="O186">
        <v>5</v>
      </c>
      <c r="P186" t="s">
        <v>62</v>
      </c>
      <c r="Q186" s="4">
        <v>46137</v>
      </c>
      <c r="R186" t="s">
        <v>38</v>
      </c>
      <c r="S186" t="s">
        <v>3155</v>
      </c>
      <c r="T186" t="s">
        <v>3153</v>
      </c>
      <c r="U186" t="s">
        <v>55</v>
      </c>
      <c r="V186" t="s">
        <v>3152</v>
      </c>
    </row>
    <row r="187" spans="1:22" x14ac:dyDescent="0.2">
      <c r="A187" t="s">
        <v>434</v>
      </c>
      <c r="B187" t="s">
        <v>435</v>
      </c>
      <c r="C187" t="s">
        <v>31</v>
      </c>
      <c r="D187" t="s">
        <v>87</v>
      </c>
      <c r="E187" t="s">
        <v>105</v>
      </c>
      <c r="F187" t="s">
        <v>45</v>
      </c>
      <c r="G187" t="s">
        <v>46</v>
      </c>
      <c r="H187" t="s">
        <v>47</v>
      </c>
      <c r="I187" t="s">
        <v>54</v>
      </c>
      <c r="J187" t="s">
        <v>48</v>
      </c>
      <c r="K187" s="4">
        <v>46047</v>
      </c>
      <c r="L187" s="4">
        <v>46227</v>
      </c>
      <c r="M187" t="s">
        <v>38</v>
      </c>
      <c r="N187" t="s">
        <v>75</v>
      </c>
      <c r="O187">
        <v>3</v>
      </c>
      <c r="P187" t="s">
        <v>56</v>
      </c>
      <c r="Q187" s="4">
        <v>46371</v>
      </c>
      <c r="R187" t="s">
        <v>64</v>
      </c>
      <c r="S187" t="s">
        <v>38</v>
      </c>
      <c r="T187" t="s">
        <v>3153</v>
      </c>
      <c r="U187" t="s">
        <v>75</v>
      </c>
      <c r="V187" t="s">
        <v>3154</v>
      </c>
    </row>
    <row r="188" spans="1:22" x14ac:dyDescent="0.2">
      <c r="A188" t="s">
        <v>436</v>
      </c>
      <c r="B188" t="s">
        <v>437</v>
      </c>
      <c r="C188" t="s">
        <v>73</v>
      </c>
      <c r="D188" t="s">
        <v>74</v>
      </c>
      <c r="E188" t="s">
        <v>105</v>
      </c>
      <c r="F188" t="s">
        <v>67</v>
      </c>
      <c r="G188" t="s">
        <v>68</v>
      </c>
      <c r="H188" t="s">
        <v>36</v>
      </c>
      <c r="I188" t="s">
        <v>50</v>
      </c>
      <c r="J188" t="s">
        <v>48</v>
      </c>
      <c r="K188" s="4">
        <v>46097</v>
      </c>
      <c r="L188" s="4">
        <v>46277</v>
      </c>
      <c r="M188" t="s">
        <v>38</v>
      </c>
      <c r="N188" t="s">
        <v>75</v>
      </c>
      <c r="O188">
        <v>3</v>
      </c>
      <c r="P188" t="s">
        <v>111</v>
      </c>
      <c r="Q188" s="4">
        <v>46220</v>
      </c>
      <c r="R188" t="s">
        <v>38</v>
      </c>
      <c r="S188" t="s">
        <v>38</v>
      </c>
      <c r="T188" t="s">
        <v>3153</v>
      </c>
      <c r="U188" t="s">
        <v>75</v>
      </c>
      <c r="V188" t="s">
        <v>3152</v>
      </c>
    </row>
    <row r="189" spans="1:22" x14ac:dyDescent="0.2">
      <c r="A189" t="s">
        <v>438</v>
      </c>
      <c r="B189" t="s">
        <v>439</v>
      </c>
      <c r="C189" t="s">
        <v>31</v>
      </c>
      <c r="D189" t="s">
        <v>32</v>
      </c>
      <c r="E189" t="s">
        <v>53</v>
      </c>
      <c r="F189" t="s">
        <v>34</v>
      </c>
      <c r="G189" t="s">
        <v>35</v>
      </c>
      <c r="H189" t="s">
        <v>47</v>
      </c>
      <c r="I189" t="s">
        <v>39</v>
      </c>
      <c r="J189" t="s">
        <v>48</v>
      </c>
      <c r="K189" s="4">
        <v>45861</v>
      </c>
      <c r="L189" s="4">
        <v>46226</v>
      </c>
      <c r="M189" t="s">
        <v>38</v>
      </c>
      <c r="N189" t="s">
        <v>55</v>
      </c>
      <c r="O189">
        <v>0</v>
      </c>
      <c r="P189" t="s">
        <v>54</v>
      </c>
      <c r="Q189" s="4">
        <v>46290</v>
      </c>
      <c r="R189" t="s">
        <v>57</v>
      </c>
      <c r="S189" t="s">
        <v>38</v>
      </c>
      <c r="T189" t="s">
        <v>3153</v>
      </c>
      <c r="U189" t="s">
        <v>55</v>
      </c>
      <c r="V189" t="s">
        <v>3154</v>
      </c>
    </row>
    <row r="190" spans="1:22" x14ac:dyDescent="0.2">
      <c r="A190" t="s">
        <v>440</v>
      </c>
      <c r="B190" t="s">
        <v>441</v>
      </c>
      <c r="C190" t="s">
        <v>31</v>
      </c>
      <c r="D190" t="s">
        <v>83</v>
      </c>
      <c r="E190" t="s">
        <v>60</v>
      </c>
      <c r="F190" t="s">
        <v>34</v>
      </c>
      <c r="G190" t="s">
        <v>35</v>
      </c>
      <c r="H190" t="s">
        <v>47</v>
      </c>
      <c r="J190" t="s">
        <v>63</v>
      </c>
      <c r="K190" s="4">
        <v>45989</v>
      </c>
      <c r="L190" s="4">
        <v>46169</v>
      </c>
      <c r="M190" t="s">
        <v>38</v>
      </c>
      <c r="N190" t="s">
        <v>75</v>
      </c>
      <c r="O190">
        <v>1</v>
      </c>
      <c r="P190" t="s">
        <v>62</v>
      </c>
      <c r="Q190" s="4">
        <v>46322</v>
      </c>
      <c r="R190" t="s">
        <v>84</v>
      </c>
      <c r="S190" t="s">
        <v>38</v>
      </c>
      <c r="T190" t="s">
        <v>3150</v>
      </c>
      <c r="U190" t="s">
        <v>75</v>
      </c>
      <c r="V190" t="s">
        <v>3154</v>
      </c>
    </row>
    <row r="191" spans="1:22" x14ac:dyDescent="0.2">
      <c r="A191" t="s">
        <v>442</v>
      </c>
      <c r="B191" t="s">
        <v>443</v>
      </c>
      <c r="C191" t="s">
        <v>31</v>
      </c>
      <c r="D191" t="s">
        <v>32</v>
      </c>
      <c r="E191" t="s">
        <v>91</v>
      </c>
      <c r="F191" t="s">
        <v>67</v>
      </c>
      <c r="G191" t="s">
        <v>68</v>
      </c>
      <c r="H191" t="s">
        <v>88</v>
      </c>
      <c r="I191" t="s">
        <v>54</v>
      </c>
      <c r="J191" t="s">
        <v>48</v>
      </c>
      <c r="K191" s="4">
        <v>46045</v>
      </c>
      <c r="L191" s="4">
        <v>46410</v>
      </c>
      <c r="M191" t="s">
        <v>64</v>
      </c>
      <c r="N191" t="s">
        <v>55</v>
      </c>
      <c r="O191">
        <v>1</v>
      </c>
      <c r="P191" t="s">
        <v>50</v>
      </c>
      <c r="Q191" s="4">
        <v>46220</v>
      </c>
      <c r="R191" t="s">
        <v>64</v>
      </c>
      <c r="S191" t="s">
        <v>3155</v>
      </c>
      <c r="T191" t="s">
        <v>3153</v>
      </c>
      <c r="U191" t="s">
        <v>55</v>
      </c>
      <c r="V191" t="s">
        <v>3154</v>
      </c>
    </row>
    <row r="192" spans="1:22" x14ac:dyDescent="0.2">
      <c r="A192" t="s">
        <v>444</v>
      </c>
      <c r="B192" t="s">
        <v>445</v>
      </c>
      <c r="C192" t="s">
        <v>31</v>
      </c>
      <c r="D192" t="s">
        <v>32</v>
      </c>
      <c r="E192" t="s">
        <v>44</v>
      </c>
      <c r="F192" t="s">
        <v>67</v>
      </c>
      <c r="G192" t="s">
        <v>118</v>
      </c>
      <c r="H192" t="s">
        <v>88</v>
      </c>
      <c r="I192" t="s">
        <v>56</v>
      </c>
      <c r="J192" t="s">
        <v>37</v>
      </c>
      <c r="K192" s="4">
        <v>45932</v>
      </c>
      <c r="L192" s="4">
        <v>46112</v>
      </c>
      <c r="M192" t="s">
        <v>38</v>
      </c>
      <c r="N192" t="s">
        <v>49</v>
      </c>
      <c r="O192">
        <v>2</v>
      </c>
      <c r="P192" t="s">
        <v>111</v>
      </c>
      <c r="Q192" s="4">
        <v>46313</v>
      </c>
      <c r="R192" t="s">
        <v>84</v>
      </c>
      <c r="S192" t="s">
        <v>38</v>
      </c>
      <c r="T192" t="s">
        <v>3153</v>
      </c>
      <c r="U192" t="s">
        <v>49</v>
      </c>
      <c r="V192" t="s">
        <v>3154</v>
      </c>
    </row>
    <row r="193" spans="1:22" x14ac:dyDescent="0.2">
      <c r="A193" t="s">
        <v>446</v>
      </c>
      <c r="B193" t="s">
        <v>447</v>
      </c>
      <c r="C193" t="s">
        <v>73</v>
      </c>
      <c r="D193" t="s">
        <v>74</v>
      </c>
      <c r="E193" t="s">
        <v>91</v>
      </c>
      <c r="F193" t="s">
        <v>34</v>
      </c>
      <c r="G193" t="s">
        <v>35</v>
      </c>
      <c r="H193" t="s">
        <v>36</v>
      </c>
      <c r="I193" t="s">
        <v>56</v>
      </c>
      <c r="J193" t="s">
        <v>48</v>
      </c>
      <c r="K193" s="4">
        <v>45805</v>
      </c>
      <c r="L193" s="4">
        <v>46170</v>
      </c>
      <c r="M193" t="s">
        <v>38</v>
      </c>
      <c r="N193" t="s">
        <v>49</v>
      </c>
      <c r="O193">
        <v>0</v>
      </c>
      <c r="P193" t="s">
        <v>56</v>
      </c>
      <c r="Q193" s="4">
        <v>46183</v>
      </c>
      <c r="R193" t="s">
        <v>57</v>
      </c>
      <c r="S193" t="s">
        <v>38</v>
      </c>
      <c r="T193" t="s">
        <v>3153</v>
      </c>
      <c r="U193" t="s">
        <v>49</v>
      </c>
      <c r="V193" t="s">
        <v>3152</v>
      </c>
    </row>
    <row r="194" spans="1:22" x14ac:dyDescent="0.2">
      <c r="A194" t="s">
        <v>448</v>
      </c>
      <c r="B194" t="s">
        <v>449</v>
      </c>
      <c r="C194" t="s">
        <v>31</v>
      </c>
      <c r="D194" t="s">
        <v>83</v>
      </c>
      <c r="E194" t="s">
        <v>53</v>
      </c>
      <c r="F194" t="s">
        <v>45</v>
      </c>
      <c r="G194" t="s">
        <v>46</v>
      </c>
      <c r="H194" t="s">
        <v>88</v>
      </c>
      <c r="I194" t="s">
        <v>62</v>
      </c>
      <c r="J194" t="s">
        <v>48</v>
      </c>
      <c r="K194" s="4">
        <v>46061</v>
      </c>
      <c r="L194" s="4">
        <v>46426</v>
      </c>
      <c r="M194" t="s">
        <v>64</v>
      </c>
      <c r="N194" t="s">
        <v>75</v>
      </c>
      <c r="O194">
        <v>3</v>
      </c>
      <c r="P194" t="s">
        <v>111</v>
      </c>
      <c r="Q194" s="4">
        <v>46210</v>
      </c>
      <c r="R194" t="s">
        <v>38</v>
      </c>
      <c r="S194" t="s">
        <v>3155</v>
      </c>
      <c r="T194" t="s">
        <v>3153</v>
      </c>
      <c r="U194" t="s">
        <v>75</v>
      </c>
      <c r="V194" t="s">
        <v>3154</v>
      </c>
    </row>
    <row r="195" spans="1:22" x14ac:dyDescent="0.2">
      <c r="A195" t="s">
        <v>450</v>
      </c>
      <c r="B195" t="s">
        <v>451</v>
      </c>
      <c r="C195" t="s">
        <v>31</v>
      </c>
      <c r="D195" t="s">
        <v>83</v>
      </c>
      <c r="E195" t="s">
        <v>44</v>
      </c>
      <c r="F195" t="s">
        <v>67</v>
      </c>
      <c r="G195" t="s">
        <v>68</v>
      </c>
      <c r="H195" t="s">
        <v>88</v>
      </c>
      <c r="I195" t="s">
        <v>111</v>
      </c>
      <c r="J195" t="s">
        <v>37</v>
      </c>
      <c r="K195" s="4">
        <v>45958</v>
      </c>
      <c r="L195" s="4">
        <v>46048</v>
      </c>
      <c r="M195" t="s">
        <v>38</v>
      </c>
      <c r="N195" t="s">
        <v>75</v>
      </c>
      <c r="O195">
        <v>0</v>
      </c>
      <c r="P195" t="s">
        <v>111</v>
      </c>
      <c r="Q195" s="4">
        <v>46363</v>
      </c>
      <c r="R195" t="s">
        <v>57</v>
      </c>
      <c r="S195" t="s">
        <v>38</v>
      </c>
      <c r="T195" t="s">
        <v>3153</v>
      </c>
      <c r="U195" t="s">
        <v>75</v>
      </c>
      <c r="V195" t="s">
        <v>3154</v>
      </c>
    </row>
    <row r="196" spans="1:22" x14ac:dyDescent="0.2">
      <c r="A196" t="s">
        <v>452</v>
      </c>
      <c r="B196" t="s">
        <v>453</v>
      </c>
      <c r="C196" t="s">
        <v>103</v>
      </c>
      <c r="D196" t="s">
        <v>104</v>
      </c>
      <c r="E196" t="s">
        <v>80</v>
      </c>
      <c r="F196" t="s">
        <v>67</v>
      </c>
      <c r="G196" t="s">
        <v>118</v>
      </c>
      <c r="H196" t="s">
        <v>36</v>
      </c>
      <c r="I196" t="s">
        <v>111</v>
      </c>
      <c r="J196" t="s">
        <v>48</v>
      </c>
      <c r="K196" s="4">
        <v>46025</v>
      </c>
      <c r="L196" s="4">
        <v>46115</v>
      </c>
      <c r="M196" t="s">
        <v>38</v>
      </c>
      <c r="N196" t="s">
        <v>55</v>
      </c>
      <c r="O196">
        <v>4</v>
      </c>
      <c r="P196" t="s">
        <v>56</v>
      </c>
      <c r="Q196" s="4">
        <v>46130</v>
      </c>
      <c r="R196" t="s">
        <v>38</v>
      </c>
      <c r="S196" t="s">
        <v>38</v>
      </c>
      <c r="T196" t="s">
        <v>3153</v>
      </c>
      <c r="U196" t="s">
        <v>55</v>
      </c>
      <c r="V196" t="s">
        <v>3152</v>
      </c>
    </row>
    <row r="197" spans="1:22" x14ac:dyDescent="0.2">
      <c r="A197" t="s">
        <v>454</v>
      </c>
      <c r="B197" t="s">
        <v>455</v>
      </c>
      <c r="C197" t="s">
        <v>73</v>
      </c>
      <c r="D197" t="s">
        <v>74</v>
      </c>
      <c r="E197" t="s">
        <v>44</v>
      </c>
      <c r="F197" t="s">
        <v>45</v>
      </c>
      <c r="G197" t="s">
        <v>61</v>
      </c>
      <c r="H197" t="s">
        <v>36</v>
      </c>
      <c r="I197" t="s">
        <v>111</v>
      </c>
      <c r="J197" t="s">
        <v>48</v>
      </c>
      <c r="K197" s="4">
        <v>45994</v>
      </c>
      <c r="L197" s="4">
        <v>46359</v>
      </c>
      <c r="M197" t="s">
        <v>64</v>
      </c>
      <c r="N197" t="s">
        <v>55</v>
      </c>
      <c r="O197">
        <v>2</v>
      </c>
      <c r="P197" t="s">
        <v>111</v>
      </c>
      <c r="Q197" s="4">
        <v>46393</v>
      </c>
      <c r="R197" t="s">
        <v>84</v>
      </c>
      <c r="S197" t="s">
        <v>3155</v>
      </c>
      <c r="T197" t="s">
        <v>3153</v>
      </c>
      <c r="U197" t="s">
        <v>55</v>
      </c>
      <c r="V197" t="s">
        <v>3152</v>
      </c>
    </row>
    <row r="198" spans="1:22" x14ac:dyDescent="0.2">
      <c r="A198" t="s">
        <v>456</v>
      </c>
      <c r="B198" t="s">
        <v>457</v>
      </c>
      <c r="C198" t="s">
        <v>31</v>
      </c>
      <c r="D198" t="s">
        <v>32</v>
      </c>
      <c r="E198" t="s">
        <v>80</v>
      </c>
      <c r="F198" t="s">
        <v>34</v>
      </c>
      <c r="G198" t="s">
        <v>35</v>
      </c>
      <c r="H198" t="s">
        <v>47</v>
      </c>
      <c r="I198" t="s">
        <v>54</v>
      </c>
      <c r="J198" t="s">
        <v>48</v>
      </c>
      <c r="K198" s="4">
        <v>46123</v>
      </c>
      <c r="L198" s="4">
        <v>46213</v>
      </c>
      <c r="M198" t="s">
        <v>38</v>
      </c>
      <c r="N198" t="s">
        <v>75</v>
      </c>
      <c r="O198">
        <v>2</v>
      </c>
      <c r="P198" t="s">
        <v>54</v>
      </c>
      <c r="Q198" s="4">
        <v>46293</v>
      </c>
      <c r="R198" t="s">
        <v>38</v>
      </c>
      <c r="S198" t="s">
        <v>38</v>
      </c>
      <c r="T198" t="s">
        <v>3153</v>
      </c>
      <c r="U198" t="s">
        <v>75</v>
      </c>
      <c r="V198" t="s">
        <v>3154</v>
      </c>
    </row>
    <row r="199" spans="1:22" x14ac:dyDescent="0.2">
      <c r="A199" t="s">
        <v>458</v>
      </c>
      <c r="B199" t="s">
        <v>459</v>
      </c>
      <c r="C199" t="s">
        <v>42</v>
      </c>
      <c r="D199" t="s">
        <v>43</v>
      </c>
      <c r="E199" t="s">
        <v>91</v>
      </c>
      <c r="F199" t="s">
        <v>45</v>
      </c>
      <c r="G199" t="s">
        <v>61</v>
      </c>
      <c r="H199" t="s">
        <v>88</v>
      </c>
      <c r="I199" t="s">
        <v>62</v>
      </c>
      <c r="J199" t="s">
        <v>63</v>
      </c>
      <c r="K199" s="4">
        <v>46191</v>
      </c>
      <c r="L199" s="4">
        <v>46556</v>
      </c>
      <c r="M199" t="s">
        <v>64</v>
      </c>
      <c r="N199" t="s">
        <v>55</v>
      </c>
      <c r="O199">
        <v>1</v>
      </c>
      <c r="P199" t="s">
        <v>50</v>
      </c>
      <c r="Q199" s="4">
        <v>46145</v>
      </c>
      <c r="R199" t="s">
        <v>38</v>
      </c>
      <c r="S199" t="s">
        <v>3155</v>
      </c>
      <c r="T199" t="s">
        <v>3153</v>
      </c>
      <c r="U199" t="s">
        <v>55</v>
      </c>
      <c r="V199" t="s">
        <v>3154</v>
      </c>
    </row>
    <row r="200" spans="1:22" x14ac:dyDescent="0.2">
      <c r="A200" t="s">
        <v>460</v>
      </c>
      <c r="B200" t="s">
        <v>461</v>
      </c>
      <c r="C200" t="s">
        <v>73</v>
      </c>
      <c r="D200" t="s">
        <v>74</v>
      </c>
      <c r="E200" t="s">
        <v>53</v>
      </c>
      <c r="F200" t="s">
        <v>67</v>
      </c>
      <c r="G200" t="s">
        <v>118</v>
      </c>
      <c r="H200" t="s">
        <v>88</v>
      </c>
      <c r="I200" t="s">
        <v>70</v>
      </c>
      <c r="J200" t="s">
        <v>48</v>
      </c>
      <c r="K200" s="4">
        <v>46206</v>
      </c>
      <c r="L200" s="4">
        <v>46386</v>
      </c>
      <c r="M200" t="s">
        <v>69</v>
      </c>
      <c r="N200" t="s">
        <v>49</v>
      </c>
      <c r="O200">
        <v>1</v>
      </c>
      <c r="P200" t="s">
        <v>62</v>
      </c>
      <c r="Q200" s="4">
        <v>46182</v>
      </c>
      <c r="R200" t="s">
        <v>64</v>
      </c>
      <c r="S200" t="s">
        <v>3155</v>
      </c>
      <c r="T200" t="s">
        <v>3153</v>
      </c>
      <c r="U200" t="s">
        <v>49</v>
      </c>
      <c r="V200" t="s">
        <v>3154</v>
      </c>
    </row>
    <row r="201" spans="1:22" x14ac:dyDescent="0.2">
      <c r="A201" t="s">
        <v>462</v>
      </c>
      <c r="B201" t="s">
        <v>463</v>
      </c>
      <c r="C201" t="s">
        <v>42</v>
      </c>
      <c r="D201" t="s">
        <v>43</v>
      </c>
      <c r="E201" t="s">
        <v>60</v>
      </c>
      <c r="F201" t="s">
        <v>67</v>
      </c>
      <c r="G201" t="s">
        <v>68</v>
      </c>
      <c r="H201" t="s">
        <v>88</v>
      </c>
      <c r="I201" t="s">
        <v>62</v>
      </c>
      <c r="J201" t="s">
        <v>37</v>
      </c>
      <c r="K201" s="4">
        <v>46083</v>
      </c>
      <c r="L201" s="4">
        <v>46263</v>
      </c>
      <c r="M201" t="s">
        <v>38</v>
      </c>
      <c r="N201" t="s">
        <v>55</v>
      </c>
      <c r="O201">
        <v>0</v>
      </c>
      <c r="P201" t="s">
        <v>111</v>
      </c>
      <c r="Q201" s="4">
        <v>46321</v>
      </c>
      <c r="R201" t="s">
        <v>57</v>
      </c>
      <c r="S201" t="s">
        <v>38</v>
      </c>
      <c r="T201" t="s">
        <v>3153</v>
      </c>
      <c r="U201" t="s">
        <v>55</v>
      </c>
      <c r="V201" t="s">
        <v>3154</v>
      </c>
    </row>
    <row r="202" spans="1:22" x14ac:dyDescent="0.2">
      <c r="A202" t="s">
        <v>464</v>
      </c>
      <c r="B202" t="s">
        <v>465</v>
      </c>
      <c r="C202" t="s">
        <v>78</v>
      </c>
      <c r="D202" t="s">
        <v>79</v>
      </c>
      <c r="E202" t="s">
        <v>60</v>
      </c>
      <c r="F202" t="s">
        <v>67</v>
      </c>
      <c r="G202" t="s">
        <v>118</v>
      </c>
      <c r="H202" t="s">
        <v>47</v>
      </c>
      <c r="I202" t="s">
        <v>70</v>
      </c>
      <c r="J202" t="s">
        <v>37</v>
      </c>
      <c r="K202" s="4">
        <v>45901</v>
      </c>
      <c r="L202" s="4">
        <v>46081</v>
      </c>
      <c r="M202" t="s">
        <v>38</v>
      </c>
      <c r="N202" t="s">
        <v>49</v>
      </c>
      <c r="O202">
        <v>2</v>
      </c>
      <c r="P202" t="s">
        <v>54</v>
      </c>
      <c r="Q202" s="4">
        <v>46147</v>
      </c>
      <c r="R202" t="s">
        <v>38</v>
      </c>
      <c r="S202" t="s">
        <v>38</v>
      </c>
      <c r="T202" t="s">
        <v>3153</v>
      </c>
      <c r="U202" t="s">
        <v>49</v>
      </c>
      <c r="V202" t="s">
        <v>3154</v>
      </c>
    </row>
    <row r="203" spans="1:22" x14ac:dyDescent="0.2">
      <c r="A203" t="s">
        <v>466</v>
      </c>
      <c r="B203" t="s">
        <v>467</v>
      </c>
      <c r="C203" t="s">
        <v>96</v>
      </c>
      <c r="D203" t="s">
        <v>97</v>
      </c>
      <c r="E203" t="s">
        <v>53</v>
      </c>
      <c r="F203" t="s">
        <v>67</v>
      </c>
      <c r="G203" t="s">
        <v>118</v>
      </c>
      <c r="H203" t="s">
        <v>36</v>
      </c>
      <c r="I203" t="s">
        <v>106</v>
      </c>
      <c r="J203" t="s">
        <v>48</v>
      </c>
      <c r="K203" s="4">
        <v>45995</v>
      </c>
      <c r="L203" s="4">
        <v>46360</v>
      </c>
      <c r="M203" t="s">
        <v>64</v>
      </c>
      <c r="N203" t="s">
        <v>75</v>
      </c>
      <c r="O203">
        <v>2</v>
      </c>
      <c r="P203" t="s">
        <v>50</v>
      </c>
      <c r="Q203" s="4">
        <v>46139</v>
      </c>
      <c r="R203" t="s">
        <v>64</v>
      </c>
      <c r="S203" t="s">
        <v>3155</v>
      </c>
      <c r="T203" t="s">
        <v>3153</v>
      </c>
      <c r="U203" t="s">
        <v>75</v>
      </c>
      <c r="V203" t="s">
        <v>3152</v>
      </c>
    </row>
    <row r="204" spans="1:22" x14ac:dyDescent="0.2">
      <c r="A204" t="s">
        <v>468</v>
      </c>
      <c r="B204" t="s">
        <v>469</v>
      </c>
      <c r="C204" t="s">
        <v>42</v>
      </c>
      <c r="D204" t="s">
        <v>43</v>
      </c>
      <c r="E204" t="s">
        <v>105</v>
      </c>
      <c r="F204" t="s">
        <v>67</v>
      </c>
      <c r="G204" t="s">
        <v>118</v>
      </c>
      <c r="H204" t="s">
        <v>98</v>
      </c>
      <c r="I204" t="s">
        <v>62</v>
      </c>
      <c r="J204" t="s">
        <v>37</v>
      </c>
      <c r="K204" s="4">
        <v>46172</v>
      </c>
      <c r="L204" s="4">
        <v>46537</v>
      </c>
      <c r="M204" t="s">
        <v>69</v>
      </c>
      <c r="N204" t="s">
        <v>55</v>
      </c>
      <c r="O204">
        <v>2</v>
      </c>
      <c r="P204" t="s">
        <v>50</v>
      </c>
      <c r="Q204" s="4">
        <v>46162</v>
      </c>
      <c r="R204" t="s">
        <v>38</v>
      </c>
      <c r="S204" t="s">
        <v>3155</v>
      </c>
      <c r="T204" t="s">
        <v>3153</v>
      </c>
      <c r="U204" t="s">
        <v>55</v>
      </c>
      <c r="V204" t="s">
        <v>3152</v>
      </c>
    </row>
    <row r="205" spans="1:22" x14ac:dyDescent="0.2">
      <c r="A205" t="s">
        <v>470</v>
      </c>
      <c r="B205" t="s">
        <v>471</v>
      </c>
      <c r="C205" t="s">
        <v>96</v>
      </c>
      <c r="D205" t="s">
        <v>97</v>
      </c>
      <c r="E205" t="s">
        <v>91</v>
      </c>
      <c r="F205" t="s">
        <v>45</v>
      </c>
      <c r="G205" t="s">
        <v>61</v>
      </c>
      <c r="H205" t="s">
        <v>88</v>
      </c>
      <c r="I205" t="s">
        <v>54</v>
      </c>
      <c r="J205" t="s">
        <v>48</v>
      </c>
      <c r="K205" s="4">
        <v>46056</v>
      </c>
      <c r="L205" s="4">
        <v>46421</v>
      </c>
      <c r="M205" t="s">
        <v>64</v>
      </c>
      <c r="N205" t="s">
        <v>55</v>
      </c>
      <c r="O205">
        <v>0</v>
      </c>
      <c r="P205" t="s">
        <v>54</v>
      </c>
      <c r="Q205" s="4">
        <v>46224</v>
      </c>
      <c r="R205" t="s">
        <v>57</v>
      </c>
      <c r="S205" t="s">
        <v>3155</v>
      </c>
      <c r="T205" t="s">
        <v>3153</v>
      </c>
      <c r="U205" t="s">
        <v>55</v>
      </c>
      <c r="V205" t="s">
        <v>3154</v>
      </c>
    </row>
    <row r="206" spans="1:22" x14ac:dyDescent="0.2">
      <c r="A206" t="s">
        <v>472</v>
      </c>
      <c r="B206" t="s">
        <v>473</v>
      </c>
      <c r="C206" t="s">
        <v>78</v>
      </c>
      <c r="D206" t="s">
        <v>79</v>
      </c>
      <c r="E206" t="s">
        <v>105</v>
      </c>
      <c r="F206" t="s">
        <v>34</v>
      </c>
      <c r="G206" t="s">
        <v>35</v>
      </c>
      <c r="H206" t="s">
        <v>47</v>
      </c>
      <c r="I206" t="s">
        <v>106</v>
      </c>
      <c r="J206" t="s">
        <v>63</v>
      </c>
      <c r="K206" s="4">
        <v>45857</v>
      </c>
      <c r="L206" s="4">
        <v>45947</v>
      </c>
      <c r="M206" t="s">
        <v>38</v>
      </c>
      <c r="N206" t="s">
        <v>75</v>
      </c>
      <c r="O206">
        <v>1</v>
      </c>
      <c r="P206" t="s">
        <v>70</v>
      </c>
      <c r="Q206" s="4">
        <v>46359</v>
      </c>
      <c r="R206" t="s">
        <v>64</v>
      </c>
      <c r="S206" t="s">
        <v>38</v>
      </c>
      <c r="T206" t="s">
        <v>3153</v>
      </c>
      <c r="U206" t="s">
        <v>75</v>
      </c>
      <c r="V206" t="s">
        <v>3154</v>
      </c>
    </row>
    <row r="207" spans="1:22" x14ac:dyDescent="0.2">
      <c r="A207" t="s">
        <v>474</v>
      </c>
      <c r="B207" t="s">
        <v>475</v>
      </c>
      <c r="C207" t="s">
        <v>31</v>
      </c>
      <c r="D207" t="s">
        <v>87</v>
      </c>
      <c r="E207" t="s">
        <v>53</v>
      </c>
      <c r="F207" t="s">
        <v>45</v>
      </c>
      <c r="G207" t="s">
        <v>61</v>
      </c>
      <c r="H207" t="s">
        <v>36</v>
      </c>
      <c r="I207" t="s">
        <v>50</v>
      </c>
      <c r="J207" t="s">
        <v>63</v>
      </c>
      <c r="K207" s="4">
        <v>46080</v>
      </c>
      <c r="L207" s="4">
        <v>46170</v>
      </c>
      <c r="M207" t="s">
        <v>38</v>
      </c>
      <c r="N207" t="s">
        <v>49</v>
      </c>
      <c r="O207">
        <v>5</v>
      </c>
      <c r="P207" t="s">
        <v>50</v>
      </c>
      <c r="Q207" s="4">
        <v>46188</v>
      </c>
      <c r="R207" t="s">
        <v>64</v>
      </c>
      <c r="S207" t="s">
        <v>38</v>
      </c>
      <c r="T207" t="s">
        <v>3153</v>
      </c>
      <c r="U207" t="s">
        <v>49</v>
      </c>
      <c r="V207" t="s">
        <v>3152</v>
      </c>
    </row>
    <row r="208" spans="1:22" x14ac:dyDescent="0.2">
      <c r="A208" t="s">
        <v>476</v>
      </c>
      <c r="B208" t="s">
        <v>477</v>
      </c>
      <c r="C208" t="s">
        <v>31</v>
      </c>
      <c r="D208" t="s">
        <v>32</v>
      </c>
      <c r="E208" t="s">
        <v>91</v>
      </c>
      <c r="F208" t="s">
        <v>67</v>
      </c>
      <c r="G208" t="s">
        <v>118</v>
      </c>
      <c r="H208" t="s">
        <v>47</v>
      </c>
      <c r="I208" t="s">
        <v>50</v>
      </c>
      <c r="J208" t="s">
        <v>48</v>
      </c>
      <c r="K208" s="4">
        <v>45805</v>
      </c>
      <c r="L208" s="4">
        <v>45985</v>
      </c>
      <c r="M208" t="s">
        <v>38</v>
      </c>
      <c r="N208" t="s">
        <v>49</v>
      </c>
      <c r="O208">
        <v>3</v>
      </c>
      <c r="P208" t="s">
        <v>62</v>
      </c>
      <c r="Q208" s="4">
        <v>46226</v>
      </c>
      <c r="R208" t="s">
        <v>64</v>
      </c>
      <c r="S208" t="s">
        <v>38</v>
      </c>
      <c r="T208" t="s">
        <v>3153</v>
      </c>
      <c r="U208" t="s">
        <v>49</v>
      </c>
      <c r="V208" t="s">
        <v>3154</v>
      </c>
    </row>
    <row r="209" spans="1:22" x14ac:dyDescent="0.2">
      <c r="A209" t="s">
        <v>478</v>
      </c>
      <c r="B209" t="s">
        <v>479</v>
      </c>
      <c r="C209" t="s">
        <v>31</v>
      </c>
      <c r="D209" t="s">
        <v>87</v>
      </c>
      <c r="E209" t="s">
        <v>53</v>
      </c>
      <c r="F209" t="s">
        <v>67</v>
      </c>
      <c r="G209" t="s">
        <v>118</v>
      </c>
      <c r="H209" t="s">
        <v>36</v>
      </c>
      <c r="I209" t="s">
        <v>54</v>
      </c>
      <c r="J209" t="s">
        <v>63</v>
      </c>
      <c r="K209" s="4">
        <v>46134</v>
      </c>
      <c r="L209" s="4">
        <v>46499</v>
      </c>
      <c r="M209" t="s">
        <v>64</v>
      </c>
      <c r="N209" t="s">
        <v>49</v>
      </c>
      <c r="O209">
        <v>4</v>
      </c>
      <c r="P209" t="s">
        <v>56</v>
      </c>
      <c r="Q209" s="4">
        <v>46260</v>
      </c>
      <c r="R209" t="s">
        <v>38</v>
      </c>
      <c r="S209" t="s">
        <v>3155</v>
      </c>
      <c r="T209" t="s">
        <v>3153</v>
      </c>
      <c r="U209" t="s">
        <v>49</v>
      </c>
      <c r="V209" t="s">
        <v>3152</v>
      </c>
    </row>
    <row r="210" spans="1:22" x14ac:dyDescent="0.2">
      <c r="A210" t="s">
        <v>480</v>
      </c>
      <c r="B210" t="s">
        <v>481</v>
      </c>
      <c r="C210" t="s">
        <v>31</v>
      </c>
      <c r="D210" t="s">
        <v>32</v>
      </c>
      <c r="E210" t="s">
        <v>91</v>
      </c>
      <c r="F210" t="s">
        <v>45</v>
      </c>
      <c r="G210" t="s">
        <v>46</v>
      </c>
      <c r="H210" t="s">
        <v>88</v>
      </c>
      <c r="I210" t="s">
        <v>39</v>
      </c>
      <c r="J210" t="s">
        <v>48</v>
      </c>
      <c r="K210" s="4">
        <v>45874</v>
      </c>
      <c r="L210" s="4">
        <v>45964</v>
      </c>
      <c r="M210" t="s">
        <v>38</v>
      </c>
      <c r="N210" t="s">
        <v>75</v>
      </c>
      <c r="O210">
        <v>3</v>
      </c>
      <c r="P210" t="s">
        <v>106</v>
      </c>
      <c r="Q210" s="4">
        <v>46172</v>
      </c>
      <c r="R210" t="s">
        <v>64</v>
      </c>
      <c r="S210" t="s">
        <v>38</v>
      </c>
      <c r="T210" t="s">
        <v>3153</v>
      </c>
      <c r="U210" t="s">
        <v>75</v>
      </c>
      <c r="V210" t="s">
        <v>3154</v>
      </c>
    </row>
    <row r="211" spans="1:22" x14ac:dyDescent="0.2">
      <c r="A211" t="s">
        <v>482</v>
      </c>
      <c r="B211" t="s">
        <v>483</v>
      </c>
      <c r="C211" t="s">
        <v>31</v>
      </c>
      <c r="D211" t="s">
        <v>32</v>
      </c>
      <c r="E211" t="s">
        <v>80</v>
      </c>
      <c r="F211" t="s">
        <v>67</v>
      </c>
      <c r="G211" t="s">
        <v>68</v>
      </c>
      <c r="H211" t="s">
        <v>36</v>
      </c>
      <c r="I211" t="s">
        <v>62</v>
      </c>
      <c r="J211" t="s">
        <v>37</v>
      </c>
      <c r="K211" s="4">
        <v>46088</v>
      </c>
      <c r="L211" s="4">
        <v>46453</v>
      </c>
      <c r="M211" t="s">
        <v>69</v>
      </c>
      <c r="N211" t="s">
        <v>55</v>
      </c>
      <c r="O211">
        <v>0</v>
      </c>
      <c r="P211" t="s">
        <v>54</v>
      </c>
      <c r="Q211" s="4">
        <v>46415</v>
      </c>
      <c r="R211" t="s">
        <v>57</v>
      </c>
      <c r="S211" t="s">
        <v>3155</v>
      </c>
      <c r="T211" t="s">
        <v>3153</v>
      </c>
      <c r="U211" t="s">
        <v>55</v>
      </c>
      <c r="V211" t="s">
        <v>3152</v>
      </c>
    </row>
    <row r="212" spans="1:22" x14ac:dyDescent="0.2">
      <c r="A212" t="s">
        <v>484</v>
      </c>
      <c r="B212" t="s">
        <v>485</v>
      </c>
      <c r="C212" t="s">
        <v>31</v>
      </c>
      <c r="D212" t="s">
        <v>32</v>
      </c>
      <c r="E212" t="s">
        <v>80</v>
      </c>
      <c r="F212" t="s">
        <v>45</v>
      </c>
      <c r="G212" t="s">
        <v>46</v>
      </c>
      <c r="H212" t="s">
        <v>88</v>
      </c>
      <c r="I212" t="s">
        <v>62</v>
      </c>
      <c r="J212" t="s">
        <v>48</v>
      </c>
      <c r="K212" s="4">
        <v>46059</v>
      </c>
      <c r="L212" s="4">
        <v>46424</v>
      </c>
      <c r="M212" t="s">
        <v>64</v>
      </c>
      <c r="N212" t="s">
        <v>49</v>
      </c>
      <c r="O212">
        <v>1</v>
      </c>
      <c r="P212" t="s">
        <v>50</v>
      </c>
      <c r="Q212" s="4">
        <v>46257</v>
      </c>
      <c r="R212" t="s">
        <v>64</v>
      </c>
      <c r="S212" t="s">
        <v>3155</v>
      </c>
      <c r="T212" t="s">
        <v>3153</v>
      </c>
      <c r="U212" t="s">
        <v>49</v>
      </c>
      <c r="V212" t="s">
        <v>3154</v>
      </c>
    </row>
    <row r="213" spans="1:22" x14ac:dyDescent="0.2">
      <c r="A213" t="s">
        <v>486</v>
      </c>
      <c r="B213" t="s">
        <v>487</v>
      </c>
      <c r="C213" t="s">
        <v>31</v>
      </c>
      <c r="D213" t="s">
        <v>32</v>
      </c>
      <c r="E213" t="s">
        <v>80</v>
      </c>
      <c r="F213" t="s">
        <v>34</v>
      </c>
      <c r="G213" t="s">
        <v>35</v>
      </c>
      <c r="H213" t="s">
        <v>88</v>
      </c>
      <c r="I213" t="s">
        <v>70</v>
      </c>
      <c r="J213" t="s">
        <v>48</v>
      </c>
      <c r="K213" s="4">
        <v>46117</v>
      </c>
      <c r="L213" s="4">
        <v>46482</v>
      </c>
      <c r="M213" t="s">
        <v>64</v>
      </c>
      <c r="N213" t="s">
        <v>55</v>
      </c>
      <c r="O213">
        <v>0</v>
      </c>
      <c r="P213" t="s">
        <v>111</v>
      </c>
      <c r="Q213" s="4">
        <v>46240</v>
      </c>
      <c r="R213" t="s">
        <v>57</v>
      </c>
      <c r="S213" t="s">
        <v>3155</v>
      </c>
      <c r="T213" t="s">
        <v>3153</v>
      </c>
      <c r="U213" t="s">
        <v>55</v>
      </c>
      <c r="V213" t="s">
        <v>3154</v>
      </c>
    </row>
    <row r="214" spans="1:22" x14ac:dyDescent="0.2">
      <c r="A214" t="s">
        <v>488</v>
      </c>
      <c r="B214" t="s">
        <v>489</v>
      </c>
      <c r="C214" t="s">
        <v>42</v>
      </c>
      <c r="D214" t="s">
        <v>43</v>
      </c>
      <c r="E214" t="s">
        <v>53</v>
      </c>
      <c r="F214" t="s">
        <v>34</v>
      </c>
      <c r="G214" t="s">
        <v>35</v>
      </c>
      <c r="H214" t="s">
        <v>88</v>
      </c>
      <c r="I214" t="s">
        <v>50</v>
      </c>
      <c r="J214" t="s">
        <v>37</v>
      </c>
      <c r="K214" s="4">
        <v>46214</v>
      </c>
      <c r="L214" s="4">
        <v>46304</v>
      </c>
      <c r="M214" t="s">
        <v>84</v>
      </c>
      <c r="N214" t="s">
        <v>55</v>
      </c>
      <c r="O214">
        <v>3</v>
      </c>
      <c r="P214" t="s">
        <v>50</v>
      </c>
      <c r="Q214" s="4">
        <v>46292</v>
      </c>
      <c r="R214" t="s">
        <v>38</v>
      </c>
      <c r="S214" t="s">
        <v>3155</v>
      </c>
      <c r="T214" t="s">
        <v>3153</v>
      </c>
      <c r="U214" t="s">
        <v>55</v>
      </c>
      <c r="V214" t="s">
        <v>3154</v>
      </c>
    </row>
    <row r="215" spans="1:22" x14ac:dyDescent="0.2">
      <c r="A215" t="s">
        <v>490</v>
      </c>
      <c r="B215" t="s">
        <v>491</v>
      </c>
      <c r="C215" t="s">
        <v>31</v>
      </c>
      <c r="D215" t="s">
        <v>32</v>
      </c>
      <c r="E215" t="s">
        <v>91</v>
      </c>
      <c r="F215" t="s">
        <v>34</v>
      </c>
      <c r="G215" t="s">
        <v>35</v>
      </c>
      <c r="H215" t="s">
        <v>36</v>
      </c>
      <c r="I215" t="s">
        <v>39</v>
      </c>
      <c r="J215" t="s">
        <v>37</v>
      </c>
      <c r="K215" s="4">
        <v>46104</v>
      </c>
      <c r="L215" s="4">
        <v>46284</v>
      </c>
      <c r="M215" t="s">
        <v>38</v>
      </c>
      <c r="N215" t="s">
        <v>75</v>
      </c>
      <c r="O215">
        <v>4</v>
      </c>
      <c r="P215" t="s">
        <v>106</v>
      </c>
      <c r="Q215" s="4">
        <v>46147</v>
      </c>
      <c r="R215" t="s">
        <v>64</v>
      </c>
      <c r="S215" t="s">
        <v>38</v>
      </c>
      <c r="T215" t="s">
        <v>3153</v>
      </c>
      <c r="U215" t="s">
        <v>75</v>
      </c>
      <c r="V215" t="s">
        <v>3152</v>
      </c>
    </row>
    <row r="216" spans="1:22" x14ac:dyDescent="0.2">
      <c r="A216" t="s">
        <v>492</v>
      </c>
      <c r="B216" t="s">
        <v>493</v>
      </c>
      <c r="C216" t="s">
        <v>31</v>
      </c>
      <c r="D216" t="s">
        <v>87</v>
      </c>
      <c r="E216" t="s">
        <v>60</v>
      </c>
      <c r="F216" t="s">
        <v>45</v>
      </c>
      <c r="G216" t="s">
        <v>61</v>
      </c>
      <c r="H216" t="s">
        <v>47</v>
      </c>
      <c r="I216" t="s">
        <v>50</v>
      </c>
      <c r="J216" t="s">
        <v>48</v>
      </c>
      <c r="K216" s="4">
        <v>46145</v>
      </c>
      <c r="L216" s="4">
        <v>46235</v>
      </c>
      <c r="M216" t="s">
        <v>38</v>
      </c>
      <c r="N216" t="s">
        <v>49</v>
      </c>
      <c r="O216">
        <v>0</v>
      </c>
      <c r="P216" t="s">
        <v>54</v>
      </c>
      <c r="Q216" s="4">
        <v>46231</v>
      </c>
      <c r="R216" t="s">
        <v>57</v>
      </c>
      <c r="S216" t="s">
        <v>38</v>
      </c>
      <c r="T216" t="s">
        <v>3153</v>
      </c>
      <c r="U216" t="s">
        <v>49</v>
      </c>
      <c r="V216" t="s">
        <v>3154</v>
      </c>
    </row>
    <row r="217" spans="1:22" x14ac:dyDescent="0.2">
      <c r="A217" t="s">
        <v>494</v>
      </c>
      <c r="B217" t="s">
        <v>495</v>
      </c>
      <c r="C217" t="s">
        <v>78</v>
      </c>
      <c r="D217" t="s">
        <v>79</v>
      </c>
      <c r="E217" t="s">
        <v>53</v>
      </c>
      <c r="F217" t="s">
        <v>45</v>
      </c>
      <c r="G217" t="s">
        <v>61</v>
      </c>
      <c r="H217" t="s">
        <v>88</v>
      </c>
      <c r="I217" t="s">
        <v>50</v>
      </c>
      <c r="J217" t="s">
        <v>37</v>
      </c>
      <c r="K217" s="4">
        <v>46184</v>
      </c>
      <c r="L217" s="4">
        <v>46274</v>
      </c>
      <c r="M217" t="s">
        <v>38</v>
      </c>
      <c r="N217" t="s">
        <v>49</v>
      </c>
      <c r="O217">
        <v>3</v>
      </c>
      <c r="P217" t="s">
        <v>56</v>
      </c>
      <c r="Q217" s="4">
        <v>46229</v>
      </c>
      <c r="R217" t="s">
        <v>64</v>
      </c>
      <c r="S217" t="s">
        <v>38</v>
      </c>
      <c r="T217" t="s">
        <v>3153</v>
      </c>
      <c r="U217" t="s">
        <v>49</v>
      </c>
      <c r="V217" t="s">
        <v>3154</v>
      </c>
    </row>
    <row r="218" spans="1:22" x14ac:dyDescent="0.2">
      <c r="A218" t="s">
        <v>496</v>
      </c>
      <c r="B218" t="s">
        <v>497</v>
      </c>
      <c r="C218" t="s">
        <v>31</v>
      </c>
      <c r="D218" t="s">
        <v>32</v>
      </c>
      <c r="E218" t="s">
        <v>105</v>
      </c>
      <c r="F218" t="s">
        <v>45</v>
      </c>
      <c r="G218" t="s">
        <v>61</v>
      </c>
      <c r="H218" t="s">
        <v>88</v>
      </c>
      <c r="I218" t="s">
        <v>39</v>
      </c>
      <c r="J218" t="s">
        <v>37</v>
      </c>
      <c r="K218" s="4">
        <v>46184</v>
      </c>
      <c r="L218" s="4">
        <v>46274</v>
      </c>
      <c r="M218" t="s">
        <v>38</v>
      </c>
      <c r="N218" t="s">
        <v>49</v>
      </c>
      <c r="O218">
        <v>0</v>
      </c>
      <c r="P218" t="s">
        <v>56</v>
      </c>
      <c r="Q218" s="4">
        <v>46320</v>
      </c>
      <c r="R218" t="s">
        <v>57</v>
      </c>
      <c r="S218" t="s">
        <v>38</v>
      </c>
      <c r="T218" t="s">
        <v>3153</v>
      </c>
      <c r="U218" t="s">
        <v>49</v>
      </c>
      <c r="V218" t="s">
        <v>3154</v>
      </c>
    </row>
    <row r="219" spans="1:22" x14ac:dyDescent="0.2">
      <c r="A219" t="s">
        <v>498</v>
      </c>
      <c r="B219" t="s">
        <v>499</v>
      </c>
      <c r="C219" t="s">
        <v>96</v>
      </c>
      <c r="D219" t="s">
        <v>97</v>
      </c>
      <c r="E219" t="s">
        <v>60</v>
      </c>
      <c r="F219" t="s">
        <v>67</v>
      </c>
      <c r="G219" t="s">
        <v>68</v>
      </c>
      <c r="H219" t="s">
        <v>88</v>
      </c>
      <c r="I219" t="s">
        <v>106</v>
      </c>
      <c r="J219" t="s">
        <v>48</v>
      </c>
      <c r="K219" s="4">
        <v>46173</v>
      </c>
      <c r="L219" s="4">
        <v>46353</v>
      </c>
      <c r="M219" t="s">
        <v>69</v>
      </c>
      <c r="N219" t="s">
        <v>49</v>
      </c>
      <c r="O219">
        <v>1</v>
      </c>
      <c r="P219" t="s">
        <v>54</v>
      </c>
      <c r="Q219" s="4">
        <v>46352</v>
      </c>
      <c r="R219" t="s">
        <v>84</v>
      </c>
      <c r="S219" t="s">
        <v>3155</v>
      </c>
      <c r="T219" t="s">
        <v>3153</v>
      </c>
      <c r="U219" t="s">
        <v>49</v>
      </c>
      <c r="V219" t="s">
        <v>3154</v>
      </c>
    </row>
    <row r="220" spans="1:22" x14ac:dyDescent="0.2">
      <c r="A220" t="s">
        <v>500</v>
      </c>
      <c r="B220" t="s">
        <v>501</v>
      </c>
      <c r="C220" t="s">
        <v>103</v>
      </c>
      <c r="D220" t="s">
        <v>104</v>
      </c>
      <c r="E220" t="s">
        <v>80</v>
      </c>
      <c r="F220" t="s">
        <v>45</v>
      </c>
      <c r="G220" t="s">
        <v>46</v>
      </c>
      <c r="H220" t="s">
        <v>47</v>
      </c>
      <c r="I220" t="s">
        <v>106</v>
      </c>
      <c r="J220" t="s">
        <v>37</v>
      </c>
      <c r="K220" s="4">
        <v>45950</v>
      </c>
      <c r="L220" s="4">
        <v>46315</v>
      </c>
      <c r="M220" t="s">
        <v>69</v>
      </c>
      <c r="N220" t="s">
        <v>55</v>
      </c>
      <c r="O220">
        <v>3</v>
      </c>
      <c r="P220" t="s">
        <v>39</v>
      </c>
      <c r="Q220" s="4">
        <v>46272</v>
      </c>
      <c r="R220" t="s">
        <v>64</v>
      </c>
      <c r="S220" t="s">
        <v>3155</v>
      </c>
      <c r="T220" t="s">
        <v>3153</v>
      </c>
      <c r="U220" t="s">
        <v>55</v>
      </c>
      <c r="V220" t="s">
        <v>3154</v>
      </c>
    </row>
    <row r="221" spans="1:22" x14ac:dyDescent="0.2">
      <c r="A221" t="s">
        <v>502</v>
      </c>
      <c r="B221" t="s">
        <v>503</v>
      </c>
      <c r="C221" t="s">
        <v>31</v>
      </c>
      <c r="D221" t="s">
        <v>32</v>
      </c>
      <c r="E221" t="s">
        <v>105</v>
      </c>
      <c r="F221" t="s">
        <v>45</v>
      </c>
      <c r="G221" t="s">
        <v>61</v>
      </c>
      <c r="H221" t="s">
        <v>47</v>
      </c>
      <c r="I221" t="s">
        <v>54</v>
      </c>
      <c r="J221" t="s">
        <v>48</v>
      </c>
      <c r="K221" s="4">
        <v>45816</v>
      </c>
      <c r="L221" s="4">
        <v>46181</v>
      </c>
      <c r="M221" t="s">
        <v>38</v>
      </c>
      <c r="N221" t="s">
        <v>75</v>
      </c>
      <c r="O221">
        <v>2</v>
      </c>
      <c r="P221" t="s">
        <v>50</v>
      </c>
      <c r="Q221" s="4">
        <v>46349</v>
      </c>
      <c r="R221" t="s">
        <v>84</v>
      </c>
      <c r="S221" t="s">
        <v>38</v>
      </c>
      <c r="T221" t="s">
        <v>3153</v>
      </c>
      <c r="U221" t="s">
        <v>75</v>
      </c>
      <c r="V221" t="s">
        <v>3154</v>
      </c>
    </row>
    <row r="222" spans="1:22" x14ac:dyDescent="0.2">
      <c r="A222" t="s">
        <v>504</v>
      </c>
      <c r="B222" t="s">
        <v>505</v>
      </c>
      <c r="C222" t="s">
        <v>78</v>
      </c>
      <c r="D222" t="s">
        <v>79</v>
      </c>
      <c r="E222" t="s">
        <v>105</v>
      </c>
      <c r="F222" t="s">
        <v>34</v>
      </c>
      <c r="G222" t="s">
        <v>35</v>
      </c>
      <c r="H222" t="s">
        <v>88</v>
      </c>
      <c r="I222" t="s">
        <v>39</v>
      </c>
      <c r="J222" t="s">
        <v>63</v>
      </c>
      <c r="K222" s="4">
        <v>46053</v>
      </c>
      <c r="L222" s="4">
        <v>46418</v>
      </c>
      <c r="M222" t="s">
        <v>84</v>
      </c>
      <c r="N222" t="s">
        <v>75</v>
      </c>
      <c r="O222">
        <v>2</v>
      </c>
      <c r="P222" t="s">
        <v>106</v>
      </c>
      <c r="Q222" s="4">
        <v>46276</v>
      </c>
      <c r="R222" t="s">
        <v>38</v>
      </c>
      <c r="S222" t="s">
        <v>3155</v>
      </c>
      <c r="T222" t="s">
        <v>3153</v>
      </c>
      <c r="U222" t="s">
        <v>75</v>
      </c>
      <c r="V222" t="s">
        <v>3154</v>
      </c>
    </row>
    <row r="223" spans="1:22" x14ac:dyDescent="0.2">
      <c r="A223" t="s">
        <v>506</v>
      </c>
      <c r="B223" t="s">
        <v>507</v>
      </c>
      <c r="C223" t="s">
        <v>78</v>
      </c>
      <c r="D223" t="s">
        <v>79</v>
      </c>
      <c r="E223" t="s">
        <v>53</v>
      </c>
      <c r="F223" t="s">
        <v>67</v>
      </c>
      <c r="G223" t="s">
        <v>118</v>
      </c>
      <c r="H223" t="s">
        <v>47</v>
      </c>
      <c r="I223" t="s">
        <v>54</v>
      </c>
      <c r="J223" t="s">
        <v>63</v>
      </c>
      <c r="K223" s="4">
        <v>46206</v>
      </c>
      <c r="L223" s="4">
        <v>46571</v>
      </c>
      <c r="M223" t="s">
        <v>64</v>
      </c>
      <c r="N223" t="s">
        <v>55</v>
      </c>
      <c r="O223">
        <v>1</v>
      </c>
      <c r="P223" t="s">
        <v>106</v>
      </c>
      <c r="Q223" s="4">
        <v>46345</v>
      </c>
      <c r="R223" t="s">
        <v>84</v>
      </c>
      <c r="S223" t="s">
        <v>3155</v>
      </c>
      <c r="T223" t="s">
        <v>3153</v>
      </c>
      <c r="U223" t="s">
        <v>55</v>
      </c>
      <c r="V223" t="s">
        <v>3154</v>
      </c>
    </row>
    <row r="224" spans="1:22" x14ac:dyDescent="0.2">
      <c r="A224" t="s">
        <v>508</v>
      </c>
      <c r="B224" t="s">
        <v>509</v>
      </c>
      <c r="C224" t="s">
        <v>73</v>
      </c>
      <c r="D224" t="s">
        <v>74</v>
      </c>
      <c r="E224" t="s">
        <v>53</v>
      </c>
      <c r="F224" t="s">
        <v>45</v>
      </c>
      <c r="G224" t="s">
        <v>61</v>
      </c>
      <c r="H224" t="s">
        <v>88</v>
      </c>
      <c r="I224" t="s">
        <v>70</v>
      </c>
      <c r="J224" t="s">
        <v>48</v>
      </c>
      <c r="K224" s="4">
        <v>46229</v>
      </c>
      <c r="L224" s="4">
        <v>46319</v>
      </c>
      <c r="M224" t="s">
        <v>69</v>
      </c>
      <c r="N224" t="s">
        <v>49</v>
      </c>
      <c r="O224">
        <v>0</v>
      </c>
      <c r="P224" t="s">
        <v>54</v>
      </c>
      <c r="Q224" s="4">
        <v>46225</v>
      </c>
      <c r="R224" t="s">
        <v>57</v>
      </c>
      <c r="S224" t="s">
        <v>3155</v>
      </c>
      <c r="T224" t="s">
        <v>3153</v>
      </c>
      <c r="U224" t="s">
        <v>49</v>
      </c>
      <c r="V224" t="s">
        <v>3154</v>
      </c>
    </row>
    <row r="225" spans="1:22" x14ac:dyDescent="0.2">
      <c r="A225" t="s">
        <v>510</v>
      </c>
      <c r="B225" t="s">
        <v>511</v>
      </c>
      <c r="C225" t="s">
        <v>103</v>
      </c>
      <c r="D225" t="s">
        <v>104</v>
      </c>
      <c r="E225" t="s">
        <v>60</v>
      </c>
      <c r="F225" t="s">
        <v>67</v>
      </c>
      <c r="G225" t="s">
        <v>118</v>
      </c>
      <c r="H225" t="s">
        <v>47</v>
      </c>
      <c r="I225" t="s">
        <v>56</v>
      </c>
      <c r="J225" t="s">
        <v>37</v>
      </c>
      <c r="K225" s="4">
        <v>46142</v>
      </c>
      <c r="L225" s="4">
        <v>46232</v>
      </c>
      <c r="M225" t="s">
        <v>38</v>
      </c>
      <c r="N225" t="s">
        <v>55</v>
      </c>
      <c r="O225">
        <v>3</v>
      </c>
      <c r="P225" t="s">
        <v>70</v>
      </c>
      <c r="Q225" s="4">
        <v>46346</v>
      </c>
      <c r="R225" t="s">
        <v>84</v>
      </c>
      <c r="S225" t="s">
        <v>38</v>
      </c>
      <c r="T225" t="s">
        <v>3153</v>
      </c>
      <c r="U225" t="s">
        <v>55</v>
      </c>
      <c r="V225" t="s">
        <v>3154</v>
      </c>
    </row>
    <row r="226" spans="1:22" x14ac:dyDescent="0.2">
      <c r="A226" t="s">
        <v>512</v>
      </c>
      <c r="B226" t="s">
        <v>513</v>
      </c>
      <c r="C226" t="s">
        <v>42</v>
      </c>
      <c r="D226" t="s">
        <v>43</v>
      </c>
      <c r="E226" t="s">
        <v>105</v>
      </c>
      <c r="F226" t="s">
        <v>45</v>
      </c>
      <c r="G226" t="s">
        <v>46</v>
      </c>
      <c r="H226" t="s">
        <v>47</v>
      </c>
      <c r="I226" t="s">
        <v>54</v>
      </c>
      <c r="J226" t="s">
        <v>48</v>
      </c>
      <c r="K226" s="4">
        <v>46209</v>
      </c>
      <c r="L226" s="4">
        <v>46299</v>
      </c>
      <c r="M226" t="s">
        <v>69</v>
      </c>
      <c r="N226" t="s">
        <v>49</v>
      </c>
      <c r="O226">
        <v>0</v>
      </c>
      <c r="P226" t="s">
        <v>39</v>
      </c>
      <c r="Q226" s="4">
        <v>46413</v>
      </c>
      <c r="R226" t="s">
        <v>57</v>
      </c>
      <c r="S226" t="s">
        <v>3155</v>
      </c>
      <c r="T226" t="s">
        <v>3153</v>
      </c>
      <c r="U226" t="s">
        <v>49</v>
      </c>
      <c r="V226" t="s">
        <v>3154</v>
      </c>
    </row>
    <row r="227" spans="1:22" x14ac:dyDescent="0.2">
      <c r="A227" t="s">
        <v>514</v>
      </c>
      <c r="B227" t="s">
        <v>515</v>
      </c>
      <c r="C227" t="s">
        <v>78</v>
      </c>
      <c r="D227" t="s">
        <v>79</v>
      </c>
      <c r="E227" t="s">
        <v>91</v>
      </c>
      <c r="F227" t="s">
        <v>45</v>
      </c>
      <c r="G227" t="s">
        <v>46</v>
      </c>
      <c r="H227" t="s">
        <v>88</v>
      </c>
      <c r="I227" t="s">
        <v>50</v>
      </c>
      <c r="J227" t="s">
        <v>63</v>
      </c>
      <c r="K227" s="4">
        <v>46228</v>
      </c>
      <c r="L227" s="4">
        <v>46408</v>
      </c>
      <c r="M227" t="s">
        <v>64</v>
      </c>
      <c r="N227" t="s">
        <v>75</v>
      </c>
      <c r="O227">
        <v>0</v>
      </c>
      <c r="P227" t="s">
        <v>62</v>
      </c>
      <c r="Q227" s="4">
        <v>46201</v>
      </c>
      <c r="R227" t="s">
        <v>57</v>
      </c>
      <c r="S227" t="s">
        <v>3155</v>
      </c>
      <c r="T227" t="s">
        <v>3153</v>
      </c>
      <c r="U227" t="s">
        <v>75</v>
      </c>
      <c r="V227" t="s">
        <v>3154</v>
      </c>
    </row>
    <row r="228" spans="1:22" x14ac:dyDescent="0.2">
      <c r="A228" t="s">
        <v>516</v>
      </c>
      <c r="B228" t="s">
        <v>517</v>
      </c>
      <c r="C228" t="s">
        <v>31</v>
      </c>
      <c r="D228" t="s">
        <v>83</v>
      </c>
      <c r="E228" t="s">
        <v>80</v>
      </c>
      <c r="F228" t="s">
        <v>67</v>
      </c>
      <c r="G228" t="s">
        <v>68</v>
      </c>
      <c r="H228" t="s">
        <v>88</v>
      </c>
      <c r="I228" t="s">
        <v>50</v>
      </c>
      <c r="J228" t="s">
        <v>63</v>
      </c>
      <c r="K228" s="4">
        <v>46094</v>
      </c>
      <c r="L228" s="4">
        <v>46184</v>
      </c>
      <c r="M228" t="s">
        <v>38</v>
      </c>
      <c r="N228" t="s">
        <v>55</v>
      </c>
      <c r="O228">
        <v>2</v>
      </c>
      <c r="P228" t="s">
        <v>54</v>
      </c>
      <c r="Q228" s="4">
        <v>46258</v>
      </c>
      <c r="R228" t="s">
        <v>38</v>
      </c>
      <c r="S228" t="s">
        <v>38</v>
      </c>
      <c r="T228" t="s">
        <v>3153</v>
      </c>
      <c r="U228" t="s">
        <v>55</v>
      </c>
      <c r="V228" t="s">
        <v>3154</v>
      </c>
    </row>
    <row r="229" spans="1:22" x14ac:dyDescent="0.2">
      <c r="A229" t="s">
        <v>518</v>
      </c>
      <c r="B229" t="s">
        <v>519</v>
      </c>
      <c r="C229" t="s">
        <v>103</v>
      </c>
      <c r="D229" t="s">
        <v>104</v>
      </c>
      <c r="E229" t="s">
        <v>80</v>
      </c>
      <c r="F229" t="s">
        <v>34</v>
      </c>
      <c r="G229" t="s">
        <v>35</v>
      </c>
      <c r="H229" t="s">
        <v>88</v>
      </c>
      <c r="I229" t="s">
        <v>111</v>
      </c>
      <c r="J229" t="s">
        <v>63</v>
      </c>
      <c r="K229" s="4">
        <v>46244</v>
      </c>
      <c r="L229" s="4">
        <v>46334</v>
      </c>
      <c r="M229" t="s">
        <v>64</v>
      </c>
      <c r="N229" t="s">
        <v>55</v>
      </c>
      <c r="O229">
        <v>3</v>
      </c>
      <c r="P229" t="s">
        <v>39</v>
      </c>
      <c r="Q229" s="4">
        <v>46217</v>
      </c>
      <c r="R229" t="s">
        <v>38</v>
      </c>
      <c r="S229" t="s">
        <v>3155</v>
      </c>
      <c r="T229" t="s">
        <v>3153</v>
      </c>
      <c r="U229" t="s">
        <v>55</v>
      </c>
      <c r="V229" t="s">
        <v>3154</v>
      </c>
    </row>
    <row r="230" spans="1:22" x14ac:dyDescent="0.2">
      <c r="A230" t="s">
        <v>520</v>
      </c>
      <c r="B230" t="s">
        <v>521</v>
      </c>
      <c r="C230" t="s">
        <v>103</v>
      </c>
      <c r="D230" t="s">
        <v>104</v>
      </c>
      <c r="E230" t="s">
        <v>80</v>
      </c>
      <c r="F230" t="s">
        <v>67</v>
      </c>
      <c r="G230" t="s">
        <v>118</v>
      </c>
      <c r="H230" t="s">
        <v>88</v>
      </c>
      <c r="I230" t="s">
        <v>111</v>
      </c>
      <c r="J230" t="s">
        <v>37</v>
      </c>
      <c r="K230" s="4">
        <v>46099</v>
      </c>
      <c r="L230" s="4">
        <v>46464</v>
      </c>
      <c r="M230" t="s">
        <v>64</v>
      </c>
      <c r="N230" t="s">
        <v>75</v>
      </c>
      <c r="O230">
        <v>2</v>
      </c>
      <c r="P230" t="s">
        <v>39</v>
      </c>
      <c r="Q230" s="4">
        <v>46207</v>
      </c>
      <c r="R230" t="s">
        <v>64</v>
      </c>
      <c r="S230" t="s">
        <v>3155</v>
      </c>
      <c r="T230" t="s">
        <v>3153</v>
      </c>
      <c r="U230" t="s">
        <v>75</v>
      </c>
      <c r="V230" t="s">
        <v>3154</v>
      </c>
    </row>
    <row r="231" spans="1:22" x14ac:dyDescent="0.2">
      <c r="A231" t="s">
        <v>522</v>
      </c>
      <c r="B231" t="s">
        <v>523</v>
      </c>
      <c r="C231" t="s">
        <v>103</v>
      </c>
      <c r="D231" t="s">
        <v>104</v>
      </c>
      <c r="E231" t="s">
        <v>60</v>
      </c>
      <c r="F231" t="s">
        <v>67</v>
      </c>
      <c r="G231" t="s">
        <v>118</v>
      </c>
      <c r="H231" t="s">
        <v>98</v>
      </c>
      <c r="I231" t="s">
        <v>50</v>
      </c>
      <c r="J231" t="s">
        <v>37</v>
      </c>
      <c r="K231" s="4">
        <v>46224</v>
      </c>
      <c r="L231" s="4">
        <v>46314</v>
      </c>
      <c r="M231" t="s">
        <v>69</v>
      </c>
      <c r="N231" t="s">
        <v>49</v>
      </c>
      <c r="O231">
        <v>5</v>
      </c>
      <c r="P231" t="s">
        <v>106</v>
      </c>
      <c r="Q231" s="4">
        <v>46143</v>
      </c>
      <c r="R231" t="s">
        <v>38</v>
      </c>
      <c r="S231" t="s">
        <v>3155</v>
      </c>
      <c r="T231" t="s">
        <v>3153</v>
      </c>
      <c r="U231" t="s">
        <v>49</v>
      </c>
      <c r="V231" t="s">
        <v>3152</v>
      </c>
    </row>
    <row r="232" spans="1:22" x14ac:dyDescent="0.2">
      <c r="A232" t="s">
        <v>524</v>
      </c>
      <c r="B232" t="s">
        <v>525</v>
      </c>
      <c r="C232" t="s">
        <v>103</v>
      </c>
      <c r="D232" t="s">
        <v>104</v>
      </c>
      <c r="E232" t="s">
        <v>44</v>
      </c>
      <c r="F232" t="s">
        <v>45</v>
      </c>
      <c r="G232" t="s">
        <v>46</v>
      </c>
      <c r="H232" t="s">
        <v>88</v>
      </c>
      <c r="I232" t="s">
        <v>106</v>
      </c>
      <c r="J232" t="s">
        <v>37</v>
      </c>
      <c r="K232" s="4">
        <v>45808</v>
      </c>
      <c r="L232" s="4">
        <v>46173</v>
      </c>
      <c r="M232" t="s">
        <v>38</v>
      </c>
      <c r="N232" t="s">
        <v>55</v>
      </c>
      <c r="O232">
        <v>2</v>
      </c>
      <c r="P232" t="s">
        <v>56</v>
      </c>
      <c r="Q232" s="4">
        <v>46405</v>
      </c>
      <c r="R232" t="s">
        <v>84</v>
      </c>
      <c r="S232" t="s">
        <v>38</v>
      </c>
      <c r="T232" t="s">
        <v>3153</v>
      </c>
      <c r="U232" t="s">
        <v>55</v>
      </c>
      <c r="V232" t="s">
        <v>3154</v>
      </c>
    </row>
    <row r="233" spans="1:22" x14ac:dyDescent="0.2">
      <c r="A233" t="s">
        <v>526</v>
      </c>
      <c r="B233" t="s">
        <v>527</v>
      </c>
      <c r="C233" t="s">
        <v>103</v>
      </c>
      <c r="D233" t="s">
        <v>104</v>
      </c>
      <c r="E233" t="s">
        <v>105</v>
      </c>
      <c r="F233" t="s">
        <v>45</v>
      </c>
      <c r="G233" t="s">
        <v>61</v>
      </c>
      <c r="H233" t="s">
        <v>47</v>
      </c>
      <c r="I233" t="s">
        <v>54</v>
      </c>
      <c r="J233" t="s">
        <v>48</v>
      </c>
      <c r="K233" s="4">
        <v>45967</v>
      </c>
      <c r="L233" s="4">
        <v>46057</v>
      </c>
      <c r="M233" t="s">
        <v>38</v>
      </c>
      <c r="N233" t="s">
        <v>55</v>
      </c>
      <c r="O233">
        <v>3</v>
      </c>
      <c r="P233" t="s">
        <v>106</v>
      </c>
      <c r="Q233" s="4">
        <v>46115</v>
      </c>
      <c r="R233" t="s">
        <v>64</v>
      </c>
      <c r="S233" t="s">
        <v>38</v>
      </c>
      <c r="T233" t="s">
        <v>3153</v>
      </c>
      <c r="U233" t="s">
        <v>55</v>
      </c>
      <c r="V233" t="s">
        <v>3154</v>
      </c>
    </row>
    <row r="234" spans="1:22" x14ac:dyDescent="0.2">
      <c r="A234" t="s">
        <v>528</v>
      </c>
      <c r="B234" t="s">
        <v>529</v>
      </c>
      <c r="C234" t="s">
        <v>78</v>
      </c>
      <c r="D234" t="s">
        <v>79</v>
      </c>
      <c r="E234" t="s">
        <v>53</v>
      </c>
      <c r="F234" t="s">
        <v>34</v>
      </c>
      <c r="G234" t="s">
        <v>35</v>
      </c>
      <c r="H234" t="s">
        <v>47</v>
      </c>
      <c r="I234" t="s">
        <v>50</v>
      </c>
      <c r="J234" t="s">
        <v>48</v>
      </c>
      <c r="K234" s="4">
        <v>45975</v>
      </c>
      <c r="L234" s="4">
        <v>46340</v>
      </c>
      <c r="M234" t="s">
        <v>84</v>
      </c>
      <c r="N234" t="s">
        <v>49</v>
      </c>
      <c r="O234">
        <v>2</v>
      </c>
      <c r="P234" t="s">
        <v>106</v>
      </c>
      <c r="Q234" s="4">
        <v>46152</v>
      </c>
      <c r="R234" t="s">
        <v>38</v>
      </c>
      <c r="S234" t="s">
        <v>3155</v>
      </c>
      <c r="T234" t="s">
        <v>3153</v>
      </c>
      <c r="U234" t="s">
        <v>49</v>
      </c>
      <c r="V234" t="s">
        <v>3154</v>
      </c>
    </row>
    <row r="235" spans="1:22" x14ac:dyDescent="0.2">
      <c r="A235" t="s">
        <v>530</v>
      </c>
      <c r="B235" t="s">
        <v>531</v>
      </c>
      <c r="C235" t="s">
        <v>73</v>
      </c>
      <c r="D235" t="s">
        <v>74</v>
      </c>
      <c r="E235" t="s">
        <v>44</v>
      </c>
      <c r="F235" t="s">
        <v>67</v>
      </c>
      <c r="G235" t="s">
        <v>118</v>
      </c>
      <c r="H235" t="s">
        <v>98</v>
      </c>
      <c r="I235" t="s">
        <v>62</v>
      </c>
      <c r="J235" t="s">
        <v>63</v>
      </c>
      <c r="K235" s="4">
        <v>45870</v>
      </c>
      <c r="L235" s="4">
        <v>46235</v>
      </c>
      <c r="M235" t="s">
        <v>38</v>
      </c>
      <c r="N235" t="s">
        <v>75</v>
      </c>
      <c r="O235">
        <v>5</v>
      </c>
      <c r="P235" t="s">
        <v>50</v>
      </c>
      <c r="Q235" s="4">
        <v>46277</v>
      </c>
      <c r="R235" t="s">
        <v>64</v>
      </c>
      <c r="S235" t="s">
        <v>38</v>
      </c>
      <c r="T235" t="s">
        <v>3153</v>
      </c>
      <c r="U235" t="s">
        <v>75</v>
      </c>
      <c r="V235" t="s">
        <v>3152</v>
      </c>
    </row>
    <row r="236" spans="1:22" x14ac:dyDescent="0.2">
      <c r="A236" t="s">
        <v>532</v>
      </c>
      <c r="B236" t="s">
        <v>533</v>
      </c>
      <c r="C236" t="s">
        <v>73</v>
      </c>
      <c r="D236" t="s">
        <v>74</v>
      </c>
      <c r="E236" t="s">
        <v>91</v>
      </c>
      <c r="F236" t="s">
        <v>67</v>
      </c>
      <c r="G236" t="s">
        <v>118</v>
      </c>
      <c r="H236" t="s">
        <v>88</v>
      </c>
      <c r="I236" t="s">
        <v>50</v>
      </c>
      <c r="J236" t="s">
        <v>63</v>
      </c>
      <c r="K236" s="4">
        <v>46185</v>
      </c>
      <c r="L236" s="4">
        <v>46550</v>
      </c>
      <c r="M236" t="s">
        <v>64</v>
      </c>
      <c r="N236" t="s">
        <v>49</v>
      </c>
      <c r="O236">
        <v>3</v>
      </c>
      <c r="P236" t="s">
        <v>54</v>
      </c>
      <c r="Q236" s="4">
        <v>46405</v>
      </c>
      <c r="R236" t="s">
        <v>64</v>
      </c>
      <c r="S236" t="s">
        <v>3155</v>
      </c>
      <c r="T236" t="s">
        <v>3153</v>
      </c>
      <c r="U236" t="s">
        <v>49</v>
      </c>
      <c r="V236" t="s">
        <v>3154</v>
      </c>
    </row>
    <row r="237" spans="1:22" x14ac:dyDescent="0.2">
      <c r="A237" t="s">
        <v>534</v>
      </c>
      <c r="B237" t="s">
        <v>535</v>
      </c>
      <c r="C237" t="s">
        <v>31</v>
      </c>
      <c r="D237" t="s">
        <v>32</v>
      </c>
      <c r="E237" t="s">
        <v>80</v>
      </c>
      <c r="F237" t="s">
        <v>34</v>
      </c>
      <c r="G237" t="s">
        <v>35</v>
      </c>
      <c r="H237" t="s">
        <v>47</v>
      </c>
      <c r="J237" t="s">
        <v>63</v>
      </c>
      <c r="K237" s="4">
        <v>45894</v>
      </c>
      <c r="L237" s="4">
        <v>45984</v>
      </c>
      <c r="M237" t="s">
        <v>38</v>
      </c>
      <c r="N237" t="s">
        <v>55</v>
      </c>
      <c r="O237">
        <v>2</v>
      </c>
      <c r="P237" t="s">
        <v>106</v>
      </c>
      <c r="Q237" s="4">
        <v>46278</v>
      </c>
      <c r="R237" t="s">
        <v>64</v>
      </c>
      <c r="S237" t="s">
        <v>38</v>
      </c>
      <c r="T237" t="s">
        <v>3150</v>
      </c>
      <c r="U237" t="s">
        <v>55</v>
      </c>
      <c r="V237" t="s">
        <v>3154</v>
      </c>
    </row>
    <row r="238" spans="1:22" x14ac:dyDescent="0.2">
      <c r="A238" t="s">
        <v>536</v>
      </c>
      <c r="B238" t="s">
        <v>537</v>
      </c>
      <c r="C238" t="s">
        <v>78</v>
      </c>
      <c r="D238" t="s">
        <v>79</v>
      </c>
      <c r="E238" t="s">
        <v>53</v>
      </c>
      <c r="F238" t="s">
        <v>67</v>
      </c>
      <c r="G238" t="s">
        <v>68</v>
      </c>
      <c r="H238" t="s">
        <v>47</v>
      </c>
      <c r="I238" t="s">
        <v>70</v>
      </c>
      <c r="J238" t="s">
        <v>63</v>
      </c>
      <c r="K238" s="4">
        <v>46096</v>
      </c>
      <c r="L238" s="4">
        <v>46276</v>
      </c>
      <c r="M238" t="s">
        <v>38</v>
      </c>
      <c r="N238" t="s">
        <v>55</v>
      </c>
      <c r="O238">
        <v>0</v>
      </c>
      <c r="P238" t="s">
        <v>62</v>
      </c>
      <c r="Q238" s="4">
        <v>46139</v>
      </c>
      <c r="R238" t="s">
        <v>57</v>
      </c>
      <c r="S238" t="s">
        <v>38</v>
      </c>
      <c r="T238" t="s">
        <v>3153</v>
      </c>
      <c r="U238" t="s">
        <v>55</v>
      </c>
      <c r="V238" t="s">
        <v>3154</v>
      </c>
    </row>
    <row r="239" spans="1:22" x14ac:dyDescent="0.2">
      <c r="A239" t="s">
        <v>538</v>
      </c>
      <c r="B239" t="s">
        <v>539</v>
      </c>
      <c r="C239" t="s">
        <v>103</v>
      </c>
      <c r="D239" t="s">
        <v>104</v>
      </c>
      <c r="E239" t="s">
        <v>80</v>
      </c>
      <c r="F239" t="s">
        <v>45</v>
      </c>
      <c r="G239" t="s">
        <v>61</v>
      </c>
      <c r="H239" t="s">
        <v>36</v>
      </c>
      <c r="I239" t="s">
        <v>106</v>
      </c>
      <c r="J239" t="s">
        <v>37</v>
      </c>
      <c r="K239" s="4">
        <v>45996</v>
      </c>
      <c r="L239" s="4">
        <v>46176</v>
      </c>
      <c r="M239" t="s">
        <v>38</v>
      </c>
      <c r="N239" t="s">
        <v>55</v>
      </c>
      <c r="O239">
        <v>3</v>
      </c>
      <c r="P239" t="s">
        <v>70</v>
      </c>
      <c r="Q239" s="4">
        <v>46410</v>
      </c>
      <c r="R239" t="s">
        <v>84</v>
      </c>
      <c r="S239" t="s">
        <v>38</v>
      </c>
      <c r="T239" t="s">
        <v>3153</v>
      </c>
      <c r="U239" t="s">
        <v>55</v>
      </c>
      <c r="V239" t="s">
        <v>3152</v>
      </c>
    </row>
    <row r="240" spans="1:22" x14ac:dyDescent="0.2">
      <c r="A240" t="s">
        <v>540</v>
      </c>
      <c r="B240" t="s">
        <v>541</v>
      </c>
      <c r="C240" t="s">
        <v>31</v>
      </c>
      <c r="D240" t="s">
        <v>32</v>
      </c>
      <c r="E240" t="s">
        <v>105</v>
      </c>
      <c r="F240" t="s">
        <v>45</v>
      </c>
      <c r="G240" t="s">
        <v>61</v>
      </c>
      <c r="H240" t="s">
        <v>88</v>
      </c>
      <c r="I240" t="s">
        <v>70</v>
      </c>
      <c r="J240" t="s">
        <v>63</v>
      </c>
      <c r="K240" s="4">
        <v>46238</v>
      </c>
      <c r="L240" s="4">
        <v>46418</v>
      </c>
      <c r="M240" t="s">
        <v>64</v>
      </c>
      <c r="N240" t="s">
        <v>75</v>
      </c>
      <c r="O240">
        <v>1</v>
      </c>
      <c r="P240" t="s">
        <v>111</v>
      </c>
      <c r="Q240" s="4">
        <v>46153</v>
      </c>
      <c r="R240" t="s">
        <v>38</v>
      </c>
      <c r="S240" t="s">
        <v>3155</v>
      </c>
      <c r="T240" t="s">
        <v>3153</v>
      </c>
      <c r="U240" t="s">
        <v>75</v>
      </c>
      <c r="V240" t="s">
        <v>3154</v>
      </c>
    </row>
    <row r="241" spans="1:22" x14ac:dyDescent="0.2">
      <c r="A241" t="s">
        <v>542</v>
      </c>
      <c r="B241" t="s">
        <v>543</v>
      </c>
      <c r="C241" t="s">
        <v>73</v>
      </c>
      <c r="D241" t="s">
        <v>74</v>
      </c>
      <c r="E241" t="s">
        <v>80</v>
      </c>
      <c r="F241" t="s">
        <v>34</v>
      </c>
      <c r="G241" t="s">
        <v>35</v>
      </c>
      <c r="H241" t="s">
        <v>98</v>
      </c>
      <c r="I241" t="s">
        <v>50</v>
      </c>
      <c r="J241" t="s">
        <v>48</v>
      </c>
      <c r="K241" s="4">
        <v>45965</v>
      </c>
      <c r="L241" s="4">
        <v>46145</v>
      </c>
      <c r="M241" t="s">
        <v>38</v>
      </c>
      <c r="N241" t="s">
        <v>55</v>
      </c>
      <c r="O241">
        <v>0</v>
      </c>
      <c r="P241" t="s">
        <v>62</v>
      </c>
      <c r="Q241" s="4">
        <v>46166</v>
      </c>
      <c r="R241" t="s">
        <v>57</v>
      </c>
      <c r="S241" t="s">
        <v>38</v>
      </c>
      <c r="T241" t="s">
        <v>3153</v>
      </c>
      <c r="U241" t="s">
        <v>55</v>
      </c>
      <c r="V241" t="s">
        <v>3152</v>
      </c>
    </row>
    <row r="242" spans="1:22" x14ac:dyDescent="0.2">
      <c r="A242" t="s">
        <v>544</v>
      </c>
      <c r="B242" t="s">
        <v>545</v>
      </c>
      <c r="C242" t="s">
        <v>31</v>
      </c>
      <c r="D242" t="s">
        <v>87</v>
      </c>
      <c r="E242" t="s">
        <v>91</v>
      </c>
      <c r="F242" t="s">
        <v>34</v>
      </c>
      <c r="G242" t="s">
        <v>35</v>
      </c>
      <c r="H242" t="s">
        <v>47</v>
      </c>
      <c r="I242" t="s">
        <v>54</v>
      </c>
      <c r="J242" t="s">
        <v>48</v>
      </c>
      <c r="K242" s="4">
        <v>46226</v>
      </c>
      <c r="L242" s="4">
        <v>46316</v>
      </c>
      <c r="M242" t="s">
        <v>64</v>
      </c>
      <c r="N242" t="s">
        <v>49</v>
      </c>
      <c r="O242">
        <v>3</v>
      </c>
      <c r="P242" t="s">
        <v>56</v>
      </c>
      <c r="Q242" s="4">
        <v>46193</v>
      </c>
      <c r="R242" t="s">
        <v>64</v>
      </c>
      <c r="S242" t="s">
        <v>3155</v>
      </c>
      <c r="T242" t="s">
        <v>3153</v>
      </c>
      <c r="U242" t="s">
        <v>49</v>
      </c>
      <c r="V242" t="s">
        <v>3154</v>
      </c>
    </row>
    <row r="243" spans="1:22" x14ac:dyDescent="0.2">
      <c r="A243" t="s">
        <v>546</v>
      </c>
      <c r="B243" t="s">
        <v>547</v>
      </c>
      <c r="C243" t="s">
        <v>78</v>
      </c>
      <c r="D243" t="s">
        <v>79</v>
      </c>
      <c r="E243" t="s">
        <v>44</v>
      </c>
      <c r="F243" t="s">
        <v>34</v>
      </c>
      <c r="G243" t="s">
        <v>35</v>
      </c>
      <c r="H243" t="s">
        <v>47</v>
      </c>
      <c r="I243" t="s">
        <v>54</v>
      </c>
      <c r="J243" t="s">
        <v>37</v>
      </c>
      <c r="K243" s="4">
        <v>46188</v>
      </c>
      <c r="L243" s="4">
        <v>46553</v>
      </c>
      <c r="M243" t="s">
        <v>64</v>
      </c>
      <c r="N243" t="s">
        <v>55</v>
      </c>
      <c r="O243">
        <v>3</v>
      </c>
      <c r="P243" t="s">
        <v>56</v>
      </c>
      <c r="Q243" s="4">
        <v>46174</v>
      </c>
      <c r="R243" t="s">
        <v>64</v>
      </c>
      <c r="S243" t="s">
        <v>3155</v>
      </c>
      <c r="T243" t="s">
        <v>3153</v>
      </c>
      <c r="U243" t="s">
        <v>55</v>
      </c>
      <c r="V243" t="s">
        <v>3154</v>
      </c>
    </row>
    <row r="244" spans="1:22" x14ac:dyDescent="0.2">
      <c r="A244" t="s">
        <v>548</v>
      </c>
      <c r="B244" t="s">
        <v>549</v>
      </c>
      <c r="C244" t="s">
        <v>96</v>
      </c>
      <c r="D244" t="s">
        <v>97</v>
      </c>
      <c r="E244" t="s">
        <v>44</v>
      </c>
      <c r="F244" t="s">
        <v>45</v>
      </c>
      <c r="G244" t="s">
        <v>61</v>
      </c>
      <c r="H244" t="s">
        <v>88</v>
      </c>
      <c r="I244" t="s">
        <v>62</v>
      </c>
      <c r="J244" t="s">
        <v>37</v>
      </c>
      <c r="K244" s="4">
        <v>46086</v>
      </c>
      <c r="L244" s="4">
        <v>46176</v>
      </c>
      <c r="M244" t="s">
        <v>38</v>
      </c>
      <c r="N244" t="s">
        <v>75</v>
      </c>
      <c r="O244">
        <v>0</v>
      </c>
      <c r="P244" t="s">
        <v>54</v>
      </c>
      <c r="Q244" s="4">
        <v>46249</v>
      </c>
      <c r="R244" t="s">
        <v>57</v>
      </c>
      <c r="S244" t="s">
        <v>38</v>
      </c>
      <c r="T244" t="s">
        <v>3153</v>
      </c>
      <c r="U244" t="s">
        <v>75</v>
      </c>
      <c r="V244" t="s">
        <v>3154</v>
      </c>
    </row>
    <row r="245" spans="1:22" x14ac:dyDescent="0.2">
      <c r="A245" t="s">
        <v>550</v>
      </c>
      <c r="B245" t="s">
        <v>551</v>
      </c>
      <c r="C245" t="s">
        <v>78</v>
      </c>
      <c r="D245" t="s">
        <v>79</v>
      </c>
      <c r="E245" t="s">
        <v>44</v>
      </c>
      <c r="F245" t="s">
        <v>67</v>
      </c>
      <c r="G245" t="s">
        <v>68</v>
      </c>
      <c r="H245" t="s">
        <v>36</v>
      </c>
      <c r="I245" t="s">
        <v>70</v>
      </c>
      <c r="J245" t="s">
        <v>63</v>
      </c>
      <c r="K245" s="4">
        <v>46232</v>
      </c>
      <c r="L245" s="4">
        <v>46597</v>
      </c>
      <c r="M245" t="s">
        <v>64</v>
      </c>
      <c r="N245" t="s">
        <v>49</v>
      </c>
      <c r="O245">
        <v>3</v>
      </c>
      <c r="P245" t="s">
        <v>62</v>
      </c>
      <c r="Q245" s="4">
        <v>46231</v>
      </c>
      <c r="R245" t="s">
        <v>38</v>
      </c>
      <c r="S245" t="s">
        <v>3155</v>
      </c>
      <c r="T245" t="s">
        <v>3153</v>
      </c>
      <c r="U245" t="s">
        <v>49</v>
      </c>
      <c r="V245" t="s">
        <v>3152</v>
      </c>
    </row>
    <row r="246" spans="1:22" x14ac:dyDescent="0.2">
      <c r="A246" t="s">
        <v>552</v>
      </c>
      <c r="B246" t="s">
        <v>553</v>
      </c>
      <c r="C246" t="s">
        <v>31</v>
      </c>
      <c r="D246" t="s">
        <v>83</v>
      </c>
      <c r="E246" t="s">
        <v>60</v>
      </c>
      <c r="F246" t="s">
        <v>34</v>
      </c>
      <c r="G246" t="s">
        <v>35</v>
      </c>
      <c r="H246" t="s">
        <v>36</v>
      </c>
      <c r="I246" t="s">
        <v>111</v>
      </c>
      <c r="J246" t="s">
        <v>37</v>
      </c>
      <c r="K246" s="4">
        <v>46122</v>
      </c>
      <c r="L246" s="4">
        <v>46212</v>
      </c>
      <c r="M246" t="s">
        <v>38</v>
      </c>
      <c r="N246" t="s">
        <v>75</v>
      </c>
      <c r="O246">
        <v>5</v>
      </c>
      <c r="P246" t="s">
        <v>50</v>
      </c>
      <c r="Q246" s="4">
        <v>46132</v>
      </c>
      <c r="R246" t="s">
        <v>38</v>
      </c>
      <c r="S246" t="s">
        <v>38</v>
      </c>
      <c r="T246" t="s">
        <v>3153</v>
      </c>
      <c r="U246" t="s">
        <v>75</v>
      </c>
      <c r="V246" t="s">
        <v>3152</v>
      </c>
    </row>
    <row r="247" spans="1:22" x14ac:dyDescent="0.2">
      <c r="A247" t="s">
        <v>554</v>
      </c>
      <c r="B247" t="s">
        <v>555</v>
      </c>
      <c r="C247" t="s">
        <v>31</v>
      </c>
      <c r="D247" t="s">
        <v>32</v>
      </c>
      <c r="E247" t="s">
        <v>44</v>
      </c>
      <c r="F247" t="s">
        <v>45</v>
      </c>
      <c r="G247" t="s">
        <v>46</v>
      </c>
      <c r="H247" t="s">
        <v>47</v>
      </c>
      <c r="I247" t="s">
        <v>62</v>
      </c>
      <c r="J247" t="s">
        <v>37</v>
      </c>
      <c r="K247" s="4">
        <v>46235</v>
      </c>
      <c r="L247" s="4">
        <v>46600</v>
      </c>
      <c r="M247" t="s">
        <v>64</v>
      </c>
      <c r="N247" t="s">
        <v>49</v>
      </c>
      <c r="O247">
        <v>1</v>
      </c>
      <c r="P247" t="s">
        <v>62</v>
      </c>
      <c r="Q247" s="4">
        <v>46247</v>
      </c>
      <c r="R247" t="s">
        <v>64</v>
      </c>
      <c r="S247" t="s">
        <v>3155</v>
      </c>
      <c r="T247" t="s">
        <v>3153</v>
      </c>
      <c r="U247" t="s">
        <v>49</v>
      </c>
      <c r="V247" t="s">
        <v>3154</v>
      </c>
    </row>
    <row r="248" spans="1:22" x14ac:dyDescent="0.2">
      <c r="A248" t="s">
        <v>556</v>
      </c>
      <c r="B248" t="s">
        <v>557</v>
      </c>
      <c r="C248" t="s">
        <v>31</v>
      </c>
      <c r="D248" t="s">
        <v>83</v>
      </c>
      <c r="E248" t="s">
        <v>53</v>
      </c>
      <c r="F248" t="s">
        <v>34</v>
      </c>
      <c r="G248" t="s">
        <v>35</v>
      </c>
      <c r="H248" t="s">
        <v>88</v>
      </c>
      <c r="I248" t="s">
        <v>39</v>
      </c>
      <c r="J248" t="s">
        <v>63</v>
      </c>
      <c r="K248" s="4">
        <v>45873</v>
      </c>
      <c r="L248" s="4">
        <v>46238</v>
      </c>
      <c r="M248" t="s">
        <v>38</v>
      </c>
      <c r="N248" t="s">
        <v>49</v>
      </c>
      <c r="O248">
        <v>3</v>
      </c>
      <c r="P248" t="s">
        <v>70</v>
      </c>
      <c r="Q248" s="4">
        <v>46172</v>
      </c>
      <c r="R248" t="s">
        <v>38</v>
      </c>
      <c r="S248" t="s">
        <v>38</v>
      </c>
      <c r="T248" t="s">
        <v>3153</v>
      </c>
      <c r="U248" t="s">
        <v>49</v>
      </c>
      <c r="V248" t="s">
        <v>3154</v>
      </c>
    </row>
    <row r="249" spans="1:22" x14ac:dyDescent="0.2">
      <c r="A249" t="s">
        <v>558</v>
      </c>
      <c r="B249" t="s">
        <v>559</v>
      </c>
      <c r="C249" t="s">
        <v>96</v>
      </c>
      <c r="D249" t="s">
        <v>97</v>
      </c>
      <c r="E249" t="s">
        <v>53</v>
      </c>
      <c r="F249" t="s">
        <v>45</v>
      </c>
      <c r="G249" t="s">
        <v>46</v>
      </c>
      <c r="H249" t="s">
        <v>36</v>
      </c>
      <c r="I249" t="s">
        <v>106</v>
      </c>
      <c r="J249" t="s">
        <v>48</v>
      </c>
      <c r="K249" s="4">
        <v>45826</v>
      </c>
      <c r="L249" s="4">
        <v>46006</v>
      </c>
      <c r="M249" t="s">
        <v>38</v>
      </c>
      <c r="N249" t="s">
        <v>75</v>
      </c>
      <c r="O249">
        <v>3</v>
      </c>
      <c r="P249" t="s">
        <v>56</v>
      </c>
      <c r="Q249" s="4">
        <v>46363</v>
      </c>
      <c r="R249" t="s">
        <v>84</v>
      </c>
      <c r="S249" t="s">
        <v>38</v>
      </c>
      <c r="T249" t="s">
        <v>3153</v>
      </c>
      <c r="U249" t="s">
        <v>75</v>
      </c>
      <c r="V249" t="s">
        <v>3152</v>
      </c>
    </row>
    <row r="250" spans="1:22" x14ac:dyDescent="0.2">
      <c r="A250" t="s">
        <v>560</v>
      </c>
      <c r="B250" t="s">
        <v>561</v>
      </c>
      <c r="C250" t="s">
        <v>42</v>
      </c>
      <c r="D250" t="s">
        <v>43</v>
      </c>
      <c r="E250" t="s">
        <v>60</v>
      </c>
      <c r="F250" t="s">
        <v>67</v>
      </c>
      <c r="G250" t="s">
        <v>68</v>
      </c>
      <c r="H250" t="s">
        <v>88</v>
      </c>
      <c r="I250" t="s">
        <v>62</v>
      </c>
      <c r="J250" t="s">
        <v>48</v>
      </c>
      <c r="K250" s="4">
        <v>46256</v>
      </c>
      <c r="L250" s="4">
        <v>46436</v>
      </c>
      <c r="M250" t="s">
        <v>69</v>
      </c>
      <c r="N250" t="s">
        <v>49</v>
      </c>
      <c r="O250">
        <v>1</v>
      </c>
      <c r="P250" t="s">
        <v>106</v>
      </c>
      <c r="Q250" s="4">
        <v>46140</v>
      </c>
      <c r="R250" t="s">
        <v>38</v>
      </c>
      <c r="S250" t="s">
        <v>3155</v>
      </c>
      <c r="T250" t="s">
        <v>3153</v>
      </c>
      <c r="U250" t="s">
        <v>49</v>
      </c>
      <c r="V250" t="s">
        <v>3154</v>
      </c>
    </row>
    <row r="251" spans="1:22" x14ac:dyDescent="0.2">
      <c r="A251" t="s">
        <v>562</v>
      </c>
      <c r="B251" t="s">
        <v>563</v>
      </c>
      <c r="C251" t="s">
        <v>96</v>
      </c>
      <c r="D251" t="s">
        <v>97</v>
      </c>
      <c r="E251" t="s">
        <v>53</v>
      </c>
      <c r="F251" t="s">
        <v>67</v>
      </c>
      <c r="G251" t="s">
        <v>118</v>
      </c>
      <c r="H251" t="s">
        <v>36</v>
      </c>
      <c r="I251" t="s">
        <v>70</v>
      </c>
      <c r="J251" t="s">
        <v>37</v>
      </c>
      <c r="K251" s="4">
        <v>45831</v>
      </c>
      <c r="L251" s="4">
        <v>45921</v>
      </c>
      <c r="M251" t="s">
        <v>38</v>
      </c>
      <c r="O251">
        <v>1</v>
      </c>
      <c r="P251" t="s">
        <v>56</v>
      </c>
      <c r="Q251" s="4">
        <v>46268</v>
      </c>
      <c r="R251" t="s">
        <v>38</v>
      </c>
      <c r="S251" t="s">
        <v>38</v>
      </c>
      <c r="T251" t="s">
        <v>3153</v>
      </c>
      <c r="U251" t="s">
        <v>3151</v>
      </c>
      <c r="V251" t="s">
        <v>3152</v>
      </c>
    </row>
    <row r="252" spans="1:22" x14ac:dyDescent="0.2">
      <c r="A252" t="s">
        <v>564</v>
      </c>
      <c r="B252" t="s">
        <v>565</v>
      </c>
      <c r="C252" t="s">
        <v>31</v>
      </c>
      <c r="D252" t="s">
        <v>87</v>
      </c>
      <c r="E252" t="s">
        <v>60</v>
      </c>
      <c r="F252" t="s">
        <v>34</v>
      </c>
      <c r="G252" t="s">
        <v>35</v>
      </c>
      <c r="H252" t="s">
        <v>88</v>
      </c>
      <c r="I252" t="s">
        <v>54</v>
      </c>
      <c r="J252" t="s">
        <v>48</v>
      </c>
      <c r="K252" s="4">
        <v>46049</v>
      </c>
      <c r="L252" s="4">
        <v>46139</v>
      </c>
      <c r="M252" t="s">
        <v>38</v>
      </c>
      <c r="N252" t="s">
        <v>75</v>
      </c>
      <c r="O252">
        <v>3</v>
      </c>
      <c r="P252" t="s">
        <v>70</v>
      </c>
      <c r="Q252" s="4">
        <v>46379</v>
      </c>
      <c r="R252" t="s">
        <v>84</v>
      </c>
      <c r="S252" t="s">
        <v>38</v>
      </c>
      <c r="T252" t="s">
        <v>3153</v>
      </c>
      <c r="U252" t="s">
        <v>75</v>
      </c>
      <c r="V252" t="s">
        <v>3154</v>
      </c>
    </row>
    <row r="253" spans="1:22" x14ac:dyDescent="0.2">
      <c r="A253" t="s">
        <v>566</v>
      </c>
      <c r="B253" t="s">
        <v>567</v>
      </c>
      <c r="C253" t="s">
        <v>31</v>
      </c>
      <c r="D253" t="s">
        <v>87</v>
      </c>
      <c r="E253" t="s">
        <v>44</v>
      </c>
      <c r="F253" t="s">
        <v>67</v>
      </c>
      <c r="G253" t="s">
        <v>118</v>
      </c>
      <c r="H253" t="s">
        <v>36</v>
      </c>
      <c r="I253" t="s">
        <v>39</v>
      </c>
      <c r="J253" t="s">
        <v>48</v>
      </c>
      <c r="K253" s="4">
        <v>46187</v>
      </c>
      <c r="L253" s="4">
        <v>46277</v>
      </c>
      <c r="M253" t="s">
        <v>38</v>
      </c>
      <c r="N253" t="s">
        <v>55</v>
      </c>
      <c r="O253">
        <v>0</v>
      </c>
      <c r="P253" t="s">
        <v>106</v>
      </c>
      <c r="Q253" s="4">
        <v>46242</v>
      </c>
      <c r="R253" t="s">
        <v>57</v>
      </c>
      <c r="S253" t="s">
        <v>38</v>
      </c>
      <c r="T253" t="s">
        <v>3153</v>
      </c>
      <c r="U253" t="s">
        <v>55</v>
      </c>
      <c r="V253" t="s">
        <v>3152</v>
      </c>
    </row>
    <row r="254" spans="1:22" x14ac:dyDescent="0.2">
      <c r="A254" t="s">
        <v>568</v>
      </c>
      <c r="B254" t="s">
        <v>569</v>
      </c>
      <c r="C254" t="s">
        <v>103</v>
      </c>
      <c r="D254" t="s">
        <v>104</v>
      </c>
      <c r="E254" t="s">
        <v>53</v>
      </c>
      <c r="F254" t="s">
        <v>34</v>
      </c>
      <c r="G254" t="s">
        <v>35</v>
      </c>
      <c r="H254" t="s">
        <v>88</v>
      </c>
      <c r="I254" t="s">
        <v>111</v>
      </c>
      <c r="J254" t="s">
        <v>37</v>
      </c>
      <c r="K254" s="4">
        <v>46017</v>
      </c>
      <c r="L254" s="4">
        <v>46197</v>
      </c>
      <c r="M254" t="s">
        <v>38</v>
      </c>
      <c r="N254" t="s">
        <v>49</v>
      </c>
      <c r="O254">
        <v>0</v>
      </c>
      <c r="P254" t="s">
        <v>111</v>
      </c>
      <c r="Q254" s="4">
        <v>46130</v>
      </c>
      <c r="R254" t="s">
        <v>57</v>
      </c>
      <c r="S254" t="s">
        <v>38</v>
      </c>
      <c r="T254" t="s">
        <v>3153</v>
      </c>
      <c r="U254" t="s">
        <v>49</v>
      </c>
      <c r="V254" t="s">
        <v>3154</v>
      </c>
    </row>
    <row r="255" spans="1:22" x14ac:dyDescent="0.2">
      <c r="A255" t="s">
        <v>570</v>
      </c>
      <c r="B255" t="s">
        <v>571</v>
      </c>
      <c r="C255" t="s">
        <v>31</v>
      </c>
      <c r="D255" t="s">
        <v>87</v>
      </c>
      <c r="E255" t="s">
        <v>60</v>
      </c>
      <c r="F255" t="s">
        <v>45</v>
      </c>
      <c r="G255" t="s">
        <v>61</v>
      </c>
      <c r="H255" t="s">
        <v>88</v>
      </c>
      <c r="I255" t="s">
        <v>106</v>
      </c>
      <c r="J255" t="s">
        <v>63</v>
      </c>
      <c r="K255" s="4">
        <v>46192</v>
      </c>
      <c r="L255" s="4">
        <v>46372</v>
      </c>
      <c r="M255" t="s">
        <v>84</v>
      </c>
      <c r="N255" t="s">
        <v>75</v>
      </c>
      <c r="O255">
        <v>0</v>
      </c>
      <c r="P255" t="s">
        <v>54</v>
      </c>
      <c r="Q255" s="4">
        <v>46312</v>
      </c>
      <c r="R255" t="s">
        <v>57</v>
      </c>
      <c r="S255" t="s">
        <v>3155</v>
      </c>
      <c r="T255" t="s">
        <v>3153</v>
      </c>
      <c r="U255" t="s">
        <v>75</v>
      </c>
      <c r="V255" t="s">
        <v>3154</v>
      </c>
    </row>
    <row r="256" spans="1:22" x14ac:dyDescent="0.2">
      <c r="A256" t="s">
        <v>572</v>
      </c>
      <c r="B256" t="s">
        <v>573</v>
      </c>
      <c r="C256" t="s">
        <v>31</v>
      </c>
      <c r="D256" t="s">
        <v>83</v>
      </c>
      <c r="E256" t="s">
        <v>91</v>
      </c>
      <c r="F256" t="s">
        <v>45</v>
      </c>
      <c r="G256" t="s">
        <v>46</v>
      </c>
      <c r="H256" t="s">
        <v>47</v>
      </c>
      <c r="I256" t="s">
        <v>62</v>
      </c>
      <c r="J256" t="s">
        <v>48</v>
      </c>
      <c r="K256" s="4">
        <v>46013</v>
      </c>
      <c r="L256" s="4">
        <v>46103</v>
      </c>
      <c r="M256" t="s">
        <v>38</v>
      </c>
      <c r="N256" t="s">
        <v>49</v>
      </c>
      <c r="O256">
        <v>0</v>
      </c>
      <c r="P256" t="s">
        <v>39</v>
      </c>
      <c r="Q256" s="4">
        <v>46357</v>
      </c>
      <c r="R256" t="s">
        <v>57</v>
      </c>
      <c r="S256" t="s">
        <v>38</v>
      </c>
      <c r="T256" t="s">
        <v>3153</v>
      </c>
      <c r="U256" t="s">
        <v>49</v>
      </c>
      <c r="V256" t="s">
        <v>3154</v>
      </c>
    </row>
    <row r="257" spans="1:22" x14ac:dyDescent="0.2">
      <c r="A257" t="s">
        <v>574</v>
      </c>
      <c r="B257" t="s">
        <v>575</v>
      </c>
      <c r="C257" t="s">
        <v>73</v>
      </c>
      <c r="D257" t="s">
        <v>74</v>
      </c>
      <c r="E257" t="s">
        <v>60</v>
      </c>
      <c r="F257" t="s">
        <v>45</v>
      </c>
      <c r="G257" t="s">
        <v>61</v>
      </c>
      <c r="H257" t="s">
        <v>36</v>
      </c>
      <c r="I257" t="s">
        <v>56</v>
      </c>
      <c r="J257" t="s">
        <v>37</v>
      </c>
      <c r="K257" s="4">
        <v>45911</v>
      </c>
      <c r="L257" s="4">
        <v>46276</v>
      </c>
      <c r="M257" t="s">
        <v>38</v>
      </c>
      <c r="N257" t="s">
        <v>49</v>
      </c>
      <c r="O257">
        <v>2</v>
      </c>
      <c r="P257" t="s">
        <v>54</v>
      </c>
      <c r="Q257" s="4">
        <v>46331</v>
      </c>
      <c r="R257" t="s">
        <v>84</v>
      </c>
      <c r="S257" t="s">
        <v>38</v>
      </c>
      <c r="T257" t="s">
        <v>3153</v>
      </c>
      <c r="U257" t="s">
        <v>49</v>
      </c>
      <c r="V257" t="s">
        <v>3152</v>
      </c>
    </row>
    <row r="258" spans="1:22" x14ac:dyDescent="0.2">
      <c r="A258" t="s">
        <v>576</v>
      </c>
      <c r="B258" t="s">
        <v>577</v>
      </c>
      <c r="C258" t="s">
        <v>42</v>
      </c>
      <c r="D258" t="s">
        <v>43</v>
      </c>
      <c r="E258" t="s">
        <v>91</v>
      </c>
      <c r="F258" t="s">
        <v>67</v>
      </c>
      <c r="G258" t="s">
        <v>118</v>
      </c>
      <c r="H258" t="s">
        <v>88</v>
      </c>
      <c r="I258" t="s">
        <v>62</v>
      </c>
      <c r="J258" t="s">
        <v>63</v>
      </c>
      <c r="K258" s="4">
        <v>45976</v>
      </c>
      <c r="L258" s="4">
        <v>46066</v>
      </c>
      <c r="M258" t="s">
        <v>38</v>
      </c>
      <c r="N258" t="s">
        <v>55</v>
      </c>
      <c r="O258">
        <v>2</v>
      </c>
      <c r="P258" t="s">
        <v>70</v>
      </c>
      <c r="Q258" s="4">
        <v>46402</v>
      </c>
      <c r="R258" t="s">
        <v>84</v>
      </c>
      <c r="S258" t="s">
        <v>38</v>
      </c>
      <c r="T258" t="s">
        <v>3153</v>
      </c>
      <c r="U258" t="s">
        <v>55</v>
      </c>
      <c r="V258" t="s">
        <v>3154</v>
      </c>
    </row>
    <row r="259" spans="1:22" x14ac:dyDescent="0.2">
      <c r="A259" t="s">
        <v>578</v>
      </c>
      <c r="B259" t="s">
        <v>579</v>
      </c>
      <c r="C259" t="s">
        <v>103</v>
      </c>
      <c r="D259" t="s">
        <v>104</v>
      </c>
      <c r="E259" t="s">
        <v>53</v>
      </c>
      <c r="F259" t="s">
        <v>67</v>
      </c>
      <c r="G259" t="s">
        <v>68</v>
      </c>
      <c r="H259" t="s">
        <v>98</v>
      </c>
      <c r="I259" t="s">
        <v>106</v>
      </c>
      <c r="J259" t="s">
        <v>63</v>
      </c>
      <c r="K259" s="4">
        <v>45834</v>
      </c>
      <c r="L259" s="4">
        <v>46014</v>
      </c>
      <c r="M259" t="s">
        <v>38</v>
      </c>
      <c r="N259" t="s">
        <v>75</v>
      </c>
      <c r="O259">
        <v>5</v>
      </c>
      <c r="P259" t="s">
        <v>62</v>
      </c>
      <c r="Q259" s="4">
        <v>46267</v>
      </c>
      <c r="R259" t="s">
        <v>64</v>
      </c>
      <c r="S259" t="s">
        <v>38</v>
      </c>
      <c r="T259" t="s">
        <v>3153</v>
      </c>
      <c r="U259" t="s">
        <v>75</v>
      </c>
      <c r="V259" t="s">
        <v>3152</v>
      </c>
    </row>
    <row r="260" spans="1:22" x14ac:dyDescent="0.2">
      <c r="A260" t="s">
        <v>580</v>
      </c>
      <c r="B260" t="s">
        <v>581</v>
      </c>
      <c r="C260" t="s">
        <v>31</v>
      </c>
      <c r="D260" t="s">
        <v>87</v>
      </c>
      <c r="E260" t="s">
        <v>91</v>
      </c>
      <c r="F260" t="s">
        <v>34</v>
      </c>
      <c r="G260" t="s">
        <v>35</v>
      </c>
      <c r="H260" t="s">
        <v>47</v>
      </c>
      <c r="I260" t="s">
        <v>39</v>
      </c>
      <c r="J260" t="s">
        <v>63</v>
      </c>
      <c r="K260" s="4">
        <v>45940</v>
      </c>
      <c r="L260" s="4">
        <v>46120</v>
      </c>
      <c r="M260" t="s">
        <v>38</v>
      </c>
      <c r="N260" t="s">
        <v>75</v>
      </c>
      <c r="O260">
        <v>2</v>
      </c>
      <c r="P260" t="s">
        <v>54</v>
      </c>
      <c r="Q260" s="4">
        <v>46329</v>
      </c>
      <c r="R260" t="s">
        <v>84</v>
      </c>
      <c r="S260" t="s">
        <v>38</v>
      </c>
      <c r="T260" t="s">
        <v>3153</v>
      </c>
      <c r="U260" t="s">
        <v>75</v>
      </c>
      <c r="V260" t="s">
        <v>3154</v>
      </c>
    </row>
    <row r="261" spans="1:22" x14ac:dyDescent="0.2">
      <c r="A261" t="s">
        <v>582</v>
      </c>
      <c r="B261" t="s">
        <v>583</v>
      </c>
      <c r="C261" t="s">
        <v>31</v>
      </c>
      <c r="D261" t="s">
        <v>83</v>
      </c>
      <c r="E261" t="s">
        <v>91</v>
      </c>
      <c r="F261" t="s">
        <v>67</v>
      </c>
      <c r="G261" t="s">
        <v>68</v>
      </c>
      <c r="H261" t="s">
        <v>88</v>
      </c>
      <c r="I261" t="s">
        <v>111</v>
      </c>
      <c r="J261" t="s">
        <v>48</v>
      </c>
      <c r="K261" s="4">
        <v>45811</v>
      </c>
      <c r="L261" s="4">
        <v>46176</v>
      </c>
      <c r="M261" t="s">
        <v>38</v>
      </c>
      <c r="N261" t="s">
        <v>75</v>
      </c>
      <c r="O261">
        <v>2</v>
      </c>
      <c r="P261" t="s">
        <v>111</v>
      </c>
      <c r="Q261" s="4">
        <v>46202</v>
      </c>
      <c r="R261" t="s">
        <v>38</v>
      </c>
      <c r="S261" t="s">
        <v>38</v>
      </c>
      <c r="T261" t="s">
        <v>3153</v>
      </c>
      <c r="U261" t="s">
        <v>75</v>
      </c>
      <c r="V261" t="s">
        <v>3154</v>
      </c>
    </row>
    <row r="262" spans="1:22" x14ac:dyDescent="0.2">
      <c r="A262" t="s">
        <v>584</v>
      </c>
      <c r="B262" t="s">
        <v>585</v>
      </c>
      <c r="C262" t="s">
        <v>73</v>
      </c>
      <c r="D262" t="s">
        <v>74</v>
      </c>
      <c r="E262" t="s">
        <v>91</v>
      </c>
      <c r="F262" t="s">
        <v>45</v>
      </c>
      <c r="G262" t="s">
        <v>61</v>
      </c>
      <c r="H262" t="s">
        <v>36</v>
      </c>
      <c r="I262" t="s">
        <v>50</v>
      </c>
      <c r="J262" t="s">
        <v>63</v>
      </c>
      <c r="K262" s="4">
        <v>45927</v>
      </c>
      <c r="L262" s="4">
        <v>46107</v>
      </c>
      <c r="M262" t="s">
        <v>38</v>
      </c>
      <c r="N262" t="s">
        <v>49</v>
      </c>
      <c r="O262">
        <v>0</v>
      </c>
      <c r="P262" t="s">
        <v>56</v>
      </c>
      <c r="Q262" s="4">
        <v>46228</v>
      </c>
      <c r="R262" t="s">
        <v>57</v>
      </c>
      <c r="S262" t="s">
        <v>38</v>
      </c>
      <c r="T262" t="s">
        <v>3153</v>
      </c>
      <c r="U262" t="s">
        <v>49</v>
      </c>
      <c r="V262" t="s">
        <v>3152</v>
      </c>
    </row>
    <row r="263" spans="1:22" x14ac:dyDescent="0.2">
      <c r="A263" t="s">
        <v>586</v>
      </c>
      <c r="B263" t="s">
        <v>587</v>
      </c>
      <c r="C263" t="s">
        <v>31</v>
      </c>
      <c r="D263" t="s">
        <v>32</v>
      </c>
      <c r="E263" t="s">
        <v>53</v>
      </c>
      <c r="F263" t="s">
        <v>67</v>
      </c>
      <c r="G263" t="s">
        <v>118</v>
      </c>
      <c r="H263" t="s">
        <v>47</v>
      </c>
      <c r="I263" t="s">
        <v>56</v>
      </c>
      <c r="J263" t="s">
        <v>48</v>
      </c>
      <c r="K263" s="4">
        <v>46038</v>
      </c>
      <c r="L263" s="4">
        <v>46128</v>
      </c>
      <c r="M263" t="s">
        <v>38</v>
      </c>
      <c r="N263" t="s">
        <v>75</v>
      </c>
      <c r="O263">
        <v>0</v>
      </c>
      <c r="P263" t="s">
        <v>70</v>
      </c>
      <c r="Q263" s="4">
        <v>46413</v>
      </c>
      <c r="R263" t="s">
        <v>57</v>
      </c>
      <c r="S263" t="s">
        <v>38</v>
      </c>
      <c r="T263" t="s">
        <v>3153</v>
      </c>
      <c r="U263" t="s">
        <v>75</v>
      </c>
      <c r="V263" t="s">
        <v>3154</v>
      </c>
    </row>
    <row r="264" spans="1:22" x14ac:dyDescent="0.2">
      <c r="A264" t="s">
        <v>588</v>
      </c>
      <c r="B264" t="s">
        <v>589</v>
      </c>
      <c r="C264" t="s">
        <v>96</v>
      </c>
      <c r="D264" t="s">
        <v>97</v>
      </c>
      <c r="E264" t="s">
        <v>60</v>
      </c>
      <c r="F264" t="s">
        <v>34</v>
      </c>
      <c r="G264" t="s">
        <v>35</v>
      </c>
      <c r="H264" t="s">
        <v>47</v>
      </c>
      <c r="I264" t="s">
        <v>39</v>
      </c>
      <c r="J264" t="s">
        <v>37</v>
      </c>
      <c r="K264" s="4">
        <v>45830</v>
      </c>
      <c r="L264" s="4">
        <v>45920</v>
      </c>
      <c r="M264" t="s">
        <v>38</v>
      </c>
      <c r="N264" t="s">
        <v>55</v>
      </c>
      <c r="O264">
        <v>1</v>
      </c>
      <c r="P264" t="s">
        <v>50</v>
      </c>
      <c r="Q264" s="4">
        <v>46290</v>
      </c>
      <c r="R264" t="s">
        <v>38</v>
      </c>
      <c r="S264" t="s">
        <v>38</v>
      </c>
      <c r="T264" t="s">
        <v>3153</v>
      </c>
      <c r="U264" t="s">
        <v>55</v>
      </c>
      <c r="V264" t="s">
        <v>3154</v>
      </c>
    </row>
    <row r="265" spans="1:22" x14ac:dyDescent="0.2">
      <c r="A265" t="s">
        <v>590</v>
      </c>
      <c r="B265" t="s">
        <v>591</v>
      </c>
      <c r="C265" t="s">
        <v>31</v>
      </c>
      <c r="D265" t="s">
        <v>83</v>
      </c>
      <c r="E265" t="s">
        <v>53</v>
      </c>
      <c r="F265" t="s">
        <v>45</v>
      </c>
      <c r="G265" t="s">
        <v>61</v>
      </c>
      <c r="H265" t="s">
        <v>88</v>
      </c>
      <c r="I265" t="s">
        <v>50</v>
      </c>
      <c r="J265" t="s">
        <v>48</v>
      </c>
      <c r="K265" s="4">
        <v>46115</v>
      </c>
      <c r="L265" s="4">
        <v>46480</v>
      </c>
      <c r="M265" t="s">
        <v>64</v>
      </c>
      <c r="N265" t="s">
        <v>75</v>
      </c>
      <c r="O265">
        <v>2</v>
      </c>
      <c r="P265" t="s">
        <v>111</v>
      </c>
      <c r="Q265" s="4">
        <v>46222</v>
      </c>
      <c r="R265" t="s">
        <v>38</v>
      </c>
      <c r="S265" t="s">
        <v>3155</v>
      </c>
      <c r="T265" t="s">
        <v>3153</v>
      </c>
      <c r="U265" t="s">
        <v>75</v>
      </c>
      <c r="V265" t="s">
        <v>3154</v>
      </c>
    </row>
    <row r="266" spans="1:22" x14ac:dyDescent="0.2">
      <c r="A266" t="s">
        <v>592</v>
      </c>
      <c r="B266" t="s">
        <v>593</v>
      </c>
      <c r="C266" t="s">
        <v>103</v>
      </c>
      <c r="D266" t="s">
        <v>104</v>
      </c>
      <c r="E266" t="s">
        <v>60</v>
      </c>
      <c r="F266" t="s">
        <v>45</v>
      </c>
      <c r="G266" t="s">
        <v>46</v>
      </c>
      <c r="H266" t="s">
        <v>88</v>
      </c>
      <c r="I266" t="s">
        <v>62</v>
      </c>
      <c r="J266" t="s">
        <v>37</v>
      </c>
      <c r="K266" s="4">
        <v>46069</v>
      </c>
      <c r="L266" s="4">
        <v>46249</v>
      </c>
      <c r="M266" t="s">
        <v>38</v>
      </c>
      <c r="N266" t="s">
        <v>75</v>
      </c>
      <c r="O266">
        <v>3</v>
      </c>
      <c r="P266" t="s">
        <v>39</v>
      </c>
      <c r="Q266" s="4">
        <v>46117</v>
      </c>
      <c r="R266" t="s">
        <v>64</v>
      </c>
      <c r="S266" t="s">
        <v>38</v>
      </c>
      <c r="T266" t="s">
        <v>3153</v>
      </c>
      <c r="U266" t="s">
        <v>75</v>
      </c>
      <c r="V266" t="s">
        <v>3154</v>
      </c>
    </row>
    <row r="267" spans="1:22" x14ac:dyDescent="0.2">
      <c r="A267" t="s">
        <v>594</v>
      </c>
      <c r="B267" t="s">
        <v>595</v>
      </c>
      <c r="C267" t="s">
        <v>42</v>
      </c>
      <c r="D267" t="s">
        <v>43</v>
      </c>
      <c r="E267" t="s">
        <v>105</v>
      </c>
      <c r="F267" t="s">
        <v>67</v>
      </c>
      <c r="G267" t="s">
        <v>68</v>
      </c>
      <c r="H267" t="s">
        <v>88</v>
      </c>
      <c r="I267" t="s">
        <v>54</v>
      </c>
      <c r="J267" t="s">
        <v>48</v>
      </c>
      <c r="K267" s="4">
        <v>46160</v>
      </c>
      <c r="L267" s="4">
        <v>46525</v>
      </c>
      <c r="M267" t="s">
        <v>69</v>
      </c>
      <c r="N267" t="s">
        <v>55</v>
      </c>
      <c r="O267">
        <v>0</v>
      </c>
      <c r="P267" t="s">
        <v>39</v>
      </c>
      <c r="Q267" s="4">
        <v>46311</v>
      </c>
      <c r="R267" t="s">
        <v>57</v>
      </c>
      <c r="S267" t="s">
        <v>3155</v>
      </c>
      <c r="T267" t="s">
        <v>3153</v>
      </c>
      <c r="U267" t="s">
        <v>55</v>
      </c>
      <c r="V267" t="s">
        <v>3154</v>
      </c>
    </row>
    <row r="268" spans="1:22" x14ac:dyDescent="0.2">
      <c r="A268" t="s">
        <v>596</v>
      </c>
      <c r="B268" t="s">
        <v>597</v>
      </c>
      <c r="C268" t="s">
        <v>78</v>
      </c>
      <c r="D268" t="s">
        <v>79</v>
      </c>
      <c r="E268" t="s">
        <v>80</v>
      </c>
      <c r="F268" t="s">
        <v>67</v>
      </c>
      <c r="G268" t="s">
        <v>118</v>
      </c>
      <c r="H268" t="s">
        <v>36</v>
      </c>
      <c r="I268" t="s">
        <v>106</v>
      </c>
      <c r="J268" t="s">
        <v>48</v>
      </c>
      <c r="K268" s="4">
        <v>46053</v>
      </c>
      <c r="L268" s="4">
        <v>46418</v>
      </c>
      <c r="M268" t="s">
        <v>69</v>
      </c>
      <c r="N268" t="s">
        <v>75</v>
      </c>
      <c r="O268">
        <v>2</v>
      </c>
      <c r="P268" t="s">
        <v>54</v>
      </c>
      <c r="Q268" s="4">
        <v>46211</v>
      </c>
      <c r="R268" t="s">
        <v>64</v>
      </c>
      <c r="S268" t="s">
        <v>3155</v>
      </c>
      <c r="T268" t="s">
        <v>3153</v>
      </c>
      <c r="U268" t="s">
        <v>75</v>
      </c>
      <c r="V268" t="s">
        <v>3152</v>
      </c>
    </row>
    <row r="269" spans="1:22" x14ac:dyDescent="0.2">
      <c r="A269" t="s">
        <v>598</v>
      </c>
      <c r="B269" t="s">
        <v>599</v>
      </c>
      <c r="C269" t="s">
        <v>31</v>
      </c>
      <c r="D269" t="s">
        <v>87</v>
      </c>
      <c r="E269" t="s">
        <v>44</v>
      </c>
      <c r="F269" t="s">
        <v>34</v>
      </c>
      <c r="G269" t="s">
        <v>35</v>
      </c>
      <c r="H269" t="s">
        <v>36</v>
      </c>
      <c r="I269" t="s">
        <v>50</v>
      </c>
      <c r="J269" t="s">
        <v>48</v>
      </c>
      <c r="K269" s="4">
        <v>46212</v>
      </c>
      <c r="L269" s="4">
        <v>46392</v>
      </c>
      <c r="M269" t="s">
        <v>84</v>
      </c>
      <c r="N269" t="s">
        <v>75</v>
      </c>
      <c r="O269">
        <v>5</v>
      </c>
      <c r="P269" t="s">
        <v>70</v>
      </c>
      <c r="Q269" s="4">
        <v>46245</v>
      </c>
      <c r="R269" t="s">
        <v>38</v>
      </c>
      <c r="S269" t="s">
        <v>3155</v>
      </c>
      <c r="T269" t="s">
        <v>3153</v>
      </c>
      <c r="U269" t="s">
        <v>75</v>
      </c>
      <c r="V269" t="s">
        <v>3152</v>
      </c>
    </row>
    <row r="270" spans="1:22" x14ac:dyDescent="0.2">
      <c r="A270" t="s">
        <v>600</v>
      </c>
      <c r="B270" t="s">
        <v>601</v>
      </c>
      <c r="C270" t="s">
        <v>103</v>
      </c>
      <c r="D270" t="s">
        <v>104</v>
      </c>
      <c r="E270" t="s">
        <v>105</v>
      </c>
      <c r="F270" t="s">
        <v>34</v>
      </c>
      <c r="G270" t="s">
        <v>35</v>
      </c>
      <c r="H270" t="s">
        <v>88</v>
      </c>
      <c r="I270" t="s">
        <v>62</v>
      </c>
      <c r="J270" t="s">
        <v>63</v>
      </c>
      <c r="K270" s="4">
        <v>46048</v>
      </c>
      <c r="L270" s="4">
        <v>46228</v>
      </c>
      <c r="M270" t="s">
        <v>38</v>
      </c>
      <c r="N270" t="s">
        <v>55</v>
      </c>
      <c r="O270">
        <v>2</v>
      </c>
      <c r="P270" t="s">
        <v>39</v>
      </c>
      <c r="Q270" s="4">
        <v>46357</v>
      </c>
      <c r="R270" t="s">
        <v>84</v>
      </c>
      <c r="S270" t="s">
        <v>38</v>
      </c>
      <c r="T270" t="s">
        <v>3153</v>
      </c>
      <c r="U270" t="s">
        <v>55</v>
      </c>
      <c r="V270" t="s">
        <v>3154</v>
      </c>
    </row>
    <row r="271" spans="1:22" x14ac:dyDescent="0.2">
      <c r="A271" t="s">
        <v>602</v>
      </c>
      <c r="B271" t="s">
        <v>603</v>
      </c>
      <c r="C271" t="s">
        <v>31</v>
      </c>
      <c r="D271" t="s">
        <v>32</v>
      </c>
      <c r="E271" t="s">
        <v>91</v>
      </c>
      <c r="F271" t="s">
        <v>67</v>
      </c>
      <c r="G271" t="s">
        <v>118</v>
      </c>
      <c r="H271" t="s">
        <v>47</v>
      </c>
      <c r="I271" t="s">
        <v>56</v>
      </c>
      <c r="J271" t="s">
        <v>48</v>
      </c>
      <c r="K271" s="4">
        <v>45957</v>
      </c>
      <c r="L271" s="4">
        <v>46322</v>
      </c>
      <c r="M271" t="s">
        <v>69</v>
      </c>
      <c r="N271" t="s">
        <v>55</v>
      </c>
      <c r="O271">
        <v>0</v>
      </c>
      <c r="P271" t="s">
        <v>111</v>
      </c>
      <c r="Q271" s="4">
        <v>46259</v>
      </c>
      <c r="R271" t="s">
        <v>57</v>
      </c>
      <c r="S271" t="s">
        <v>3155</v>
      </c>
      <c r="T271" t="s">
        <v>3153</v>
      </c>
      <c r="U271" t="s">
        <v>55</v>
      </c>
      <c r="V271" t="s">
        <v>3154</v>
      </c>
    </row>
    <row r="272" spans="1:22" x14ac:dyDescent="0.2">
      <c r="A272" t="s">
        <v>604</v>
      </c>
      <c r="B272" t="s">
        <v>605</v>
      </c>
      <c r="C272" t="s">
        <v>96</v>
      </c>
      <c r="D272" t="s">
        <v>97</v>
      </c>
      <c r="E272" t="s">
        <v>53</v>
      </c>
      <c r="F272" t="s">
        <v>45</v>
      </c>
      <c r="G272" t="s">
        <v>46</v>
      </c>
      <c r="H272" t="s">
        <v>36</v>
      </c>
      <c r="I272" t="s">
        <v>54</v>
      </c>
      <c r="J272" t="s">
        <v>63</v>
      </c>
      <c r="K272" s="4">
        <v>46092</v>
      </c>
      <c r="L272" s="4">
        <v>46457</v>
      </c>
      <c r="M272" t="s">
        <v>64</v>
      </c>
      <c r="N272" t="s">
        <v>55</v>
      </c>
      <c r="O272">
        <v>0</v>
      </c>
      <c r="P272" t="s">
        <v>111</v>
      </c>
      <c r="Q272" s="4">
        <v>46395</v>
      </c>
      <c r="R272" t="s">
        <v>57</v>
      </c>
      <c r="S272" t="s">
        <v>3155</v>
      </c>
      <c r="T272" t="s">
        <v>3153</v>
      </c>
      <c r="U272" t="s">
        <v>55</v>
      </c>
      <c r="V272" t="s">
        <v>3152</v>
      </c>
    </row>
    <row r="273" spans="1:22" x14ac:dyDescent="0.2">
      <c r="A273" t="s">
        <v>606</v>
      </c>
      <c r="B273" t="s">
        <v>607</v>
      </c>
      <c r="C273" t="s">
        <v>31</v>
      </c>
      <c r="D273" t="s">
        <v>32</v>
      </c>
      <c r="E273" t="s">
        <v>105</v>
      </c>
      <c r="F273" t="s">
        <v>67</v>
      </c>
      <c r="G273" t="s">
        <v>68</v>
      </c>
      <c r="H273" t="s">
        <v>47</v>
      </c>
      <c r="I273" t="s">
        <v>70</v>
      </c>
      <c r="J273" t="s">
        <v>63</v>
      </c>
      <c r="K273" s="4">
        <v>45811</v>
      </c>
      <c r="L273" s="4">
        <v>45901</v>
      </c>
      <c r="M273" t="s">
        <v>38</v>
      </c>
      <c r="N273" t="s">
        <v>49</v>
      </c>
      <c r="O273">
        <v>3</v>
      </c>
      <c r="P273" t="s">
        <v>70</v>
      </c>
      <c r="Q273" s="4">
        <v>46191</v>
      </c>
      <c r="R273" t="s">
        <v>38</v>
      </c>
      <c r="S273" t="s">
        <v>38</v>
      </c>
      <c r="T273" t="s">
        <v>3153</v>
      </c>
      <c r="U273" t="s">
        <v>49</v>
      </c>
      <c r="V273" t="s">
        <v>3154</v>
      </c>
    </row>
    <row r="274" spans="1:22" x14ac:dyDescent="0.2">
      <c r="A274" t="s">
        <v>608</v>
      </c>
      <c r="B274" t="s">
        <v>609</v>
      </c>
      <c r="C274" t="s">
        <v>73</v>
      </c>
      <c r="D274" t="s">
        <v>74</v>
      </c>
      <c r="E274" t="s">
        <v>80</v>
      </c>
      <c r="F274" t="s">
        <v>67</v>
      </c>
      <c r="G274" t="s">
        <v>68</v>
      </c>
      <c r="H274" t="s">
        <v>98</v>
      </c>
      <c r="I274" t="s">
        <v>56</v>
      </c>
      <c r="J274" t="s">
        <v>63</v>
      </c>
      <c r="K274" s="4">
        <v>46140</v>
      </c>
      <c r="L274" s="4">
        <v>46320</v>
      </c>
      <c r="M274" t="s">
        <v>64</v>
      </c>
      <c r="N274" t="s">
        <v>55</v>
      </c>
      <c r="O274">
        <v>0</v>
      </c>
      <c r="P274" t="s">
        <v>106</v>
      </c>
      <c r="Q274" s="4">
        <v>46263</v>
      </c>
      <c r="R274" t="s">
        <v>57</v>
      </c>
      <c r="S274" t="s">
        <v>3155</v>
      </c>
      <c r="T274" t="s">
        <v>3153</v>
      </c>
      <c r="U274" t="s">
        <v>55</v>
      </c>
      <c r="V274" t="s">
        <v>3152</v>
      </c>
    </row>
    <row r="275" spans="1:22" x14ac:dyDescent="0.2">
      <c r="A275" t="s">
        <v>610</v>
      </c>
      <c r="B275" t="s">
        <v>611</v>
      </c>
      <c r="C275" t="s">
        <v>42</v>
      </c>
      <c r="D275" t="s">
        <v>43</v>
      </c>
      <c r="E275" t="s">
        <v>105</v>
      </c>
      <c r="F275" t="s">
        <v>67</v>
      </c>
      <c r="G275" t="s">
        <v>68</v>
      </c>
      <c r="H275" t="s">
        <v>36</v>
      </c>
      <c r="I275" t="s">
        <v>39</v>
      </c>
      <c r="J275" t="s">
        <v>48</v>
      </c>
      <c r="K275" s="4">
        <v>46271</v>
      </c>
      <c r="L275" s="4">
        <v>46361</v>
      </c>
      <c r="M275" t="s">
        <v>84</v>
      </c>
      <c r="N275" t="s">
        <v>75</v>
      </c>
      <c r="O275">
        <v>2</v>
      </c>
      <c r="P275" t="s">
        <v>106</v>
      </c>
      <c r="Q275" s="4">
        <v>46339</v>
      </c>
      <c r="R275" t="s">
        <v>84</v>
      </c>
      <c r="S275" t="s">
        <v>3155</v>
      </c>
      <c r="T275" t="s">
        <v>3153</v>
      </c>
      <c r="U275" t="s">
        <v>75</v>
      </c>
      <c r="V275" t="s">
        <v>3152</v>
      </c>
    </row>
    <row r="276" spans="1:22" x14ac:dyDescent="0.2">
      <c r="A276" t="s">
        <v>612</v>
      </c>
      <c r="B276" t="s">
        <v>613</v>
      </c>
      <c r="C276" t="s">
        <v>31</v>
      </c>
      <c r="D276" t="s">
        <v>87</v>
      </c>
      <c r="E276" t="s">
        <v>105</v>
      </c>
      <c r="F276" t="s">
        <v>67</v>
      </c>
      <c r="G276" t="s">
        <v>68</v>
      </c>
      <c r="H276" t="s">
        <v>88</v>
      </c>
      <c r="I276" t="s">
        <v>111</v>
      </c>
      <c r="J276" t="s">
        <v>48</v>
      </c>
      <c r="K276" s="4">
        <v>46136</v>
      </c>
      <c r="L276" s="4">
        <v>46316</v>
      </c>
      <c r="M276" t="s">
        <v>69</v>
      </c>
      <c r="N276" t="s">
        <v>75</v>
      </c>
      <c r="O276">
        <v>1</v>
      </c>
      <c r="P276" t="s">
        <v>70</v>
      </c>
      <c r="Q276" s="4">
        <v>46172</v>
      </c>
      <c r="R276" t="s">
        <v>64</v>
      </c>
      <c r="S276" t="s">
        <v>3155</v>
      </c>
      <c r="T276" t="s">
        <v>3153</v>
      </c>
      <c r="U276" t="s">
        <v>75</v>
      </c>
      <c r="V276" t="s">
        <v>3154</v>
      </c>
    </row>
    <row r="277" spans="1:22" x14ac:dyDescent="0.2">
      <c r="A277" t="s">
        <v>614</v>
      </c>
      <c r="B277" t="s">
        <v>615</v>
      </c>
      <c r="C277" t="s">
        <v>96</v>
      </c>
      <c r="D277" t="s">
        <v>97</v>
      </c>
      <c r="E277" t="s">
        <v>60</v>
      </c>
      <c r="F277" t="s">
        <v>67</v>
      </c>
      <c r="G277" t="s">
        <v>118</v>
      </c>
      <c r="H277" t="s">
        <v>88</v>
      </c>
      <c r="I277" t="s">
        <v>50</v>
      </c>
      <c r="J277" t="s">
        <v>48</v>
      </c>
      <c r="K277" s="4">
        <v>45963</v>
      </c>
      <c r="L277" s="4">
        <v>46143</v>
      </c>
      <c r="M277" t="s">
        <v>38</v>
      </c>
      <c r="N277" t="s">
        <v>75</v>
      </c>
      <c r="O277">
        <v>0</v>
      </c>
      <c r="P277" t="s">
        <v>62</v>
      </c>
      <c r="Q277" s="4">
        <v>46181</v>
      </c>
      <c r="R277" t="s">
        <v>57</v>
      </c>
      <c r="S277" t="s">
        <v>38</v>
      </c>
      <c r="T277" t="s">
        <v>3153</v>
      </c>
      <c r="U277" t="s">
        <v>75</v>
      </c>
      <c r="V277" t="s">
        <v>3154</v>
      </c>
    </row>
    <row r="278" spans="1:22" x14ac:dyDescent="0.2">
      <c r="A278" t="s">
        <v>616</v>
      </c>
      <c r="B278" t="s">
        <v>617</v>
      </c>
      <c r="C278" t="s">
        <v>31</v>
      </c>
      <c r="D278" t="s">
        <v>32</v>
      </c>
      <c r="E278" t="s">
        <v>105</v>
      </c>
      <c r="F278" t="s">
        <v>67</v>
      </c>
      <c r="G278" t="s">
        <v>68</v>
      </c>
      <c r="H278" t="s">
        <v>47</v>
      </c>
      <c r="I278" t="s">
        <v>106</v>
      </c>
      <c r="J278" t="s">
        <v>63</v>
      </c>
      <c r="K278" s="4">
        <v>46269</v>
      </c>
      <c r="L278" s="4">
        <v>46634</v>
      </c>
      <c r="M278" t="s">
        <v>84</v>
      </c>
      <c r="N278" t="s">
        <v>49</v>
      </c>
      <c r="O278">
        <v>2</v>
      </c>
      <c r="P278" t="s">
        <v>54</v>
      </c>
      <c r="Q278" s="4">
        <v>46380</v>
      </c>
      <c r="R278" t="s">
        <v>84</v>
      </c>
      <c r="S278" t="s">
        <v>3155</v>
      </c>
      <c r="T278" t="s">
        <v>3153</v>
      </c>
      <c r="U278" t="s">
        <v>49</v>
      </c>
      <c r="V278" t="s">
        <v>3154</v>
      </c>
    </row>
    <row r="279" spans="1:22" x14ac:dyDescent="0.2">
      <c r="A279" t="s">
        <v>618</v>
      </c>
      <c r="B279" t="s">
        <v>619</v>
      </c>
      <c r="C279" t="s">
        <v>96</v>
      </c>
      <c r="D279" t="s">
        <v>97</v>
      </c>
      <c r="E279" t="s">
        <v>91</v>
      </c>
      <c r="F279" t="s">
        <v>67</v>
      </c>
      <c r="G279" t="s">
        <v>118</v>
      </c>
      <c r="H279" t="s">
        <v>88</v>
      </c>
      <c r="I279" t="s">
        <v>62</v>
      </c>
      <c r="J279" t="s">
        <v>48</v>
      </c>
      <c r="K279" s="4">
        <v>46199</v>
      </c>
      <c r="L279" s="4">
        <v>46564</v>
      </c>
      <c r="M279" t="s">
        <v>84</v>
      </c>
      <c r="N279" t="s">
        <v>55</v>
      </c>
      <c r="O279">
        <v>1</v>
      </c>
      <c r="P279" t="s">
        <v>70</v>
      </c>
      <c r="Q279" s="4">
        <v>46373</v>
      </c>
      <c r="R279" t="s">
        <v>84</v>
      </c>
      <c r="S279" t="s">
        <v>3155</v>
      </c>
      <c r="T279" t="s">
        <v>3153</v>
      </c>
      <c r="U279" t="s">
        <v>55</v>
      </c>
      <c r="V279" t="s">
        <v>3154</v>
      </c>
    </row>
    <row r="280" spans="1:22" x14ac:dyDescent="0.2">
      <c r="A280" t="s">
        <v>620</v>
      </c>
      <c r="B280" t="s">
        <v>621</v>
      </c>
      <c r="C280" t="s">
        <v>31</v>
      </c>
      <c r="D280" t="s">
        <v>32</v>
      </c>
      <c r="E280" t="s">
        <v>44</v>
      </c>
      <c r="F280" t="s">
        <v>67</v>
      </c>
      <c r="G280" t="s">
        <v>118</v>
      </c>
      <c r="H280" t="s">
        <v>88</v>
      </c>
      <c r="I280" t="s">
        <v>56</v>
      </c>
      <c r="J280" t="s">
        <v>37</v>
      </c>
      <c r="K280" s="4">
        <v>46250</v>
      </c>
      <c r="L280" s="4">
        <v>46615</v>
      </c>
      <c r="M280" t="s">
        <v>64</v>
      </c>
      <c r="N280" t="s">
        <v>49</v>
      </c>
      <c r="O280">
        <v>3</v>
      </c>
      <c r="P280" t="s">
        <v>111</v>
      </c>
      <c r="Q280" s="4">
        <v>46321</v>
      </c>
      <c r="R280" t="s">
        <v>84</v>
      </c>
      <c r="S280" t="s">
        <v>3155</v>
      </c>
      <c r="T280" t="s">
        <v>3153</v>
      </c>
      <c r="U280" t="s">
        <v>49</v>
      </c>
      <c r="V280" t="s">
        <v>3154</v>
      </c>
    </row>
    <row r="281" spans="1:22" x14ac:dyDescent="0.2">
      <c r="A281" t="s">
        <v>622</v>
      </c>
      <c r="B281" t="s">
        <v>623</v>
      </c>
      <c r="C281" t="s">
        <v>78</v>
      </c>
      <c r="D281" t="s">
        <v>79</v>
      </c>
      <c r="E281" t="s">
        <v>80</v>
      </c>
      <c r="F281" t="s">
        <v>45</v>
      </c>
      <c r="G281" t="s">
        <v>61</v>
      </c>
      <c r="H281" t="s">
        <v>88</v>
      </c>
      <c r="I281" t="s">
        <v>111</v>
      </c>
      <c r="J281" t="s">
        <v>63</v>
      </c>
      <c r="K281" s="4">
        <v>45894</v>
      </c>
      <c r="L281" s="4">
        <v>46259</v>
      </c>
      <c r="M281" t="s">
        <v>38</v>
      </c>
      <c r="N281" t="s">
        <v>55</v>
      </c>
      <c r="O281">
        <v>0</v>
      </c>
      <c r="P281" t="s">
        <v>39</v>
      </c>
      <c r="Q281" s="4">
        <v>46321</v>
      </c>
      <c r="R281" t="s">
        <v>57</v>
      </c>
      <c r="S281" t="s">
        <v>38</v>
      </c>
      <c r="T281" t="s">
        <v>3153</v>
      </c>
      <c r="U281" t="s">
        <v>55</v>
      </c>
      <c r="V281" t="s">
        <v>3154</v>
      </c>
    </row>
    <row r="282" spans="1:22" x14ac:dyDescent="0.2">
      <c r="A282" t="s">
        <v>624</v>
      </c>
      <c r="B282" t="s">
        <v>625</v>
      </c>
      <c r="C282" t="s">
        <v>96</v>
      </c>
      <c r="D282" t="s">
        <v>97</v>
      </c>
      <c r="E282" t="s">
        <v>60</v>
      </c>
      <c r="F282" t="s">
        <v>45</v>
      </c>
      <c r="G282" t="s">
        <v>61</v>
      </c>
      <c r="H282" t="s">
        <v>88</v>
      </c>
      <c r="I282" t="s">
        <v>111</v>
      </c>
      <c r="J282" t="s">
        <v>63</v>
      </c>
      <c r="K282" s="4">
        <v>46101</v>
      </c>
      <c r="L282" s="4">
        <v>46281</v>
      </c>
      <c r="M282" t="s">
        <v>38</v>
      </c>
      <c r="N282" t="s">
        <v>55</v>
      </c>
      <c r="O282">
        <v>1</v>
      </c>
      <c r="P282" t="s">
        <v>106</v>
      </c>
      <c r="Q282" s="4">
        <v>46347</v>
      </c>
      <c r="R282" t="s">
        <v>64</v>
      </c>
      <c r="S282" t="s">
        <v>38</v>
      </c>
      <c r="T282" t="s">
        <v>3153</v>
      </c>
      <c r="U282" t="s">
        <v>55</v>
      </c>
      <c r="V282" t="s">
        <v>3154</v>
      </c>
    </row>
    <row r="283" spans="1:22" x14ac:dyDescent="0.2">
      <c r="A283" t="s">
        <v>626</v>
      </c>
      <c r="B283" t="s">
        <v>627</v>
      </c>
      <c r="C283" t="s">
        <v>31</v>
      </c>
      <c r="D283" t="s">
        <v>32</v>
      </c>
      <c r="E283" t="s">
        <v>105</v>
      </c>
      <c r="F283" t="s">
        <v>34</v>
      </c>
      <c r="G283" t="s">
        <v>35</v>
      </c>
      <c r="H283" t="s">
        <v>47</v>
      </c>
      <c r="I283" t="s">
        <v>54</v>
      </c>
      <c r="J283" t="s">
        <v>48</v>
      </c>
      <c r="K283" s="4">
        <v>46274</v>
      </c>
      <c r="L283" s="4">
        <v>46454</v>
      </c>
      <c r="M283" t="s">
        <v>64</v>
      </c>
      <c r="N283" t="s">
        <v>49</v>
      </c>
      <c r="O283">
        <v>2</v>
      </c>
      <c r="P283" t="s">
        <v>111</v>
      </c>
      <c r="Q283" s="4">
        <v>46395</v>
      </c>
      <c r="R283" t="s">
        <v>84</v>
      </c>
      <c r="S283" t="s">
        <v>3155</v>
      </c>
      <c r="T283" t="s">
        <v>3153</v>
      </c>
      <c r="U283" t="s">
        <v>49</v>
      </c>
      <c r="V283" t="s">
        <v>3154</v>
      </c>
    </row>
    <row r="284" spans="1:22" x14ac:dyDescent="0.2">
      <c r="A284" t="s">
        <v>628</v>
      </c>
      <c r="B284" t="s">
        <v>629</v>
      </c>
      <c r="C284" t="s">
        <v>103</v>
      </c>
      <c r="D284" t="s">
        <v>104</v>
      </c>
      <c r="E284" t="s">
        <v>105</v>
      </c>
      <c r="F284" t="s">
        <v>45</v>
      </c>
      <c r="G284" t="s">
        <v>61</v>
      </c>
      <c r="H284" t="s">
        <v>47</v>
      </c>
      <c r="J284" t="s">
        <v>37</v>
      </c>
      <c r="K284" s="4">
        <v>46175</v>
      </c>
      <c r="L284" s="4">
        <v>46265</v>
      </c>
      <c r="M284" t="s">
        <v>38</v>
      </c>
      <c r="N284" t="s">
        <v>55</v>
      </c>
      <c r="O284">
        <v>3</v>
      </c>
      <c r="P284" t="s">
        <v>70</v>
      </c>
      <c r="Q284" s="4">
        <v>46225</v>
      </c>
      <c r="R284" t="s">
        <v>38</v>
      </c>
      <c r="S284" t="s">
        <v>38</v>
      </c>
      <c r="T284" t="s">
        <v>3150</v>
      </c>
      <c r="U284" t="s">
        <v>55</v>
      </c>
      <c r="V284" t="s">
        <v>3154</v>
      </c>
    </row>
    <row r="285" spans="1:22" x14ac:dyDescent="0.2">
      <c r="A285" t="s">
        <v>630</v>
      </c>
      <c r="B285" t="s">
        <v>631</v>
      </c>
      <c r="C285" t="s">
        <v>96</v>
      </c>
      <c r="D285" t="s">
        <v>97</v>
      </c>
      <c r="E285" t="s">
        <v>91</v>
      </c>
      <c r="F285" t="s">
        <v>67</v>
      </c>
      <c r="G285" t="s">
        <v>68</v>
      </c>
      <c r="H285" t="s">
        <v>36</v>
      </c>
      <c r="I285" t="s">
        <v>70</v>
      </c>
      <c r="J285" t="s">
        <v>63</v>
      </c>
      <c r="K285" s="4">
        <v>45880</v>
      </c>
      <c r="L285" s="4">
        <v>46060</v>
      </c>
      <c r="M285" t="s">
        <v>38</v>
      </c>
      <c r="N285" t="s">
        <v>75</v>
      </c>
      <c r="O285">
        <v>5</v>
      </c>
      <c r="P285" t="s">
        <v>39</v>
      </c>
      <c r="Q285" s="4">
        <v>46373</v>
      </c>
      <c r="R285" t="s">
        <v>64</v>
      </c>
      <c r="S285" t="s">
        <v>38</v>
      </c>
      <c r="T285" t="s">
        <v>3153</v>
      </c>
      <c r="U285" t="s">
        <v>75</v>
      </c>
      <c r="V285" t="s">
        <v>3152</v>
      </c>
    </row>
    <row r="286" spans="1:22" x14ac:dyDescent="0.2">
      <c r="A286" t="s">
        <v>632</v>
      </c>
      <c r="B286" t="s">
        <v>633</v>
      </c>
      <c r="C286" t="s">
        <v>73</v>
      </c>
      <c r="D286" t="s">
        <v>74</v>
      </c>
      <c r="E286" t="s">
        <v>60</v>
      </c>
      <c r="F286" t="s">
        <v>34</v>
      </c>
      <c r="G286" t="s">
        <v>35</v>
      </c>
      <c r="H286" t="s">
        <v>88</v>
      </c>
      <c r="I286" t="s">
        <v>50</v>
      </c>
      <c r="J286" t="s">
        <v>37</v>
      </c>
      <c r="K286" s="4">
        <v>45921</v>
      </c>
      <c r="L286" s="4">
        <v>46286</v>
      </c>
      <c r="M286" t="s">
        <v>38</v>
      </c>
      <c r="N286" t="s">
        <v>55</v>
      </c>
      <c r="O286">
        <v>1</v>
      </c>
      <c r="P286" t="s">
        <v>62</v>
      </c>
      <c r="Q286" s="4">
        <v>46168</v>
      </c>
      <c r="R286" t="s">
        <v>38</v>
      </c>
      <c r="S286" t="s">
        <v>38</v>
      </c>
      <c r="T286" t="s">
        <v>3153</v>
      </c>
      <c r="U286" t="s">
        <v>55</v>
      </c>
      <c r="V286" t="s">
        <v>3154</v>
      </c>
    </row>
    <row r="287" spans="1:22" x14ac:dyDescent="0.2">
      <c r="A287" t="s">
        <v>634</v>
      </c>
      <c r="B287" t="s">
        <v>635</v>
      </c>
      <c r="C287" t="s">
        <v>103</v>
      </c>
      <c r="D287" t="s">
        <v>104</v>
      </c>
      <c r="E287" t="s">
        <v>53</v>
      </c>
      <c r="F287" t="s">
        <v>34</v>
      </c>
      <c r="G287" t="s">
        <v>35</v>
      </c>
      <c r="H287" t="s">
        <v>88</v>
      </c>
      <c r="I287" t="s">
        <v>106</v>
      </c>
      <c r="J287" t="s">
        <v>48</v>
      </c>
      <c r="K287" s="4">
        <v>46125</v>
      </c>
      <c r="L287" s="4">
        <v>46305</v>
      </c>
      <c r="M287" t="s">
        <v>84</v>
      </c>
      <c r="N287" t="s">
        <v>75</v>
      </c>
      <c r="O287">
        <v>2</v>
      </c>
      <c r="P287" t="s">
        <v>56</v>
      </c>
      <c r="Q287" s="4">
        <v>46395</v>
      </c>
      <c r="R287" t="s">
        <v>84</v>
      </c>
      <c r="S287" t="s">
        <v>3155</v>
      </c>
      <c r="T287" t="s">
        <v>3153</v>
      </c>
      <c r="U287" t="s">
        <v>75</v>
      </c>
      <c r="V287" t="s">
        <v>3154</v>
      </c>
    </row>
    <row r="288" spans="1:22" x14ac:dyDescent="0.2">
      <c r="A288" t="s">
        <v>636</v>
      </c>
      <c r="B288" t="s">
        <v>637</v>
      </c>
      <c r="C288" t="s">
        <v>96</v>
      </c>
      <c r="D288" t="s">
        <v>97</v>
      </c>
      <c r="E288" t="s">
        <v>91</v>
      </c>
      <c r="F288" t="s">
        <v>34</v>
      </c>
      <c r="G288" t="s">
        <v>35</v>
      </c>
      <c r="H288" t="s">
        <v>47</v>
      </c>
      <c r="I288" t="s">
        <v>50</v>
      </c>
      <c r="J288" t="s">
        <v>63</v>
      </c>
      <c r="K288" s="4">
        <v>46018</v>
      </c>
      <c r="L288" s="4">
        <v>46383</v>
      </c>
      <c r="M288" t="s">
        <v>69</v>
      </c>
      <c r="N288" t="s">
        <v>49</v>
      </c>
      <c r="O288">
        <v>0</v>
      </c>
      <c r="P288" t="s">
        <v>62</v>
      </c>
      <c r="Q288" s="4">
        <v>46295</v>
      </c>
      <c r="R288" t="s">
        <v>57</v>
      </c>
      <c r="S288" t="s">
        <v>3155</v>
      </c>
      <c r="T288" t="s">
        <v>3153</v>
      </c>
      <c r="U288" t="s">
        <v>49</v>
      </c>
      <c r="V288" t="s">
        <v>3154</v>
      </c>
    </row>
    <row r="289" spans="1:22" x14ac:dyDescent="0.2">
      <c r="A289" t="s">
        <v>638</v>
      </c>
      <c r="B289" t="s">
        <v>639</v>
      </c>
      <c r="C289" t="s">
        <v>42</v>
      </c>
      <c r="D289" t="s">
        <v>43</v>
      </c>
      <c r="E289" t="s">
        <v>80</v>
      </c>
      <c r="F289" t="s">
        <v>34</v>
      </c>
      <c r="G289" t="s">
        <v>35</v>
      </c>
      <c r="H289" t="s">
        <v>36</v>
      </c>
      <c r="I289" t="s">
        <v>70</v>
      </c>
      <c r="J289" t="s">
        <v>48</v>
      </c>
      <c r="K289" s="4">
        <v>46263</v>
      </c>
      <c r="L289" s="4">
        <v>46443</v>
      </c>
      <c r="M289" t="s">
        <v>64</v>
      </c>
      <c r="N289" t="s">
        <v>49</v>
      </c>
      <c r="O289">
        <v>0</v>
      </c>
      <c r="P289" t="s">
        <v>56</v>
      </c>
      <c r="Q289" s="4">
        <v>46217</v>
      </c>
      <c r="R289" t="s">
        <v>57</v>
      </c>
      <c r="S289" t="s">
        <v>3155</v>
      </c>
      <c r="T289" t="s">
        <v>3153</v>
      </c>
      <c r="U289" t="s">
        <v>49</v>
      </c>
      <c r="V289" t="s">
        <v>3152</v>
      </c>
    </row>
    <row r="290" spans="1:22" x14ac:dyDescent="0.2">
      <c r="A290" t="s">
        <v>640</v>
      </c>
      <c r="B290" t="s">
        <v>641</v>
      </c>
      <c r="C290" t="s">
        <v>103</v>
      </c>
      <c r="D290" t="s">
        <v>104</v>
      </c>
      <c r="E290" t="s">
        <v>44</v>
      </c>
      <c r="F290" t="s">
        <v>34</v>
      </c>
      <c r="G290" t="s">
        <v>35</v>
      </c>
      <c r="H290" t="s">
        <v>36</v>
      </c>
      <c r="I290" t="s">
        <v>56</v>
      </c>
      <c r="J290" t="s">
        <v>63</v>
      </c>
      <c r="K290" s="4">
        <v>46171</v>
      </c>
      <c r="L290" s="4">
        <v>46536</v>
      </c>
      <c r="M290" t="s">
        <v>64</v>
      </c>
      <c r="N290" t="s">
        <v>75</v>
      </c>
      <c r="O290">
        <v>0</v>
      </c>
      <c r="P290" t="s">
        <v>62</v>
      </c>
      <c r="Q290" s="4">
        <v>46402</v>
      </c>
      <c r="R290" t="s">
        <v>57</v>
      </c>
      <c r="S290" t="s">
        <v>3155</v>
      </c>
      <c r="T290" t="s">
        <v>3153</v>
      </c>
      <c r="U290" t="s">
        <v>75</v>
      </c>
      <c r="V290" t="s">
        <v>3152</v>
      </c>
    </row>
    <row r="291" spans="1:22" x14ac:dyDescent="0.2">
      <c r="A291" t="s">
        <v>642</v>
      </c>
      <c r="B291" t="s">
        <v>643</v>
      </c>
      <c r="C291" t="s">
        <v>42</v>
      </c>
      <c r="D291" t="s">
        <v>43</v>
      </c>
      <c r="E291" t="s">
        <v>91</v>
      </c>
      <c r="F291" t="s">
        <v>45</v>
      </c>
      <c r="G291" t="s">
        <v>61</v>
      </c>
      <c r="H291" t="s">
        <v>88</v>
      </c>
      <c r="I291" t="s">
        <v>62</v>
      </c>
      <c r="J291" t="s">
        <v>63</v>
      </c>
      <c r="K291" s="4">
        <v>46077</v>
      </c>
      <c r="L291" s="4">
        <v>46257</v>
      </c>
      <c r="M291" t="s">
        <v>38</v>
      </c>
      <c r="N291" t="s">
        <v>49</v>
      </c>
      <c r="O291">
        <v>2</v>
      </c>
      <c r="P291" t="s">
        <v>111</v>
      </c>
      <c r="Q291" s="4">
        <v>46397</v>
      </c>
      <c r="R291" t="s">
        <v>64</v>
      </c>
      <c r="S291" t="s">
        <v>38</v>
      </c>
      <c r="T291" t="s">
        <v>3153</v>
      </c>
      <c r="U291" t="s">
        <v>49</v>
      </c>
      <c r="V291" t="s">
        <v>3154</v>
      </c>
    </row>
    <row r="292" spans="1:22" x14ac:dyDescent="0.2">
      <c r="A292" t="s">
        <v>644</v>
      </c>
      <c r="B292" t="s">
        <v>645</v>
      </c>
      <c r="C292" t="s">
        <v>31</v>
      </c>
      <c r="D292" t="s">
        <v>32</v>
      </c>
      <c r="E292" t="s">
        <v>60</v>
      </c>
      <c r="F292" t="s">
        <v>45</v>
      </c>
      <c r="G292" t="s">
        <v>61</v>
      </c>
      <c r="H292" t="s">
        <v>88</v>
      </c>
      <c r="I292" t="s">
        <v>54</v>
      </c>
      <c r="J292" t="s">
        <v>48</v>
      </c>
      <c r="K292" s="4">
        <v>45878</v>
      </c>
      <c r="L292" s="4">
        <v>46243</v>
      </c>
      <c r="M292" t="s">
        <v>38</v>
      </c>
      <c r="N292" t="s">
        <v>55</v>
      </c>
      <c r="O292">
        <v>2</v>
      </c>
      <c r="P292" t="s">
        <v>70</v>
      </c>
      <c r="Q292" s="4">
        <v>46344</v>
      </c>
      <c r="R292" t="s">
        <v>64</v>
      </c>
      <c r="S292" t="s">
        <v>38</v>
      </c>
      <c r="T292" t="s">
        <v>3153</v>
      </c>
      <c r="U292" t="s">
        <v>55</v>
      </c>
      <c r="V292" t="s">
        <v>3154</v>
      </c>
    </row>
    <row r="293" spans="1:22" x14ac:dyDescent="0.2">
      <c r="A293" t="s">
        <v>646</v>
      </c>
      <c r="B293" t="s">
        <v>647</v>
      </c>
      <c r="C293" t="s">
        <v>31</v>
      </c>
      <c r="D293" t="s">
        <v>83</v>
      </c>
      <c r="E293" t="s">
        <v>80</v>
      </c>
      <c r="F293" t="s">
        <v>67</v>
      </c>
      <c r="G293" t="s">
        <v>68</v>
      </c>
      <c r="H293" t="s">
        <v>47</v>
      </c>
      <c r="I293" t="s">
        <v>56</v>
      </c>
      <c r="J293" t="s">
        <v>48</v>
      </c>
      <c r="K293" s="4">
        <v>46209</v>
      </c>
      <c r="L293" s="4">
        <v>46299</v>
      </c>
      <c r="M293" t="s">
        <v>69</v>
      </c>
      <c r="N293" t="s">
        <v>55</v>
      </c>
      <c r="O293">
        <v>2</v>
      </c>
      <c r="P293" t="s">
        <v>106</v>
      </c>
      <c r="Q293" s="4">
        <v>46353</v>
      </c>
      <c r="R293" t="s">
        <v>84</v>
      </c>
      <c r="S293" t="s">
        <v>3155</v>
      </c>
      <c r="T293" t="s">
        <v>3153</v>
      </c>
      <c r="U293" t="s">
        <v>55</v>
      </c>
      <c r="V293" t="s">
        <v>3154</v>
      </c>
    </row>
    <row r="294" spans="1:22" x14ac:dyDescent="0.2">
      <c r="A294" t="s">
        <v>648</v>
      </c>
      <c r="B294" t="s">
        <v>649</v>
      </c>
      <c r="C294" t="s">
        <v>31</v>
      </c>
      <c r="D294" t="s">
        <v>83</v>
      </c>
      <c r="E294" t="s">
        <v>91</v>
      </c>
      <c r="F294" t="s">
        <v>34</v>
      </c>
      <c r="G294" t="s">
        <v>35</v>
      </c>
      <c r="H294" t="s">
        <v>88</v>
      </c>
      <c r="I294" t="s">
        <v>56</v>
      </c>
      <c r="J294" t="s">
        <v>48</v>
      </c>
      <c r="K294" s="4">
        <v>46024</v>
      </c>
      <c r="L294" s="4">
        <v>46389</v>
      </c>
      <c r="M294" t="s">
        <v>84</v>
      </c>
      <c r="N294" t="s">
        <v>49</v>
      </c>
      <c r="O294">
        <v>2</v>
      </c>
      <c r="P294" t="s">
        <v>50</v>
      </c>
      <c r="Q294" s="4">
        <v>46384</v>
      </c>
      <c r="R294" t="s">
        <v>64</v>
      </c>
      <c r="S294" t="s">
        <v>3155</v>
      </c>
      <c r="T294" t="s">
        <v>3153</v>
      </c>
      <c r="U294" t="s">
        <v>49</v>
      </c>
      <c r="V294" t="s">
        <v>3154</v>
      </c>
    </row>
    <row r="295" spans="1:22" x14ac:dyDescent="0.2">
      <c r="A295" t="s">
        <v>651</v>
      </c>
      <c r="B295" t="s">
        <v>652</v>
      </c>
      <c r="C295" t="s">
        <v>96</v>
      </c>
      <c r="D295" t="s">
        <v>97</v>
      </c>
      <c r="E295" t="s">
        <v>105</v>
      </c>
      <c r="F295" t="s">
        <v>67</v>
      </c>
      <c r="G295" t="s">
        <v>118</v>
      </c>
      <c r="H295" t="s">
        <v>88</v>
      </c>
      <c r="I295" t="s">
        <v>54</v>
      </c>
      <c r="J295" t="s">
        <v>63</v>
      </c>
      <c r="K295" s="4">
        <v>45936</v>
      </c>
      <c r="L295" s="4">
        <v>46116</v>
      </c>
      <c r="M295" t="s">
        <v>38</v>
      </c>
      <c r="N295" t="s">
        <v>75</v>
      </c>
      <c r="O295">
        <v>2</v>
      </c>
      <c r="P295" t="s">
        <v>39</v>
      </c>
      <c r="Q295" s="4">
        <v>46265</v>
      </c>
      <c r="R295" t="s">
        <v>64</v>
      </c>
      <c r="S295" t="s">
        <v>38</v>
      </c>
      <c r="T295" t="s">
        <v>3153</v>
      </c>
      <c r="U295" t="s">
        <v>75</v>
      </c>
      <c r="V295" t="s">
        <v>3154</v>
      </c>
    </row>
    <row r="296" spans="1:22" x14ac:dyDescent="0.2">
      <c r="A296" t="s">
        <v>653</v>
      </c>
      <c r="B296" t="s">
        <v>654</v>
      </c>
      <c r="C296" t="s">
        <v>42</v>
      </c>
      <c r="D296" t="s">
        <v>43</v>
      </c>
      <c r="E296" t="s">
        <v>80</v>
      </c>
      <c r="F296" t="s">
        <v>45</v>
      </c>
      <c r="G296" t="s">
        <v>61</v>
      </c>
      <c r="H296" t="s">
        <v>47</v>
      </c>
      <c r="I296" t="s">
        <v>54</v>
      </c>
      <c r="J296" t="s">
        <v>63</v>
      </c>
      <c r="K296" s="4">
        <v>46255</v>
      </c>
      <c r="L296" s="4">
        <v>46620</v>
      </c>
      <c r="M296" t="s">
        <v>69</v>
      </c>
      <c r="N296" t="s">
        <v>55</v>
      </c>
      <c r="O296">
        <v>3</v>
      </c>
      <c r="P296" t="s">
        <v>106</v>
      </c>
      <c r="Q296" s="4">
        <v>46246</v>
      </c>
      <c r="R296" t="s">
        <v>38</v>
      </c>
      <c r="S296" t="s">
        <v>3155</v>
      </c>
      <c r="T296" t="s">
        <v>3153</v>
      </c>
      <c r="U296" t="s">
        <v>55</v>
      </c>
      <c r="V296" t="s">
        <v>3154</v>
      </c>
    </row>
    <row r="297" spans="1:22" x14ac:dyDescent="0.2">
      <c r="A297" t="s">
        <v>655</v>
      </c>
      <c r="B297" t="s">
        <v>656</v>
      </c>
      <c r="C297" t="s">
        <v>31</v>
      </c>
      <c r="D297" t="s">
        <v>32</v>
      </c>
      <c r="E297" t="s">
        <v>80</v>
      </c>
      <c r="F297" t="s">
        <v>34</v>
      </c>
      <c r="G297" t="s">
        <v>35</v>
      </c>
      <c r="H297" t="s">
        <v>47</v>
      </c>
      <c r="I297" t="s">
        <v>54</v>
      </c>
      <c r="J297" t="s">
        <v>63</v>
      </c>
      <c r="K297" s="4">
        <v>46111</v>
      </c>
      <c r="L297" s="4">
        <v>46476</v>
      </c>
      <c r="M297" t="s">
        <v>64</v>
      </c>
      <c r="N297" t="s">
        <v>55</v>
      </c>
      <c r="O297">
        <v>1</v>
      </c>
      <c r="P297" t="s">
        <v>54</v>
      </c>
      <c r="Q297" s="4">
        <v>46390</v>
      </c>
      <c r="R297" t="s">
        <v>84</v>
      </c>
      <c r="S297" t="s">
        <v>3155</v>
      </c>
      <c r="T297" t="s">
        <v>3153</v>
      </c>
      <c r="U297" t="s">
        <v>55</v>
      </c>
      <c r="V297" t="s">
        <v>3154</v>
      </c>
    </row>
    <row r="298" spans="1:22" x14ac:dyDescent="0.2">
      <c r="A298" t="s">
        <v>657</v>
      </c>
      <c r="B298" t="s">
        <v>658</v>
      </c>
      <c r="C298" t="s">
        <v>73</v>
      </c>
      <c r="D298" t="s">
        <v>74</v>
      </c>
      <c r="E298" t="s">
        <v>105</v>
      </c>
      <c r="F298" t="s">
        <v>34</v>
      </c>
      <c r="G298" t="s">
        <v>35</v>
      </c>
      <c r="H298" t="s">
        <v>47</v>
      </c>
      <c r="I298" t="s">
        <v>62</v>
      </c>
      <c r="J298" t="s">
        <v>48</v>
      </c>
      <c r="K298" s="4">
        <v>45944</v>
      </c>
      <c r="L298" s="4">
        <v>46034</v>
      </c>
      <c r="M298" t="s">
        <v>38</v>
      </c>
      <c r="N298" t="s">
        <v>49</v>
      </c>
      <c r="O298">
        <v>1</v>
      </c>
      <c r="P298" t="s">
        <v>70</v>
      </c>
      <c r="Q298" s="4">
        <v>46127</v>
      </c>
      <c r="R298" t="s">
        <v>38</v>
      </c>
      <c r="S298" t="s">
        <v>38</v>
      </c>
      <c r="T298" t="s">
        <v>3153</v>
      </c>
      <c r="U298" t="s">
        <v>49</v>
      </c>
      <c r="V298" t="s">
        <v>3154</v>
      </c>
    </row>
    <row r="299" spans="1:22" x14ac:dyDescent="0.2">
      <c r="A299" t="s">
        <v>659</v>
      </c>
      <c r="B299" t="s">
        <v>660</v>
      </c>
      <c r="C299" t="s">
        <v>78</v>
      </c>
      <c r="D299" t="s">
        <v>79</v>
      </c>
      <c r="E299" t="s">
        <v>53</v>
      </c>
      <c r="F299" t="s">
        <v>45</v>
      </c>
      <c r="G299" t="s">
        <v>46</v>
      </c>
      <c r="H299" t="s">
        <v>88</v>
      </c>
      <c r="I299" t="s">
        <v>54</v>
      </c>
      <c r="J299" t="s">
        <v>48</v>
      </c>
      <c r="K299" s="4">
        <v>45809</v>
      </c>
      <c r="L299" s="4">
        <v>45989</v>
      </c>
      <c r="M299" t="s">
        <v>38</v>
      </c>
      <c r="N299" t="s">
        <v>75</v>
      </c>
      <c r="O299">
        <v>3</v>
      </c>
      <c r="P299" t="s">
        <v>62</v>
      </c>
      <c r="Q299" s="4">
        <v>46345</v>
      </c>
      <c r="R299" t="s">
        <v>84</v>
      </c>
      <c r="S299" t="s">
        <v>38</v>
      </c>
      <c r="T299" t="s">
        <v>3153</v>
      </c>
      <c r="U299" t="s">
        <v>75</v>
      </c>
      <c r="V299" t="s">
        <v>3154</v>
      </c>
    </row>
    <row r="300" spans="1:22" x14ac:dyDescent="0.2">
      <c r="A300" t="s">
        <v>661</v>
      </c>
      <c r="B300" t="s">
        <v>662</v>
      </c>
      <c r="C300" t="s">
        <v>73</v>
      </c>
      <c r="D300" t="s">
        <v>74</v>
      </c>
      <c r="E300" t="s">
        <v>60</v>
      </c>
      <c r="F300" t="s">
        <v>34</v>
      </c>
      <c r="G300" t="s">
        <v>35</v>
      </c>
      <c r="H300" t="s">
        <v>47</v>
      </c>
      <c r="I300" t="s">
        <v>70</v>
      </c>
      <c r="J300" t="s">
        <v>48</v>
      </c>
      <c r="K300" s="4">
        <v>45888</v>
      </c>
      <c r="L300" s="4">
        <v>46253</v>
      </c>
      <c r="M300" t="s">
        <v>38</v>
      </c>
      <c r="N300" t="s">
        <v>49</v>
      </c>
      <c r="O300">
        <v>0</v>
      </c>
      <c r="P300" t="s">
        <v>56</v>
      </c>
      <c r="Q300" s="4">
        <v>46152</v>
      </c>
      <c r="R300" t="s">
        <v>57</v>
      </c>
      <c r="S300" t="s">
        <v>38</v>
      </c>
      <c r="T300" t="s">
        <v>3153</v>
      </c>
      <c r="U300" t="s">
        <v>49</v>
      </c>
      <c r="V300" t="s">
        <v>3154</v>
      </c>
    </row>
    <row r="301" spans="1:22" x14ac:dyDescent="0.2">
      <c r="A301" t="s">
        <v>663</v>
      </c>
      <c r="B301" t="s">
        <v>664</v>
      </c>
      <c r="C301" t="s">
        <v>31</v>
      </c>
      <c r="D301" t="s">
        <v>83</v>
      </c>
      <c r="E301" t="s">
        <v>60</v>
      </c>
      <c r="F301" t="s">
        <v>34</v>
      </c>
      <c r="G301" t="s">
        <v>35</v>
      </c>
      <c r="H301" t="s">
        <v>47</v>
      </c>
      <c r="I301" t="s">
        <v>111</v>
      </c>
      <c r="J301" t="s">
        <v>48</v>
      </c>
      <c r="K301" s="4">
        <v>46080</v>
      </c>
      <c r="L301" s="4">
        <v>46260</v>
      </c>
      <c r="M301" t="s">
        <v>38</v>
      </c>
      <c r="N301" t="s">
        <v>49</v>
      </c>
      <c r="O301">
        <v>0</v>
      </c>
      <c r="P301" t="s">
        <v>50</v>
      </c>
      <c r="Q301" s="4">
        <v>46357</v>
      </c>
      <c r="R301" t="s">
        <v>57</v>
      </c>
      <c r="S301" t="s">
        <v>38</v>
      </c>
      <c r="T301" t="s">
        <v>3153</v>
      </c>
      <c r="U301" t="s">
        <v>49</v>
      </c>
      <c r="V301" t="s">
        <v>3154</v>
      </c>
    </row>
    <row r="302" spans="1:22" x14ac:dyDescent="0.2">
      <c r="A302" t="s">
        <v>665</v>
      </c>
      <c r="B302" t="s">
        <v>666</v>
      </c>
      <c r="C302" t="s">
        <v>78</v>
      </c>
      <c r="D302" t="s">
        <v>79</v>
      </c>
      <c r="E302" t="s">
        <v>60</v>
      </c>
      <c r="F302" t="s">
        <v>34</v>
      </c>
      <c r="G302" t="s">
        <v>35</v>
      </c>
      <c r="H302" t="s">
        <v>47</v>
      </c>
      <c r="I302" t="s">
        <v>50</v>
      </c>
      <c r="J302" t="s">
        <v>63</v>
      </c>
      <c r="K302" s="4">
        <v>46123</v>
      </c>
      <c r="L302" s="4">
        <v>46488</v>
      </c>
      <c r="M302" t="s">
        <v>69</v>
      </c>
      <c r="N302" t="s">
        <v>55</v>
      </c>
      <c r="O302">
        <v>1</v>
      </c>
      <c r="P302" t="s">
        <v>70</v>
      </c>
      <c r="Q302" s="4">
        <v>46178</v>
      </c>
      <c r="R302" t="s">
        <v>64</v>
      </c>
      <c r="S302" t="s">
        <v>3155</v>
      </c>
      <c r="T302" t="s">
        <v>3153</v>
      </c>
      <c r="U302" t="s">
        <v>55</v>
      </c>
      <c r="V302" t="s">
        <v>3154</v>
      </c>
    </row>
    <row r="303" spans="1:22" x14ac:dyDescent="0.2">
      <c r="A303" t="s">
        <v>667</v>
      </c>
      <c r="B303" t="s">
        <v>668</v>
      </c>
      <c r="C303" t="s">
        <v>42</v>
      </c>
      <c r="D303" t="s">
        <v>43</v>
      </c>
      <c r="E303" t="s">
        <v>91</v>
      </c>
      <c r="F303" t="s">
        <v>67</v>
      </c>
      <c r="G303" t="s">
        <v>68</v>
      </c>
      <c r="H303" t="s">
        <v>36</v>
      </c>
      <c r="I303" t="s">
        <v>106</v>
      </c>
      <c r="J303" t="s">
        <v>48</v>
      </c>
      <c r="K303" s="4">
        <v>46167</v>
      </c>
      <c r="L303" s="4">
        <v>46347</v>
      </c>
      <c r="M303" t="s">
        <v>84</v>
      </c>
      <c r="N303" t="s">
        <v>55</v>
      </c>
      <c r="O303">
        <v>1</v>
      </c>
      <c r="P303" t="s">
        <v>50</v>
      </c>
      <c r="Q303" s="4">
        <v>46228</v>
      </c>
      <c r="R303" t="s">
        <v>38</v>
      </c>
      <c r="S303" t="s">
        <v>3155</v>
      </c>
      <c r="T303" t="s">
        <v>3153</v>
      </c>
      <c r="U303" t="s">
        <v>55</v>
      </c>
      <c r="V303" t="s">
        <v>3152</v>
      </c>
    </row>
    <row r="304" spans="1:22" x14ac:dyDescent="0.2">
      <c r="A304" t="s">
        <v>669</v>
      </c>
      <c r="B304" t="s">
        <v>670</v>
      </c>
      <c r="C304" t="s">
        <v>73</v>
      </c>
      <c r="D304" t="s">
        <v>74</v>
      </c>
      <c r="E304" t="s">
        <v>60</v>
      </c>
      <c r="F304" t="s">
        <v>34</v>
      </c>
      <c r="G304" t="s">
        <v>35</v>
      </c>
      <c r="H304" t="s">
        <v>88</v>
      </c>
      <c r="I304" t="s">
        <v>70</v>
      </c>
      <c r="J304" t="s">
        <v>48</v>
      </c>
      <c r="K304" s="4">
        <v>46127</v>
      </c>
      <c r="L304" s="4">
        <v>46492</v>
      </c>
      <c r="M304" t="s">
        <v>64</v>
      </c>
      <c r="N304" t="s">
        <v>55</v>
      </c>
      <c r="O304">
        <v>1</v>
      </c>
      <c r="P304" t="s">
        <v>54</v>
      </c>
      <c r="Q304" s="4">
        <v>46412</v>
      </c>
      <c r="R304" t="s">
        <v>84</v>
      </c>
      <c r="S304" t="s">
        <v>3155</v>
      </c>
      <c r="T304" t="s">
        <v>3153</v>
      </c>
      <c r="U304" t="s">
        <v>55</v>
      </c>
      <c r="V304" t="s">
        <v>3154</v>
      </c>
    </row>
    <row r="305" spans="1:22" x14ac:dyDescent="0.2">
      <c r="A305" t="s">
        <v>671</v>
      </c>
      <c r="B305" t="s">
        <v>672</v>
      </c>
      <c r="C305" t="s">
        <v>31</v>
      </c>
      <c r="D305" t="s">
        <v>83</v>
      </c>
      <c r="E305" t="s">
        <v>60</v>
      </c>
      <c r="F305" t="s">
        <v>45</v>
      </c>
      <c r="G305" t="s">
        <v>61</v>
      </c>
      <c r="H305" t="s">
        <v>47</v>
      </c>
      <c r="I305" t="s">
        <v>54</v>
      </c>
      <c r="J305" t="s">
        <v>63</v>
      </c>
      <c r="K305" s="4">
        <v>46113</v>
      </c>
      <c r="L305" s="4">
        <v>46293</v>
      </c>
      <c r="M305" t="s">
        <v>38</v>
      </c>
      <c r="N305" t="s">
        <v>75</v>
      </c>
      <c r="O305">
        <v>2</v>
      </c>
      <c r="P305" t="s">
        <v>106</v>
      </c>
      <c r="Q305" s="4">
        <v>46271</v>
      </c>
      <c r="R305" t="s">
        <v>38</v>
      </c>
      <c r="S305" t="s">
        <v>38</v>
      </c>
      <c r="T305" t="s">
        <v>3153</v>
      </c>
      <c r="U305" t="s">
        <v>75</v>
      </c>
      <c r="V305" t="s">
        <v>3154</v>
      </c>
    </row>
    <row r="306" spans="1:22" x14ac:dyDescent="0.2">
      <c r="A306" t="s">
        <v>673</v>
      </c>
      <c r="B306" t="s">
        <v>674</v>
      </c>
      <c r="C306" t="s">
        <v>31</v>
      </c>
      <c r="D306" t="s">
        <v>83</v>
      </c>
      <c r="E306" t="s">
        <v>44</v>
      </c>
      <c r="F306" t="s">
        <v>67</v>
      </c>
      <c r="G306" t="s">
        <v>118</v>
      </c>
      <c r="H306" t="s">
        <v>47</v>
      </c>
      <c r="I306" t="s">
        <v>54</v>
      </c>
      <c r="J306" t="s">
        <v>63</v>
      </c>
      <c r="K306" s="4">
        <v>45873</v>
      </c>
      <c r="L306" s="4">
        <v>45963</v>
      </c>
      <c r="M306" t="s">
        <v>38</v>
      </c>
      <c r="N306" t="s">
        <v>49</v>
      </c>
      <c r="O306">
        <v>3</v>
      </c>
      <c r="P306" t="s">
        <v>106</v>
      </c>
      <c r="Q306" s="4">
        <v>46256</v>
      </c>
      <c r="R306" t="s">
        <v>38</v>
      </c>
      <c r="S306" t="s">
        <v>38</v>
      </c>
      <c r="T306" t="s">
        <v>3153</v>
      </c>
      <c r="U306" t="s">
        <v>49</v>
      </c>
      <c r="V306" t="s">
        <v>3154</v>
      </c>
    </row>
    <row r="307" spans="1:22" x14ac:dyDescent="0.2">
      <c r="A307" t="s">
        <v>675</v>
      </c>
      <c r="B307" t="s">
        <v>676</v>
      </c>
      <c r="C307" t="s">
        <v>31</v>
      </c>
      <c r="D307" t="s">
        <v>83</v>
      </c>
      <c r="E307" t="s">
        <v>80</v>
      </c>
      <c r="F307" t="s">
        <v>67</v>
      </c>
      <c r="G307" t="s">
        <v>118</v>
      </c>
      <c r="H307" t="s">
        <v>88</v>
      </c>
      <c r="I307" t="s">
        <v>56</v>
      </c>
      <c r="J307" t="s">
        <v>48</v>
      </c>
      <c r="K307" s="4">
        <v>46026</v>
      </c>
      <c r="L307" s="4">
        <v>46391</v>
      </c>
      <c r="M307" t="s">
        <v>64</v>
      </c>
      <c r="N307" t="s">
        <v>49</v>
      </c>
      <c r="O307">
        <v>0</v>
      </c>
      <c r="P307" t="s">
        <v>56</v>
      </c>
      <c r="Q307" s="4">
        <v>46258</v>
      </c>
      <c r="R307" t="s">
        <v>57</v>
      </c>
      <c r="S307" t="s">
        <v>3155</v>
      </c>
      <c r="T307" t="s">
        <v>3153</v>
      </c>
      <c r="U307" t="s">
        <v>49</v>
      </c>
      <c r="V307" t="s">
        <v>3154</v>
      </c>
    </row>
    <row r="308" spans="1:22" x14ac:dyDescent="0.2">
      <c r="A308" t="s">
        <v>677</v>
      </c>
      <c r="B308" t="s">
        <v>678</v>
      </c>
      <c r="C308" t="s">
        <v>78</v>
      </c>
      <c r="D308" t="s">
        <v>79</v>
      </c>
      <c r="E308" t="s">
        <v>91</v>
      </c>
      <c r="F308" t="s">
        <v>34</v>
      </c>
      <c r="G308" t="s">
        <v>35</v>
      </c>
      <c r="H308" t="s">
        <v>47</v>
      </c>
      <c r="I308" t="s">
        <v>39</v>
      </c>
      <c r="J308" t="s">
        <v>63</v>
      </c>
      <c r="K308" s="4">
        <v>45841</v>
      </c>
      <c r="L308" s="4">
        <v>46206</v>
      </c>
      <c r="M308" t="s">
        <v>38</v>
      </c>
      <c r="N308" t="s">
        <v>49</v>
      </c>
      <c r="O308">
        <v>0</v>
      </c>
      <c r="P308" t="s">
        <v>54</v>
      </c>
      <c r="Q308" s="4">
        <v>46412</v>
      </c>
      <c r="R308" t="s">
        <v>57</v>
      </c>
      <c r="S308" t="s">
        <v>38</v>
      </c>
      <c r="T308" t="s">
        <v>3153</v>
      </c>
      <c r="U308" t="s">
        <v>49</v>
      </c>
      <c r="V308" t="s">
        <v>3154</v>
      </c>
    </row>
    <row r="309" spans="1:22" x14ac:dyDescent="0.2">
      <c r="A309" t="s">
        <v>679</v>
      </c>
      <c r="B309" t="s">
        <v>680</v>
      </c>
      <c r="C309" t="s">
        <v>42</v>
      </c>
      <c r="D309" t="s">
        <v>43</v>
      </c>
      <c r="E309" t="s">
        <v>60</v>
      </c>
      <c r="F309" t="s">
        <v>45</v>
      </c>
      <c r="G309" t="s">
        <v>61</v>
      </c>
      <c r="H309" t="s">
        <v>36</v>
      </c>
      <c r="I309" t="s">
        <v>111</v>
      </c>
      <c r="J309" t="s">
        <v>37</v>
      </c>
      <c r="K309" s="4">
        <v>45941</v>
      </c>
      <c r="L309" s="4">
        <v>46031</v>
      </c>
      <c r="M309" t="s">
        <v>38</v>
      </c>
      <c r="N309" t="s">
        <v>75</v>
      </c>
      <c r="O309">
        <v>3</v>
      </c>
      <c r="P309" t="s">
        <v>70</v>
      </c>
      <c r="Q309" s="4">
        <v>46229</v>
      </c>
      <c r="R309" t="s">
        <v>38</v>
      </c>
      <c r="S309" t="s">
        <v>38</v>
      </c>
      <c r="T309" t="s">
        <v>3153</v>
      </c>
      <c r="U309" t="s">
        <v>75</v>
      </c>
      <c r="V309" t="s">
        <v>3152</v>
      </c>
    </row>
    <row r="310" spans="1:22" x14ac:dyDescent="0.2">
      <c r="A310" t="s">
        <v>681</v>
      </c>
      <c r="B310" t="s">
        <v>682</v>
      </c>
      <c r="C310" t="s">
        <v>31</v>
      </c>
      <c r="D310" t="s">
        <v>83</v>
      </c>
      <c r="E310" t="s">
        <v>60</v>
      </c>
      <c r="F310" t="s">
        <v>67</v>
      </c>
      <c r="G310" t="s">
        <v>118</v>
      </c>
      <c r="H310" t="s">
        <v>47</v>
      </c>
      <c r="I310" t="s">
        <v>54</v>
      </c>
      <c r="J310" t="s">
        <v>63</v>
      </c>
      <c r="K310" s="4">
        <v>45841</v>
      </c>
      <c r="L310" s="4">
        <v>46206</v>
      </c>
      <c r="M310" t="s">
        <v>38</v>
      </c>
      <c r="N310" t="s">
        <v>49</v>
      </c>
      <c r="O310">
        <v>1</v>
      </c>
      <c r="P310" t="s">
        <v>50</v>
      </c>
      <c r="Q310" s="4">
        <v>46378</v>
      </c>
      <c r="R310" t="s">
        <v>64</v>
      </c>
      <c r="S310" t="s">
        <v>38</v>
      </c>
      <c r="T310" t="s">
        <v>3153</v>
      </c>
      <c r="U310" t="s">
        <v>49</v>
      </c>
      <c r="V310" t="s">
        <v>3154</v>
      </c>
    </row>
    <row r="311" spans="1:22" x14ac:dyDescent="0.2">
      <c r="A311" t="s">
        <v>683</v>
      </c>
      <c r="B311" t="s">
        <v>684</v>
      </c>
      <c r="C311" t="s">
        <v>103</v>
      </c>
      <c r="D311" t="s">
        <v>104</v>
      </c>
      <c r="E311" t="s">
        <v>53</v>
      </c>
      <c r="F311" t="s">
        <v>34</v>
      </c>
      <c r="G311" t="s">
        <v>35</v>
      </c>
      <c r="H311" t="s">
        <v>47</v>
      </c>
      <c r="I311" t="s">
        <v>111</v>
      </c>
      <c r="J311" t="s">
        <v>37</v>
      </c>
      <c r="K311" s="4">
        <v>46157</v>
      </c>
      <c r="L311" s="4">
        <v>46247</v>
      </c>
      <c r="M311" t="s">
        <v>38</v>
      </c>
      <c r="N311" t="s">
        <v>75</v>
      </c>
      <c r="O311">
        <v>2</v>
      </c>
      <c r="P311" t="s">
        <v>62</v>
      </c>
      <c r="Q311" s="4">
        <v>46234</v>
      </c>
      <c r="R311" t="s">
        <v>64</v>
      </c>
      <c r="S311" t="s">
        <v>38</v>
      </c>
      <c r="T311" t="s">
        <v>3153</v>
      </c>
      <c r="U311" t="s">
        <v>75</v>
      </c>
      <c r="V311" t="s">
        <v>3154</v>
      </c>
    </row>
    <row r="312" spans="1:22" x14ac:dyDescent="0.2">
      <c r="A312" t="s">
        <v>685</v>
      </c>
      <c r="B312" t="s">
        <v>686</v>
      </c>
      <c r="C312" t="s">
        <v>31</v>
      </c>
      <c r="D312" t="s">
        <v>83</v>
      </c>
      <c r="E312" t="s">
        <v>105</v>
      </c>
      <c r="F312" t="s">
        <v>67</v>
      </c>
      <c r="G312" t="s">
        <v>118</v>
      </c>
      <c r="H312" t="s">
        <v>47</v>
      </c>
      <c r="I312" t="s">
        <v>106</v>
      </c>
      <c r="J312" t="s">
        <v>63</v>
      </c>
      <c r="K312" s="4">
        <v>46223</v>
      </c>
      <c r="L312" s="4">
        <v>46588</v>
      </c>
      <c r="M312" t="s">
        <v>69</v>
      </c>
      <c r="N312" t="s">
        <v>49</v>
      </c>
      <c r="O312">
        <v>2</v>
      </c>
      <c r="P312" t="s">
        <v>62</v>
      </c>
      <c r="Q312" s="4">
        <v>46411</v>
      </c>
      <c r="R312" t="s">
        <v>84</v>
      </c>
      <c r="S312" t="s">
        <v>3155</v>
      </c>
      <c r="T312" t="s">
        <v>3153</v>
      </c>
      <c r="U312" t="s">
        <v>49</v>
      </c>
      <c r="V312" t="s">
        <v>3154</v>
      </c>
    </row>
    <row r="313" spans="1:22" x14ac:dyDescent="0.2">
      <c r="A313" t="s">
        <v>687</v>
      </c>
      <c r="B313" t="s">
        <v>688</v>
      </c>
      <c r="C313" t="s">
        <v>31</v>
      </c>
      <c r="D313" t="s">
        <v>87</v>
      </c>
      <c r="E313" t="s">
        <v>60</v>
      </c>
      <c r="F313" t="s">
        <v>67</v>
      </c>
      <c r="G313" t="s">
        <v>68</v>
      </c>
      <c r="H313" t="s">
        <v>47</v>
      </c>
      <c r="I313" t="s">
        <v>54</v>
      </c>
      <c r="J313" t="s">
        <v>48</v>
      </c>
      <c r="K313" s="4">
        <v>46011</v>
      </c>
      <c r="L313" s="4">
        <v>46191</v>
      </c>
      <c r="M313" t="s">
        <v>38</v>
      </c>
      <c r="N313" t="s">
        <v>75</v>
      </c>
      <c r="O313">
        <v>2</v>
      </c>
      <c r="P313" t="s">
        <v>111</v>
      </c>
      <c r="Q313" s="4">
        <v>46364</v>
      </c>
      <c r="R313" t="s">
        <v>84</v>
      </c>
      <c r="S313" t="s">
        <v>38</v>
      </c>
      <c r="T313" t="s">
        <v>3153</v>
      </c>
      <c r="U313" t="s">
        <v>75</v>
      </c>
      <c r="V313" t="s">
        <v>3154</v>
      </c>
    </row>
    <row r="314" spans="1:22" x14ac:dyDescent="0.2">
      <c r="A314" t="s">
        <v>689</v>
      </c>
      <c r="B314" t="s">
        <v>690</v>
      </c>
      <c r="C314" t="s">
        <v>31</v>
      </c>
      <c r="D314" t="s">
        <v>32</v>
      </c>
      <c r="E314" t="s">
        <v>105</v>
      </c>
      <c r="F314" t="s">
        <v>45</v>
      </c>
      <c r="G314" t="s">
        <v>46</v>
      </c>
      <c r="H314" t="s">
        <v>88</v>
      </c>
      <c r="I314" t="s">
        <v>56</v>
      </c>
      <c r="J314" t="s">
        <v>48</v>
      </c>
      <c r="K314" s="4">
        <v>46167</v>
      </c>
      <c r="L314" s="4">
        <v>46257</v>
      </c>
      <c r="M314" t="s">
        <v>38</v>
      </c>
      <c r="N314" t="s">
        <v>55</v>
      </c>
      <c r="O314">
        <v>1</v>
      </c>
      <c r="P314" t="s">
        <v>62</v>
      </c>
      <c r="Q314" s="4">
        <v>46300</v>
      </c>
      <c r="R314" t="s">
        <v>84</v>
      </c>
      <c r="S314" t="s">
        <v>38</v>
      </c>
      <c r="T314" t="s">
        <v>3153</v>
      </c>
      <c r="U314" t="s">
        <v>55</v>
      </c>
      <c r="V314" t="s">
        <v>3154</v>
      </c>
    </row>
    <row r="315" spans="1:22" x14ac:dyDescent="0.2">
      <c r="A315" t="s">
        <v>691</v>
      </c>
      <c r="B315" t="s">
        <v>692</v>
      </c>
      <c r="C315" t="s">
        <v>31</v>
      </c>
      <c r="D315" t="s">
        <v>87</v>
      </c>
      <c r="E315" t="s">
        <v>80</v>
      </c>
      <c r="F315" t="s">
        <v>67</v>
      </c>
      <c r="G315" t="s">
        <v>68</v>
      </c>
      <c r="H315" t="s">
        <v>88</v>
      </c>
      <c r="I315" t="s">
        <v>111</v>
      </c>
      <c r="J315" t="s">
        <v>63</v>
      </c>
      <c r="K315" s="4">
        <v>46168</v>
      </c>
      <c r="L315" s="4">
        <v>46533</v>
      </c>
      <c r="M315" t="s">
        <v>64</v>
      </c>
      <c r="N315" t="s">
        <v>75</v>
      </c>
      <c r="O315">
        <v>0</v>
      </c>
      <c r="P315" t="s">
        <v>50</v>
      </c>
      <c r="Q315" s="4">
        <v>46239</v>
      </c>
      <c r="R315" t="s">
        <v>57</v>
      </c>
      <c r="S315" t="s">
        <v>3155</v>
      </c>
      <c r="T315" t="s">
        <v>3153</v>
      </c>
      <c r="U315" t="s">
        <v>75</v>
      </c>
      <c r="V315" t="s">
        <v>3154</v>
      </c>
    </row>
    <row r="316" spans="1:22" x14ac:dyDescent="0.2">
      <c r="A316" t="s">
        <v>693</v>
      </c>
      <c r="B316" t="s">
        <v>694</v>
      </c>
      <c r="C316" t="s">
        <v>42</v>
      </c>
      <c r="D316" t="s">
        <v>43</v>
      </c>
      <c r="E316" t="s">
        <v>60</v>
      </c>
      <c r="F316" t="s">
        <v>45</v>
      </c>
      <c r="G316" t="s">
        <v>46</v>
      </c>
      <c r="H316" t="s">
        <v>47</v>
      </c>
      <c r="I316" t="s">
        <v>50</v>
      </c>
      <c r="J316" t="s">
        <v>48</v>
      </c>
      <c r="K316" s="4">
        <v>46143</v>
      </c>
      <c r="L316" s="4">
        <v>46233</v>
      </c>
      <c r="M316" t="s">
        <v>38</v>
      </c>
      <c r="N316" t="s">
        <v>49</v>
      </c>
      <c r="O316">
        <v>3</v>
      </c>
      <c r="P316" t="s">
        <v>111</v>
      </c>
      <c r="Q316" s="4">
        <v>46403</v>
      </c>
      <c r="R316" t="s">
        <v>84</v>
      </c>
      <c r="S316" t="s">
        <v>38</v>
      </c>
      <c r="T316" t="s">
        <v>3153</v>
      </c>
      <c r="U316" t="s">
        <v>49</v>
      </c>
      <c r="V316" t="s">
        <v>3154</v>
      </c>
    </row>
    <row r="317" spans="1:22" x14ac:dyDescent="0.2">
      <c r="A317" t="s">
        <v>695</v>
      </c>
      <c r="B317" t="s">
        <v>696</v>
      </c>
      <c r="C317" t="s">
        <v>73</v>
      </c>
      <c r="D317" t="s">
        <v>74</v>
      </c>
      <c r="E317" t="s">
        <v>80</v>
      </c>
      <c r="F317" t="s">
        <v>34</v>
      </c>
      <c r="G317" t="s">
        <v>35</v>
      </c>
      <c r="H317" t="s">
        <v>47</v>
      </c>
      <c r="I317" t="s">
        <v>62</v>
      </c>
      <c r="J317" t="s">
        <v>63</v>
      </c>
      <c r="K317" s="4">
        <v>45968</v>
      </c>
      <c r="L317" s="4">
        <v>46058</v>
      </c>
      <c r="M317" t="s">
        <v>38</v>
      </c>
      <c r="N317" t="s">
        <v>49</v>
      </c>
      <c r="O317">
        <v>1</v>
      </c>
      <c r="P317" t="s">
        <v>70</v>
      </c>
      <c r="Q317" s="4">
        <v>46376</v>
      </c>
      <c r="R317" t="s">
        <v>64</v>
      </c>
      <c r="S317" t="s">
        <v>38</v>
      </c>
      <c r="T317" t="s">
        <v>3153</v>
      </c>
      <c r="U317" t="s">
        <v>49</v>
      </c>
      <c r="V317" t="s">
        <v>3154</v>
      </c>
    </row>
    <row r="318" spans="1:22" x14ac:dyDescent="0.2">
      <c r="A318" t="s">
        <v>697</v>
      </c>
      <c r="B318" t="s">
        <v>698</v>
      </c>
      <c r="C318" t="s">
        <v>96</v>
      </c>
      <c r="D318" t="s">
        <v>97</v>
      </c>
      <c r="E318" t="s">
        <v>80</v>
      </c>
      <c r="F318" t="s">
        <v>45</v>
      </c>
      <c r="G318" t="s">
        <v>61</v>
      </c>
      <c r="H318" t="s">
        <v>47</v>
      </c>
      <c r="I318" t="s">
        <v>39</v>
      </c>
      <c r="J318" t="s">
        <v>63</v>
      </c>
      <c r="K318" s="4">
        <v>46172</v>
      </c>
      <c r="L318" s="4">
        <v>46537</v>
      </c>
      <c r="M318" t="s">
        <v>69</v>
      </c>
      <c r="N318" t="s">
        <v>55</v>
      </c>
      <c r="O318">
        <v>0</v>
      </c>
      <c r="P318" t="s">
        <v>39</v>
      </c>
      <c r="Q318" s="4">
        <v>46205</v>
      </c>
      <c r="R318" t="s">
        <v>57</v>
      </c>
      <c r="S318" t="s">
        <v>3155</v>
      </c>
      <c r="T318" t="s">
        <v>3153</v>
      </c>
      <c r="U318" t="s">
        <v>55</v>
      </c>
      <c r="V318" t="s">
        <v>3154</v>
      </c>
    </row>
    <row r="319" spans="1:22" x14ac:dyDescent="0.2">
      <c r="A319" t="s">
        <v>699</v>
      </c>
      <c r="B319" t="s">
        <v>700</v>
      </c>
      <c r="C319" t="s">
        <v>78</v>
      </c>
      <c r="D319" t="s">
        <v>79</v>
      </c>
      <c r="E319" t="s">
        <v>105</v>
      </c>
      <c r="F319" t="s">
        <v>34</v>
      </c>
      <c r="G319" t="s">
        <v>35</v>
      </c>
      <c r="H319" t="s">
        <v>88</v>
      </c>
      <c r="I319" t="s">
        <v>50</v>
      </c>
      <c r="J319" t="s">
        <v>48</v>
      </c>
      <c r="K319" s="4">
        <v>45814</v>
      </c>
      <c r="L319" s="4">
        <v>46179</v>
      </c>
      <c r="M319" t="s">
        <v>38</v>
      </c>
      <c r="N319" t="s">
        <v>49</v>
      </c>
      <c r="O319">
        <v>0</v>
      </c>
      <c r="P319" t="s">
        <v>62</v>
      </c>
      <c r="Q319" s="4">
        <v>46335</v>
      </c>
      <c r="R319" t="s">
        <v>57</v>
      </c>
      <c r="S319" t="s">
        <v>38</v>
      </c>
      <c r="T319" t="s">
        <v>3153</v>
      </c>
      <c r="U319" t="s">
        <v>49</v>
      </c>
      <c r="V319" t="s">
        <v>3154</v>
      </c>
    </row>
    <row r="320" spans="1:22" x14ac:dyDescent="0.2">
      <c r="A320" t="s">
        <v>701</v>
      </c>
      <c r="B320" t="s">
        <v>702</v>
      </c>
      <c r="C320" t="s">
        <v>31</v>
      </c>
      <c r="D320" t="s">
        <v>32</v>
      </c>
      <c r="E320" t="s">
        <v>80</v>
      </c>
      <c r="F320" t="s">
        <v>45</v>
      </c>
      <c r="G320" t="s">
        <v>61</v>
      </c>
      <c r="H320" t="s">
        <v>88</v>
      </c>
      <c r="I320" t="s">
        <v>70</v>
      </c>
      <c r="J320" t="s">
        <v>63</v>
      </c>
      <c r="K320" s="4">
        <v>46058</v>
      </c>
      <c r="L320" s="4">
        <v>46148</v>
      </c>
      <c r="M320" t="s">
        <v>38</v>
      </c>
      <c r="N320" t="s">
        <v>75</v>
      </c>
      <c r="O320">
        <v>3</v>
      </c>
      <c r="P320" t="s">
        <v>62</v>
      </c>
      <c r="Q320" s="4">
        <v>46234</v>
      </c>
      <c r="R320" t="s">
        <v>38</v>
      </c>
      <c r="S320" t="s">
        <v>38</v>
      </c>
      <c r="T320" t="s">
        <v>3153</v>
      </c>
      <c r="U320" t="s">
        <v>75</v>
      </c>
      <c r="V320" t="s">
        <v>3154</v>
      </c>
    </row>
    <row r="321" spans="1:22" x14ac:dyDescent="0.2">
      <c r="A321" t="s">
        <v>703</v>
      </c>
      <c r="B321" t="s">
        <v>704</v>
      </c>
      <c r="C321" t="s">
        <v>73</v>
      </c>
      <c r="D321" t="s">
        <v>74</v>
      </c>
      <c r="E321" t="s">
        <v>105</v>
      </c>
      <c r="F321" t="s">
        <v>67</v>
      </c>
      <c r="G321" t="s">
        <v>68</v>
      </c>
      <c r="H321" t="s">
        <v>36</v>
      </c>
      <c r="I321" t="s">
        <v>39</v>
      </c>
      <c r="J321" t="s">
        <v>37</v>
      </c>
      <c r="K321" s="4">
        <v>45980</v>
      </c>
      <c r="L321" s="4">
        <v>46345</v>
      </c>
      <c r="M321" t="s">
        <v>64</v>
      </c>
      <c r="N321" t="s">
        <v>55</v>
      </c>
      <c r="O321">
        <v>3</v>
      </c>
      <c r="P321" t="s">
        <v>70</v>
      </c>
      <c r="Q321" s="4">
        <v>46220</v>
      </c>
      <c r="R321" t="s">
        <v>38</v>
      </c>
      <c r="S321" t="s">
        <v>3155</v>
      </c>
      <c r="T321" t="s">
        <v>3153</v>
      </c>
      <c r="U321" t="s">
        <v>55</v>
      </c>
      <c r="V321" t="s">
        <v>3152</v>
      </c>
    </row>
    <row r="322" spans="1:22" x14ac:dyDescent="0.2">
      <c r="A322" t="s">
        <v>705</v>
      </c>
      <c r="B322" t="s">
        <v>706</v>
      </c>
      <c r="C322" t="s">
        <v>78</v>
      </c>
      <c r="D322" t="s">
        <v>79</v>
      </c>
      <c r="E322" t="s">
        <v>91</v>
      </c>
      <c r="F322" t="s">
        <v>45</v>
      </c>
      <c r="G322" t="s">
        <v>61</v>
      </c>
      <c r="H322" t="s">
        <v>88</v>
      </c>
      <c r="I322" t="s">
        <v>56</v>
      </c>
      <c r="J322" t="s">
        <v>48</v>
      </c>
      <c r="K322" s="4">
        <v>45838</v>
      </c>
      <c r="L322" s="4">
        <v>46203</v>
      </c>
      <c r="M322" t="s">
        <v>38</v>
      </c>
      <c r="N322" t="s">
        <v>75</v>
      </c>
      <c r="O322">
        <v>2</v>
      </c>
      <c r="P322" t="s">
        <v>62</v>
      </c>
      <c r="Q322" s="4">
        <v>46256</v>
      </c>
      <c r="R322" t="s">
        <v>38</v>
      </c>
      <c r="S322" t="s">
        <v>38</v>
      </c>
      <c r="T322" t="s">
        <v>3153</v>
      </c>
      <c r="U322" t="s">
        <v>75</v>
      </c>
      <c r="V322" t="s">
        <v>3154</v>
      </c>
    </row>
    <row r="323" spans="1:22" x14ac:dyDescent="0.2">
      <c r="A323" t="s">
        <v>707</v>
      </c>
      <c r="B323" t="s">
        <v>708</v>
      </c>
      <c r="C323" t="s">
        <v>96</v>
      </c>
      <c r="D323" t="s">
        <v>97</v>
      </c>
      <c r="E323" t="s">
        <v>44</v>
      </c>
      <c r="F323" t="s">
        <v>34</v>
      </c>
      <c r="G323" t="s">
        <v>35</v>
      </c>
      <c r="H323" t="s">
        <v>88</v>
      </c>
      <c r="I323" t="s">
        <v>111</v>
      </c>
      <c r="J323" t="s">
        <v>63</v>
      </c>
      <c r="K323" s="4">
        <v>46146</v>
      </c>
      <c r="L323" s="4">
        <v>46326</v>
      </c>
      <c r="M323" t="s">
        <v>69</v>
      </c>
      <c r="N323" t="s">
        <v>49</v>
      </c>
      <c r="O323">
        <v>1</v>
      </c>
      <c r="P323" t="s">
        <v>50</v>
      </c>
      <c r="Q323" s="4">
        <v>46175</v>
      </c>
      <c r="R323" t="s">
        <v>38</v>
      </c>
      <c r="S323" t="s">
        <v>3155</v>
      </c>
      <c r="T323" t="s">
        <v>3153</v>
      </c>
      <c r="U323" t="s">
        <v>49</v>
      </c>
      <c r="V323" t="s">
        <v>3154</v>
      </c>
    </row>
    <row r="324" spans="1:22" x14ac:dyDescent="0.2">
      <c r="A324" t="s">
        <v>709</v>
      </c>
      <c r="B324" t="s">
        <v>710</v>
      </c>
      <c r="C324" t="s">
        <v>78</v>
      </c>
      <c r="D324" t="s">
        <v>79</v>
      </c>
      <c r="E324" t="s">
        <v>60</v>
      </c>
      <c r="F324" t="s">
        <v>45</v>
      </c>
      <c r="G324" t="s">
        <v>46</v>
      </c>
      <c r="H324" t="s">
        <v>88</v>
      </c>
      <c r="I324" t="s">
        <v>106</v>
      </c>
      <c r="J324" t="s">
        <v>48</v>
      </c>
      <c r="K324" s="4">
        <v>45865</v>
      </c>
      <c r="L324" s="4">
        <v>46230</v>
      </c>
      <c r="M324" t="s">
        <v>38</v>
      </c>
      <c r="N324" t="s">
        <v>49</v>
      </c>
      <c r="O324">
        <v>0</v>
      </c>
      <c r="P324" t="s">
        <v>70</v>
      </c>
      <c r="Q324" s="4">
        <v>46197</v>
      </c>
      <c r="R324" t="s">
        <v>57</v>
      </c>
      <c r="S324" t="s">
        <v>38</v>
      </c>
      <c r="T324" t="s">
        <v>3153</v>
      </c>
      <c r="U324" t="s">
        <v>49</v>
      </c>
      <c r="V324" t="s">
        <v>3154</v>
      </c>
    </row>
    <row r="325" spans="1:22" x14ac:dyDescent="0.2">
      <c r="A325" t="s">
        <v>711</v>
      </c>
      <c r="B325" t="s">
        <v>712</v>
      </c>
      <c r="C325" t="s">
        <v>78</v>
      </c>
      <c r="D325" t="s">
        <v>79</v>
      </c>
      <c r="E325" t="s">
        <v>60</v>
      </c>
      <c r="F325" t="s">
        <v>45</v>
      </c>
      <c r="G325" t="s">
        <v>61</v>
      </c>
      <c r="H325" t="s">
        <v>88</v>
      </c>
      <c r="I325" t="s">
        <v>70</v>
      </c>
      <c r="J325" t="s">
        <v>63</v>
      </c>
      <c r="K325" s="4">
        <v>46141</v>
      </c>
      <c r="L325" s="4">
        <v>46231</v>
      </c>
      <c r="M325" t="s">
        <v>38</v>
      </c>
      <c r="N325" t="s">
        <v>75</v>
      </c>
      <c r="O325">
        <v>0</v>
      </c>
      <c r="P325" t="s">
        <v>56</v>
      </c>
      <c r="Q325" s="4">
        <v>46134</v>
      </c>
      <c r="R325" t="s">
        <v>57</v>
      </c>
      <c r="S325" t="s">
        <v>38</v>
      </c>
      <c r="T325" t="s">
        <v>3153</v>
      </c>
      <c r="U325" t="s">
        <v>75</v>
      </c>
      <c r="V325" t="s">
        <v>3154</v>
      </c>
    </row>
    <row r="326" spans="1:22" x14ac:dyDescent="0.2">
      <c r="A326" t="s">
        <v>713</v>
      </c>
      <c r="B326" t="s">
        <v>714</v>
      </c>
      <c r="C326" t="s">
        <v>103</v>
      </c>
      <c r="D326" t="s">
        <v>104</v>
      </c>
      <c r="E326" t="s">
        <v>44</v>
      </c>
      <c r="F326" t="s">
        <v>34</v>
      </c>
      <c r="G326" t="s">
        <v>35</v>
      </c>
      <c r="H326" t="s">
        <v>88</v>
      </c>
      <c r="I326" t="s">
        <v>111</v>
      </c>
      <c r="J326" t="s">
        <v>48</v>
      </c>
      <c r="K326" s="4">
        <v>46270</v>
      </c>
      <c r="L326" s="4">
        <v>46360</v>
      </c>
      <c r="M326" t="s">
        <v>69</v>
      </c>
      <c r="N326" t="s">
        <v>55</v>
      </c>
      <c r="O326">
        <v>0</v>
      </c>
      <c r="P326" t="s">
        <v>39</v>
      </c>
      <c r="Q326" s="4">
        <v>46376</v>
      </c>
      <c r="R326" t="s">
        <v>57</v>
      </c>
      <c r="S326" t="s">
        <v>3155</v>
      </c>
      <c r="T326" t="s">
        <v>3153</v>
      </c>
      <c r="U326" t="s">
        <v>55</v>
      </c>
      <c r="V326" t="s">
        <v>3154</v>
      </c>
    </row>
    <row r="327" spans="1:22" x14ac:dyDescent="0.2">
      <c r="A327" t="s">
        <v>715</v>
      </c>
      <c r="B327" t="s">
        <v>716</v>
      </c>
      <c r="C327" t="s">
        <v>31</v>
      </c>
      <c r="D327" t="s">
        <v>87</v>
      </c>
      <c r="E327" t="s">
        <v>91</v>
      </c>
      <c r="F327" t="s">
        <v>67</v>
      </c>
      <c r="G327" t="s">
        <v>68</v>
      </c>
      <c r="H327" t="s">
        <v>47</v>
      </c>
      <c r="I327" t="s">
        <v>50</v>
      </c>
      <c r="J327" t="s">
        <v>63</v>
      </c>
      <c r="K327" s="4">
        <v>46231</v>
      </c>
      <c r="L327" s="4">
        <v>46411</v>
      </c>
      <c r="M327" t="s">
        <v>69</v>
      </c>
      <c r="N327" t="s">
        <v>49</v>
      </c>
      <c r="O327">
        <v>3</v>
      </c>
      <c r="P327" t="s">
        <v>70</v>
      </c>
      <c r="Q327" s="4">
        <v>46322</v>
      </c>
      <c r="R327" t="s">
        <v>84</v>
      </c>
      <c r="S327" t="s">
        <v>3155</v>
      </c>
      <c r="T327" t="s">
        <v>3153</v>
      </c>
      <c r="U327" t="s">
        <v>49</v>
      </c>
      <c r="V327" t="s">
        <v>3154</v>
      </c>
    </row>
    <row r="328" spans="1:22" x14ac:dyDescent="0.2">
      <c r="A328" t="s">
        <v>717</v>
      </c>
      <c r="B328" t="s">
        <v>718</v>
      </c>
      <c r="C328" t="s">
        <v>78</v>
      </c>
      <c r="D328" t="s">
        <v>79</v>
      </c>
      <c r="E328" t="s">
        <v>91</v>
      </c>
      <c r="F328" t="s">
        <v>45</v>
      </c>
      <c r="G328" t="s">
        <v>61</v>
      </c>
      <c r="H328" t="s">
        <v>36</v>
      </c>
      <c r="I328" t="s">
        <v>106</v>
      </c>
      <c r="J328" t="s">
        <v>48</v>
      </c>
      <c r="K328" s="4">
        <v>46098</v>
      </c>
      <c r="L328" s="4">
        <v>46278</v>
      </c>
      <c r="M328" t="s">
        <v>38</v>
      </c>
      <c r="N328" t="s">
        <v>55</v>
      </c>
      <c r="O328">
        <v>4</v>
      </c>
      <c r="P328" t="s">
        <v>56</v>
      </c>
      <c r="Q328" s="4">
        <v>46214</v>
      </c>
      <c r="R328" t="s">
        <v>38</v>
      </c>
      <c r="S328" t="s">
        <v>38</v>
      </c>
      <c r="T328" t="s">
        <v>3153</v>
      </c>
      <c r="U328" t="s">
        <v>55</v>
      </c>
      <c r="V328" t="s">
        <v>3152</v>
      </c>
    </row>
    <row r="329" spans="1:22" x14ac:dyDescent="0.2">
      <c r="A329" t="s">
        <v>719</v>
      </c>
      <c r="B329" t="s">
        <v>720</v>
      </c>
      <c r="C329" t="s">
        <v>42</v>
      </c>
      <c r="D329" t="s">
        <v>43</v>
      </c>
      <c r="E329" t="s">
        <v>60</v>
      </c>
      <c r="F329" t="s">
        <v>45</v>
      </c>
      <c r="G329" t="s">
        <v>61</v>
      </c>
      <c r="H329" t="s">
        <v>47</v>
      </c>
      <c r="I329" t="s">
        <v>70</v>
      </c>
      <c r="J329" t="s">
        <v>63</v>
      </c>
      <c r="K329" s="4">
        <v>46018</v>
      </c>
      <c r="L329" s="4">
        <v>46198</v>
      </c>
      <c r="M329" t="s">
        <v>38</v>
      </c>
      <c r="N329" t="s">
        <v>75</v>
      </c>
      <c r="O329">
        <v>0</v>
      </c>
      <c r="P329" t="s">
        <v>56</v>
      </c>
      <c r="Q329" s="4">
        <v>46377</v>
      </c>
      <c r="R329" t="s">
        <v>57</v>
      </c>
      <c r="S329" t="s">
        <v>38</v>
      </c>
      <c r="T329" t="s">
        <v>3153</v>
      </c>
      <c r="U329" t="s">
        <v>75</v>
      </c>
      <c r="V329" t="s">
        <v>3154</v>
      </c>
    </row>
    <row r="330" spans="1:22" x14ac:dyDescent="0.2">
      <c r="A330" t="s">
        <v>721</v>
      </c>
      <c r="B330" t="s">
        <v>722</v>
      </c>
      <c r="C330" t="s">
        <v>96</v>
      </c>
      <c r="D330" t="s">
        <v>97</v>
      </c>
      <c r="E330" t="s">
        <v>80</v>
      </c>
      <c r="F330" t="s">
        <v>34</v>
      </c>
      <c r="G330" t="s">
        <v>35</v>
      </c>
      <c r="H330" t="s">
        <v>88</v>
      </c>
      <c r="I330" t="s">
        <v>54</v>
      </c>
      <c r="J330" t="s">
        <v>37</v>
      </c>
      <c r="K330" s="4">
        <v>45888</v>
      </c>
      <c r="L330" s="4">
        <v>46068</v>
      </c>
      <c r="M330" t="s">
        <v>38</v>
      </c>
      <c r="N330" t="s">
        <v>75</v>
      </c>
      <c r="O330">
        <v>3</v>
      </c>
      <c r="P330" t="s">
        <v>70</v>
      </c>
      <c r="Q330" s="4">
        <v>46415</v>
      </c>
      <c r="R330" t="s">
        <v>84</v>
      </c>
      <c r="S330" t="s">
        <v>38</v>
      </c>
      <c r="T330" t="s">
        <v>3153</v>
      </c>
      <c r="U330" t="s">
        <v>75</v>
      </c>
      <c r="V330" t="s">
        <v>3154</v>
      </c>
    </row>
    <row r="331" spans="1:22" x14ac:dyDescent="0.2">
      <c r="A331" t="s">
        <v>723</v>
      </c>
      <c r="B331" t="s">
        <v>724</v>
      </c>
      <c r="C331" t="s">
        <v>42</v>
      </c>
      <c r="D331" t="s">
        <v>43</v>
      </c>
      <c r="E331" t="s">
        <v>91</v>
      </c>
      <c r="F331" t="s">
        <v>67</v>
      </c>
      <c r="G331" t="s">
        <v>68</v>
      </c>
      <c r="H331" t="s">
        <v>36</v>
      </c>
      <c r="J331" t="s">
        <v>37</v>
      </c>
      <c r="K331" s="4">
        <v>45866</v>
      </c>
      <c r="L331" s="4">
        <v>46046</v>
      </c>
      <c r="M331" t="s">
        <v>38</v>
      </c>
      <c r="N331" t="s">
        <v>75</v>
      </c>
      <c r="O331">
        <v>2</v>
      </c>
      <c r="P331" t="s">
        <v>70</v>
      </c>
      <c r="Q331" s="4">
        <v>46379</v>
      </c>
      <c r="R331" t="s">
        <v>84</v>
      </c>
      <c r="S331" t="s">
        <v>38</v>
      </c>
      <c r="T331" t="s">
        <v>3150</v>
      </c>
      <c r="U331" t="s">
        <v>75</v>
      </c>
      <c r="V331" t="s">
        <v>3152</v>
      </c>
    </row>
    <row r="332" spans="1:22" x14ac:dyDescent="0.2">
      <c r="A332" t="s">
        <v>725</v>
      </c>
      <c r="B332" t="s">
        <v>726</v>
      </c>
      <c r="C332" t="s">
        <v>103</v>
      </c>
      <c r="D332" t="s">
        <v>104</v>
      </c>
      <c r="E332" t="s">
        <v>105</v>
      </c>
      <c r="F332" t="s">
        <v>67</v>
      </c>
      <c r="G332" t="s">
        <v>118</v>
      </c>
      <c r="H332" t="s">
        <v>88</v>
      </c>
      <c r="I332" t="s">
        <v>50</v>
      </c>
      <c r="J332" t="s">
        <v>63</v>
      </c>
      <c r="K332" s="4">
        <v>46032</v>
      </c>
      <c r="L332" s="4">
        <v>46212</v>
      </c>
      <c r="M332" t="s">
        <v>38</v>
      </c>
      <c r="N332" t="s">
        <v>75</v>
      </c>
      <c r="O332">
        <v>1</v>
      </c>
      <c r="P332" t="s">
        <v>54</v>
      </c>
      <c r="Q332" s="4">
        <v>46408</v>
      </c>
      <c r="R332" t="s">
        <v>64</v>
      </c>
      <c r="S332" t="s">
        <v>38</v>
      </c>
      <c r="T332" t="s">
        <v>3153</v>
      </c>
      <c r="U332" t="s">
        <v>75</v>
      </c>
      <c r="V332" t="s">
        <v>3154</v>
      </c>
    </row>
    <row r="333" spans="1:22" x14ac:dyDescent="0.2">
      <c r="A333" t="s">
        <v>727</v>
      </c>
      <c r="B333" t="s">
        <v>728</v>
      </c>
      <c r="C333" t="s">
        <v>31</v>
      </c>
      <c r="D333" t="s">
        <v>32</v>
      </c>
      <c r="E333" t="s">
        <v>53</v>
      </c>
      <c r="F333" t="s">
        <v>45</v>
      </c>
      <c r="G333" t="s">
        <v>46</v>
      </c>
      <c r="H333" t="s">
        <v>47</v>
      </c>
      <c r="I333" t="s">
        <v>54</v>
      </c>
      <c r="J333" t="s">
        <v>63</v>
      </c>
      <c r="K333" s="4">
        <v>45848</v>
      </c>
      <c r="L333" s="4">
        <v>45938</v>
      </c>
      <c r="M333" t="s">
        <v>38</v>
      </c>
      <c r="N333" t="s">
        <v>49</v>
      </c>
      <c r="O333">
        <v>2</v>
      </c>
      <c r="P333" t="s">
        <v>111</v>
      </c>
      <c r="Q333" s="4">
        <v>46194</v>
      </c>
      <c r="R333" t="s">
        <v>38</v>
      </c>
      <c r="S333" t="s">
        <v>38</v>
      </c>
      <c r="T333" t="s">
        <v>3153</v>
      </c>
      <c r="U333" t="s">
        <v>49</v>
      </c>
      <c r="V333" t="s">
        <v>3154</v>
      </c>
    </row>
    <row r="334" spans="1:22" x14ac:dyDescent="0.2">
      <c r="A334" t="s">
        <v>729</v>
      </c>
      <c r="B334" t="s">
        <v>730</v>
      </c>
      <c r="C334" t="s">
        <v>42</v>
      </c>
      <c r="D334" t="s">
        <v>43</v>
      </c>
      <c r="E334" t="s">
        <v>60</v>
      </c>
      <c r="F334" t="s">
        <v>34</v>
      </c>
      <c r="G334" t="s">
        <v>35</v>
      </c>
      <c r="H334" t="s">
        <v>98</v>
      </c>
      <c r="I334" t="s">
        <v>111</v>
      </c>
      <c r="J334" t="s">
        <v>48</v>
      </c>
      <c r="K334" s="4">
        <v>46085</v>
      </c>
      <c r="L334" s="4">
        <v>46450</v>
      </c>
      <c r="M334" t="s">
        <v>64</v>
      </c>
      <c r="O334">
        <v>4</v>
      </c>
      <c r="P334" t="s">
        <v>50</v>
      </c>
      <c r="Q334" s="4">
        <v>46255</v>
      </c>
      <c r="R334" t="s">
        <v>38</v>
      </c>
      <c r="S334" t="s">
        <v>3155</v>
      </c>
      <c r="T334" t="s">
        <v>3153</v>
      </c>
      <c r="U334" t="s">
        <v>3151</v>
      </c>
      <c r="V334" t="s">
        <v>3152</v>
      </c>
    </row>
    <row r="335" spans="1:22" x14ac:dyDescent="0.2">
      <c r="A335" t="s">
        <v>731</v>
      </c>
      <c r="B335" t="s">
        <v>732</v>
      </c>
      <c r="C335" t="s">
        <v>31</v>
      </c>
      <c r="D335" t="s">
        <v>32</v>
      </c>
      <c r="E335" t="s">
        <v>80</v>
      </c>
      <c r="F335" t="s">
        <v>45</v>
      </c>
      <c r="G335" t="s">
        <v>61</v>
      </c>
      <c r="H335" t="s">
        <v>98</v>
      </c>
      <c r="I335" t="s">
        <v>39</v>
      </c>
      <c r="J335" t="s">
        <v>63</v>
      </c>
      <c r="K335" s="4">
        <v>46018</v>
      </c>
      <c r="L335" s="4">
        <v>46198</v>
      </c>
      <c r="M335" t="s">
        <v>38</v>
      </c>
      <c r="N335" t="s">
        <v>75</v>
      </c>
      <c r="O335">
        <v>5</v>
      </c>
      <c r="P335" t="s">
        <v>111</v>
      </c>
      <c r="Q335" s="4">
        <v>46204</v>
      </c>
      <c r="R335" t="s">
        <v>38</v>
      </c>
      <c r="S335" t="s">
        <v>38</v>
      </c>
      <c r="T335" t="s">
        <v>3153</v>
      </c>
      <c r="U335" t="s">
        <v>75</v>
      </c>
      <c r="V335" t="s">
        <v>3152</v>
      </c>
    </row>
    <row r="336" spans="1:22" x14ac:dyDescent="0.2">
      <c r="A336" t="s">
        <v>733</v>
      </c>
      <c r="B336" t="s">
        <v>734</v>
      </c>
      <c r="C336" t="s">
        <v>42</v>
      </c>
      <c r="D336" t="s">
        <v>43</v>
      </c>
      <c r="E336" t="s">
        <v>105</v>
      </c>
      <c r="F336" t="s">
        <v>67</v>
      </c>
      <c r="G336" t="s">
        <v>68</v>
      </c>
      <c r="H336" t="s">
        <v>88</v>
      </c>
      <c r="I336" t="s">
        <v>62</v>
      </c>
      <c r="J336" t="s">
        <v>37</v>
      </c>
      <c r="K336" s="4">
        <v>45978</v>
      </c>
      <c r="L336" s="4">
        <v>46068</v>
      </c>
      <c r="M336" t="s">
        <v>38</v>
      </c>
      <c r="N336" t="s">
        <v>75</v>
      </c>
      <c r="O336">
        <v>2</v>
      </c>
      <c r="P336" t="s">
        <v>111</v>
      </c>
      <c r="Q336" s="4">
        <v>46247</v>
      </c>
      <c r="R336" t="s">
        <v>64</v>
      </c>
      <c r="S336" t="s">
        <v>38</v>
      </c>
      <c r="T336" t="s">
        <v>3153</v>
      </c>
      <c r="U336" t="s">
        <v>75</v>
      </c>
      <c r="V336" t="s">
        <v>3154</v>
      </c>
    </row>
    <row r="337" spans="1:22" x14ac:dyDescent="0.2">
      <c r="A337" t="s">
        <v>735</v>
      </c>
      <c r="B337" t="s">
        <v>736</v>
      </c>
      <c r="C337" t="s">
        <v>31</v>
      </c>
      <c r="D337" t="s">
        <v>83</v>
      </c>
      <c r="E337" t="s">
        <v>53</v>
      </c>
      <c r="F337" t="s">
        <v>34</v>
      </c>
      <c r="G337" t="s">
        <v>35</v>
      </c>
      <c r="H337" t="s">
        <v>47</v>
      </c>
      <c r="I337" t="s">
        <v>62</v>
      </c>
      <c r="J337" t="s">
        <v>63</v>
      </c>
      <c r="K337" s="4">
        <v>46168</v>
      </c>
      <c r="L337" s="4">
        <v>46348</v>
      </c>
      <c r="M337" t="s">
        <v>69</v>
      </c>
      <c r="N337" t="s">
        <v>75</v>
      </c>
      <c r="O337">
        <v>3</v>
      </c>
      <c r="P337" t="s">
        <v>54</v>
      </c>
      <c r="Q337" s="4">
        <v>46258</v>
      </c>
      <c r="R337" t="s">
        <v>38</v>
      </c>
      <c r="S337" t="s">
        <v>3155</v>
      </c>
      <c r="T337" t="s">
        <v>3153</v>
      </c>
      <c r="U337" t="s">
        <v>75</v>
      </c>
      <c r="V337" t="s">
        <v>3154</v>
      </c>
    </row>
    <row r="338" spans="1:22" x14ac:dyDescent="0.2">
      <c r="A338" t="s">
        <v>737</v>
      </c>
      <c r="B338" t="s">
        <v>738</v>
      </c>
      <c r="C338" t="s">
        <v>31</v>
      </c>
      <c r="D338" t="s">
        <v>83</v>
      </c>
      <c r="E338" t="s">
        <v>44</v>
      </c>
      <c r="F338" t="s">
        <v>45</v>
      </c>
      <c r="G338" t="s">
        <v>61</v>
      </c>
      <c r="H338" t="s">
        <v>88</v>
      </c>
      <c r="I338" t="s">
        <v>62</v>
      </c>
      <c r="J338" t="s">
        <v>37</v>
      </c>
      <c r="K338" s="4">
        <v>46175</v>
      </c>
      <c r="L338" s="4">
        <v>46265</v>
      </c>
      <c r="M338" t="s">
        <v>38</v>
      </c>
      <c r="N338" t="s">
        <v>49</v>
      </c>
      <c r="O338">
        <v>1</v>
      </c>
      <c r="P338" t="s">
        <v>50</v>
      </c>
      <c r="Q338" s="4">
        <v>46357</v>
      </c>
      <c r="R338" t="s">
        <v>84</v>
      </c>
      <c r="S338" t="s">
        <v>38</v>
      </c>
      <c r="T338" t="s">
        <v>3153</v>
      </c>
      <c r="U338" t="s">
        <v>49</v>
      </c>
      <c r="V338" t="s">
        <v>3154</v>
      </c>
    </row>
    <row r="339" spans="1:22" x14ac:dyDescent="0.2">
      <c r="A339" t="s">
        <v>739</v>
      </c>
      <c r="B339" t="s">
        <v>740</v>
      </c>
      <c r="C339" t="s">
        <v>42</v>
      </c>
      <c r="D339" t="s">
        <v>43</v>
      </c>
      <c r="E339" t="s">
        <v>80</v>
      </c>
      <c r="F339" t="s">
        <v>34</v>
      </c>
      <c r="G339" t="s">
        <v>35</v>
      </c>
      <c r="H339" t="s">
        <v>88</v>
      </c>
      <c r="I339" t="s">
        <v>39</v>
      </c>
      <c r="J339" t="s">
        <v>63</v>
      </c>
      <c r="K339" s="4">
        <v>46072</v>
      </c>
      <c r="L339" s="4">
        <v>46162</v>
      </c>
      <c r="M339" t="s">
        <v>38</v>
      </c>
      <c r="N339" t="s">
        <v>49</v>
      </c>
      <c r="O339">
        <v>1</v>
      </c>
      <c r="P339" t="s">
        <v>70</v>
      </c>
      <c r="Q339" s="4">
        <v>46145</v>
      </c>
      <c r="R339" t="s">
        <v>64</v>
      </c>
      <c r="S339" t="s">
        <v>38</v>
      </c>
      <c r="T339" t="s">
        <v>3153</v>
      </c>
      <c r="U339" t="s">
        <v>49</v>
      </c>
      <c r="V339" t="s">
        <v>3154</v>
      </c>
    </row>
    <row r="340" spans="1:22" x14ac:dyDescent="0.2">
      <c r="A340" t="s">
        <v>741</v>
      </c>
      <c r="B340" t="s">
        <v>742</v>
      </c>
      <c r="C340" t="s">
        <v>103</v>
      </c>
      <c r="D340" t="s">
        <v>104</v>
      </c>
      <c r="E340" t="s">
        <v>53</v>
      </c>
      <c r="F340" t="s">
        <v>67</v>
      </c>
      <c r="G340" t="s">
        <v>118</v>
      </c>
      <c r="H340" t="s">
        <v>88</v>
      </c>
      <c r="I340" t="s">
        <v>56</v>
      </c>
      <c r="J340" t="s">
        <v>63</v>
      </c>
      <c r="K340" s="4">
        <v>46099</v>
      </c>
      <c r="L340" s="4">
        <v>46189</v>
      </c>
      <c r="M340" t="s">
        <v>38</v>
      </c>
      <c r="N340" t="s">
        <v>75</v>
      </c>
      <c r="O340">
        <v>0</v>
      </c>
      <c r="P340" t="s">
        <v>50</v>
      </c>
      <c r="Q340" s="4">
        <v>46294</v>
      </c>
      <c r="R340" t="s">
        <v>57</v>
      </c>
      <c r="S340" t="s">
        <v>38</v>
      </c>
      <c r="T340" t="s">
        <v>3153</v>
      </c>
      <c r="U340" t="s">
        <v>75</v>
      </c>
      <c r="V340" t="s">
        <v>3154</v>
      </c>
    </row>
    <row r="341" spans="1:22" x14ac:dyDescent="0.2">
      <c r="A341" t="s">
        <v>743</v>
      </c>
      <c r="B341" t="s">
        <v>744</v>
      </c>
      <c r="C341" t="s">
        <v>42</v>
      </c>
      <c r="D341" t="s">
        <v>43</v>
      </c>
      <c r="E341" t="s">
        <v>53</v>
      </c>
      <c r="F341" t="s">
        <v>67</v>
      </c>
      <c r="G341" t="s">
        <v>118</v>
      </c>
      <c r="H341" t="s">
        <v>88</v>
      </c>
      <c r="I341" t="s">
        <v>111</v>
      </c>
      <c r="J341" t="s">
        <v>63</v>
      </c>
      <c r="K341" s="4">
        <v>45879</v>
      </c>
      <c r="L341" s="4">
        <v>46244</v>
      </c>
      <c r="M341" t="s">
        <v>38</v>
      </c>
      <c r="N341" t="s">
        <v>75</v>
      </c>
      <c r="O341">
        <v>0</v>
      </c>
      <c r="P341" t="s">
        <v>50</v>
      </c>
      <c r="Q341" s="4">
        <v>46310</v>
      </c>
      <c r="R341" t="s">
        <v>57</v>
      </c>
      <c r="S341" t="s">
        <v>38</v>
      </c>
      <c r="T341" t="s">
        <v>3153</v>
      </c>
      <c r="U341" t="s">
        <v>75</v>
      </c>
      <c r="V341" t="s">
        <v>3154</v>
      </c>
    </row>
    <row r="342" spans="1:22" x14ac:dyDescent="0.2">
      <c r="A342" t="s">
        <v>745</v>
      </c>
      <c r="B342" t="s">
        <v>746</v>
      </c>
      <c r="C342" t="s">
        <v>73</v>
      </c>
      <c r="D342" t="s">
        <v>74</v>
      </c>
      <c r="E342" t="s">
        <v>80</v>
      </c>
      <c r="F342" t="s">
        <v>45</v>
      </c>
      <c r="G342" t="s">
        <v>61</v>
      </c>
      <c r="H342" t="s">
        <v>88</v>
      </c>
      <c r="I342" t="s">
        <v>62</v>
      </c>
      <c r="J342" t="s">
        <v>37</v>
      </c>
      <c r="K342" s="4">
        <v>45841</v>
      </c>
      <c r="L342" s="4">
        <v>45931</v>
      </c>
      <c r="M342" t="s">
        <v>38</v>
      </c>
      <c r="N342" t="s">
        <v>55</v>
      </c>
      <c r="O342">
        <v>1</v>
      </c>
      <c r="P342" t="s">
        <v>56</v>
      </c>
      <c r="Q342" s="4">
        <v>46290</v>
      </c>
      <c r="R342" t="s">
        <v>64</v>
      </c>
      <c r="S342" t="s">
        <v>38</v>
      </c>
      <c r="T342" t="s">
        <v>3153</v>
      </c>
      <c r="U342" t="s">
        <v>55</v>
      </c>
      <c r="V342" t="s">
        <v>3154</v>
      </c>
    </row>
    <row r="343" spans="1:22" x14ac:dyDescent="0.2">
      <c r="A343" t="s">
        <v>747</v>
      </c>
      <c r="B343" t="s">
        <v>748</v>
      </c>
      <c r="C343" t="s">
        <v>31</v>
      </c>
      <c r="D343" t="s">
        <v>87</v>
      </c>
      <c r="E343" t="s">
        <v>53</v>
      </c>
      <c r="F343" t="s">
        <v>34</v>
      </c>
      <c r="G343" t="s">
        <v>35</v>
      </c>
      <c r="H343" t="s">
        <v>36</v>
      </c>
      <c r="I343" t="s">
        <v>106</v>
      </c>
      <c r="J343" t="s">
        <v>63</v>
      </c>
      <c r="K343" s="4">
        <v>45893</v>
      </c>
      <c r="L343" s="4">
        <v>46258</v>
      </c>
      <c r="M343" t="s">
        <v>38</v>
      </c>
      <c r="N343" t="s">
        <v>49</v>
      </c>
      <c r="O343">
        <v>3</v>
      </c>
      <c r="P343" t="s">
        <v>54</v>
      </c>
      <c r="Q343" s="4">
        <v>46326</v>
      </c>
      <c r="R343" t="s">
        <v>64</v>
      </c>
      <c r="S343" t="s">
        <v>38</v>
      </c>
      <c r="T343" t="s">
        <v>3153</v>
      </c>
      <c r="U343" t="s">
        <v>49</v>
      </c>
      <c r="V343" t="s">
        <v>3152</v>
      </c>
    </row>
    <row r="344" spans="1:22" x14ac:dyDescent="0.2">
      <c r="A344" t="s">
        <v>749</v>
      </c>
      <c r="B344" t="s">
        <v>750</v>
      </c>
      <c r="C344" t="s">
        <v>31</v>
      </c>
      <c r="D344" t="s">
        <v>32</v>
      </c>
      <c r="E344" t="s">
        <v>91</v>
      </c>
      <c r="F344" t="s">
        <v>34</v>
      </c>
      <c r="G344" t="s">
        <v>35</v>
      </c>
      <c r="H344" t="s">
        <v>36</v>
      </c>
      <c r="I344" t="s">
        <v>70</v>
      </c>
      <c r="J344" t="s">
        <v>63</v>
      </c>
      <c r="K344" s="4">
        <v>46168</v>
      </c>
      <c r="L344" s="4">
        <v>46258</v>
      </c>
      <c r="M344" t="s">
        <v>38</v>
      </c>
      <c r="N344" t="s">
        <v>75</v>
      </c>
      <c r="O344">
        <v>0</v>
      </c>
      <c r="P344" t="s">
        <v>39</v>
      </c>
      <c r="Q344" s="4">
        <v>46163</v>
      </c>
      <c r="R344" t="s">
        <v>57</v>
      </c>
      <c r="S344" t="s">
        <v>38</v>
      </c>
      <c r="T344" t="s">
        <v>3153</v>
      </c>
      <c r="U344" t="s">
        <v>75</v>
      </c>
      <c r="V344" t="s">
        <v>3152</v>
      </c>
    </row>
    <row r="345" spans="1:22" x14ac:dyDescent="0.2">
      <c r="A345" t="s">
        <v>751</v>
      </c>
      <c r="B345" t="s">
        <v>752</v>
      </c>
      <c r="C345" t="s">
        <v>42</v>
      </c>
      <c r="D345" t="s">
        <v>43</v>
      </c>
      <c r="E345" t="s">
        <v>60</v>
      </c>
      <c r="F345" t="s">
        <v>45</v>
      </c>
      <c r="G345" t="s">
        <v>61</v>
      </c>
      <c r="H345" t="s">
        <v>36</v>
      </c>
      <c r="I345" t="s">
        <v>70</v>
      </c>
      <c r="J345" t="s">
        <v>63</v>
      </c>
      <c r="K345" s="4">
        <v>46222</v>
      </c>
      <c r="L345" s="4">
        <v>46402</v>
      </c>
      <c r="M345" t="s">
        <v>84</v>
      </c>
      <c r="N345" t="s">
        <v>49</v>
      </c>
      <c r="O345">
        <v>3</v>
      </c>
      <c r="P345" t="s">
        <v>50</v>
      </c>
      <c r="Q345" s="4">
        <v>46273</v>
      </c>
      <c r="R345" t="s">
        <v>64</v>
      </c>
      <c r="S345" t="s">
        <v>3155</v>
      </c>
      <c r="T345" t="s">
        <v>3153</v>
      </c>
      <c r="U345" t="s">
        <v>49</v>
      </c>
      <c r="V345" t="s">
        <v>3152</v>
      </c>
    </row>
    <row r="346" spans="1:22" x14ac:dyDescent="0.2">
      <c r="A346" t="s">
        <v>753</v>
      </c>
      <c r="B346" t="s">
        <v>754</v>
      </c>
      <c r="C346" t="s">
        <v>96</v>
      </c>
      <c r="D346" t="s">
        <v>97</v>
      </c>
      <c r="E346" t="s">
        <v>105</v>
      </c>
      <c r="F346" t="s">
        <v>45</v>
      </c>
      <c r="G346" t="s">
        <v>46</v>
      </c>
      <c r="H346" t="s">
        <v>47</v>
      </c>
      <c r="I346" t="s">
        <v>106</v>
      </c>
      <c r="J346" t="s">
        <v>63</v>
      </c>
      <c r="K346" s="4">
        <v>45835</v>
      </c>
      <c r="L346" s="4">
        <v>46015</v>
      </c>
      <c r="M346" t="s">
        <v>38</v>
      </c>
      <c r="N346" t="s">
        <v>75</v>
      </c>
      <c r="O346">
        <v>3</v>
      </c>
      <c r="P346" t="s">
        <v>50</v>
      </c>
      <c r="Q346" s="4">
        <v>46391</v>
      </c>
      <c r="R346" t="s">
        <v>84</v>
      </c>
      <c r="S346" t="s">
        <v>38</v>
      </c>
      <c r="T346" t="s">
        <v>3153</v>
      </c>
      <c r="U346" t="s">
        <v>75</v>
      </c>
      <c r="V346" t="s">
        <v>3154</v>
      </c>
    </row>
    <row r="347" spans="1:22" x14ac:dyDescent="0.2">
      <c r="A347" t="s">
        <v>755</v>
      </c>
      <c r="B347" t="s">
        <v>756</v>
      </c>
      <c r="C347" t="s">
        <v>31</v>
      </c>
      <c r="D347" t="s">
        <v>32</v>
      </c>
      <c r="E347" t="s">
        <v>91</v>
      </c>
      <c r="F347" t="s">
        <v>34</v>
      </c>
      <c r="G347" t="s">
        <v>35</v>
      </c>
      <c r="H347" t="s">
        <v>36</v>
      </c>
      <c r="I347" t="s">
        <v>62</v>
      </c>
      <c r="J347" t="s">
        <v>37</v>
      </c>
      <c r="K347" s="4">
        <v>46007</v>
      </c>
      <c r="L347" s="4">
        <v>46372</v>
      </c>
      <c r="M347" t="s">
        <v>69</v>
      </c>
      <c r="N347" t="s">
        <v>75</v>
      </c>
      <c r="O347">
        <v>3</v>
      </c>
      <c r="P347" t="s">
        <v>106</v>
      </c>
      <c r="Q347" s="4">
        <v>46391</v>
      </c>
      <c r="R347" t="s">
        <v>64</v>
      </c>
      <c r="S347" t="s">
        <v>3155</v>
      </c>
      <c r="T347" t="s">
        <v>3153</v>
      </c>
      <c r="U347" t="s">
        <v>75</v>
      </c>
      <c r="V347" t="s">
        <v>3152</v>
      </c>
    </row>
    <row r="348" spans="1:22" x14ac:dyDescent="0.2">
      <c r="A348" t="s">
        <v>757</v>
      </c>
      <c r="B348" t="s">
        <v>758</v>
      </c>
      <c r="C348" t="s">
        <v>96</v>
      </c>
      <c r="D348" t="s">
        <v>97</v>
      </c>
      <c r="E348" t="s">
        <v>44</v>
      </c>
      <c r="F348" t="s">
        <v>67</v>
      </c>
      <c r="G348" t="s">
        <v>118</v>
      </c>
      <c r="H348" t="s">
        <v>88</v>
      </c>
      <c r="I348" t="s">
        <v>39</v>
      </c>
      <c r="J348" t="s">
        <v>37</v>
      </c>
      <c r="K348" s="4">
        <v>46008</v>
      </c>
      <c r="L348" s="4">
        <v>46098</v>
      </c>
      <c r="M348" t="s">
        <v>38</v>
      </c>
      <c r="N348" t="s">
        <v>75</v>
      </c>
      <c r="O348">
        <v>2</v>
      </c>
      <c r="P348" t="s">
        <v>56</v>
      </c>
      <c r="Q348" s="4">
        <v>46355</v>
      </c>
      <c r="R348" t="s">
        <v>84</v>
      </c>
      <c r="S348" t="s">
        <v>38</v>
      </c>
      <c r="T348" t="s">
        <v>3153</v>
      </c>
      <c r="U348" t="s">
        <v>75</v>
      </c>
      <c r="V348" t="s">
        <v>3154</v>
      </c>
    </row>
    <row r="349" spans="1:22" x14ac:dyDescent="0.2">
      <c r="A349" t="s">
        <v>759</v>
      </c>
      <c r="B349" t="s">
        <v>760</v>
      </c>
      <c r="C349" t="s">
        <v>103</v>
      </c>
      <c r="D349" t="s">
        <v>104</v>
      </c>
      <c r="E349" t="s">
        <v>53</v>
      </c>
      <c r="F349" t="s">
        <v>45</v>
      </c>
      <c r="G349" t="s">
        <v>61</v>
      </c>
      <c r="H349" t="s">
        <v>88</v>
      </c>
      <c r="I349" t="s">
        <v>39</v>
      </c>
      <c r="J349" t="s">
        <v>63</v>
      </c>
      <c r="K349" s="4">
        <v>45995</v>
      </c>
      <c r="L349" s="4">
        <v>46175</v>
      </c>
      <c r="M349" t="s">
        <v>38</v>
      </c>
      <c r="N349" t="s">
        <v>55</v>
      </c>
      <c r="O349">
        <v>3</v>
      </c>
      <c r="P349" t="s">
        <v>62</v>
      </c>
      <c r="Q349" s="4">
        <v>46402</v>
      </c>
      <c r="R349" t="s">
        <v>84</v>
      </c>
      <c r="S349" t="s">
        <v>38</v>
      </c>
      <c r="T349" t="s">
        <v>3153</v>
      </c>
      <c r="U349" t="s">
        <v>55</v>
      </c>
      <c r="V349" t="s">
        <v>3154</v>
      </c>
    </row>
    <row r="350" spans="1:22" x14ac:dyDescent="0.2">
      <c r="A350" t="s">
        <v>761</v>
      </c>
      <c r="B350" t="s">
        <v>762</v>
      </c>
      <c r="C350" t="s">
        <v>31</v>
      </c>
      <c r="D350" t="s">
        <v>32</v>
      </c>
      <c r="E350" t="s">
        <v>53</v>
      </c>
      <c r="F350" t="s">
        <v>67</v>
      </c>
      <c r="G350" t="s">
        <v>68</v>
      </c>
      <c r="H350" t="s">
        <v>47</v>
      </c>
      <c r="I350" t="s">
        <v>54</v>
      </c>
      <c r="J350" t="s">
        <v>48</v>
      </c>
      <c r="K350" s="4">
        <v>46011</v>
      </c>
      <c r="L350" s="4">
        <v>46376</v>
      </c>
      <c r="M350" t="s">
        <v>69</v>
      </c>
      <c r="N350" t="s">
        <v>75</v>
      </c>
      <c r="O350">
        <v>2</v>
      </c>
      <c r="P350" t="s">
        <v>56</v>
      </c>
      <c r="Q350" s="4">
        <v>46326</v>
      </c>
      <c r="R350" t="s">
        <v>64</v>
      </c>
      <c r="S350" t="s">
        <v>3155</v>
      </c>
      <c r="T350" t="s">
        <v>3153</v>
      </c>
      <c r="U350" t="s">
        <v>75</v>
      </c>
      <c r="V350" t="s">
        <v>3154</v>
      </c>
    </row>
    <row r="351" spans="1:22" x14ac:dyDescent="0.2">
      <c r="A351" t="s">
        <v>763</v>
      </c>
      <c r="B351" t="s">
        <v>764</v>
      </c>
      <c r="C351" t="s">
        <v>31</v>
      </c>
      <c r="D351" t="s">
        <v>32</v>
      </c>
      <c r="E351" t="s">
        <v>60</v>
      </c>
      <c r="F351" t="s">
        <v>45</v>
      </c>
      <c r="G351" t="s">
        <v>61</v>
      </c>
      <c r="H351" t="s">
        <v>88</v>
      </c>
      <c r="I351" t="s">
        <v>111</v>
      </c>
      <c r="J351" t="s">
        <v>37</v>
      </c>
      <c r="K351" s="4">
        <v>46179</v>
      </c>
      <c r="L351" s="4">
        <v>46359</v>
      </c>
      <c r="M351" t="s">
        <v>64</v>
      </c>
      <c r="N351" t="s">
        <v>55</v>
      </c>
      <c r="O351">
        <v>0</v>
      </c>
      <c r="P351" t="s">
        <v>50</v>
      </c>
      <c r="Q351" s="4">
        <v>46210</v>
      </c>
      <c r="R351" t="s">
        <v>57</v>
      </c>
      <c r="S351" t="s">
        <v>3155</v>
      </c>
      <c r="T351" t="s">
        <v>3153</v>
      </c>
      <c r="U351" t="s">
        <v>55</v>
      </c>
      <c r="V351" t="s">
        <v>3154</v>
      </c>
    </row>
    <row r="352" spans="1:22" x14ac:dyDescent="0.2">
      <c r="A352" t="s">
        <v>765</v>
      </c>
      <c r="B352" t="s">
        <v>766</v>
      </c>
      <c r="C352" t="s">
        <v>96</v>
      </c>
      <c r="D352" t="s">
        <v>97</v>
      </c>
      <c r="E352" t="s">
        <v>91</v>
      </c>
      <c r="F352" t="s">
        <v>34</v>
      </c>
      <c r="G352" t="s">
        <v>35</v>
      </c>
      <c r="H352" t="s">
        <v>47</v>
      </c>
      <c r="I352" t="s">
        <v>70</v>
      </c>
      <c r="J352" t="s">
        <v>37</v>
      </c>
      <c r="K352" s="4">
        <v>46198</v>
      </c>
      <c r="L352" s="4">
        <v>46288</v>
      </c>
      <c r="M352" t="s">
        <v>38</v>
      </c>
      <c r="N352" t="s">
        <v>75</v>
      </c>
      <c r="O352">
        <v>1</v>
      </c>
      <c r="P352" t="s">
        <v>39</v>
      </c>
      <c r="Q352" s="4">
        <v>46290</v>
      </c>
      <c r="R352" t="s">
        <v>38</v>
      </c>
      <c r="S352" t="s">
        <v>38</v>
      </c>
      <c r="T352" t="s">
        <v>3153</v>
      </c>
      <c r="U352" t="s">
        <v>75</v>
      </c>
      <c r="V352" t="s">
        <v>3154</v>
      </c>
    </row>
    <row r="353" spans="1:22" x14ac:dyDescent="0.2">
      <c r="A353" t="s">
        <v>767</v>
      </c>
      <c r="B353" t="s">
        <v>768</v>
      </c>
      <c r="C353" t="s">
        <v>31</v>
      </c>
      <c r="D353" t="s">
        <v>32</v>
      </c>
      <c r="E353" t="s">
        <v>44</v>
      </c>
      <c r="F353" t="s">
        <v>67</v>
      </c>
      <c r="G353" t="s">
        <v>68</v>
      </c>
      <c r="H353" t="s">
        <v>47</v>
      </c>
      <c r="I353" t="s">
        <v>62</v>
      </c>
      <c r="J353" t="s">
        <v>63</v>
      </c>
      <c r="K353" s="4">
        <v>46239</v>
      </c>
      <c r="L353" s="4">
        <v>46604</v>
      </c>
      <c r="M353" t="s">
        <v>64</v>
      </c>
      <c r="N353" t="s">
        <v>55</v>
      </c>
      <c r="O353">
        <v>2</v>
      </c>
      <c r="P353" t="s">
        <v>54</v>
      </c>
      <c r="Q353" s="4">
        <v>46310</v>
      </c>
      <c r="R353" t="s">
        <v>84</v>
      </c>
      <c r="S353" t="s">
        <v>3155</v>
      </c>
      <c r="T353" t="s">
        <v>3153</v>
      </c>
      <c r="U353" t="s">
        <v>55</v>
      </c>
      <c r="V353" t="s">
        <v>3154</v>
      </c>
    </row>
    <row r="354" spans="1:22" x14ac:dyDescent="0.2">
      <c r="A354" t="s">
        <v>769</v>
      </c>
      <c r="B354" t="s">
        <v>770</v>
      </c>
      <c r="C354" t="s">
        <v>42</v>
      </c>
      <c r="D354" t="s">
        <v>43</v>
      </c>
      <c r="E354" t="s">
        <v>44</v>
      </c>
      <c r="F354" t="s">
        <v>67</v>
      </c>
      <c r="G354" t="s">
        <v>118</v>
      </c>
      <c r="H354" t="s">
        <v>36</v>
      </c>
      <c r="I354" t="s">
        <v>39</v>
      </c>
      <c r="J354" t="s">
        <v>48</v>
      </c>
      <c r="K354" s="4">
        <v>46174</v>
      </c>
      <c r="L354" s="4">
        <v>46354</v>
      </c>
      <c r="M354" t="s">
        <v>84</v>
      </c>
      <c r="N354" t="s">
        <v>49</v>
      </c>
      <c r="O354">
        <v>5</v>
      </c>
      <c r="P354" t="s">
        <v>39</v>
      </c>
      <c r="Q354" s="4">
        <v>46221</v>
      </c>
      <c r="R354" t="s">
        <v>38</v>
      </c>
      <c r="S354" t="s">
        <v>3155</v>
      </c>
      <c r="T354" t="s">
        <v>3153</v>
      </c>
      <c r="U354" t="s">
        <v>49</v>
      </c>
      <c r="V354" t="s">
        <v>3152</v>
      </c>
    </row>
    <row r="355" spans="1:22" x14ac:dyDescent="0.2">
      <c r="A355" t="s">
        <v>771</v>
      </c>
      <c r="B355" t="s">
        <v>772</v>
      </c>
      <c r="C355" t="s">
        <v>31</v>
      </c>
      <c r="D355" t="s">
        <v>83</v>
      </c>
      <c r="E355" t="s">
        <v>53</v>
      </c>
      <c r="F355" t="s">
        <v>34</v>
      </c>
      <c r="G355" t="s">
        <v>35</v>
      </c>
      <c r="H355" t="s">
        <v>88</v>
      </c>
      <c r="I355" t="s">
        <v>56</v>
      </c>
      <c r="J355" t="s">
        <v>37</v>
      </c>
      <c r="K355" s="4">
        <v>46174</v>
      </c>
      <c r="L355" s="4">
        <v>46354</v>
      </c>
      <c r="M355" t="s">
        <v>84</v>
      </c>
      <c r="N355" t="s">
        <v>55</v>
      </c>
      <c r="O355">
        <v>1</v>
      </c>
      <c r="P355" t="s">
        <v>70</v>
      </c>
      <c r="Q355" s="4">
        <v>46337</v>
      </c>
      <c r="R355" t="s">
        <v>64</v>
      </c>
      <c r="S355" t="s">
        <v>3155</v>
      </c>
      <c r="T355" t="s">
        <v>3153</v>
      </c>
      <c r="U355" t="s">
        <v>55</v>
      </c>
      <c r="V355" t="s">
        <v>3154</v>
      </c>
    </row>
    <row r="356" spans="1:22" x14ac:dyDescent="0.2">
      <c r="A356" t="s">
        <v>773</v>
      </c>
      <c r="B356" t="s">
        <v>774</v>
      </c>
      <c r="C356" t="s">
        <v>96</v>
      </c>
      <c r="D356" t="s">
        <v>97</v>
      </c>
      <c r="E356" t="s">
        <v>105</v>
      </c>
      <c r="F356" t="s">
        <v>67</v>
      </c>
      <c r="G356" t="s">
        <v>68</v>
      </c>
      <c r="H356" t="s">
        <v>98</v>
      </c>
      <c r="I356" t="s">
        <v>111</v>
      </c>
      <c r="J356" t="s">
        <v>63</v>
      </c>
      <c r="K356" s="4">
        <v>45923</v>
      </c>
      <c r="L356" s="4">
        <v>46288</v>
      </c>
      <c r="M356" t="s">
        <v>38</v>
      </c>
      <c r="N356" t="s">
        <v>55</v>
      </c>
      <c r="O356">
        <v>2</v>
      </c>
      <c r="P356" t="s">
        <v>106</v>
      </c>
      <c r="Q356" s="4">
        <v>46160</v>
      </c>
      <c r="R356" t="s">
        <v>64</v>
      </c>
      <c r="S356" t="s">
        <v>38</v>
      </c>
      <c r="T356" t="s">
        <v>3153</v>
      </c>
      <c r="U356" t="s">
        <v>55</v>
      </c>
      <c r="V356" t="s">
        <v>3152</v>
      </c>
    </row>
    <row r="357" spans="1:22" x14ac:dyDescent="0.2">
      <c r="A357" t="s">
        <v>775</v>
      </c>
      <c r="B357" t="s">
        <v>776</v>
      </c>
      <c r="C357" t="s">
        <v>73</v>
      </c>
      <c r="D357" t="s">
        <v>74</v>
      </c>
      <c r="E357" t="s">
        <v>105</v>
      </c>
      <c r="F357" t="s">
        <v>34</v>
      </c>
      <c r="G357" t="s">
        <v>35</v>
      </c>
      <c r="H357" t="s">
        <v>88</v>
      </c>
      <c r="I357" t="s">
        <v>50</v>
      </c>
      <c r="J357" t="s">
        <v>37</v>
      </c>
      <c r="K357" s="4">
        <v>45916</v>
      </c>
      <c r="L357" s="4">
        <v>46281</v>
      </c>
      <c r="M357" t="s">
        <v>38</v>
      </c>
      <c r="N357" t="s">
        <v>55</v>
      </c>
      <c r="O357">
        <v>1</v>
      </c>
      <c r="P357" t="s">
        <v>54</v>
      </c>
      <c r="Q357" s="4">
        <v>46364</v>
      </c>
      <c r="R357" t="s">
        <v>64</v>
      </c>
      <c r="S357" t="s">
        <v>38</v>
      </c>
      <c r="T357" t="s">
        <v>3153</v>
      </c>
      <c r="U357" t="s">
        <v>55</v>
      </c>
      <c r="V357" t="s">
        <v>3154</v>
      </c>
    </row>
    <row r="358" spans="1:22" x14ac:dyDescent="0.2">
      <c r="A358" t="s">
        <v>777</v>
      </c>
      <c r="B358" t="s">
        <v>778</v>
      </c>
      <c r="C358" t="s">
        <v>96</v>
      </c>
      <c r="D358" t="s">
        <v>97</v>
      </c>
      <c r="E358" t="s">
        <v>53</v>
      </c>
      <c r="F358" t="s">
        <v>45</v>
      </c>
      <c r="G358" t="s">
        <v>61</v>
      </c>
      <c r="H358" t="s">
        <v>36</v>
      </c>
      <c r="I358" t="s">
        <v>56</v>
      </c>
      <c r="J358" t="s">
        <v>63</v>
      </c>
      <c r="K358" s="4">
        <v>45815</v>
      </c>
      <c r="L358" s="4">
        <v>45905</v>
      </c>
      <c r="M358" t="s">
        <v>38</v>
      </c>
      <c r="N358" t="s">
        <v>75</v>
      </c>
      <c r="O358">
        <v>5</v>
      </c>
      <c r="P358" t="s">
        <v>50</v>
      </c>
      <c r="Q358" s="4">
        <v>46339</v>
      </c>
      <c r="R358" t="s">
        <v>84</v>
      </c>
      <c r="S358" t="s">
        <v>38</v>
      </c>
      <c r="T358" t="s">
        <v>3153</v>
      </c>
      <c r="U358" t="s">
        <v>75</v>
      </c>
      <c r="V358" t="s">
        <v>3152</v>
      </c>
    </row>
    <row r="359" spans="1:22" x14ac:dyDescent="0.2">
      <c r="A359" t="s">
        <v>779</v>
      </c>
      <c r="B359" t="s">
        <v>780</v>
      </c>
      <c r="C359" t="s">
        <v>96</v>
      </c>
      <c r="D359" t="s">
        <v>97</v>
      </c>
      <c r="E359" t="s">
        <v>53</v>
      </c>
      <c r="F359" t="s">
        <v>34</v>
      </c>
      <c r="G359" t="s">
        <v>35</v>
      </c>
      <c r="H359" t="s">
        <v>36</v>
      </c>
      <c r="I359" t="s">
        <v>56</v>
      </c>
      <c r="J359" t="s">
        <v>37</v>
      </c>
      <c r="K359" s="4">
        <v>45831</v>
      </c>
      <c r="L359" s="4">
        <v>46196</v>
      </c>
      <c r="M359" t="s">
        <v>38</v>
      </c>
      <c r="N359" t="s">
        <v>49</v>
      </c>
      <c r="O359">
        <v>1</v>
      </c>
      <c r="P359" t="s">
        <v>106</v>
      </c>
      <c r="Q359" s="4">
        <v>46150</v>
      </c>
      <c r="R359" t="s">
        <v>38</v>
      </c>
      <c r="S359" t="s">
        <v>38</v>
      </c>
      <c r="T359" t="s">
        <v>3153</v>
      </c>
      <c r="U359" t="s">
        <v>49</v>
      </c>
      <c r="V359" t="s">
        <v>3152</v>
      </c>
    </row>
    <row r="360" spans="1:22" x14ac:dyDescent="0.2">
      <c r="A360" t="s">
        <v>781</v>
      </c>
      <c r="B360" t="s">
        <v>782</v>
      </c>
      <c r="C360" t="s">
        <v>31</v>
      </c>
      <c r="D360" t="s">
        <v>32</v>
      </c>
      <c r="E360" t="s">
        <v>91</v>
      </c>
      <c r="F360" t="s">
        <v>67</v>
      </c>
      <c r="G360" t="s">
        <v>68</v>
      </c>
      <c r="H360" t="s">
        <v>88</v>
      </c>
      <c r="I360" t="s">
        <v>50</v>
      </c>
      <c r="J360" t="s">
        <v>63</v>
      </c>
      <c r="K360" s="4">
        <v>45823</v>
      </c>
      <c r="L360" s="4">
        <v>45913</v>
      </c>
      <c r="M360" t="s">
        <v>38</v>
      </c>
      <c r="N360" t="s">
        <v>49</v>
      </c>
      <c r="O360">
        <v>2</v>
      </c>
      <c r="P360" t="s">
        <v>62</v>
      </c>
      <c r="Q360" s="4">
        <v>46237</v>
      </c>
      <c r="R360" t="s">
        <v>64</v>
      </c>
      <c r="S360" t="s">
        <v>38</v>
      </c>
      <c r="T360" t="s">
        <v>3153</v>
      </c>
      <c r="U360" t="s">
        <v>49</v>
      </c>
      <c r="V360" t="s">
        <v>3154</v>
      </c>
    </row>
    <row r="361" spans="1:22" x14ac:dyDescent="0.2">
      <c r="A361" t="s">
        <v>783</v>
      </c>
      <c r="B361" t="s">
        <v>784</v>
      </c>
      <c r="C361" t="s">
        <v>31</v>
      </c>
      <c r="D361" t="s">
        <v>32</v>
      </c>
      <c r="E361" t="s">
        <v>60</v>
      </c>
      <c r="F361" t="s">
        <v>45</v>
      </c>
      <c r="G361" t="s">
        <v>61</v>
      </c>
      <c r="H361" t="s">
        <v>47</v>
      </c>
      <c r="I361" t="s">
        <v>56</v>
      </c>
      <c r="J361" t="s">
        <v>48</v>
      </c>
      <c r="K361" s="4">
        <v>46110</v>
      </c>
      <c r="L361" s="4">
        <v>46290</v>
      </c>
      <c r="M361" t="s">
        <v>38</v>
      </c>
      <c r="N361" t="s">
        <v>49</v>
      </c>
      <c r="O361">
        <v>2</v>
      </c>
      <c r="P361" t="s">
        <v>50</v>
      </c>
      <c r="Q361" s="4">
        <v>46171</v>
      </c>
      <c r="R361" t="s">
        <v>64</v>
      </c>
      <c r="S361" t="s">
        <v>38</v>
      </c>
      <c r="T361" t="s">
        <v>3153</v>
      </c>
      <c r="U361" t="s">
        <v>49</v>
      </c>
      <c r="V361" t="s">
        <v>3154</v>
      </c>
    </row>
    <row r="362" spans="1:22" x14ac:dyDescent="0.2">
      <c r="A362" t="s">
        <v>785</v>
      </c>
      <c r="B362" t="s">
        <v>786</v>
      </c>
      <c r="C362" t="s">
        <v>42</v>
      </c>
      <c r="D362" t="s">
        <v>43</v>
      </c>
      <c r="E362" t="s">
        <v>105</v>
      </c>
      <c r="F362" t="s">
        <v>45</v>
      </c>
      <c r="G362" t="s">
        <v>46</v>
      </c>
      <c r="H362" t="s">
        <v>88</v>
      </c>
      <c r="I362" t="s">
        <v>70</v>
      </c>
      <c r="J362" t="s">
        <v>37</v>
      </c>
      <c r="K362" s="4">
        <v>46259</v>
      </c>
      <c r="L362" s="4">
        <v>46624</v>
      </c>
      <c r="M362" t="s">
        <v>69</v>
      </c>
      <c r="N362" t="s">
        <v>49</v>
      </c>
      <c r="O362">
        <v>3</v>
      </c>
      <c r="P362" t="s">
        <v>54</v>
      </c>
      <c r="Q362" s="4">
        <v>46384</v>
      </c>
      <c r="R362" t="s">
        <v>84</v>
      </c>
      <c r="S362" t="s">
        <v>3155</v>
      </c>
      <c r="T362" t="s">
        <v>3153</v>
      </c>
      <c r="U362" t="s">
        <v>49</v>
      </c>
      <c r="V362" t="s">
        <v>3154</v>
      </c>
    </row>
    <row r="363" spans="1:22" x14ac:dyDescent="0.2">
      <c r="A363" t="s">
        <v>787</v>
      </c>
      <c r="B363" t="s">
        <v>788</v>
      </c>
      <c r="C363" t="s">
        <v>78</v>
      </c>
      <c r="D363" t="s">
        <v>79</v>
      </c>
      <c r="E363" t="s">
        <v>105</v>
      </c>
      <c r="F363" t="s">
        <v>34</v>
      </c>
      <c r="G363" t="s">
        <v>35</v>
      </c>
      <c r="H363" t="s">
        <v>98</v>
      </c>
      <c r="I363" t="s">
        <v>54</v>
      </c>
      <c r="J363" t="s">
        <v>37</v>
      </c>
      <c r="K363" s="4">
        <v>45940</v>
      </c>
      <c r="L363" s="4">
        <v>46120</v>
      </c>
      <c r="M363" t="s">
        <v>38</v>
      </c>
      <c r="N363" t="s">
        <v>55</v>
      </c>
      <c r="O363">
        <v>3</v>
      </c>
      <c r="P363" t="s">
        <v>39</v>
      </c>
      <c r="Q363" s="4">
        <v>46146</v>
      </c>
      <c r="R363" t="s">
        <v>38</v>
      </c>
      <c r="S363" t="s">
        <v>38</v>
      </c>
      <c r="T363" t="s">
        <v>3153</v>
      </c>
      <c r="U363" t="s">
        <v>55</v>
      </c>
      <c r="V363" t="s">
        <v>3152</v>
      </c>
    </row>
    <row r="364" spans="1:22" x14ac:dyDescent="0.2">
      <c r="A364" t="s">
        <v>789</v>
      </c>
      <c r="B364" t="s">
        <v>790</v>
      </c>
      <c r="C364" t="s">
        <v>103</v>
      </c>
      <c r="D364" t="s">
        <v>104</v>
      </c>
      <c r="E364" t="s">
        <v>60</v>
      </c>
      <c r="F364" t="s">
        <v>34</v>
      </c>
      <c r="G364" t="s">
        <v>35</v>
      </c>
      <c r="H364" t="s">
        <v>47</v>
      </c>
      <c r="I364" t="s">
        <v>70</v>
      </c>
      <c r="J364" t="s">
        <v>37</v>
      </c>
      <c r="K364" s="4">
        <v>45848</v>
      </c>
      <c r="L364" s="4">
        <v>46028</v>
      </c>
      <c r="M364" t="s">
        <v>38</v>
      </c>
      <c r="N364" t="s">
        <v>55</v>
      </c>
      <c r="O364">
        <v>1</v>
      </c>
      <c r="P364" t="s">
        <v>54</v>
      </c>
      <c r="Q364" s="4">
        <v>46380</v>
      </c>
      <c r="R364" t="s">
        <v>64</v>
      </c>
      <c r="S364" t="s">
        <v>38</v>
      </c>
      <c r="T364" t="s">
        <v>3153</v>
      </c>
      <c r="U364" t="s">
        <v>55</v>
      </c>
      <c r="V364" t="s">
        <v>3154</v>
      </c>
    </row>
    <row r="365" spans="1:22" x14ac:dyDescent="0.2">
      <c r="A365" t="s">
        <v>791</v>
      </c>
      <c r="B365" t="s">
        <v>792</v>
      </c>
      <c r="C365" t="s">
        <v>78</v>
      </c>
      <c r="D365" t="s">
        <v>79</v>
      </c>
      <c r="E365" t="s">
        <v>60</v>
      </c>
      <c r="F365" t="s">
        <v>45</v>
      </c>
      <c r="G365" t="s">
        <v>46</v>
      </c>
      <c r="H365" t="s">
        <v>88</v>
      </c>
      <c r="I365" t="s">
        <v>50</v>
      </c>
      <c r="J365" t="s">
        <v>48</v>
      </c>
      <c r="K365" s="4">
        <v>45990</v>
      </c>
      <c r="L365" s="4">
        <v>46355</v>
      </c>
      <c r="M365" t="s">
        <v>84</v>
      </c>
      <c r="N365" t="s">
        <v>49</v>
      </c>
      <c r="O365">
        <v>2</v>
      </c>
      <c r="P365" t="s">
        <v>50</v>
      </c>
      <c r="Q365" s="4">
        <v>46349</v>
      </c>
      <c r="R365" t="s">
        <v>84</v>
      </c>
      <c r="S365" t="s">
        <v>3155</v>
      </c>
      <c r="T365" t="s">
        <v>3153</v>
      </c>
      <c r="U365" t="s">
        <v>49</v>
      </c>
      <c r="V365" t="s">
        <v>3154</v>
      </c>
    </row>
    <row r="366" spans="1:22" x14ac:dyDescent="0.2">
      <c r="A366" t="s">
        <v>793</v>
      </c>
      <c r="B366" t="s">
        <v>794</v>
      </c>
      <c r="C366" t="s">
        <v>73</v>
      </c>
      <c r="D366" t="s">
        <v>74</v>
      </c>
      <c r="E366" t="s">
        <v>60</v>
      </c>
      <c r="F366" t="s">
        <v>34</v>
      </c>
      <c r="G366" t="s">
        <v>35</v>
      </c>
      <c r="H366" t="s">
        <v>88</v>
      </c>
      <c r="I366" t="s">
        <v>50</v>
      </c>
      <c r="J366" t="s">
        <v>37</v>
      </c>
      <c r="K366" s="4">
        <v>46002</v>
      </c>
      <c r="L366" s="4">
        <v>46367</v>
      </c>
      <c r="M366" t="s">
        <v>64</v>
      </c>
      <c r="N366" t="s">
        <v>75</v>
      </c>
      <c r="O366">
        <v>2</v>
      </c>
      <c r="P366" t="s">
        <v>62</v>
      </c>
      <c r="Q366" s="4">
        <v>46396</v>
      </c>
      <c r="R366" t="s">
        <v>84</v>
      </c>
      <c r="S366" t="s">
        <v>3155</v>
      </c>
      <c r="T366" t="s">
        <v>3153</v>
      </c>
      <c r="U366" t="s">
        <v>75</v>
      </c>
      <c r="V366" t="s">
        <v>3154</v>
      </c>
    </row>
    <row r="367" spans="1:22" x14ac:dyDescent="0.2">
      <c r="A367" t="s">
        <v>795</v>
      </c>
      <c r="B367" t="s">
        <v>796</v>
      </c>
      <c r="C367" t="s">
        <v>96</v>
      </c>
      <c r="D367" t="s">
        <v>97</v>
      </c>
      <c r="E367" t="s">
        <v>91</v>
      </c>
      <c r="F367" t="s">
        <v>34</v>
      </c>
      <c r="G367" t="s">
        <v>35</v>
      </c>
      <c r="H367" t="s">
        <v>88</v>
      </c>
      <c r="I367" t="s">
        <v>54</v>
      </c>
      <c r="J367" t="s">
        <v>48</v>
      </c>
      <c r="K367" s="4">
        <v>45987</v>
      </c>
      <c r="L367" s="4">
        <v>46352</v>
      </c>
      <c r="M367" t="s">
        <v>64</v>
      </c>
      <c r="N367" t="s">
        <v>49</v>
      </c>
      <c r="O367">
        <v>2</v>
      </c>
      <c r="P367" t="s">
        <v>39</v>
      </c>
      <c r="Q367" s="4">
        <v>46299</v>
      </c>
      <c r="R367" t="s">
        <v>84</v>
      </c>
      <c r="S367" t="s">
        <v>3155</v>
      </c>
      <c r="T367" t="s">
        <v>3153</v>
      </c>
      <c r="U367" t="s">
        <v>49</v>
      </c>
      <c r="V367" t="s">
        <v>3154</v>
      </c>
    </row>
    <row r="368" spans="1:22" x14ac:dyDescent="0.2">
      <c r="A368" t="s">
        <v>797</v>
      </c>
      <c r="B368" t="s">
        <v>798</v>
      </c>
      <c r="C368" t="s">
        <v>31</v>
      </c>
      <c r="D368" t="s">
        <v>83</v>
      </c>
      <c r="E368" t="s">
        <v>60</v>
      </c>
      <c r="F368" t="s">
        <v>67</v>
      </c>
      <c r="G368" t="s">
        <v>68</v>
      </c>
      <c r="H368" t="s">
        <v>47</v>
      </c>
      <c r="I368" t="s">
        <v>56</v>
      </c>
      <c r="J368" t="s">
        <v>48</v>
      </c>
      <c r="K368" s="4">
        <v>46272</v>
      </c>
      <c r="L368" s="4">
        <v>46452</v>
      </c>
      <c r="M368" t="s">
        <v>84</v>
      </c>
      <c r="N368" t="s">
        <v>75</v>
      </c>
      <c r="O368">
        <v>0</v>
      </c>
      <c r="P368" t="s">
        <v>111</v>
      </c>
      <c r="Q368" s="4">
        <v>46256</v>
      </c>
      <c r="R368" t="s">
        <v>57</v>
      </c>
      <c r="S368" t="s">
        <v>3155</v>
      </c>
      <c r="T368" t="s">
        <v>3153</v>
      </c>
      <c r="U368" t="s">
        <v>75</v>
      </c>
      <c r="V368" t="s">
        <v>3154</v>
      </c>
    </row>
    <row r="369" spans="1:22" x14ac:dyDescent="0.2">
      <c r="A369" t="s">
        <v>799</v>
      </c>
      <c r="B369" t="s">
        <v>800</v>
      </c>
      <c r="C369" t="s">
        <v>31</v>
      </c>
      <c r="D369" t="s">
        <v>32</v>
      </c>
      <c r="E369" t="s">
        <v>44</v>
      </c>
      <c r="F369" t="s">
        <v>67</v>
      </c>
      <c r="G369" t="s">
        <v>68</v>
      </c>
      <c r="H369" t="s">
        <v>47</v>
      </c>
      <c r="I369" t="s">
        <v>54</v>
      </c>
      <c r="J369" t="s">
        <v>37</v>
      </c>
      <c r="K369" s="4">
        <v>46156</v>
      </c>
      <c r="L369" s="4">
        <v>46336</v>
      </c>
      <c r="M369" t="s">
        <v>84</v>
      </c>
      <c r="N369" t="s">
        <v>49</v>
      </c>
      <c r="O369">
        <v>3</v>
      </c>
      <c r="P369" t="s">
        <v>111</v>
      </c>
      <c r="Q369" s="4">
        <v>46406</v>
      </c>
      <c r="R369" t="s">
        <v>84</v>
      </c>
      <c r="S369" t="s">
        <v>3155</v>
      </c>
      <c r="T369" t="s">
        <v>3153</v>
      </c>
      <c r="U369" t="s">
        <v>49</v>
      </c>
      <c r="V369" t="s">
        <v>3154</v>
      </c>
    </row>
    <row r="370" spans="1:22" x14ac:dyDescent="0.2">
      <c r="A370" t="s">
        <v>801</v>
      </c>
      <c r="B370" t="s">
        <v>802</v>
      </c>
      <c r="C370" t="s">
        <v>31</v>
      </c>
      <c r="D370" t="s">
        <v>87</v>
      </c>
      <c r="E370" t="s">
        <v>91</v>
      </c>
      <c r="F370" t="s">
        <v>45</v>
      </c>
      <c r="G370" t="s">
        <v>61</v>
      </c>
      <c r="H370" t="s">
        <v>36</v>
      </c>
      <c r="I370" t="s">
        <v>70</v>
      </c>
      <c r="J370" t="s">
        <v>37</v>
      </c>
      <c r="K370" s="4">
        <v>45971</v>
      </c>
      <c r="L370" s="4">
        <v>46336</v>
      </c>
      <c r="M370" t="s">
        <v>64</v>
      </c>
      <c r="N370" t="s">
        <v>49</v>
      </c>
      <c r="O370">
        <v>4</v>
      </c>
      <c r="P370" t="s">
        <v>106</v>
      </c>
      <c r="Q370" s="4">
        <v>46310</v>
      </c>
      <c r="R370" t="s">
        <v>64</v>
      </c>
      <c r="S370" t="s">
        <v>3155</v>
      </c>
      <c r="T370" t="s">
        <v>3153</v>
      </c>
      <c r="U370" t="s">
        <v>49</v>
      </c>
      <c r="V370" t="s">
        <v>3152</v>
      </c>
    </row>
    <row r="371" spans="1:22" x14ac:dyDescent="0.2">
      <c r="A371" t="s">
        <v>803</v>
      </c>
      <c r="B371" t="s">
        <v>804</v>
      </c>
      <c r="C371" t="s">
        <v>31</v>
      </c>
      <c r="D371" t="s">
        <v>87</v>
      </c>
      <c r="E371" t="s">
        <v>105</v>
      </c>
      <c r="F371" t="s">
        <v>67</v>
      </c>
      <c r="G371" t="s">
        <v>118</v>
      </c>
      <c r="H371" t="s">
        <v>36</v>
      </c>
      <c r="I371" t="s">
        <v>54</v>
      </c>
      <c r="J371" t="s">
        <v>63</v>
      </c>
      <c r="K371" s="4">
        <v>45893</v>
      </c>
      <c r="L371" s="4">
        <v>46258</v>
      </c>
      <c r="M371" t="s">
        <v>38</v>
      </c>
      <c r="N371" t="s">
        <v>49</v>
      </c>
      <c r="O371">
        <v>0</v>
      </c>
      <c r="P371" t="s">
        <v>39</v>
      </c>
      <c r="Q371" s="4">
        <v>46310</v>
      </c>
      <c r="R371" t="s">
        <v>57</v>
      </c>
      <c r="S371" t="s">
        <v>38</v>
      </c>
      <c r="T371" t="s">
        <v>3153</v>
      </c>
      <c r="U371" t="s">
        <v>49</v>
      </c>
      <c r="V371" t="s">
        <v>3152</v>
      </c>
    </row>
    <row r="372" spans="1:22" x14ac:dyDescent="0.2">
      <c r="A372" t="s">
        <v>805</v>
      </c>
      <c r="B372" t="s">
        <v>806</v>
      </c>
      <c r="C372" t="s">
        <v>31</v>
      </c>
      <c r="D372" t="s">
        <v>32</v>
      </c>
      <c r="E372" t="s">
        <v>53</v>
      </c>
      <c r="F372" t="s">
        <v>67</v>
      </c>
      <c r="G372" t="s">
        <v>68</v>
      </c>
      <c r="H372" t="s">
        <v>88</v>
      </c>
      <c r="I372" t="s">
        <v>54</v>
      </c>
      <c r="J372" t="s">
        <v>37</v>
      </c>
      <c r="K372" s="4">
        <v>46197</v>
      </c>
      <c r="L372" s="4">
        <v>46287</v>
      </c>
      <c r="M372" t="s">
        <v>38</v>
      </c>
      <c r="N372" t="s">
        <v>49</v>
      </c>
      <c r="O372">
        <v>3</v>
      </c>
      <c r="P372" t="s">
        <v>56</v>
      </c>
      <c r="Q372" s="4">
        <v>46343</v>
      </c>
      <c r="R372" t="s">
        <v>84</v>
      </c>
      <c r="S372" t="s">
        <v>38</v>
      </c>
      <c r="T372" t="s">
        <v>3153</v>
      </c>
      <c r="U372" t="s">
        <v>49</v>
      </c>
      <c r="V372" t="s">
        <v>3154</v>
      </c>
    </row>
    <row r="373" spans="1:22" x14ac:dyDescent="0.2">
      <c r="A373" t="s">
        <v>807</v>
      </c>
      <c r="B373" t="s">
        <v>808</v>
      </c>
      <c r="C373" t="s">
        <v>78</v>
      </c>
      <c r="D373" t="s">
        <v>79</v>
      </c>
      <c r="E373" t="s">
        <v>44</v>
      </c>
      <c r="F373" t="s">
        <v>67</v>
      </c>
      <c r="G373" t="s">
        <v>68</v>
      </c>
      <c r="H373" t="s">
        <v>88</v>
      </c>
      <c r="I373" t="s">
        <v>111</v>
      </c>
      <c r="J373" t="s">
        <v>63</v>
      </c>
      <c r="K373" s="4">
        <v>45983</v>
      </c>
      <c r="L373" s="4">
        <v>46348</v>
      </c>
      <c r="M373" t="s">
        <v>64</v>
      </c>
      <c r="N373" t="s">
        <v>75</v>
      </c>
      <c r="O373">
        <v>2</v>
      </c>
      <c r="P373" t="s">
        <v>50</v>
      </c>
      <c r="Q373" s="4">
        <v>46158</v>
      </c>
      <c r="R373" t="s">
        <v>38</v>
      </c>
      <c r="S373" t="s">
        <v>3155</v>
      </c>
      <c r="T373" t="s">
        <v>3153</v>
      </c>
      <c r="U373" t="s">
        <v>75</v>
      </c>
      <c r="V373" t="s">
        <v>3154</v>
      </c>
    </row>
    <row r="374" spans="1:22" x14ac:dyDescent="0.2">
      <c r="A374" t="s">
        <v>809</v>
      </c>
      <c r="B374" t="s">
        <v>810</v>
      </c>
      <c r="C374" t="s">
        <v>78</v>
      </c>
      <c r="D374" t="s">
        <v>79</v>
      </c>
      <c r="E374" t="s">
        <v>60</v>
      </c>
      <c r="F374" t="s">
        <v>45</v>
      </c>
      <c r="G374" t="s">
        <v>61</v>
      </c>
      <c r="H374" t="s">
        <v>47</v>
      </c>
      <c r="I374" t="s">
        <v>62</v>
      </c>
      <c r="J374" t="s">
        <v>63</v>
      </c>
      <c r="K374" s="4">
        <v>45942</v>
      </c>
      <c r="L374" s="4">
        <v>46307</v>
      </c>
      <c r="M374" t="s">
        <v>64</v>
      </c>
      <c r="N374" t="s">
        <v>49</v>
      </c>
      <c r="O374">
        <v>1</v>
      </c>
      <c r="P374" t="s">
        <v>70</v>
      </c>
      <c r="Q374" s="4">
        <v>46239</v>
      </c>
      <c r="R374" t="s">
        <v>64</v>
      </c>
      <c r="S374" t="s">
        <v>3155</v>
      </c>
      <c r="T374" t="s">
        <v>3153</v>
      </c>
      <c r="U374" t="s">
        <v>49</v>
      </c>
      <c r="V374" t="s">
        <v>3154</v>
      </c>
    </row>
    <row r="375" spans="1:22" x14ac:dyDescent="0.2">
      <c r="A375" t="s">
        <v>811</v>
      </c>
      <c r="B375" t="s">
        <v>812</v>
      </c>
      <c r="C375" t="s">
        <v>31</v>
      </c>
      <c r="D375" t="s">
        <v>83</v>
      </c>
      <c r="E375" t="s">
        <v>80</v>
      </c>
      <c r="F375" t="s">
        <v>45</v>
      </c>
      <c r="G375" t="s">
        <v>61</v>
      </c>
      <c r="H375" t="s">
        <v>88</v>
      </c>
      <c r="I375" t="s">
        <v>54</v>
      </c>
      <c r="J375" t="s">
        <v>63</v>
      </c>
      <c r="K375" s="4">
        <v>46111</v>
      </c>
      <c r="L375" s="4">
        <v>46291</v>
      </c>
      <c r="M375" t="s">
        <v>38</v>
      </c>
      <c r="N375" t="s">
        <v>49</v>
      </c>
      <c r="O375">
        <v>0</v>
      </c>
      <c r="P375" t="s">
        <v>111</v>
      </c>
      <c r="Q375" s="4">
        <v>46271</v>
      </c>
      <c r="R375" t="s">
        <v>57</v>
      </c>
      <c r="S375" t="s">
        <v>38</v>
      </c>
      <c r="T375" t="s">
        <v>3153</v>
      </c>
      <c r="U375" t="s">
        <v>49</v>
      </c>
      <c r="V375" t="s">
        <v>3154</v>
      </c>
    </row>
    <row r="376" spans="1:22" x14ac:dyDescent="0.2">
      <c r="A376" t="s">
        <v>813</v>
      </c>
      <c r="B376" t="s">
        <v>814</v>
      </c>
      <c r="C376" t="s">
        <v>31</v>
      </c>
      <c r="D376" t="s">
        <v>87</v>
      </c>
      <c r="E376" t="s">
        <v>80</v>
      </c>
      <c r="F376" t="s">
        <v>34</v>
      </c>
      <c r="G376" t="s">
        <v>35</v>
      </c>
      <c r="H376" t="s">
        <v>47</v>
      </c>
      <c r="I376" t="s">
        <v>54</v>
      </c>
      <c r="J376" t="s">
        <v>63</v>
      </c>
      <c r="K376" s="4">
        <v>46173</v>
      </c>
      <c r="L376" s="4">
        <v>46538</v>
      </c>
      <c r="M376" t="s">
        <v>64</v>
      </c>
      <c r="N376" t="s">
        <v>49</v>
      </c>
      <c r="O376">
        <v>0</v>
      </c>
      <c r="P376" t="s">
        <v>50</v>
      </c>
      <c r="Q376" s="4">
        <v>46172</v>
      </c>
      <c r="R376" t="s">
        <v>57</v>
      </c>
      <c r="S376" t="s">
        <v>3155</v>
      </c>
      <c r="T376" t="s">
        <v>3153</v>
      </c>
      <c r="U376" t="s">
        <v>49</v>
      </c>
      <c r="V376" t="s">
        <v>3154</v>
      </c>
    </row>
    <row r="377" spans="1:22" x14ac:dyDescent="0.2">
      <c r="A377" t="s">
        <v>815</v>
      </c>
      <c r="B377" t="s">
        <v>816</v>
      </c>
      <c r="C377" t="s">
        <v>42</v>
      </c>
      <c r="D377" t="s">
        <v>43</v>
      </c>
      <c r="E377" t="s">
        <v>53</v>
      </c>
      <c r="F377" t="s">
        <v>67</v>
      </c>
      <c r="G377" t="s">
        <v>68</v>
      </c>
      <c r="H377" t="s">
        <v>88</v>
      </c>
      <c r="I377" t="s">
        <v>70</v>
      </c>
      <c r="J377" t="s">
        <v>37</v>
      </c>
      <c r="K377" s="4">
        <v>46119</v>
      </c>
      <c r="L377" s="4">
        <v>46299</v>
      </c>
      <c r="M377" t="s">
        <v>64</v>
      </c>
      <c r="N377" t="s">
        <v>75</v>
      </c>
      <c r="O377">
        <v>1</v>
      </c>
      <c r="P377" t="s">
        <v>50</v>
      </c>
      <c r="Q377" s="4">
        <v>46390</v>
      </c>
      <c r="R377" t="s">
        <v>64</v>
      </c>
      <c r="S377" t="s">
        <v>3155</v>
      </c>
      <c r="T377" t="s">
        <v>3153</v>
      </c>
      <c r="U377" t="s">
        <v>75</v>
      </c>
      <c r="V377" t="s">
        <v>3154</v>
      </c>
    </row>
    <row r="378" spans="1:22" x14ac:dyDescent="0.2">
      <c r="A378" t="s">
        <v>817</v>
      </c>
      <c r="B378" t="s">
        <v>818</v>
      </c>
      <c r="C378" t="s">
        <v>103</v>
      </c>
      <c r="D378" t="s">
        <v>104</v>
      </c>
      <c r="E378" t="s">
        <v>80</v>
      </c>
      <c r="F378" t="s">
        <v>34</v>
      </c>
      <c r="G378" t="s">
        <v>35</v>
      </c>
      <c r="H378" t="s">
        <v>88</v>
      </c>
      <c r="J378" t="s">
        <v>63</v>
      </c>
      <c r="K378" s="4">
        <v>45936</v>
      </c>
      <c r="L378" s="4">
        <v>46301</v>
      </c>
      <c r="M378" t="s">
        <v>64</v>
      </c>
      <c r="N378" t="s">
        <v>55</v>
      </c>
      <c r="O378">
        <v>0</v>
      </c>
      <c r="P378" t="s">
        <v>56</v>
      </c>
      <c r="Q378" s="4">
        <v>46260</v>
      </c>
      <c r="R378" t="s">
        <v>57</v>
      </c>
      <c r="S378" t="s">
        <v>3155</v>
      </c>
      <c r="T378" t="s">
        <v>3150</v>
      </c>
      <c r="U378" t="s">
        <v>55</v>
      </c>
      <c r="V378" t="s">
        <v>3154</v>
      </c>
    </row>
    <row r="379" spans="1:22" x14ac:dyDescent="0.2">
      <c r="A379" t="s">
        <v>819</v>
      </c>
      <c r="B379" t="s">
        <v>820</v>
      </c>
      <c r="C379" t="s">
        <v>78</v>
      </c>
      <c r="D379" t="s">
        <v>79</v>
      </c>
      <c r="E379" t="s">
        <v>91</v>
      </c>
      <c r="F379" t="s">
        <v>45</v>
      </c>
      <c r="G379" t="s">
        <v>61</v>
      </c>
      <c r="H379" t="s">
        <v>98</v>
      </c>
      <c r="I379" t="s">
        <v>70</v>
      </c>
      <c r="J379" t="s">
        <v>37</v>
      </c>
      <c r="K379" s="4">
        <v>46077</v>
      </c>
      <c r="L379" s="4">
        <v>46442</v>
      </c>
      <c r="M379" t="s">
        <v>64</v>
      </c>
      <c r="N379" t="s">
        <v>49</v>
      </c>
      <c r="O379">
        <v>2</v>
      </c>
      <c r="P379" t="s">
        <v>70</v>
      </c>
      <c r="Q379" s="4">
        <v>46170</v>
      </c>
      <c r="R379" t="s">
        <v>64</v>
      </c>
      <c r="S379" t="s">
        <v>3155</v>
      </c>
      <c r="T379" t="s">
        <v>3153</v>
      </c>
      <c r="U379" t="s">
        <v>49</v>
      </c>
      <c r="V379" t="s">
        <v>3152</v>
      </c>
    </row>
    <row r="380" spans="1:22" x14ac:dyDescent="0.2">
      <c r="A380" t="s">
        <v>821</v>
      </c>
      <c r="B380" t="s">
        <v>822</v>
      </c>
      <c r="C380" t="s">
        <v>96</v>
      </c>
      <c r="D380" t="s">
        <v>97</v>
      </c>
      <c r="E380" t="s">
        <v>60</v>
      </c>
      <c r="F380" t="s">
        <v>67</v>
      </c>
      <c r="G380" t="s">
        <v>118</v>
      </c>
      <c r="H380" t="s">
        <v>88</v>
      </c>
      <c r="I380" t="s">
        <v>50</v>
      </c>
      <c r="J380" t="s">
        <v>63</v>
      </c>
      <c r="K380" s="4">
        <v>46174</v>
      </c>
      <c r="L380" s="4">
        <v>46539</v>
      </c>
      <c r="M380" t="s">
        <v>84</v>
      </c>
      <c r="N380" t="s">
        <v>55</v>
      </c>
      <c r="O380">
        <v>1</v>
      </c>
      <c r="P380" t="s">
        <v>50</v>
      </c>
      <c r="Q380" s="4">
        <v>46386</v>
      </c>
      <c r="R380" t="s">
        <v>64</v>
      </c>
      <c r="S380" t="s">
        <v>3155</v>
      </c>
      <c r="T380" t="s">
        <v>3153</v>
      </c>
      <c r="U380" t="s">
        <v>55</v>
      </c>
      <c r="V380" t="s">
        <v>3154</v>
      </c>
    </row>
    <row r="381" spans="1:22" x14ac:dyDescent="0.2">
      <c r="A381" t="s">
        <v>823</v>
      </c>
      <c r="B381" t="s">
        <v>824</v>
      </c>
      <c r="C381" t="s">
        <v>31</v>
      </c>
      <c r="D381" t="s">
        <v>87</v>
      </c>
      <c r="E381" t="s">
        <v>91</v>
      </c>
      <c r="F381" t="s">
        <v>45</v>
      </c>
      <c r="G381" t="s">
        <v>61</v>
      </c>
      <c r="H381" t="s">
        <v>88</v>
      </c>
      <c r="I381" t="s">
        <v>56</v>
      </c>
      <c r="J381" t="s">
        <v>37</v>
      </c>
      <c r="K381" s="4">
        <v>46155</v>
      </c>
      <c r="L381" s="4">
        <v>46520</v>
      </c>
      <c r="M381" t="s">
        <v>64</v>
      </c>
      <c r="N381" t="s">
        <v>55</v>
      </c>
      <c r="O381">
        <v>2</v>
      </c>
      <c r="P381" t="s">
        <v>54</v>
      </c>
      <c r="Q381" s="4">
        <v>46313</v>
      </c>
      <c r="R381" t="s">
        <v>84</v>
      </c>
      <c r="S381" t="s">
        <v>3155</v>
      </c>
      <c r="T381" t="s">
        <v>3153</v>
      </c>
      <c r="U381" t="s">
        <v>55</v>
      </c>
      <c r="V381" t="s">
        <v>3154</v>
      </c>
    </row>
    <row r="382" spans="1:22" x14ac:dyDescent="0.2">
      <c r="A382" t="s">
        <v>825</v>
      </c>
      <c r="B382" t="s">
        <v>826</v>
      </c>
      <c r="C382" t="s">
        <v>31</v>
      </c>
      <c r="D382" t="s">
        <v>83</v>
      </c>
      <c r="E382" t="s">
        <v>80</v>
      </c>
      <c r="F382" t="s">
        <v>45</v>
      </c>
      <c r="G382" t="s">
        <v>61</v>
      </c>
      <c r="H382" t="s">
        <v>88</v>
      </c>
      <c r="I382" t="s">
        <v>70</v>
      </c>
      <c r="J382" t="s">
        <v>37</v>
      </c>
      <c r="K382" s="4">
        <v>45902</v>
      </c>
      <c r="L382" s="4">
        <v>46082</v>
      </c>
      <c r="M382" t="s">
        <v>38</v>
      </c>
      <c r="N382" t="s">
        <v>49</v>
      </c>
      <c r="O382">
        <v>1</v>
      </c>
      <c r="P382" t="s">
        <v>106</v>
      </c>
      <c r="Q382" s="4">
        <v>46328</v>
      </c>
      <c r="R382" t="s">
        <v>64</v>
      </c>
      <c r="S382" t="s">
        <v>38</v>
      </c>
      <c r="T382" t="s">
        <v>3153</v>
      </c>
      <c r="U382" t="s">
        <v>49</v>
      </c>
      <c r="V382" t="s">
        <v>3154</v>
      </c>
    </row>
    <row r="383" spans="1:22" x14ac:dyDescent="0.2">
      <c r="A383" t="s">
        <v>827</v>
      </c>
      <c r="B383" t="s">
        <v>828</v>
      </c>
      <c r="C383" t="s">
        <v>31</v>
      </c>
      <c r="D383" t="s">
        <v>83</v>
      </c>
      <c r="E383" t="s">
        <v>44</v>
      </c>
      <c r="F383" t="s">
        <v>67</v>
      </c>
      <c r="G383" t="s">
        <v>68</v>
      </c>
      <c r="H383" t="s">
        <v>88</v>
      </c>
      <c r="I383" t="s">
        <v>54</v>
      </c>
      <c r="J383" t="s">
        <v>63</v>
      </c>
      <c r="K383" s="4">
        <v>45834</v>
      </c>
      <c r="L383" s="4">
        <v>45924</v>
      </c>
      <c r="M383" t="s">
        <v>38</v>
      </c>
      <c r="N383" t="s">
        <v>75</v>
      </c>
      <c r="O383">
        <v>1</v>
      </c>
      <c r="P383" t="s">
        <v>50</v>
      </c>
      <c r="Q383" s="4">
        <v>46335</v>
      </c>
      <c r="R383" t="s">
        <v>84</v>
      </c>
      <c r="S383" t="s">
        <v>38</v>
      </c>
      <c r="T383" t="s">
        <v>3153</v>
      </c>
      <c r="U383" t="s">
        <v>75</v>
      </c>
      <c r="V383" t="s">
        <v>3154</v>
      </c>
    </row>
    <row r="384" spans="1:22" x14ac:dyDescent="0.2">
      <c r="A384" t="s">
        <v>829</v>
      </c>
      <c r="B384" t="s">
        <v>830</v>
      </c>
      <c r="C384" t="s">
        <v>78</v>
      </c>
      <c r="D384" t="s">
        <v>79</v>
      </c>
      <c r="E384" t="s">
        <v>60</v>
      </c>
      <c r="F384" t="s">
        <v>67</v>
      </c>
      <c r="G384" t="s">
        <v>68</v>
      </c>
      <c r="H384" t="s">
        <v>88</v>
      </c>
      <c r="I384" t="s">
        <v>70</v>
      </c>
      <c r="J384" t="s">
        <v>37</v>
      </c>
      <c r="K384" s="4">
        <v>46181</v>
      </c>
      <c r="L384" s="4">
        <v>46361</v>
      </c>
      <c r="M384" t="s">
        <v>84</v>
      </c>
      <c r="N384" t="s">
        <v>49</v>
      </c>
      <c r="O384">
        <v>0</v>
      </c>
      <c r="P384" t="s">
        <v>111</v>
      </c>
      <c r="Q384" s="4">
        <v>46278</v>
      </c>
      <c r="R384" t="s">
        <v>57</v>
      </c>
      <c r="S384" t="s">
        <v>3155</v>
      </c>
      <c r="T384" t="s">
        <v>3153</v>
      </c>
      <c r="U384" t="s">
        <v>49</v>
      </c>
      <c r="V384" t="s">
        <v>3154</v>
      </c>
    </row>
    <row r="385" spans="1:22" x14ac:dyDescent="0.2">
      <c r="A385" t="s">
        <v>831</v>
      </c>
      <c r="B385" t="s">
        <v>832</v>
      </c>
      <c r="C385" t="s">
        <v>103</v>
      </c>
      <c r="D385" t="s">
        <v>104</v>
      </c>
      <c r="E385" t="s">
        <v>44</v>
      </c>
      <c r="F385" t="s">
        <v>34</v>
      </c>
      <c r="G385" t="s">
        <v>35</v>
      </c>
      <c r="H385" t="s">
        <v>36</v>
      </c>
      <c r="I385" t="s">
        <v>70</v>
      </c>
      <c r="J385" t="s">
        <v>48</v>
      </c>
      <c r="K385" s="4">
        <v>46208</v>
      </c>
      <c r="L385" s="4">
        <v>46298</v>
      </c>
      <c r="M385" t="s">
        <v>64</v>
      </c>
      <c r="N385" t="s">
        <v>49</v>
      </c>
      <c r="O385">
        <v>4</v>
      </c>
      <c r="P385" t="s">
        <v>54</v>
      </c>
      <c r="Q385" s="4">
        <v>46251</v>
      </c>
      <c r="R385" t="s">
        <v>38</v>
      </c>
      <c r="S385" t="s">
        <v>3155</v>
      </c>
      <c r="T385" t="s">
        <v>3153</v>
      </c>
      <c r="U385" t="s">
        <v>49</v>
      </c>
      <c r="V385" t="s">
        <v>3152</v>
      </c>
    </row>
    <row r="386" spans="1:22" x14ac:dyDescent="0.2">
      <c r="A386" t="s">
        <v>833</v>
      </c>
      <c r="B386" t="s">
        <v>834</v>
      </c>
      <c r="C386" t="s">
        <v>96</v>
      </c>
      <c r="D386" t="s">
        <v>97</v>
      </c>
      <c r="E386" t="s">
        <v>53</v>
      </c>
      <c r="F386" t="s">
        <v>34</v>
      </c>
      <c r="G386" t="s">
        <v>35</v>
      </c>
      <c r="H386" t="s">
        <v>47</v>
      </c>
      <c r="I386" t="s">
        <v>111</v>
      </c>
      <c r="J386" t="s">
        <v>48</v>
      </c>
      <c r="K386" s="4">
        <v>46207</v>
      </c>
      <c r="L386" s="4">
        <v>46572</v>
      </c>
      <c r="M386" t="s">
        <v>69</v>
      </c>
      <c r="N386" t="s">
        <v>49</v>
      </c>
      <c r="O386">
        <v>2</v>
      </c>
      <c r="P386" t="s">
        <v>50</v>
      </c>
      <c r="Q386" s="4">
        <v>46209</v>
      </c>
      <c r="R386" t="s">
        <v>38</v>
      </c>
      <c r="S386" t="s">
        <v>3155</v>
      </c>
      <c r="T386" t="s">
        <v>3153</v>
      </c>
      <c r="U386" t="s">
        <v>49</v>
      </c>
      <c r="V386" t="s">
        <v>3154</v>
      </c>
    </row>
    <row r="387" spans="1:22" x14ac:dyDescent="0.2">
      <c r="A387" t="s">
        <v>835</v>
      </c>
      <c r="B387" t="s">
        <v>836</v>
      </c>
      <c r="C387" t="s">
        <v>31</v>
      </c>
      <c r="D387" t="s">
        <v>32</v>
      </c>
      <c r="E387" t="s">
        <v>105</v>
      </c>
      <c r="F387" t="s">
        <v>45</v>
      </c>
      <c r="G387" t="s">
        <v>46</v>
      </c>
      <c r="H387" t="s">
        <v>88</v>
      </c>
      <c r="I387" t="s">
        <v>39</v>
      </c>
      <c r="J387" t="s">
        <v>37</v>
      </c>
      <c r="K387" s="4">
        <v>45802</v>
      </c>
      <c r="L387" s="4">
        <v>45982</v>
      </c>
      <c r="M387" t="s">
        <v>38</v>
      </c>
      <c r="N387" t="s">
        <v>75</v>
      </c>
      <c r="O387">
        <v>1</v>
      </c>
      <c r="P387" t="s">
        <v>111</v>
      </c>
      <c r="Q387" s="4">
        <v>46218</v>
      </c>
      <c r="R387" t="s">
        <v>38</v>
      </c>
      <c r="S387" t="s">
        <v>38</v>
      </c>
      <c r="T387" t="s">
        <v>3153</v>
      </c>
      <c r="U387" t="s">
        <v>75</v>
      </c>
      <c r="V387" t="s">
        <v>3154</v>
      </c>
    </row>
    <row r="388" spans="1:22" x14ac:dyDescent="0.2">
      <c r="A388" t="s">
        <v>837</v>
      </c>
      <c r="B388" t="s">
        <v>838</v>
      </c>
      <c r="C388" t="s">
        <v>78</v>
      </c>
      <c r="D388" t="s">
        <v>79</v>
      </c>
      <c r="E388" t="s">
        <v>80</v>
      </c>
      <c r="F388" t="s">
        <v>34</v>
      </c>
      <c r="G388" t="s">
        <v>35</v>
      </c>
      <c r="H388" t="s">
        <v>36</v>
      </c>
      <c r="I388" t="s">
        <v>62</v>
      </c>
      <c r="J388" t="s">
        <v>63</v>
      </c>
      <c r="K388" s="4">
        <v>46068</v>
      </c>
      <c r="L388" s="4">
        <v>46158</v>
      </c>
      <c r="M388" t="s">
        <v>38</v>
      </c>
      <c r="N388" t="s">
        <v>49</v>
      </c>
      <c r="O388">
        <v>5</v>
      </c>
      <c r="P388" t="s">
        <v>39</v>
      </c>
      <c r="Q388" s="4">
        <v>46309</v>
      </c>
      <c r="R388" t="s">
        <v>84</v>
      </c>
      <c r="S388" t="s">
        <v>38</v>
      </c>
      <c r="T388" t="s">
        <v>3153</v>
      </c>
      <c r="U388" t="s">
        <v>49</v>
      </c>
      <c r="V388" t="s">
        <v>3152</v>
      </c>
    </row>
    <row r="389" spans="1:22" x14ac:dyDescent="0.2">
      <c r="A389" t="s">
        <v>839</v>
      </c>
      <c r="B389" t="s">
        <v>840</v>
      </c>
      <c r="C389" t="s">
        <v>31</v>
      </c>
      <c r="D389" t="s">
        <v>87</v>
      </c>
      <c r="E389" t="s">
        <v>80</v>
      </c>
      <c r="F389" t="s">
        <v>34</v>
      </c>
      <c r="G389" t="s">
        <v>35</v>
      </c>
      <c r="H389" t="s">
        <v>88</v>
      </c>
      <c r="I389" t="s">
        <v>39</v>
      </c>
      <c r="J389" t="s">
        <v>37</v>
      </c>
      <c r="K389" s="4">
        <v>45826</v>
      </c>
      <c r="L389" s="4">
        <v>45916</v>
      </c>
      <c r="M389" t="s">
        <v>38</v>
      </c>
      <c r="N389" t="s">
        <v>49</v>
      </c>
      <c r="O389">
        <v>3</v>
      </c>
      <c r="P389" t="s">
        <v>111</v>
      </c>
      <c r="Q389" s="4">
        <v>46135</v>
      </c>
      <c r="R389" t="s">
        <v>38</v>
      </c>
      <c r="S389" t="s">
        <v>38</v>
      </c>
      <c r="T389" t="s">
        <v>3153</v>
      </c>
      <c r="U389" t="s">
        <v>49</v>
      </c>
      <c r="V389" t="s">
        <v>3154</v>
      </c>
    </row>
    <row r="390" spans="1:22" x14ac:dyDescent="0.2">
      <c r="A390" t="s">
        <v>841</v>
      </c>
      <c r="B390" t="s">
        <v>842</v>
      </c>
      <c r="C390" t="s">
        <v>31</v>
      </c>
      <c r="D390" t="s">
        <v>32</v>
      </c>
      <c r="E390" t="s">
        <v>53</v>
      </c>
      <c r="F390" t="s">
        <v>67</v>
      </c>
      <c r="G390" t="s">
        <v>118</v>
      </c>
      <c r="H390" t="s">
        <v>88</v>
      </c>
      <c r="I390" t="s">
        <v>62</v>
      </c>
      <c r="J390" t="s">
        <v>63</v>
      </c>
      <c r="K390" s="4">
        <v>46125</v>
      </c>
      <c r="L390" s="4">
        <v>46490</v>
      </c>
      <c r="M390" t="s">
        <v>84</v>
      </c>
      <c r="N390" t="s">
        <v>75</v>
      </c>
      <c r="O390">
        <v>3</v>
      </c>
      <c r="P390" t="s">
        <v>50</v>
      </c>
      <c r="Q390" s="4">
        <v>46161</v>
      </c>
      <c r="R390" t="s">
        <v>38</v>
      </c>
      <c r="S390" t="s">
        <v>3155</v>
      </c>
      <c r="T390" t="s">
        <v>3153</v>
      </c>
      <c r="U390" t="s">
        <v>75</v>
      </c>
      <c r="V390" t="s">
        <v>3154</v>
      </c>
    </row>
    <row r="391" spans="1:22" x14ac:dyDescent="0.2">
      <c r="A391" t="s">
        <v>843</v>
      </c>
      <c r="B391" t="s">
        <v>844</v>
      </c>
      <c r="C391" t="s">
        <v>73</v>
      </c>
      <c r="D391" t="s">
        <v>74</v>
      </c>
      <c r="E391" t="s">
        <v>53</v>
      </c>
      <c r="F391" t="s">
        <v>67</v>
      </c>
      <c r="G391" t="s">
        <v>118</v>
      </c>
      <c r="H391" t="s">
        <v>88</v>
      </c>
      <c r="I391" t="s">
        <v>50</v>
      </c>
      <c r="J391" t="s">
        <v>63</v>
      </c>
      <c r="K391" s="4">
        <v>46043</v>
      </c>
      <c r="L391" s="4">
        <v>46408</v>
      </c>
      <c r="M391" t="s">
        <v>84</v>
      </c>
      <c r="N391" t="s">
        <v>75</v>
      </c>
      <c r="O391">
        <v>0</v>
      </c>
      <c r="P391" t="s">
        <v>50</v>
      </c>
      <c r="Q391" s="4">
        <v>46243</v>
      </c>
      <c r="R391" t="s">
        <v>57</v>
      </c>
      <c r="S391" t="s">
        <v>3155</v>
      </c>
      <c r="T391" t="s">
        <v>3153</v>
      </c>
      <c r="U391" t="s">
        <v>75</v>
      </c>
      <c r="V391" t="s">
        <v>3154</v>
      </c>
    </row>
    <row r="392" spans="1:22" x14ac:dyDescent="0.2">
      <c r="A392" t="s">
        <v>845</v>
      </c>
      <c r="B392" t="s">
        <v>846</v>
      </c>
      <c r="C392" t="s">
        <v>31</v>
      </c>
      <c r="D392" t="s">
        <v>83</v>
      </c>
      <c r="E392" t="s">
        <v>105</v>
      </c>
      <c r="F392" t="s">
        <v>34</v>
      </c>
      <c r="G392" t="s">
        <v>35</v>
      </c>
      <c r="H392" t="s">
        <v>47</v>
      </c>
      <c r="I392" t="s">
        <v>111</v>
      </c>
      <c r="J392" t="s">
        <v>63</v>
      </c>
      <c r="K392" s="4">
        <v>45951</v>
      </c>
      <c r="L392" s="4">
        <v>46131</v>
      </c>
      <c r="M392" t="s">
        <v>38</v>
      </c>
      <c r="N392" t="s">
        <v>55</v>
      </c>
      <c r="O392">
        <v>3</v>
      </c>
      <c r="P392" t="s">
        <v>62</v>
      </c>
      <c r="Q392" s="4">
        <v>46376</v>
      </c>
      <c r="R392" t="s">
        <v>84</v>
      </c>
      <c r="S392" t="s">
        <v>38</v>
      </c>
      <c r="T392" t="s">
        <v>3153</v>
      </c>
      <c r="U392" t="s">
        <v>55</v>
      </c>
      <c r="V392" t="s">
        <v>3154</v>
      </c>
    </row>
    <row r="393" spans="1:22" x14ac:dyDescent="0.2">
      <c r="A393" t="s">
        <v>847</v>
      </c>
      <c r="B393" t="s">
        <v>848</v>
      </c>
      <c r="C393" t="s">
        <v>42</v>
      </c>
      <c r="D393" t="s">
        <v>43</v>
      </c>
      <c r="E393" t="s">
        <v>53</v>
      </c>
      <c r="F393" t="s">
        <v>45</v>
      </c>
      <c r="G393" t="s">
        <v>46</v>
      </c>
      <c r="H393" t="s">
        <v>88</v>
      </c>
      <c r="I393" t="s">
        <v>50</v>
      </c>
      <c r="J393" t="s">
        <v>63</v>
      </c>
      <c r="K393" s="4">
        <v>46192</v>
      </c>
      <c r="L393" s="4">
        <v>46282</v>
      </c>
      <c r="M393" t="s">
        <v>38</v>
      </c>
      <c r="N393" t="s">
        <v>55</v>
      </c>
      <c r="O393">
        <v>0</v>
      </c>
      <c r="P393" t="s">
        <v>111</v>
      </c>
      <c r="Q393" s="4">
        <v>46329</v>
      </c>
      <c r="R393" t="s">
        <v>57</v>
      </c>
      <c r="S393" t="s">
        <v>38</v>
      </c>
      <c r="T393" t="s">
        <v>3153</v>
      </c>
      <c r="U393" t="s">
        <v>55</v>
      </c>
      <c r="V393" t="s">
        <v>3154</v>
      </c>
    </row>
    <row r="394" spans="1:22" x14ac:dyDescent="0.2">
      <c r="A394" t="s">
        <v>849</v>
      </c>
      <c r="B394" t="s">
        <v>850</v>
      </c>
      <c r="C394" t="s">
        <v>31</v>
      </c>
      <c r="D394" t="s">
        <v>87</v>
      </c>
      <c r="E394" t="s">
        <v>105</v>
      </c>
      <c r="F394" t="s">
        <v>67</v>
      </c>
      <c r="G394" t="s">
        <v>68</v>
      </c>
      <c r="H394" t="s">
        <v>36</v>
      </c>
      <c r="I394" t="s">
        <v>54</v>
      </c>
      <c r="J394" t="s">
        <v>37</v>
      </c>
      <c r="K394" s="4">
        <v>46274</v>
      </c>
      <c r="L394" s="4">
        <v>46639</v>
      </c>
      <c r="M394" t="s">
        <v>84</v>
      </c>
      <c r="N394" t="s">
        <v>75</v>
      </c>
      <c r="O394">
        <v>3</v>
      </c>
      <c r="P394" t="s">
        <v>54</v>
      </c>
      <c r="Q394" s="4">
        <v>46370</v>
      </c>
      <c r="R394" t="s">
        <v>84</v>
      </c>
      <c r="S394" t="s">
        <v>3155</v>
      </c>
      <c r="T394" t="s">
        <v>3153</v>
      </c>
      <c r="U394" t="s">
        <v>75</v>
      </c>
      <c r="V394" t="s">
        <v>3152</v>
      </c>
    </row>
    <row r="395" spans="1:22" x14ac:dyDescent="0.2">
      <c r="A395" t="s">
        <v>851</v>
      </c>
      <c r="B395" t="s">
        <v>852</v>
      </c>
      <c r="C395" t="s">
        <v>103</v>
      </c>
      <c r="D395" t="s">
        <v>104</v>
      </c>
      <c r="E395" t="s">
        <v>80</v>
      </c>
      <c r="F395" t="s">
        <v>45</v>
      </c>
      <c r="G395" t="s">
        <v>61</v>
      </c>
      <c r="H395" t="s">
        <v>88</v>
      </c>
      <c r="I395" t="s">
        <v>70</v>
      </c>
      <c r="J395" t="s">
        <v>48</v>
      </c>
      <c r="K395" s="4">
        <v>45968</v>
      </c>
      <c r="L395" s="4">
        <v>46333</v>
      </c>
      <c r="M395" t="s">
        <v>64</v>
      </c>
      <c r="N395" t="s">
        <v>49</v>
      </c>
      <c r="O395">
        <v>2</v>
      </c>
      <c r="P395" t="s">
        <v>50</v>
      </c>
      <c r="Q395" s="4">
        <v>46400</v>
      </c>
      <c r="R395" t="s">
        <v>84</v>
      </c>
      <c r="S395" t="s">
        <v>3155</v>
      </c>
      <c r="T395" t="s">
        <v>3153</v>
      </c>
      <c r="U395" t="s">
        <v>49</v>
      </c>
      <c r="V395" t="s">
        <v>3154</v>
      </c>
    </row>
    <row r="396" spans="1:22" x14ac:dyDescent="0.2">
      <c r="A396" t="s">
        <v>853</v>
      </c>
      <c r="B396" t="s">
        <v>854</v>
      </c>
      <c r="C396" t="s">
        <v>31</v>
      </c>
      <c r="D396" t="s">
        <v>32</v>
      </c>
      <c r="E396" t="s">
        <v>105</v>
      </c>
      <c r="F396" t="s">
        <v>45</v>
      </c>
      <c r="G396" t="s">
        <v>61</v>
      </c>
      <c r="H396" t="s">
        <v>47</v>
      </c>
      <c r="I396" t="s">
        <v>39</v>
      </c>
      <c r="J396" t="s">
        <v>48</v>
      </c>
      <c r="K396" s="4">
        <v>45934</v>
      </c>
      <c r="L396" s="4">
        <v>46299</v>
      </c>
      <c r="M396" t="s">
        <v>69</v>
      </c>
      <c r="N396" t="s">
        <v>75</v>
      </c>
      <c r="O396">
        <v>0</v>
      </c>
      <c r="P396" t="s">
        <v>50</v>
      </c>
      <c r="Q396" s="4">
        <v>46140</v>
      </c>
      <c r="R396" t="s">
        <v>57</v>
      </c>
      <c r="S396" t="s">
        <v>3155</v>
      </c>
      <c r="T396" t="s">
        <v>3153</v>
      </c>
      <c r="U396" t="s">
        <v>75</v>
      </c>
      <c r="V396" t="s">
        <v>3154</v>
      </c>
    </row>
    <row r="397" spans="1:22" x14ac:dyDescent="0.2">
      <c r="A397" t="s">
        <v>855</v>
      </c>
      <c r="B397" t="s">
        <v>856</v>
      </c>
      <c r="C397" t="s">
        <v>78</v>
      </c>
      <c r="D397" t="s">
        <v>79</v>
      </c>
      <c r="E397" t="s">
        <v>60</v>
      </c>
      <c r="F397" t="s">
        <v>34</v>
      </c>
      <c r="G397" t="s">
        <v>35</v>
      </c>
      <c r="H397" t="s">
        <v>88</v>
      </c>
      <c r="I397" t="s">
        <v>50</v>
      </c>
      <c r="J397" t="s">
        <v>48</v>
      </c>
      <c r="K397" s="4">
        <v>46042</v>
      </c>
      <c r="L397" s="4">
        <v>46407</v>
      </c>
      <c r="M397" t="s">
        <v>84</v>
      </c>
      <c r="N397" t="s">
        <v>55</v>
      </c>
      <c r="O397">
        <v>2</v>
      </c>
      <c r="P397" t="s">
        <v>62</v>
      </c>
      <c r="Q397" s="4">
        <v>46280</v>
      </c>
      <c r="R397" t="s">
        <v>38</v>
      </c>
      <c r="S397" t="s">
        <v>3155</v>
      </c>
      <c r="T397" t="s">
        <v>3153</v>
      </c>
      <c r="U397" t="s">
        <v>55</v>
      </c>
      <c r="V397" t="s">
        <v>3154</v>
      </c>
    </row>
    <row r="398" spans="1:22" x14ac:dyDescent="0.2">
      <c r="A398" t="s">
        <v>857</v>
      </c>
      <c r="B398" t="s">
        <v>858</v>
      </c>
      <c r="C398" t="s">
        <v>103</v>
      </c>
      <c r="D398" t="s">
        <v>104</v>
      </c>
      <c r="E398" t="s">
        <v>53</v>
      </c>
      <c r="F398" t="s">
        <v>34</v>
      </c>
      <c r="G398" t="s">
        <v>35</v>
      </c>
      <c r="H398" t="s">
        <v>88</v>
      </c>
      <c r="I398" t="s">
        <v>70</v>
      </c>
      <c r="J398" t="s">
        <v>48</v>
      </c>
      <c r="K398" s="4">
        <v>45920</v>
      </c>
      <c r="L398" s="4">
        <v>46100</v>
      </c>
      <c r="M398" t="s">
        <v>38</v>
      </c>
      <c r="N398" t="s">
        <v>75</v>
      </c>
      <c r="O398">
        <v>3</v>
      </c>
      <c r="P398" t="s">
        <v>70</v>
      </c>
      <c r="Q398" s="4">
        <v>46383</v>
      </c>
      <c r="R398" t="s">
        <v>64</v>
      </c>
      <c r="S398" t="s">
        <v>38</v>
      </c>
      <c r="T398" t="s">
        <v>3153</v>
      </c>
      <c r="U398" t="s">
        <v>75</v>
      </c>
      <c r="V398" t="s">
        <v>3154</v>
      </c>
    </row>
    <row r="399" spans="1:22" x14ac:dyDescent="0.2">
      <c r="A399" t="s">
        <v>859</v>
      </c>
      <c r="B399" t="s">
        <v>860</v>
      </c>
      <c r="C399" t="s">
        <v>96</v>
      </c>
      <c r="D399" t="s">
        <v>97</v>
      </c>
      <c r="E399" t="s">
        <v>80</v>
      </c>
      <c r="F399" t="s">
        <v>34</v>
      </c>
      <c r="G399" t="s">
        <v>35</v>
      </c>
      <c r="H399" t="s">
        <v>36</v>
      </c>
      <c r="I399" t="s">
        <v>56</v>
      </c>
      <c r="J399" t="s">
        <v>63</v>
      </c>
      <c r="K399" s="4">
        <v>46057</v>
      </c>
      <c r="L399" s="4">
        <v>46422</v>
      </c>
      <c r="M399" t="s">
        <v>69</v>
      </c>
      <c r="N399" t="s">
        <v>49</v>
      </c>
      <c r="O399">
        <v>4</v>
      </c>
      <c r="P399" t="s">
        <v>111</v>
      </c>
      <c r="Q399" s="4">
        <v>46296</v>
      </c>
      <c r="R399" t="s">
        <v>84</v>
      </c>
      <c r="S399" t="s">
        <v>3155</v>
      </c>
      <c r="T399" t="s">
        <v>3153</v>
      </c>
      <c r="U399" t="s">
        <v>49</v>
      </c>
      <c r="V399" t="s">
        <v>3152</v>
      </c>
    </row>
    <row r="400" spans="1:22" x14ac:dyDescent="0.2">
      <c r="A400" t="s">
        <v>861</v>
      </c>
      <c r="B400" t="s">
        <v>862</v>
      </c>
      <c r="C400" t="s">
        <v>31</v>
      </c>
      <c r="D400" t="s">
        <v>32</v>
      </c>
      <c r="E400" t="s">
        <v>60</v>
      </c>
      <c r="F400" t="s">
        <v>67</v>
      </c>
      <c r="G400" t="s">
        <v>68</v>
      </c>
      <c r="H400" t="s">
        <v>47</v>
      </c>
      <c r="I400" t="s">
        <v>56</v>
      </c>
      <c r="J400" t="s">
        <v>48</v>
      </c>
      <c r="K400" s="4">
        <v>46176</v>
      </c>
      <c r="L400" s="4">
        <v>46266</v>
      </c>
      <c r="M400" t="s">
        <v>38</v>
      </c>
      <c r="N400" t="s">
        <v>55</v>
      </c>
      <c r="O400">
        <v>0</v>
      </c>
      <c r="P400" t="s">
        <v>62</v>
      </c>
      <c r="Q400" s="4">
        <v>46353</v>
      </c>
      <c r="R400" t="s">
        <v>57</v>
      </c>
      <c r="S400" t="s">
        <v>38</v>
      </c>
      <c r="T400" t="s">
        <v>3153</v>
      </c>
      <c r="U400" t="s">
        <v>55</v>
      </c>
      <c r="V400" t="s">
        <v>3154</v>
      </c>
    </row>
    <row r="401" spans="1:22" x14ac:dyDescent="0.2">
      <c r="A401" t="s">
        <v>863</v>
      </c>
      <c r="B401" t="s">
        <v>864</v>
      </c>
      <c r="C401" t="s">
        <v>73</v>
      </c>
      <c r="D401" t="s">
        <v>74</v>
      </c>
      <c r="E401" t="s">
        <v>53</v>
      </c>
      <c r="F401" t="s">
        <v>67</v>
      </c>
      <c r="G401" t="s">
        <v>68</v>
      </c>
      <c r="H401" t="s">
        <v>88</v>
      </c>
      <c r="I401" t="s">
        <v>54</v>
      </c>
      <c r="J401" t="s">
        <v>48</v>
      </c>
      <c r="K401" s="4">
        <v>46270</v>
      </c>
      <c r="L401" s="4">
        <v>46635</v>
      </c>
      <c r="M401" t="s">
        <v>64</v>
      </c>
      <c r="N401" t="s">
        <v>75</v>
      </c>
      <c r="O401">
        <v>2</v>
      </c>
      <c r="P401" t="s">
        <v>70</v>
      </c>
      <c r="Q401" s="4">
        <v>46149</v>
      </c>
      <c r="R401" t="s">
        <v>64</v>
      </c>
      <c r="S401" t="s">
        <v>3155</v>
      </c>
      <c r="T401" t="s">
        <v>3153</v>
      </c>
      <c r="U401" t="s">
        <v>75</v>
      </c>
      <c r="V401" t="s">
        <v>3154</v>
      </c>
    </row>
    <row r="402" spans="1:22" x14ac:dyDescent="0.2">
      <c r="A402" t="s">
        <v>865</v>
      </c>
      <c r="B402" t="s">
        <v>866</v>
      </c>
      <c r="C402" t="s">
        <v>96</v>
      </c>
      <c r="D402" t="s">
        <v>97</v>
      </c>
      <c r="E402" t="s">
        <v>53</v>
      </c>
      <c r="F402" t="s">
        <v>34</v>
      </c>
      <c r="G402" t="s">
        <v>35</v>
      </c>
      <c r="H402" t="s">
        <v>88</v>
      </c>
      <c r="I402" t="s">
        <v>39</v>
      </c>
      <c r="J402" t="s">
        <v>48</v>
      </c>
      <c r="K402" s="4">
        <v>45849</v>
      </c>
      <c r="L402" s="4">
        <v>45939</v>
      </c>
      <c r="M402" t="s">
        <v>38</v>
      </c>
      <c r="N402" t="s">
        <v>55</v>
      </c>
      <c r="O402">
        <v>2</v>
      </c>
      <c r="P402" t="s">
        <v>50</v>
      </c>
      <c r="Q402" s="4">
        <v>46288</v>
      </c>
      <c r="R402" t="s">
        <v>38</v>
      </c>
      <c r="S402" t="s">
        <v>38</v>
      </c>
      <c r="T402" t="s">
        <v>3153</v>
      </c>
      <c r="U402" t="s">
        <v>55</v>
      </c>
      <c r="V402" t="s">
        <v>3154</v>
      </c>
    </row>
    <row r="403" spans="1:22" x14ac:dyDescent="0.2">
      <c r="A403" t="s">
        <v>867</v>
      </c>
      <c r="B403" t="s">
        <v>868</v>
      </c>
      <c r="C403" t="s">
        <v>42</v>
      </c>
      <c r="D403" t="s">
        <v>43</v>
      </c>
      <c r="E403" t="s">
        <v>91</v>
      </c>
      <c r="F403" t="s">
        <v>67</v>
      </c>
      <c r="G403" t="s">
        <v>68</v>
      </c>
      <c r="H403" t="s">
        <v>88</v>
      </c>
      <c r="I403" t="s">
        <v>106</v>
      </c>
      <c r="J403" t="s">
        <v>63</v>
      </c>
      <c r="K403" s="4">
        <v>46039</v>
      </c>
      <c r="L403" s="4">
        <v>46219</v>
      </c>
      <c r="M403" t="s">
        <v>38</v>
      </c>
      <c r="N403" t="s">
        <v>49</v>
      </c>
      <c r="O403">
        <v>0</v>
      </c>
      <c r="P403" t="s">
        <v>106</v>
      </c>
      <c r="Q403" s="4">
        <v>46381</v>
      </c>
      <c r="R403" t="s">
        <v>57</v>
      </c>
      <c r="S403" t="s">
        <v>38</v>
      </c>
      <c r="T403" t="s">
        <v>3153</v>
      </c>
      <c r="U403" t="s">
        <v>49</v>
      </c>
      <c r="V403" t="s">
        <v>3154</v>
      </c>
    </row>
    <row r="404" spans="1:22" x14ac:dyDescent="0.2">
      <c r="A404" t="s">
        <v>869</v>
      </c>
      <c r="B404" t="s">
        <v>870</v>
      </c>
      <c r="C404" t="s">
        <v>73</v>
      </c>
      <c r="D404" t="s">
        <v>74</v>
      </c>
      <c r="E404" t="s">
        <v>44</v>
      </c>
      <c r="F404" t="s">
        <v>34</v>
      </c>
      <c r="G404" t="s">
        <v>35</v>
      </c>
      <c r="H404" t="s">
        <v>88</v>
      </c>
      <c r="I404" t="s">
        <v>106</v>
      </c>
      <c r="J404" t="s">
        <v>63</v>
      </c>
      <c r="K404" s="4">
        <v>45866</v>
      </c>
      <c r="L404" s="4">
        <v>46046</v>
      </c>
      <c r="M404" t="s">
        <v>38</v>
      </c>
      <c r="N404" t="s">
        <v>55</v>
      </c>
      <c r="O404">
        <v>1</v>
      </c>
      <c r="P404" t="s">
        <v>50</v>
      </c>
      <c r="Q404" s="4">
        <v>46258</v>
      </c>
      <c r="R404" t="s">
        <v>38</v>
      </c>
      <c r="S404" t="s">
        <v>38</v>
      </c>
      <c r="T404" t="s">
        <v>3153</v>
      </c>
      <c r="U404" t="s">
        <v>55</v>
      </c>
      <c r="V404" t="s">
        <v>3154</v>
      </c>
    </row>
    <row r="405" spans="1:22" x14ac:dyDescent="0.2">
      <c r="A405" t="s">
        <v>871</v>
      </c>
      <c r="B405" t="s">
        <v>872</v>
      </c>
      <c r="C405" t="s">
        <v>78</v>
      </c>
      <c r="D405" t="s">
        <v>79</v>
      </c>
      <c r="E405" t="s">
        <v>44</v>
      </c>
      <c r="F405" t="s">
        <v>34</v>
      </c>
      <c r="G405" t="s">
        <v>35</v>
      </c>
      <c r="H405" t="s">
        <v>88</v>
      </c>
      <c r="I405" t="s">
        <v>56</v>
      </c>
      <c r="J405" t="s">
        <v>37</v>
      </c>
      <c r="K405" s="4">
        <v>45914</v>
      </c>
      <c r="L405" s="4">
        <v>46094</v>
      </c>
      <c r="M405" t="s">
        <v>38</v>
      </c>
      <c r="N405" t="s">
        <v>49</v>
      </c>
      <c r="O405">
        <v>0</v>
      </c>
      <c r="P405" t="s">
        <v>54</v>
      </c>
      <c r="Q405" s="4">
        <v>46254</v>
      </c>
      <c r="R405" t="s">
        <v>57</v>
      </c>
      <c r="S405" t="s">
        <v>38</v>
      </c>
      <c r="T405" t="s">
        <v>3153</v>
      </c>
      <c r="U405" t="s">
        <v>49</v>
      </c>
      <c r="V405" t="s">
        <v>3154</v>
      </c>
    </row>
    <row r="406" spans="1:22" x14ac:dyDescent="0.2">
      <c r="A406" t="s">
        <v>873</v>
      </c>
      <c r="B406" t="s">
        <v>874</v>
      </c>
      <c r="C406" t="s">
        <v>31</v>
      </c>
      <c r="D406" t="s">
        <v>32</v>
      </c>
      <c r="E406" t="s">
        <v>53</v>
      </c>
      <c r="F406" t="s">
        <v>67</v>
      </c>
      <c r="G406" t="s">
        <v>118</v>
      </c>
      <c r="H406" t="s">
        <v>47</v>
      </c>
      <c r="I406" t="s">
        <v>56</v>
      </c>
      <c r="J406" t="s">
        <v>63</v>
      </c>
      <c r="K406" s="4">
        <v>46186</v>
      </c>
      <c r="L406" s="4">
        <v>46276</v>
      </c>
      <c r="M406" t="s">
        <v>38</v>
      </c>
      <c r="N406" t="s">
        <v>75</v>
      </c>
      <c r="O406">
        <v>0</v>
      </c>
      <c r="P406" t="s">
        <v>39</v>
      </c>
      <c r="Q406" s="4">
        <v>46218</v>
      </c>
      <c r="R406" t="s">
        <v>57</v>
      </c>
      <c r="S406" t="s">
        <v>38</v>
      </c>
      <c r="T406" t="s">
        <v>3153</v>
      </c>
      <c r="U406" t="s">
        <v>75</v>
      </c>
      <c r="V406" t="s">
        <v>3154</v>
      </c>
    </row>
    <row r="407" spans="1:22" x14ac:dyDescent="0.2">
      <c r="A407" t="s">
        <v>875</v>
      </c>
      <c r="B407" t="s">
        <v>876</v>
      </c>
      <c r="C407" t="s">
        <v>31</v>
      </c>
      <c r="D407" t="s">
        <v>32</v>
      </c>
      <c r="E407" t="s">
        <v>44</v>
      </c>
      <c r="F407" t="s">
        <v>67</v>
      </c>
      <c r="G407" t="s">
        <v>68</v>
      </c>
      <c r="H407" t="s">
        <v>88</v>
      </c>
      <c r="I407" t="s">
        <v>111</v>
      </c>
      <c r="J407" t="s">
        <v>63</v>
      </c>
      <c r="K407" s="4">
        <v>45900</v>
      </c>
      <c r="L407" s="4">
        <v>46265</v>
      </c>
      <c r="M407" t="s">
        <v>38</v>
      </c>
      <c r="N407" t="s">
        <v>75</v>
      </c>
      <c r="O407">
        <v>2</v>
      </c>
      <c r="P407" t="s">
        <v>50</v>
      </c>
      <c r="Q407" s="4">
        <v>46188</v>
      </c>
      <c r="R407" t="s">
        <v>38</v>
      </c>
      <c r="S407" t="s">
        <v>38</v>
      </c>
      <c r="T407" t="s">
        <v>3153</v>
      </c>
      <c r="U407" t="s">
        <v>75</v>
      </c>
      <c r="V407" t="s">
        <v>3154</v>
      </c>
    </row>
    <row r="408" spans="1:22" x14ac:dyDescent="0.2">
      <c r="A408" t="s">
        <v>877</v>
      </c>
      <c r="B408" t="s">
        <v>878</v>
      </c>
      <c r="C408" t="s">
        <v>42</v>
      </c>
      <c r="D408" t="s">
        <v>43</v>
      </c>
      <c r="E408" t="s">
        <v>80</v>
      </c>
      <c r="F408" t="s">
        <v>45</v>
      </c>
      <c r="G408" t="s">
        <v>46</v>
      </c>
      <c r="H408" t="s">
        <v>88</v>
      </c>
      <c r="I408" t="s">
        <v>70</v>
      </c>
      <c r="J408" t="s">
        <v>63</v>
      </c>
      <c r="K408" s="4">
        <v>46273</v>
      </c>
      <c r="L408" s="4">
        <v>46453</v>
      </c>
      <c r="M408" t="s">
        <v>84</v>
      </c>
      <c r="N408" t="s">
        <v>75</v>
      </c>
      <c r="O408">
        <v>3</v>
      </c>
      <c r="P408" t="s">
        <v>56</v>
      </c>
      <c r="Q408" s="4">
        <v>46138</v>
      </c>
      <c r="R408" t="s">
        <v>64</v>
      </c>
      <c r="S408" t="s">
        <v>3155</v>
      </c>
      <c r="T408" t="s">
        <v>3153</v>
      </c>
      <c r="U408" t="s">
        <v>75</v>
      </c>
      <c r="V408" t="s">
        <v>3154</v>
      </c>
    </row>
    <row r="409" spans="1:22" x14ac:dyDescent="0.2">
      <c r="A409" t="s">
        <v>879</v>
      </c>
      <c r="B409" t="s">
        <v>880</v>
      </c>
      <c r="C409" t="s">
        <v>31</v>
      </c>
      <c r="D409" t="s">
        <v>83</v>
      </c>
      <c r="E409" t="s">
        <v>53</v>
      </c>
      <c r="F409" t="s">
        <v>34</v>
      </c>
      <c r="G409" t="s">
        <v>35</v>
      </c>
      <c r="H409" t="s">
        <v>47</v>
      </c>
      <c r="I409" t="s">
        <v>56</v>
      </c>
      <c r="J409" t="s">
        <v>37</v>
      </c>
      <c r="K409" s="4">
        <v>46134</v>
      </c>
      <c r="L409" s="4">
        <v>46499</v>
      </c>
      <c r="M409" t="s">
        <v>64</v>
      </c>
      <c r="N409" t="s">
        <v>75</v>
      </c>
      <c r="O409">
        <v>0</v>
      </c>
      <c r="P409" t="s">
        <v>70</v>
      </c>
      <c r="Q409" s="4">
        <v>46254</v>
      </c>
      <c r="R409" t="s">
        <v>57</v>
      </c>
      <c r="S409" t="s">
        <v>3155</v>
      </c>
      <c r="T409" t="s">
        <v>3153</v>
      </c>
      <c r="U409" t="s">
        <v>75</v>
      </c>
      <c r="V409" t="s">
        <v>3154</v>
      </c>
    </row>
    <row r="410" spans="1:22" x14ac:dyDescent="0.2">
      <c r="A410" t="s">
        <v>881</v>
      </c>
      <c r="B410" t="s">
        <v>882</v>
      </c>
      <c r="C410" t="s">
        <v>31</v>
      </c>
      <c r="D410" t="s">
        <v>32</v>
      </c>
      <c r="E410" t="s">
        <v>44</v>
      </c>
      <c r="F410" t="s">
        <v>45</v>
      </c>
      <c r="G410" t="s">
        <v>46</v>
      </c>
      <c r="H410" t="s">
        <v>88</v>
      </c>
      <c r="I410" t="s">
        <v>106</v>
      </c>
      <c r="J410" t="s">
        <v>63</v>
      </c>
      <c r="K410" s="4">
        <v>46137</v>
      </c>
      <c r="L410" s="4">
        <v>46227</v>
      </c>
      <c r="M410" t="s">
        <v>38</v>
      </c>
      <c r="N410" t="s">
        <v>49</v>
      </c>
      <c r="O410">
        <v>2</v>
      </c>
      <c r="P410" t="s">
        <v>106</v>
      </c>
      <c r="Q410" s="4">
        <v>46408</v>
      </c>
      <c r="R410" t="s">
        <v>64</v>
      </c>
      <c r="S410" t="s">
        <v>38</v>
      </c>
      <c r="T410" t="s">
        <v>3153</v>
      </c>
      <c r="U410" t="s">
        <v>49</v>
      </c>
      <c r="V410" t="s">
        <v>3154</v>
      </c>
    </row>
    <row r="411" spans="1:22" x14ac:dyDescent="0.2">
      <c r="A411" t="s">
        <v>883</v>
      </c>
      <c r="B411" t="s">
        <v>884</v>
      </c>
      <c r="C411" t="s">
        <v>31</v>
      </c>
      <c r="D411" t="s">
        <v>87</v>
      </c>
      <c r="E411" t="s">
        <v>105</v>
      </c>
      <c r="F411" t="s">
        <v>34</v>
      </c>
      <c r="G411" t="s">
        <v>35</v>
      </c>
      <c r="H411" t="s">
        <v>47</v>
      </c>
      <c r="I411" t="s">
        <v>111</v>
      </c>
      <c r="J411" t="s">
        <v>37</v>
      </c>
      <c r="K411" s="4">
        <v>45813</v>
      </c>
      <c r="L411" s="4">
        <v>46178</v>
      </c>
      <c r="M411" t="s">
        <v>38</v>
      </c>
      <c r="N411" t="s">
        <v>55</v>
      </c>
      <c r="O411">
        <v>0</v>
      </c>
      <c r="P411" t="s">
        <v>62</v>
      </c>
      <c r="Q411" s="4">
        <v>46311</v>
      </c>
      <c r="R411" t="s">
        <v>57</v>
      </c>
      <c r="S411" t="s">
        <v>38</v>
      </c>
      <c r="T411" t="s">
        <v>3153</v>
      </c>
      <c r="U411" t="s">
        <v>55</v>
      </c>
      <c r="V411" t="s">
        <v>3154</v>
      </c>
    </row>
    <row r="412" spans="1:22" x14ac:dyDescent="0.2">
      <c r="A412" t="s">
        <v>885</v>
      </c>
      <c r="B412" t="s">
        <v>886</v>
      </c>
      <c r="C412" t="s">
        <v>31</v>
      </c>
      <c r="D412" t="s">
        <v>83</v>
      </c>
      <c r="E412" t="s">
        <v>60</v>
      </c>
      <c r="F412" t="s">
        <v>45</v>
      </c>
      <c r="G412" t="s">
        <v>61</v>
      </c>
      <c r="H412" t="s">
        <v>88</v>
      </c>
      <c r="I412" t="s">
        <v>106</v>
      </c>
      <c r="J412" t="s">
        <v>63</v>
      </c>
      <c r="K412" s="4">
        <v>45857</v>
      </c>
      <c r="L412" s="4">
        <v>45947</v>
      </c>
      <c r="M412" t="s">
        <v>38</v>
      </c>
      <c r="N412" t="s">
        <v>49</v>
      </c>
      <c r="O412">
        <v>0</v>
      </c>
      <c r="P412" t="s">
        <v>111</v>
      </c>
      <c r="Q412" s="4">
        <v>46353</v>
      </c>
      <c r="R412" t="s">
        <v>57</v>
      </c>
      <c r="S412" t="s">
        <v>38</v>
      </c>
      <c r="T412" t="s">
        <v>3153</v>
      </c>
      <c r="U412" t="s">
        <v>49</v>
      </c>
      <c r="V412" t="s">
        <v>3154</v>
      </c>
    </row>
    <row r="413" spans="1:22" x14ac:dyDescent="0.2">
      <c r="A413" t="s">
        <v>887</v>
      </c>
      <c r="B413" t="s">
        <v>888</v>
      </c>
      <c r="C413" t="s">
        <v>78</v>
      </c>
      <c r="D413" t="s">
        <v>79</v>
      </c>
      <c r="E413" t="s">
        <v>53</v>
      </c>
      <c r="F413" t="s">
        <v>45</v>
      </c>
      <c r="G413" t="s">
        <v>61</v>
      </c>
      <c r="H413" t="s">
        <v>88</v>
      </c>
      <c r="I413" t="s">
        <v>111</v>
      </c>
      <c r="J413" t="s">
        <v>63</v>
      </c>
      <c r="K413" s="4">
        <v>46035</v>
      </c>
      <c r="L413" s="4">
        <v>46125</v>
      </c>
      <c r="M413" t="s">
        <v>38</v>
      </c>
      <c r="N413" t="s">
        <v>55</v>
      </c>
      <c r="O413">
        <v>1</v>
      </c>
      <c r="P413" t="s">
        <v>106</v>
      </c>
      <c r="Q413" s="4">
        <v>46247</v>
      </c>
      <c r="R413" t="s">
        <v>38</v>
      </c>
      <c r="S413" t="s">
        <v>38</v>
      </c>
      <c r="T413" t="s">
        <v>3153</v>
      </c>
      <c r="U413" t="s">
        <v>55</v>
      </c>
      <c r="V413" t="s">
        <v>3154</v>
      </c>
    </row>
    <row r="414" spans="1:22" x14ac:dyDescent="0.2">
      <c r="A414" t="s">
        <v>889</v>
      </c>
      <c r="B414" t="s">
        <v>890</v>
      </c>
      <c r="C414" t="s">
        <v>31</v>
      </c>
      <c r="D414" t="s">
        <v>83</v>
      </c>
      <c r="E414" t="s">
        <v>80</v>
      </c>
      <c r="F414" t="s">
        <v>67</v>
      </c>
      <c r="G414" t="s">
        <v>118</v>
      </c>
      <c r="H414" t="s">
        <v>47</v>
      </c>
      <c r="I414" t="s">
        <v>111</v>
      </c>
      <c r="J414" t="s">
        <v>48</v>
      </c>
      <c r="K414" s="4">
        <v>46218</v>
      </c>
      <c r="L414" s="4">
        <v>46398</v>
      </c>
      <c r="M414" t="s">
        <v>64</v>
      </c>
      <c r="N414" t="s">
        <v>55</v>
      </c>
      <c r="O414">
        <v>2</v>
      </c>
      <c r="P414" t="s">
        <v>62</v>
      </c>
      <c r="Q414" s="4">
        <v>46293</v>
      </c>
      <c r="R414" t="s">
        <v>38</v>
      </c>
      <c r="S414" t="s">
        <v>3155</v>
      </c>
      <c r="T414" t="s">
        <v>3153</v>
      </c>
      <c r="U414" t="s">
        <v>55</v>
      </c>
      <c r="V414" t="s">
        <v>3154</v>
      </c>
    </row>
    <row r="415" spans="1:22" x14ac:dyDescent="0.2">
      <c r="A415" t="s">
        <v>891</v>
      </c>
      <c r="B415" t="s">
        <v>892</v>
      </c>
      <c r="C415" t="s">
        <v>103</v>
      </c>
      <c r="D415" t="s">
        <v>104</v>
      </c>
      <c r="E415" t="s">
        <v>53</v>
      </c>
      <c r="F415" t="s">
        <v>34</v>
      </c>
      <c r="G415" t="s">
        <v>35</v>
      </c>
      <c r="H415" t="s">
        <v>88</v>
      </c>
      <c r="I415" t="s">
        <v>70</v>
      </c>
      <c r="J415" t="s">
        <v>48</v>
      </c>
      <c r="K415" s="4">
        <v>45870</v>
      </c>
      <c r="L415" s="4">
        <v>46050</v>
      </c>
      <c r="M415" t="s">
        <v>38</v>
      </c>
      <c r="N415" t="s">
        <v>49</v>
      </c>
      <c r="O415">
        <v>3</v>
      </c>
      <c r="P415" t="s">
        <v>50</v>
      </c>
      <c r="Q415" s="4">
        <v>46320</v>
      </c>
      <c r="R415" t="s">
        <v>84</v>
      </c>
      <c r="S415" t="s">
        <v>38</v>
      </c>
      <c r="T415" t="s">
        <v>3153</v>
      </c>
      <c r="U415" t="s">
        <v>49</v>
      </c>
      <c r="V415" t="s">
        <v>3154</v>
      </c>
    </row>
    <row r="416" spans="1:22" x14ac:dyDescent="0.2">
      <c r="A416" t="s">
        <v>893</v>
      </c>
      <c r="B416" t="s">
        <v>894</v>
      </c>
      <c r="C416" t="s">
        <v>31</v>
      </c>
      <c r="D416" t="s">
        <v>83</v>
      </c>
      <c r="E416" t="s">
        <v>105</v>
      </c>
      <c r="F416" t="s">
        <v>67</v>
      </c>
      <c r="G416" t="s">
        <v>118</v>
      </c>
      <c r="H416" t="s">
        <v>88</v>
      </c>
      <c r="I416" t="s">
        <v>62</v>
      </c>
      <c r="J416" t="s">
        <v>63</v>
      </c>
      <c r="K416" s="4">
        <v>45874</v>
      </c>
      <c r="L416" s="4">
        <v>46054</v>
      </c>
      <c r="M416" t="s">
        <v>38</v>
      </c>
      <c r="N416" t="s">
        <v>49</v>
      </c>
      <c r="O416">
        <v>2</v>
      </c>
      <c r="P416" t="s">
        <v>70</v>
      </c>
      <c r="Q416" s="4">
        <v>46393</v>
      </c>
      <c r="R416" t="s">
        <v>84</v>
      </c>
      <c r="S416" t="s">
        <v>38</v>
      </c>
      <c r="T416" t="s">
        <v>3153</v>
      </c>
      <c r="U416" t="s">
        <v>49</v>
      </c>
      <c r="V416" t="s">
        <v>3154</v>
      </c>
    </row>
    <row r="417" spans="1:22" x14ac:dyDescent="0.2">
      <c r="A417" t="s">
        <v>895</v>
      </c>
      <c r="B417" t="s">
        <v>896</v>
      </c>
      <c r="C417" t="s">
        <v>78</v>
      </c>
      <c r="D417" t="s">
        <v>79</v>
      </c>
      <c r="E417" t="s">
        <v>105</v>
      </c>
      <c r="F417" t="s">
        <v>34</v>
      </c>
      <c r="G417" t="s">
        <v>35</v>
      </c>
      <c r="H417" t="s">
        <v>88</v>
      </c>
      <c r="I417" t="s">
        <v>111</v>
      </c>
      <c r="J417" t="s">
        <v>63</v>
      </c>
      <c r="K417" s="4">
        <v>46109</v>
      </c>
      <c r="L417" s="4">
        <v>46474</v>
      </c>
      <c r="M417" t="s">
        <v>64</v>
      </c>
      <c r="O417">
        <v>3</v>
      </c>
      <c r="P417" t="s">
        <v>70</v>
      </c>
      <c r="Q417" s="4">
        <v>46205</v>
      </c>
      <c r="R417" t="s">
        <v>64</v>
      </c>
      <c r="S417" t="s">
        <v>3155</v>
      </c>
      <c r="T417" t="s">
        <v>3153</v>
      </c>
      <c r="U417" t="s">
        <v>3151</v>
      </c>
      <c r="V417" t="s">
        <v>3154</v>
      </c>
    </row>
    <row r="418" spans="1:22" x14ac:dyDescent="0.2">
      <c r="A418" t="s">
        <v>897</v>
      </c>
      <c r="B418" t="s">
        <v>898</v>
      </c>
      <c r="C418" t="s">
        <v>78</v>
      </c>
      <c r="D418" t="s">
        <v>79</v>
      </c>
      <c r="E418" t="s">
        <v>53</v>
      </c>
      <c r="F418" t="s">
        <v>34</v>
      </c>
      <c r="G418" t="s">
        <v>35</v>
      </c>
      <c r="H418" t="s">
        <v>88</v>
      </c>
      <c r="I418" t="s">
        <v>39</v>
      </c>
      <c r="J418" t="s">
        <v>63</v>
      </c>
      <c r="K418" s="4">
        <v>46229</v>
      </c>
      <c r="L418" s="4">
        <v>46319</v>
      </c>
      <c r="M418" t="s">
        <v>84</v>
      </c>
      <c r="N418" t="s">
        <v>55</v>
      </c>
      <c r="O418">
        <v>1</v>
      </c>
      <c r="P418" t="s">
        <v>111</v>
      </c>
      <c r="Q418" s="4">
        <v>46346</v>
      </c>
      <c r="R418" t="s">
        <v>84</v>
      </c>
      <c r="S418" t="s">
        <v>3155</v>
      </c>
      <c r="T418" t="s">
        <v>3153</v>
      </c>
      <c r="U418" t="s">
        <v>55</v>
      </c>
      <c r="V418" t="s">
        <v>3154</v>
      </c>
    </row>
    <row r="419" spans="1:22" x14ac:dyDescent="0.2">
      <c r="A419" t="s">
        <v>899</v>
      </c>
      <c r="B419" t="s">
        <v>900</v>
      </c>
      <c r="C419" t="s">
        <v>31</v>
      </c>
      <c r="D419" t="s">
        <v>87</v>
      </c>
      <c r="E419" t="s">
        <v>91</v>
      </c>
      <c r="F419" t="s">
        <v>45</v>
      </c>
      <c r="G419" t="s">
        <v>46</v>
      </c>
      <c r="H419" t="s">
        <v>36</v>
      </c>
      <c r="I419" t="s">
        <v>56</v>
      </c>
      <c r="J419" t="s">
        <v>63</v>
      </c>
      <c r="K419" s="4">
        <v>45984</v>
      </c>
      <c r="L419" s="4">
        <v>46349</v>
      </c>
      <c r="M419" t="s">
        <v>64</v>
      </c>
      <c r="N419" t="s">
        <v>75</v>
      </c>
      <c r="O419">
        <v>5</v>
      </c>
      <c r="P419" t="s">
        <v>62</v>
      </c>
      <c r="Q419" s="4">
        <v>46291</v>
      </c>
      <c r="R419" t="s">
        <v>38</v>
      </c>
      <c r="S419" t="s">
        <v>3155</v>
      </c>
      <c r="T419" t="s">
        <v>3153</v>
      </c>
      <c r="U419" t="s">
        <v>75</v>
      </c>
      <c r="V419" t="s">
        <v>3152</v>
      </c>
    </row>
    <row r="420" spans="1:22" x14ac:dyDescent="0.2">
      <c r="A420" t="s">
        <v>901</v>
      </c>
      <c r="B420" t="s">
        <v>902</v>
      </c>
      <c r="C420" t="s">
        <v>78</v>
      </c>
      <c r="D420" t="s">
        <v>79</v>
      </c>
      <c r="E420" t="s">
        <v>105</v>
      </c>
      <c r="F420" t="s">
        <v>45</v>
      </c>
      <c r="G420" t="s">
        <v>61</v>
      </c>
      <c r="H420" t="s">
        <v>88</v>
      </c>
      <c r="I420" t="s">
        <v>39</v>
      </c>
      <c r="J420" t="s">
        <v>37</v>
      </c>
      <c r="K420" s="4">
        <v>46275</v>
      </c>
      <c r="L420" s="4">
        <v>46640</v>
      </c>
      <c r="M420" t="s">
        <v>69</v>
      </c>
      <c r="N420" t="s">
        <v>55</v>
      </c>
      <c r="O420">
        <v>2</v>
      </c>
      <c r="P420" t="s">
        <v>62</v>
      </c>
      <c r="Q420" s="4">
        <v>46130</v>
      </c>
      <c r="R420" t="s">
        <v>64</v>
      </c>
      <c r="S420" t="s">
        <v>3155</v>
      </c>
      <c r="T420" t="s">
        <v>3153</v>
      </c>
      <c r="U420" t="s">
        <v>55</v>
      </c>
      <c r="V420" t="s">
        <v>3154</v>
      </c>
    </row>
    <row r="421" spans="1:22" x14ac:dyDescent="0.2">
      <c r="A421" t="s">
        <v>903</v>
      </c>
      <c r="B421" t="s">
        <v>904</v>
      </c>
      <c r="C421" t="s">
        <v>31</v>
      </c>
      <c r="D421" t="s">
        <v>83</v>
      </c>
      <c r="E421" t="s">
        <v>80</v>
      </c>
      <c r="F421" t="s">
        <v>67</v>
      </c>
      <c r="G421" t="s">
        <v>118</v>
      </c>
      <c r="H421" t="s">
        <v>88</v>
      </c>
      <c r="I421" t="s">
        <v>50</v>
      </c>
      <c r="J421" t="s">
        <v>63</v>
      </c>
      <c r="K421" s="4">
        <v>46032</v>
      </c>
      <c r="L421" s="4">
        <v>46122</v>
      </c>
      <c r="M421" t="s">
        <v>38</v>
      </c>
      <c r="N421" t="s">
        <v>55</v>
      </c>
      <c r="O421">
        <v>3</v>
      </c>
      <c r="P421" t="s">
        <v>50</v>
      </c>
      <c r="Q421" s="4">
        <v>46299</v>
      </c>
      <c r="R421" t="s">
        <v>84</v>
      </c>
      <c r="S421" t="s">
        <v>38</v>
      </c>
      <c r="T421" t="s">
        <v>3153</v>
      </c>
      <c r="U421" t="s">
        <v>55</v>
      </c>
      <c r="V421" t="s">
        <v>3154</v>
      </c>
    </row>
    <row r="422" spans="1:22" x14ac:dyDescent="0.2">
      <c r="A422" t="s">
        <v>905</v>
      </c>
      <c r="B422" t="s">
        <v>906</v>
      </c>
      <c r="C422" t="s">
        <v>78</v>
      </c>
      <c r="D422" t="s">
        <v>79</v>
      </c>
      <c r="E422" t="s">
        <v>105</v>
      </c>
      <c r="F422" t="s">
        <v>45</v>
      </c>
      <c r="G422" t="s">
        <v>46</v>
      </c>
      <c r="H422" t="s">
        <v>88</v>
      </c>
      <c r="I422" t="s">
        <v>50</v>
      </c>
      <c r="J422" t="s">
        <v>37</v>
      </c>
      <c r="K422" s="4">
        <v>45906</v>
      </c>
      <c r="L422" s="4">
        <v>46086</v>
      </c>
      <c r="M422" t="s">
        <v>38</v>
      </c>
      <c r="N422" t="s">
        <v>49</v>
      </c>
      <c r="O422">
        <v>3</v>
      </c>
      <c r="P422" t="s">
        <v>62</v>
      </c>
      <c r="Q422" s="4">
        <v>46184</v>
      </c>
      <c r="R422" t="s">
        <v>64</v>
      </c>
      <c r="S422" t="s">
        <v>38</v>
      </c>
      <c r="T422" t="s">
        <v>3153</v>
      </c>
      <c r="U422" t="s">
        <v>49</v>
      </c>
      <c r="V422" t="s">
        <v>3154</v>
      </c>
    </row>
    <row r="423" spans="1:22" x14ac:dyDescent="0.2">
      <c r="A423" t="s">
        <v>907</v>
      </c>
      <c r="B423" t="s">
        <v>908</v>
      </c>
      <c r="C423" t="s">
        <v>96</v>
      </c>
      <c r="D423" t="s">
        <v>97</v>
      </c>
      <c r="E423" t="s">
        <v>80</v>
      </c>
      <c r="F423" t="s">
        <v>34</v>
      </c>
      <c r="G423" t="s">
        <v>35</v>
      </c>
      <c r="H423" t="s">
        <v>88</v>
      </c>
      <c r="I423" t="s">
        <v>111</v>
      </c>
      <c r="J423" t="s">
        <v>63</v>
      </c>
      <c r="K423" s="4">
        <v>46079</v>
      </c>
      <c r="L423" s="4">
        <v>46259</v>
      </c>
      <c r="M423" t="s">
        <v>38</v>
      </c>
      <c r="N423" t="s">
        <v>55</v>
      </c>
      <c r="O423">
        <v>1</v>
      </c>
      <c r="P423" t="s">
        <v>54</v>
      </c>
      <c r="Q423" s="4">
        <v>46332</v>
      </c>
      <c r="R423" t="s">
        <v>84</v>
      </c>
      <c r="S423" t="s">
        <v>38</v>
      </c>
      <c r="T423" t="s">
        <v>3153</v>
      </c>
      <c r="U423" t="s">
        <v>55</v>
      </c>
      <c r="V423" t="s">
        <v>3154</v>
      </c>
    </row>
    <row r="424" spans="1:22" x14ac:dyDescent="0.2">
      <c r="A424" t="s">
        <v>909</v>
      </c>
      <c r="B424" t="s">
        <v>910</v>
      </c>
      <c r="C424" t="s">
        <v>31</v>
      </c>
      <c r="D424" t="s">
        <v>32</v>
      </c>
      <c r="E424" t="s">
        <v>80</v>
      </c>
      <c r="F424" t="s">
        <v>34</v>
      </c>
      <c r="G424" t="s">
        <v>35</v>
      </c>
      <c r="H424" t="s">
        <v>98</v>
      </c>
      <c r="I424" t="s">
        <v>106</v>
      </c>
      <c r="J424" t="s">
        <v>63</v>
      </c>
      <c r="K424" s="4">
        <v>46258</v>
      </c>
      <c r="L424" s="4">
        <v>46348</v>
      </c>
      <c r="M424" t="s">
        <v>69</v>
      </c>
      <c r="N424" t="s">
        <v>55</v>
      </c>
      <c r="O424">
        <v>4</v>
      </c>
      <c r="P424" t="s">
        <v>56</v>
      </c>
      <c r="Q424" s="4">
        <v>46361</v>
      </c>
      <c r="R424" t="s">
        <v>84</v>
      </c>
      <c r="S424" t="s">
        <v>3155</v>
      </c>
      <c r="T424" t="s">
        <v>3153</v>
      </c>
      <c r="U424" t="s">
        <v>55</v>
      </c>
      <c r="V424" t="s">
        <v>3152</v>
      </c>
    </row>
    <row r="425" spans="1:22" x14ac:dyDescent="0.2">
      <c r="A425" t="s">
        <v>911</v>
      </c>
      <c r="B425" t="s">
        <v>912</v>
      </c>
      <c r="C425" t="s">
        <v>42</v>
      </c>
      <c r="D425" t="s">
        <v>43</v>
      </c>
      <c r="E425" t="s">
        <v>60</v>
      </c>
      <c r="F425" t="s">
        <v>67</v>
      </c>
      <c r="G425" t="s">
        <v>68</v>
      </c>
      <c r="H425" t="s">
        <v>36</v>
      </c>
      <c r="J425" t="s">
        <v>48</v>
      </c>
      <c r="K425" s="4">
        <v>46230</v>
      </c>
      <c r="L425" s="4">
        <v>46320</v>
      </c>
      <c r="M425" t="s">
        <v>64</v>
      </c>
      <c r="N425" t="s">
        <v>49</v>
      </c>
      <c r="O425">
        <v>5</v>
      </c>
      <c r="P425" t="s">
        <v>106</v>
      </c>
      <c r="Q425" s="4">
        <v>46154</v>
      </c>
      <c r="R425" t="s">
        <v>38</v>
      </c>
      <c r="S425" t="s">
        <v>3155</v>
      </c>
      <c r="T425" t="s">
        <v>3150</v>
      </c>
      <c r="U425" t="s">
        <v>49</v>
      </c>
      <c r="V425" t="s">
        <v>3152</v>
      </c>
    </row>
    <row r="426" spans="1:22" x14ac:dyDescent="0.2">
      <c r="A426" t="s">
        <v>913</v>
      </c>
      <c r="B426" t="s">
        <v>914</v>
      </c>
      <c r="C426" t="s">
        <v>42</v>
      </c>
      <c r="D426" t="s">
        <v>43</v>
      </c>
      <c r="E426" t="s">
        <v>80</v>
      </c>
      <c r="F426" t="s">
        <v>34</v>
      </c>
      <c r="G426" t="s">
        <v>35</v>
      </c>
      <c r="H426" t="s">
        <v>88</v>
      </c>
      <c r="I426" t="s">
        <v>111</v>
      </c>
      <c r="J426" t="s">
        <v>63</v>
      </c>
      <c r="K426" s="4">
        <v>45982</v>
      </c>
      <c r="L426" s="4">
        <v>46347</v>
      </c>
      <c r="M426" t="s">
        <v>64</v>
      </c>
      <c r="N426" t="s">
        <v>75</v>
      </c>
      <c r="O426">
        <v>2</v>
      </c>
      <c r="P426" t="s">
        <v>56</v>
      </c>
      <c r="Q426" s="4">
        <v>46263</v>
      </c>
      <c r="R426" t="s">
        <v>64</v>
      </c>
      <c r="S426" t="s">
        <v>3155</v>
      </c>
      <c r="T426" t="s">
        <v>3153</v>
      </c>
      <c r="U426" t="s">
        <v>75</v>
      </c>
      <c r="V426" t="s">
        <v>3154</v>
      </c>
    </row>
    <row r="427" spans="1:22" x14ac:dyDescent="0.2">
      <c r="A427" t="s">
        <v>915</v>
      </c>
      <c r="B427" t="s">
        <v>916</v>
      </c>
      <c r="C427" t="s">
        <v>96</v>
      </c>
      <c r="D427" t="s">
        <v>97</v>
      </c>
      <c r="E427" t="s">
        <v>60</v>
      </c>
      <c r="F427" t="s">
        <v>45</v>
      </c>
      <c r="G427" t="s">
        <v>61</v>
      </c>
      <c r="H427" t="s">
        <v>47</v>
      </c>
      <c r="I427" t="s">
        <v>39</v>
      </c>
      <c r="J427" t="s">
        <v>48</v>
      </c>
      <c r="K427" s="4">
        <v>45939</v>
      </c>
      <c r="L427" s="4">
        <v>46119</v>
      </c>
      <c r="M427" t="s">
        <v>38</v>
      </c>
      <c r="N427" t="s">
        <v>49</v>
      </c>
      <c r="O427">
        <v>0</v>
      </c>
      <c r="P427" t="s">
        <v>70</v>
      </c>
      <c r="Q427" s="4">
        <v>46261</v>
      </c>
      <c r="R427" t="s">
        <v>57</v>
      </c>
      <c r="S427" t="s">
        <v>38</v>
      </c>
      <c r="T427" t="s">
        <v>3153</v>
      </c>
      <c r="U427" t="s">
        <v>49</v>
      </c>
      <c r="V427" t="s">
        <v>3154</v>
      </c>
    </row>
    <row r="428" spans="1:22" x14ac:dyDescent="0.2">
      <c r="A428" t="s">
        <v>917</v>
      </c>
      <c r="B428" t="s">
        <v>918</v>
      </c>
      <c r="C428" t="s">
        <v>31</v>
      </c>
      <c r="D428" t="s">
        <v>83</v>
      </c>
      <c r="E428" t="s">
        <v>44</v>
      </c>
      <c r="F428" t="s">
        <v>67</v>
      </c>
      <c r="G428" t="s">
        <v>118</v>
      </c>
      <c r="H428" t="s">
        <v>88</v>
      </c>
      <c r="I428" t="s">
        <v>56</v>
      </c>
      <c r="J428" t="s">
        <v>37</v>
      </c>
      <c r="K428" s="4">
        <v>45836</v>
      </c>
      <c r="L428" s="4">
        <v>46016</v>
      </c>
      <c r="M428" t="s">
        <v>38</v>
      </c>
      <c r="N428" t="s">
        <v>55</v>
      </c>
      <c r="O428">
        <v>0</v>
      </c>
      <c r="P428" t="s">
        <v>106</v>
      </c>
      <c r="Q428" s="4">
        <v>46204</v>
      </c>
      <c r="R428" t="s">
        <v>57</v>
      </c>
      <c r="S428" t="s">
        <v>38</v>
      </c>
      <c r="T428" t="s">
        <v>3153</v>
      </c>
      <c r="U428" t="s">
        <v>55</v>
      </c>
      <c r="V428" t="s">
        <v>3154</v>
      </c>
    </row>
    <row r="429" spans="1:22" x14ac:dyDescent="0.2">
      <c r="A429" t="s">
        <v>919</v>
      </c>
      <c r="B429" t="s">
        <v>920</v>
      </c>
      <c r="C429" t="s">
        <v>31</v>
      </c>
      <c r="D429" t="s">
        <v>83</v>
      </c>
      <c r="E429" t="s">
        <v>91</v>
      </c>
      <c r="F429" t="s">
        <v>45</v>
      </c>
      <c r="G429" t="s">
        <v>61</v>
      </c>
      <c r="H429" t="s">
        <v>47</v>
      </c>
      <c r="I429" t="s">
        <v>50</v>
      </c>
      <c r="J429" t="s">
        <v>37</v>
      </c>
      <c r="K429" s="4">
        <v>45866</v>
      </c>
      <c r="L429" s="4">
        <v>46231</v>
      </c>
      <c r="M429" t="s">
        <v>38</v>
      </c>
      <c r="N429" t="s">
        <v>55</v>
      </c>
      <c r="O429">
        <v>2</v>
      </c>
      <c r="P429" t="s">
        <v>62</v>
      </c>
      <c r="Q429" s="4">
        <v>46158</v>
      </c>
      <c r="R429" t="s">
        <v>38</v>
      </c>
      <c r="S429" t="s">
        <v>38</v>
      </c>
      <c r="T429" t="s">
        <v>3153</v>
      </c>
      <c r="U429" t="s">
        <v>55</v>
      </c>
      <c r="V429" t="s">
        <v>3154</v>
      </c>
    </row>
    <row r="430" spans="1:22" x14ac:dyDescent="0.2">
      <c r="A430" t="s">
        <v>921</v>
      </c>
      <c r="B430" t="s">
        <v>922</v>
      </c>
      <c r="C430" t="s">
        <v>96</v>
      </c>
      <c r="D430" t="s">
        <v>97</v>
      </c>
      <c r="E430" t="s">
        <v>91</v>
      </c>
      <c r="F430" t="s">
        <v>67</v>
      </c>
      <c r="G430" t="s">
        <v>68</v>
      </c>
      <c r="H430" t="s">
        <v>88</v>
      </c>
      <c r="I430" t="s">
        <v>50</v>
      </c>
      <c r="J430" t="s">
        <v>37</v>
      </c>
      <c r="K430" s="4">
        <v>46168</v>
      </c>
      <c r="L430" s="4">
        <v>46533</v>
      </c>
      <c r="M430" t="s">
        <v>69</v>
      </c>
      <c r="N430" t="s">
        <v>55</v>
      </c>
      <c r="O430">
        <v>2</v>
      </c>
      <c r="P430" t="s">
        <v>56</v>
      </c>
      <c r="Q430" s="4">
        <v>46174</v>
      </c>
      <c r="R430" t="s">
        <v>64</v>
      </c>
      <c r="S430" t="s">
        <v>3155</v>
      </c>
      <c r="T430" t="s">
        <v>3153</v>
      </c>
      <c r="U430" t="s">
        <v>55</v>
      </c>
      <c r="V430" t="s">
        <v>3154</v>
      </c>
    </row>
    <row r="431" spans="1:22" x14ac:dyDescent="0.2">
      <c r="A431" t="s">
        <v>923</v>
      </c>
      <c r="B431" t="s">
        <v>924</v>
      </c>
      <c r="C431" t="s">
        <v>96</v>
      </c>
      <c r="D431" t="s">
        <v>97</v>
      </c>
      <c r="E431" t="s">
        <v>80</v>
      </c>
      <c r="F431" t="s">
        <v>67</v>
      </c>
      <c r="G431" t="s">
        <v>68</v>
      </c>
      <c r="H431" t="s">
        <v>88</v>
      </c>
      <c r="I431" t="s">
        <v>62</v>
      </c>
      <c r="J431" t="s">
        <v>63</v>
      </c>
      <c r="K431" s="4">
        <v>46033</v>
      </c>
      <c r="L431" s="4">
        <v>46213</v>
      </c>
      <c r="M431" t="s">
        <v>38</v>
      </c>
      <c r="N431" t="s">
        <v>55</v>
      </c>
      <c r="O431">
        <v>3</v>
      </c>
      <c r="P431" t="s">
        <v>106</v>
      </c>
      <c r="Q431" s="4">
        <v>46121</v>
      </c>
      <c r="R431" t="s">
        <v>64</v>
      </c>
      <c r="S431" t="s">
        <v>38</v>
      </c>
      <c r="T431" t="s">
        <v>3153</v>
      </c>
      <c r="U431" t="s">
        <v>55</v>
      </c>
      <c r="V431" t="s">
        <v>3154</v>
      </c>
    </row>
    <row r="432" spans="1:22" x14ac:dyDescent="0.2">
      <c r="A432" t="s">
        <v>925</v>
      </c>
      <c r="B432" t="s">
        <v>926</v>
      </c>
      <c r="C432" t="s">
        <v>42</v>
      </c>
      <c r="D432" t="s">
        <v>43</v>
      </c>
      <c r="E432" t="s">
        <v>105</v>
      </c>
      <c r="F432" t="s">
        <v>34</v>
      </c>
      <c r="G432" t="s">
        <v>35</v>
      </c>
      <c r="H432" t="s">
        <v>36</v>
      </c>
      <c r="I432" t="s">
        <v>106</v>
      </c>
      <c r="J432" t="s">
        <v>48</v>
      </c>
      <c r="K432" s="4">
        <v>45843</v>
      </c>
      <c r="L432" s="4">
        <v>46023</v>
      </c>
      <c r="M432" t="s">
        <v>38</v>
      </c>
      <c r="N432" t="s">
        <v>49</v>
      </c>
      <c r="O432">
        <v>5</v>
      </c>
      <c r="P432" t="s">
        <v>56</v>
      </c>
      <c r="Q432" s="4">
        <v>46254</v>
      </c>
      <c r="R432" t="s">
        <v>64</v>
      </c>
      <c r="S432" t="s">
        <v>38</v>
      </c>
      <c r="T432" t="s">
        <v>3153</v>
      </c>
      <c r="U432" t="s">
        <v>49</v>
      </c>
      <c r="V432" t="s">
        <v>3152</v>
      </c>
    </row>
    <row r="433" spans="1:22" x14ac:dyDescent="0.2">
      <c r="A433" t="s">
        <v>927</v>
      </c>
      <c r="B433" t="s">
        <v>928</v>
      </c>
      <c r="C433" t="s">
        <v>31</v>
      </c>
      <c r="D433" t="s">
        <v>83</v>
      </c>
      <c r="E433" t="s">
        <v>80</v>
      </c>
      <c r="F433" t="s">
        <v>34</v>
      </c>
      <c r="G433" t="s">
        <v>35</v>
      </c>
      <c r="H433" t="s">
        <v>36</v>
      </c>
      <c r="I433" t="s">
        <v>54</v>
      </c>
      <c r="J433" t="s">
        <v>63</v>
      </c>
      <c r="K433" s="4">
        <v>45900</v>
      </c>
      <c r="L433" s="4">
        <v>46265</v>
      </c>
      <c r="M433" t="s">
        <v>38</v>
      </c>
      <c r="N433" t="s">
        <v>49</v>
      </c>
      <c r="O433">
        <v>1</v>
      </c>
      <c r="P433" t="s">
        <v>39</v>
      </c>
      <c r="Q433" s="4">
        <v>46381</v>
      </c>
      <c r="R433" t="s">
        <v>64</v>
      </c>
      <c r="S433" t="s">
        <v>38</v>
      </c>
      <c r="T433" t="s">
        <v>3153</v>
      </c>
      <c r="U433" t="s">
        <v>49</v>
      </c>
      <c r="V433" t="s">
        <v>3152</v>
      </c>
    </row>
    <row r="434" spans="1:22" x14ac:dyDescent="0.2">
      <c r="A434" t="s">
        <v>929</v>
      </c>
      <c r="B434" t="s">
        <v>930</v>
      </c>
      <c r="C434" t="s">
        <v>42</v>
      </c>
      <c r="D434" t="s">
        <v>43</v>
      </c>
      <c r="E434" t="s">
        <v>105</v>
      </c>
      <c r="F434" t="s">
        <v>34</v>
      </c>
      <c r="G434" t="s">
        <v>35</v>
      </c>
      <c r="H434" t="s">
        <v>47</v>
      </c>
      <c r="I434" t="s">
        <v>70</v>
      </c>
      <c r="J434" t="s">
        <v>48</v>
      </c>
      <c r="K434" s="4">
        <v>46007</v>
      </c>
      <c r="L434" s="4">
        <v>46097</v>
      </c>
      <c r="M434" t="s">
        <v>38</v>
      </c>
      <c r="N434" t="s">
        <v>49</v>
      </c>
      <c r="O434">
        <v>3</v>
      </c>
      <c r="P434" t="s">
        <v>39</v>
      </c>
      <c r="Q434" s="4">
        <v>46294</v>
      </c>
      <c r="R434" t="s">
        <v>64</v>
      </c>
      <c r="S434" t="s">
        <v>38</v>
      </c>
      <c r="T434" t="s">
        <v>3153</v>
      </c>
      <c r="U434" t="s">
        <v>49</v>
      </c>
      <c r="V434" t="s">
        <v>3154</v>
      </c>
    </row>
    <row r="435" spans="1:22" x14ac:dyDescent="0.2">
      <c r="A435" t="s">
        <v>931</v>
      </c>
      <c r="B435" t="s">
        <v>932</v>
      </c>
      <c r="C435" t="s">
        <v>78</v>
      </c>
      <c r="D435" t="s">
        <v>79</v>
      </c>
      <c r="E435" t="s">
        <v>105</v>
      </c>
      <c r="F435" t="s">
        <v>45</v>
      </c>
      <c r="G435" t="s">
        <v>46</v>
      </c>
      <c r="H435" t="s">
        <v>98</v>
      </c>
      <c r="I435" t="s">
        <v>54</v>
      </c>
      <c r="J435" t="s">
        <v>63</v>
      </c>
      <c r="K435" s="4">
        <v>45969</v>
      </c>
      <c r="L435" s="4">
        <v>46334</v>
      </c>
      <c r="M435" t="s">
        <v>64</v>
      </c>
      <c r="N435" t="s">
        <v>55</v>
      </c>
      <c r="O435">
        <v>0</v>
      </c>
      <c r="P435" t="s">
        <v>50</v>
      </c>
      <c r="Q435" s="4">
        <v>46181</v>
      </c>
      <c r="R435" t="s">
        <v>57</v>
      </c>
      <c r="S435" t="s">
        <v>3155</v>
      </c>
      <c r="T435" t="s">
        <v>3153</v>
      </c>
      <c r="U435" t="s">
        <v>55</v>
      </c>
      <c r="V435" t="s">
        <v>3152</v>
      </c>
    </row>
    <row r="436" spans="1:22" x14ac:dyDescent="0.2">
      <c r="A436" t="s">
        <v>933</v>
      </c>
      <c r="B436" t="s">
        <v>934</v>
      </c>
      <c r="C436" t="s">
        <v>31</v>
      </c>
      <c r="D436" t="s">
        <v>32</v>
      </c>
      <c r="E436" t="s">
        <v>53</v>
      </c>
      <c r="F436" t="s">
        <v>45</v>
      </c>
      <c r="G436" t="s">
        <v>46</v>
      </c>
      <c r="H436" t="s">
        <v>47</v>
      </c>
      <c r="I436" t="s">
        <v>70</v>
      </c>
      <c r="J436" t="s">
        <v>48</v>
      </c>
      <c r="K436" s="4">
        <v>45948</v>
      </c>
      <c r="L436" s="4">
        <v>46128</v>
      </c>
      <c r="M436" t="s">
        <v>38</v>
      </c>
      <c r="N436" t="s">
        <v>75</v>
      </c>
      <c r="O436">
        <v>3</v>
      </c>
      <c r="P436" t="s">
        <v>62</v>
      </c>
      <c r="Q436" s="4">
        <v>46280</v>
      </c>
      <c r="R436" t="s">
        <v>64</v>
      </c>
      <c r="S436" t="s">
        <v>38</v>
      </c>
      <c r="T436" t="s">
        <v>3153</v>
      </c>
      <c r="U436" t="s">
        <v>75</v>
      </c>
      <c r="V436" t="s">
        <v>3154</v>
      </c>
    </row>
    <row r="437" spans="1:22" x14ac:dyDescent="0.2">
      <c r="A437" t="s">
        <v>935</v>
      </c>
      <c r="B437" t="s">
        <v>936</v>
      </c>
      <c r="C437" t="s">
        <v>31</v>
      </c>
      <c r="D437" t="s">
        <v>32</v>
      </c>
      <c r="E437" t="s">
        <v>105</v>
      </c>
      <c r="F437" t="s">
        <v>67</v>
      </c>
      <c r="G437" t="s">
        <v>118</v>
      </c>
      <c r="H437" t="s">
        <v>47</v>
      </c>
      <c r="I437" t="s">
        <v>56</v>
      </c>
      <c r="J437" t="s">
        <v>63</v>
      </c>
      <c r="K437" s="4">
        <v>46184</v>
      </c>
      <c r="L437" s="4">
        <v>46364</v>
      </c>
      <c r="M437" t="s">
        <v>64</v>
      </c>
      <c r="N437" t="s">
        <v>55</v>
      </c>
      <c r="O437">
        <v>3</v>
      </c>
      <c r="P437" t="s">
        <v>62</v>
      </c>
      <c r="Q437" s="4">
        <v>46206</v>
      </c>
      <c r="R437" t="s">
        <v>38</v>
      </c>
      <c r="S437" t="s">
        <v>3155</v>
      </c>
      <c r="T437" t="s">
        <v>3153</v>
      </c>
      <c r="U437" t="s">
        <v>55</v>
      </c>
      <c r="V437" t="s">
        <v>3154</v>
      </c>
    </row>
    <row r="438" spans="1:22" x14ac:dyDescent="0.2">
      <c r="A438" t="s">
        <v>937</v>
      </c>
      <c r="B438" t="s">
        <v>938</v>
      </c>
      <c r="C438" t="s">
        <v>96</v>
      </c>
      <c r="D438" t="s">
        <v>97</v>
      </c>
      <c r="E438" t="s">
        <v>80</v>
      </c>
      <c r="F438" t="s">
        <v>45</v>
      </c>
      <c r="G438" t="s">
        <v>46</v>
      </c>
      <c r="H438" t="s">
        <v>36</v>
      </c>
      <c r="I438" t="s">
        <v>70</v>
      </c>
      <c r="J438" t="s">
        <v>63</v>
      </c>
      <c r="K438" s="4">
        <v>46258</v>
      </c>
      <c r="L438" s="4">
        <v>46348</v>
      </c>
      <c r="M438" t="s">
        <v>64</v>
      </c>
      <c r="N438" t="s">
        <v>49</v>
      </c>
      <c r="O438">
        <v>2</v>
      </c>
      <c r="P438" t="s">
        <v>39</v>
      </c>
      <c r="Q438" s="4">
        <v>46343</v>
      </c>
      <c r="R438" t="s">
        <v>64</v>
      </c>
      <c r="S438" t="s">
        <v>3155</v>
      </c>
      <c r="T438" t="s">
        <v>3153</v>
      </c>
      <c r="U438" t="s">
        <v>49</v>
      </c>
      <c r="V438" t="s">
        <v>3152</v>
      </c>
    </row>
    <row r="439" spans="1:22" x14ac:dyDescent="0.2">
      <c r="A439" t="s">
        <v>939</v>
      </c>
      <c r="B439" t="s">
        <v>940</v>
      </c>
      <c r="C439" t="s">
        <v>96</v>
      </c>
      <c r="D439" t="s">
        <v>97</v>
      </c>
      <c r="E439" t="s">
        <v>53</v>
      </c>
      <c r="F439" t="s">
        <v>45</v>
      </c>
      <c r="G439" t="s">
        <v>61</v>
      </c>
      <c r="H439" t="s">
        <v>47</v>
      </c>
      <c r="I439" t="s">
        <v>106</v>
      </c>
      <c r="J439" t="s">
        <v>37</v>
      </c>
      <c r="K439" s="4">
        <v>45812</v>
      </c>
      <c r="L439" s="4">
        <v>45992</v>
      </c>
      <c r="M439" t="s">
        <v>38</v>
      </c>
      <c r="N439" t="s">
        <v>49</v>
      </c>
      <c r="O439">
        <v>0</v>
      </c>
      <c r="P439" t="s">
        <v>62</v>
      </c>
      <c r="Q439" s="4">
        <v>46378</v>
      </c>
      <c r="R439" t="s">
        <v>57</v>
      </c>
      <c r="S439" t="s">
        <v>38</v>
      </c>
      <c r="T439" t="s">
        <v>3153</v>
      </c>
      <c r="U439" t="s">
        <v>49</v>
      </c>
      <c r="V439" t="s">
        <v>3154</v>
      </c>
    </row>
    <row r="440" spans="1:22" x14ac:dyDescent="0.2">
      <c r="A440" t="s">
        <v>941</v>
      </c>
      <c r="B440" t="s">
        <v>942</v>
      </c>
      <c r="C440" t="s">
        <v>78</v>
      </c>
      <c r="D440" t="s">
        <v>79</v>
      </c>
      <c r="E440" t="s">
        <v>60</v>
      </c>
      <c r="F440" t="s">
        <v>34</v>
      </c>
      <c r="G440" t="s">
        <v>35</v>
      </c>
      <c r="H440" t="s">
        <v>47</v>
      </c>
      <c r="I440" t="s">
        <v>62</v>
      </c>
      <c r="J440" t="s">
        <v>63</v>
      </c>
      <c r="K440" s="4">
        <v>45923</v>
      </c>
      <c r="L440" s="4">
        <v>46103</v>
      </c>
      <c r="M440" t="s">
        <v>38</v>
      </c>
      <c r="N440" t="s">
        <v>55</v>
      </c>
      <c r="O440">
        <v>2</v>
      </c>
      <c r="P440" t="s">
        <v>70</v>
      </c>
      <c r="Q440" s="4">
        <v>46285</v>
      </c>
      <c r="R440" t="s">
        <v>38</v>
      </c>
      <c r="S440" t="s">
        <v>38</v>
      </c>
      <c r="T440" t="s">
        <v>3153</v>
      </c>
      <c r="U440" t="s">
        <v>55</v>
      </c>
      <c r="V440" t="s">
        <v>3154</v>
      </c>
    </row>
    <row r="441" spans="1:22" x14ac:dyDescent="0.2">
      <c r="A441" t="s">
        <v>943</v>
      </c>
      <c r="B441" t="s">
        <v>944</v>
      </c>
      <c r="C441" t="s">
        <v>103</v>
      </c>
      <c r="D441" t="s">
        <v>104</v>
      </c>
      <c r="E441" t="s">
        <v>105</v>
      </c>
      <c r="F441" t="s">
        <v>67</v>
      </c>
      <c r="G441" t="s">
        <v>118</v>
      </c>
      <c r="H441" t="s">
        <v>36</v>
      </c>
      <c r="I441" t="s">
        <v>56</v>
      </c>
      <c r="J441" t="s">
        <v>63</v>
      </c>
      <c r="K441" s="4">
        <v>45944</v>
      </c>
      <c r="L441" s="4">
        <v>46034</v>
      </c>
      <c r="M441" t="s">
        <v>38</v>
      </c>
      <c r="N441" t="s">
        <v>55</v>
      </c>
      <c r="O441">
        <v>4</v>
      </c>
      <c r="P441" t="s">
        <v>62</v>
      </c>
      <c r="Q441" s="4">
        <v>46135</v>
      </c>
      <c r="R441" t="s">
        <v>38</v>
      </c>
      <c r="S441" t="s">
        <v>38</v>
      </c>
      <c r="T441" t="s">
        <v>3153</v>
      </c>
      <c r="U441" t="s">
        <v>55</v>
      </c>
      <c r="V441" t="s">
        <v>3152</v>
      </c>
    </row>
    <row r="442" spans="1:22" x14ac:dyDescent="0.2">
      <c r="A442" t="s">
        <v>945</v>
      </c>
      <c r="B442" t="s">
        <v>946</v>
      </c>
      <c r="C442" t="s">
        <v>31</v>
      </c>
      <c r="D442" t="s">
        <v>87</v>
      </c>
      <c r="E442" t="s">
        <v>80</v>
      </c>
      <c r="F442" t="s">
        <v>45</v>
      </c>
      <c r="G442" t="s">
        <v>61</v>
      </c>
      <c r="H442" t="s">
        <v>47</v>
      </c>
      <c r="I442" t="s">
        <v>111</v>
      </c>
      <c r="J442" t="s">
        <v>63</v>
      </c>
      <c r="K442" s="4">
        <v>45899</v>
      </c>
      <c r="L442" s="4">
        <v>45989</v>
      </c>
      <c r="M442" t="s">
        <v>38</v>
      </c>
      <c r="N442" t="s">
        <v>55</v>
      </c>
      <c r="O442">
        <v>0</v>
      </c>
      <c r="P442" t="s">
        <v>54</v>
      </c>
      <c r="Q442" s="4">
        <v>46213</v>
      </c>
      <c r="R442" t="s">
        <v>57</v>
      </c>
      <c r="S442" t="s">
        <v>38</v>
      </c>
      <c r="T442" t="s">
        <v>3153</v>
      </c>
      <c r="U442" t="s">
        <v>55</v>
      </c>
      <c r="V442" t="s">
        <v>3154</v>
      </c>
    </row>
    <row r="443" spans="1:22" x14ac:dyDescent="0.2">
      <c r="A443" t="s">
        <v>947</v>
      </c>
      <c r="B443" t="s">
        <v>948</v>
      </c>
      <c r="C443" t="s">
        <v>31</v>
      </c>
      <c r="D443" t="s">
        <v>87</v>
      </c>
      <c r="E443" t="s">
        <v>105</v>
      </c>
      <c r="F443" t="s">
        <v>67</v>
      </c>
      <c r="G443" t="s">
        <v>118</v>
      </c>
      <c r="H443" t="s">
        <v>36</v>
      </c>
      <c r="I443" t="s">
        <v>56</v>
      </c>
      <c r="J443" t="s">
        <v>63</v>
      </c>
      <c r="K443" s="4">
        <v>46020</v>
      </c>
      <c r="L443" s="4">
        <v>46385</v>
      </c>
      <c r="M443" t="s">
        <v>69</v>
      </c>
      <c r="N443" t="s">
        <v>55</v>
      </c>
      <c r="O443">
        <v>0</v>
      </c>
      <c r="P443" t="s">
        <v>39</v>
      </c>
      <c r="Q443" s="4">
        <v>46288</v>
      </c>
      <c r="R443" t="s">
        <v>57</v>
      </c>
      <c r="S443" t="s">
        <v>3155</v>
      </c>
      <c r="T443" t="s">
        <v>3153</v>
      </c>
      <c r="U443" t="s">
        <v>55</v>
      </c>
      <c r="V443" t="s">
        <v>3152</v>
      </c>
    </row>
    <row r="444" spans="1:22" x14ac:dyDescent="0.2">
      <c r="A444" t="s">
        <v>949</v>
      </c>
      <c r="B444" t="s">
        <v>950</v>
      </c>
      <c r="C444" t="s">
        <v>31</v>
      </c>
      <c r="D444" t="s">
        <v>32</v>
      </c>
      <c r="E444" t="s">
        <v>44</v>
      </c>
      <c r="F444" t="s">
        <v>67</v>
      </c>
      <c r="G444" t="s">
        <v>68</v>
      </c>
      <c r="H444" t="s">
        <v>36</v>
      </c>
      <c r="I444" t="s">
        <v>111</v>
      </c>
      <c r="J444" t="s">
        <v>63</v>
      </c>
      <c r="K444" s="4">
        <v>45928</v>
      </c>
      <c r="L444" s="4">
        <v>46293</v>
      </c>
      <c r="M444" t="s">
        <v>38</v>
      </c>
      <c r="N444" t="s">
        <v>55</v>
      </c>
      <c r="O444">
        <v>5</v>
      </c>
      <c r="P444" t="s">
        <v>50</v>
      </c>
      <c r="Q444" s="4">
        <v>46411</v>
      </c>
      <c r="R444" t="s">
        <v>64</v>
      </c>
      <c r="S444" t="s">
        <v>38</v>
      </c>
      <c r="T444" t="s">
        <v>3153</v>
      </c>
      <c r="U444" t="s">
        <v>55</v>
      </c>
      <c r="V444" t="s">
        <v>3152</v>
      </c>
    </row>
    <row r="445" spans="1:22" x14ac:dyDescent="0.2">
      <c r="A445" t="s">
        <v>951</v>
      </c>
      <c r="B445" t="s">
        <v>952</v>
      </c>
      <c r="C445" t="s">
        <v>31</v>
      </c>
      <c r="D445" t="s">
        <v>32</v>
      </c>
      <c r="E445" t="s">
        <v>80</v>
      </c>
      <c r="F445" t="s">
        <v>67</v>
      </c>
      <c r="G445" t="s">
        <v>68</v>
      </c>
      <c r="H445" t="s">
        <v>36</v>
      </c>
      <c r="I445" t="s">
        <v>39</v>
      </c>
      <c r="J445" t="s">
        <v>63</v>
      </c>
      <c r="K445" s="4">
        <v>46151</v>
      </c>
      <c r="L445" s="4">
        <v>46516</v>
      </c>
      <c r="M445" t="s">
        <v>84</v>
      </c>
      <c r="N445" t="s">
        <v>55</v>
      </c>
      <c r="O445">
        <v>5</v>
      </c>
      <c r="P445" t="s">
        <v>50</v>
      </c>
      <c r="Q445" s="4">
        <v>46140</v>
      </c>
      <c r="R445" t="s">
        <v>38</v>
      </c>
      <c r="S445" t="s">
        <v>3155</v>
      </c>
      <c r="T445" t="s">
        <v>3153</v>
      </c>
      <c r="U445" t="s">
        <v>55</v>
      </c>
      <c r="V445" t="s">
        <v>3152</v>
      </c>
    </row>
    <row r="446" spans="1:22" x14ac:dyDescent="0.2">
      <c r="A446" t="s">
        <v>953</v>
      </c>
      <c r="B446" t="s">
        <v>954</v>
      </c>
      <c r="C446" t="s">
        <v>31</v>
      </c>
      <c r="D446" t="s">
        <v>83</v>
      </c>
      <c r="E446" t="s">
        <v>105</v>
      </c>
      <c r="F446" t="s">
        <v>34</v>
      </c>
      <c r="G446" t="s">
        <v>35</v>
      </c>
      <c r="H446" t="s">
        <v>47</v>
      </c>
      <c r="I446" t="s">
        <v>54</v>
      </c>
      <c r="J446" t="s">
        <v>48</v>
      </c>
      <c r="K446" s="4">
        <v>46243</v>
      </c>
      <c r="L446" s="4">
        <v>46333</v>
      </c>
      <c r="M446" t="s">
        <v>64</v>
      </c>
      <c r="N446" t="s">
        <v>49</v>
      </c>
      <c r="O446">
        <v>3</v>
      </c>
      <c r="P446" t="s">
        <v>39</v>
      </c>
      <c r="Q446" s="4">
        <v>46281</v>
      </c>
      <c r="R446" t="s">
        <v>64</v>
      </c>
      <c r="S446" t="s">
        <v>3155</v>
      </c>
      <c r="T446" t="s">
        <v>3153</v>
      </c>
      <c r="U446" t="s">
        <v>49</v>
      </c>
      <c r="V446" t="s">
        <v>3154</v>
      </c>
    </row>
    <row r="447" spans="1:22" x14ac:dyDescent="0.2">
      <c r="A447" t="s">
        <v>955</v>
      </c>
      <c r="B447" t="s">
        <v>956</v>
      </c>
      <c r="C447" t="s">
        <v>31</v>
      </c>
      <c r="D447" t="s">
        <v>87</v>
      </c>
      <c r="E447" t="s">
        <v>53</v>
      </c>
      <c r="F447" t="s">
        <v>34</v>
      </c>
      <c r="G447" t="s">
        <v>35</v>
      </c>
      <c r="H447" t="s">
        <v>47</v>
      </c>
      <c r="I447" t="s">
        <v>56</v>
      </c>
      <c r="J447" t="s">
        <v>48</v>
      </c>
      <c r="K447" s="4">
        <v>46203</v>
      </c>
      <c r="L447" s="4">
        <v>46383</v>
      </c>
      <c r="M447" t="s">
        <v>64</v>
      </c>
      <c r="N447" t="s">
        <v>75</v>
      </c>
      <c r="O447">
        <v>1</v>
      </c>
      <c r="P447" t="s">
        <v>62</v>
      </c>
      <c r="Q447" s="4">
        <v>46339</v>
      </c>
      <c r="R447" t="s">
        <v>64</v>
      </c>
      <c r="S447" t="s">
        <v>3155</v>
      </c>
      <c r="T447" t="s">
        <v>3153</v>
      </c>
      <c r="U447" t="s">
        <v>75</v>
      </c>
      <c r="V447" t="s">
        <v>3154</v>
      </c>
    </row>
    <row r="448" spans="1:22" x14ac:dyDescent="0.2">
      <c r="A448" t="s">
        <v>957</v>
      </c>
      <c r="B448" t="s">
        <v>958</v>
      </c>
      <c r="C448" t="s">
        <v>96</v>
      </c>
      <c r="D448" t="s">
        <v>97</v>
      </c>
      <c r="E448" t="s">
        <v>80</v>
      </c>
      <c r="F448" t="s">
        <v>45</v>
      </c>
      <c r="G448" t="s">
        <v>46</v>
      </c>
      <c r="H448" t="s">
        <v>47</v>
      </c>
      <c r="I448" t="s">
        <v>39</v>
      </c>
      <c r="J448" t="s">
        <v>48</v>
      </c>
      <c r="K448" s="4">
        <v>46184</v>
      </c>
      <c r="L448" s="4">
        <v>46274</v>
      </c>
      <c r="M448" t="s">
        <v>38</v>
      </c>
      <c r="N448" t="s">
        <v>49</v>
      </c>
      <c r="O448">
        <v>2</v>
      </c>
      <c r="P448" t="s">
        <v>54</v>
      </c>
      <c r="Q448" s="4">
        <v>46328</v>
      </c>
      <c r="R448" t="s">
        <v>84</v>
      </c>
      <c r="S448" t="s">
        <v>38</v>
      </c>
      <c r="T448" t="s">
        <v>3153</v>
      </c>
      <c r="U448" t="s">
        <v>49</v>
      </c>
      <c r="V448" t="s">
        <v>3154</v>
      </c>
    </row>
    <row r="449" spans="1:22" x14ac:dyDescent="0.2">
      <c r="A449" t="s">
        <v>959</v>
      </c>
      <c r="B449" t="s">
        <v>960</v>
      </c>
      <c r="C449" t="s">
        <v>96</v>
      </c>
      <c r="D449" t="s">
        <v>97</v>
      </c>
      <c r="E449" t="s">
        <v>60</v>
      </c>
      <c r="F449" t="s">
        <v>45</v>
      </c>
      <c r="G449" t="s">
        <v>61</v>
      </c>
      <c r="H449" t="s">
        <v>88</v>
      </c>
      <c r="I449" t="s">
        <v>54</v>
      </c>
      <c r="J449" t="s">
        <v>48</v>
      </c>
      <c r="K449" s="4">
        <v>45795</v>
      </c>
      <c r="L449" s="4">
        <v>45885</v>
      </c>
      <c r="M449" t="s">
        <v>38</v>
      </c>
      <c r="N449" t="s">
        <v>49</v>
      </c>
      <c r="O449">
        <v>0</v>
      </c>
      <c r="P449" t="s">
        <v>56</v>
      </c>
      <c r="Q449" s="4">
        <v>46207</v>
      </c>
      <c r="R449" t="s">
        <v>57</v>
      </c>
      <c r="S449" t="s">
        <v>38</v>
      </c>
      <c r="T449" t="s">
        <v>3153</v>
      </c>
      <c r="U449" t="s">
        <v>49</v>
      </c>
      <c r="V449" t="s">
        <v>3154</v>
      </c>
    </row>
    <row r="450" spans="1:22" x14ac:dyDescent="0.2">
      <c r="A450" t="s">
        <v>961</v>
      </c>
      <c r="B450" t="s">
        <v>962</v>
      </c>
      <c r="C450" t="s">
        <v>103</v>
      </c>
      <c r="D450" t="s">
        <v>104</v>
      </c>
      <c r="E450" t="s">
        <v>105</v>
      </c>
      <c r="F450" t="s">
        <v>67</v>
      </c>
      <c r="G450" t="s">
        <v>118</v>
      </c>
      <c r="H450" t="s">
        <v>88</v>
      </c>
      <c r="I450" t="s">
        <v>54</v>
      </c>
      <c r="J450" t="s">
        <v>48</v>
      </c>
      <c r="K450" s="4">
        <v>46215</v>
      </c>
      <c r="L450" s="4">
        <v>46580</v>
      </c>
      <c r="M450" t="s">
        <v>69</v>
      </c>
      <c r="N450" t="s">
        <v>49</v>
      </c>
      <c r="O450">
        <v>1</v>
      </c>
      <c r="P450" t="s">
        <v>54</v>
      </c>
      <c r="Q450" s="4">
        <v>46352</v>
      </c>
      <c r="R450" t="s">
        <v>84</v>
      </c>
      <c r="S450" t="s">
        <v>3155</v>
      </c>
      <c r="T450" t="s">
        <v>3153</v>
      </c>
      <c r="U450" t="s">
        <v>49</v>
      </c>
      <c r="V450" t="s">
        <v>3154</v>
      </c>
    </row>
    <row r="451" spans="1:22" x14ac:dyDescent="0.2">
      <c r="A451" t="s">
        <v>963</v>
      </c>
      <c r="B451" t="s">
        <v>964</v>
      </c>
      <c r="C451" t="s">
        <v>73</v>
      </c>
      <c r="D451" t="s">
        <v>74</v>
      </c>
      <c r="E451" t="s">
        <v>91</v>
      </c>
      <c r="F451" t="s">
        <v>45</v>
      </c>
      <c r="G451" t="s">
        <v>46</v>
      </c>
      <c r="H451" t="s">
        <v>36</v>
      </c>
      <c r="I451" t="s">
        <v>111</v>
      </c>
      <c r="J451" t="s">
        <v>48</v>
      </c>
      <c r="K451" s="4">
        <v>46021</v>
      </c>
      <c r="L451" s="4">
        <v>46111</v>
      </c>
      <c r="M451" t="s">
        <v>38</v>
      </c>
      <c r="N451" t="s">
        <v>55</v>
      </c>
      <c r="O451">
        <v>5</v>
      </c>
      <c r="P451" t="s">
        <v>62</v>
      </c>
      <c r="Q451" s="4">
        <v>46137</v>
      </c>
      <c r="R451" t="s">
        <v>64</v>
      </c>
      <c r="S451" t="s">
        <v>38</v>
      </c>
      <c r="T451" t="s">
        <v>3153</v>
      </c>
      <c r="U451" t="s">
        <v>55</v>
      </c>
      <c r="V451" t="s">
        <v>3152</v>
      </c>
    </row>
    <row r="452" spans="1:22" x14ac:dyDescent="0.2">
      <c r="A452" t="s">
        <v>965</v>
      </c>
      <c r="B452" t="s">
        <v>966</v>
      </c>
      <c r="C452" t="s">
        <v>31</v>
      </c>
      <c r="D452" t="s">
        <v>32</v>
      </c>
      <c r="E452" t="s">
        <v>60</v>
      </c>
      <c r="F452" t="s">
        <v>67</v>
      </c>
      <c r="G452" t="s">
        <v>118</v>
      </c>
      <c r="H452" t="s">
        <v>36</v>
      </c>
      <c r="I452" t="s">
        <v>111</v>
      </c>
      <c r="J452" t="s">
        <v>48</v>
      </c>
      <c r="K452" s="4">
        <v>46253</v>
      </c>
      <c r="L452" s="4">
        <v>46343</v>
      </c>
      <c r="M452" t="s">
        <v>84</v>
      </c>
      <c r="N452" t="s">
        <v>55</v>
      </c>
      <c r="O452">
        <v>0</v>
      </c>
      <c r="P452" t="s">
        <v>111</v>
      </c>
      <c r="Q452" s="4">
        <v>46363</v>
      </c>
      <c r="R452" t="s">
        <v>57</v>
      </c>
      <c r="S452" t="s">
        <v>3155</v>
      </c>
      <c r="T452" t="s">
        <v>3153</v>
      </c>
      <c r="U452" t="s">
        <v>55</v>
      </c>
      <c r="V452" t="s">
        <v>3152</v>
      </c>
    </row>
    <row r="453" spans="1:22" x14ac:dyDescent="0.2">
      <c r="A453" t="s">
        <v>967</v>
      </c>
      <c r="B453" t="s">
        <v>968</v>
      </c>
      <c r="C453" t="s">
        <v>78</v>
      </c>
      <c r="D453" t="s">
        <v>79</v>
      </c>
      <c r="E453" t="s">
        <v>80</v>
      </c>
      <c r="F453" t="s">
        <v>34</v>
      </c>
      <c r="G453" t="s">
        <v>35</v>
      </c>
      <c r="H453" t="s">
        <v>47</v>
      </c>
      <c r="I453" t="s">
        <v>106</v>
      </c>
      <c r="J453" t="s">
        <v>48</v>
      </c>
      <c r="K453" s="4">
        <v>46158</v>
      </c>
      <c r="L453" s="4">
        <v>46248</v>
      </c>
      <c r="M453" t="s">
        <v>38</v>
      </c>
      <c r="N453" t="s">
        <v>75</v>
      </c>
      <c r="O453">
        <v>1</v>
      </c>
      <c r="P453" t="s">
        <v>62</v>
      </c>
      <c r="Q453" s="4">
        <v>46165</v>
      </c>
      <c r="R453" t="s">
        <v>64</v>
      </c>
      <c r="S453" t="s">
        <v>38</v>
      </c>
      <c r="T453" t="s">
        <v>3153</v>
      </c>
      <c r="U453" t="s">
        <v>75</v>
      </c>
      <c r="V453" t="s">
        <v>3154</v>
      </c>
    </row>
    <row r="454" spans="1:22" x14ac:dyDescent="0.2">
      <c r="A454" t="s">
        <v>969</v>
      </c>
      <c r="B454" t="s">
        <v>970</v>
      </c>
      <c r="C454" t="s">
        <v>73</v>
      </c>
      <c r="D454" t="s">
        <v>74</v>
      </c>
      <c r="E454" t="s">
        <v>80</v>
      </c>
      <c r="F454" t="s">
        <v>45</v>
      </c>
      <c r="G454" t="s">
        <v>46</v>
      </c>
      <c r="H454" t="s">
        <v>88</v>
      </c>
      <c r="I454" t="s">
        <v>39</v>
      </c>
      <c r="J454" t="s">
        <v>37</v>
      </c>
      <c r="K454" s="4">
        <v>45820</v>
      </c>
      <c r="L454" s="4">
        <v>46000</v>
      </c>
      <c r="M454" t="s">
        <v>38</v>
      </c>
      <c r="N454" t="s">
        <v>55</v>
      </c>
      <c r="O454">
        <v>1</v>
      </c>
      <c r="P454" t="s">
        <v>54</v>
      </c>
      <c r="Q454" s="4">
        <v>46347</v>
      </c>
      <c r="R454" t="s">
        <v>64</v>
      </c>
      <c r="S454" t="s">
        <v>38</v>
      </c>
      <c r="T454" t="s">
        <v>3153</v>
      </c>
      <c r="U454" t="s">
        <v>55</v>
      </c>
      <c r="V454" t="s">
        <v>3154</v>
      </c>
    </row>
    <row r="455" spans="1:22" x14ac:dyDescent="0.2">
      <c r="A455" t="s">
        <v>971</v>
      </c>
      <c r="B455" t="s">
        <v>972</v>
      </c>
      <c r="C455" t="s">
        <v>96</v>
      </c>
      <c r="D455" t="s">
        <v>97</v>
      </c>
      <c r="E455" t="s">
        <v>53</v>
      </c>
      <c r="F455" t="s">
        <v>34</v>
      </c>
      <c r="G455" t="s">
        <v>35</v>
      </c>
      <c r="H455" t="s">
        <v>47</v>
      </c>
      <c r="I455" t="s">
        <v>50</v>
      </c>
      <c r="J455" t="s">
        <v>48</v>
      </c>
      <c r="K455" s="4">
        <v>46259</v>
      </c>
      <c r="L455" s="4">
        <v>46624</v>
      </c>
      <c r="M455" t="s">
        <v>69</v>
      </c>
      <c r="N455" t="s">
        <v>55</v>
      </c>
      <c r="O455">
        <v>0</v>
      </c>
      <c r="P455" t="s">
        <v>106</v>
      </c>
      <c r="Q455" s="4">
        <v>46353</v>
      </c>
      <c r="R455" t="s">
        <v>57</v>
      </c>
      <c r="S455" t="s">
        <v>3155</v>
      </c>
      <c r="T455" t="s">
        <v>3153</v>
      </c>
      <c r="U455" t="s">
        <v>55</v>
      </c>
      <c r="V455" t="s">
        <v>3154</v>
      </c>
    </row>
    <row r="456" spans="1:22" x14ac:dyDescent="0.2">
      <c r="A456" t="s">
        <v>973</v>
      </c>
      <c r="B456" t="s">
        <v>974</v>
      </c>
      <c r="C456" t="s">
        <v>96</v>
      </c>
      <c r="D456" t="s">
        <v>97</v>
      </c>
      <c r="E456" t="s">
        <v>60</v>
      </c>
      <c r="F456" t="s">
        <v>45</v>
      </c>
      <c r="G456" t="s">
        <v>61</v>
      </c>
      <c r="H456" t="s">
        <v>47</v>
      </c>
      <c r="I456" t="s">
        <v>50</v>
      </c>
      <c r="J456" t="s">
        <v>48</v>
      </c>
      <c r="K456" s="4">
        <v>45980</v>
      </c>
      <c r="L456" s="4">
        <v>46345</v>
      </c>
      <c r="M456" t="s">
        <v>84</v>
      </c>
      <c r="N456" t="s">
        <v>75</v>
      </c>
      <c r="O456">
        <v>3</v>
      </c>
      <c r="P456" t="s">
        <v>62</v>
      </c>
      <c r="Q456" s="4">
        <v>46225</v>
      </c>
      <c r="R456" t="s">
        <v>38</v>
      </c>
      <c r="S456" t="s">
        <v>3155</v>
      </c>
      <c r="T456" t="s">
        <v>3153</v>
      </c>
      <c r="U456" t="s">
        <v>75</v>
      </c>
      <c r="V456" t="s">
        <v>3154</v>
      </c>
    </row>
    <row r="457" spans="1:22" x14ac:dyDescent="0.2">
      <c r="A457" t="s">
        <v>975</v>
      </c>
      <c r="B457" t="s">
        <v>976</v>
      </c>
      <c r="C457" t="s">
        <v>31</v>
      </c>
      <c r="D457" t="s">
        <v>87</v>
      </c>
      <c r="E457" t="s">
        <v>44</v>
      </c>
      <c r="F457" t="s">
        <v>34</v>
      </c>
      <c r="G457" t="s">
        <v>35</v>
      </c>
      <c r="H457" t="s">
        <v>88</v>
      </c>
      <c r="I457" t="s">
        <v>54</v>
      </c>
      <c r="J457" t="s">
        <v>37</v>
      </c>
      <c r="K457" s="4">
        <v>45819</v>
      </c>
      <c r="L457" s="4">
        <v>46184</v>
      </c>
      <c r="M457" t="s">
        <v>38</v>
      </c>
      <c r="N457" t="s">
        <v>55</v>
      </c>
      <c r="O457">
        <v>0</v>
      </c>
      <c r="P457" t="s">
        <v>39</v>
      </c>
      <c r="Q457" s="4">
        <v>46328</v>
      </c>
      <c r="R457" t="s">
        <v>57</v>
      </c>
      <c r="S457" t="s">
        <v>38</v>
      </c>
      <c r="T457" t="s">
        <v>3153</v>
      </c>
      <c r="U457" t="s">
        <v>55</v>
      </c>
      <c r="V457" t="s">
        <v>3154</v>
      </c>
    </row>
    <row r="458" spans="1:22" x14ac:dyDescent="0.2">
      <c r="A458" t="s">
        <v>977</v>
      </c>
      <c r="B458" t="s">
        <v>978</v>
      </c>
      <c r="C458" t="s">
        <v>31</v>
      </c>
      <c r="D458" t="s">
        <v>87</v>
      </c>
      <c r="E458" t="s">
        <v>80</v>
      </c>
      <c r="F458" t="s">
        <v>67</v>
      </c>
      <c r="G458" t="s">
        <v>118</v>
      </c>
      <c r="H458" t="s">
        <v>36</v>
      </c>
      <c r="I458" t="s">
        <v>70</v>
      </c>
      <c r="J458" t="s">
        <v>63</v>
      </c>
      <c r="K458" s="4">
        <v>46044</v>
      </c>
      <c r="L458" s="4">
        <v>46224</v>
      </c>
      <c r="M458" t="s">
        <v>38</v>
      </c>
      <c r="N458" t="s">
        <v>55</v>
      </c>
      <c r="O458">
        <v>0</v>
      </c>
      <c r="P458" t="s">
        <v>62</v>
      </c>
      <c r="Q458" s="4">
        <v>46400</v>
      </c>
      <c r="R458" t="s">
        <v>57</v>
      </c>
      <c r="S458" t="s">
        <v>38</v>
      </c>
      <c r="T458" t="s">
        <v>3153</v>
      </c>
      <c r="U458" t="s">
        <v>55</v>
      </c>
      <c r="V458" t="s">
        <v>3152</v>
      </c>
    </row>
    <row r="459" spans="1:22" x14ac:dyDescent="0.2">
      <c r="A459" t="s">
        <v>979</v>
      </c>
      <c r="B459" t="s">
        <v>980</v>
      </c>
      <c r="C459" t="s">
        <v>31</v>
      </c>
      <c r="D459" t="s">
        <v>87</v>
      </c>
      <c r="E459" t="s">
        <v>53</v>
      </c>
      <c r="F459" t="s">
        <v>45</v>
      </c>
      <c r="G459" t="s">
        <v>46</v>
      </c>
      <c r="H459" t="s">
        <v>47</v>
      </c>
      <c r="I459" t="s">
        <v>70</v>
      </c>
      <c r="J459" t="s">
        <v>37</v>
      </c>
      <c r="K459" s="4">
        <v>46267</v>
      </c>
      <c r="L459" s="4">
        <v>46447</v>
      </c>
      <c r="M459" t="s">
        <v>84</v>
      </c>
      <c r="N459" t="s">
        <v>49</v>
      </c>
      <c r="O459">
        <v>3</v>
      </c>
      <c r="P459" t="s">
        <v>50</v>
      </c>
      <c r="Q459" s="4">
        <v>46407</v>
      </c>
      <c r="R459" t="s">
        <v>84</v>
      </c>
      <c r="S459" t="s">
        <v>3155</v>
      </c>
      <c r="T459" t="s">
        <v>3153</v>
      </c>
      <c r="U459" t="s">
        <v>49</v>
      </c>
      <c r="V459" t="s">
        <v>3154</v>
      </c>
    </row>
    <row r="460" spans="1:22" x14ac:dyDescent="0.2">
      <c r="A460" t="s">
        <v>981</v>
      </c>
      <c r="B460" t="s">
        <v>982</v>
      </c>
      <c r="C460" t="s">
        <v>31</v>
      </c>
      <c r="D460" t="s">
        <v>32</v>
      </c>
      <c r="E460" t="s">
        <v>44</v>
      </c>
      <c r="F460" t="s">
        <v>34</v>
      </c>
      <c r="G460" t="s">
        <v>35</v>
      </c>
      <c r="H460" t="s">
        <v>36</v>
      </c>
      <c r="I460" t="s">
        <v>106</v>
      </c>
      <c r="J460" t="s">
        <v>63</v>
      </c>
      <c r="K460" s="4">
        <v>45955</v>
      </c>
      <c r="L460" s="4">
        <v>46135</v>
      </c>
      <c r="M460" t="s">
        <v>38</v>
      </c>
      <c r="N460" t="s">
        <v>49</v>
      </c>
      <c r="O460">
        <v>5</v>
      </c>
      <c r="P460" t="s">
        <v>106</v>
      </c>
      <c r="Q460" s="4">
        <v>46115</v>
      </c>
      <c r="R460" t="s">
        <v>38</v>
      </c>
      <c r="S460" t="s">
        <v>38</v>
      </c>
      <c r="T460" t="s">
        <v>3153</v>
      </c>
      <c r="U460" t="s">
        <v>49</v>
      </c>
      <c r="V460" t="s">
        <v>3152</v>
      </c>
    </row>
    <row r="461" spans="1:22" x14ac:dyDescent="0.2">
      <c r="A461" t="s">
        <v>983</v>
      </c>
      <c r="B461" t="s">
        <v>984</v>
      </c>
      <c r="C461" t="s">
        <v>73</v>
      </c>
      <c r="D461" t="s">
        <v>74</v>
      </c>
      <c r="E461" t="s">
        <v>53</v>
      </c>
      <c r="F461" t="s">
        <v>34</v>
      </c>
      <c r="G461" t="s">
        <v>35</v>
      </c>
      <c r="H461" t="s">
        <v>88</v>
      </c>
      <c r="I461" t="s">
        <v>56</v>
      </c>
      <c r="J461" t="s">
        <v>48</v>
      </c>
      <c r="K461" s="4">
        <v>45918</v>
      </c>
      <c r="L461" s="4">
        <v>46283</v>
      </c>
      <c r="M461" t="s">
        <v>38</v>
      </c>
      <c r="N461" t="s">
        <v>49</v>
      </c>
      <c r="O461">
        <v>1</v>
      </c>
      <c r="P461" t="s">
        <v>106</v>
      </c>
      <c r="Q461" s="4">
        <v>46156</v>
      </c>
      <c r="R461" t="s">
        <v>38</v>
      </c>
      <c r="S461" t="s">
        <v>38</v>
      </c>
      <c r="T461" t="s">
        <v>3153</v>
      </c>
      <c r="U461" t="s">
        <v>49</v>
      </c>
      <c r="V461" t="s">
        <v>3154</v>
      </c>
    </row>
    <row r="462" spans="1:22" x14ac:dyDescent="0.2">
      <c r="A462" t="s">
        <v>985</v>
      </c>
      <c r="B462" t="s">
        <v>986</v>
      </c>
      <c r="C462" t="s">
        <v>103</v>
      </c>
      <c r="D462" t="s">
        <v>104</v>
      </c>
      <c r="E462" t="s">
        <v>80</v>
      </c>
      <c r="F462" t="s">
        <v>45</v>
      </c>
      <c r="G462" t="s">
        <v>46</v>
      </c>
      <c r="H462" t="s">
        <v>88</v>
      </c>
      <c r="I462" t="s">
        <v>39</v>
      </c>
      <c r="J462" t="s">
        <v>37</v>
      </c>
      <c r="K462" s="4">
        <v>46088</v>
      </c>
      <c r="L462" s="4">
        <v>46268</v>
      </c>
      <c r="M462" t="s">
        <v>38</v>
      </c>
      <c r="N462" t="s">
        <v>55</v>
      </c>
      <c r="O462">
        <v>0</v>
      </c>
      <c r="P462" t="s">
        <v>54</v>
      </c>
      <c r="Q462" s="4">
        <v>46402</v>
      </c>
      <c r="R462" t="s">
        <v>57</v>
      </c>
      <c r="S462" t="s">
        <v>38</v>
      </c>
      <c r="T462" t="s">
        <v>3153</v>
      </c>
      <c r="U462" t="s">
        <v>55</v>
      </c>
      <c r="V462" t="s">
        <v>3154</v>
      </c>
    </row>
    <row r="463" spans="1:22" x14ac:dyDescent="0.2">
      <c r="A463" t="s">
        <v>987</v>
      </c>
      <c r="B463" t="s">
        <v>988</v>
      </c>
      <c r="C463" t="s">
        <v>78</v>
      </c>
      <c r="D463" t="s">
        <v>79</v>
      </c>
      <c r="E463" t="s">
        <v>91</v>
      </c>
      <c r="F463" t="s">
        <v>34</v>
      </c>
      <c r="G463" t="s">
        <v>35</v>
      </c>
      <c r="H463" t="s">
        <v>88</v>
      </c>
      <c r="I463" t="s">
        <v>54</v>
      </c>
      <c r="J463" t="s">
        <v>48</v>
      </c>
      <c r="K463" s="4">
        <v>45890</v>
      </c>
      <c r="L463" s="4">
        <v>46255</v>
      </c>
      <c r="M463" t="s">
        <v>38</v>
      </c>
      <c r="N463" t="s">
        <v>55</v>
      </c>
      <c r="O463">
        <v>2</v>
      </c>
      <c r="P463" t="s">
        <v>70</v>
      </c>
      <c r="Q463" s="4">
        <v>46295</v>
      </c>
      <c r="R463" t="s">
        <v>84</v>
      </c>
      <c r="S463" t="s">
        <v>38</v>
      </c>
      <c r="T463" t="s">
        <v>3153</v>
      </c>
      <c r="U463" t="s">
        <v>55</v>
      </c>
      <c r="V463" t="s">
        <v>3154</v>
      </c>
    </row>
    <row r="464" spans="1:22" x14ac:dyDescent="0.2">
      <c r="A464" t="s">
        <v>989</v>
      </c>
      <c r="B464" t="s">
        <v>990</v>
      </c>
      <c r="C464" t="s">
        <v>31</v>
      </c>
      <c r="D464" t="s">
        <v>32</v>
      </c>
      <c r="E464" t="s">
        <v>80</v>
      </c>
      <c r="F464" t="s">
        <v>67</v>
      </c>
      <c r="G464" t="s">
        <v>118</v>
      </c>
      <c r="H464" t="s">
        <v>88</v>
      </c>
      <c r="I464" t="s">
        <v>70</v>
      </c>
      <c r="J464" t="s">
        <v>37</v>
      </c>
      <c r="K464" s="4">
        <v>46035</v>
      </c>
      <c r="L464" s="4">
        <v>46400</v>
      </c>
      <c r="M464" t="s">
        <v>64</v>
      </c>
      <c r="N464" t="s">
        <v>49</v>
      </c>
      <c r="O464">
        <v>2</v>
      </c>
      <c r="P464" t="s">
        <v>70</v>
      </c>
      <c r="Q464" s="4">
        <v>46346</v>
      </c>
      <c r="R464" t="s">
        <v>84</v>
      </c>
      <c r="S464" t="s">
        <v>3155</v>
      </c>
      <c r="T464" t="s">
        <v>3153</v>
      </c>
      <c r="U464" t="s">
        <v>49</v>
      </c>
      <c r="V464" t="s">
        <v>3154</v>
      </c>
    </row>
    <row r="465" spans="1:22" x14ac:dyDescent="0.2">
      <c r="A465" t="s">
        <v>991</v>
      </c>
      <c r="B465" t="s">
        <v>992</v>
      </c>
      <c r="C465" t="s">
        <v>103</v>
      </c>
      <c r="D465" t="s">
        <v>104</v>
      </c>
      <c r="E465" t="s">
        <v>44</v>
      </c>
      <c r="F465" t="s">
        <v>45</v>
      </c>
      <c r="G465" t="s">
        <v>61</v>
      </c>
      <c r="H465" t="s">
        <v>47</v>
      </c>
      <c r="I465" t="s">
        <v>70</v>
      </c>
      <c r="J465" t="s">
        <v>63</v>
      </c>
      <c r="K465" s="4">
        <v>46220</v>
      </c>
      <c r="L465" s="4">
        <v>46310</v>
      </c>
      <c r="M465" t="s">
        <v>64</v>
      </c>
      <c r="N465" t="s">
        <v>49</v>
      </c>
      <c r="O465">
        <v>1</v>
      </c>
      <c r="P465" t="s">
        <v>39</v>
      </c>
      <c r="Q465" s="4">
        <v>46369</v>
      </c>
      <c r="R465" t="s">
        <v>64</v>
      </c>
      <c r="S465" t="s">
        <v>3155</v>
      </c>
      <c r="T465" t="s">
        <v>3153</v>
      </c>
      <c r="U465" t="s">
        <v>49</v>
      </c>
      <c r="V465" t="s">
        <v>3154</v>
      </c>
    </row>
    <row r="466" spans="1:22" x14ac:dyDescent="0.2">
      <c r="A466" t="s">
        <v>993</v>
      </c>
      <c r="B466" t="s">
        <v>994</v>
      </c>
      <c r="C466" t="s">
        <v>31</v>
      </c>
      <c r="D466" t="s">
        <v>32</v>
      </c>
      <c r="E466" t="s">
        <v>91</v>
      </c>
      <c r="F466" t="s">
        <v>67</v>
      </c>
      <c r="G466" t="s">
        <v>118</v>
      </c>
      <c r="H466" t="s">
        <v>88</v>
      </c>
      <c r="I466" t="s">
        <v>50</v>
      </c>
      <c r="J466" t="s">
        <v>48</v>
      </c>
      <c r="K466" s="4">
        <v>46033</v>
      </c>
      <c r="L466" s="4">
        <v>46213</v>
      </c>
      <c r="M466" t="s">
        <v>38</v>
      </c>
      <c r="N466" t="s">
        <v>75</v>
      </c>
      <c r="O466">
        <v>3</v>
      </c>
      <c r="P466" t="s">
        <v>106</v>
      </c>
      <c r="Q466" s="4">
        <v>46125</v>
      </c>
      <c r="R466" t="s">
        <v>64</v>
      </c>
      <c r="S466" t="s">
        <v>38</v>
      </c>
      <c r="T466" t="s">
        <v>3153</v>
      </c>
      <c r="U466" t="s">
        <v>75</v>
      </c>
      <c r="V466" t="s">
        <v>3154</v>
      </c>
    </row>
    <row r="467" spans="1:22" x14ac:dyDescent="0.2">
      <c r="A467" t="s">
        <v>995</v>
      </c>
      <c r="B467" t="s">
        <v>996</v>
      </c>
      <c r="C467" t="s">
        <v>42</v>
      </c>
      <c r="D467" t="s">
        <v>43</v>
      </c>
      <c r="E467" t="s">
        <v>91</v>
      </c>
      <c r="F467" t="s">
        <v>67</v>
      </c>
      <c r="G467" t="s">
        <v>118</v>
      </c>
      <c r="H467" t="s">
        <v>88</v>
      </c>
      <c r="I467" t="s">
        <v>106</v>
      </c>
      <c r="J467" t="s">
        <v>37</v>
      </c>
      <c r="K467" s="4">
        <v>46027</v>
      </c>
      <c r="L467" s="4">
        <v>46392</v>
      </c>
      <c r="M467" t="s">
        <v>69</v>
      </c>
      <c r="N467" t="s">
        <v>75</v>
      </c>
      <c r="O467">
        <v>2</v>
      </c>
      <c r="P467" t="s">
        <v>54</v>
      </c>
      <c r="Q467" s="4">
        <v>46405</v>
      </c>
      <c r="R467" t="s">
        <v>64</v>
      </c>
      <c r="S467" t="s">
        <v>3155</v>
      </c>
      <c r="T467" t="s">
        <v>3153</v>
      </c>
      <c r="U467" t="s">
        <v>75</v>
      </c>
      <c r="V467" t="s">
        <v>3154</v>
      </c>
    </row>
    <row r="468" spans="1:22" x14ac:dyDescent="0.2">
      <c r="A468" t="s">
        <v>997</v>
      </c>
      <c r="B468" t="s">
        <v>998</v>
      </c>
      <c r="C468" t="s">
        <v>42</v>
      </c>
      <c r="D468" t="s">
        <v>43</v>
      </c>
      <c r="E468" t="s">
        <v>53</v>
      </c>
      <c r="F468" t="s">
        <v>67</v>
      </c>
      <c r="G468" t="s">
        <v>118</v>
      </c>
      <c r="H468" t="s">
        <v>36</v>
      </c>
      <c r="I468" t="s">
        <v>39</v>
      </c>
      <c r="J468" t="s">
        <v>48</v>
      </c>
      <c r="K468" s="4">
        <v>46200</v>
      </c>
      <c r="L468" s="4">
        <v>46380</v>
      </c>
      <c r="M468" t="s">
        <v>64</v>
      </c>
      <c r="N468" t="s">
        <v>55</v>
      </c>
      <c r="O468">
        <v>4</v>
      </c>
      <c r="P468" t="s">
        <v>50</v>
      </c>
      <c r="Q468" s="4">
        <v>46197</v>
      </c>
      <c r="R468" t="s">
        <v>38</v>
      </c>
      <c r="S468" t="s">
        <v>3155</v>
      </c>
      <c r="T468" t="s">
        <v>3153</v>
      </c>
      <c r="U468" t="s">
        <v>55</v>
      </c>
      <c r="V468" t="s">
        <v>3152</v>
      </c>
    </row>
    <row r="469" spans="1:22" x14ac:dyDescent="0.2">
      <c r="A469" t="s">
        <v>999</v>
      </c>
      <c r="B469" t="s">
        <v>1000</v>
      </c>
      <c r="C469" t="s">
        <v>31</v>
      </c>
      <c r="D469" t="s">
        <v>87</v>
      </c>
      <c r="E469" t="s">
        <v>105</v>
      </c>
      <c r="F469" t="s">
        <v>45</v>
      </c>
      <c r="G469" t="s">
        <v>46</v>
      </c>
      <c r="H469" t="s">
        <v>47</v>
      </c>
      <c r="I469" t="s">
        <v>106</v>
      </c>
      <c r="J469" t="s">
        <v>37</v>
      </c>
      <c r="K469" s="4">
        <v>45981</v>
      </c>
      <c r="L469" s="4">
        <v>46071</v>
      </c>
      <c r="M469" t="s">
        <v>38</v>
      </c>
      <c r="N469" t="s">
        <v>75</v>
      </c>
      <c r="O469">
        <v>2</v>
      </c>
      <c r="P469" t="s">
        <v>106</v>
      </c>
      <c r="Q469" s="4">
        <v>46304</v>
      </c>
      <c r="R469" t="s">
        <v>64</v>
      </c>
      <c r="S469" t="s">
        <v>38</v>
      </c>
      <c r="T469" t="s">
        <v>3153</v>
      </c>
      <c r="U469" t="s">
        <v>75</v>
      </c>
      <c r="V469" t="s">
        <v>3154</v>
      </c>
    </row>
    <row r="470" spans="1:22" x14ac:dyDescent="0.2">
      <c r="A470" t="s">
        <v>1001</v>
      </c>
      <c r="B470" t="s">
        <v>1002</v>
      </c>
      <c r="C470" t="s">
        <v>96</v>
      </c>
      <c r="D470" t="s">
        <v>97</v>
      </c>
      <c r="E470" t="s">
        <v>80</v>
      </c>
      <c r="F470" t="s">
        <v>45</v>
      </c>
      <c r="G470" t="s">
        <v>61</v>
      </c>
      <c r="H470" t="s">
        <v>88</v>
      </c>
      <c r="I470" t="s">
        <v>50</v>
      </c>
      <c r="J470" t="s">
        <v>48</v>
      </c>
      <c r="K470" s="4">
        <v>46002</v>
      </c>
      <c r="L470" s="4">
        <v>46182</v>
      </c>
      <c r="M470" t="s">
        <v>38</v>
      </c>
      <c r="N470" t="s">
        <v>55</v>
      </c>
      <c r="O470">
        <v>0</v>
      </c>
      <c r="P470" t="s">
        <v>111</v>
      </c>
      <c r="Q470" s="4">
        <v>46322</v>
      </c>
      <c r="R470" t="s">
        <v>57</v>
      </c>
      <c r="S470" t="s">
        <v>38</v>
      </c>
      <c r="T470" t="s">
        <v>3153</v>
      </c>
      <c r="U470" t="s">
        <v>55</v>
      </c>
      <c r="V470" t="s">
        <v>3154</v>
      </c>
    </row>
    <row r="471" spans="1:22" x14ac:dyDescent="0.2">
      <c r="A471" t="s">
        <v>1003</v>
      </c>
      <c r="B471" t="s">
        <v>1004</v>
      </c>
      <c r="C471" t="s">
        <v>96</v>
      </c>
      <c r="D471" t="s">
        <v>97</v>
      </c>
      <c r="E471" t="s">
        <v>105</v>
      </c>
      <c r="F471" t="s">
        <v>67</v>
      </c>
      <c r="G471" t="s">
        <v>68</v>
      </c>
      <c r="H471" t="s">
        <v>98</v>
      </c>
      <c r="I471" t="s">
        <v>106</v>
      </c>
      <c r="J471" t="s">
        <v>63</v>
      </c>
      <c r="K471" s="4">
        <v>45944</v>
      </c>
      <c r="L471" s="4">
        <v>46309</v>
      </c>
      <c r="M471" t="s">
        <v>64</v>
      </c>
      <c r="N471" t="s">
        <v>75</v>
      </c>
      <c r="O471">
        <v>4</v>
      </c>
      <c r="P471" t="s">
        <v>70</v>
      </c>
      <c r="Q471" s="4">
        <v>46190</v>
      </c>
      <c r="R471" t="s">
        <v>38</v>
      </c>
      <c r="S471" t="s">
        <v>3155</v>
      </c>
      <c r="T471" t="s">
        <v>3153</v>
      </c>
      <c r="U471" t="s">
        <v>75</v>
      </c>
      <c r="V471" t="s">
        <v>3152</v>
      </c>
    </row>
    <row r="472" spans="1:22" x14ac:dyDescent="0.2">
      <c r="A472" t="s">
        <v>1005</v>
      </c>
      <c r="B472" t="s">
        <v>1006</v>
      </c>
      <c r="C472" t="s">
        <v>103</v>
      </c>
      <c r="D472" t="s">
        <v>104</v>
      </c>
      <c r="E472" t="s">
        <v>105</v>
      </c>
      <c r="F472" t="s">
        <v>34</v>
      </c>
      <c r="G472" t="s">
        <v>35</v>
      </c>
      <c r="H472" t="s">
        <v>47</v>
      </c>
      <c r="J472" t="s">
        <v>37</v>
      </c>
      <c r="K472" s="4">
        <v>45993</v>
      </c>
      <c r="L472" s="4">
        <v>46083</v>
      </c>
      <c r="M472" t="s">
        <v>38</v>
      </c>
      <c r="N472" t="s">
        <v>75</v>
      </c>
      <c r="O472">
        <v>0</v>
      </c>
      <c r="P472" t="s">
        <v>70</v>
      </c>
      <c r="Q472" s="4">
        <v>46320</v>
      </c>
      <c r="R472" t="s">
        <v>57</v>
      </c>
      <c r="S472" t="s">
        <v>38</v>
      </c>
      <c r="T472" t="s">
        <v>3150</v>
      </c>
      <c r="U472" t="s">
        <v>75</v>
      </c>
      <c r="V472" t="s">
        <v>3154</v>
      </c>
    </row>
    <row r="473" spans="1:22" x14ac:dyDescent="0.2">
      <c r="A473" t="s">
        <v>1007</v>
      </c>
      <c r="B473" t="s">
        <v>1008</v>
      </c>
      <c r="C473" t="s">
        <v>96</v>
      </c>
      <c r="D473" t="s">
        <v>97</v>
      </c>
      <c r="E473" t="s">
        <v>60</v>
      </c>
      <c r="F473" t="s">
        <v>67</v>
      </c>
      <c r="G473" t="s">
        <v>68</v>
      </c>
      <c r="H473" t="s">
        <v>88</v>
      </c>
      <c r="I473" t="s">
        <v>54</v>
      </c>
      <c r="J473" t="s">
        <v>63</v>
      </c>
      <c r="K473" s="4">
        <v>45875</v>
      </c>
      <c r="L473" s="4">
        <v>46055</v>
      </c>
      <c r="M473" t="s">
        <v>38</v>
      </c>
      <c r="N473" t="s">
        <v>55</v>
      </c>
      <c r="O473">
        <v>0</v>
      </c>
      <c r="P473" t="s">
        <v>70</v>
      </c>
      <c r="Q473" s="4">
        <v>46157</v>
      </c>
      <c r="R473" t="s">
        <v>57</v>
      </c>
      <c r="S473" t="s">
        <v>38</v>
      </c>
      <c r="T473" t="s">
        <v>3153</v>
      </c>
      <c r="U473" t="s">
        <v>55</v>
      </c>
      <c r="V473" t="s">
        <v>3154</v>
      </c>
    </row>
    <row r="474" spans="1:22" x14ac:dyDescent="0.2">
      <c r="A474" t="s">
        <v>1009</v>
      </c>
      <c r="B474" t="s">
        <v>1010</v>
      </c>
      <c r="C474" t="s">
        <v>78</v>
      </c>
      <c r="D474" t="s">
        <v>79</v>
      </c>
      <c r="E474" t="s">
        <v>44</v>
      </c>
      <c r="F474" t="s">
        <v>34</v>
      </c>
      <c r="G474" t="s">
        <v>35</v>
      </c>
      <c r="H474" t="s">
        <v>88</v>
      </c>
      <c r="I474" t="s">
        <v>39</v>
      </c>
      <c r="J474" t="s">
        <v>37</v>
      </c>
      <c r="K474" s="4">
        <v>45810</v>
      </c>
      <c r="L474" s="4">
        <v>46175</v>
      </c>
      <c r="M474" t="s">
        <v>38</v>
      </c>
      <c r="N474" t="s">
        <v>75</v>
      </c>
      <c r="O474">
        <v>3</v>
      </c>
      <c r="P474" t="s">
        <v>106</v>
      </c>
      <c r="Q474" s="4">
        <v>46190</v>
      </c>
      <c r="R474" t="s">
        <v>38</v>
      </c>
      <c r="S474" t="s">
        <v>38</v>
      </c>
      <c r="T474" t="s">
        <v>3153</v>
      </c>
      <c r="U474" t="s">
        <v>75</v>
      </c>
      <c r="V474" t="s">
        <v>3154</v>
      </c>
    </row>
    <row r="475" spans="1:22" x14ac:dyDescent="0.2">
      <c r="A475" t="s">
        <v>1011</v>
      </c>
      <c r="B475" t="s">
        <v>1012</v>
      </c>
      <c r="C475" t="s">
        <v>78</v>
      </c>
      <c r="D475" t="s">
        <v>79</v>
      </c>
      <c r="E475" t="s">
        <v>53</v>
      </c>
      <c r="F475" t="s">
        <v>45</v>
      </c>
      <c r="G475" t="s">
        <v>61</v>
      </c>
      <c r="H475" t="s">
        <v>88</v>
      </c>
      <c r="I475" t="s">
        <v>111</v>
      </c>
      <c r="J475" t="s">
        <v>37</v>
      </c>
      <c r="K475" s="4">
        <v>45828</v>
      </c>
      <c r="L475" s="4">
        <v>46193</v>
      </c>
      <c r="M475" t="s">
        <v>38</v>
      </c>
      <c r="N475" t="s">
        <v>55</v>
      </c>
      <c r="O475">
        <v>1</v>
      </c>
      <c r="P475" t="s">
        <v>56</v>
      </c>
      <c r="Q475" s="4">
        <v>46342</v>
      </c>
      <c r="R475" t="s">
        <v>84</v>
      </c>
      <c r="S475" t="s">
        <v>38</v>
      </c>
      <c r="T475" t="s">
        <v>3153</v>
      </c>
      <c r="U475" t="s">
        <v>55</v>
      </c>
      <c r="V475" t="s">
        <v>3154</v>
      </c>
    </row>
    <row r="476" spans="1:22" x14ac:dyDescent="0.2">
      <c r="A476" t="s">
        <v>1013</v>
      </c>
      <c r="B476" t="s">
        <v>1014</v>
      </c>
      <c r="C476" t="s">
        <v>103</v>
      </c>
      <c r="D476" t="s">
        <v>104</v>
      </c>
      <c r="E476" t="s">
        <v>91</v>
      </c>
      <c r="F476" t="s">
        <v>45</v>
      </c>
      <c r="G476" t="s">
        <v>61</v>
      </c>
      <c r="H476" t="s">
        <v>36</v>
      </c>
      <c r="I476" t="s">
        <v>50</v>
      </c>
      <c r="J476" t="s">
        <v>37</v>
      </c>
      <c r="K476" s="4">
        <v>45848</v>
      </c>
      <c r="L476" s="4">
        <v>46213</v>
      </c>
      <c r="M476" t="s">
        <v>38</v>
      </c>
      <c r="N476" t="s">
        <v>49</v>
      </c>
      <c r="O476">
        <v>0</v>
      </c>
      <c r="P476" t="s">
        <v>106</v>
      </c>
      <c r="Q476" s="4">
        <v>46188</v>
      </c>
      <c r="R476" t="s">
        <v>57</v>
      </c>
      <c r="S476" t="s">
        <v>38</v>
      </c>
      <c r="T476" t="s">
        <v>3153</v>
      </c>
      <c r="U476" t="s">
        <v>49</v>
      </c>
      <c r="V476" t="s">
        <v>3152</v>
      </c>
    </row>
    <row r="477" spans="1:22" x14ac:dyDescent="0.2">
      <c r="A477" t="s">
        <v>1015</v>
      </c>
      <c r="B477" t="s">
        <v>1016</v>
      </c>
      <c r="C477" t="s">
        <v>31</v>
      </c>
      <c r="D477" t="s">
        <v>83</v>
      </c>
      <c r="E477" t="s">
        <v>105</v>
      </c>
      <c r="F477" t="s">
        <v>45</v>
      </c>
      <c r="G477" t="s">
        <v>61</v>
      </c>
      <c r="H477" t="s">
        <v>47</v>
      </c>
      <c r="I477" t="s">
        <v>56</v>
      </c>
      <c r="J477" t="s">
        <v>48</v>
      </c>
      <c r="K477" s="4">
        <v>46063</v>
      </c>
      <c r="L477" s="4">
        <v>46153</v>
      </c>
      <c r="M477" t="s">
        <v>38</v>
      </c>
      <c r="N477" t="s">
        <v>49</v>
      </c>
      <c r="O477">
        <v>3</v>
      </c>
      <c r="P477" t="s">
        <v>62</v>
      </c>
      <c r="Q477" s="4">
        <v>46405</v>
      </c>
      <c r="R477" t="s">
        <v>84</v>
      </c>
      <c r="S477" t="s">
        <v>38</v>
      </c>
      <c r="T477" t="s">
        <v>3153</v>
      </c>
      <c r="U477" t="s">
        <v>49</v>
      </c>
      <c r="V477" t="s">
        <v>3154</v>
      </c>
    </row>
    <row r="478" spans="1:22" x14ac:dyDescent="0.2">
      <c r="A478" t="s">
        <v>1017</v>
      </c>
      <c r="B478" t="s">
        <v>1018</v>
      </c>
      <c r="C478" t="s">
        <v>103</v>
      </c>
      <c r="D478" t="s">
        <v>104</v>
      </c>
      <c r="E478" t="s">
        <v>105</v>
      </c>
      <c r="F478" t="s">
        <v>67</v>
      </c>
      <c r="G478" t="s">
        <v>118</v>
      </c>
      <c r="H478" t="s">
        <v>36</v>
      </c>
      <c r="I478" t="s">
        <v>56</v>
      </c>
      <c r="J478" t="s">
        <v>48</v>
      </c>
      <c r="K478" s="4">
        <v>45848</v>
      </c>
      <c r="L478" s="4">
        <v>46213</v>
      </c>
      <c r="M478" t="s">
        <v>38</v>
      </c>
      <c r="N478" t="s">
        <v>75</v>
      </c>
      <c r="O478">
        <v>3</v>
      </c>
      <c r="P478" t="s">
        <v>50</v>
      </c>
      <c r="Q478" s="4">
        <v>46401</v>
      </c>
      <c r="R478" t="s">
        <v>84</v>
      </c>
      <c r="S478" t="s">
        <v>38</v>
      </c>
      <c r="T478" t="s">
        <v>3153</v>
      </c>
      <c r="U478" t="s">
        <v>75</v>
      </c>
      <c r="V478" t="s">
        <v>3152</v>
      </c>
    </row>
    <row r="479" spans="1:22" x14ac:dyDescent="0.2">
      <c r="A479" t="s">
        <v>1019</v>
      </c>
      <c r="B479" t="s">
        <v>1020</v>
      </c>
      <c r="C479" t="s">
        <v>103</v>
      </c>
      <c r="D479" t="s">
        <v>104</v>
      </c>
      <c r="E479" t="s">
        <v>91</v>
      </c>
      <c r="F479" t="s">
        <v>67</v>
      </c>
      <c r="G479" t="s">
        <v>118</v>
      </c>
      <c r="H479" t="s">
        <v>36</v>
      </c>
      <c r="I479" t="s">
        <v>111</v>
      </c>
      <c r="J479" t="s">
        <v>48</v>
      </c>
      <c r="K479" s="4">
        <v>46212</v>
      </c>
      <c r="L479" s="4">
        <v>46577</v>
      </c>
      <c r="M479" t="s">
        <v>69</v>
      </c>
      <c r="N479" t="s">
        <v>75</v>
      </c>
      <c r="O479">
        <v>1</v>
      </c>
      <c r="P479" t="s">
        <v>56</v>
      </c>
      <c r="Q479" s="4">
        <v>46366</v>
      </c>
      <c r="R479" t="s">
        <v>84</v>
      </c>
      <c r="S479" t="s">
        <v>3155</v>
      </c>
      <c r="T479" t="s">
        <v>3153</v>
      </c>
      <c r="U479" t="s">
        <v>75</v>
      </c>
      <c r="V479" t="s">
        <v>3152</v>
      </c>
    </row>
    <row r="480" spans="1:22" x14ac:dyDescent="0.2">
      <c r="A480" t="s">
        <v>1021</v>
      </c>
      <c r="B480" t="s">
        <v>1022</v>
      </c>
      <c r="C480" t="s">
        <v>31</v>
      </c>
      <c r="D480" t="s">
        <v>32</v>
      </c>
      <c r="E480" t="s">
        <v>60</v>
      </c>
      <c r="F480" t="s">
        <v>67</v>
      </c>
      <c r="G480" t="s">
        <v>68</v>
      </c>
      <c r="H480" t="s">
        <v>36</v>
      </c>
      <c r="I480" t="s">
        <v>111</v>
      </c>
      <c r="J480" t="s">
        <v>63</v>
      </c>
      <c r="K480" s="4">
        <v>45986</v>
      </c>
      <c r="L480" s="4">
        <v>46166</v>
      </c>
      <c r="M480" t="s">
        <v>38</v>
      </c>
      <c r="N480" t="s">
        <v>75</v>
      </c>
      <c r="O480">
        <v>5</v>
      </c>
      <c r="P480" t="s">
        <v>39</v>
      </c>
      <c r="Q480" s="4">
        <v>46358</v>
      </c>
      <c r="R480" t="s">
        <v>84</v>
      </c>
      <c r="S480" t="s">
        <v>38</v>
      </c>
      <c r="T480" t="s">
        <v>3153</v>
      </c>
      <c r="U480" t="s">
        <v>75</v>
      </c>
      <c r="V480" t="s">
        <v>3152</v>
      </c>
    </row>
    <row r="481" spans="1:22" x14ac:dyDescent="0.2">
      <c r="A481" t="s">
        <v>1023</v>
      </c>
      <c r="B481" t="s">
        <v>1024</v>
      </c>
      <c r="C481" t="s">
        <v>73</v>
      </c>
      <c r="D481" t="s">
        <v>74</v>
      </c>
      <c r="E481" t="s">
        <v>60</v>
      </c>
      <c r="F481" t="s">
        <v>67</v>
      </c>
      <c r="G481" t="s">
        <v>68</v>
      </c>
      <c r="H481" t="s">
        <v>47</v>
      </c>
      <c r="I481" t="s">
        <v>106</v>
      </c>
      <c r="J481" t="s">
        <v>63</v>
      </c>
      <c r="K481" s="4">
        <v>46039</v>
      </c>
      <c r="L481" s="4">
        <v>46404</v>
      </c>
      <c r="M481" t="s">
        <v>64</v>
      </c>
      <c r="N481" t="s">
        <v>55</v>
      </c>
      <c r="O481">
        <v>0</v>
      </c>
      <c r="P481" t="s">
        <v>106</v>
      </c>
      <c r="Q481" s="4">
        <v>46254</v>
      </c>
      <c r="R481" t="s">
        <v>57</v>
      </c>
      <c r="S481" t="s">
        <v>3155</v>
      </c>
      <c r="T481" t="s">
        <v>3153</v>
      </c>
      <c r="U481" t="s">
        <v>55</v>
      </c>
      <c r="V481" t="s">
        <v>3154</v>
      </c>
    </row>
    <row r="482" spans="1:22" x14ac:dyDescent="0.2">
      <c r="A482" t="s">
        <v>1025</v>
      </c>
      <c r="B482" t="s">
        <v>1026</v>
      </c>
      <c r="C482" t="s">
        <v>31</v>
      </c>
      <c r="D482" t="s">
        <v>83</v>
      </c>
      <c r="E482" t="s">
        <v>53</v>
      </c>
      <c r="F482" t="s">
        <v>45</v>
      </c>
      <c r="G482" t="s">
        <v>61</v>
      </c>
      <c r="H482" t="s">
        <v>88</v>
      </c>
      <c r="I482" t="s">
        <v>70</v>
      </c>
      <c r="J482" t="s">
        <v>37</v>
      </c>
      <c r="K482" s="4">
        <v>46012</v>
      </c>
      <c r="L482" s="4">
        <v>46102</v>
      </c>
      <c r="M482" t="s">
        <v>38</v>
      </c>
      <c r="N482" t="s">
        <v>49</v>
      </c>
      <c r="O482">
        <v>1</v>
      </c>
      <c r="P482" t="s">
        <v>106</v>
      </c>
      <c r="Q482" s="4">
        <v>46163</v>
      </c>
      <c r="R482" t="s">
        <v>38</v>
      </c>
      <c r="S482" t="s">
        <v>38</v>
      </c>
      <c r="T482" t="s">
        <v>3153</v>
      </c>
      <c r="U482" t="s">
        <v>49</v>
      </c>
      <c r="V482" t="s">
        <v>3154</v>
      </c>
    </row>
    <row r="483" spans="1:22" x14ac:dyDescent="0.2">
      <c r="A483" t="s">
        <v>1027</v>
      </c>
      <c r="B483" t="s">
        <v>1028</v>
      </c>
      <c r="C483" t="s">
        <v>96</v>
      </c>
      <c r="D483" t="s">
        <v>97</v>
      </c>
      <c r="E483" t="s">
        <v>53</v>
      </c>
      <c r="F483" t="s">
        <v>34</v>
      </c>
      <c r="G483" t="s">
        <v>35</v>
      </c>
      <c r="H483" t="s">
        <v>88</v>
      </c>
      <c r="I483" t="s">
        <v>106</v>
      </c>
      <c r="J483" t="s">
        <v>37</v>
      </c>
      <c r="K483" s="4">
        <v>46226</v>
      </c>
      <c r="L483" s="4">
        <v>46591</v>
      </c>
      <c r="M483" t="s">
        <v>84</v>
      </c>
      <c r="N483" t="s">
        <v>55</v>
      </c>
      <c r="O483">
        <v>1</v>
      </c>
      <c r="P483" t="s">
        <v>50</v>
      </c>
      <c r="Q483" s="4">
        <v>46380</v>
      </c>
      <c r="R483" t="s">
        <v>64</v>
      </c>
      <c r="S483" t="s">
        <v>3155</v>
      </c>
      <c r="T483" t="s">
        <v>3153</v>
      </c>
      <c r="U483" t="s">
        <v>55</v>
      </c>
      <c r="V483" t="s">
        <v>3154</v>
      </c>
    </row>
    <row r="484" spans="1:22" x14ac:dyDescent="0.2">
      <c r="A484" t="s">
        <v>1029</v>
      </c>
      <c r="B484" t="s">
        <v>1030</v>
      </c>
      <c r="C484" t="s">
        <v>96</v>
      </c>
      <c r="D484" t="s">
        <v>97</v>
      </c>
      <c r="E484" t="s">
        <v>44</v>
      </c>
      <c r="F484" t="s">
        <v>45</v>
      </c>
      <c r="G484" t="s">
        <v>46</v>
      </c>
      <c r="H484" t="s">
        <v>88</v>
      </c>
      <c r="I484" t="s">
        <v>54</v>
      </c>
      <c r="J484" t="s">
        <v>48</v>
      </c>
      <c r="K484" s="4">
        <v>45868</v>
      </c>
      <c r="L484" s="4">
        <v>46233</v>
      </c>
      <c r="M484" t="s">
        <v>38</v>
      </c>
      <c r="N484" t="s">
        <v>49</v>
      </c>
      <c r="O484">
        <v>0</v>
      </c>
      <c r="P484" t="s">
        <v>50</v>
      </c>
      <c r="Q484" s="4">
        <v>46328</v>
      </c>
      <c r="R484" t="s">
        <v>57</v>
      </c>
      <c r="S484" t="s">
        <v>38</v>
      </c>
      <c r="T484" t="s">
        <v>3153</v>
      </c>
      <c r="U484" t="s">
        <v>49</v>
      </c>
      <c r="V484" t="s">
        <v>3154</v>
      </c>
    </row>
    <row r="485" spans="1:22" x14ac:dyDescent="0.2">
      <c r="A485" t="s">
        <v>1031</v>
      </c>
      <c r="B485" t="s">
        <v>1032</v>
      </c>
      <c r="C485" t="s">
        <v>31</v>
      </c>
      <c r="D485" t="s">
        <v>32</v>
      </c>
      <c r="E485" t="s">
        <v>53</v>
      </c>
      <c r="F485" t="s">
        <v>45</v>
      </c>
      <c r="G485" t="s">
        <v>61</v>
      </c>
      <c r="H485" t="s">
        <v>88</v>
      </c>
      <c r="I485" t="s">
        <v>106</v>
      </c>
      <c r="J485" t="s">
        <v>48</v>
      </c>
      <c r="K485" s="4">
        <v>46204</v>
      </c>
      <c r="L485" s="4">
        <v>46384</v>
      </c>
      <c r="M485" t="s">
        <v>69</v>
      </c>
      <c r="N485" t="s">
        <v>55</v>
      </c>
      <c r="O485">
        <v>2</v>
      </c>
      <c r="P485" t="s">
        <v>50</v>
      </c>
      <c r="Q485" s="4">
        <v>46129</v>
      </c>
      <c r="R485" t="s">
        <v>38</v>
      </c>
      <c r="S485" t="s">
        <v>3155</v>
      </c>
      <c r="T485" t="s">
        <v>3153</v>
      </c>
      <c r="U485" t="s">
        <v>55</v>
      </c>
      <c r="V485" t="s">
        <v>3154</v>
      </c>
    </row>
    <row r="486" spans="1:22" x14ac:dyDescent="0.2">
      <c r="A486" t="s">
        <v>1033</v>
      </c>
      <c r="B486" t="s">
        <v>1034</v>
      </c>
      <c r="C486" t="s">
        <v>78</v>
      </c>
      <c r="D486" t="s">
        <v>79</v>
      </c>
      <c r="E486" t="s">
        <v>53</v>
      </c>
      <c r="F486" t="s">
        <v>34</v>
      </c>
      <c r="G486" t="s">
        <v>35</v>
      </c>
      <c r="H486" t="s">
        <v>47</v>
      </c>
      <c r="I486" t="s">
        <v>50</v>
      </c>
      <c r="J486" t="s">
        <v>48</v>
      </c>
      <c r="K486" s="4">
        <v>46235</v>
      </c>
      <c r="L486" s="4">
        <v>46415</v>
      </c>
      <c r="M486" t="s">
        <v>84</v>
      </c>
      <c r="N486" t="s">
        <v>55</v>
      </c>
      <c r="O486">
        <v>0</v>
      </c>
      <c r="P486" t="s">
        <v>70</v>
      </c>
      <c r="Q486" s="4">
        <v>46362</v>
      </c>
      <c r="R486" t="s">
        <v>57</v>
      </c>
      <c r="S486" t="s">
        <v>3155</v>
      </c>
      <c r="T486" t="s">
        <v>3153</v>
      </c>
      <c r="U486" t="s">
        <v>55</v>
      </c>
      <c r="V486" t="s">
        <v>3154</v>
      </c>
    </row>
    <row r="487" spans="1:22" x14ac:dyDescent="0.2">
      <c r="A487" t="s">
        <v>1035</v>
      </c>
      <c r="B487" t="s">
        <v>1036</v>
      </c>
      <c r="C487" t="s">
        <v>103</v>
      </c>
      <c r="D487" t="s">
        <v>104</v>
      </c>
      <c r="E487" t="s">
        <v>80</v>
      </c>
      <c r="F487" t="s">
        <v>45</v>
      </c>
      <c r="G487" t="s">
        <v>46</v>
      </c>
      <c r="H487" t="s">
        <v>47</v>
      </c>
      <c r="I487" t="s">
        <v>56</v>
      </c>
      <c r="J487" t="s">
        <v>48</v>
      </c>
      <c r="K487" s="4">
        <v>46253</v>
      </c>
      <c r="L487" s="4">
        <v>46343</v>
      </c>
      <c r="M487" t="s">
        <v>64</v>
      </c>
      <c r="N487" t="s">
        <v>55</v>
      </c>
      <c r="O487">
        <v>0</v>
      </c>
      <c r="P487" t="s">
        <v>50</v>
      </c>
      <c r="Q487" s="4">
        <v>46178</v>
      </c>
      <c r="R487" t="s">
        <v>57</v>
      </c>
      <c r="S487" t="s">
        <v>3155</v>
      </c>
      <c r="T487" t="s">
        <v>3153</v>
      </c>
      <c r="U487" t="s">
        <v>55</v>
      </c>
      <c r="V487" t="s">
        <v>3154</v>
      </c>
    </row>
    <row r="488" spans="1:22" x14ac:dyDescent="0.2">
      <c r="A488" t="s">
        <v>1037</v>
      </c>
      <c r="B488" t="s">
        <v>1038</v>
      </c>
      <c r="C488" t="s">
        <v>103</v>
      </c>
      <c r="D488" t="s">
        <v>104</v>
      </c>
      <c r="E488" t="s">
        <v>105</v>
      </c>
      <c r="F488" t="s">
        <v>34</v>
      </c>
      <c r="G488" t="s">
        <v>35</v>
      </c>
      <c r="H488" t="s">
        <v>47</v>
      </c>
      <c r="I488" t="s">
        <v>56</v>
      </c>
      <c r="J488" t="s">
        <v>63</v>
      </c>
      <c r="K488" s="4">
        <v>45979</v>
      </c>
      <c r="L488" s="4">
        <v>46159</v>
      </c>
      <c r="M488" t="s">
        <v>38</v>
      </c>
      <c r="N488" t="s">
        <v>75</v>
      </c>
      <c r="O488">
        <v>1</v>
      </c>
      <c r="P488" t="s">
        <v>70</v>
      </c>
      <c r="Q488" s="4">
        <v>46371</v>
      </c>
      <c r="R488" t="s">
        <v>84</v>
      </c>
      <c r="S488" t="s">
        <v>38</v>
      </c>
      <c r="T488" t="s">
        <v>3153</v>
      </c>
      <c r="U488" t="s">
        <v>75</v>
      </c>
      <c r="V488" t="s">
        <v>3154</v>
      </c>
    </row>
    <row r="489" spans="1:22" x14ac:dyDescent="0.2">
      <c r="A489" t="s">
        <v>1039</v>
      </c>
      <c r="B489" t="s">
        <v>1040</v>
      </c>
      <c r="C489" t="s">
        <v>103</v>
      </c>
      <c r="D489" t="s">
        <v>104</v>
      </c>
      <c r="E489" t="s">
        <v>60</v>
      </c>
      <c r="F489" t="s">
        <v>45</v>
      </c>
      <c r="G489" t="s">
        <v>46</v>
      </c>
      <c r="H489" t="s">
        <v>47</v>
      </c>
      <c r="I489" t="s">
        <v>54</v>
      </c>
      <c r="J489" t="s">
        <v>63</v>
      </c>
      <c r="K489" s="4">
        <v>46131</v>
      </c>
      <c r="L489" s="4">
        <v>46221</v>
      </c>
      <c r="M489" t="s">
        <v>38</v>
      </c>
      <c r="N489" t="s">
        <v>49</v>
      </c>
      <c r="O489">
        <v>0</v>
      </c>
      <c r="P489" t="s">
        <v>111</v>
      </c>
      <c r="Q489" s="4">
        <v>46165</v>
      </c>
      <c r="R489" t="s">
        <v>57</v>
      </c>
      <c r="S489" t="s">
        <v>38</v>
      </c>
      <c r="T489" t="s">
        <v>3153</v>
      </c>
      <c r="U489" t="s">
        <v>49</v>
      </c>
      <c r="V489" t="s">
        <v>3154</v>
      </c>
    </row>
    <row r="490" spans="1:22" x14ac:dyDescent="0.2">
      <c r="A490" t="s">
        <v>1041</v>
      </c>
      <c r="B490" t="s">
        <v>1042</v>
      </c>
      <c r="C490" t="s">
        <v>73</v>
      </c>
      <c r="D490" t="s">
        <v>74</v>
      </c>
      <c r="E490" t="s">
        <v>80</v>
      </c>
      <c r="F490" t="s">
        <v>67</v>
      </c>
      <c r="G490" t="s">
        <v>68</v>
      </c>
      <c r="H490" t="s">
        <v>88</v>
      </c>
      <c r="I490" t="s">
        <v>70</v>
      </c>
      <c r="J490" t="s">
        <v>37</v>
      </c>
      <c r="K490" s="4">
        <v>46183</v>
      </c>
      <c r="L490" s="4">
        <v>46363</v>
      </c>
      <c r="M490" t="s">
        <v>69</v>
      </c>
      <c r="N490" t="s">
        <v>55</v>
      </c>
      <c r="O490">
        <v>1</v>
      </c>
      <c r="P490" t="s">
        <v>70</v>
      </c>
      <c r="Q490" s="4">
        <v>46323</v>
      </c>
      <c r="R490" t="s">
        <v>64</v>
      </c>
      <c r="S490" t="s">
        <v>3155</v>
      </c>
      <c r="T490" t="s">
        <v>3153</v>
      </c>
      <c r="U490" t="s">
        <v>55</v>
      </c>
      <c r="V490" t="s">
        <v>3154</v>
      </c>
    </row>
    <row r="491" spans="1:22" x14ac:dyDescent="0.2">
      <c r="A491" t="s">
        <v>1043</v>
      </c>
      <c r="B491" t="s">
        <v>1044</v>
      </c>
      <c r="C491" t="s">
        <v>96</v>
      </c>
      <c r="D491" t="s">
        <v>97</v>
      </c>
      <c r="E491" t="s">
        <v>80</v>
      </c>
      <c r="F491" t="s">
        <v>34</v>
      </c>
      <c r="G491" t="s">
        <v>35</v>
      </c>
      <c r="H491" t="s">
        <v>36</v>
      </c>
      <c r="I491" t="s">
        <v>56</v>
      </c>
      <c r="J491" t="s">
        <v>63</v>
      </c>
      <c r="K491" s="4">
        <v>45990</v>
      </c>
      <c r="L491" s="4">
        <v>46355</v>
      </c>
      <c r="M491" t="s">
        <v>64</v>
      </c>
      <c r="N491" t="s">
        <v>75</v>
      </c>
      <c r="O491">
        <v>3</v>
      </c>
      <c r="P491" t="s">
        <v>56</v>
      </c>
      <c r="Q491" s="4">
        <v>46174</v>
      </c>
      <c r="R491" t="s">
        <v>38</v>
      </c>
      <c r="S491" t="s">
        <v>3155</v>
      </c>
      <c r="T491" t="s">
        <v>3153</v>
      </c>
      <c r="U491" t="s">
        <v>75</v>
      </c>
      <c r="V491" t="s">
        <v>3152</v>
      </c>
    </row>
    <row r="492" spans="1:22" x14ac:dyDescent="0.2">
      <c r="A492" t="s">
        <v>1045</v>
      </c>
      <c r="B492" t="s">
        <v>1046</v>
      </c>
      <c r="C492" t="s">
        <v>73</v>
      </c>
      <c r="D492" t="s">
        <v>74</v>
      </c>
      <c r="E492" t="s">
        <v>44</v>
      </c>
      <c r="F492" t="s">
        <v>34</v>
      </c>
      <c r="G492" t="s">
        <v>35</v>
      </c>
      <c r="H492" t="s">
        <v>88</v>
      </c>
      <c r="I492" t="s">
        <v>56</v>
      </c>
      <c r="J492" t="s">
        <v>48</v>
      </c>
      <c r="K492" s="4">
        <v>45838</v>
      </c>
      <c r="L492" s="4">
        <v>46018</v>
      </c>
      <c r="M492" t="s">
        <v>38</v>
      </c>
      <c r="N492" t="s">
        <v>55</v>
      </c>
      <c r="O492">
        <v>0</v>
      </c>
      <c r="P492" t="s">
        <v>111</v>
      </c>
      <c r="Q492" s="4">
        <v>46358</v>
      </c>
      <c r="R492" t="s">
        <v>57</v>
      </c>
      <c r="S492" t="s">
        <v>38</v>
      </c>
      <c r="T492" t="s">
        <v>3153</v>
      </c>
      <c r="U492" t="s">
        <v>55</v>
      </c>
      <c r="V492" t="s">
        <v>3154</v>
      </c>
    </row>
    <row r="493" spans="1:22" x14ac:dyDescent="0.2">
      <c r="A493" t="s">
        <v>1047</v>
      </c>
      <c r="B493" t="s">
        <v>1048</v>
      </c>
      <c r="C493" t="s">
        <v>31</v>
      </c>
      <c r="D493" t="s">
        <v>32</v>
      </c>
      <c r="E493" t="s">
        <v>80</v>
      </c>
      <c r="F493" t="s">
        <v>34</v>
      </c>
      <c r="G493" t="s">
        <v>35</v>
      </c>
      <c r="H493" t="s">
        <v>88</v>
      </c>
      <c r="I493" t="s">
        <v>70</v>
      </c>
      <c r="J493" t="s">
        <v>48</v>
      </c>
      <c r="K493" s="4">
        <v>46214</v>
      </c>
      <c r="L493" s="4">
        <v>46304</v>
      </c>
      <c r="M493" t="s">
        <v>64</v>
      </c>
      <c r="N493" t="s">
        <v>49</v>
      </c>
      <c r="O493">
        <v>0</v>
      </c>
      <c r="P493" t="s">
        <v>106</v>
      </c>
      <c r="Q493" s="4">
        <v>46201</v>
      </c>
      <c r="R493" t="s">
        <v>57</v>
      </c>
      <c r="S493" t="s">
        <v>3155</v>
      </c>
      <c r="T493" t="s">
        <v>3153</v>
      </c>
      <c r="U493" t="s">
        <v>49</v>
      </c>
      <c r="V493" t="s">
        <v>3154</v>
      </c>
    </row>
    <row r="494" spans="1:22" x14ac:dyDescent="0.2">
      <c r="A494" t="s">
        <v>1049</v>
      </c>
      <c r="B494" t="s">
        <v>1050</v>
      </c>
      <c r="C494" t="s">
        <v>78</v>
      </c>
      <c r="D494" t="s">
        <v>79</v>
      </c>
      <c r="E494" t="s">
        <v>105</v>
      </c>
      <c r="F494" t="s">
        <v>45</v>
      </c>
      <c r="G494" t="s">
        <v>61</v>
      </c>
      <c r="H494" t="s">
        <v>47</v>
      </c>
      <c r="I494" t="s">
        <v>62</v>
      </c>
      <c r="J494" t="s">
        <v>63</v>
      </c>
      <c r="K494" s="4">
        <v>45904</v>
      </c>
      <c r="L494" s="4">
        <v>46084</v>
      </c>
      <c r="M494" t="s">
        <v>38</v>
      </c>
      <c r="N494" t="s">
        <v>75</v>
      </c>
      <c r="O494">
        <v>2</v>
      </c>
      <c r="P494" t="s">
        <v>56</v>
      </c>
      <c r="Q494" s="4">
        <v>46319</v>
      </c>
      <c r="R494" t="s">
        <v>84</v>
      </c>
      <c r="S494" t="s">
        <v>38</v>
      </c>
      <c r="T494" t="s">
        <v>3153</v>
      </c>
      <c r="U494" t="s">
        <v>75</v>
      </c>
      <c r="V494" t="s">
        <v>3154</v>
      </c>
    </row>
    <row r="495" spans="1:22" x14ac:dyDescent="0.2">
      <c r="A495" t="s">
        <v>1051</v>
      </c>
      <c r="B495" t="s">
        <v>1052</v>
      </c>
      <c r="C495" t="s">
        <v>31</v>
      </c>
      <c r="D495" t="s">
        <v>87</v>
      </c>
      <c r="E495" t="s">
        <v>105</v>
      </c>
      <c r="F495" t="s">
        <v>45</v>
      </c>
      <c r="G495" t="s">
        <v>61</v>
      </c>
      <c r="H495" t="s">
        <v>47</v>
      </c>
      <c r="I495" t="s">
        <v>111</v>
      </c>
      <c r="J495" t="s">
        <v>48</v>
      </c>
      <c r="K495" s="4">
        <v>46021</v>
      </c>
      <c r="L495" s="4">
        <v>46111</v>
      </c>
      <c r="M495" t="s">
        <v>38</v>
      </c>
      <c r="N495" t="s">
        <v>49</v>
      </c>
      <c r="O495">
        <v>1</v>
      </c>
      <c r="P495" t="s">
        <v>111</v>
      </c>
      <c r="Q495" s="4">
        <v>46130</v>
      </c>
      <c r="R495" t="s">
        <v>64</v>
      </c>
      <c r="S495" t="s">
        <v>38</v>
      </c>
      <c r="T495" t="s">
        <v>3153</v>
      </c>
      <c r="U495" t="s">
        <v>49</v>
      </c>
      <c r="V495" t="s">
        <v>3154</v>
      </c>
    </row>
    <row r="496" spans="1:22" x14ac:dyDescent="0.2">
      <c r="A496" t="s">
        <v>1053</v>
      </c>
      <c r="B496" t="s">
        <v>1054</v>
      </c>
      <c r="C496" t="s">
        <v>96</v>
      </c>
      <c r="D496" t="s">
        <v>97</v>
      </c>
      <c r="E496" t="s">
        <v>44</v>
      </c>
      <c r="F496" t="s">
        <v>34</v>
      </c>
      <c r="G496" t="s">
        <v>35</v>
      </c>
      <c r="H496" t="s">
        <v>88</v>
      </c>
      <c r="I496" t="s">
        <v>106</v>
      </c>
      <c r="J496" t="s">
        <v>63</v>
      </c>
      <c r="K496" s="4">
        <v>46197</v>
      </c>
      <c r="L496" s="4">
        <v>46377</v>
      </c>
      <c r="M496" t="s">
        <v>84</v>
      </c>
      <c r="N496" t="s">
        <v>55</v>
      </c>
      <c r="O496">
        <v>3</v>
      </c>
      <c r="P496" t="s">
        <v>56</v>
      </c>
      <c r="Q496" s="4">
        <v>46353</v>
      </c>
      <c r="R496" t="s">
        <v>64</v>
      </c>
      <c r="S496" t="s">
        <v>3155</v>
      </c>
      <c r="T496" t="s">
        <v>3153</v>
      </c>
      <c r="U496" t="s">
        <v>55</v>
      </c>
      <c r="V496" t="s">
        <v>3154</v>
      </c>
    </row>
    <row r="497" spans="1:22" x14ac:dyDescent="0.2">
      <c r="A497" t="s">
        <v>1055</v>
      </c>
      <c r="B497" t="s">
        <v>1056</v>
      </c>
      <c r="C497" t="s">
        <v>96</v>
      </c>
      <c r="D497" t="s">
        <v>97</v>
      </c>
      <c r="E497" t="s">
        <v>60</v>
      </c>
      <c r="F497" t="s">
        <v>34</v>
      </c>
      <c r="G497" t="s">
        <v>35</v>
      </c>
      <c r="H497" t="s">
        <v>88</v>
      </c>
      <c r="I497" t="s">
        <v>39</v>
      </c>
      <c r="J497" t="s">
        <v>48</v>
      </c>
      <c r="K497" s="4">
        <v>46055</v>
      </c>
      <c r="L497" s="4">
        <v>46145</v>
      </c>
      <c r="M497" t="s">
        <v>38</v>
      </c>
      <c r="N497" t="s">
        <v>75</v>
      </c>
      <c r="O497">
        <v>3</v>
      </c>
      <c r="P497" t="s">
        <v>39</v>
      </c>
      <c r="Q497" s="4">
        <v>46276</v>
      </c>
      <c r="R497" t="s">
        <v>38</v>
      </c>
      <c r="S497" t="s">
        <v>38</v>
      </c>
      <c r="T497" t="s">
        <v>3153</v>
      </c>
      <c r="U497" t="s">
        <v>75</v>
      </c>
      <c r="V497" t="s">
        <v>3154</v>
      </c>
    </row>
    <row r="498" spans="1:22" x14ac:dyDescent="0.2">
      <c r="A498" t="s">
        <v>1057</v>
      </c>
      <c r="B498" t="s">
        <v>1058</v>
      </c>
      <c r="C498" t="s">
        <v>96</v>
      </c>
      <c r="D498" t="s">
        <v>97</v>
      </c>
      <c r="E498" t="s">
        <v>91</v>
      </c>
      <c r="F498" t="s">
        <v>45</v>
      </c>
      <c r="G498" t="s">
        <v>61</v>
      </c>
      <c r="H498" t="s">
        <v>47</v>
      </c>
      <c r="I498" t="s">
        <v>62</v>
      </c>
      <c r="J498" t="s">
        <v>63</v>
      </c>
      <c r="K498" s="4">
        <v>46207</v>
      </c>
      <c r="L498" s="4">
        <v>46387</v>
      </c>
      <c r="M498" t="s">
        <v>69</v>
      </c>
      <c r="N498" t="s">
        <v>55</v>
      </c>
      <c r="O498">
        <v>3</v>
      </c>
      <c r="P498" t="s">
        <v>50</v>
      </c>
      <c r="Q498" s="4">
        <v>46398</v>
      </c>
      <c r="R498" t="s">
        <v>84</v>
      </c>
      <c r="S498" t="s">
        <v>3155</v>
      </c>
      <c r="T498" t="s">
        <v>3153</v>
      </c>
      <c r="U498" t="s">
        <v>55</v>
      </c>
      <c r="V498" t="s">
        <v>3154</v>
      </c>
    </row>
    <row r="499" spans="1:22" x14ac:dyDescent="0.2">
      <c r="A499" t="s">
        <v>1059</v>
      </c>
      <c r="B499" t="s">
        <v>1060</v>
      </c>
      <c r="C499" t="s">
        <v>31</v>
      </c>
      <c r="D499" t="s">
        <v>87</v>
      </c>
      <c r="E499" t="s">
        <v>80</v>
      </c>
      <c r="F499" t="s">
        <v>34</v>
      </c>
      <c r="G499" t="s">
        <v>35</v>
      </c>
      <c r="H499" t="s">
        <v>47</v>
      </c>
      <c r="I499" t="s">
        <v>62</v>
      </c>
      <c r="J499" t="s">
        <v>37</v>
      </c>
      <c r="K499" s="4">
        <v>45960</v>
      </c>
      <c r="L499" s="4">
        <v>46325</v>
      </c>
      <c r="M499" t="s">
        <v>64</v>
      </c>
      <c r="N499" t="s">
        <v>75</v>
      </c>
      <c r="O499">
        <v>2</v>
      </c>
      <c r="P499" t="s">
        <v>106</v>
      </c>
      <c r="Q499" s="4">
        <v>46146</v>
      </c>
      <c r="R499" t="s">
        <v>64</v>
      </c>
      <c r="S499" t="s">
        <v>3155</v>
      </c>
      <c r="T499" t="s">
        <v>3153</v>
      </c>
      <c r="U499" t="s">
        <v>75</v>
      </c>
      <c r="V499" t="s">
        <v>3154</v>
      </c>
    </row>
    <row r="500" spans="1:22" x14ac:dyDescent="0.2">
      <c r="A500" t="s">
        <v>1061</v>
      </c>
      <c r="B500" t="s">
        <v>1062</v>
      </c>
      <c r="C500" t="s">
        <v>103</v>
      </c>
      <c r="D500" t="s">
        <v>104</v>
      </c>
      <c r="E500" t="s">
        <v>91</v>
      </c>
      <c r="F500" t="s">
        <v>34</v>
      </c>
      <c r="G500" t="s">
        <v>35</v>
      </c>
      <c r="H500" t="s">
        <v>88</v>
      </c>
      <c r="I500" t="s">
        <v>70</v>
      </c>
      <c r="J500" t="s">
        <v>48</v>
      </c>
      <c r="K500" s="4">
        <v>46056</v>
      </c>
      <c r="L500" s="4">
        <v>46236</v>
      </c>
      <c r="M500" t="s">
        <v>38</v>
      </c>
      <c r="O500">
        <v>2</v>
      </c>
      <c r="P500" t="s">
        <v>56</v>
      </c>
      <c r="Q500" s="4">
        <v>46325</v>
      </c>
      <c r="R500" t="s">
        <v>84</v>
      </c>
      <c r="S500" t="s">
        <v>38</v>
      </c>
      <c r="T500" t="s">
        <v>3153</v>
      </c>
      <c r="U500" t="s">
        <v>3151</v>
      </c>
      <c r="V500" t="s">
        <v>3154</v>
      </c>
    </row>
    <row r="501" spans="1:22" x14ac:dyDescent="0.2">
      <c r="A501" t="s">
        <v>1063</v>
      </c>
      <c r="B501" t="s">
        <v>1064</v>
      </c>
      <c r="C501" t="s">
        <v>78</v>
      </c>
      <c r="D501" t="s">
        <v>79</v>
      </c>
      <c r="E501" t="s">
        <v>91</v>
      </c>
      <c r="F501" t="s">
        <v>34</v>
      </c>
      <c r="G501" t="s">
        <v>35</v>
      </c>
      <c r="H501" t="s">
        <v>47</v>
      </c>
      <c r="I501" t="s">
        <v>56</v>
      </c>
      <c r="J501" t="s">
        <v>63</v>
      </c>
      <c r="K501" s="4">
        <v>46217</v>
      </c>
      <c r="L501" s="4">
        <v>46397</v>
      </c>
      <c r="M501" t="s">
        <v>64</v>
      </c>
      <c r="N501" t="s">
        <v>49</v>
      </c>
      <c r="O501">
        <v>2</v>
      </c>
      <c r="P501" t="s">
        <v>62</v>
      </c>
      <c r="Q501" s="4">
        <v>46134</v>
      </c>
      <c r="R501" t="s">
        <v>38</v>
      </c>
      <c r="S501" t="s">
        <v>3155</v>
      </c>
      <c r="T501" t="s">
        <v>3153</v>
      </c>
      <c r="U501" t="s">
        <v>49</v>
      </c>
      <c r="V501" t="s">
        <v>3154</v>
      </c>
    </row>
    <row r="502" spans="1:22" x14ac:dyDescent="0.2">
      <c r="A502" t="s">
        <v>1065</v>
      </c>
      <c r="B502" t="s">
        <v>1066</v>
      </c>
      <c r="C502" t="s">
        <v>96</v>
      </c>
      <c r="D502" t="s">
        <v>97</v>
      </c>
      <c r="E502" t="s">
        <v>91</v>
      </c>
      <c r="F502" t="s">
        <v>67</v>
      </c>
      <c r="G502" t="s">
        <v>68</v>
      </c>
      <c r="H502" t="s">
        <v>88</v>
      </c>
      <c r="I502" t="s">
        <v>39</v>
      </c>
      <c r="J502" t="s">
        <v>63</v>
      </c>
      <c r="K502" s="4">
        <v>46113</v>
      </c>
      <c r="L502" s="4">
        <v>46293</v>
      </c>
      <c r="M502" t="s">
        <v>38</v>
      </c>
      <c r="N502" t="s">
        <v>49</v>
      </c>
      <c r="O502">
        <v>3</v>
      </c>
      <c r="P502" t="s">
        <v>54</v>
      </c>
      <c r="Q502" s="4">
        <v>46280</v>
      </c>
      <c r="R502" t="s">
        <v>38</v>
      </c>
      <c r="S502" t="s">
        <v>38</v>
      </c>
      <c r="T502" t="s">
        <v>3153</v>
      </c>
      <c r="U502" t="s">
        <v>49</v>
      </c>
      <c r="V502" t="s">
        <v>3154</v>
      </c>
    </row>
    <row r="503" spans="1:22" x14ac:dyDescent="0.2">
      <c r="A503" t="s">
        <v>1067</v>
      </c>
      <c r="B503" t="s">
        <v>1068</v>
      </c>
      <c r="C503" t="s">
        <v>31</v>
      </c>
      <c r="D503" t="s">
        <v>32</v>
      </c>
      <c r="E503" t="s">
        <v>60</v>
      </c>
      <c r="F503" t="s">
        <v>67</v>
      </c>
      <c r="G503" t="s">
        <v>118</v>
      </c>
      <c r="H503" t="s">
        <v>36</v>
      </c>
      <c r="I503" t="s">
        <v>106</v>
      </c>
      <c r="J503" t="s">
        <v>63</v>
      </c>
      <c r="K503" s="4">
        <v>46190</v>
      </c>
      <c r="L503" s="4">
        <v>46555</v>
      </c>
      <c r="M503" t="s">
        <v>64</v>
      </c>
      <c r="N503" t="s">
        <v>75</v>
      </c>
      <c r="O503">
        <v>1</v>
      </c>
      <c r="P503" t="s">
        <v>54</v>
      </c>
      <c r="Q503" s="4">
        <v>46369</v>
      </c>
      <c r="R503" t="s">
        <v>84</v>
      </c>
      <c r="S503" t="s">
        <v>3155</v>
      </c>
      <c r="T503" t="s">
        <v>3153</v>
      </c>
      <c r="U503" t="s">
        <v>75</v>
      </c>
      <c r="V503" t="s">
        <v>3152</v>
      </c>
    </row>
    <row r="504" spans="1:22" x14ac:dyDescent="0.2">
      <c r="A504" t="s">
        <v>1069</v>
      </c>
      <c r="B504" t="s">
        <v>1070</v>
      </c>
      <c r="C504" t="s">
        <v>31</v>
      </c>
      <c r="D504" t="s">
        <v>32</v>
      </c>
      <c r="E504" t="s">
        <v>105</v>
      </c>
      <c r="F504" t="s">
        <v>67</v>
      </c>
      <c r="G504" t="s">
        <v>118</v>
      </c>
      <c r="H504" t="s">
        <v>47</v>
      </c>
      <c r="I504" t="s">
        <v>62</v>
      </c>
      <c r="J504" t="s">
        <v>37</v>
      </c>
      <c r="K504" s="4">
        <v>45864</v>
      </c>
      <c r="L504" s="4">
        <v>45954</v>
      </c>
      <c r="M504" t="s">
        <v>38</v>
      </c>
      <c r="N504" t="s">
        <v>49</v>
      </c>
      <c r="O504">
        <v>0</v>
      </c>
      <c r="P504" t="s">
        <v>56</v>
      </c>
      <c r="Q504" s="4">
        <v>46411</v>
      </c>
      <c r="R504" t="s">
        <v>57</v>
      </c>
      <c r="S504" t="s">
        <v>38</v>
      </c>
      <c r="T504" t="s">
        <v>3153</v>
      </c>
      <c r="U504" t="s">
        <v>49</v>
      </c>
      <c r="V504" t="s">
        <v>3154</v>
      </c>
    </row>
    <row r="505" spans="1:22" x14ac:dyDescent="0.2">
      <c r="A505" t="s">
        <v>1071</v>
      </c>
      <c r="B505" t="s">
        <v>1072</v>
      </c>
      <c r="C505" t="s">
        <v>73</v>
      </c>
      <c r="D505" t="s">
        <v>74</v>
      </c>
      <c r="E505" t="s">
        <v>80</v>
      </c>
      <c r="F505" t="s">
        <v>45</v>
      </c>
      <c r="G505" t="s">
        <v>61</v>
      </c>
      <c r="H505" t="s">
        <v>47</v>
      </c>
      <c r="I505" t="s">
        <v>70</v>
      </c>
      <c r="J505" t="s">
        <v>37</v>
      </c>
      <c r="K505" s="4">
        <v>45942</v>
      </c>
      <c r="L505" s="4">
        <v>46122</v>
      </c>
      <c r="M505" t="s">
        <v>38</v>
      </c>
      <c r="N505" t="s">
        <v>49</v>
      </c>
      <c r="O505">
        <v>2</v>
      </c>
      <c r="P505" t="s">
        <v>62</v>
      </c>
      <c r="Q505" s="4">
        <v>46336</v>
      </c>
      <c r="R505" t="s">
        <v>84</v>
      </c>
      <c r="S505" t="s">
        <v>38</v>
      </c>
      <c r="T505" t="s">
        <v>3153</v>
      </c>
      <c r="U505" t="s">
        <v>49</v>
      </c>
      <c r="V505" t="s">
        <v>3154</v>
      </c>
    </row>
    <row r="506" spans="1:22" x14ac:dyDescent="0.2">
      <c r="A506" t="s">
        <v>1073</v>
      </c>
      <c r="B506" t="s">
        <v>1074</v>
      </c>
      <c r="C506" t="s">
        <v>96</v>
      </c>
      <c r="D506" t="s">
        <v>97</v>
      </c>
      <c r="E506" t="s">
        <v>91</v>
      </c>
      <c r="F506" t="s">
        <v>67</v>
      </c>
      <c r="G506" t="s">
        <v>118</v>
      </c>
      <c r="H506" t="s">
        <v>36</v>
      </c>
      <c r="I506" t="s">
        <v>50</v>
      </c>
      <c r="J506" t="s">
        <v>63</v>
      </c>
      <c r="K506" s="4">
        <v>45824</v>
      </c>
      <c r="L506" s="4">
        <v>45914</v>
      </c>
      <c r="M506" t="s">
        <v>38</v>
      </c>
      <c r="N506" t="s">
        <v>49</v>
      </c>
      <c r="O506">
        <v>5</v>
      </c>
      <c r="P506" t="s">
        <v>111</v>
      </c>
      <c r="Q506" s="4">
        <v>46379</v>
      </c>
      <c r="R506" t="s">
        <v>84</v>
      </c>
      <c r="S506" t="s">
        <v>38</v>
      </c>
      <c r="T506" t="s">
        <v>3153</v>
      </c>
      <c r="U506" t="s">
        <v>49</v>
      </c>
      <c r="V506" t="s">
        <v>3152</v>
      </c>
    </row>
    <row r="507" spans="1:22" x14ac:dyDescent="0.2">
      <c r="A507" t="s">
        <v>1075</v>
      </c>
      <c r="B507" t="s">
        <v>1076</v>
      </c>
      <c r="C507" t="s">
        <v>42</v>
      </c>
      <c r="D507" t="s">
        <v>43</v>
      </c>
      <c r="E507" t="s">
        <v>60</v>
      </c>
      <c r="F507" t="s">
        <v>67</v>
      </c>
      <c r="G507" t="s">
        <v>118</v>
      </c>
      <c r="H507" t="s">
        <v>36</v>
      </c>
      <c r="I507" t="s">
        <v>39</v>
      </c>
      <c r="J507" t="s">
        <v>37</v>
      </c>
      <c r="K507" s="4">
        <v>46008</v>
      </c>
      <c r="L507" s="4">
        <v>46098</v>
      </c>
      <c r="M507" t="s">
        <v>38</v>
      </c>
      <c r="N507" t="s">
        <v>75</v>
      </c>
      <c r="O507">
        <v>3</v>
      </c>
      <c r="P507" t="s">
        <v>62</v>
      </c>
      <c r="Q507" s="4">
        <v>46190</v>
      </c>
      <c r="R507" t="s">
        <v>64</v>
      </c>
      <c r="S507" t="s">
        <v>38</v>
      </c>
      <c r="T507" t="s">
        <v>3153</v>
      </c>
      <c r="U507" t="s">
        <v>75</v>
      </c>
      <c r="V507" t="s">
        <v>3152</v>
      </c>
    </row>
    <row r="508" spans="1:22" x14ac:dyDescent="0.2">
      <c r="A508" t="s">
        <v>1077</v>
      </c>
      <c r="B508" t="s">
        <v>1078</v>
      </c>
      <c r="C508" t="s">
        <v>31</v>
      </c>
      <c r="D508" t="s">
        <v>83</v>
      </c>
      <c r="E508" t="s">
        <v>91</v>
      </c>
      <c r="F508" t="s">
        <v>67</v>
      </c>
      <c r="G508" t="s">
        <v>68</v>
      </c>
      <c r="H508" t="s">
        <v>47</v>
      </c>
      <c r="I508" t="s">
        <v>62</v>
      </c>
      <c r="J508" t="s">
        <v>48</v>
      </c>
      <c r="K508" s="4">
        <v>46139</v>
      </c>
      <c r="L508" s="4">
        <v>46319</v>
      </c>
      <c r="M508" t="s">
        <v>69</v>
      </c>
      <c r="N508" t="s">
        <v>49</v>
      </c>
      <c r="O508">
        <v>1</v>
      </c>
      <c r="P508" t="s">
        <v>54</v>
      </c>
      <c r="Q508" s="4">
        <v>46322</v>
      </c>
      <c r="R508" t="s">
        <v>64</v>
      </c>
      <c r="S508" t="s">
        <v>3155</v>
      </c>
      <c r="T508" t="s">
        <v>3153</v>
      </c>
      <c r="U508" t="s">
        <v>49</v>
      </c>
      <c r="V508" t="s">
        <v>3154</v>
      </c>
    </row>
    <row r="509" spans="1:22" x14ac:dyDescent="0.2">
      <c r="A509" t="s">
        <v>1079</v>
      </c>
      <c r="B509" t="s">
        <v>1080</v>
      </c>
      <c r="C509" t="s">
        <v>42</v>
      </c>
      <c r="D509" t="s">
        <v>43</v>
      </c>
      <c r="E509" t="s">
        <v>80</v>
      </c>
      <c r="F509" t="s">
        <v>67</v>
      </c>
      <c r="G509" t="s">
        <v>118</v>
      </c>
      <c r="H509" t="s">
        <v>88</v>
      </c>
      <c r="I509" t="s">
        <v>62</v>
      </c>
      <c r="J509" t="s">
        <v>63</v>
      </c>
      <c r="K509" s="4">
        <v>46059</v>
      </c>
      <c r="L509" s="4">
        <v>46424</v>
      </c>
      <c r="M509" t="s">
        <v>84</v>
      </c>
      <c r="N509" t="s">
        <v>55</v>
      </c>
      <c r="O509">
        <v>2</v>
      </c>
      <c r="P509" t="s">
        <v>50</v>
      </c>
      <c r="Q509" s="4">
        <v>46184</v>
      </c>
      <c r="R509" t="s">
        <v>64</v>
      </c>
      <c r="S509" t="s">
        <v>3155</v>
      </c>
      <c r="T509" t="s">
        <v>3153</v>
      </c>
      <c r="U509" t="s">
        <v>55</v>
      </c>
      <c r="V509" t="s">
        <v>3154</v>
      </c>
    </row>
    <row r="510" spans="1:22" x14ac:dyDescent="0.2">
      <c r="A510" t="s">
        <v>1081</v>
      </c>
      <c r="B510" t="s">
        <v>1082</v>
      </c>
      <c r="C510" t="s">
        <v>73</v>
      </c>
      <c r="D510" t="s">
        <v>74</v>
      </c>
      <c r="E510" t="s">
        <v>91</v>
      </c>
      <c r="F510" t="s">
        <v>34</v>
      </c>
      <c r="G510" t="s">
        <v>35</v>
      </c>
      <c r="H510" t="s">
        <v>88</v>
      </c>
      <c r="I510" t="s">
        <v>39</v>
      </c>
      <c r="J510" t="s">
        <v>63</v>
      </c>
      <c r="K510" s="4">
        <v>46247</v>
      </c>
      <c r="L510" s="4">
        <v>46337</v>
      </c>
      <c r="M510" t="s">
        <v>64</v>
      </c>
      <c r="N510" t="s">
        <v>75</v>
      </c>
      <c r="O510">
        <v>0</v>
      </c>
      <c r="P510" t="s">
        <v>70</v>
      </c>
      <c r="Q510" s="4">
        <v>46323</v>
      </c>
      <c r="R510" t="s">
        <v>57</v>
      </c>
      <c r="S510" t="s">
        <v>3155</v>
      </c>
      <c r="T510" t="s">
        <v>3153</v>
      </c>
      <c r="U510" t="s">
        <v>75</v>
      </c>
      <c r="V510" t="s">
        <v>3154</v>
      </c>
    </row>
    <row r="511" spans="1:22" x14ac:dyDescent="0.2">
      <c r="A511" t="s">
        <v>1083</v>
      </c>
      <c r="B511" t="s">
        <v>1084</v>
      </c>
      <c r="C511" t="s">
        <v>31</v>
      </c>
      <c r="D511" t="s">
        <v>32</v>
      </c>
      <c r="E511" t="s">
        <v>44</v>
      </c>
      <c r="F511" t="s">
        <v>67</v>
      </c>
      <c r="G511" t="s">
        <v>68</v>
      </c>
      <c r="H511" t="s">
        <v>47</v>
      </c>
      <c r="I511" t="s">
        <v>70</v>
      </c>
      <c r="J511" t="s">
        <v>37</v>
      </c>
      <c r="K511" s="4">
        <v>46008</v>
      </c>
      <c r="L511" s="4">
        <v>46373</v>
      </c>
      <c r="M511" t="s">
        <v>69</v>
      </c>
      <c r="N511" t="s">
        <v>75</v>
      </c>
      <c r="O511">
        <v>0</v>
      </c>
      <c r="P511" t="s">
        <v>106</v>
      </c>
      <c r="Q511" s="4">
        <v>46236</v>
      </c>
      <c r="R511" t="s">
        <v>57</v>
      </c>
      <c r="S511" t="s">
        <v>3155</v>
      </c>
      <c r="T511" t="s">
        <v>3153</v>
      </c>
      <c r="U511" t="s">
        <v>75</v>
      </c>
      <c r="V511" t="s">
        <v>3154</v>
      </c>
    </row>
    <row r="512" spans="1:22" x14ac:dyDescent="0.2">
      <c r="A512" t="s">
        <v>1085</v>
      </c>
      <c r="B512" t="s">
        <v>1086</v>
      </c>
      <c r="C512" t="s">
        <v>96</v>
      </c>
      <c r="D512" t="s">
        <v>97</v>
      </c>
      <c r="E512" t="s">
        <v>91</v>
      </c>
      <c r="F512" t="s">
        <v>34</v>
      </c>
      <c r="G512" t="s">
        <v>35</v>
      </c>
      <c r="H512" t="s">
        <v>36</v>
      </c>
      <c r="I512" t="s">
        <v>62</v>
      </c>
      <c r="J512" t="s">
        <v>37</v>
      </c>
      <c r="K512" s="4">
        <v>46164</v>
      </c>
      <c r="L512" s="4">
        <v>46254</v>
      </c>
      <c r="M512" t="s">
        <v>38</v>
      </c>
      <c r="N512" t="s">
        <v>55</v>
      </c>
      <c r="O512">
        <v>1</v>
      </c>
      <c r="P512" t="s">
        <v>39</v>
      </c>
      <c r="Q512" s="4">
        <v>46224</v>
      </c>
      <c r="R512" t="s">
        <v>38</v>
      </c>
      <c r="S512" t="s">
        <v>38</v>
      </c>
      <c r="T512" t="s">
        <v>3153</v>
      </c>
      <c r="U512" t="s">
        <v>55</v>
      </c>
      <c r="V512" t="s">
        <v>3152</v>
      </c>
    </row>
    <row r="513" spans="1:22" x14ac:dyDescent="0.2">
      <c r="A513" t="s">
        <v>1087</v>
      </c>
      <c r="B513" t="s">
        <v>1088</v>
      </c>
      <c r="C513" t="s">
        <v>31</v>
      </c>
      <c r="D513" t="s">
        <v>83</v>
      </c>
      <c r="E513" t="s">
        <v>91</v>
      </c>
      <c r="F513" t="s">
        <v>67</v>
      </c>
      <c r="G513" t="s">
        <v>118</v>
      </c>
      <c r="H513" t="s">
        <v>98</v>
      </c>
      <c r="I513" t="s">
        <v>106</v>
      </c>
      <c r="J513" t="s">
        <v>37</v>
      </c>
      <c r="K513" s="4">
        <v>45996</v>
      </c>
      <c r="L513" s="4">
        <v>46176</v>
      </c>
      <c r="M513" t="s">
        <v>38</v>
      </c>
      <c r="N513" t="s">
        <v>75</v>
      </c>
      <c r="O513">
        <v>5</v>
      </c>
      <c r="P513" t="s">
        <v>106</v>
      </c>
      <c r="Q513" s="4">
        <v>46241</v>
      </c>
      <c r="R513" t="s">
        <v>38</v>
      </c>
      <c r="S513" t="s">
        <v>38</v>
      </c>
      <c r="T513" t="s">
        <v>3153</v>
      </c>
      <c r="U513" t="s">
        <v>75</v>
      </c>
      <c r="V513" t="s">
        <v>3152</v>
      </c>
    </row>
    <row r="514" spans="1:22" x14ac:dyDescent="0.2">
      <c r="A514" t="s">
        <v>1089</v>
      </c>
      <c r="B514" t="s">
        <v>1090</v>
      </c>
      <c r="C514" t="s">
        <v>42</v>
      </c>
      <c r="D514" t="s">
        <v>43</v>
      </c>
      <c r="E514" t="s">
        <v>91</v>
      </c>
      <c r="F514" t="s">
        <v>67</v>
      </c>
      <c r="G514" t="s">
        <v>68</v>
      </c>
      <c r="H514" t="s">
        <v>98</v>
      </c>
      <c r="I514" t="s">
        <v>39</v>
      </c>
      <c r="J514" t="s">
        <v>37</v>
      </c>
      <c r="K514" s="4">
        <v>45845</v>
      </c>
      <c r="L514" s="4">
        <v>46210</v>
      </c>
      <c r="M514" t="s">
        <v>38</v>
      </c>
      <c r="N514" t="s">
        <v>49</v>
      </c>
      <c r="O514">
        <v>0</v>
      </c>
      <c r="P514" t="s">
        <v>56</v>
      </c>
      <c r="Q514" s="4">
        <v>46237</v>
      </c>
      <c r="R514" t="s">
        <v>57</v>
      </c>
      <c r="S514" t="s">
        <v>38</v>
      </c>
      <c r="T514" t="s">
        <v>3153</v>
      </c>
      <c r="U514" t="s">
        <v>49</v>
      </c>
      <c r="V514" t="s">
        <v>3152</v>
      </c>
    </row>
    <row r="515" spans="1:22" x14ac:dyDescent="0.2">
      <c r="A515" t="s">
        <v>1091</v>
      </c>
      <c r="B515" t="s">
        <v>1092</v>
      </c>
      <c r="C515" t="s">
        <v>42</v>
      </c>
      <c r="D515" t="s">
        <v>43</v>
      </c>
      <c r="E515" t="s">
        <v>91</v>
      </c>
      <c r="F515" t="s">
        <v>34</v>
      </c>
      <c r="G515" t="s">
        <v>35</v>
      </c>
      <c r="H515" t="s">
        <v>47</v>
      </c>
      <c r="I515" t="s">
        <v>54</v>
      </c>
      <c r="J515" t="s">
        <v>48</v>
      </c>
      <c r="K515" s="4">
        <v>45836</v>
      </c>
      <c r="L515" s="4">
        <v>46016</v>
      </c>
      <c r="M515" t="s">
        <v>38</v>
      </c>
      <c r="N515" t="s">
        <v>75</v>
      </c>
      <c r="O515">
        <v>0</v>
      </c>
      <c r="P515" t="s">
        <v>54</v>
      </c>
      <c r="Q515" s="4">
        <v>46316</v>
      </c>
      <c r="R515" t="s">
        <v>57</v>
      </c>
      <c r="S515" t="s">
        <v>38</v>
      </c>
      <c r="T515" t="s">
        <v>3153</v>
      </c>
      <c r="U515" t="s">
        <v>75</v>
      </c>
      <c r="V515" t="s">
        <v>3154</v>
      </c>
    </row>
    <row r="516" spans="1:22" x14ac:dyDescent="0.2">
      <c r="A516" t="s">
        <v>1093</v>
      </c>
      <c r="B516" t="s">
        <v>1094</v>
      </c>
      <c r="C516" t="s">
        <v>31</v>
      </c>
      <c r="D516" t="s">
        <v>32</v>
      </c>
      <c r="E516" t="s">
        <v>44</v>
      </c>
      <c r="F516" t="s">
        <v>67</v>
      </c>
      <c r="G516" t="s">
        <v>68</v>
      </c>
      <c r="H516" t="s">
        <v>36</v>
      </c>
      <c r="I516" t="s">
        <v>106</v>
      </c>
      <c r="J516" t="s">
        <v>37</v>
      </c>
      <c r="K516" s="4">
        <v>45825</v>
      </c>
      <c r="L516" s="4">
        <v>46190</v>
      </c>
      <c r="M516" t="s">
        <v>38</v>
      </c>
      <c r="N516" t="s">
        <v>75</v>
      </c>
      <c r="O516">
        <v>0</v>
      </c>
      <c r="P516" t="s">
        <v>111</v>
      </c>
      <c r="Q516" s="4">
        <v>46255</v>
      </c>
      <c r="R516" t="s">
        <v>57</v>
      </c>
      <c r="S516" t="s">
        <v>38</v>
      </c>
      <c r="T516" t="s">
        <v>3153</v>
      </c>
      <c r="U516" t="s">
        <v>75</v>
      </c>
      <c r="V516" t="s">
        <v>3152</v>
      </c>
    </row>
    <row r="517" spans="1:22" x14ac:dyDescent="0.2">
      <c r="A517" t="s">
        <v>1095</v>
      </c>
      <c r="B517" t="s">
        <v>1096</v>
      </c>
      <c r="C517" t="s">
        <v>78</v>
      </c>
      <c r="D517" t="s">
        <v>79</v>
      </c>
      <c r="E517" t="s">
        <v>53</v>
      </c>
      <c r="F517" t="s">
        <v>34</v>
      </c>
      <c r="G517" t="s">
        <v>35</v>
      </c>
      <c r="H517" t="s">
        <v>36</v>
      </c>
      <c r="I517" t="s">
        <v>70</v>
      </c>
      <c r="J517" t="s">
        <v>63</v>
      </c>
      <c r="K517" s="4">
        <v>45853</v>
      </c>
      <c r="L517" s="4">
        <v>45943</v>
      </c>
      <c r="M517" t="s">
        <v>38</v>
      </c>
      <c r="N517" t="s">
        <v>49</v>
      </c>
      <c r="O517">
        <v>2</v>
      </c>
      <c r="P517" t="s">
        <v>106</v>
      </c>
      <c r="Q517" s="4">
        <v>46374</v>
      </c>
      <c r="R517" t="s">
        <v>64</v>
      </c>
      <c r="S517" t="s">
        <v>38</v>
      </c>
      <c r="T517" t="s">
        <v>3153</v>
      </c>
      <c r="U517" t="s">
        <v>49</v>
      </c>
      <c r="V517" t="s">
        <v>3152</v>
      </c>
    </row>
    <row r="518" spans="1:22" x14ac:dyDescent="0.2">
      <c r="A518" t="s">
        <v>1097</v>
      </c>
      <c r="B518" t="s">
        <v>1098</v>
      </c>
      <c r="C518" t="s">
        <v>42</v>
      </c>
      <c r="D518" t="s">
        <v>43</v>
      </c>
      <c r="E518" t="s">
        <v>105</v>
      </c>
      <c r="F518" t="s">
        <v>67</v>
      </c>
      <c r="G518" t="s">
        <v>68</v>
      </c>
      <c r="H518" t="s">
        <v>88</v>
      </c>
      <c r="I518" t="s">
        <v>50</v>
      </c>
      <c r="J518" t="s">
        <v>63</v>
      </c>
      <c r="K518" s="4">
        <v>45953</v>
      </c>
      <c r="L518" s="4">
        <v>46133</v>
      </c>
      <c r="M518" t="s">
        <v>38</v>
      </c>
      <c r="N518" t="s">
        <v>49</v>
      </c>
      <c r="O518">
        <v>1</v>
      </c>
      <c r="P518" t="s">
        <v>70</v>
      </c>
      <c r="Q518" s="4">
        <v>46116</v>
      </c>
      <c r="R518" t="s">
        <v>38</v>
      </c>
      <c r="S518" t="s">
        <v>38</v>
      </c>
      <c r="T518" t="s">
        <v>3153</v>
      </c>
      <c r="U518" t="s">
        <v>49</v>
      </c>
      <c r="V518" t="s">
        <v>3154</v>
      </c>
    </row>
    <row r="519" spans="1:22" x14ac:dyDescent="0.2">
      <c r="A519" t="s">
        <v>1099</v>
      </c>
      <c r="B519" t="s">
        <v>1100</v>
      </c>
      <c r="C519" t="s">
        <v>31</v>
      </c>
      <c r="D519" t="s">
        <v>83</v>
      </c>
      <c r="E519" t="s">
        <v>44</v>
      </c>
      <c r="F519" t="s">
        <v>45</v>
      </c>
      <c r="G519" t="s">
        <v>46</v>
      </c>
      <c r="H519" t="s">
        <v>88</v>
      </c>
      <c r="J519" t="s">
        <v>48</v>
      </c>
      <c r="K519" s="4">
        <v>45882</v>
      </c>
      <c r="L519" s="4">
        <v>46247</v>
      </c>
      <c r="M519" t="s">
        <v>38</v>
      </c>
      <c r="N519" t="s">
        <v>55</v>
      </c>
      <c r="O519">
        <v>3</v>
      </c>
      <c r="P519" t="s">
        <v>106</v>
      </c>
      <c r="Q519" s="4">
        <v>46278</v>
      </c>
      <c r="R519" t="s">
        <v>38</v>
      </c>
      <c r="S519" t="s">
        <v>38</v>
      </c>
      <c r="T519" t="s">
        <v>3150</v>
      </c>
      <c r="U519" t="s">
        <v>55</v>
      </c>
      <c r="V519" t="s">
        <v>3154</v>
      </c>
    </row>
    <row r="520" spans="1:22" x14ac:dyDescent="0.2">
      <c r="A520" t="s">
        <v>1101</v>
      </c>
      <c r="B520" t="s">
        <v>1102</v>
      </c>
      <c r="C520" t="s">
        <v>103</v>
      </c>
      <c r="D520" t="s">
        <v>104</v>
      </c>
      <c r="E520" t="s">
        <v>105</v>
      </c>
      <c r="F520" t="s">
        <v>67</v>
      </c>
      <c r="G520" t="s">
        <v>68</v>
      </c>
      <c r="H520" t="s">
        <v>88</v>
      </c>
      <c r="I520" t="s">
        <v>50</v>
      </c>
      <c r="J520" t="s">
        <v>37</v>
      </c>
      <c r="K520" s="4">
        <v>46074</v>
      </c>
      <c r="L520" s="4">
        <v>46254</v>
      </c>
      <c r="M520" t="s">
        <v>38</v>
      </c>
      <c r="N520" t="s">
        <v>49</v>
      </c>
      <c r="O520">
        <v>1</v>
      </c>
      <c r="P520" t="s">
        <v>54</v>
      </c>
      <c r="Q520" s="4">
        <v>46125</v>
      </c>
      <c r="R520" t="s">
        <v>38</v>
      </c>
      <c r="S520" t="s">
        <v>38</v>
      </c>
      <c r="T520" t="s">
        <v>3153</v>
      </c>
      <c r="U520" t="s">
        <v>49</v>
      </c>
      <c r="V520" t="s">
        <v>3154</v>
      </c>
    </row>
    <row r="521" spans="1:22" x14ac:dyDescent="0.2">
      <c r="A521" t="s">
        <v>1103</v>
      </c>
      <c r="B521" t="s">
        <v>1104</v>
      </c>
      <c r="C521" t="s">
        <v>31</v>
      </c>
      <c r="D521" t="s">
        <v>83</v>
      </c>
      <c r="E521" t="s">
        <v>105</v>
      </c>
      <c r="F521" t="s">
        <v>67</v>
      </c>
      <c r="G521" t="s">
        <v>68</v>
      </c>
      <c r="H521" t="s">
        <v>88</v>
      </c>
      <c r="I521" t="s">
        <v>62</v>
      </c>
      <c r="J521" t="s">
        <v>48</v>
      </c>
      <c r="K521" s="4">
        <v>45968</v>
      </c>
      <c r="L521" s="4">
        <v>46148</v>
      </c>
      <c r="M521" t="s">
        <v>38</v>
      </c>
      <c r="N521" t="s">
        <v>55</v>
      </c>
      <c r="O521">
        <v>0</v>
      </c>
      <c r="P521" t="s">
        <v>39</v>
      </c>
      <c r="Q521" s="4">
        <v>46303</v>
      </c>
      <c r="R521" t="s">
        <v>57</v>
      </c>
      <c r="S521" t="s">
        <v>38</v>
      </c>
      <c r="T521" t="s">
        <v>3153</v>
      </c>
      <c r="U521" t="s">
        <v>55</v>
      </c>
      <c r="V521" t="s">
        <v>3154</v>
      </c>
    </row>
    <row r="522" spans="1:22" x14ac:dyDescent="0.2">
      <c r="A522" t="s">
        <v>1105</v>
      </c>
      <c r="B522" t="s">
        <v>1106</v>
      </c>
      <c r="C522" t="s">
        <v>78</v>
      </c>
      <c r="D522" t="s">
        <v>79</v>
      </c>
      <c r="E522" t="s">
        <v>80</v>
      </c>
      <c r="F522" t="s">
        <v>34</v>
      </c>
      <c r="G522" t="s">
        <v>35</v>
      </c>
      <c r="H522" t="s">
        <v>36</v>
      </c>
      <c r="I522" t="s">
        <v>111</v>
      </c>
      <c r="J522" t="s">
        <v>48</v>
      </c>
      <c r="K522" s="4">
        <v>46215</v>
      </c>
      <c r="L522" s="4">
        <v>46305</v>
      </c>
      <c r="M522" t="s">
        <v>84</v>
      </c>
      <c r="N522" t="s">
        <v>75</v>
      </c>
      <c r="O522">
        <v>2</v>
      </c>
      <c r="P522" t="s">
        <v>54</v>
      </c>
      <c r="Q522" s="4">
        <v>46368</v>
      </c>
      <c r="R522" t="s">
        <v>84</v>
      </c>
      <c r="S522" t="s">
        <v>3155</v>
      </c>
      <c r="T522" t="s">
        <v>3153</v>
      </c>
      <c r="U522" t="s">
        <v>75</v>
      </c>
      <c r="V522" t="s">
        <v>3152</v>
      </c>
    </row>
    <row r="523" spans="1:22" x14ac:dyDescent="0.2">
      <c r="A523" t="s">
        <v>1107</v>
      </c>
      <c r="B523" t="s">
        <v>1108</v>
      </c>
      <c r="C523" t="s">
        <v>96</v>
      </c>
      <c r="D523" t="s">
        <v>97</v>
      </c>
      <c r="E523" t="s">
        <v>80</v>
      </c>
      <c r="F523" t="s">
        <v>67</v>
      </c>
      <c r="G523" t="s">
        <v>68</v>
      </c>
      <c r="H523" t="s">
        <v>47</v>
      </c>
      <c r="I523" t="s">
        <v>50</v>
      </c>
      <c r="J523" t="s">
        <v>48</v>
      </c>
      <c r="K523" s="4">
        <v>46261</v>
      </c>
      <c r="L523" s="4">
        <v>46441</v>
      </c>
      <c r="M523" t="s">
        <v>84</v>
      </c>
      <c r="N523" t="s">
        <v>49</v>
      </c>
      <c r="O523">
        <v>3</v>
      </c>
      <c r="P523" t="s">
        <v>111</v>
      </c>
      <c r="Q523" s="4">
        <v>46242</v>
      </c>
      <c r="R523" t="s">
        <v>38</v>
      </c>
      <c r="S523" t="s">
        <v>3155</v>
      </c>
      <c r="T523" t="s">
        <v>3153</v>
      </c>
      <c r="U523" t="s">
        <v>49</v>
      </c>
      <c r="V523" t="s">
        <v>3154</v>
      </c>
    </row>
    <row r="524" spans="1:22" x14ac:dyDescent="0.2">
      <c r="A524" t="s">
        <v>1109</v>
      </c>
      <c r="B524" t="s">
        <v>1110</v>
      </c>
      <c r="C524" t="s">
        <v>31</v>
      </c>
      <c r="D524" t="s">
        <v>87</v>
      </c>
      <c r="E524" t="s">
        <v>91</v>
      </c>
      <c r="F524" t="s">
        <v>45</v>
      </c>
      <c r="G524" t="s">
        <v>61</v>
      </c>
      <c r="H524" t="s">
        <v>88</v>
      </c>
      <c r="I524" t="s">
        <v>54</v>
      </c>
      <c r="J524" t="s">
        <v>37</v>
      </c>
      <c r="K524" s="4">
        <v>45910</v>
      </c>
      <c r="L524" s="4">
        <v>46090</v>
      </c>
      <c r="M524" t="s">
        <v>38</v>
      </c>
      <c r="N524" t="s">
        <v>49</v>
      </c>
      <c r="O524">
        <v>3</v>
      </c>
      <c r="P524" t="s">
        <v>54</v>
      </c>
      <c r="Q524" s="4">
        <v>46246</v>
      </c>
      <c r="R524" t="s">
        <v>64</v>
      </c>
      <c r="S524" t="s">
        <v>38</v>
      </c>
      <c r="T524" t="s">
        <v>3153</v>
      </c>
      <c r="U524" t="s">
        <v>49</v>
      </c>
      <c r="V524" t="s">
        <v>3154</v>
      </c>
    </row>
    <row r="525" spans="1:22" x14ac:dyDescent="0.2">
      <c r="A525" t="s">
        <v>1111</v>
      </c>
      <c r="B525" t="s">
        <v>1112</v>
      </c>
      <c r="C525" t="s">
        <v>31</v>
      </c>
      <c r="D525" t="s">
        <v>83</v>
      </c>
      <c r="E525" t="s">
        <v>60</v>
      </c>
      <c r="F525" t="s">
        <v>67</v>
      </c>
      <c r="G525" t="s">
        <v>118</v>
      </c>
      <c r="H525" t="s">
        <v>98</v>
      </c>
      <c r="I525" t="s">
        <v>39</v>
      </c>
      <c r="J525" t="s">
        <v>48</v>
      </c>
      <c r="K525" s="4">
        <v>46273</v>
      </c>
      <c r="L525" s="4">
        <v>46453</v>
      </c>
      <c r="M525" t="s">
        <v>64</v>
      </c>
      <c r="N525" t="s">
        <v>75</v>
      </c>
      <c r="O525">
        <v>2</v>
      </c>
      <c r="P525" t="s">
        <v>50</v>
      </c>
      <c r="Q525" s="4">
        <v>46317</v>
      </c>
      <c r="R525" t="s">
        <v>84</v>
      </c>
      <c r="S525" t="s">
        <v>3155</v>
      </c>
      <c r="T525" t="s">
        <v>3153</v>
      </c>
      <c r="U525" t="s">
        <v>75</v>
      </c>
      <c r="V525" t="s">
        <v>3152</v>
      </c>
    </row>
    <row r="526" spans="1:22" x14ac:dyDescent="0.2">
      <c r="A526" t="s">
        <v>1113</v>
      </c>
      <c r="B526" t="s">
        <v>1114</v>
      </c>
      <c r="C526" t="s">
        <v>78</v>
      </c>
      <c r="D526" t="s">
        <v>79</v>
      </c>
      <c r="E526" t="s">
        <v>60</v>
      </c>
      <c r="F526" t="s">
        <v>67</v>
      </c>
      <c r="G526" t="s">
        <v>68</v>
      </c>
      <c r="H526" t="s">
        <v>88</v>
      </c>
      <c r="I526" t="s">
        <v>106</v>
      </c>
      <c r="J526" t="s">
        <v>37</v>
      </c>
      <c r="K526" s="4">
        <v>45826</v>
      </c>
      <c r="L526" s="4">
        <v>46006</v>
      </c>
      <c r="M526" t="s">
        <v>38</v>
      </c>
      <c r="N526" t="s">
        <v>55</v>
      </c>
      <c r="O526">
        <v>0</v>
      </c>
      <c r="P526" t="s">
        <v>70</v>
      </c>
      <c r="Q526" s="4">
        <v>46277</v>
      </c>
      <c r="R526" t="s">
        <v>57</v>
      </c>
      <c r="S526" t="s">
        <v>38</v>
      </c>
      <c r="T526" t="s">
        <v>3153</v>
      </c>
      <c r="U526" t="s">
        <v>55</v>
      </c>
      <c r="V526" t="s">
        <v>3154</v>
      </c>
    </row>
    <row r="527" spans="1:22" x14ac:dyDescent="0.2">
      <c r="A527" t="s">
        <v>1115</v>
      </c>
      <c r="B527" t="s">
        <v>1116</v>
      </c>
      <c r="C527" t="s">
        <v>42</v>
      </c>
      <c r="D527" t="s">
        <v>43</v>
      </c>
      <c r="E527" t="s">
        <v>44</v>
      </c>
      <c r="F527" t="s">
        <v>67</v>
      </c>
      <c r="G527" t="s">
        <v>68</v>
      </c>
      <c r="H527" t="s">
        <v>88</v>
      </c>
      <c r="I527" t="s">
        <v>56</v>
      </c>
      <c r="J527" t="s">
        <v>37</v>
      </c>
      <c r="K527" s="4">
        <v>45893</v>
      </c>
      <c r="L527" s="4">
        <v>46073</v>
      </c>
      <c r="M527" t="s">
        <v>38</v>
      </c>
      <c r="N527" t="s">
        <v>75</v>
      </c>
      <c r="O527">
        <v>2</v>
      </c>
      <c r="P527" t="s">
        <v>62</v>
      </c>
      <c r="Q527" s="4">
        <v>46249</v>
      </c>
      <c r="R527" t="s">
        <v>38</v>
      </c>
      <c r="S527" t="s">
        <v>38</v>
      </c>
      <c r="T527" t="s">
        <v>3153</v>
      </c>
      <c r="U527" t="s">
        <v>75</v>
      </c>
      <c r="V527" t="s">
        <v>3154</v>
      </c>
    </row>
    <row r="528" spans="1:22" x14ac:dyDescent="0.2">
      <c r="A528" t="s">
        <v>1117</v>
      </c>
      <c r="B528" t="s">
        <v>1118</v>
      </c>
      <c r="C528" t="s">
        <v>31</v>
      </c>
      <c r="D528" t="s">
        <v>83</v>
      </c>
      <c r="E528" t="s">
        <v>91</v>
      </c>
      <c r="F528" t="s">
        <v>45</v>
      </c>
      <c r="G528" t="s">
        <v>61</v>
      </c>
      <c r="H528" t="s">
        <v>98</v>
      </c>
      <c r="I528" t="s">
        <v>50</v>
      </c>
      <c r="J528" t="s">
        <v>37</v>
      </c>
      <c r="K528" s="4">
        <v>45991</v>
      </c>
      <c r="L528" s="4">
        <v>46356</v>
      </c>
      <c r="M528" t="s">
        <v>69</v>
      </c>
      <c r="N528" t="s">
        <v>55</v>
      </c>
      <c r="O528">
        <v>1</v>
      </c>
      <c r="P528" t="s">
        <v>56</v>
      </c>
      <c r="Q528" s="4">
        <v>46191</v>
      </c>
      <c r="R528" t="s">
        <v>64</v>
      </c>
      <c r="S528" t="s">
        <v>3155</v>
      </c>
      <c r="T528" t="s">
        <v>3153</v>
      </c>
      <c r="U528" t="s">
        <v>55</v>
      </c>
      <c r="V528" t="s">
        <v>3152</v>
      </c>
    </row>
    <row r="529" spans="1:22" x14ac:dyDescent="0.2">
      <c r="A529" t="s">
        <v>1119</v>
      </c>
      <c r="B529" t="s">
        <v>1120</v>
      </c>
      <c r="C529" t="s">
        <v>31</v>
      </c>
      <c r="D529" t="s">
        <v>83</v>
      </c>
      <c r="E529" t="s">
        <v>80</v>
      </c>
      <c r="F529" t="s">
        <v>45</v>
      </c>
      <c r="G529" t="s">
        <v>61</v>
      </c>
      <c r="H529" t="s">
        <v>47</v>
      </c>
      <c r="I529" t="s">
        <v>111</v>
      </c>
      <c r="J529" t="s">
        <v>37</v>
      </c>
      <c r="K529" s="4">
        <v>46255</v>
      </c>
      <c r="L529" s="4">
        <v>46435</v>
      </c>
      <c r="M529" t="s">
        <v>64</v>
      </c>
      <c r="N529" t="s">
        <v>49</v>
      </c>
      <c r="O529">
        <v>3</v>
      </c>
      <c r="P529" t="s">
        <v>70</v>
      </c>
      <c r="Q529" s="4">
        <v>46349</v>
      </c>
      <c r="R529" t="s">
        <v>84</v>
      </c>
      <c r="S529" t="s">
        <v>3155</v>
      </c>
      <c r="T529" t="s">
        <v>3153</v>
      </c>
      <c r="U529" t="s">
        <v>49</v>
      </c>
      <c r="V529" t="s">
        <v>3154</v>
      </c>
    </row>
    <row r="530" spans="1:22" x14ac:dyDescent="0.2">
      <c r="A530" t="s">
        <v>1121</v>
      </c>
      <c r="B530" t="s">
        <v>1122</v>
      </c>
      <c r="C530" t="s">
        <v>31</v>
      </c>
      <c r="D530" t="s">
        <v>32</v>
      </c>
      <c r="E530" t="s">
        <v>44</v>
      </c>
      <c r="F530" t="s">
        <v>45</v>
      </c>
      <c r="G530" t="s">
        <v>61</v>
      </c>
      <c r="H530" t="s">
        <v>36</v>
      </c>
      <c r="I530" t="s">
        <v>56</v>
      </c>
      <c r="J530" t="s">
        <v>37</v>
      </c>
      <c r="K530" s="4">
        <v>45987</v>
      </c>
      <c r="L530" s="4">
        <v>46352</v>
      </c>
      <c r="M530" t="s">
        <v>84</v>
      </c>
      <c r="N530" t="s">
        <v>49</v>
      </c>
      <c r="O530">
        <v>4</v>
      </c>
      <c r="P530" t="s">
        <v>70</v>
      </c>
      <c r="Q530" s="4">
        <v>46207</v>
      </c>
      <c r="R530" t="s">
        <v>38</v>
      </c>
      <c r="S530" t="s">
        <v>3155</v>
      </c>
      <c r="T530" t="s">
        <v>3153</v>
      </c>
      <c r="U530" t="s">
        <v>49</v>
      </c>
      <c r="V530" t="s">
        <v>3152</v>
      </c>
    </row>
    <row r="531" spans="1:22" x14ac:dyDescent="0.2">
      <c r="A531" t="s">
        <v>1123</v>
      </c>
      <c r="B531" t="s">
        <v>1124</v>
      </c>
      <c r="C531" t="s">
        <v>31</v>
      </c>
      <c r="D531" t="s">
        <v>83</v>
      </c>
      <c r="E531" t="s">
        <v>53</v>
      </c>
      <c r="F531" t="s">
        <v>67</v>
      </c>
      <c r="G531" t="s">
        <v>68</v>
      </c>
      <c r="H531" t="s">
        <v>88</v>
      </c>
      <c r="I531" t="s">
        <v>70</v>
      </c>
      <c r="J531" t="s">
        <v>48</v>
      </c>
      <c r="K531" s="4">
        <v>46074</v>
      </c>
      <c r="L531" s="4">
        <v>46254</v>
      </c>
      <c r="M531" t="s">
        <v>38</v>
      </c>
      <c r="N531" t="s">
        <v>49</v>
      </c>
      <c r="O531">
        <v>0</v>
      </c>
      <c r="P531" t="s">
        <v>111</v>
      </c>
      <c r="Q531" s="4">
        <v>46280</v>
      </c>
      <c r="R531" t="s">
        <v>57</v>
      </c>
      <c r="S531" t="s">
        <v>38</v>
      </c>
      <c r="T531" t="s">
        <v>3153</v>
      </c>
      <c r="U531" t="s">
        <v>49</v>
      </c>
      <c r="V531" t="s">
        <v>3154</v>
      </c>
    </row>
    <row r="532" spans="1:22" x14ac:dyDescent="0.2">
      <c r="A532" t="s">
        <v>1125</v>
      </c>
      <c r="B532" t="s">
        <v>1126</v>
      </c>
      <c r="C532" t="s">
        <v>31</v>
      </c>
      <c r="D532" t="s">
        <v>83</v>
      </c>
      <c r="E532" t="s">
        <v>80</v>
      </c>
      <c r="F532" t="s">
        <v>34</v>
      </c>
      <c r="G532" t="s">
        <v>35</v>
      </c>
      <c r="H532" t="s">
        <v>88</v>
      </c>
      <c r="I532" t="s">
        <v>56</v>
      </c>
      <c r="J532" t="s">
        <v>48</v>
      </c>
      <c r="K532" s="4">
        <v>45971</v>
      </c>
      <c r="L532" s="4">
        <v>46336</v>
      </c>
      <c r="M532" t="s">
        <v>64</v>
      </c>
      <c r="N532" t="s">
        <v>55</v>
      </c>
      <c r="O532">
        <v>3</v>
      </c>
      <c r="P532" t="s">
        <v>56</v>
      </c>
      <c r="Q532" s="4">
        <v>46281</v>
      </c>
      <c r="R532" t="s">
        <v>38</v>
      </c>
      <c r="S532" t="s">
        <v>3155</v>
      </c>
      <c r="T532" t="s">
        <v>3153</v>
      </c>
      <c r="U532" t="s">
        <v>55</v>
      </c>
      <c r="V532" t="s">
        <v>3154</v>
      </c>
    </row>
    <row r="533" spans="1:22" x14ac:dyDescent="0.2">
      <c r="A533" t="s">
        <v>1127</v>
      </c>
      <c r="B533" t="s">
        <v>1128</v>
      </c>
      <c r="C533" t="s">
        <v>103</v>
      </c>
      <c r="D533" t="s">
        <v>104</v>
      </c>
      <c r="E533" t="s">
        <v>91</v>
      </c>
      <c r="F533" t="s">
        <v>67</v>
      </c>
      <c r="G533" t="s">
        <v>68</v>
      </c>
      <c r="H533" t="s">
        <v>47</v>
      </c>
      <c r="I533" t="s">
        <v>62</v>
      </c>
      <c r="J533" t="s">
        <v>37</v>
      </c>
      <c r="K533" s="4">
        <v>46228</v>
      </c>
      <c r="L533" s="4">
        <v>46408</v>
      </c>
      <c r="M533" t="s">
        <v>64</v>
      </c>
      <c r="N533" t="s">
        <v>55</v>
      </c>
      <c r="O533">
        <v>3</v>
      </c>
      <c r="P533" t="s">
        <v>62</v>
      </c>
      <c r="Q533" s="4">
        <v>46160</v>
      </c>
      <c r="R533" t="s">
        <v>64</v>
      </c>
      <c r="S533" t="s">
        <v>3155</v>
      </c>
      <c r="T533" t="s">
        <v>3153</v>
      </c>
      <c r="U533" t="s">
        <v>55</v>
      </c>
      <c r="V533" t="s">
        <v>3154</v>
      </c>
    </row>
    <row r="534" spans="1:22" x14ac:dyDescent="0.2">
      <c r="A534" t="s">
        <v>1129</v>
      </c>
      <c r="B534" t="s">
        <v>1130</v>
      </c>
      <c r="C534" t="s">
        <v>73</v>
      </c>
      <c r="D534" t="s">
        <v>74</v>
      </c>
      <c r="E534" t="s">
        <v>105</v>
      </c>
      <c r="F534" t="s">
        <v>67</v>
      </c>
      <c r="G534" t="s">
        <v>68</v>
      </c>
      <c r="H534" t="s">
        <v>47</v>
      </c>
      <c r="I534" t="s">
        <v>62</v>
      </c>
      <c r="J534" t="s">
        <v>48</v>
      </c>
      <c r="K534" s="4">
        <v>45899</v>
      </c>
      <c r="L534" s="4">
        <v>46079</v>
      </c>
      <c r="M534" t="s">
        <v>38</v>
      </c>
      <c r="N534" t="s">
        <v>49</v>
      </c>
      <c r="O534">
        <v>1</v>
      </c>
      <c r="P534" t="s">
        <v>111</v>
      </c>
      <c r="Q534" s="4">
        <v>46298</v>
      </c>
      <c r="R534" t="s">
        <v>84</v>
      </c>
      <c r="S534" t="s">
        <v>38</v>
      </c>
      <c r="T534" t="s">
        <v>3153</v>
      </c>
      <c r="U534" t="s">
        <v>49</v>
      </c>
      <c r="V534" t="s">
        <v>3154</v>
      </c>
    </row>
    <row r="535" spans="1:22" x14ac:dyDescent="0.2">
      <c r="A535" t="s">
        <v>1131</v>
      </c>
      <c r="B535" t="s">
        <v>1132</v>
      </c>
      <c r="C535" t="s">
        <v>73</v>
      </c>
      <c r="D535" t="s">
        <v>74</v>
      </c>
      <c r="E535" t="s">
        <v>80</v>
      </c>
      <c r="F535" t="s">
        <v>67</v>
      </c>
      <c r="G535" t="s">
        <v>118</v>
      </c>
      <c r="H535" t="s">
        <v>47</v>
      </c>
      <c r="I535" t="s">
        <v>62</v>
      </c>
      <c r="J535" t="s">
        <v>63</v>
      </c>
      <c r="K535" s="4">
        <v>46229</v>
      </c>
      <c r="L535" s="4">
        <v>46409</v>
      </c>
      <c r="M535" t="s">
        <v>84</v>
      </c>
      <c r="N535" t="s">
        <v>75</v>
      </c>
      <c r="O535">
        <v>3</v>
      </c>
      <c r="P535" t="s">
        <v>54</v>
      </c>
      <c r="Q535" s="4">
        <v>46162</v>
      </c>
      <c r="R535" t="s">
        <v>64</v>
      </c>
      <c r="S535" t="s">
        <v>3155</v>
      </c>
      <c r="T535" t="s">
        <v>3153</v>
      </c>
      <c r="U535" t="s">
        <v>75</v>
      </c>
      <c r="V535" t="s">
        <v>3154</v>
      </c>
    </row>
    <row r="536" spans="1:22" x14ac:dyDescent="0.2">
      <c r="A536" t="s">
        <v>1133</v>
      </c>
      <c r="B536" t="s">
        <v>1134</v>
      </c>
      <c r="C536" t="s">
        <v>42</v>
      </c>
      <c r="D536" t="s">
        <v>43</v>
      </c>
      <c r="E536" t="s">
        <v>80</v>
      </c>
      <c r="F536" t="s">
        <v>34</v>
      </c>
      <c r="G536" t="s">
        <v>35</v>
      </c>
      <c r="H536" t="s">
        <v>88</v>
      </c>
      <c r="I536" t="s">
        <v>70</v>
      </c>
      <c r="J536" t="s">
        <v>48</v>
      </c>
      <c r="K536" s="4">
        <v>46127</v>
      </c>
      <c r="L536" s="4">
        <v>46307</v>
      </c>
      <c r="M536" t="s">
        <v>64</v>
      </c>
      <c r="N536" t="s">
        <v>75</v>
      </c>
      <c r="O536">
        <v>2</v>
      </c>
      <c r="P536" t="s">
        <v>62</v>
      </c>
      <c r="Q536" s="4">
        <v>46191</v>
      </c>
      <c r="R536" t="s">
        <v>38</v>
      </c>
      <c r="S536" t="s">
        <v>3155</v>
      </c>
      <c r="T536" t="s">
        <v>3153</v>
      </c>
      <c r="U536" t="s">
        <v>75</v>
      </c>
      <c r="V536" t="s">
        <v>3154</v>
      </c>
    </row>
    <row r="537" spans="1:22" x14ac:dyDescent="0.2">
      <c r="A537" t="s">
        <v>1135</v>
      </c>
      <c r="B537" t="s">
        <v>1136</v>
      </c>
      <c r="C537" t="s">
        <v>42</v>
      </c>
      <c r="D537" t="s">
        <v>43</v>
      </c>
      <c r="E537" t="s">
        <v>60</v>
      </c>
      <c r="F537" t="s">
        <v>67</v>
      </c>
      <c r="G537" t="s">
        <v>68</v>
      </c>
      <c r="H537" t="s">
        <v>47</v>
      </c>
      <c r="I537" t="s">
        <v>39</v>
      </c>
      <c r="J537" t="s">
        <v>37</v>
      </c>
      <c r="K537" s="4">
        <v>46013</v>
      </c>
      <c r="L537" s="4">
        <v>46103</v>
      </c>
      <c r="M537" t="s">
        <v>38</v>
      </c>
      <c r="N537" t="s">
        <v>49</v>
      </c>
      <c r="O537">
        <v>3</v>
      </c>
      <c r="P537" t="s">
        <v>70</v>
      </c>
      <c r="Q537" s="4">
        <v>46326</v>
      </c>
      <c r="R537" t="s">
        <v>64</v>
      </c>
      <c r="S537" t="s">
        <v>38</v>
      </c>
      <c r="T537" t="s">
        <v>3153</v>
      </c>
      <c r="U537" t="s">
        <v>49</v>
      </c>
      <c r="V537" t="s">
        <v>3154</v>
      </c>
    </row>
    <row r="538" spans="1:22" x14ac:dyDescent="0.2">
      <c r="A538" t="s">
        <v>1137</v>
      </c>
      <c r="B538" t="s">
        <v>1138</v>
      </c>
      <c r="C538" t="s">
        <v>78</v>
      </c>
      <c r="D538" t="s">
        <v>79</v>
      </c>
      <c r="E538" t="s">
        <v>105</v>
      </c>
      <c r="F538" t="s">
        <v>34</v>
      </c>
      <c r="G538" t="s">
        <v>35</v>
      </c>
      <c r="H538" t="s">
        <v>36</v>
      </c>
      <c r="I538" t="s">
        <v>111</v>
      </c>
      <c r="J538" t="s">
        <v>37</v>
      </c>
      <c r="K538" s="4">
        <v>46184</v>
      </c>
      <c r="L538" s="4">
        <v>46274</v>
      </c>
      <c r="M538" t="s">
        <v>38</v>
      </c>
      <c r="N538" t="s">
        <v>75</v>
      </c>
      <c r="O538">
        <v>0</v>
      </c>
      <c r="P538" t="s">
        <v>106</v>
      </c>
      <c r="Q538" s="4">
        <v>46157</v>
      </c>
      <c r="R538" t="s">
        <v>57</v>
      </c>
      <c r="S538" t="s">
        <v>38</v>
      </c>
      <c r="T538" t="s">
        <v>3153</v>
      </c>
      <c r="U538" t="s">
        <v>75</v>
      </c>
      <c r="V538" t="s">
        <v>3152</v>
      </c>
    </row>
    <row r="539" spans="1:22" x14ac:dyDescent="0.2">
      <c r="A539" t="s">
        <v>1139</v>
      </c>
      <c r="B539" t="s">
        <v>1140</v>
      </c>
      <c r="C539" t="s">
        <v>42</v>
      </c>
      <c r="D539" t="s">
        <v>43</v>
      </c>
      <c r="E539" t="s">
        <v>91</v>
      </c>
      <c r="F539" t="s">
        <v>34</v>
      </c>
      <c r="G539" t="s">
        <v>35</v>
      </c>
      <c r="H539" t="s">
        <v>88</v>
      </c>
      <c r="I539" t="s">
        <v>56</v>
      </c>
      <c r="J539" t="s">
        <v>63</v>
      </c>
      <c r="K539" s="4">
        <v>46101</v>
      </c>
      <c r="L539" s="4">
        <v>46191</v>
      </c>
      <c r="M539" t="s">
        <v>38</v>
      </c>
      <c r="N539" t="s">
        <v>55</v>
      </c>
      <c r="O539">
        <v>1</v>
      </c>
      <c r="P539" t="s">
        <v>70</v>
      </c>
      <c r="Q539" s="4">
        <v>46155</v>
      </c>
      <c r="R539" t="s">
        <v>38</v>
      </c>
      <c r="S539" t="s">
        <v>38</v>
      </c>
      <c r="T539" t="s">
        <v>3153</v>
      </c>
      <c r="U539" t="s">
        <v>55</v>
      </c>
      <c r="V539" t="s">
        <v>3154</v>
      </c>
    </row>
    <row r="540" spans="1:22" x14ac:dyDescent="0.2">
      <c r="A540" t="s">
        <v>1141</v>
      </c>
      <c r="B540" t="s">
        <v>1142</v>
      </c>
      <c r="C540" t="s">
        <v>73</v>
      </c>
      <c r="D540" t="s">
        <v>74</v>
      </c>
      <c r="E540" t="s">
        <v>105</v>
      </c>
      <c r="F540" t="s">
        <v>67</v>
      </c>
      <c r="G540" t="s">
        <v>68</v>
      </c>
      <c r="H540" t="s">
        <v>88</v>
      </c>
      <c r="I540" t="s">
        <v>39</v>
      </c>
      <c r="J540" t="s">
        <v>63</v>
      </c>
      <c r="K540" s="4">
        <v>46188</v>
      </c>
      <c r="L540" s="4">
        <v>46553</v>
      </c>
      <c r="M540" t="s">
        <v>64</v>
      </c>
      <c r="N540" t="s">
        <v>49</v>
      </c>
      <c r="O540">
        <v>3</v>
      </c>
      <c r="P540" t="s">
        <v>62</v>
      </c>
      <c r="Q540" s="4">
        <v>46364</v>
      </c>
      <c r="R540" t="s">
        <v>64</v>
      </c>
      <c r="S540" t="s">
        <v>3155</v>
      </c>
      <c r="T540" t="s">
        <v>3153</v>
      </c>
      <c r="U540" t="s">
        <v>49</v>
      </c>
      <c r="V540" t="s">
        <v>3154</v>
      </c>
    </row>
    <row r="541" spans="1:22" x14ac:dyDescent="0.2">
      <c r="A541" t="s">
        <v>1143</v>
      </c>
      <c r="B541" t="s">
        <v>1144</v>
      </c>
      <c r="C541" t="s">
        <v>103</v>
      </c>
      <c r="D541" t="s">
        <v>104</v>
      </c>
      <c r="E541" t="s">
        <v>44</v>
      </c>
      <c r="F541" t="s">
        <v>67</v>
      </c>
      <c r="G541" t="s">
        <v>68</v>
      </c>
      <c r="H541" t="s">
        <v>47</v>
      </c>
      <c r="I541" t="s">
        <v>54</v>
      </c>
      <c r="J541" t="s">
        <v>63</v>
      </c>
      <c r="K541" s="4">
        <v>46218</v>
      </c>
      <c r="L541" s="4">
        <v>46308</v>
      </c>
      <c r="M541" t="s">
        <v>84</v>
      </c>
      <c r="N541" t="s">
        <v>55</v>
      </c>
      <c r="O541">
        <v>1</v>
      </c>
      <c r="P541" t="s">
        <v>54</v>
      </c>
      <c r="Q541" s="4">
        <v>46361</v>
      </c>
      <c r="R541" t="s">
        <v>84</v>
      </c>
      <c r="S541" t="s">
        <v>3155</v>
      </c>
      <c r="T541" t="s">
        <v>3153</v>
      </c>
      <c r="U541" t="s">
        <v>55</v>
      </c>
      <c r="V541" t="s">
        <v>3154</v>
      </c>
    </row>
    <row r="542" spans="1:22" x14ac:dyDescent="0.2">
      <c r="A542" t="s">
        <v>1145</v>
      </c>
      <c r="B542" t="s">
        <v>1146</v>
      </c>
      <c r="C542" t="s">
        <v>96</v>
      </c>
      <c r="D542" t="s">
        <v>97</v>
      </c>
      <c r="E542" t="s">
        <v>80</v>
      </c>
      <c r="F542" t="s">
        <v>45</v>
      </c>
      <c r="G542" t="s">
        <v>61</v>
      </c>
      <c r="H542" t="s">
        <v>47</v>
      </c>
      <c r="I542" t="s">
        <v>62</v>
      </c>
      <c r="J542" t="s">
        <v>48</v>
      </c>
      <c r="K542" s="4">
        <v>46264</v>
      </c>
      <c r="L542" s="4">
        <v>46354</v>
      </c>
      <c r="M542" t="s">
        <v>64</v>
      </c>
      <c r="N542" t="s">
        <v>55</v>
      </c>
      <c r="O542">
        <v>3</v>
      </c>
      <c r="P542" t="s">
        <v>54</v>
      </c>
      <c r="Q542" s="4">
        <v>46363</v>
      </c>
      <c r="R542" t="s">
        <v>84</v>
      </c>
      <c r="S542" t="s">
        <v>3155</v>
      </c>
      <c r="T542" t="s">
        <v>3153</v>
      </c>
      <c r="U542" t="s">
        <v>55</v>
      </c>
      <c r="V542" t="s">
        <v>3154</v>
      </c>
    </row>
    <row r="543" spans="1:22" x14ac:dyDescent="0.2">
      <c r="A543" t="s">
        <v>1147</v>
      </c>
      <c r="B543" t="s">
        <v>1148</v>
      </c>
      <c r="C543" t="s">
        <v>42</v>
      </c>
      <c r="D543" t="s">
        <v>43</v>
      </c>
      <c r="E543" t="s">
        <v>105</v>
      </c>
      <c r="F543" t="s">
        <v>67</v>
      </c>
      <c r="G543" t="s">
        <v>118</v>
      </c>
      <c r="H543" t="s">
        <v>88</v>
      </c>
      <c r="I543" t="s">
        <v>70</v>
      </c>
      <c r="J543" t="s">
        <v>37</v>
      </c>
      <c r="K543" s="4">
        <v>45953</v>
      </c>
      <c r="L543" s="4">
        <v>46318</v>
      </c>
      <c r="M543" t="s">
        <v>64</v>
      </c>
      <c r="N543" t="s">
        <v>75</v>
      </c>
      <c r="O543">
        <v>3</v>
      </c>
      <c r="P543" t="s">
        <v>62</v>
      </c>
      <c r="Q543" s="4">
        <v>46411</v>
      </c>
      <c r="R543" t="s">
        <v>84</v>
      </c>
      <c r="S543" t="s">
        <v>3155</v>
      </c>
      <c r="T543" t="s">
        <v>3153</v>
      </c>
      <c r="U543" t="s">
        <v>75</v>
      </c>
      <c r="V543" t="s">
        <v>3154</v>
      </c>
    </row>
    <row r="544" spans="1:22" x14ac:dyDescent="0.2">
      <c r="A544" t="s">
        <v>1149</v>
      </c>
      <c r="B544" t="s">
        <v>1150</v>
      </c>
      <c r="C544" t="s">
        <v>31</v>
      </c>
      <c r="D544" t="s">
        <v>32</v>
      </c>
      <c r="E544" t="s">
        <v>44</v>
      </c>
      <c r="F544" t="s">
        <v>67</v>
      </c>
      <c r="G544" t="s">
        <v>118</v>
      </c>
      <c r="H544" t="s">
        <v>36</v>
      </c>
      <c r="I544" t="s">
        <v>39</v>
      </c>
      <c r="J544" t="s">
        <v>63</v>
      </c>
      <c r="K544" s="4">
        <v>46059</v>
      </c>
      <c r="L544" s="4">
        <v>46424</v>
      </c>
      <c r="M544" t="s">
        <v>64</v>
      </c>
      <c r="N544" t="s">
        <v>55</v>
      </c>
      <c r="O544">
        <v>2</v>
      </c>
      <c r="P544" t="s">
        <v>106</v>
      </c>
      <c r="Q544" s="4">
        <v>46328</v>
      </c>
      <c r="R544" t="s">
        <v>84</v>
      </c>
      <c r="S544" t="s">
        <v>3155</v>
      </c>
      <c r="T544" t="s">
        <v>3153</v>
      </c>
      <c r="U544" t="s">
        <v>55</v>
      </c>
      <c r="V544" t="s">
        <v>3152</v>
      </c>
    </row>
    <row r="545" spans="1:22" x14ac:dyDescent="0.2">
      <c r="A545" t="s">
        <v>1151</v>
      </c>
      <c r="B545" t="s">
        <v>1152</v>
      </c>
      <c r="C545" t="s">
        <v>73</v>
      </c>
      <c r="D545" t="s">
        <v>74</v>
      </c>
      <c r="E545" t="s">
        <v>105</v>
      </c>
      <c r="F545" t="s">
        <v>67</v>
      </c>
      <c r="G545" t="s">
        <v>118</v>
      </c>
      <c r="H545" t="s">
        <v>47</v>
      </c>
      <c r="I545" t="s">
        <v>54</v>
      </c>
      <c r="J545" t="s">
        <v>63</v>
      </c>
      <c r="K545" s="4">
        <v>46035</v>
      </c>
      <c r="L545" s="4">
        <v>46215</v>
      </c>
      <c r="M545" t="s">
        <v>38</v>
      </c>
      <c r="N545" t="s">
        <v>75</v>
      </c>
      <c r="O545">
        <v>1</v>
      </c>
      <c r="P545" t="s">
        <v>111</v>
      </c>
      <c r="Q545" s="4">
        <v>46374</v>
      </c>
      <c r="R545" t="s">
        <v>64</v>
      </c>
      <c r="S545" t="s">
        <v>38</v>
      </c>
      <c r="T545" t="s">
        <v>3153</v>
      </c>
      <c r="U545" t="s">
        <v>75</v>
      </c>
      <c r="V545" t="s">
        <v>3154</v>
      </c>
    </row>
    <row r="546" spans="1:22" x14ac:dyDescent="0.2">
      <c r="A546" t="s">
        <v>1153</v>
      </c>
      <c r="B546" t="s">
        <v>1154</v>
      </c>
      <c r="C546" t="s">
        <v>31</v>
      </c>
      <c r="D546" t="s">
        <v>83</v>
      </c>
      <c r="E546" t="s">
        <v>91</v>
      </c>
      <c r="F546" t="s">
        <v>45</v>
      </c>
      <c r="G546" t="s">
        <v>61</v>
      </c>
      <c r="H546" t="s">
        <v>36</v>
      </c>
      <c r="I546" t="s">
        <v>62</v>
      </c>
      <c r="J546" t="s">
        <v>48</v>
      </c>
      <c r="K546" s="4">
        <v>45849</v>
      </c>
      <c r="L546" s="4">
        <v>46214</v>
      </c>
      <c r="M546" t="s">
        <v>38</v>
      </c>
      <c r="N546" t="s">
        <v>49</v>
      </c>
      <c r="O546">
        <v>5</v>
      </c>
      <c r="P546" t="s">
        <v>56</v>
      </c>
      <c r="Q546" s="4">
        <v>46299</v>
      </c>
      <c r="R546" t="s">
        <v>84</v>
      </c>
      <c r="S546" t="s">
        <v>38</v>
      </c>
      <c r="T546" t="s">
        <v>3153</v>
      </c>
      <c r="U546" t="s">
        <v>49</v>
      </c>
      <c r="V546" t="s">
        <v>3152</v>
      </c>
    </row>
    <row r="547" spans="1:22" x14ac:dyDescent="0.2">
      <c r="A547" t="s">
        <v>1155</v>
      </c>
      <c r="B547" t="s">
        <v>1156</v>
      </c>
      <c r="C547" t="s">
        <v>96</v>
      </c>
      <c r="D547" t="s">
        <v>97</v>
      </c>
      <c r="E547" t="s">
        <v>91</v>
      </c>
      <c r="F547" t="s">
        <v>34</v>
      </c>
      <c r="G547" t="s">
        <v>35</v>
      </c>
      <c r="H547" t="s">
        <v>88</v>
      </c>
      <c r="I547" t="s">
        <v>50</v>
      </c>
      <c r="J547" t="s">
        <v>48</v>
      </c>
      <c r="K547" s="4">
        <v>46173</v>
      </c>
      <c r="L547" s="4">
        <v>46263</v>
      </c>
      <c r="M547" t="s">
        <v>38</v>
      </c>
      <c r="N547" t="s">
        <v>49</v>
      </c>
      <c r="O547">
        <v>3</v>
      </c>
      <c r="P547" t="s">
        <v>54</v>
      </c>
      <c r="Q547" s="4">
        <v>46166</v>
      </c>
      <c r="R547" t="s">
        <v>38</v>
      </c>
      <c r="S547" t="s">
        <v>38</v>
      </c>
      <c r="T547" t="s">
        <v>3153</v>
      </c>
      <c r="U547" t="s">
        <v>49</v>
      </c>
      <c r="V547" t="s">
        <v>3154</v>
      </c>
    </row>
    <row r="548" spans="1:22" x14ac:dyDescent="0.2">
      <c r="A548" t="s">
        <v>1157</v>
      </c>
      <c r="B548" t="s">
        <v>1158</v>
      </c>
      <c r="C548" t="s">
        <v>73</v>
      </c>
      <c r="D548" t="s">
        <v>74</v>
      </c>
      <c r="E548" t="s">
        <v>105</v>
      </c>
      <c r="F548" t="s">
        <v>34</v>
      </c>
      <c r="G548" t="s">
        <v>35</v>
      </c>
      <c r="H548" t="s">
        <v>88</v>
      </c>
      <c r="I548" t="s">
        <v>56</v>
      </c>
      <c r="J548" t="s">
        <v>48</v>
      </c>
      <c r="K548" s="4">
        <v>46093</v>
      </c>
      <c r="L548" s="4">
        <v>46458</v>
      </c>
      <c r="M548" t="s">
        <v>64</v>
      </c>
      <c r="N548" t="s">
        <v>49</v>
      </c>
      <c r="O548">
        <v>0</v>
      </c>
      <c r="P548" t="s">
        <v>54</v>
      </c>
      <c r="Q548" s="4">
        <v>46147</v>
      </c>
      <c r="R548" t="s">
        <v>57</v>
      </c>
      <c r="S548" t="s">
        <v>3155</v>
      </c>
      <c r="T548" t="s">
        <v>3153</v>
      </c>
      <c r="U548" t="s">
        <v>49</v>
      </c>
      <c r="V548" t="s">
        <v>3154</v>
      </c>
    </row>
    <row r="549" spans="1:22" x14ac:dyDescent="0.2">
      <c r="A549" t="s">
        <v>1159</v>
      </c>
      <c r="B549" t="s">
        <v>1160</v>
      </c>
      <c r="C549" t="s">
        <v>31</v>
      </c>
      <c r="D549" t="s">
        <v>32</v>
      </c>
      <c r="E549" t="s">
        <v>80</v>
      </c>
      <c r="F549" t="s">
        <v>45</v>
      </c>
      <c r="G549" t="s">
        <v>46</v>
      </c>
      <c r="H549" t="s">
        <v>47</v>
      </c>
      <c r="I549" t="s">
        <v>106</v>
      </c>
      <c r="J549" t="s">
        <v>48</v>
      </c>
      <c r="K549" s="4">
        <v>45874</v>
      </c>
      <c r="L549" s="4">
        <v>46054</v>
      </c>
      <c r="M549" t="s">
        <v>38</v>
      </c>
      <c r="N549" t="s">
        <v>55</v>
      </c>
      <c r="O549">
        <v>2</v>
      </c>
      <c r="P549" t="s">
        <v>111</v>
      </c>
      <c r="Q549" s="4">
        <v>46192</v>
      </c>
      <c r="R549" t="s">
        <v>38</v>
      </c>
      <c r="S549" t="s">
        <v>38</v>
      </c>
      <c r="T549" t="s">
        <v>3153</v>
      </c>
      <c r="U549" t="s">
        <v>55</v>
      </c>
      <c r="V549" t="s">
        <v>3154</v>
      </c>
    </row>
    <row r="550" spans="1:22" x14ac:dyDescent="0.2">
      <c r="A550" t="s">
        <v>1161</v>
      </c>
      <c r="B550" t="s">
        <v>1162</v>
      </c>
      <c r="C550" t="s">
        <v>31</v>
      </c>
      <c r="D550" t="s">
        <v>32</v>
      </c>
      <c r="E550" t="s">
        <v>105</v>
      </c>
      <c r="F550" t="s">
        <v>67</v>
      </c>
      <c r="G550" t="s">
        <v>68</v>
      </c>
      <c r="H550" t="s">
        <v>36</v>
      </c>
      <c r="I550" t="s">
        <v>70</v>
      </c>
      <c r="J550" t="s">
        <v>48</v>
      </c>
      <c r="K550" s="4">
        <v>45854</v>
      </c>
      <c r="L550" s="4">
        <v>46219</v>
      </c>
      <c r="M550" t="s">
        <v>38</v>
      </c>
      <c r="N550" t="s">
        <v>55</v>
      </c>
      <c r="O550">
        <v>4</v>
      </c>
      <c r="P550" t="s">
        <v>106</v>
      </c>
      <c r="Q550" s="4">
        <v>46168</v>
      </c>
      <c r="R550" t="s">
        <v>64</v>
      </c>
      <c r="S550" t="s">
        <v>38</v>
      </c>
      <c r="T550" t="s">
        <v>3153</v>
      </c>
      <c r="U550" t="s">
        <v>55</v>
      </c>
      <c r="V550" t="s">
        <v>3152</v>
      </c>
    </row>
    <row r="551" spans="1:22" x14ac:dyDescent="0.2">
      <c r="A551" t="s">
        <v>1163</v>
      </c>
      <c r="B551" t="s">
        <v>1164</v>
      </c>
      <c r="C551" t="s">
        <v>31</v>
      </c>
      <c r="D551" t="s">
        <v>32</v>
      </c>
      <c r="E551" t="s">
        <v>91</v>
      </c>
      <c r="F551" t="s">
        <v>45</v>
      </c>
      <c r="G551" t="s">
        <v>61</v>
      </c>
      <c r="H551" t="s">
        <v>88</v>
      </c>
      <c r="I551" t="s">
        <v>111</v>
      </c>
      <c r="J551" t="s">
        <v>48</v>
      </c>
      <c r="K551" s="4">
        <v>45900</v>
      </c>
      <c r="L551" s="4">
        <v>45990</v>
      </c>
      <c r="M551" t="s">
        <v>38</v>
      </c>
      <c r="N551" t="s">
        <v>55</v>
      </c>
      <c r="O551">
        <v>2</v>
      </c>
      <c r="P551" t="s">
        <v>111</v>
      </c>
      <c r="Q551" s="4">
        <v>46286</v>
      </c>
      <c r="R551" t="s">
        <v>38</v>
      </c>
      <c r="S551" t="s">
        <v>38</v>
      </c>
      <c r="T551" t="s">
        <v>3153</v>
      </c>
      <c r="U551" t="s">
        <v>55</v>
      </c>
      <c r="V551" t="s">
        <v>3154</v>
      </c>
    </row>
    <row r="552" spans="1:22" x14ac:dyDescent="0.2">
      <c r="A552" t="s">
        <v>1165</v>
      </c>
      <c r="B552" t="s">
        <v>1166</v>
      </c>
      <c r="C552" t="s">
        <v>78</v>
      </c>
      <c r="D552" t="s">
        <v>79</v>
      </c>
      <c r="E552" t="s">
        <v>44</v>
      </c>
      <c r="F552" t="s">
        <v>67</v>
      </c>
      <c r="G552" t="s">
        <v>68</v>
      </c>
      <c r="H552" t="s">
        <v>36</v>
      </c>
      <c r="I552" t="s">
        <v>111</v>
      </c>
      <c r="J552" t="s">
        <v>63</v>
      </c>
      <c r="K552" s="4">
        <v>46101</v>
      </c>
      <c r="L552" s="4">
        <v>46281</v>
      </c>
      <c r="M552" t="s">
        <v>38</v>
      </c>
      <c r="N552" t="s">
        <v>49</v>
      </c>
      <c r="O552">
        <v>1</v>
      </c>
      <c r="P552" t="s">
        <v>54</v>
      </c>
      <c r="Q552" s="4">
        <v>46158</v>
      </c>
      <c r="R552" t="s">
        <v>64</v>
      </c>
      <c r="S552" t="s">
        <v>38</v>
      </c>
      <c r="T552" t="s">
        <v>3153</v>
      </c>
      <c r="U552" t="s">
        <v>49</v>
      </c>
      <c r="V552" t="s">
        <v>3152</v>
      </c>
    </row>
    <row r="553" spans="1:22" x14ac:dyDescent="0.2">
      <c r="A553" t="s">
        <v>1167</v>
      </c>
      <c r="B553" t="s">
        <v>1168</v>
      </c>
      <c r="C553" t="s">
        <v>31</v>
      </c>
      <c r="D553" t="s">
        <v>87</v>
      </c>
      <c r="E553" t="s">
        <v>44</v>
      </c>
      <c r="F553" t="s">
        <v>45</v>
      </c>
      <c r="G553" t="s">
        <v>61</v>
      </c>
      <c r="H553" t="s">
        <v>47</v>
      </c>
      <c r="I553" t="s">
        <v>62</v>
      </c>
      <c r="J553" t="s">
        <v>63</v>
      </c>
      <c r="K553" s="4">
        <v>46064</v>
      </c>
      <c r="L553" s="4">
        <v>46244</v>
      </c>
      <c r="M553" t="s">
        <v>38</v>
      </c>
      <c r="N553" t="s">
        <v>75</v>
      </c>
      <c r="O553">
        <v>2</v>
      </c>
      <c r="P553" t="s">
        <v>70</v>
      </c>
      <c r="Q553" s="4">
        <v>46130</v>
      </c>
      <c r="R553" t="s">
        <v>38</v>
      </c>
      <c r="S553" t="s">
        <v>38</v>
      </c>
      <c r="T553" t="s">
        <v>3153</v>
      </c>
      <c r="U553" t="s">
        <v>75</v>
      </c>
      <c r="V553" t="s">
        <v>3154</v>
      </c>
    </row>
    <row r="554" spans="1:22" x14ac:dyDescent="0.2">
      <c r="A554" t="s">
        <v>1169</v>
      </c>
      <c r="B554" t="s">
        <v>1170</v>
      </c>
      <c r="C554" t="s">
        <v>31</v>
      </c>
      <c r="D554" t="s">
        <v>87</v>
      </c>
      <c r="E554" t="s">
        <v>53</v>
      </c>
      <c r="F554" t="s">
        <v>45</v>
      </c>
      <c r="G554" t="s">
        <v>61</v>
      </c>
      <c r="H554" t="s">
        <v>88</v>
      </c>
      <c r="I554" t="s">
        <v>50</v>
      </c>
      <c r="J554" t="s">
        <v>63</v>
      </c>
      <c r="K554" s="4">
        <v>46053</v>
      </c>
      <c r="L554" s="4">
        <v>46143</v>
      </c>
      <c r="M554" t="s">
        <v>38</v>
      </c>
      <c r="N554" t="s">
        <v>75</v>
      </c>
      <c r="O554">
        <v>0</v>
      </c>
      <c r="P554" t="s">
        <v>56</v>
      </c>
      <c r="Q554" s="4">
        <v>46192</v>
      </c>
      <c r="R554" t="s">
        <v>57</v>
      </c>
      <c r="S554" t="s">
        <v>38</v>
      </c>
      <c r="T554" t="s">
        <v>3153</v>
      </c>
      <c r="U554" t="s">
        <v>75</v>
      </c>
      <c r="V554" t="s">
        <v>3154</v>
      </c>
    </row>
    <row r="555" spans="1:22" x14ac:dyDescent="0.2">
      <c r="A555" t="s">
        <v>1171</v>
      </c>
      <c r="B555" t="s">
        <v>1172</v>
      </c>
      <c r="C555" t="s">
        <v>31</v>
      </c>
      <c r="D555" t="s">
        <v>83</v>
      </c>
      <c r="E555" t="s">
        <v>91</v>
      </c>
      <c r="F555" t="s">
        <v>67</v>
      </c>
      <c r="G555" t="s">
        <v>118</v>
      </c>
      <c r="H555" t="s">
        <v>36</v>
      </c>
      <c r="I555" t="s">
        <v>56</v>
      </c>
      <c r="J555" t="s">
        <v>37</v>
      </c>
      <c r="K555" s="4">
        <v>45906</v>
      </c>
      <c r="L555" s="4">
        <v>46271</v>
      </c>
      <c r="M555" t="s">
        <v>38</v>
      </c>
      <c r="N555" t="s">
        <v>75</v>
      </c>
      <c r="O555">
        <v>2</v>
      </c>
      <c r="P555" t="s">
        <v>111</v>
      </c>
      <c r="Q555" s="4">
        <v>46119</v>
      </c>
      <c r="R555" t="s">
        <v>38</v>
      </c>
      <c r="S555" t="s">
        <v>38</v>
      </c>
      <c r="T555" t="s">
        <v>3153</v>
      </c>
      <c r="U555" t="s">
        <v>75</v>
      </c>
      <c r="V555" t="s">
        <v>3152</v>
      </c>
    </row>
    <row r="556" spans="1:22" x14ac:dyDescent="0.2">
      <c r="A556" t="s">
        <v>1173</v>
      </c>
      <c r="B556" t="s">
        <v>1174</v>
      </c>
      <c r="C556" t="s">
        <v>31</v>
      </c>
      <c r="D556" t="s">
        <v>32</v>
      </c>
      <c r="E556" t="s">
        <v>60</v>
      </c>
      <c r="F556" t="s">
        <v>34</v>
      </c>
      <c r="G556" t="s">
        <v>35</v>
      </c>
      <c r="H556" t="s">
        <v>88</v>
      </c>
      <c r="I556" t="s">
        <v>111</v>
      </c>
      <c r="J556" t="s">
        <v>63</v>
      </c>
      <c r="K556" s="4">
        <v>45918</v>
      </c>
      <c r="L556" s="4">
        <v>46098</v>
      </c>
      <c r="M556" t="s">
        <v>38</v>
      </c>
      <c r="N556" t="s">
        <v>49</v>
      </c>
      <c r="O556">
        <v>3</v>
      </c>
      <c r="P556" t="s">
        <v>106</v>
      </c>
      <c r="Q556" s="4">
        <v>46216</v>
      </c>
      <c r="R556" t="s">
        <v>38</v>
      </c>
      <c r="S556" t="s">
        <v>38</v>
      </c>
      <c r="T556" t="s">
        <v>3153</v>
      </c>
      <c r="U556" t="s">
        <v>49</v>
      </c>
      <c r="V556" t="s">
        <v>3154</v>
      </c>
    </row>
    <row r="557" spans="1:22" x14ac:dyDescent="0.2">
      <c r="A557" t="s">
        <v>1175</v>
      </c>
      <c r="B557" t="s">
        <v>1176</v>
      </c>
      <c r="C557" t="s">
        <v>31</v>
      </c>
      <c r="D557" t="s">
        <v>83</v>
      </c>
      <c r="E557" t="s">
        <v>60</v>
      </c>
      <c r="F557" t="s">
        <v>67</v>
      </c>
      <c r="G557" t="s">
        <v>68</v>
      </c>
      <c r="H557" t="s">
        <v>98</v>
      </c>
      <c r="I557" t="s">
        <v>56</v>
      </c>
      <c r="J557" t="s">
        <v>48</v>
      </c>
      <c r="K557" s="4">
        <v>46166</v>
      </c>
      <c r="L557" s="4">
        <v>46256</v>
      </c>
      <c r="M557" t="s">
        <v>38</v>
      </c>
      <c r="N557" t="s">
        <v>49</v>
      </c>
      <c r="O557">
        <v>4</v>
      </c>
      <c r="P557" t="s">
        <v>56</v>
      </c>
      <c r="Q557" s="4">
        <v>46274</v>
      </c>
      <c r="R557" t="s">
        <v>38</v>
      </c>
      <c r="S557" t="s">
        <v>38</v>
      </c>
      <c r="T557" t="s">
        <v>3153</v>
      </c>
      <c r="U557" t="s">
        <v>49</v>
      </c>
      <c r="V557" t="s">
        <v>3152</v>
      </c>
    </row>
    <row r="558" spans="1:22" x14ac:dyDescent="0.2">
      <c r="A558" t="s">
        <v>1177</v>
      </c>
      <c r="B558" t="s">
        <v>1178</v>
      </c>
      <c r="C558" t="s">
        <v>31</v>
      </c>
      <c r="D558" t="s">
        <v>87</v>
      </c>
      <c r="E558" t="s">
        <v>91</v>
      </c>
      <c r="F558" t="s">
        <v>45</v>
      </c>
      <c r="G558" t="s">
        <v>61</v>
      </c>
      <c r="H558" t="s">
        <v>88</v>
      </c>
      <c r="I558" t="s">
        <v>70</v>
      </c>
      <c r="J558" t="s">
        <v>63</v>
      </c>
      <c r="K558" s="4">
        <v>45901</v>
      </c>
      <c r="L558" s="4">
        <v>45991</v>
      </c>
      <c r="M558" t="s">
        <v>38</v>
      </c>
      <c r="N558" t="s">
        <v>75</v>
      </c>
      <c r="O558">
        <v>2</v>
      </c>
      <c r="P558" t="s">
        <v>70</v>
      </c>
      <c r="Q558" s="4">
        <v>46374</v>
      </c>
      <c r="R558" t="s">
        <v>84</v>
      </c>
      <c r="S558" t="s">
        <v>38</v>
      </c>
      <c r="T558" t="s">
        <v>3153</v>
      </c>
      <c r="U558" t="s">
        <v>75</v>
      </c>
      <c r="V558" t="s">
        <v>3154</v>
      </c>
    </row>
    <row r="559" spans="1:22" x14ac:dyDescent="0.2">
      <c r="A559" t="s">
        <v>1179</v>
      </c>
      <c r="B559" t="s">
        <v>1180</v>
      </c>
      <c r="C559" t="s">
        <v>103</v>
      </c>
      <c r="D559" t="s">
        <v>104</v>
      </c>
      <c r="E559" t="s">
        <v>60</v>
      </c>
      <c r="F559" t="s">
        <v>67</v>
      </c>
      <c r="G559" t="s">
        <v>118</v>
      </c>
      <c r="H559" t="s">
        <v>36</v>
      </c>
      <c r="I559" t="s">
        <v>111</v>
      </c>
      <c r="J559" t="s">
        <v>37</v>
      </c>
      <c r="K559" s="4">
        <v>46102</v>
      </c>
      <c r="L559" s="4">
        <v>46192</v>
      </c>
      <c r="M559" t="s">
        <v>38</v>
      </c>
      <c r="N559" t="s">
        <v>49</v>
      </c>
      <c r="O559">
        <v>4</v>
      </c>
      <c r="P559" t="s">
        <v>56</v>
      </c>
      <c r="Q559" s="4">
        <v>46404</v>
      </c>
      <c r="R559" t="s">
        <v>84</v>
      </c>
      <c r="S559" t="s">
        <v>38</v>
      </c>
      <c r="T559" t="s">
        <v>3153</v>
      </c>
      <c r="U559" t="s">
        <v>49</v>
      </c>
      <c r="V559" t="s">
        <v>3152</v>
      </c>
    </row>
    <row r="560" spans="1:22" x14ac:dyDescent="0.2">
      <c r="A560" t="s">
        <v>1181</v>
      </c>
      <c r="B560" t="s">
        <v>1182</v>
      </c>
      <c r="C560" t="s">
        <v>78</v>
      </c>
      <c r="D560" t="s">
        <v>79</v>
      </c>
      <c r="E560" t="s">
        <v>91</v>
      </c>
      <c r="F560" t="s">
        <v>34</v>
      </c>
      <c r="G560" t="s">
        <v>35</v>
      </c>
      <c r="H560" t="s">
        <v>88</v>
      </c>
      <c r="I560" t="s">
        <v>54</v>
      </c>
      <c r="J560" t="s">
        <v>37</v>
      </c>
      <c r="K560" s="4">
        <v>46222</v>
      </c>
      <c r="L560" s="4">
        <v>46402</v>
      </c>
      <c r="M560" t="s">
        <v>64</v>
      </c>
      <c r="N560" t="s">
        <v>55</v>
      </c>
      <c r="O560">
        <v>2</v>
      </c>
      <c r="P560" t="s">
        <v>70</v>
      </c>
      <c r="Q560" s="4">
        <v>46347</v>
      </c>
      <c r="R560" t="s">
        <v>64</v>
      </c>
      <c r="S560" t="s">
        <v>3155</v>
      </c>
      <c r="T560" t="s">
        <v>3153</v>
      </c>
      <c r="U560" t="s">
        <v>55</v>
      </c>
      <c r="V560" t="s">
        <v>3154</v>
      </c>
    </row>
    <row r="561" spans="1:22" x14ac:dyDescent="0.2">
      <c r="A561" t="s">
        <v>1183</v>
      </c>
      <c r="B561" t="s">
        <v>1184</v>
      </c>
      <c r="C561" t="s">
        <v>78</v>
      </c>
      <c r="D561" t="s">
        <v>79</v>
      </c>
      <c r="E561" t="s">
        <v>80</v>
      </c>
      <c r="F561" t="s">
        <v>45</v>
      </c>
      <c r="G561" t="s">
        <v>46</v>
      </c>
      <c r="H561" t="s">
        <v>36</v>
      </c>
      <c r="I561" t="s">
        <v>111</v>
      </c>
      <c r="J561" t="s">
        <v>37</v>
      </c>
      <c r="K561" s="4">
        <v>46166</v>
      </c>
      <c r="L561" s="4">
        <v>46346</v>
      </c>
      <c r="M561" t="s">
        <v>64</v>
      </c>
      <c r="N561" t="s">
        <v>49</v>
      </c>
      <c r="O561">
        <v>4</v>
      </c>
      <c r="P561" t="s">
        <v>111</v>
      </c>
      <c r="Q561" s="4">
        <v>46321</v>
      </c>
      <c r="R561" t="s">
        <v>84</v>
      </c>
      <c r="S561" t="s">
        <v>3155</v>
      </c>
      <c r="T561" t="s">
        <v>3153</v>
      </c>
      <c r="U561" t="s">
        <v>49</v>
      </c>
      <c r="V561" t="s">
        <v>3152</v>
      </c>
    </row>
    <row r="562" spans="1:22" x14ac:dyDescent="0.2">
      <c r="A562" t="s">
        <v>1185</v>
      </c>
      <c r="B562" t="s">
        <v>1186</v>
      </c>
      <c r="C562" t="s">
        <v>96</v>
      </c>
      <c r="D562" t="s">
        <v>97</v>
      </c>
      <c r="E562" t="s">
        <v>80</v>
      </c>
      <c r="F562" t="s">
        <v>34</v>
      </c>
      <c r="G562" t="s">
        <v>35</v>
      </c>
      <c r="H562" t="s">
        <v>88</v>
      </c>
      <c r="I562" t="s">
        <v>111</v>
      </c>
      <c r="J562" t="s">
        <v>63</v>
      </c>
      <c r="K562" s="4">
        <v>45901</v>
      </c>
      <c r="L562" s="4">
        <v>46081</v>
      </c>
      <c r="M562" t="s">
        <v>38</v>
      </c>
      <c r="N562" t="s">
        <v>55</v>
      </c>
      <c r="O562">
        <v>1</v>
      </c>
      <c r="P562" t="s">
        <v>70</v>
      </c>
      <c r="Q562" s="4">
        <v>46373</v>
      </c>
      <c r="R562" t="s">
        <v>64</v>
      </c>
      <c r="S562" t="s">
        <v>38</v>
      </c>
      <c r="T562" t="s">
        <v>3153</v>
      </c>
      <c r="U562" t="s">
        <v>55</v>
      </c>
      <c r="V562" t="s">
        <v>3154</v>
      </c>
    </row>
    <row r="563" spans="1:22" x14ac:dyDescent="0.2">
      <c r="A563" t="s">
        <v>1187</v>
      </c>
      <c r="B563" t="s">
        <v>1188</v>
      </c>
      <c r="C563" t="s">
        <v>42</v>
      </c>
      <c r="D563" t="s">
        <v>43</v>
      </c>
      <c r="E563" t="s">
        <v>80</v>
      </c>
      <c r="F563" t="s">
        <v>34</v>
      </c>
      <c r="G563" t="s">
        <v>35</v>
      </c>
      <c r="H563" t="s">
        <v>88</v>
      </c>
      <c r="I563" t="s">
        <v>50</v>
      </c>
      <c r="J563" t="s">
        <v>63</v>
      </c>
      <c r="K563" s="4">
        <v>45989</v>
      </c>
      <c r="L563" s="4">
        <v>46169</v>
      </c>
      <c r="M563" t="s">
        <v>38</v>
      </c>
      <c r="N563" t="s">
        <v>55</v>
      </c>
      <c r="O563">
        <v>3</v>
      </c>
      <c r="P563" t="s">
        <v>50</v>
      </c>
      <c r="Q563" s="4">
        <v>46171</v>
      </c>
      <c r="R563" t="s">
        <v>64</v>
      </c>
      <c r="S563" t="s">
        <v>38</v>
      </c>
      <c r="T563" t="s">
        <v>3153</v>
      </c>
      <c r="U563" t="s">
        <v>55</v>
      </c>
      <c r="V563" t="s">
        <v>3154</v>
      </c>
    </row>
    <row r="564" spans="1:22" x14ac:dyDescent="0.2">
      <c r="A564" t="s">
        <v>1189</v>
      </c>
      <c r="B564" t="s">
        <v>1190</v>
      </c>
      <c r="C564" t="s">
        <v>42</v>
      </c>
      <c r="D564" t="s">
        <v>43</v>
      </c>
      <c r="E564" t="s">
        <v>53</v>
      </c>
      <c r="F564" t="s">
        <v>45</v>
      </c>
      <c r="G564" t="s">
        <v>61</v>
      </c>
      <c r="H564" t="s">
        <v>98</v>
      </c>
      <c r="I564" t="s">
        <v>56</v>
      </c>
      <c r="J564" t="s">
        <v>48</v>
      </c>
      <c r="K564" s="4">
        <v>46125</v>
      </c>
      <c r="L564" s="4">
        <v>46305</v>
      </c>
      <c r="M564" t="s">
        <v>64</v>
      </c>
      <c r="N564" t="s">
        <v>55</v>
      </c>
      <c r="O564">
        <v>1</v>
      </c>
      <c r="P564" t="s">
        <v>50</v>
      </c>
      <c r="Q564" s="4">
        <v>46330</v>
      </c>
      <c r="R564" t="s">
        <v>64</v>
      </c>
      <c r="S564" t="s">
        <v>3155</v>
      </c>
      <c r="T564" t="s">
        <v>3153</v>
      </c>
      <c r="U564" t="s">
        <v>55</v>
      </c>
      <c r="V564" t="s">
        <v>3152</v>
      </c>
    </row>
    <row r="565" spans="1:22" x14ac:dyDescent="0.2">
      <c r="A565" t="s">
        <v>1191</v>
      </c>
      <c r="B565" t="s">
        <v>1192</v>
      </c>
      <c r="C565" t="s">
        <v>73</v>
      </c>
      <c r="D565" t="s">
        <v>74</v>
      </c>
      <c r="E565" t="s">
        <v>105</v>
      </c>
      <c r="F565" t="s">
        <v>34</v>
      </c>
      <c r="G565" t="s">
        <v>35</v>
      </c>
      <c r="H565" t="s">
        <v>47</v>
      </c>
      <c r="I565" t="s">
        <v>106</v>
      </c>
      <c r="J565" t="s">
        <v>37</v>
      </c>
      <c r="K565" s="4">
        <v>46241</v>
      </c>
      <c r="L565" s="4">
        <v>46331</v>
      </c>
      <c r="M565" t="s">
        <v>64</v>
      </c>
      <c r="N565" t="s">
        <v>49</v>
      </c>
      <c r="O565">
        <v>2</v>
      </c>
      <c r="P565" t="s">
        <v>111</v>
      </c>
      <c r="Q565" s="4">
        <v>46404</v>
      </c>
      <c r="R565" t="s">
        <v>84</v>
      </c>
      <c r="S565" t="s">
        <v>3155</v>
      </c>
      <c r="T565" t="s">
        <v>3153</v>
      </c>
      <c r="U565" t="s">
        <v>49</v>
      </c>
      <c r="V565" t="s">
        <v>3154</v>
      </c>
    </row>
    <row r="566" spans="1:22" x14ac:dyDescent="0.2">
      <c r="A566" t="s">
        <v>1193</v>
      </c>
      <c r="B566" t="s">
        <v>1194</v>
      </c>
      <c r="C566" t="s">
        <v>73</v>
      </c>
      <c r="D566" t="s">
        <v>74</v>
      </c>
      <c r="E566" t="s">
        <v>44</v>
      </c>
      <c r="F566" t="s">
        <v>34</v>
      </c>
      <c r="G566" t="s">
        <v>35</v>
      </c>
      <c r="H566" t="s">
        <v>88</v>
      </c>
      <c r="J566" t="s">
        <v>63</v>
      </c>
      <c r="K566" s="4">
        <v>46040</v>
      </c>
      <c r="L566" s="4">
        <v>46220</v>
      </c>
      <c r="M566" t="s">
        <v>38</v>
      </c>
      <c r="N566" t="s">
        <v>49</v>
      </c>
      <c r="O566">
        <v>3</v>
      </c>
      <c r="P566" t="s">
        <v>62</v>
      </c>
      <c r="Q566" s="4">
        <v>46191</v>
      </c>
      <c r="R566" t="s">
        <v>38</v>
      </c>
      <c r="S566" t="s">
        <v>38</v>
      </c>
      <c r="T566" t="s">
        <v>3150</v>
      </c>
      <c r="U566" t="s">
        <v>49</v>
      </c>
      <c r="V566" t="s">
        <v>3154</v>
      </c>
    </row>
    <row r="567" spans="1:22" x14ac:dyDescent="0.2">
      <c r="A567" t="s">
        <v>1195</v>
      </c>
      <c r="B567" t="s">
        <v>1196</v>
      </c>
      <c r="C567" t="s">
        <v>31</v>
      </c>
      <c r="D567" t="s">
        <v>87</v>
      </c>
      <c r="E567" t="s">
        <v>80</v>
      </c>
      <c r="F567" t="s">
        <v>67</v>
      </c>
      <c r="G567" t="s">
        <v>68</v>
      </c>
      <c r="H567" t="s">
        <v>88</v>
      </c>
      <c r="I567" t="s">
        <v>39</v>
      </c>
      <c r="J567" t="s">
        <v>63</v>
      </c>
      <c r="K567" s="4">
        <v>45932</v>
      </c>
      <c r="L567" s="4">
        <v>46112</v>
      </c>
      <c r="M567" t="s">
        <v>38</v>
      </c>
      <c r="N567" t="s">
        <v>49</v>
      </c>
      <c r="O567">
        <v>2</v>
      </c>
      <c r="P567" t="s">
        <v>56</v>
      </c>
      <c r="Q567" s="4">
        <v>46160</v>
      </c>
      <c r="R567" t="s">
        <v>38</v>
      </c>
      <c r="S567" t="s">
        <v>38</v>
      </c>
      <c r="T567" t="s">
        <v>3153</v>
      </c>
      <c r="U567" t="s">
        <v>49</v>
      </c>
      <c r="V567" t="s">
        <v>3154</v>
      </c>
    </row>
    <row r="568" spans="1:22" x14ac:dyDescent="0.2">
      <c r="A568" t="s">
        <v>1197</v>
      </c>
      <c r="B568" t="s">
        <v>1198</v>
      </c>
      <c r="C568" t="s">
        <v>31</v>
      </c>
      <c r="D568" t="s">
        <v>87</v>
      </c>
      <c r="E568" t="s">
        <v>91</v>
      </c>
      <c r="F568" t="s">
        <v>34</v>
      </c>
      <c r="G568" t="s">
        <v>35</v>
      </c>
      <c r="H568" t="s">
        <v>88</v>
      </c>
      <c r="I568" t="s">
        <v>54</v>
      </c>
      <c r="J568" t="s">
        <v>63</v>
      </c>
      <c r="K568" s="4">
        <v>45959</v>
      </c>
      <c r="L568" s="4">
        <v>46324</v>
      </c>
      <c r="M568" t="s">
        <v>84</v>
      </c>
      <c r="N568" t="s">
        <v>49</v>
      </c>
      <c r="O568">
        <v>1</v>
      </c>
      <c r="P568" t="s">
        <v>50</v>
      </c>
      <c r="Q568" s="4">
        <v>46358</v>
      </c>
      <c r="R568" t="s">
        <v>84</v>
      </c>
      <c r="S568" t="s">
        <v>3155</v>
      </c>
      <c r="T568" t="s">
        <v>3153</v>
      </c>
      <c r="U568" t="s">
        <v>49</v>
      </c>
      <c r="V568" t="s">
        <v>3154</v>
      </c>
    </row>
    <row r="569" spans="1:22" x14ac:dyDescent="0.2">
      <c r="A569" t="s">
        <v>1199</v>
      </c>
      <c r="B569" t="s">
        <v>1200</v>
      </c>
      <c r="C569" t="s">
        <v>31</v>
      </c>
      <c r="D569" t="s">
        <v>87</v>
      </c>
      <c r="E569" t="s">
        <v>44</v>
      </c>
      <c r="F569" t="s">
        <v>45</v>
      </c>
      <c r="G569" t="s">
        <v>61</v>
      </c>
      <c r="H569" t="s">
        <v>47</v>
      </c>
      <c r="I569" t="s">
        <v>111</v>
      </c>
      <c r="J569" t="s">
        <v>37</v>
      </c>
      <c r="K569" s="4">
        <v>46232</v>
      </c>
      <c r="L569" s="4">
        <v>46597</v>
      </c>
      <c r="M569" t="s">
        <v>69</v>
      </c>
      <c r="N569" t="s">
        <v>49</v>
      </c>
      <c r="O569">
        <v>0</v>
      </c>
      <c r="P569" t="s">
        <v>50</v>
      </c>
      <c r="Q569" s="4">
        <v>46366</v>
      </c>
      <c r="R569" t="s">
        <v>57</v>
      </c>
      <c r="S569" t="s">
        <v>3155</v>
      </c>
      <c r="T569" t="s">
        <v>3153</v>
      </c>
      <c r="U569" t="s">
        <v>49</v>
      </c>
      <c r="V569" t="s">
        <v>3154</v>
      </c>
    </row>
    <row r="570" spans="1:22" x14ac:dyDescent="0.2">
      <c r="A570" t="s">
        <v>1201</v>
      </c>
      <c r="B570" t="s">
        <v>1202</v>
      </c>
      <c r="C570" t="s">
        <v>31</v>
      </c>
      <c r="D570" t="s">
        <v>32</v>
      </c>
      <c r="E570" t="s">
        <v>60</v>
      </c>
      <c r="F570" t="s">
        <v>67</v>
      </c>
      <c r="G570" t="s">
        <v>68</v>
      </c>
      <c r="H570" t="s">
        <v>88</v>
      </c>
      <c r="I570" t="s">
        <v>56</v>
      </c>
      <c r="J570" t="s">
        <v>37</v>
      </c>
      <c r="K570" s="4">
        <v>46229</v>
      </c>
      <c r="L570" s="4">
        <v>46319</v>
      </c>
      <c r="M570" t="s">
        <v>84</v>
      </c>
      <c r="N570" t="s">
        <v>75</v>
      </c>
      <c r="O570">
        <v>1</v>
      </c>
      <c r="P570" t="s">
        <v>62</v>
      </c>
      <c r="Q570" s="4">
        <v>46208</v>
      </c>
      <c r="R570" t="s">
        <v>64</v>
      </c>
      <c r="S570" t="s">
        <v>3155</v>
      </c>
      <c r="T570" t="s">
        <v>3153</v>
      </c>
      <c r="U570" t="s">
        <v>75</v>
      </c>
      <c r="V570" t="s">
        <v>3154</v>
      </c>
    </row>
    <row r="571" spans="1:22" x14ac:dyDescent="0.2">
      <c r="A571" t="s">
        <v>1203</v>
      </c>
      <c r="B571" t="s">
        <v>1204</v>
      </c>
      <c r="C571" t="s">
        <v>78</v>
      </c>
      <c r="D571" t="s">
        <v>79</v>
      </c>
      <c r="E571" t="s">
        <v>105</v>
      </c>
      <c r="F571" t="s">
        <v>34</v>
      </c>
      <c r="G571" t="s">
        <v>35</v>
      </c>
      <c r="H571" t="s">
        <v>88</v>
      </c>
      <c r="I571" t="s">
        <v>106</v>
      </c>
      <c r="J571" t="s">
        <v>37</v>
      </c>
      <c r="K571" s="4">
        <v>46183</v>
      </c>
      <c r="L571" s="4">
        <v>46273</v>
      </c>
      <c r="M571" t="s">
        <v>38</v>
      </c>
      <c r="N571" t="s">
        <v>49</v>
      </c>
      <c r="O571">
        <v>0</v>
      </c>
      <c r="P571" t="s">
        <v>50</v>
      </c>
      <c r="Q571" s="4">
        <v>46267</v>
      </c>
      <c r="R571" t="s">
        <v>57</v>
      </c>
      <c r="S571" t="s">
        <v>38</v>
      </c>
      <c r="T571" t="s">
        <v>3153</v>
      </c>
      <c r="U571" t="s">
        <v>49</v>
      </c>
      <c r="V571" t="s">
        <v>3154</v>
      </c>
    </row>
    <row r="572" spans="1:22" x14ac:dyDescent="0.2">
      <c r="A572" t="s">
        <v>1205</v>
      </c>
      <c r="B572" t="s">
        <v>1206</v>
      </c>
      <c r="C572" t="s">
        <v>78</v>
      </c>
      <c r="D572" t="s">
        <v>79</v>
      </c>
      <c r="E572" t="s">
        <v>53</v>
      </c>
      <c r="F572" t="s">
        <v>67</v>
      </c>
      <c r="G572" t="s">
        <v>118</v>
      </c>
      <c r="H572" t="s">
        <v>88</v>
      </c>
      <c r="I572" t="s">
        <v>70</v>
      </c>
      <c r="J572" t="s">
        <v>37</v>
      </c>
      <c r="K572" s="4">
        <v>46249</v>
      </c>
      <c r="L572" s="4">
        <v>46339</v>
      </c>
      <c r="M572" t="s">
        <v>64</v>
      </c>
      <c r="N572" t="s">
        <v>49</v>
      </c>
      <c r="O572">
        <v>1</v>
      </c>
      <c r="P572" t="s">
        <v>39</v>
      </c>
      <c r="Q572" s="4">
        <v>46367</v>
      </c>
      <c r="R572" t="s">
        <v>84</v>
      </c>
      <c r="S572" t="s">
        <v>3155</v>
      </c>
      <c r="T572" t="s">
        <v>3153</v>
      </c>
      <c r="U572" t="s">
        <v>49</v>
      </c>
      <c r="V572" t="s">
        <v>3154</v>
      </c>
    </row>
    <row r="573" spans="1:22" x14ac:dyDescent="0.2">
      <c r="A573" t="s">
        <v>1207</v>
      </c>
      <c r="B573" t="s">
        <v>1208</v>
      </c>
      <c r="C573" t="s">
        <v>31</v>
      </c>
      <c r="D573" t="s">
        <v>83</v>
      </c>
      <c r="E573" t="s">
        <v>60</v>
      </c>
      <c r="F573" t="s">
        <v>67</v>
      </c>
      <c r="G573" t="s">
        <v>118</v>
      </c>
      <c r="H573" t="s">
        <v>88</v>
      </c>
      <c r="I573" t="s">
        <v>111</v>
      </c>
      <c r="J573" t="s">
        <v>63</v>
      </c>
      <c r="K573" s="4">
        <v>46261</v>
      </c>
      <c r="L573" s="4">
        <v>46441</v>
      </c>
      <c r="M573" t="s">
        <v>84</v>
      </c>
      <c r="N573" t="s">
        <v>75</v>
      </c>
      <c r="O573">
        <v>0</v>
      </c>
      <c r="P573" t="s">
        <v>62</v>
      </c>
      <c r="Q573" s="4">
        <v>46241</v>
      </c>
      <c r="R573" t="s">
        <v>57</v>
      </c>
      <c r="S573" t="s">
        <v>3155</v>
      </c>
      <c r="T573" t="s">
        <v>3153</v>
      </c>
      <c r="U573" t="s">
        <v>75</v>
      </c>
      <c r="V573" t="s">
        <v>3154</v>
      </c>
    </row>
    <row r="574" spans="1:22" x14ac:dyDescent="0.2">
      <c r="A574" t="s">
        <v>1209</v>
      </c>
      <c r="B574" t="s">
        <v>1210</v>
      </c>
      <c r="C574" t="s">
        <v>31</v>
      </c>
      <c r="D574" t="s">
        <v>87</v>
      </c>
      <c r="E574" t="s">
        <v>91</v>
      </c>
      <c r="F574" t="s">
        <v>67</v>
      </c>
      <c r="G574" t="s">
        <v>68</v>
      </c>
      <c r="H574" t="s">
        <v>88</v>
      </c>
      <c r="I574" t="s">
        <v>50</v>
      </c>
      <c r="J574" t="s">
        <v>37</v>
      </c>
      <c r="K574" s="4">
        <v>46084</v>
      </c>
      <c r="L574" s="4">
        <v>46449</v>
      </c>
      <c r="M574" t="s">
        <v>84</v>
      </c>
      <c r="N574" t="s">
        <v>49</v>
      </c>
      <c r="O574">
        <v>3</v>
      </c>
      <c r="P574" t="s">
        <v>56</v>
      </c>
      <c r="Q574" s="4">
        <v>46399</v>
      </c>
      <c r="R574" t="s">
        <v>84</v>
      </c>
      <c r="S574" t="s">
        <v>3155</v>
      </c>
      <c r="T574" t="s">
        <v>3153</v>
      </c>
      <c r="U574" t="s">
        <v>49</v>
      </c>
      <c r="V574" t="s">
        <v>3154</v>
      </c>
    </row>
    <row r="575" spans="1:22" x14ac:dyDescent="0.2">
      <c r="A575" t="s">
        <v>1211</v>
      </c>
      <c r="B575" t="s">
        <v>1212</v>
      </c>
      <c r="C575" t="s">
        <v>103</v>
      </c>
      <c r="D575" t="s">
        <v>104</v>
      </c>
      <c r="E575" t="s">
        <v>105</v>
      </c>
      <c r="F575" t="s">
        <v>34</v>
      </c>
      <c r="G575" t="s">
        <v>35</v>
      </c>
      <c r="H575" t="s">
        <v>47</v>
      </c>
      <c r="I575" t="s">
        <v>111</v>
      </c>
      <c r="J575" t="s">
        <v>63</v>
      </c>
      <c r="K575" s="4">
        <v>46136</v>
      </c>
      <c r="L575" s="4">
        <v>46501</v>
      </c>
      <c r="M575" t="s">
        <v>64</v>
      </c>
      <c r="N575" t="s">
        <v>49</v>
      </c>
      <c r="O575">
        <v>3</v>
      </c>
      <c r="P575" t="s">
        <v>56</v>
      </c>
      <c r="Q575" s="4">
        <v>46294</v>
      </c>
      <c r="R575" t="s">
        <v>38</v>
      </c>
      <c r="S575" t="s">
        <v>3155</v>
      </c>
      <c r="T575" t="s">
        <v>3153</v>
      </c>
      <c r="U575" t="s">
        <v>49</v>
      </c>
      <c r="V575" t="s">
        <v>3154</v>
      </c>
    </row>
    <row r="576" spans="1:22" x14ac:dyDescent="0.2">
      <c r="A576" t="s">
        <v>1213</v>
      </c>
      <c r="B576" t="s">
        <v>1214</v>
      </c>
      <c r="C576" t="s">
        <v>42</v>
      </c>
      <c r="D576" t="s">
        <v>43</v>
      </c>
      <c r="E576" t="s">
        <v>91</v>
      </c>
      <c r="F576" t="s">
        <v>45</v>
      </c>
      <c r="G576" t="s">
        <v>3156</v>
      </c>
      <c r="H576" t="s">
        <v>88</v>
      </c>
      <c r="I576" t="s">
        <v>70</v>
      </c>
      <c r="J576" t="s">
        <v>48</v>
      </c>
      <c r="K576" s="4">
        <v>46122</v>
      </c>
      <c r="L576" s="4">
        <v>46212</v>
      </c>
      <c r="M576" t="s">
        <v>38</v>
      </c>
      <c r="N576" t="s">
        <v>75</v>
      </c>
      <c r="O576">
        <v>0</v>
      </c>
      <c r="P576" t="s">
        <v>106</v>
      </c>
      <c r="Q576" s="4">
        <v>46186</v>
      </c>
      <c r="R576" t="s">
        <v>57</v>
      </c>
      <c r="S576" t="s">
        <v>38</v>
      </c>
      <c r="T576" t="s">
        <v>3153</v>
      </c>
      <c r="U576" t="s">
        <v>75</v>
      </c>
      <c r="V576" t="s">
        <v>3154</v>
      </c>
    </row>
    <row r="577" spans="1:22" x14ac:dyDescent="0.2">
      <c r="A577" t="s">
        <v>1216</v>
      </c>
      <c r="B577" t="s">
        <v>1217</v>
      </c>
      <c r="C577" t="s">
        <v>73</v>
      </c>
      <c r="D577" t="s">
        <v>74</v>
      </c>
      <c r="E577" t="s">
        <v>91</v>
      </c>
      <c r="F577" t="s">
        <v>34</v>
      </c>
      <c r="G577" t="s">
        <v>35</v>
      </c>
      <c r="H577" t="s">
        <v>47</v>
      </c>
      <c r="I577" t="s">
        <v>111</v>
      </c>
      <c r="J577" t="s">
        <v>63</v>
      </c>
      <c r="K577" s="4">
        <v>46136</v>
      </c>
      <c r="L577" s="4">
        <v>46226</v>
      </c>
      <c r="M577" t="s">
        <v>38</v>
      </c>
      <c r="N577" t="s">
        <v>49</v>
      </c>
      <c r="O577">
        <v>2</v>
      </c>
      <c r="P577" t="s">
        <v>50</v>
      </c>
      <c r="Q577" s="4">
        <v>46289</v>
      </c>
      <c r="R577" t="s">
        <v>64</v>
      </c>
      <c r="S577" t="s">
        <v>38</v>
      </c>
      <c r="T577" t="s">
        <v>3153</v>
      </c>
      <c r="U577" t="s">
        <v>49</v>
      </c>
      <c r="V577" t="s">
        <v>3154</v>
      </c>
    </row>
    <row r="578" spans="1:22" x14ac:dyDescent="0.2">
      <c r="A578" t="s">
        <v>1218</v>
      </c>
      <c r="B578" t="s">
        <v>1219</v>
      </c>
      <c r="C578" t="s">
        <v>31</v>
      </c>
      <c r="D578" t="s">
        <v>32</v>
      </c>
      <c r="E578" t="s">
        <v>60</v>
      </c>
      <c r="F578" t="s">
        <v>34</v>
      </c>
      <c r="G578" t="s">
        <v>35</v>
      </c>
      <c r="H578" t="s">
        <v>88</v>
      </c>
      <c r="I578" t="s">
        <v>39</v>
      </c>
      <c r="J578" t="s">
        <v>48</v>
      </c>
      <c r="K578" s="4">
        <v>45931</v>
      </c>
      <c r="L578" s="4">
        <v>46021</v>
      </c>
      <c r="M578" t="s">
        <v>38</v>
      </c>
      <c r="N578" t="s">
        <v>75</v>
      </c>
      <c r="O578">
        <v>3</v>
      </c>
      <c r="P578" t="s">
        <v>111</v>
      </c>
      <c r="Q578" s="4">
        <v>46316</v>
      </c>
      <c r="R578" t="s">
        <v>84</v>
      </c>
      <c r="S578" t="s">
        <v>38</v>
      </c>
      <c r="T578" t="s">
        <v>3153</v>
      </c>
      <c r="U578" t="s">
        <v>75</v>
      </c>
      <c r="V578" t="s">
        <v>3154</v>
      </c>
    </row>
    <row r="579" spans="1:22" x14ac:dyDescent="0.2">
      <c r="A579" t="s">
        <v>1220</v>
      </c>
      <c r="B579" t="s">
        <v>1221</v>
      </c>
      <c r="C579" t="s">
        <v>31</v>
      </c>
      <c r="D579" t="s">
        <v>87</v>
      </c>
      <c r="E579" t="s">
        <v>53</v>
      </c>
      <c r="F579" t="s">
        <v>34</v>
      </c>
      <c r="G579" t="s">
        <v>35</v>
      </c>
      <c r="H579" t="s">
        <v>98</v>
      </c>
      <c r="I579" t="s">
        <v>62</v>
      </c>
      <c r="J579" t="s">
        <v>37</v>
      </c>
      <c r="K579" s="4">
        <v>45852</v>
      </c>
      <c r="L579" s="4">
        <v>46217</v>
      </c>
      <c r="M579" t="s">
        <v>38</v>
      </c>
      <c r="N579" t="s">
        <v>75</v>
      </c>
      <c r="O579">
        <v>3</v>
      </c>
      <c r="P579" t="s">
        <v>106</v>
      </c>
      <c r="Q579" s="4">
        <v>46205</v>
      </c>
      <c r="R579" t="s">
        <v>38</v>
      </c>
      <c r="S579" t="s">
        <v>38</v>
      </c>
      <c r="T579" t="s">
        <v>3153</v>
      </c>
      <c r="U579" t="s">
        <v>75</v>
      </c>
      <c r="V579" t="s">
        <v>3152</v>
      </c>
    </row>
    <row r="580" spans="1:22" x14ac:dyDescent="0.2">
      <c r="A580" t="s">
        <v>1222</v>
      </c>
      <c r="B580" t="s">
        <v>1223</v>
      </c>
      <c r="C580" t="s">
        <v>42</v>
      </c>
      <c r="D580" t="s">
        <v>43</v>
      </c>
      <c r="E580" t="s">
        <v>105</v>
      </c>
      <c r="F580" t="s">
        <v>45</v>
      </c>
      <c r="G580" t="s">
        <v>61</v>
      </c>
      <c r="H580" t="s">
        <v>47</v>
      </c>
      <c r="I580" t="s">
        <v>39</v>
      </c>
      <c r="J580" t="s">
        <v>63</v>
      </c>
      <c r="K580" s="4">
        <v>45887</v>
      </c>
      <c r="L580" s="4">
        <v>46067</v>
      </c>
      <c r="M580" t="s">
        <v>38</v>
      </c>
      <c r="N580" t="s">
        <v>49</v>
      </c>
      <c r="O580">
        <v>2</v>
      </c>
      <c r="P580" t="s">
        <v>54</v>
      </c>
      <c r="Q580" s="4">
        <v>46213</v>
      </c>
      <c r="R580" t="s">
        <v>64</v>
      </c>
      <c r="S580" t="s">
        <v>38</v>
      </c>
      <c r="T580" t="s">
        <v>3153</v>
      </c>
      <c r="U580" t="s">
        <v>49</v>
      </c>
      <c r="V580" t="s">
        <v>3154</v>
      </c>
    </row>
    <row r="581" spans="1:22" x14ac:dyDescent="0.2">
      <c r="A581" t="s">
        <v>1224</v>
      </c>
      <c r="B581" t="s">
        <v>1225</v>
      </c>
      <c r="C581" t="s">
        <v>78</v>
      </c>
      <c r="D581" t="s">
        <v>79</v>
      </c>
      <c r="E581" t="s">
        <v>53</v>
      </c>
      <c r="F581" t="s">
        <v>45</v>
      </c>
      <c r="G581" t="s">
        <v>61</v>
      </c>
      <c r="H581" t="s">
        <v>47</v>
      </c>
      <c r="I581" t="s">
        <v>111</v>
      </c>
      <c r="J581" t="s">
        <v>37</v>
      </c>
      <c r="K581" s="4">
        <v>45812</v>
      </c>
      <c r="L581" s="4">
        <v>46177</v>
      </c>
      <c r="M581" t="s">
        <v>38</v>
      </c>
      <c r="N581" t="s">
        <v>49</v>
      </c>
      <c r="O581">
        <v>1</v>
      </c>
      <c r="P581" t="s">
        <v>111</v>
      </c>
      <c r="Q581" s="4">
        <v>46118</v>
      </c>
      <c r="R581" t="s">
        <v>64</v>
      </c>
      <c r="S581" t="s">
        <v>38</v>
      </c>
      <c r="T581" t="s">
        <v>3153</v>
      </c>
      <c r="U581" t="s">
        <v>49</v>
      </c>
      <c r="V581" t="s">
        <v>3154</v>
      </c>
    </row>
    <row r="582" spans="1:22" x14ac:dyDescent="0.2">
      <c r="A582" t="s">
        <v>1226</v>
      </c>
      <c r="B582" t="s">
        <v>1227</v>
      </c>
      <c r="C582" t="s">
        <v>103</v>
      </c>
      <c r="D582" t="s">
        <v>104</v>
      </c>
      <c r="E582" t="s">
        <v>91</v>
      </c>
      <c r="F582" t="s">
        <v>45</v>
      </c>
      <c r="G582" t="s">
        <v>46</v>
      </c>
      <c r="H582" t="s">
        <v>36</v>
      </c>
      <c r="I582" t="s">
        <v>50</v>
      </c>
      <c r="J582" t="s">
        <v>63</v>
      </c>
      <c r="K582" s="4">
        <v>46242</v>
      </c>
      <c r="L582" s="4">
        <v>46607</v>
      </c>
      <c r="M582" t="s">
        <v>64</v>
      </c>
      <c r="N582" t="s">
        <v>55</v>
      </c>
      <c r="O582">
        <v>1</v>
      </c>
      <c r="P582" t="s">
        <v>56</v>
      </c>
      <c r="Q582" s="4">
        <v>46247</v>
      </c>
      <c r="R582" t="s">
        <v>38</v>
      </c>
      <c r="S582" t="s">
        <v>3155</v>
      </c>
      <c r="T582" t="s">
        <v>3153</v>
      </c>
      <c r="U582" t="s">
        <v>55</v>
      </c>
      <c r="V582" t="s">
        <v>3152</v>
      </c>
    </row>
    <row r="583" spans="1:22" x14ac:dyDescent="0.2">
      <c r="A583" t="s">
        <v>1228</v>
      </c>
      <c r="B583" t="s">
        <v>1229</v>
      </c>
      <c r="C583" t="s">
        <v>31</v>
      </c>
      <c r="D583" t="s">
        <v>87</v>
      </c>
      <c r="E583" t="s">
        <v>91</v>
      </c>
      <c r="F583" t="s">
        <v>45</v>
      </c>
      <c r="G583" t="s">
        <v>46</v>
      </c>
      <c r="H583" t="s">
        <v>88</v>
      </c>
      <c r="I583" t="s">
        <v>56</v>
      </c>
      <c r="J583" t="s">
        <v>37</v>
      </c>
      <c r="K583" s="4">
        <v>45927</v>
      </c>
      <c r="L583" s="4">
        <v>46292</v>
      </c>
      <c r="M583" t="s">
        <v>38</v>
      </c>
      <c r="O583">
        <v>3</v>
      </c>
      <c r="P583" t="s">
        <v>62</v>
      </c>
      <c r="Q583" s="4">
        <v>46116</v>
      </c>
      <c r="R583" t="s">
        <v>38</v>
      </c>
      <c r="S583" t="s">
        <v>38</v>
      </c>
      <c r="T583" t="s">
        <v>3153</v>
      </c>
      <c r="U583" t="s">
        <v>3151</v>
      </c>
      <c r="V583" t="s">
        <v>3154</v>
      </c>
    </row>
    <row r="584" spans="1:22" x14ac:dyDescent="0.2">
      <c r="A584" t="s">
        <v>1230</v>
      </c>
      <c r="B584" t="s">
        <v>1231</v>
      </c>
      <c r="C584" t="s">
        <v>31</v>
      </c>
      <c r="D584" t="s">
        <v>87</v>
      </c>
      <c r="E584" t="s">
        <v>105</v>
      </c>
      <c r="F584" t="s">
        <v>67</v>
      </c>
      <c r="G584" t="s">
        <v>118</v>
      </c>
      <c r="H584" t="s">
        <v>88</v>
      </c>
      <c r="I584" t="s">
        <v>111</v>
      </c>
      <c r="J584" t="s">
        <v>37</v>
      </c>
      <c r="K584" s="4">
        <v>46022</v>
      </c>
      <c r="L584" s="4">
        <v>46202</v>
      </c>
      <c r="M584" t="s">
        <v>38</v>
      </c>
      <c r="N584" t="s">
        <v>49</v>
      </c>
      <c r="O584">
        <v>0</v>
      </c>
      <c r="P584" t="s">
        <v>111</v>
      </c>
      <c r="Q584" s="4">
        <v>46229</v>
      </c>
      <c r="R584" t="s">
        <v>57</v>
      </c>
      <c r="S584" t="s">
        <v>38</v>
      </c>
      <c r="T584" t="s">
        <v>3153</v>
      </c>
      <c r="U584" t="s">
        <v>49</v>
      </c>
      <c r="V584" t="s">
        <v>3154</v>
      </c>
    </row>
    <row r="585" spans="1:22" x14ac:dyDescent="0.2">
      <c r="A585" t="s">
        <v>1232</v>
      </c>
      <c r="B585" t="s">
        <v>1233</v>
      </c>
      <c r="C585" t="s">
        <v>103</v>
      </c>
      <c r="D585" t="s">
        <v>104</v>
      </c>
      <c r="E585" t="s">
        <v>80</v>
      </c>
      <c r="F585" t="s">
        <v>67</v>
      </c>
      <c r="G585" t="s">
        <v>68</v>
      </c>
      <c r="H585" t="s">
        <v>47</v>
      </c>
      <c r="I585" t="s">
        <v>70</v>
      </c>
      <c r="J585" t="s">
        <v>48</v>
      </c>
      <c r="K585" s="4">
        <v>45825</v>
      </c>
      <c r="L585" s="4">
        <v>46190</v>
      </c>
      <c r="M585" t="s">
        <v>38</v>
      </c>
      <c r="N585" t="s">
        <v>55</v>
      </c>
      <c r="O585">
        <v>1</v>
      </c>
      <c r="P585" t="s">
        <v>106</v>
      </c>
      <c r="Q585" s="4">
        <v>46331</v>
      </c>
      <c r="R585" t="s">
        <v>84</v>
      </c>
      <c r="S585" t="s">
        <v>38</v>
      </c>
      <c r="T585" t="s">
        <v>3153</v>
      </c>
      <c r="U585" t="s">
        <v>55</v>
      </c>
      <c r="V585" t="s">
        <v>3154</v>
      </c>
    </row>
    <row r="586" spans="1:22" x14ac:dyDescent="0.2">
      <c r="A586" t="s">
        <v>1234</v>
      </c>
      <c r="B586" t="s">
        <v>1235</v>
      </c>
      <c r="C586" t="s">
        <v>96</v>
      </c>
      <c r="D586" t="s">
        <v>97</v>
      </c>
      <c r="E586" t="s">
        <v>91</v>
      </c>
      <c r="F586" t="s">
        <v>67</v>
      </c>
      <c r="G586" t="s">
        <v>68</v>
      </c>
      <c r="H586" t="s">
        <v>88</v>
      </c>
      <c r="I586" t="s">
        <v>39</v>
      </c>
      <c r="J586" t="s">
        <v>37</v>
      </c>
      <c r="K586" s="4">
        <v>46030</v>
      </c>
      <c r="L586" s="4">
        <v>46210</v>
      </c>
      <c r="M586" t="s">
        <v>38</v>
      </c>
      <c r="N586" t="s">
        <v>55</v>
      </c>
      <c r="O586">
        <v>2</v>
      </c>
      <c r="P586" t="s">
        <v>39</v>
      </c>
      <c r="Q586" s="4">
        <v>46243</v>
      </c>
      <c r="R586" t="s">
        <v>64</v>
      </c>
      <c r="S586" t="s">
        <v>38</v>
      </c>
      <c r="T586" t="s">
        <v>3153</v>
      </c>
      <c r="U586" t="s">
        <v>55</v>
      </c>
      <c r="V586" t="s">
        <v>3154</v>
      </c>
    </row>
    <row r="587" spans="1:22" x14ac:dyDescent="0.2">
      <c r="A587" t="s">
        <v>1236</v>
      </c>
      <c r="B587" t="s">
        <v>1237</v>
      </c>
      <c r="C587" t="s">
        <v>31</v>
      </c>
      <c r="D587" t="s">
        <v>87</v>
      </c>
      <c r="E587" t="s">
        <v>105</v>
      </c>
      <c r="F587" t="s">
        <v>67</v>
      </c>
      <c r="G587" t="s">
        <v>68</v>
      </c>
      <c r="H587" t="s">
        <v>36</v>
      </c>
      <c r="I587" t="s">
        <v>111</v>
      </c>
      <c r="J587" t="s">
        <v>37</v>
      </c>
      <c r="K587" s="4">
        <v>45884</v>
      </c>
      <c r="L587" s="4">
        <v>45974</v>
      </c>
      <c r="M587" t="s">
        <v>38</v>
      </c>
      <c r="N587" t="s">
        <v>49</v>
      </c>
      <c r="O587">
        <v>3</v>
      </c>
      <c r="P587" t="s">
        <v>106</v>
      </c>
      <c r="Q587" s="4">
        <v>46411</v>
      </c>
      <c r="R587" t="s">
        <v>64</v>
      </c>
      <c r="S587" t="s">
        <v>38</v>
      </c>
      <c r="T587" t="s">
        <v>3153</v>
      </c>
      <c r="U587" t="s">
        <v>49</v>
      </c>
      <c r="V587" t="s">
        <v>3152</v>
      </c>
    </row>
    <row r="588" spans="1:22" x14ac:dyDescent="0.2">
      <c r="A588" t="s">
        <v>1238</v>
      </c>
      <c r="B588" t="s">
        <v>1239</v>
      </c>
      <c r="C588" t="s">
        <v>31</v>
      </c>
      <c r="D588" t="s">
        <v>87</v>
      </c>
      <c r="E588" t="s">
        <v>44</v>
      </c>
      <c r="F588" t="s">
        <v>34</v>
      </c>
      <c r="G588" t="s">
        <v>35</v>
      </c>
      <c r="H588" t="s">
        <v>47</v>
      </c>
      <c r="I588" t="s">
        <v>111</v>
      </c>
      <c r="J588" t="s">
        <v>37</v>
      </c>
      <c r="K588" s="4">
        <v>46247</v>
      </c>
      <c r="L588" s="4">
        <v>46427</v>
      </c>
      <c r="M588" t="s">
        <v>69</v>
      </c>
      <c r="N588" t="s">
        <v>55</v>
      </c>
      <c r="O588">
        <v>0</v>
      </c>
      <c r="P588" t="s">
        <v>62</v>
      </c>
      <c r="Q588" s="4">
        <v>46143</v>
      </c>
      <c r="R588" t="s">
        <v>57</v>
      </c>
      <c r="S588" t="s">
        <v>3155</v>
      </c>
      <c r="T588" t="s">
        <v>3153</v>
      </c>
      <c r="U588" t="s">
        <v>55</v>
      </c>
      <c r="V588" t="s">
        <v>3154</v>
      </c>
    </row>
    <row r="589" spans="1:22" x14ac:dyDescent="0.2">
      <c r="A589" t="s">
        <v>1240</v>
      </c>
      <c r="B589" t="s">
        <v>1241</v>
      </c>
      <c r="C589" t="s">
        <v>31</v>
      </c>
      <c r="D589" t="s">
        <v>87</v>
      </c>
      <c r="E589" t="s">
        <v>44</v>
      </c>
      <c r="F589" t="s">
        <v>45</v>
      </c>
      <c r="G589" t="s">
        <v>61</v>
      </c>
      <c r="H589" t="s">
        <v>36</v>
      </c>
      <c r="I589" t="s">
        <v>39</v>
      </c>
      <c r="J589" t="s">
        <v>63</v>
      </c>
      <c r="K589" s="4">
        <v>46043</v>
      </c>
      <c r="L589" s="4">
        <v>46223</v>
      </c>
      <c r="M589" t="s">
        <v>38</v>
      </c>
      <c r="N589" t="s">
        <v>75</v>
      </c>
      <c r="O589">
        <v>3</v>
      </c>
      <c r="P589" t="s">
        <v>106</v>
      </c>
      <c r="Q589" s="4">
        <v>46166</v>
      </c>
      <c r="R589" t="s">
        <v>64</v>
      </c>
      <c r="S589" t="s">
        <v>38</v>
      </c>
      <c r="T589" t="s">
        <v>3153</v>
      </c>
      <c r="U589" t="s">
        <v>75</v>
      </c>
      <c r="V589" t="s">
        <v>3152</v>
      </c>
    </row>
    <row r="590" spans="1:22" x14ac:dyDescent="0.2">
      <c r="A590" t="s">
        <v>1242</v>
      </c>
      <c r="B590" t="s">
        <v>1243</v>
      </c>
      <c r="C590" t="s">
        <v>78</v>
      </c>
      <c r="D590" t="s">
        <v>79</v>
      </c>
      <c r="E590" t="s">
        <v>105</v>
      </c>
      <c r="F590" t="s">
        <v>34</v>
      </c>
      <c r="G590" t="s">
        <v>35</v>
      </c>
      <c r="H590" t="s">
        <v>47</v>
      </c>
      <c r="I590" t="s">
        <v>70</v>
      </c>
      <c r="J590" t="s">
        <v>63</v>
      </c>
      <c r="K590" s="4">
        <v>45972</v>
      </c>
      <c r="L590" s="4">
        <v>46062</v>
      </c>
      <c r="M590" t="s">
        <v>38</v>
      </c>
      <c r="N590" t="s">
        <v>49</v>
      </c>
      <c r="O590">
        <v>1</v>
      </c>
      <c r="P590" t="s">
        <v>111</v>
      </c>
      <c r="Q590" s="4">
        <v>46375</v>
      </c>
      <c r="R590" t="s">
        <v>64</v>
      </c>
      <c r="S590" t="s">
        <v>38</v>
      </c>
      <c r="T590" t="s">
        <v>3153</v>
      </c>
      <c r="U590" t="s">
        <v>49</v>
      </c>
      <c r="V590" t="s">
        <v>3154</v>
      </c>
    </row>
    <row r="591" spans="1:22" x14ac:dyDescent="0.2">
      <c r="A591" t="s">
        <v>1244</v>
      </c>
      <c r="B591" t="s">
        <v>1245</v>
      </c>
      <c r="C591" t="s">
        <v>31</v>
      </c>
      <c r="D591" t="s">
        <v>83</v>
      </c>
      <c r="E591" t="s">
        <v>44</v>
      </c>
      <c r="F591" t="s">
        <v>45</v>
      </c>
      <c r="G591" t="s">
        <v>46</v>
      </c>
      <c r="H591" t="s">
        <v>36</v>
      </c>
      <c r="I591" t="s">
        <v>39</v>
      </c>
      <c r="J591" t="s">
        <v>37</v>
      </c>
      <c r="K591" s="4">
        <v>46210</v>
      </c>
      <c r="L591" s="4">
        <v>46390</v>
      </c>
      <c r="M591" t="s">
        <v>69</v>
      </c>
      <c r="N591" t="s">
        <v>75</v>
      </c>
      <c r="O591">
        <v>4</v>
      </c>
      <c r="P591" t="s">
        <v>106</v>
      </c>
      <c r="Q591" s="4">
        <v>46392</v>
      </c>
      <c r="R591" t="s">
        <v>84</v>
      </c>
      <c r="S591" t="s">
        <v>3155</v>
      </c>
      <c r="T591" t="s">
        <v>3153</v>
      </c>
      <c r="U591" t="s">
        <v>75</v>
      </c>
      <c r="V591" t="s">
        <v>3152</v>
      </c>
    </row>
    <row r="592" spans="1:22" x14ac:dyDescent="0.2">
      <c r="A592" t="s">
        <v>1246</v>
      </c>
      <c r="B592" t="s">
        <v>1247</v>
      </c>
      <c r="C592" t="s">
        <v>73</v>
      </c>
      <c r="D592" t="s">
        <v>74</v>
      </c>
      <c r="E592" t="s">
        <v>105</v>
      </c>
      <c r="F592" t="s">
        <v>67</v>
      </c>
      <c r="G592" t="s">
        <v>118</v>
      </c>
      <c r="H592" t="s">
        <v>88</v>
      </c>
      <c r="I592" t="s">
        <v>50</v>
      </c>
      <c r="J592" t="s">
        <v>48</v>
      </c>
      <c r="K592" s="4">
        <v>46246</v>
      </c>
      <c r="L592" s="4">
        <v>46336</v>
      </c>
      <c r="M592" t="s">
        <v>64</v>
      </c>
      <c r="N592" t="s">
        <v>49</v>
      </c>
      <c r="O592">
        <v>0</v>
      </c>
      <c r="P592" t="s">
        <v>54</v>
      </c>
      <c r="Q592" s="4">
        <v>46331</v>
      </c>
      <c r="R592" t="s">
        <v>57</v>
      </c>
      <c r="S592" t="s">
        <v>3155</v>
      </c>
      <c r="T592" t="s">
        <v>3153</v>
      </c>
      <c r="U592" t="s">
        <v>49</v>
      </c>
      <c r="V592" t="s">
        <v>3154</v>
      </c>
    </row>
    <row r="593" spans="1:22" x14ac:dyDescent="0.2">
      <c r="A593" t="s">
        <v>1248</v>
      </c>
      <c r="B593" t="s">
        <v>1249</v>
      </c>
      <c r="C593" t="s">
        <v>31</v>
      </c>
      <c r="D593" t="s">
        <v>83</v>
      </c>
      <c r="E593" t="s">
        <v>44</v>
      </c>
      <c r="F593" t="s">
        <v>45</v>
      </c>
      <c r="G593" t="s">
        <v>61</v>
      </c>
      <c r="H593" t="s">
        <v>88</v>
      </c>
      <c r="I593" t="s">
        <v>111</v>
      </c>
      <c r="J593" t="s">
        <v>37</v>
      </c>
      <c r="K593" s="4">
        <v>45968</v>
      </c>
      <c r="L593" s="4">
        <v>46333</v>
      </c>
      <c r="M593" t="s">
        <v>64</v>
      </c>
      <c r="N593" t="s">
        <v>49</v>
      </c>
      <c r="O593">
        <v>2</v>
      </c>
      <c r="P593" t="s">
        <v>39</v>
      </c>
      <c r="Q593" s="4">
        <v>46268</v>
      </c>
      <c r="R593" t="s">
        <v>38</v>
      </c>
      <c r="S593" t="s">
        <v>3155</v>
      </c>
      <c r="T593" t="s">
        <v>3153</v>
      </c>
      <c r="U593" t="s">
        <v>49</v>
      </c>
      <c r="V593" t="s">
        <v>3154</v>
      </c>
    </row>
    <row r="594" spans="1:22" x14ac:dyDescent="0.2">
      <c r="A594" t="s">
        <v>1250</v>
      </c>
      <c r="B594" t="s">
        <v>1251</v>
      </c>
      <c r="C594" t="s">
        <v>31</v>
      </c>
      <c r="D594" t="s">
        <v>83</v>
      </c>
      <c r="E594" t="s">
        <v>105</v>
      </c>
      <c r="F594" t="s">
        <v>67</v>
      </c>
      <c r="G594" t="s">
        <v>68</v>
      </c>
      <c r="H594" t="s">
        <v>88</v>
      </c>
      <c r="I594" t="s">
        <v>54</v>
      </c>
      <c r="J594" t="s">
        <v>48</v>
      </c>
      <c r="K594" s="4">
        <v>46037</v>
      </c>
      <c r="L594" s="4">
        <v>46402</v>
      </c>
      <c r="M594" t="s">
        <v>64</v>
      </c>
      <c r="N594" t="s">
        <v>75</v>
      </c>
      <c r="O594">
        <v>2</v>
      </c>
      <c r="P594" t="s">
        <v>106</v>
      </c>
      <c r="Q594" s="4">
        <v>46307</v>
      </c>
      <c r="R594" t="s">
        <v>64</v>
      </c>
      <c r="S594" t="s">
        <v>3155</v>
      </c>
      <c r="T594" t="s">
        <v>3153</v>
      </c>
      <c r="U594" t="s">
        <v>75</v>
      </c>
      <c r="V594" t="s">
        <v>3154</v>
      </c>
    </row>
    <row r="595" spans="1:22" x14ac:dyDescent="0.2">
      <c r="A595" t="s">
        <v>1252</v>
      </c>
      <c r="B595" t="s">
        <v>1253</v>
      </c>
      <c r="C595" t="s">
        <v>103</v>
      </c>
      <c r="D595" t="s">
        <v>104</v>
      </c>
      <c r="E595" t="s">
        <v>53</v>
      </c>
      <c r="F595" t="s">
        <v>45</v>
      </c>
      <c r="G595" t="s">
        <v>46</v>
      </c>
      <c r="H595" t="s">
        <v>47</v>
      </c>
      <c r="I595" t="s">
        <v>70</v>
      </c>
      <c r="J595" t="s">
        <v>37</v>
      </c>
      <c r="K595" s="4">
        <v>46203</v>
      </c>
      <c r="L595" s="4">
        <v>46383</v>
      </c>
      <c r="M595" t="s">
        <v>64</v>
      </c>
      <c r="N595" t="s">
        <v>49</v>
      </c>
      <c r="O595">
        <v>2</v>
      </c>
      <c r="P595" t="s">
        <v>50</v>
      </c>
      <c r="Q595" s="4">
        <v>46137</v>
      </c>
      <c r="R595" t="s">
        <v>38</v>
      </c>
      <c r="S595" t="s">
        <v>3155</v>
      </c>
      <c r="T595" t="s">
        <v>3153</v>
      </c>
      <c r="U595" t="s">
        <v>49</v>
      </c>
      <c r="V595" t="s">
        <v>3154</v>
      </c>
    </row>
    <row r="596" spans="1:22" x14ac:dyDescent="0.2">
      <c r="A596" t="s">
        <v>1254</v>
      </c>
      <c r="B596" t="s">
        <v>1255</v>
      </c>
      <c r="C596" t="s">
        <v>31</v>
      </c>
      <c r="D596" t="s">
        <v>87</v>
      </c>
      <c r="E596" t="s">
        <v>91</v>
      </c>
      <c r="F596" t="s">
        <v>45</v>
      </c>
      <c r="G596" t="s">
        <v>61</v>
      </c>
      <c r="H596" t="s">
        <v>47</v>
      </c>
      <c r="I596" t="s">
        <v>54</v>
      </c>
      <c r="J596" t="s">
        <v>63</v>
      </c>
      <c r="K596" s="4">
        <v>46184</v>
      </c>
      <c r="L596" s="4">
        <v>46274</v>
      </c>
      <c r="M596" t="s">
        <v>38</v>
      </c>
      <c r="N596" t="s">
        <v>55</v>
      </c>
      <c r="O596">
        <v>1</v>
      </c>
      <c r="P596" t="s">
        <v>50</v>
      </c>
      <c r="Q596" s="4">
        <v>46249</v>
      </c>
      <c r="R596" t="s">
        <v>38</v>
      </c>
      <c r="S596" t="s">
        <v>38</v>
      </c>
      <c r="T596" t="s">
        <v>3153</v>
      </c>
      <c r="U596" t="s">
        <v>55</v>
      </c>
      <c r="V596" t="s">
        <v>3154</v>
      </c>
    </row>
    <row r="597" spans="1:22" x14ac:dyDescent="0.2">
      <c r="A597" t="s">
        <v>1256</v>
      </c>
      <c r="B597" t="s">
        <v>1257</v>
      </c>
      <c r="C597" t="s">
        <v>78</v>
      </c>
      <c r="D597" t="s">
        <v>79</v>
      </c>
      <c r="E597" t="s">
        <v>53</v>
      </c>
      <c r="F597" t="s">
        <v>67</v>
      </c>
      <c r="G597" t="s">
        <v>68</v>
      </c>
      <c r="H597" t="s">
        <v>98</v>
      </c>
      <c r="I597" t="s">
        <v>56</v>
      </c>
      <c r="J597" t="s">
        <v>48</v>
      </c>
      <c r="K597" s="4">
        <v>46042</v>
      </c>
      <c r="L597" s="4">
        <v>46132</v>
      </c>
      <c r="M597" t="s">
        <v>38</v>
      </c>
      <c r="N597" t="s">
        <v>75</v>
      </c>
      <c r="O597">
        <v>2</v>
      </c>
      <c r="P597" t="s">
        <v>70</v>
      </c>
      <c r="Q597" s="4">
        <v>46202</v>
      </c>
      <c r="R597" t="s">
        <v>38</v>
      </c>
      <c r="S597" t="s">
        <v>38</v>
      </c>
      <c r="T597" t="s">
        <v>3153</v>
      </c>
      <c r="U597" t="s">
        <v>75</v>
      </c>
      <c r="V597" t="s">
        <v>3152</v>
      </c>
    </row>
    <row r="598" spans="1:22" x14ac:dyDescent="0.2">
      <c r="A598" t="s">
        <v>1258</v>
      </c>
      <c r="B598" t="s">
        <v>1259</v>
      </c>
      <c r="C598" t="s">
        <v>103</v>
      </c>
      <c r="D598" t="s">
        <v>104</v>
      </c>
      <c r="E598" t="s">
        <v>44</v>
      </c>
      <c r="F598" t="s">
        <v>45</v>
      </c>
      <c r="G598" t="s">
        <v>46</v>
      </c>
      <c r="H598" t="s">
        <v>47</v>
      </c>
      <c r="I598" t="s">
        <v>62</v>
      </c>
      <c r="J598" t="s">
        <v>63</v>
      </c>
      <c r="K598" s="4">
        <v>45920</v>
      </c>
      <c r="L598" s="4">
        <v>46100</v>
      </c>
      <c r="M598" t="s">
        <v>38</v>
      </c>
      <c r="N598" t="s">
        <v>75</v>
      </c>
      <c r="O598">
        <v>3</v>
      </c>
      <c r="P598" t="s">
        <v>56</v>
      </c>
      <c r="Q598" s="4">
        <v>46240</v>
      </c>
      <c r="R598" t="s">
        <v>38</v>
      </c>
      <c r="S598" t="s">
        <v>38</v>
      </c>
      <c r="T598" t="s">
        <v>3153</v>
      </c>
      <c r="U598" t="s">
        <v>75</v>
      </c>
      <c r="V598" t="s">
        <v>3154</v>
      </c>
    </row>
    <row r="599" spans="1:22" x14ac:dyDescent="0.2">
      <c r="A599" t="s">
        <v>1260</v>
      </c>
      <c r="B599" t="s">
        <v>1261</v>
      </c>
      <c r="C599" t="s">
        <v>96</v>
      </c>
      <c r="D599" t="s">
        <v>97</v>
      </c>
      <c r="E599" t="s">
        <v>44</v>
      </c>
      <c r="F599" t="s">
        <v>45</v>
      </c>
      <c r="G599" t="s">
        <v>61</v>
      </c>
      <c r="H599" t="s">
        <v>47</v>
      </c>
      <c r="I599" t="s">
        <v>56</v>
      </c>
      <c r="J599" t="s">
        <v>63</v>
      </c>
      <c r="K599" s="4">
        <v>45829</v>
      </c>
      <c r="L599" s="4">
        <v>45919</v>
      </c>
      <c r="M599" t="s">
        <v>38</v>
      </c>
      <c r="N599" t="s">
        <v>49</v>
      </c>
      <c r="O599">
        <v>3</v>
      </c>
      <c r="P599" t="s">
        <v>70</v>
      </c>
      <c r="Q599" s="4">
        <v>46222</v>
      </c>
      <c r="R599" t="s">
        <v>38</v>
      </c>
      <c r="S599" t="s">
        <v>38</v>
      </c>
      <c r="T599" t="s">
        <v>3153</v>
      </c>
      <c r="U599" t="s">
        <v>49</v>
      </c>
      <c r="V599" t="s">
        <v>3154</v>
      </c>
    </row>
    <row r="600" spans="1:22" x14ac:dyDescent="0.2">
      <c r="A600" t="s">
        <v>1262</v>
      </c>
      <c r="B600" t="s">
        <v>1263</v>
      </c>
      <c r="C600" t="s">
        <v>96</v>
      </c>
      <c r="D600" t="s">
        <v>97</v>
      </c>
      <c r="E600" t="s">
        <v>91</v>
      </c>
      <c r="F600" t="s">
        <v>45</v>
      </c>
      <c r="G600" t="s">
        <v>61</v>
      </c>
      <c r="H600" t="s">
        <v>36</v>
      </c>
      <c r="I600" t="s">
        <v>106</v>
      </c>
      <c r="J600" t="s">
        <v>37</v>
      </c>
      <c r="K600" s="4">
        <v>46020</v>
      </c>
      <c r="L600" s="4">
        <v>46385</v>
      </c>
      <c r="M600" t="s">
        <v>64</v>
      </c>
      <c r="N600" t="s">
        <v>75</v>
      </c>
      <c r="O600">
        <v>5</v>
      </c>
      <c r="P600" t="s">
        <v>111</v>
      </c>
      <c r="Q600" s="4">
        <v>46306</v>
      </c>
      <c r="R600" t="s">
        <v>84</v>
      </c>
      <c r="S600" t="s">
        <v>3155</v>
      </c>
      <c r="T600" t="s">
        <v>3153</v>
      </c>
      <c r="U600" t="s">
        <v>75</v>
      </c>
      <c r="V600" t="s">
        <v>3152</v>
      </c>
    </row>
    <row r="601" spans="1:22" x14ac:dyDescent="0.2">
      <c r="A601" t="s">
        <v>1264</v>
      </c>
      <c r="B601" t="s">
        <v>1265</v>
      </c>
      <c r="C601" t="s">
        <v>42</v>
      </c>
      <c r="D601" t="s">
        <v>43</v>
      </c>
      <c r="E601" t="s">
        <v>91</v>
      </c>
      <c r="F601" t="s">
        <v>67</v>
      </c>
      <c r="G601" t="s">
        <v>118</v>
      </c>
      <c r="H601" t="s">
        <v>98</v>
      </c>
      <c r="I601" t="s">
        <v>39</v>
      </c>
      <c r="J601" t="s">
        <v>37</v>
      </c>
      <c r="K601" s="4">
        <v>46169</v>
      </c>
      <c r="L601" s="4">
        <v>46259</v>
      </c>
      <c r="M601" t="s">
        <v>38</v>
      </c>
      <c r="N601" t="s">
        <v>55</v>
      </c>
      <c r="O601">
        <v>3</v>
      </c>
      <c r="P601" t="s">
        <v>50</v>
      </c>
      <c r="Q601" s="4">
        <v>46235</v>
      </c>
      <c r="R601" t="s">
        <v>38</v>
      </c>
      <c r="S601" t="s">
        <v>38</v>
      </c>
      <c r="T601" t="s">
        <v>3153</v>
      </c>
      <c r="U601" t="s">
        <v>55</v>
      </c>
      <c r="V601" t="s">
        <v>3152</v>
      </c>
    </row>
    <row r="602" spans="1:22" x14ac:dyDescent="0.2">
      <c r="A602" t="s">
        <v>1266</v>
      </c>
      <c r="B602" t="s">
        <v>1267</v>
      </c>
      <c r="C602" t="s">
        <v>73</v>
      </c>
      <c r="D602" t="s">
        <v>74</v>
      </c>
      <c r="E602" t="s">
        <v>60</v>
      </c>
      <c r="F602" t="s">
        <v>67</v>
      </c>
      <c r="G602" t="s">
        <v>118</v>
      </c>
      <c r="H602" t="s">
        <v>47</v>
      </c>
      <c r="I602" t="s">
        <v>70</v>
      </c>
      <c r="J602" t="s">
        <v>37</v>
      </c>
      <c r="K602" s="4">
        <v>46124</v>
      </c>
      <c r="L602" s="4">
        <v>46304</v>
      </c>
      <c r="M602" t="s">
        <v>64</v>
      </c>
      <c r="N602" t="s">
        <v>55</v>
      </c>
      <c r="O602">
        <v>0</v>
      </c>
      <c r="P602" t="s">
        <v>111</v>
      </c>
      <c r="Q602" s="4">
        <v>46353</v>
      </c>
      <c r="R602" t="s">
        <v>57</v>
      </c>
      <c r="S602" t="s">
        <v>3155</v>
      </c>
      <c r="T602" t="s">
        <v>3153</v>
      </c>
      <c r="U602" t="s">
        <v>55</v>
      </c>
      <c r="V602" t="s">
        <v>3154</v>
      </c>
    </row>
    <row r="603" spans="1:22" x14ac:dyDescent="0.2">
      <c r="A603" t="s">
        <v>1268</v>
      </c>
      <c r="B603" t="s">
        <v>1269</v>
      </c>
      <c r="C603" t="s">
        <v>73</v>
      </c>
      <c r="D603" t="s">
        <v>74</v>
      </c>
      <c r="E603" t="s">
        <v>53</v>
      </c>
      <c r="F603" t="s">
        <v>67</v>
      </c>
      <c r="G603" t="s">
        <v>118</v>
      </c>
      <c r="H603" t="s">
        <v>36</v>
      </c>
      <c r="I603" t="s">
        <v>106</v>
      </c>
      <c r="J603" t="s">
        <v>37</v>
      </c>
      <c r="K603" s="4">
        <v>46136</v>
      </c>
      <c r="L603" s="4">
        <v>46316</v>
      </c>
      <c r="M603" t="s">
        <v>64</v>
      </c>
      <c r="N603" t="s">
        <v>75</v>
      </c>
      <c r="O603">
        <v>1</v>
      </c>
      <c r="P603" t="s">
        <v>70</v>
      </c>
      <c r="Q603" s="4">
        <v>46250</v>
      </c>
      <c r="R603" t="s">
        <v>38</v>
      </c>
      <c r="S603" t="s">
        <v>3155</v>
      </c>
      <c r="T603" t="s">
        <v>3153</v>
      </c>
      <c r="U603" t="s">
        <v>75</v>
      </c>
      <c r="V603" t="s">
        <v>3152</v>
      </c>
    </row>
    <row r="604" spans="1:22" x14ac:dyDescent="0.2">
      <c r="A604" t="s">
        <v>1270</v>
      </c>
      <c r="B604" t="s">
        <v>1271</v>
      </c>
      <c r="C604" t="s">
        <v>42</v>
      </c>
      <c r="D604" t="s">
        <v>43</v>
      </c>
      <c r="E604" t="s">
        <v>105</v>
      </c>
      <c r="F604" t="s">
        <v>67</v>
      </c>
      <c r="G604" t="s">
        <v>68</v>
      </c>
      <c r="H604" t="s">
        <v>47</v>
      </c>
      <c r="I604" t="s">
        <v>106</v>
      </c>
      <c r="J604" t="s">
        <v>63</v>
      </c>
      <c r="K604" s="4">
        <v>46256</v>
      </c>
      <c r="L604" s="4">
        <v>46621</v>
      </c>
      <c r="M604" t="s">
        <v>64</v>
      </c>
      <c r="N604" t="s">
        <v>55</v>
      </c>
      <c r="O604">
        <v>2</v>
      </c>
      <c r="P604" t="s">
        <v>50</v>
      </c>
      <c r="Q604" s="4">
        <v>46243</v>
      </c>
      <c r="R604" t="s">
        <v>64</v>
      </c>
      <c r="S604" t="s">
        <v>3155</v>
      </c>
      <c r="T604" t="s">
        <v>3153</v>
      </c>
      <c r="U604" t="s">
        <v>55</v>
      </c>
      <c r="V604" t="s">
        <v>3154</v>
      </c>
    </row>
    <row r="605" spans="1:22" x14ac:dyDescent="0.2">
      <c r="A605" t="s">
        <v>1272</v>
      </c>
      <c r="B605" t="s">
        <v>1273</v>
      </c>
      <c r="C605" t="s">
        <v>31</v>
      </c>
      <c r="D605" t="s">
        <v>87</v>
      </c>
      <c r="E605" t="s">
        <v>105</v>
      </c>
      <c r="F605" t="s">
        <v>34</v>
      </c>
      <c r="G605" t="s">
        <v>35</v>
      </c>
      <c r="H605" t="s">
        <v>36</v>
      </c>
      <c r="I605" t="s">
        <v>56</v>
      </c>
      <c r="J605" t="s">
        <v>63</v>
      </c>
      <c r="K605" s="4">
        <v>45854</v>
      </c>
      <c r="L605" s="4">
        <v>46034</v>
      </c>
      <c r="M605" t="s">
        <v>38</v>
      </c>
      <c r="N605" t="s">
        <v>75</v>
      </c>
      <c r="O605">
        <v>3</v>
      </c>
      <c r="P605" t="s">
        <v>50</v>
      </c>
      <c r="Q605" s="4">
        <v>46411</v>
      </c>
      <c r="R605" t="s">
        <v>84</v>
      </c>
      <c r="S605" t="s">
        <v>38</v>
      </c>
      <c r="T605" t="s">
        <v>3153</v>
      </c>
      <c r="U605" t="s">
        <v>75</v>
      </c>
      <c r="V605" t="s">
        <v>3152</v>
      </c>
    </row>
    <row r="606" spans="1:22" x14ac:dyDescent="0.2">
      <c r="A606" t="s">
        <v>1274</v>
      </c>
      <c r="B606" t="s">
        <v>1275</v>
      </c>
      <c r="C606" t="s">
        <v>96</v>
      </c>
      <c r="D606" t="s">
        <v>97</v>
      </c>
      <c r="E606" t="s">
        <v>44</v>
      </c>
      <c r="F606" t="s">
        <v>67</v>
      </c>
      <c r="G606" t="s">
        <v>68</v>
      </c>
      <c r="H606" t="s">
        <v>36</v>
      </c>
      <c r="I606" t="s">
        <v>54</v>
      </c>
      <c r="J606" t="s">
        <v>48</v>
      </c>
      <c r="K606" s="4">
        <v>46033</v>
      </c>
      <c r="L606" s="4">
        <v>46123</v>
      </c>
      <c r="M606" t="s">
        <v>38</v>
      </c>
      <c r="N606" t="s">
        <v>49</v>
      </c>
      <c r="O606">
        <v>4</v>
      </c>
      <c r="P606" t="s">
        <v>106</v>
      </c>
      <c r="Q606" s="4">
        <v>46397</v>
      </c>
      <c r="R606" t="s">
        <v>84</v>
      </c>
      <c r="S606" t="s">
        <v>38</v>
      </c>
      <c r="T606" t="s">
        <v>3153</v>
      </c>
      <c r="U606" t="s">
        <v>49</v>
      </c>
      <c r="V606" t="s">
        <v>3152</v>
      </c>
    </row>
    <row r="607" spans="1:22" x14ac:dyDescent="0.2">
      <c r="A607" t="s">
        <v>1276</v>
      </c>
      <c r="B607" t="s">
        <v>1277</v>
      </c>
      <c r="C607" t="s">
        <v>31</v>
      </c>
      <c r="D607" t="s">
        <v>87</v>
      </c>
      <c r="E607" t="s">
        <v>91</v>
      </c>
      <c r="F607" t="s">
        <v>45</v>
      </c>
      <c r="G607" t="s">
        <v>61</v>
      </c>
      <c r="H607" t="s">
        <v>88</v>
      </c>
      <c r="I607" t="s">
        <v>111</v>
      </c>
      <c r="J607" t="s">
        <v>63</v>
      </c>
      <c r="K607" s="4">
        <v>46045</v>
      </c>
      <c r="L607" s="4">
        <v>46410</v>
      </c>
      <c r="M607" t="s">
        <v>64</v>
      </c>
      <c r="N607" t="s">
        <v>55</v>
      </c>
      <c r="O607">
        <v>1</v>
      </c>
      <c r="P607" t="s">
        <v>106</v>
      </c>
      <c r="Q607" s="4">
        <v>46271</v>
      </c>
      <c r="R607" t="s">
        <v>38</v>
      </c>
      <c r="S607" t="s">
        <v>3155</v>
      </c>
      <c r="T607" t="s">
        <v>3153</v>
      </c>
      <c r="U607" t="s">
        <v>55</v>
      </c>
      <c r="V607" t="s">
        <v>3154</v>
      </c>
    </row>
    <row r="608" spans="1:22" x14ac:dyDescent="0.2">
      <c r="A608" t="s">
        <v>1278</v>
      </c>
      <c r="B608" t="s">
        <v>1279</v>
      </c>
      <c r="C608" t="s">
        <v>31</v>
      </c>
      <c r="D608" t="s">
        <v>87</v>
      </c>
      <c r="E608" t="s">
        <v>80</v>
      </c>
      <c r="F608" t="s">
        <v>67</v>
      </c>
      <c r="G608" t="s">
        <v>68</v>
      </c>
      <c r="H608" t="s">
        <v>88</v>
      </c>
      <c r="I608" t="s">
        <v>62</v>
      </c>
      <c r="J608" t="s">
        <v>48</v>
      </c>
      <c r="K608" s="4">
        <v>45885</v>
      </c>
      <c r="L608" s="4">
        <v>46250</v>
      </c>
      <c r="M608" t="s">
        <v>38</v>
      </c>
      <c r="N608" t="s">
        <v>49</v>
      </c>
      <c r="O608">
        <v>2</v>
      </c>
      <c r="P608" t="s">
        <v>106</v>
      </c>
      <c r="Q608" s="4">
        <v>46281</v>
      </c>
      <c r="R608" t="s">
        <v>38</v>
      </c>
      <c r="S608" t="s">
        <v>38</v>
      </c>
      <c r="T608" t="s">
        <v>3153</v>
      </c>
      <c r="U608" t="s">
        <v>49</v>
      </c>
      <c r="V608" t="s">
        <v>3154</v>
      </c>
    </row>
    <row r="609" spans="1:22" x14ac:dyDescent="0.2">
      <c r="A609" t="s">
        <v>1280</v>
      </c>
      <c r="B609" t="s">
        <v>1281</v>
      </c>
      <c r="C609" t="s">
        <v>96</v>
      </c>
      <c r="D609" t="s">
        <v>97</v>
      </c>
      <c r="E609" t="s">
        <v>80</v>
      </c>
      <c r="F609" t="s">
        <v>34</v>
      </c>
      <c r="G609" t="s">
        <v>35</v>
      </c>
      <c r="H609" t="s">
        <v>47</v>
      </c>
      <c r="I609" t="s">
        <v>62</v>
      </c>
      <c r="J609" t="s">
        <v>37</v>
      </c>
      <c r="K609" s="4">
        <v>46243</v>
      </c>
      <c r="L609" s="4">
        <v>46608</v>
      </c>
      <c r="M609" t="s">
        <v>64</v>
      </c>
      <c r="N609" t="s">
        <v>75</v>
      </c>
      <c r="O609">
        <v>0</v>
      </c>
      <c r="P609" t="s">
        <v>70</v>
      </c>
      <c r="Q609" s="4">
        <v>46283</v>
      </c>
      <c r="R609" t="s">
        <v>57</v>
      </c>
      <c r="S609" t="s">
        <v>3155</v>
      </c>
      <c r="T609" t="s">
        <v>3153</v>
      </c>
      <c r="U609" t="s">
        <v>75</v>
      </c>
      <c r="V609" t="s">
        <v>3154</v>
      </c>
    </row>
    <row r="610" spans="1:22" x14ac:dyDescent="0.2">
      <c r="A610" t="s">
        <v>1282</v>
      </c>
      <c r="B610" t="s">
        <v>1283</v>
      </c>
      <c r="C610" t="s">
        <v>31</v>
      </c>
      <c r="D610" t="s">
        <v>32</v>
      </c>
      <c r="E610" t="s">
        <v>91</v>
      </c>
      <c r="F610" t="s">
        <v>45</v>
      </c>
      <c r="G610" t="s">
        <v>46</v>
      </c>
      <c r="H610" t="s">
        <v>88</v>
      </c>
      <c r="I610" t="s">
        <v>39</v>
      </c>
      <c r="J610" t="s">
        <v>37</v>
      </c>
      <c r="K610" s="4">
        <v>45852</v>
      </c>
      <c r="L610" s="4">
        <v>46217</v>
      </c>
      <c r="M610" t="s">
        <v>38</v>
      </c>
      <c r="N610" t="s">
        <v>49</v>
      </c>
      <c r="O610">
        <v>3</v>
      </c>
      <c r="P610" t="s">
        <v>54</v>
      </c>
      <c r="Q610" s="4">
        <v>46128</v>
      </c>
      <c r="R610" t="s">
        <v>64</v>
      </c>
      <c r="S610" t="s">
        <v>38</v>
      </c>
      <c r="T610" t="s">
        <v>3153</v>
      </c>
      <c r="U610" t="s">
        <v>49</v>
      </c>
      <c r="V610" t="s">
        <v>3154</v>
      </c>
    </row>
    <row r="611" spans="1:22" x14ac:dyDescent="0.2">
      <c r="A611" t="s">
        <v>1284</v>
      </c>
      <c r="B611" t="s">
        <v>1285</v>
      </c>
      <c r="C611" t="s">
        <v>31</v>
      </c>
      <c r="D611" t="s">
        <v>32</v>
      </c>
      <c r="E611" t="s">
        <v>91</v>
      </c>
      <c r="F611" t="s">
        <v>45</v>
      </c>
      <c r="G611" t="s">
        <v>61</v>
      </c>
      <c r="H611" t="s">
        <v>88</v>
      </c>
      <c r="I611" t="s">
        <v>111</v>
      </c>
      <c r="J611" t="s">
        <v>63</v>
      </c>
      <c r="K611" s="4">
        <v>46246</v>
      </c>
      <c r="L611" s="4">
        <v>46426</v>
      </c>
      <c r="M611" t="s">
        <v>64</v>
      </c>
      <c r="N611" t="s">
        <v>55</v>
      </c>
      <c r="O611">
        <v>2</v>
      </c>
      <c r="P611" t="s">
        <v>62</v>
      </c>
      <c r="Q611" s="4">
        <v>46325</v>
      </c>
      <c r="R611" t="s">
        <v>84</v>
      </c>
      <c r="S611" t="s">
        <v>3155</v>
      </c>
      <c r="T611" t="s">
        <v>3153</v>
      </c>
      <c r="U611" t="s">
        <v>55</v>
      </c>
      <c r="V611" t="s">
        <v>3154</v>
      </c>
    </row>
    <row r="612" spans="1:22" x14ac:dyDescent="0.2">
      <c r="A612" t="s">
        <v>1286</v>
      </c>
      <c r="B612" t="s">
        <v>1287</v>
      </c>
      <c r="C612" t="s">
        <v>42</v>
      </c>
      <c r="D612" t="s">
        <v>43</v>
      </c>
      <c r="E612" t="s">
        <v>80</v>
      </c>
      <c r="F612" t="s">
        <v>67</v>
      </c>
      <c r="G612" t="s">
        <v>68</v>
      </c>
      <c r="H612" t="s">
        <v>98</v>
      </c>
      <c r="I612" t="s">
        <v>54</v>
      </c>
      <c r="J612" t="s">
        <v>48</v>
      </c>
      <c r="K612" s="4">
        <v>46209</v>
      </c>
      <c r="L612" s="4">
        <v>46299</v>
      </c>
      <c r="M612" t="s">
        <v>64</v>
      </c>
      <c r="N612" t="s">
        <v>49</v>
      </c>
      <c r="O612">
        <v>5</v>
      </c>
      <c r="P612" t="s">
        <v>111</v>
      </c>
      <c r="Q612" s="4">
        <v>46358</v>
      </c>
      <c r="R612" t="s">
        <v>64</v>
      </c>
      <c r="S612" t="s">
        <v>3155</v>
      </c>
      <c r="T612" t="s">
        <v>3153</v>
      </c>
      <c r="U612" t="s">
        <v>49</v>
      </c>
      <c r="V612" t="s">
        <v>3152</v>
      </c>
    </row>
    <row r="613" spans="1:22" x14ac:dyDescent="0.2">
      <c r="A613" t="s">
        <v>1288</v>
      </c>
      <c r="B613" t="s">
        <v>1289</v>
      </c>
      <c r="C613" t="s">
        <v>96</v>
      </c>
      <c r="D613" t="s">
        <v>97</v>
      </c>
      <c r="E613" t="s">
        <v>105</v>
      </c>
      <c r="F613" t="s">
        <v>67</v>
      </c>
      <c r="G613" t="s">
        <v>68</v>
      </c>
      <c r="H613" t="s">
        <v>98</v>
      </c>
      <c r="J613" t="s">
        <v>37</v>
      </c>
      <c r="K613" s="4">
        <v>46047</v>
      </c>
      <c r="L613" s="4">
        <v>46137</v>
      </c>
      <c r="M613" t="s">
        <v>38</v>
      </c>
      <c r="N613" t="s">
        <v>75</v>
      </c>
      <c r="O613">
        <v>4</v>
      </c>
      <c r="P613" t="s">
        <v>39</v>
      </c>
      <c r="Q613" s="4">
        <v>46241</v>
      </c>
      <c r="R613" t="s">
        <v>38</v>
      </c>
      <c r="S613" t="s">
        <v>38</v>
      </c>
      <c r="T613" t="s">
        <v>3150</v>
      </c>
      <c r="U613" t="s">
        <v>75</v>
      </c>
      <c r="V613" t="s">
        <v>3152</v>
      </c>
    </row>
    <row r="614" spans="1:22" x14ac:dyDescent="0.2">
      <c r="A614" t="s">
        <v>1290</v>
      </c>
      <c r="B614" t="s">
        <v>1291</v>
      </c>
      <c r="C614" t="s">
        <v>78</v>
      </c>
      <c r="D614" t="s">
        <v>79</v>
      </c>
      <c r="E614" t="s">
        <v>53</v>
      </c>
      <c r="F614" t="s">
        <v>34</v>
      </c>
      <c r="G614" t="s">
        <v>35</v>
      </c>
      <c r="H614" t="s">
        <v>88</v>
      </c>
      <c r="I614" t="s">
        <v>111</v>
      </c>
      <c r="J614" t="s">
        <v>37</v>
      </c>
      <c r="K614" s="4">
        <v>46098</v>
      </c>
      <c r="L614" s="4">
        <v>46463</v>
      </c>
      <c r="M614" t="s">
        <v>69</v>
      </c>
      <c r="N614" t="s">
        <v>75</v>
      </c>
      <c r="O614">
        <v>1</v>
      </c>
      <c r="P614" t="s">
        <v>50</v>
      </c>
      <c r="Q614" s="4">
        <v>46327</v>
      </c>
      <c r="R614" t="s">
        <v>64</v>
      </c>
      <c r="S614" t="s">
        <v>3155</v>
      </c>
      <c r="T614" t="s">
        <v>3153</v>
      </c>
      <c r="U614" t="s">
        <v>75</v>
      </c>
      <c r="V614" t="s">
        <v>3154</v>
      </c>
    </row>
    <row r="615" spans="1:22" x14ac:dyDescent="0.2">
      <c r="A615" t="s">
        <v>1292</v>
      </c>
      <c r="B615" t="s">
        <v>1293</v>
      </c>
      <c r="C615" t="s">
        <v>103</v>
      </c>
      <c r="D615" t="s">
        <v>104</v>
      </c>
      <c r="E615" t="s">
        <v>80</v>
      </c>
      <c r="F615" t="s">
        <v>34</v>
      </c>
      <c r="G615" t="s">
        <v>35</v>
      </c>
      <c r="H615" t="s">
        <v>88</v>
      </c>
      <c r="I615" t="s">
        <v>39</v>
      </c>
      <c r="J615" t="s">
        <v>37</v>
      </c>
      <c r="K615" s="4">
        <v>46153</v>
      </c>
      <c r="L615" s="4">
        <v>46243</v>
      </c>
      <c r="M615" t="s">
        <v>38</v>
      </c>
      <c r="N615" t="s">
        <v>75</v>
      </c>
      <c r="O615">
        <v>2</v>
      </c>
      <c r="P615" t="s">
        <v>70</v>
      </c>
      <c r="Q615" s="4">
        <v>46149</v>
      </c>
      <c r="R615" t="s">
        <v>38</v>
      </c>
      <c r="S615" t="s">
        <v>38</v>
      </c>
      <c r="T615" t="s">
        <v>3153</v>
      </c>
      <c r="U615" t="s">
        <v>75</v>
      </c>
      <c r="V615" t="s">
        <v>3154</v>
      </c>
    </row>
    <row r="616" spans="1:22" x14ac:dyDescent="0.2">
      <c r="A616" t="s">
        <v>1294</v>
      </c>
      <c r="B616" t="s">
        <v>1295</v>
      </c>
      <c r="C616" t="s">
        <v>96</v>
      </c>
      <c r="D616" t="s">
        <v>97</v>
      </c>
      <c r="E616" t="s">
        <v>105</v>
      </c>
      <c r="F616" t="s">
        <v>67</v>
      </c>
      <c r="G616" t="s">
        <v>68</v>
      </c>
      <c r="H616" t="s">
        <v>88</v>
      </c>
      <c r="I616" t="s">
        <v>106</v>
      </c>
      <c r="J616" t="s">
        <v>48</v>
      </c>
      <c r="K616" s="4">
        <v>46066</v>
      </c>
      <c r="L616" s="4">
        <v>46246</v>
      </c>
      <c r="M616" t="s">
        <v>38</v>
      </c>
      <c r="N616" t="s">
        <v>55</v>
      </c>
      <c r="O616">
        <v>2</v>
      </c>
      <c r="P616" t="s">
        <v>111</v>
      </c>
      <c r="Q616" s="4">
        <v>46221</v>
      </c>
      <c r="R616" t="s">
        <v>38</v>
      </c>
      <c r="S616" t="s">
        <v>38</v>
      </c>
      <c r="T616" t="s">
        <v>3153</v>
      </c>
      <c r="U616" t="s">
        <v>55</v>
      </c>
      <c r="V616" t="s">
        <v>3154</v>
      </c>
    </row>
    <row r="617" spans="1:22" x14ac:dyDescent="0.2">
      <c r="A617" t="s">
        <v>1296</v>
      </c>
      <c r="B617" t="s">
        <v>1297</v>
      </c>
      <c r="C617" t="s">
        <v>31</v>
      </c>
      <c r="D617" t="s">
        <v>83</v>
      </c>
      <c r="E617" t="s">
        <v>91</v>
      </c>
      <c r="F617" t="s">
        <v>67</v>
      </c>
      <c r="G617" t="s">
        <v>118</v>
      </c>
      <c r="H617" t="s">
        <v>88</v>
      </c>
      <c r="I617" t="s">
        <v>54</v>
      </c>
      <c r="J617" t="s">
        <v>63</v>
      </c>
      <c r="K617" s="4">
        <v>46072</v>
      </c>
      <c r="L617" s="4">
        <v>46162</v>
      </c>
      <c r="M617" t="s">
        <v>38</v>
      </c>
      <c r="N617" t="s">
        <v>55</v>
      </c>
      <c r="O617">
        <v>2</v>
      </c>
      <c r="P617" t="s">
        <v>111</v>
      </c>
      <c r="Q617" s="4">
        <v>46173</v>
      </c>
      <c r="R617" t="s">
        <v>38</v>
      </c>
      <c r="S617" t="s">
        <v>38</v>
      </c>
      <c r="T617" t="s">
        <v>3153</v>
      </c>
      <c r="U617" t="s">
        <v>55</v>
      </c>
      <c r="V617" t="s">
        <v>3154</v>
      </c>
    </row>
    <row r="618" spans="1:22" x14ac:dyDescent="0.2">
      <c r="A618" t="s">
        <v>1298</v>
      </c>
      <c r="B618" t="s">
        <v>1299</v>
      </c>
      <c r="C618" t="s">
        <v>31</v>
      </c>
      <c r="D618" t="s">
        <v>83</v>
      </c>
      <c r="E618" t="s">
        <v>105</v>
      </c>
      <c r="F618" t="s">
        <v>67</v>
      </c>
      <c r="G618" t="s">
        <v>118</v>
      </c>
      <c r="H618" t="s">
        <v>47</v>
      </c>
      <c r="I618" t="s">
        <v>54</v>
      </c>
      <c r="J618" t="s">
        <v>48</v>
      </c>
      <c r="K618" s="4">
        <v>45910</v>
      </c>
      <c r="L618" s="4">
        <v>46090</v>
      </c>
      <c r="M618" t="s">
        <v>38</v>
      </c>
      <c r="N618" t="s">
        <v>55</v>
      </c>
      <c r="O618">
        <v>3</v>
      </c>
      <c r="P618" t="s">
        <v>70</v>
      </c>
      <c r="Q618" s="4">
        <v>46257</v>
      </c>
      <c r="R618" t="s">
        <v>38</v>
      </c>
      <c r="S618" t="s">
        <v>38</v>
      </c>
      <c r="T618" t="s">
        <v>3153</v>
      </c>
      <c r="U618" t="s">
        <v>55</v>
      </c>
      <c r="V618" t="s">
        <v>3154</v>
      </c>
    </row>
    <row r="619" spans="1:22" x14ac:dyDescent="0.2">
      <c r="A619" t="s">
        <v>1300</v>
      </c>
      <c r="B619" t="s">
        <v>1301</v>
      </c>
      <c r="C619" t="s">
        <v>31</v>
      </c>
      <c r="D619" t="s">
        <v>83</v>
      </c>
      <c r="E619" t="s">
        <v>105</v>
      </c>
      <c r="F619" t="s">
        <v>45</v>
      </c>
      <c r="G619" t="s">
        <v>61</v>
      </c>
      <c r="H619" t="s">
        <v>88</v>
      </c>
      <c r="I619" t="s">
        <v>62</v>
      </c>
      <c r="J619" t="s">
        <v>37</v>
      </c>
      <c r="K619" s="4">
        <v>46189</v>
      </c>
      <c r="L619" s="4">
        <v>46279</v>
      </c>
      <c r="M619" t="s">
        <v>38</v>
      </c>
      <c r="N619" t="s">
        <v>49</v>
      </c>
      <c r="O619">
        <v>0</v>
      </c>
      <c r="P619" t="s">
        <v>50</v>
      </c>
      <c r="Q619" s="4">
        <v>46254</v>
      </c>
      <c r="R619" t="s">
        <v>57</v>
      </c>
      <c r="S619" t="s">
        <v>38</v>
      </c>
      <c r="T619" t="s">
        <v>3153</v>
      </c>
      <c r="U619" t="s">
        <v>49</v>
      </c>
      <c r="V619" t="s">
        <v>3154</v>
      </c>
    </row>
    <row r="620" spans="1:22" x14ac:dyDescent="0.2">
      <c r="A620" t="s">
        <v>1302</v>
      </c>
      <c r="B620" t="s">
        <v>1303</v>
      </c>
      <c r="C620" t="s">
        <v>42</v>
      </c>
      <c r="D620" t="s">
        <v>43</v>
      </c>
      <c r="E620" t="s">
        <v>91</v>
      </c>
      <c r="F620" t="s">
        <v>45</v>
      </c>
      <c r="G620" t="s">
        <v>46</v>
      </c>
      <c r="H620" t="s">
        <v>88</v>
      </c>
      <c r="I620" t="s">
        <v>111</v>
      </c>
      <c r="J620" t="s">
        <v>48</v>
      </c>
      <c r="K620" s="4">
        <v>45919</v>
      </c>
      <c r="L620" s="4">
        <v>46009</v>
      </c>
      <c r="M620" t="s">
        <v>38</v>
      </c>
      <c r="N620" t="s">
        <v>49</v>
      </c>
      <c r="O620">
        <v>0</v>
      </c>
      <c r="P620" t="s">
        <v>39</v>
      </c>
      <c r="Q620" s="4">
        <v>46314</v>
      </c>
      <c r="R620" t="s">
        <v>57</v>
      </c>
      <c r="S620" t="s">
        <v>38</v>
      </c>
      <c r="T620" t="s">
        <v>3153</v>
      </c>
      <c r="U620" t="s">
        <v>49</v>
      </c>
      <c r="V620" t="s">
        <v>3154</v>
      </c>
    </row>
    <row r="621" spans="1:22" x14ac:dyDescent="0.2">
      <c r="A621" t="s">
        <v>1304</v>
      </c>
      <c r="B621" t="s">
        <v>1305</v>
      </c>
      <c r="C621" t="s">
        <v>78</v>
      </c>
      <c r="D621" t="s">
        <v>79</v>
      </c>
      <c r="E621" t="s">
        <v>44</v>
      </c>
      <c r="F621" t="s">
        <v>45</v>
      </c>
      <c r="G621" t="s">
        <v>61</v>
      </c>
      <c r="H621" t="s">
        <v>98</v>
      </c>
      <c r="I621" t="s">
        <v>106</v>
      </c>
      <c r="J621" t="s">
        <v>48</v>
      </c>
      <c r="K621" s="4">
        <v>45810</v>
      </c>
      <c r="L621" s="4">
        <v>45900</v>
      </c>
      <c r="M621" t="s">
        <v>38</v>
      </c>
      <c r="N621" t="s">
        <v>55</v>
      </c>
      <c r="O621">
        <v>0</v>
      </c>
      <c r="P621" t="s">
        <v>106</v>
      </c>
      <c r="Q621" s="4">
        <v>46123</v>
      </c>
      <c r="R621" t="s">
        <v>57</v>
      </c>
      <c r="S621" t="s">
        <v>38</v>
      </c>
      <c r="T621" t="s">
        <v>3153</v>
      </c>
      <c r="U621" t="s">
        <v>55</v>
      </c>
      <c r="V621" t="s">
        <v>3152</v>
      </c>
    </row>
    <row r="622" spans="1:22" x14ac:dyDescent="0.2">
      <c r="A622" t="s">
        <v>1306</v>
      </c>
      <c r="B622" t="s">
        <v>1307</v>
      </c>
      <c r="C622" t="s">
        <v>31</v>
      </c>
      <c r="D622" t="s">
        <v>32</v>
      </c>
      <c r="E622" t="s">
        <v>44</v>
      </c>
      <c r="F622" t="s">
        <v>45</v>
      </c>
      <c r="G622" t="s">
        <v>46</v>
      </c>
      <c r="H622" t="s">
        <v>98</v>
      </c>
      <c r="I622" t="s">
        <v>70</v>
      </c>
      <c r="J622" t="s">
        <v>37</v>
      </c>
      <c r="K622" s="4">
        <v>45867</v>
      </c>
      <c r="L622" s="4">
        <v>46232</v>
      </c>
      <c r="M622" t="s">
        <v>38</v>
      </c>
      <c r="N622" t="s">
        <v>55</v>
      </c>
      <c r="O622">
        <v>5</v>
      </c>
      <c r="P622" t="s">
        <v>106</v>
      </c>
      <c r="Q622" s="4">
        <v>46200</v>
      </c>
      <c r="R622" t="s">
        <v>64</v>
      </c>
      <c r="S622" t="s">
        <v>38</v>
      </c>
      <c r="T622" t="s">
        <v>3153</v>
      </c>
      <c r="U622" t="s">
        <v>55</v>
      </c>
      <c r="V622" t="s">
        <v>3152</v>
      </c>
    </row>
    <row r="623" spans="1:22" x14ac:dyDescent="0.2">
      <c r="A623" t="s">
        <v>1308</v>
      </c>
      <c r="B623" t="s">
        <v>1309</v>
      </c>
      <c r="C623" t="s">
        <v>73</v>
      </c>
      <c r="D623" t="s">
        <v>74</v>
      </c>
      <c r="E623" t="s">
        <v>60</v>
      </c>
      <c r="F623" t="s">
        <v>34</v>
      </c>
      <c r="G623" t="s">
        <v>35</v>
      </c>
      <c r="H623" t="s">
        <v>47</v>
      </c>
      <c r="I623" t="s">
        <v>62</v>
      </c>
      <c r="J623" t="s">
        <v>48</v>
      </c>
      <c r="K623" s="4">
        <v>45795</v>
      </c>
      <c r="L623" s="4">
        <v>45975</v>
      </c>
      <c r="M623" t="s">
        <v>38</v>
      </c>
      <c r="N623" t="s">
        <v>55</v>
      </c>
      <c r="O623">
        <v>1</v>
      </c>
      <c r="P623" t="s">
        <v>62</v>
      </c>
      <c r="Q623" s="4">
        <v>46224</v>
      </c>
      <c r="R623" t="s">
        <v>64</v>
      </c>
      <c r="S623" t="s">
        <v>38</v>
      </c>
      <c r="T623" t="s">
        <v>3153</v>
      </c>
      <c r="U623" t="s">
        <v>55</v>
      </c>
      <c r="V623" t="s">
        <v>3154</v>
      </c>
    </row>
    <row r="624" spans="1:22" x14ac:dyDescent="0.2">
      <c r="A624" t="s">
        <v>1310</v>
      </c>
      <c r="B624" t="s">
        <v>1311</v>
      </c>
      <c r="C624" t="s">
        <v>103</v>
      </c>
      <c r="D624" t="s">
        <v>104</v>
      </c>
      <c r="E624" t="s">
        <v>105</v>
      </c>
      <c r="F624" t="s">
        <v>34</v>
      </c>
      <c r="G624" t="s">
        <v>35</v>
      </c>
      <c r="H624" t="s">
        <v>88</v>
      </c>
      <c r="I624" t="s">
        <v>111</v>
      </c>
      <c r="J624" t="s">
        <v>37</v>
      </c>
      <c r="K624" s="4">
        <v>46163</v>
      </c>
      <c r="L624" s="4">
        <v>46253</v>
      </c>
      <c r="M624" t="s">
        <v>38</v>
      </c>
      <c r="N624" t="s">
        <v>49</v>
      </c>
      <c r="O624">
        <v>2</v>
      </c>
      <c r="P624" t="s">
        <v>111</v>
      </c>
      <c r="Q624" s="4">
        <v>46303</v>
      </c>
      <c r="R624" t="s">
        <v>64</v>
      </c>
      <c r="S624" t="s">
        <v>38</v>
      </c>
      <c r="T624" t="s">
        <v>3153</v>
      </c>
      <c r="U624" t="s">
        <v>49</v>
      </c>
      <c r="V624" t="s">
        <v>3154</v>
      </c>
    </row>
    <row r="625" spans="1:22" x14ac:dyDescent="0.2">
      <c r="A625" t="s">
        <v>1312</v>
      </c>
      <c r="B625" t="s">
        <v>1313</v>
      </c>
      <c r="C625" t="s">
        <v>73</v>
      </c>
      <c r="D625" t="s">
        <v>74</v>
      </c>
      <c r="E625" t="s">
        <v>53</v>
      </c>
      <c r="F625" t="s">
        <v>45</v>
      </c>
      <c r="G625" t="s">
        <v>46</v>
      </c>
      <c r="H625" t="s">
        <v>98</v>
      </c>
      <c r="I625" t="s">
        <v>106</v>
      </c>
      <c r="J625" t="s">
        <v>63</v>
      </c>
      <c r="K625" s="4">
        <v>45952</v>
      </c>
      <c r="L625" s="4">
        <v>46317</v>
      </c>
      <c r="M625" t="s">
        <v>64</v>
      </c>
      <c r="N625" t="s">
        <v>49</v>
      </c>
      <c r="O625">
        <v>1</v>
      </c>
      <c r="P625" t="s">
        <v>111</v>
      </c>
      <c r="Q625" s="4">
        <v>46285</v>
      </c>
      <c r="R625" t="s">
        <v>64</v>
      </c>
      <c r="S625" t="s">
        <v>3155</v>
      </c>
      <c r="T625" t="s">
        <v>3153</v>
      </c>
      <c r="U625" t="s">
        <v>49</v>
      </c>
      <c r="V625" t="s">
        <v>3152</v>
      </c>
    </row>
    <row r="626" spans="1:22" x14ac:dyDescent="0.2">
      <c r="A626" t="s">
        <v>1314</v>
      </c>
      <c r="B626" t="s">
        <v>1315</v>
      </c>
      <c r="C626" t="s">
        <v>31</v>
      </c>
      <c r="D626" t="s">
        <v>87</v>
      </c>
      <c r="E626" t="s">
        <v>105</v>
      </c>
      <c r="F626" t="s">
        <v>45</v>
      </c>
      <c r="G626" t="s">
        <v>61</v>
      </c>
      <c r="H626" t="s">
        <v>88</v>
      </c>
      <c r="I626" t="s">
        <v>111</v>
      </c>
      <c r="J626" t="s">
        <v>48</v>
      </c>
      <c r="K626" s="4">
        <v>46080</v>
      </c>
      <c r="L626" s="4">
        <v>46445</v>
      </c>
      <c r="M626" t="s">
        <v>84</v>
      </c>
      <c r="N626" t="s">
        <v>49</v>
      </c>
      <c r="O626">
        <v>0</v>
      </c>
      <c r="P626" t="s">
        <v>56</v>
      </c>
      <c r="Q626" s="4">
        <v>46234</v>
      </c>
      <c r="R626" t="s">
        <v>57</v>
      </c>
      <c r="S626" t="s">
        <v>3155</v>
      </c>
      <c r="T626" t="s">
        <v>3153</v>
      </c>
      <c r="U626" t="s">
        <v>49</v>
      </c>
      <c r="V626" t="s">
        <v>3154</v>
      </c>
    </row>
    <row r="627" spans="1:22" x14ac:dyDescent="0.2">
      <c r="A627" t="s">
        <v>1316</v>
      </c>
      <c r="B627" t="s">
        <v>1317</v>
      </c>
      <c r="C627" t="s">
        <v>31</v>
      </c>
      <c r="D627" t="s">
        <v>87</v>
      </c>
      <c r="E627" t="s">
        <v>44</v>
      </c>
      <c r="F627" t="s">
        <v>45</v>
      </c>
      <c r="G627" t="s">
        <v>61</v>
      </c>
      <c r="H627" t="s">
        <v>88</v>
      </c>
      <c r="I627" t="s">
        <v>39</v>
      </c>
      <c r="J627" t="s">
        <v>63</v>
      </c>
      <c r="K627" s="4">
        <v>46205</v>
      </c>
      <c r="L627" s="4">
        <v>46385</v>
      </c>
      <c r="M627" t="s">
        <v>64</v>
      </c>
      <c r="N627" t="s">
        <v>55</v>
      </c>
      <c r="O627">
        <v>1</v>
      </c>
      <c r="P627" t="s">
        <v>111</v>
      </c>
      <c r="Q627" s="4">
        <v>46307</v>
      </c>
      <c r="R627" t="s">
        <v>64</v>
      </c>
      <c r="S627" t="s">
        <v>3155</v>
      </c>
      <c r="T627" t="s">
        <v>3153</v>
      </c>
      <c r="U627" t="s">
        <v>55</v>
      </c>
      <c r="V627" t="s">
        <v>3154</v>
      </c>
    </row>
    <row r="628" spans="1:22" x14ac:dyDescent="0.2">
      <c r="A628" t="s">
        <v>1318</v>
      </c>
      <c r="B628" t="s">
        <v>1319</v>
      </c>
      <c r="C628" t="s">
        <v>73</v>
      </c>
      <c r="D628" t="s">
        <v>74</v>
      </c>
      <c r="E628" t="s">
        <v>44</v>
      </c>
      <c r="F628" t="s">
        <v>34</v>
      </c>
      <c r="G628" t="s">
        <v>35</v>
      </c>
      <c r="H628" t="s">
        <v>47</v>
      </c>
      <c r="I628" t="s">
        <v>39</v>
      </c>
      <c r="J628" t="s">
        <v>48</v>
      </c>
      <c r="K628" s="4">
        <v>46009</v>
      </c>
      <c r="L628" s="4">
        <v>46189</v>
      </c>
      <c r="M628" t="s">
        <v>38</v>
      </c>
      <c r="N628" t="s">
        <v>49</v>
      </c>
      <c r="O628">
        <v>2</v>
      </c>
      <c r="P628" t="s">
        <v>54</v>
      </c>
      <c r="Q628" s="4">
        <v>46127</v>
      </c>
      <c r="R628" t="s">
        <v>64</v>
      </c>
      <c r="S628" t="s">
        <v>38</v>
      </c>
      <c r="T628" t="s">
        <v>3153</v>
      </c>
      <c r="U628" t="s">
        <v>49</v>
      </c>
      <c r="V628" t="s">
        <v>3154</v>
      </c>
    </row>
    <row r="629" spans="1:22" x14ac:dyDescent="0.2">
      <c r="A629" t="s">
        <v>1320</v>
      </c>
      <c r="B629" t="s">
        <v>1321</v>
      </c>
      <c r="C629" t="s">
        <v>31</v>
      </c>
      <c r="D629" t="s">
        <v>87</v>
      </c>
      <c r="E629" t="s">
        <v>91</v>
      </c>
      <c r="F629" t="s">
        <v>34</v>
      </c>
      <c r="G629" t="s">
        <v>35</v>
      </c>
      <c r="H629" t="s">
        <v>98</v>
      </c>
      <c r="I629" t="s">
        <v>54</v>
      </c>
      <c r="J629" t="s">
        <v>37</v>
      </c>
      <c r="K629" s="4">
        <v>45964</v>
      </c>
      <c r="L629" s="4">
        <v>46144</v>
      </c>
      <c r="M629" t="s">
        <v>38</v>
      </c>
      <c r="N629" t="s">
        <v>49</v>
      </c>
      <c r="O629">
        <v>2</v>
      </c>
      <c r="P629" t="s">
        <v>70</v>
      </c>
      <c r="Q629" s="4">
        <v>46208</v>
      </c>
      <c r="R629" t="s">
        <v>38</v>
      </c>
      <c r="S629" t="s">
        <v>38</v>
      </c>
      <c r="T629" t="s">
        <v>3153</v>
      </c>
      <c r="U629" t="s">
        <v>49</v>
      </c>
      <c r="V629" t="s">
        <v>3152</v>
      </c>
    </row>
    <row r="630" spans="1:22" x14ac:dyDescent="0.2">
      <c r="A630" t="s">
        <v>1322</v>
      </c>
      <c r="B630" t="s">
        <v>1323</v>
      </c>
      <c r="C630" t="s">
        <v>78</v>
      </c>
      <c r="D630" t="s">
        <v>79</v>
      </c>
      <c r="E630" t="s">
        <v>91</v>
      </c>
      <c r="F630" t="s">
        <v>45</v>
      </c>
      <c r="G630" t="s">
        <v>46</v>
      </c>
      <c r="H630" t="s">
        <v>98</v>
      </c>
      <c r="I630" t="s">
        <v>54</v>
      </c>
      <c r="J630" t="s">
        <v>37</v>
      </c>
      <c r="K630" s="4">
        <v>46211</v>
      </c>
      <c r="L630" s="4">
        <v>46301</v>
      </c>
      <c r="M630" t="s">
        <v>64</v>
      </c>
      <c r="N630" t="s">
        <v>49</v>
      </c>
      <c r="O630">
        <v>1</v>
      </c>
      <c r="P630" t="s">
        <v>56</v>
      </c>
      <c r="Q630" s="4">
        <v>46235</v>
      </c>
      <c r="R630" t="s">
        <v>38</v>
      </c>
      <c r="S630" t="s">
        <v>3155</v>
      </c>
      <c r="T630" t="s">
        <v>3153</v>
      </c>
      <c r="U630" t="s">
        <v>49</v>
      </c>
      <c r="V630" t="s">
        <v>3152</v>
      </c>
    </row>
    <row r="631" spans="1:22" x14ac:dyDescent="0.2">
      <c r="A631" t="s">
        <v>1324</v>
      </c>
      <c r="B631" t="s">
        <v>1325</v>
      </c>
      <c r="C631" t="s">
        <v>73</v>
      </c>
      <c r="D631" t="s">
        <v>74</v>
      </c>
      <c r="E631" t="s">
        <v>44</v>
      </c>
      <c r="F631" t="s">
        <v>45</v>
      </c>
      <c r="G631" t="s">
        <v>46</v>
      </c>
      <c r="H631" t="s">
        <v>88</v>
      </c>
      <c r="I631" t="s">
        <v>54</v>
      </c>
      <c r="J631" t="s">
        <v>37</v>
      </c>
      <c r="K631" s="4">
        <v>46120</v>
      </c>
      <c r="L631" s="4">
        <v>46300</v>
      </c>
      <c r="M631" t="s">
        <v>84</v>
      </c>
      <c r="N631" t="s">
        <v>75</v>
      </c>
      <c r="O631">
        <v>3</v>
      </c>
      <c r="P631" t="s">
        <v>50</v>
      </c>
      <c r="Q631" s="4">
        <v>46155</v>
      </c>
      <c r="R631" t="s">
        <v>38</v>
      </c>
      <c r="S631" t="s">
        <v>3155</v>
      </c>
      <c r="T631" t="s">
        <v>3153</v>
      </c>
      <c r="U631" t="s">
        <v>75</v>
      </c>
      <c r="V631" t="s">
        <v>3154</v>
      </c>
    </row>
    <row r="632" spans="1:22" x14ac:dyDescent="0.2">
      <c r="A632" t="s">
        <v>1326</v>
      </c>
      <c r="B632" t="s">
        <v>1327</v>
      </c>
      <c r="C632" t="s">
        <v>78</v>
      </c>
      <c r="D632" t="s">
        <v>79</v>
      </c>
      <c r="E632" t="s">
        <v>80</v>
      </c>
      <c r="F632" t="s">
        <v>67</v>
      </c>
      <c r="G632" t="s">
        <v>118</v>
      </c>
      <c r="H632" t="s">
        <v>88</v>
      </c>
      <c r="I632" t="s">
        <v>62</v>
      </c>
      <c r="J632" t="s">
        <v>48</v>
      </c>
      <c r="K632" s="4">
        <v>45886</v>
      </c>
      <c r="L632" s="4">
        <v>45976</v>
      </c>
      <c r="M632" t="s">
        <v>38</v>
      </c>
      <c r="N632" t="s">
        <v>75</v>
      </c>
      <c r="O632">
        <v>0</v>
      </c>
      <c r="P632" t="s">
        <v>56</v>
      </c>
      <c r="Q632" s="4">
        <v>46310</v>
      </c>
      <c r="R632" t="s">
        <v>57</v>
      </c>
      <c r="S632" t="s">
        <v>38</v>
      </c>
      <c r="T632" t="s">
        <v>3153</v>
      </c>
      <c r="U632" t="s">
        <v>75</v>
      </c>
      <c r="V632" t="s">
        <v>3154</v>
      </c>
    </row>
    <row r="633" spans="1:22" x14ac:dyDescent="0.2">
      <c r="A633" t="s">
        <v>1328</v>
      </c>
      <c r="B633" t="s">
        <v>1329</v>
      </c>
      <c r="C633" t="s">
        <v>96</v>
      </c>
      <c r="D633" t="s">
        <v>97</v>
      </c>
      <c r="E633" t="s">
        <v>60</v>
      </c>
      <c r="F633" t="s">
        <v>34</v>
      </c>
      <c r="G633" t="s">
        <v>35</v>
      </c>
      <c r="H633" t="s">
        <v>36</v>
      </c>
      <c r="I633" t="s">
        <v>56</v>
      </c>
      <c r="J633" t="s">
        <v>37</v>
      </c>
      <c r="K633" s="4">
        <v>46081</v>
      </c>
      <c r="L633" s="4">
        <v>46261</v>
      </c>
      <c r="M633" t="s">
        <v>38</v>
      </c>
      <c r="N633" t="s">
        <v>75</v>
      </c>
      <c r="O633">
        <v>3</v>
      </c>
      <c r="P633" t="s">
        <v>50</v>
      </c>
      <c r="Q633" s="4">
        <v>46260</v>
      </c>
      <c r="R633" t="s">
        <v>38</v>
      </c>
      <c r="S633" t="s">
        <v>38</v>
      </c>
      <c r="T633" t="s">
        <v>3153</v>
      </c>
      <c r="U633" t="s">
        <v>75</v>
      </c>
      <c r="V633" t="s">
        <v>3152</v>
      </c>
    </row>
    <row r="634" spans="1:22" x14ac:dyDescent="0.2">
      <c r="A634" t="s">
        <v>1330</v>
      </c>
      <c r="B634" t="s">
        <v>1331</v>
      </c>
      <c r="C634" t="s">
        <v>73</v>
      </c>
      <c r="D634" t="s">
        <v>74</v>
      </c>
      <c r="E634" t="s">
        <v>44</v>
      </c>
      <c r="F634" t="s">
        <v>34</v>
      </c>
      <c r="G634" t="s">
        <v>35</v>
      </c>
      <c r="H634" t="s">
        <v>47</v>
      </c>
      <c r="I634" t="s">
        <v>54</v>
      </c>
      <c r="J634" t="s">
        <v>37</v>
      </c>
      <c r="K634" s="4">
        <v>46273</v>
      </c>
      <c r="L634" s="4">
        <v>46363</v>
      </c>
      <c r="M634" t="s">
        <v>69</v>
      </c>
      <c r="N634" t="s">
        <v>75</v>
      </c>
      <c r="O634">
        <v>3</v>
      </c>
      <c r="P634" t="s">
        <v>56</v>
      </c>
      <c r="Q634" s="4">
        <v>46327</v>
      </c>
      <c r="R634" t="s">
        <v>84</v>
      </c>
      <c r="S634" t="s">
        <v>3155</v>
      </c>
      <c r="T634" t="s">
        <v>3153</v>
      </c>
      <c r="U634" t="s">
        <v>75</v>
      </c>
      <c r="V634" t="s">
        <v>3154</v>
      </c>
    </row>
    <row r="635" spans="1:22" x14ac:dyDescent="0.2">
      <c r="A635" t="s">
        <v>1332</v>
      </c>
      <c r="B635" t="s">
        <v>1333</v>
      </c>
      <c r="C635" t="s">
        <v>96</v>
      </c>
      <c r="D635" t="s">
        <v>97</v>
      </c>
      <c r="E635" t="s">
        <v>80</v>
      </c>
      <c r="F635" t="s">
        <v>34</v>
      </c>
      <c r="G635" t="s">
        <v>35</v>
      </c>
      <c r="H635" t="s">
        <v>36</v>
      </c>
      <c r="I635" t="s">
        <v>70</v>
      </c>
      <c r="J635" t="s">
        <v>63</v>
      </c>
      <c r="K635" s="4">
        <v>46078</v>
      </c>
      <c r="L635" s="4">
        <v>46443</v>
      </c>
      <c r="M635" t="s">
        <v>64</v>
      </c>
      <c r="N635" t="s">
        <v>75</v>
      </c>
      <c r="O635">
        <v>2</v>
      </c>
      <c r="P635" t="s">
        <v>106</v>
      </c>
      <c r="Q635" s="4">
        <v>46293</v>
      </c>
      <c r="R635" t="s">
        <v>38</v>
      </c>
      <c r="S635" t="s">
        <v>3155</v>
      </c>
      <c r="T635" t="s">
        <v>3153</v>
      </c>
      <c r="U635" t="s">
        <v>75</v>
      </c>
      <c r="V635" t="s">
        <v>3152</v>
      </c>
    </row>
    <row r="636" spans="1:22" x14ac:dyDescent="0.2">
      <c r="A636" t="s">
        <v>1334</v>
      </c>
      <c r="B636" t="s">
        <v>1335</v>
      </c>
      <c r="C636" t="s">
        <v>73</v>
      </c>
      <c r="D636" t="s">
        <v>74</v>
      </c>
      <c r="E636" t="s">
        <v>91</v>
      </c>
      <c r="F636" t="s">
        <v>34</v>
      </c>
      <c r="G636" t="s">
        <v>35</v>
      </c>
      <c r="H636" t="s">
        <v>88</v>
      </c>
      <c r="I636" t="s">
        <v>62</v>
      </c>
      <c r="J636" t="s">
        <v>63</v>
      </c>
      <c r="K636" s="4">
        <v>45899</v>
      </c>
      <c r="L636" s="4">
        <v>45989</v>
      </c>
      <c r="M636" t="s">
        <v>38</v>
      </c>
      <c r="N636" t="s">
        <v>55</v>
      </c>
      <c r="O636">
        <v>3</v>
      </c>
      <c r="P636" t="s">
        <v>39</v>
      </c>
      <c r="Q636" s="4">
        <v>46132</v>
      </c>
      <c r="R636" t="s">
        <v>38</v>
      </c>
      <c r="S636" t="s">
        <v>38</v>
      </c>
      <c r="T636" t="s">
        <v>3153</v>
      </c>
      <c r="U636" t="s">
        <v>55</v>
      </c>
      <c r="V636" t="s">
        <v>3154</v>
      </c>
    </row>
    <row r="637" spans="1:22" x14ac:dyDescent="0.2">
      <c r="A637" t="s">
        <v>1336</v>
      </c>
      <c r="B637" t="s">
        <v>1337</v>
      </c>
      <c r="C637" t="s">
        <v>31</v>
      </c>
      <c r="D637" t="s">
        <v>32</v>
      </c>
      <c r="E637" t="s">
        <v>53</v>
      </c>
      <c r="F637" t="s">
        <v>34</v>
      </c>
      <c r="G637" t="s">
        <v>35</v>
      </c>
      <c r="H637" t="s">
        <v>88</v>
      </c>
      <c r="I637" t="s">
        <v>50</v>
      </c>
      <c r="J637" t="s">
        <v>63</v>
      </c>
      <c r="K637" s="4">
        <v>46145</v>
      </c>
      <c r="L637" s="4">
        <v>46235</v>
      </c>
      <c r="M637" t="s">
        <v>38</v>
      </c>
      <c r="N637" t="s">
        <v>49</v>
      </c>
      <c r="O637">
        <v>1</v>
      </c>
      <c r="P637" t="s">
        <v>62</v>
      </c>
      <c r="Q637" s="4">
        <v>46121</v>
      </c>
      <c r="R637" t="s">
        <v>64</v>
      </c>
      <c r="S637" t="s">
        <v>38</v>
      </c>
      <c r="T637" t="s">
        <v>3153</v>
      </c>
      <c r="U637" t="s">
        <v>49</v>
      </c>
      <c r="V637" t="s">
        <v>3154</v>
      </c>
    </row>
    <row r="638" spans="1:22" x14ac:dyDescent="0.2">
      <c r="A638" t="s">
        <v>1338</v>
      </c>
      <c r="B638" t="s">
        <v>1339</v>
      </c>
      <c r="C638" t="s">
        <v>78</v>
      </c>
      <c r="D638" t="s">
        <v>79</v>
      </c>
      <c r="E638" t="s">
        <v>60</v>
      </c>
      <c r="F638" t="s">
        <v>67</v>
      </c>
      <c r="G638" t="s">
        <v>68</v>
      </c>
      <c r="H638" t="s">
        <v>36</v>
      </c>
      <c r="I638" t="s">
        <v>62</v>
      </c>
      <c r="J638" t="s">
        <v>37</v>
      </c>
      <c r="K638" s="4">
        <v>46191</v>
      </c>
      <c r="L638" s="4">
        <v>46371</v>
      </c>
      <c r="M638" t="s">
        <v>64</v>
      </c>
      <c r="N638" t="s">
        <v>75</v>
      </c>
      <c r="O638">
        <v>4</v>
      </c>
      <c r="P638" t="s">
        <v>62</v>
      </c>
      <c r="Q638" s="4">
        <v>46387</v>
      </c>
      <c r="R638" t="s">
        <v>84</v>
      </c>
      <c r="S638" t="s">
        <v>3155</v>
      </c>
      <c r="T638" t="s">
        <v>3153</v>
      </c>
      <c r="U638" t="s">
        <v>75</v>
      </c>
      <c r="V638" t="s">
        <v>3152</v>
      </c>
    </row>
    <row r="639" spans="1:22" x14ac:dyDescent="0.2">
      <c r="A639" t="s">
        <v>1340</v>
      </c>
      <c r="B639" t="s">
        <v>1341</v>
      </c>
      <c r="C639" t="s">
        <v>31</v>
      </c>
      <c r="D639" t="s">
        <v>87</v>
      </c>
      <c r="E639" t="s">
        <v>105</v>
      </c>
      <c r="F639" t="s">
        <v>34</v>
      </c>
      <c r="G639" t="s">
        <v>35</v>
      </c>
      <c r="H639" t="s">
        <v>88</v>
      </c>
      <c r="I639" t="s">
        <v>106</v>
      </c>
      <c r="J639" t="s">
        <v>37</v>
      </c>
      <c r="K639" s="4">
        <v>45859</v>
      </c>
      <c r="L639" s="4">
        <v>45949</v>
      </c>
      <c r="M639" t="s">
        <v>38</v>
      </c>
      <c r="N639" t="s">
        <v>75</v>
      </c>
      <c r="O639">
        <v>1</v>
      </c>
      <c r="P639" t="s">
        <v>39</v>
      </c>
      <c r="Q639" s="4">
        <v>46318</v>
      </c>
      <c r="R639" t="s">
        <v>84</v>
      </c>
      <c r="S639" t="s">
        <v>38</v>
      </c>
      <c r="T639" t="s">
        <v>3153</v>
      </c>
      <c r="U639" t="s">
        <v>75</v>
      </c>
      <c r="V639" t="s">
        <v>3154</v>
      </c>
    </row>
    <row r="640" spans="1:22" x14ac:dyDescent="0.2">
      <c r="A640" t="s">
        <v>1342</v>
      </c>
      <c r="B640" t="s">
        <v>1343</v>
      </c>
      <c r="C640" t="s">
        <v>31</v>
      </c>
      <c r="D640" t="s">
        <v>83</v>
      </c>
      <c r="E640" t="s">
        <v>91</v>
      </c>
      <c r="F640" t="s">
        <v>45</v>
      </c>
      <c r="G640" t="s">
        <v>46</v>
      </c>
      <c r="H640" t="s">
        <v>88</v>
      </c>
      <c r="I640" t="s">
        <v>62</v>
      </c>
      <c r="J640" t="s">
        <v>48</v>
      </c>
      <c r="K640" s="4">
        <v>45940</v>
      </c>
      <c r="L640" s="4">
        <v>46120</v>
      </c>
      <c r="M640" t="s">
        <v>38</v>
      </c>
      <c r="N640" t="s">
        <v>49</v>
      </c>
      <c r="O640">
        <v>3</v>
      </c>
      <c r="P640" t="s">
        <v>54</v>
      </c>
      <c r="Q640" s="4">
        <v>46202</v>
      </c>
      <c r="R640" t="s">
        <v>64</v>
      </c>
      <c r="S640" t="s">
        <v>38</v>
      </c>
      <c r="T640" t="s">
        <v>3153</v>
      </c>
      <c r="U640" t="s">
        <v>49</v>
      </c>
      <c r="V640" t="s">
        <v>3154</v>
      </c>
    </row>
    <row r="641" spans="1:22" x14ac:dyDescent="0.2">
      <c r="A641" t="s">
        <v>1344</v>
      </c>
      <c r="B641" t="s">
        <v>1345</v>
      </c>
      <c r="C641" t="s">
        <v>103</v>
      </c>
      <c r="D641" t="s">
        <v>104</v>
      </c>
      <c r="E641" t="s">
        <v>60</v>
      </c>
      <c r="F641" t="s">
        <v>67</v>
      </c>
      <c r="G641" t="s">
        <v>68</v>
      </c>
      <c r="H641" t="s">
        <v>98</v>
      </c>
      <c r="I641" t="s">
        <v>111</v>
      </c>
      <c r="J641" t="s">
        <v>37</v>
      </c>
      <c r="K641" s="4">
        <v>45985</v>
      </c>
      <c r="L641" s="4">
        <v>46075</v>
      </c>
      <c r="M641" t="s">
        <v>38</v>
      </c>
      <c r="N641" t="s">
        <v>55</v>
      </c>
      <c r="O641">
        <v>1</v>
      </c>
      <c r="P641" t="s">
        <v>111</v>
      </c>
      <c r="Q641" s="4">
        <v>46145</v>
      </c>
      <c r="R641" t="s">
        <v>38</v>
      </c>
      <c r="S641" t="s">
        <v>38</v>
      </c>
      <c r="T641" t="s">
        <v>3153</v>
      </c>
      <c r="U641" t="s">
        <v>55</v>
      </c>
      <c r="V641" t="s">
        <v>3152</v>
      </c>
    </row>
    <row r="642" spans="1:22" x14ac:dyDescent="0.2">
      <c r="A642" t="s">
        <v>1346</v>
      </c>
      <c r="B642" t="s">
        <v>1347</v>
      </c>
      <c r="C642" t="s">
        <v>96</v>
      </c>
      <c r="D642" t="s">
        <v>97</v>
      </c>
      <c r="E642" t="s">
        <v>91</v>
      </c>
      <c r="F642" t="s">
        <v>34</v>
      </c>
      <c r="G642" t="s">
        <v>35</v>
      </c>
      <c r="H642" t="s">
        <v>47</v>
      </c>
      <c r="I642" t="s">
        <v>56</v>
      </c>
      <c r="J642" t="s">
        <v>63</v>
      </c>
      <c r="K642" s="4">
        <v>46232</v>
      </c>
      <c r="L642" s="4">
        <v>46412</v>
      </c>
      <c r="M642" t="s">
        <v>64</v>
      </c>
      <c r="N642" t="s">
        <v>55</v>
      </c>
      <c r="O642">
        <v>2</v>
      </c>
      <c r="P642" t="s">
        <v>70</v>
      </c>
      <c r="Q642" s="4">
        <v>46130</v>
      </c>
      <c r="R642" t="s">
        <v>38</v>
      </c>
      <c r="S642" t="s">
        <v>3155</v>
      </c>
      <c r="T642" t="s">
        <v>3153</v>
      </c>
      <c r="U642" t="s">
        <v>55</v>
      </c>
      <c r="V642" t="s">
        <v>3154</v>
      </c>
    </row>
    <row r="643" spans="1:22" x14ac:dyDescent="0.2">
      <c r="A643" t="s">
        <v>1348</v>
      </c>
      <c r="B643" t="s">
        <v>1349</v>
      </c>
      <c r="C643" t="s">
        <v>78</v>
      </c>
      <c r="D643" t="s">
        <v>79</v>
      </c>
      <c r="E643" t="s">
        <v>53</v>
      </c>
      <c r="F643" t="s">
        <v>45</v>
      </c>
      <c r="G643" t="s">
        <v>46</v>
      </c>
      <c r="H643" t="s">
        <v>36</v>
      </c>
      <c r="I643" t="s">
        <v>39</v>
      </c>
      <c r="J643" t="s">
        <v>63</v>
      </c>
      <c r="K643" s="4">
        <v>45935</v>
      </c>
      <c r="L643" s="4">
        <v>46300</v>
      </c>
      <c r="M643" t="s">
        <v>84</v>
      </c>
      <c r="N643" t="s">
        <v>55</v>
      </c>
      <c r="O643">
        <v>1</v>
      </c>
      <c r="P643" t="s">
        <v>56</v>
      </c>
      <c r="Q643" s="4">
        <v>46382</v>
      </c>
      <c r="R643" t="s">
        <v>84</v>
      </c>
      <c r="S643" t="s">
        <v>3155</v>
      </c>
      <c r="T643" t="s">
        <v>3153</v>
      </c>
      <c r="U643" t="s">
        <v>55</v>
      </c>
      <c r="V643" t="s">
        <v>3152</v>
      </c>
    </row>
    <row r="644" spans="1:22" x14ac:dyDescent="0.2">
      <c r="A644" t="s">
        <v>1350</v>
      </c>
      <c r="B644" t="s">
        <v>1351</v>
      </c>
      <c r="C644" t="s">
        <v>31</v>
      </c>
      <c r="D644" t="s">
        <v>87</v>
      </c>
      <c r="E644" t="s">
        <v>53</v>
      </c>
      <c r="F644" t="s">
        <v>67</v>
      </c>
      <c r="G644" t="s">
        <v>118</v>
      </c>
      <c r="H644" t="s">
        <v>88</v>
      </c>
      <c r="I644" t="s">
        <v>106</v>
      </c>
      <c r="J644" t="s">
        <v>37</v>
      </c>
      <c r="K644" s="4">
        <v>46086</v>
      </c>
      <c r="L644" s="4">
        <v>46451</v>
      </c>
      <c r="M644" t="s">
        <v>69</v>
      </c>
      <c r="N644" t="s">
        <v>55</v>
      </c>
      <c r="O644">
        <v>2</v>
      </c>
      <c r="P644" t="s">
        <v>70</v>
      </c>
      <c r="Q644" s="4">
        <v>46319</v>
      </c>
      <c r="R644" t="s">
        <v>84</v>
      </c>
      <c r="S644" t="s">
        <v>3155</v>
      </c>
      <c r="T644" t="s">
        <v>3153</v>
      </c>
      <c r="U644" t="s">
        <v>55</v>
      </c>
      <c r="V644" t="s">
        <v>3154</v>
      </c>
    </row>
    <row r="645" spans="1:22" x14ac:dyDescent="0.2">
      <c r="A645" t="s">
        <v>1352</v>
      </c>
      <c r="B645" t="s">
        <v>1353</v>
      </c>
      <c r="C645" t="s">
        <v>96</v>
      </c>
      <c r="D645" t="s">
        <v>97</v>
      </c>
      <c r="E645" t="s">
        <v>91</v>
      </c>
      <c r="F645" t="s">
        <v>45</v>
      </c>
      <c r="G645" t="s">
        <v>61</v>
      </c>
      <c r="H645" t="s">
        <v>88</v>
      </c>
      <c r="I645" t="s">
        <v>50</v>
      </c>
      <c r="J645" t="s">
        <v>37</v>
      </c>
      <c r="K645" s="4">
        <v>46262</v>
      </c>
      <c r="L645" s="4">
        <v>46627</v>
      </c>
      <c r="M645" t="s">
        <v>64</v>
      </c>
      <c r="N645" t="s">
        <v>49</v>
      </c>
      <c r="O645">
        <v>2</v>
      </c>
      <c r="P645" t="s">
        <v>54</v>
      </c>
      <c r="Q645" s="4">
        <v>46242</v>
      </c>
      <c r="R645" t="s">
        <v>38</v>
      </c>
      <c r="S645" t="s">
        <v>3155</v>
      </c>
      <c r="T645" t="s">
        <v>3153</v>
      </c>
      <c r="U645" t="s">
        <v>49</v>
      </c>
      <c r="V645" t="s">
        <v>3154</v>
      </c>
    </row>
    <row r="646" spans="1:22" x14ac:dyDescent="0.2">
      <c r="A646" t="s">
        <v>1354</v>
      </c>
      <c r="B646" t="s">
        <v>1355</v>
      </c>
      <c r="C646" t="s">
        <v>78</v>
      </c>
      <c r="D646" t="s">
        <v>79</v>
      </c>
      <c r="E646" t="s">
        <v>105</v>
      </c>
      <c r="F646" t="s">
        <v>45</v>
      </c>
      <c r="G646" t="s">
        <v>61</v>
      </c>
      <c r="H646" t="s">
        <v>88</v>
      </c>
      <c r="I646" t="s">
        <v>39</v>
      </c>
      <c r="J646" t="s">
        <v>63</v>
      </c>
      <c r="K646" s="4">
        <v>45862</v>
      </c>
      <c r="L646" s="4">
        <v>46227</v>
      </c>
      <c r="M646" t="s">
        <v>38</v>
      </c>
      <c r="N646" t="s">
        <v>75</v>
      </c>
      <c r="O646">
        <v>3</v>
      </c>
      <c r="P646" t="s">
        <v>70</v>
      </c>
      <c r="Q646" s="4">
        <v>46234</v>
      </c>
      <c r="R646" t="s">
        <v>38</v>
      </c>
      <c r="S646" t="s">
        <v>38</v>
      </c>
      <c r="T646" t="s">
        <v>3153</v>
      </c>
      <c r="U646" t="s">
        <v>75</v>
      </c>
      <c r="V646" t="s">
        <v>3154</v>
      </c>
    </row>
    <row r="647" spans="1:22" x14ac:dyDescent="0.2">
      <c r="A647" t="s">
        <v>1356</v>
      </c>
      <c r="B647" t="s">
        <v>1357</v>
      </c>
      <c r="C647" t="s">
        <v>31</v>
      </c>
      <c r="D647" t="s">
        <v>87</v>
      </c>
      <c r="E647" t="s">
        <v>80</v>
      </c>
      <c r="F647" t="s">
        <v>67</v>
      </c>
      <c r="G647" t="s">
        <v>118</v>
      </c>
      <c r="H647" t="s">
        <v>98</v>
      </c>
      <c r="I647" t="s">
        <v>70</v>
      </c>
      <c r="J647" t="s">
        <v>37</v>
      </c>
      <c r="K647" s="4">
        <v>45900</v>
      </c>
      <c r="L647" s="4">
        <v>46080</v>
      </c>
      <c r="M647" t="s">
        <v>38</v>
      </c>
      <c r="N647" t="s">
        <v>75</v>
      </c>
      <c r="O647">
        <v>4</v>
      </c>
      <c r="P647" t="s">
        <v>70</v>
      </c>
      <c r="Q647" s="4">
        <v>46214</v>
      </c>
      <c r="R647" t="s">
        <v>38</v>
      </c>
      <c r="S647" t="s">
        <v>38</v>
      </c>
      <c r="T647" t="s">
        <v>3153</v>
      </c>
      <c r="U647" t="s">
        <v>75</v>
      </c>
      <c r="V647" t="s">
        <v>3152</v>
      </c>
    </row>
    <row r="648" spans="1:22" x14ac:dyDescent="0.2">
      <c r="A648" t="s">
        <v>1358</v>
      </c>
      <c r="B648" t="s">
        <v>1359</v>
      </c>
      <c r="C648" t="s">
        <v>31</v>
      </c>
      <c r="D648" t="s">
        <v>32</v>
      </c>
      <c r="E648" t="s">
        <v>44</v>
      </c>
      <c r="F648" t="s">
        <v>67</v>
      </c>
      <c r="G648" t="s">
        <v>118</v>
      </c>
      <c r="H648" t="s">
        <v>36</v>
      </c>
      <c r="I648" t="s">
        <v>70</v>
      </c>
      <c r="J648" t="s">
        <v>37</v>
      </c>
      <c r="K648" s="4">
        <v>46029</v>
      </c>
      <c r="L648" s="4">
        <v>46394</v>
      </c>
      <c r="M648" t="s">
        <v>64</v>
      </c>
      <c r="N648" t="s">
        <v>55</v>
      </c>
      <c r="O648">
        <v>1</v>
      </c>
      <c r="P648" t="s">
        <v>39</v>
      </c>
      <c r="Q648" s="4">
        <v>46202</v>
      </c>
      <c r="R648" t="s">
        <v>38</v>
      </c>
      <c r="S648" t="s">
        <v>3155</v>
      </c>
      <c r="T648" t="s">
        <v>3153</v>
      </c>
      <c r="U648" t="s">
        <v>55</v>
      </c>
      <c r="V648" t="s">
        <v>3152</v>
      </c>
    </row>
    <row r="649" spans="1:22" x14ac:dyDescent="0.2">
      <c r="A649" t="s">
        <v>1360</v>
      </c>
      <c r="B649" t="s">
        <v>1361</v>
      </c>
      <c r="C649" t="s">
        <v>96</v>
      </c>
      <c r="D649" t="s">
        <v>97</v>
      </c>
      <c r="E649" t="s">
        <v>80</v>
      </c>
      <c r="F649" t="s">
        <v>45</v>
      </c>
      <c r="G649" t="s">
        <v>61</v>
      </c>
      <c r="H649" t="s">
        <v>36</v>
      </c>
      <c r="I649" t="s">
        <v>54</v>
      </c>
      <c r="J649" t="s">
        <v>63</v>
      </c>
      <c r="K649" s="4">
        <v>45907</v>
      </c>
      <c r="L649" s="4">
        <v>46087</v>
      </c>
      <c r="M649" t="s">
        <v>38</v>
      </c>
      <c r="N649" t="s">
        <v>49</v>
      </c>
      <c r="O649">
        <v>3</v>
      </c>
      <c r="P649" t="s">
        <v>106</v>
      </c>
      <c r="Q649" s="4">
        <v>46178</v>
      </c>
      <c r="R649" t="s">
        <v>38</v>
      </c>
      <c r="S649" t="s">
        <v>38</v>
      </c>
      <c r="T649" t="s">
        <v>3153</v>
      </c>
      <c r="U649" t="s">
        <v>49</v>
      </c>
      <c r="V649" t="s">
        <v>3152</v>
      </c>
    </row>
    <row r="650" spans="1:22" x14ac:dyDescent="0.2">
      <c r="A650" t="s">
        <v>1362</v>
      </c>
      <c r="B650" t="s">
        <v>1363</v>
      </c>
      <c r="C650" t="s">
        <v>31</v>
      </c>
      <c r="D650" t="s">
        <v>32</v>
      </c>
      <c r="E650" t="s">
        <v>91</v>
      </c>
      <c r="F650" t="s">
        <v>45</v>
      </c>
      <c r="G650" t="s">
        <v>46</v>
      </c>
      <c r="H650" t="s">
        <v>88</v>
      </c>
      <c r="I650" t="s">
        <v>62</v>
      </c>
      <c r="J650" t="s">
        <v>48</v>
      </c>
      <c r="K650" s="4">
        <v>45941</v>
      </c>
      <c r="L650" s="4">
        <v>46306</v>
      </c>
      <c r="M650" t="s">
        <v>69</v>
      </c>
      <c r="N650" t="s">
        <v>55</v>
      </c>
      <c r="O650">
        <v>1</v>
      </c>
      <c r="P650" t="s">
        <v>106</v>
      </c>
      <c r="Q650" s="4">
        <v>46247</v>
      </c>
      <c r="R650" t="s">
        <v>64</v>
      </c>
      <c r="S650" t="s">
        <v>3155</v>
      </c>
      <c r="T650" t="s">
        <v>3153</v>
      </c>
      <c r="U650" t="s">
        <v>55</v>
      </c>
      <c r="V650" t="s">
        <v>3154</v>
      </c>
    </row>
    <row r="651" spans="1:22" x14ac:dyDescent="0.2">
      <c r="A651" t="s">
        <v>1364</v>
      </c>
      <c r="B651" t="s">
        <v>1365</v>
      </c>
      <c r="C651" t="s">
        <v>103</v>
      </c>
      <c r="D651" t="s">
        <v>104</v>
      </c>
      <c r="E651" t="s">
        <v>91</v>
      </c>
      <c r="F651" t="s">
        <v>34</v>
      </c>
      <c r="G651" t="s">
        <v>35</v>
      </c>
      <c r="H651" t="s">
        <v>98</v>
      </c>
      <c r="I651" t="s">
        <v>106</v>
      </c>
      <c r="J651" t="s">
        <v>37</v>
      </c>
      <c r="K651" s="4">
        <v>46210</v>
      </c>
      <c r="L651" s="4">
        <v>46390</v>
      </c>
      <c r="M651" t="s">
        <v>84</v>
      </c>
      <c r="N651" t="s">
        <v>75</v>
      </c>
      <c r="O651">
        <v>0</v>
      </c>
      <c r="P651" t="s">
        <v>62</v>
      </c>
      <c r="Q651" s="4">
        <v>46389</v>
      </c>
      <c r="R651" t="s">
        <v>57</v>
      </c>
      <c r="S651" t="s">
        <v>3155</v>
      </c>
      <c r="T651" t="s">
        <v>3153</v>
      </c>
      <c r="U651" t="s">
        <v>75</v>
      </c>
      <c r="V651" t="s">
        <v>3152</v>
      </c>
    </row>
    <row r="652" spans="1:22" x14ac:dyDescent="0.2">
      <c r="A652" t="s">
        <v>1366</v>
      </c>
      <c r="B652" t="s">
        <v>1367</v>
      </c>
      <c r="C652" t="s">
        <v>96</v>
      </c>
      <c r="D652" t="s">
        <v>97</v>
      </c>
      <c r="E652" t="s">
        <v>91</v>
      </c>
      <c r="F652" t="s">
        <v>67</v>
      </c>
      <c r="G652" t="s">
        <v>118</v>
      </c>
      <c r="H652" t="s">
        <v>98</v>
      </c>
      <c r="I652" t="s">
        <v>50</v>
      </c>
      <c r="J652" t="s">
        <v>48</v>
      </c>
      <c r="K652" s="4">
        <v>46009</v>
      </c>
      <c r="L652" s="4">
        <v>46374</v>
      </c>
      <c r="M652" t="s">
        <v>84</v>
      </c>
      <c r="N652" t="s">
        <v>55</v>
      </c>
      <c r="O652">
        <v>3</v>
      </c>
      <c r="P652" t="s">
        <v>56</v>
      </c>
      <c r="Q652" s="4">
        <v>46119</v>
      </c>
      <c r="R652" t="s">
        <v>38</v>
      </c>
      <c r="S652" t="s">
        <v>3155</v>
      </c>
      <c r="T652" t="s">
        <v>3153</v>
      </c>
      <c r="U652" t="s">
        <v>55</v>
      </c>
      <c r="V652" t="s">
        <v>3152</v>
      </c>
    </row>
    <row r="653" spans="1:22" x14ac:dyDescent="0.2">
      <c r="A653" t="s">
        <v>1368</v>
      </c>
      <c r="B653" t="s">
        <v>1369</v>
      </c>
      <c r="C653" t="s">
        <v>31</v>
      </c>
      <c r="D653" t="s">
        <v>32</v>
      </c>
      <c r="E653" t="s">
        <v>91</v>
      </c>
      <c r="F653" t="s">
        <v>45</v>
      </c>
      <c r="G653" t="s">
        <v>61</v>
      </c>
      <c r="H653" t="s">
        <v>88</v>
      </c>
      <c r="I653" t="s">
        <v>56</v>
      </c>
      <c r="J653" t="s">
        <v>63</v>
      </c>
      <c r="K653" s="4">
        <v>46201</v>
      </c>
      <c r="L653" s="4">
        <v>46566</v>
      </c>
      <c r="M653" t="s">
        <v>84</v>
      </c>
      <c r="N653" t="s">
        <v>49</v>
      </c>
      <c r="O653">
        <v>2</v>
      </c>
      <c r="P653" t="s">
        <v>111</v>
      </c>
      <c r="Q653" s="4">
        <v>46273</v>
      </c>
      <c r="R653" t="s">
        <v>38</v>
      </c>
      <c r="S653" t="s">
        <v>3155</v>
      </c>
      <c r="T653" t="s">
        <v>3153</v>
      </c>
      <c r="U653" t="s">
        <v>49</v>
      </c>
      <c r="V653" t="s">
        <v>3154</v>
      </c>
    </row>
    <row r="654" spans="1:22" x14ac:dyDescent="0.2">
      <c r="A654" t="s">
        <v>1370</v>
      </c>
      <c r="B654" t="s">
        <v>1371</v>
      </c>
      <c r="C654" t="s">
        <v>31</v>
      </c>
      <c r="D654" t="s">
        <v>87</v>
      </c>
      <c r="E654" t="s">
        <v>80</v>
      </c>
      <c r="F654" t="s">
        <v>34</v>
      </c>
      <c r="G654" t="s">
        <v>35</v>
      </c>
      <c r="H654" t="s">
        <v>47</v>
      </c>
      <c r="I654" t="s">
        <v>62</v>
      </c>
      <c r="J654" t="s">
        <v>48</v>
      </c>
      <c r="K654" s="4">
        <v>46245</v>
      </c>
      <c r="L654" s="4">
        <v>46425</v>
      </c>
      <c r="M654" t="s">
        <v>64</v>
      </c>
      <c r="N654" t="s">
        <v>49</v>
      </c>
      <c r="O654">
        <v>1</v>
      </c>
      <c r="P654" t="s">
        <v>111</v>
      </c>
      <c r="Q654" s="4">
        <v>46230</v>
      </c>
      <c r="R654" t="s">
        <v>38</v>
      </c>
      <c r="S654" t="s">
        <v>3155</v>
      </c>
      <c r="T654" t="s">
        <v>3153</v>
      </c>
      <c r="U654" t="s">
        <v>49</v>
      </c>
      <c r="V654" t="s">
        <v>3154</v>
      </c>
    </row>
    <row r="655" spans="1:22" x14ac:dyDescent="0.2">
      <c r="A655" t="s">
        <v>1372</v>
      </c>
      <c r="B655" t="s">
        <v>1373</v>
      </c>
      <c r="C655" t="s">
        <v>78</v>
      </c>
      <c r="D655" t="s">
        <v>79</v>
      </c>
      <c r="E655" t="s">
        <v>53</v>
      </c>
      <c r="F655" t="s">
        <v>34</v>
      </c>
      <c r="G655" t="s">
        <v>35</v>
      </c>
      <c r="H655" t="s">
        <v>98</v>
      </c>
      <c r="I655" t="s">
        <v>50</v>
      </c>
      <c r="J655" t="s">
        <v>48</v>
      </c>
      <c r="K655" s="4">
        <v>46264</v>
      </c>
      <c r="L655" s="4">
        <v>46629</v>
      </c>
      <c r="M655" t="s">
        <v>64</v>
      </c>
      <c r="N655" t="s">
        <v>75</v>
      </c>
      <c r="O655">
        <v>5</v>
      </c>
      <c r="P655" t="s">
        <v>56</v>
      </c>
      <c r="Q655" s="4">
        <v>46357</v>
      </c>
      <c r="R655" t="s">
        <v>84</v>
      </c>
      <c r="S655" t="s">
        <v>3155</v>
      </c>
      <c r="T655" t="s">
        <v>3153</v>
      </c>
      <c r="U655" t="s">
        <v>75</v>
      </c>
      <c r="V655" t="s">
        <v>3152</v>
      </c>
    </row>
    <row r="656" spans="1:22" x14ac:dyDescent="0.2">
      <c r="A656" t="s">
        <v>1374</v>
      </c>
      <c r="B656" t="s">
        <v>1375</v>
      </c>
      <c r="C656" t="s">
        <v>96</v>
      </c>
      <c r="D656" t="s">
        <v>97</v>
      </c>
      <c r="E656" t="s">
        <v>91</v>
      </c>
      <c r="F656" t="s">
        <v>67</v>
      </c>
      <c r="G656" t="s">
        <v>68</v>
      </c>
      <c r="H656" t="s">
        <v>36</v>
      </c>
      <c r="I656" t="s">
        <v>62</v>
      </c>
      <c r="J656" t="s">
        <v>48</v>
      </c>
      <c r="K656" s="4">
        <v>46226</v>
      </c>
      <c r="L656" s="4">
        <v>46316</v>
      </c>
      <c r="M656" t="s">
        <v>64</v>
      </c>
      <c r="N656" t="s">
        <v>49</v>
      </c>
      <c r="O656">
        <v>0</v>
      </c>
      <c r="P656" t="s">
        <v>50</v>
      </c>
      <c r="Q656" s="4">
        <v>46270</v>
      </c>
      <c r="R656" t="s">
        <v>57</v>
      </c>
      <c r="S656" t="s">
        <v>3155</v>
      </c>
      <c r="T656" t="s">
        <v>3153</v>
      </c>
      <c r="U656" t="s">
        <v>49</v>
      </c>
      <c r="V656" t="s">
        <v>3152</v>
      </c>
    </row>
    <row r="657" spans="1:22" x14ac:dyDescent="0.2">
      <c r="A657" t="s">
        <v>1376</v>
      </c>
      <c r="B657" t="s">
        <v>1377</v>
      </c>
      <c r="C657" t="s">
        <v>31</v>
      </c>
      <c r="D657" t="s">
        <v>32</v>
      </c>
      <c r="E657" t="s">
        <v>53</v>
      </c>
      <c r="F657" t="s">
        <v>67</v>
      </c>
      <c r="G657" t="s">
        <v>118</v>
      </c>
      <c r="H657" t="s">
        <v>36</v>
      </c>
      <c r="I657" t="s">
        <v>54</v>
      </c>
      <c r="J657" t="s">
        <v>48</v>
      </c>
      <c r="K657" s="4">
        <v>46164</v>
      </c>
      <c r="L657" s="4">
        <v>46529</v>
      </c>
      <c r="M657" t="s">
        <v>64</v>
      </c>
      <c r="N657" t="s">
        <v>49</v>
      </c>
      <c r="O657">
        <v>0</v>
      </c>
      <c r="P657" t="s">
        <v>62</v>
      </c>
      <c r="Q657" s="4">
        <v>46300</v>
      </c>
      <c r="R657" t="s">
        <v>57</v>
      </c>
      <c r="S657" t="s">
        <v>3155</v>
      </c>
      <c r="T657" t="s">
        <v>3153</v>
      </c>
      <c r="U657" t="s">
        <v>49</v>
      </c>
      <c r="V657" t="s">
        <v>3152</v>
      </c>
    </row>
    <row r="658" spans="1:22" x14ac:dyDescent="0.2">
      <c r="A658" t="s">
        <v>1378</v>
      </c>
      <c r="B658" t="s">
        <v>1379</v>
      </c>
      <c r="C658" t="s">
        <v>78</v>
      </c>
      <c r="D658" t="s">
        <v>79</v>
      </c>
      <c r="E658" t="s">
        <v>105</v>
      </c>
      <c r="F658" t="s">
        <v>67</v>
      </c>
      <c r="G658" t="s">
        <v>68</v>
      </c>
      <c r="H658" t="s">
        <v>47</v>
      </c>
      <c r="I658" t="s">
        <v>111</v>
      </c>
      <c r="J658" t="s">
        <v>48</v>
      </c>
      <c r="K658" s="4">
        <v>46184</v>
      </c>
      <c r="L658" s="4">
        <v>46274</v>
      </c>
      <c r="M658" t="s">
        <v>38</v>
      </c>
      <c r="N658" t="s">
        <v>55</v>
      </c>
      <c r="O658">
        <v>2</v>
      </c>
      <c r="P658" t="s">
        <v>70</v>
      </c>
      <c r="Q658" s="4">
        <v>46337</v>
      </c>
      <c r="R658" t="s">
        <v>84</v>
      </c>
      <c r="S658" t="s">
        <v>38</v>
      </c>
      <c r="T658" t="s">
        <v>3153</v>
      </c>
      <c r="U658" t="s">
        <v>55</v>
      </c>
      <c r="V658" t="s">
        <v>3154</v>
      </c>
    </row>
    <row r="659" spans="1:22" x14ac:dyDescent="0.2">
      <c r="A659" t="s">
        <v>1380</v>
      </c>
      <c r="B659" t="s">
        <v>1381</v>
      </c>
      <c r="C659" t="s">
        <v>78</v>
      </c>
      <c r="D659" t="s">
        <v>79</v>
      </c>
      <c r="E659" t="s">
        <v>80</v>
      </c>
      <c r="F659" t="s">
        <v>45</v>
      </c>
      <c r="G659" t="s">
        <v>61</v>
      </c>
      <c r="H659" t="s">
        <v>88</v>
      </c>
      <c r="I659" t="s">
        <v>50</v>
      </c>
      <c r="J659" t="s">
        <v>63</v>
      </c>
      <c r="K659" s="4">
        <v>45941</v>
      </c>
      <c r="L659" s="4">
        <v>46306</v>
      </c>
      <c r="M659" t="s">
        <v>64</v>
      </c>
      <c r="N659" t="s">
        <v>49</v>
      </c>
      <c r="O659">
        <v>0</v>
      </c>
      <c r="P659" t="s">
        <v>111</v>
      </c>
      <c r="Q659" s="4">
        <v>46352</v>
      </c>
      <c r="R659" t="s">
        <v>57</v>
      </c>
      <c r="S659" t="s">
        <v>3155</v>
      </c>
      <c r="T659" t="s">
        <v>3153</v>
      </c>
      <c r="U659" t="s">
        <v>49</v>
      </c>
      <c r="V659" t="s">
        <v>3154</v>
      </c>
    </row>
    <row r="660" spans="1:22" x14ac:dyDescent="0.2">
      <c r="A660" t="s">
        <v>1382</v>
      </c>
      <c r="B660" t="s">
        <v>1383</v>
      </c>
      <c r="C660" t="s">
        <v>31</v>
      </c>
      <c r="D660" t="s">
        <v>32</v>
      </c>
      <c r="E660" t="s">
        <v>105</v>
      </c>
      <c r="F660" t="s">
        <v>67</v>
      </c>
      <c r="G660" t="s">
        <v>68</v>
      </c>
      <c r="H660" t="s">
        <v>47</v>
      </c>
      <c r="J660" t="s">
        <v>63</v>
      </c>
      <c r="K660" s="4">
        <v>46213</v>
      </c>
      <c r="L660" s="4">
        <v>46393</v>
      </c>
      <c r="M660" t="s">
        <v>84</v>
      </c>
      <c r="N660" t="s">
        <v>55</v>
      </c>
      <c r="O660">
        <v>3</v>
      </c>
      <c r="P660" t="s">
        <v>50</v>
      </c>
      <c r="Q660" s="4">
        <v>46255</v>
      </c>
      <c r="R660" t="s">
        <v>38</v>
      </c>
      <c r="S660" t="s">
        <v>3155</v>
      </c>
      <c r="T660" t="s">
        <v>3150</v>
      </c>
      <c r="U660" t="s">
        <v>55</v>
      </c>
      <c r="V660" t="s">
        <v>3154</v>
      </c>
    </row>
    <row r="661" spans="1:22" x14ac:dyDescent="0.2">
      <c r="A661" t="s">
        <v>1384</v>
      </c>
      <c r="B661" t="s">
        <v>1385</v>
      </c>
      <c r="C661" t="s">
        <v>31</v>
      </c>
      <c r="D661" t="s">
        <v>83</v>
      </c>
      <c r="E661" t="s">
        <v>91</v>
      </c>
      <c r="F661" t="s">
        <v>67</v>
      </c>
      <c r="G661" t="s">
        <v>118</v>
      </c>
      <c r="H661" t="s">
        <v>36</v>
      </c>
      <c r="I661" t="s">
        <v>56</v>
      </c>
      <c r="J661" t="s">
        <v>63</v>
      </c>
      <c r="K661" s="4">
        <v>45983</v>
      </c>
      <c r="L661" s="4">
        <v>46073</v>
      </c>
      <c r="M661" t="s">
        <v>38</v>
      </c>
      <c r="N661" t="s">
        <v>55</v>
      </c>
      <c r="O661">
        <v>2</v>
      </c>
      <c r="P661" t="s">
        <v>39</v>
      </c>
      <c r="Q661" s="4">
        <v>46147</v>
      </c>
      <c r="R661" t="s">
        <v>38</v>
      </c>
      <c r="S661" t="s">
        <v>38</v>
      </c>
      <c r="T661" t="s">
        <v>3153</v>
      </c>
      <c r="U661" t="s">
        <v>55</v>
      </c>
      <c r="V661" t="s">
        <v>3152</v>
      </c>
    </row>
    <row r="662" spans="1:22" x14ac:dyDescent="0.2">
      <c r="A662" t="s">
        <v>1386</v>
      </c>
      <c r="B662" t="s">
        <v>1387</v>
      </c>
      <c r="C662" t="s">
        <v>31</v>
      </c>
      <c r="D662" t="s">
        <v>83</v>
      </c>
      <c r="E662" t="s">
        <v>105</v>
      </c>
      <c r="F662" t="s">
        <v>67</v>
      </c>
      <c r="G662" t="s">
        <v>118</v>
      </c>
      <c r="H662" t="s">
        <v>88</v>
      </c>
      <c r="I662" t="s">
        <v>70</v>
      </c>
      <c r="J662" t="s">
        <v>63</v>
      </c>
      <c r="K662" s="4">
        <v>45890</v>
      </c>
      <c r="L662" s="4">
        <v>45980</v>
      </c>
      <c r="M662" t="s">
        <v>38</v>
      </c>
      <c r="N662" t="s">
        <v>49</v>
      </c>
      <c r="O662">
        <v>0</v>
      </c>
      <c r="P662" t="s">
        <v>111</v>
      </c>
      <c r="Q662" s="4">
        <v>46207</v>
      </c>
      <c r="R662" t="s">
        <v>57</v>
      </c>
      <c r="S662" t="s">
        <v>38</v>
      </c>
      <c r="T662" t="s">
        <v>3153</v>
      </c>
      <c r="U662" t="s">
        <v>49</v>
      </c>
      <c r="V662" t="s">
        <v>3154</v>
      </c>
    </row>
    <row r="663" spans="1:22" x14ac:dyDescent="0.2">
      <c r="A663" t="s">
        <v>1388</v>
      </c>
      <c r="B663" t="s">
        <v>1389</v>
      </c>
      <c r="C663" t="s">
        <v>31</v>
      </c>
      <c r="D663" t="s">
        <v>32</v>
      </c>
      <c r="E663" t="s">
        <v>105</v>
      </c>
      <c r="F663" t="s">
        <v>67</v>
      </c>
      <c r="G663" t="s">
        <v>68</v>
      </c>
      <c r="H663" t="s">
        <v>47</v>
      </c>
      <c r="I663" t="s">
        <v>54</v>
      </c>
      <c r="J663" t="s">
        <v>37</v>
      </c>
      <c r="K663" s="4">
        <v>45941</v>
      </c>
      <c r="L663" s="4">
        <v>46031</v>
      </c>
      <c r="M663" t="s">
        <v>38</v>
      </c>
      <c r="N663" t="s">
        <v>55</v>
      </c>
      <c r="O663">
        <v>2</v>
      </c>
      <c r="P663" t="s">
        <v>106</v>
      </c>
      <c r="Q663" s="4">
        <v>46132</v>
      </c>
      <c r="R663" t="s">
        <v>64</v>
      </c>
      <c r="S663" t="s">
        <v>38</v>
      </c>
      <c r="T663" t="s">
        <v>3153</v>
      </c>
      <c r="U663" t="s">
        <v>55</v>
      </c>
      <c r="V663" t="s">
        <v>3154</v>
      </c>
    </row>
    <row r="664" spans="1:22" x14ac:dyDescent="0.2">
      <c r="A664" t="s">
        <v>1390</v>
      </c>
      <c r="B664" t="s">
        <v>1391</v>
      </c>
      <c r="C664" t="s">
        <v>96</v>
      </c>
      <c r="D664" t="s">
        <v>97</v>
      </c>
      <c r="E664" t="s">
        <v>80</v>
      </c>
      <c r="F664" t="s">
        <v>34</v>
      </c>
      <c r="G664" t="s">
        <v>35</v>
      </c>
      <c r="H664" t="s">
        <v>98</v>
      </c>
      <c r="I664" t="s">
        <v>39</v>
      </c>
      <c r="J664" t="s">
        <v>37</v>
      </c>
      <c r="K664" s="4">
        <v>46148</v>
      </c>
      <c r="L664" s="4">
        <v>46328</v>
      </c>
      <c r="M664" t="s">
        <v>64</v>
      </c>
      <c r="N664" t="s">
        <v>49</v>
      </c>
      <c r="O664">
        <v>2</v>
      </c>
      <c r="P664" t="s">
        <v>106</v>
      </c>
      <c r="Q664" s="4">
        <v>46388</v>
      </c>
      <c r="R664" t="s">
        <v>84</v>
      </c>
      <c r="S664" t="s">
        <v>3155</v>
      </c>
      <c r="T664" t="s">
        <v>3153</v>
      </c>
      <c r="U664" t="s">
        <v>49</v>
      </c>
      <c r="V664" t="s">
        <v>3152</v>
      </c>
    </row>
    <row r="665" spans="1:22" x14ac:dyDescent="0.2">
      <c r="A665" t="s">
        <v>1392</v>
      </c>
      <c r="B665" t="s">
        <v>1393</v>
      </c>
      <c r="C665" t="s">
        <v>103</v>
      </c>
      <c r="D665" t="s">
        <v>104</v>
      </c>
      <c r="E665" t="s">
        <v>91</v>
      </c>
      <c r="F665" t="s">
        <v>34</v>
      </c>
      <c r="G665" t="s">
        <v>35</v>
      </c>
      <c r="H665" t="s">
        <v>47</v>
      </c>
      <c r="I665" t="s">
        <v>39</v>
      </c>
      <c r="J665" t="s">
        <v>63</v>
      </c>
      <c r="K665" s="4">
        <v>46154</v>
      </c>
      <c r="L665" s="4">
        <v>46244</v>
      </c>
      <c r="M665" t="s">
        <v>38</v>
      </c>
      <c r="N665" t="s">
        <v>55</v>
      </c>
      <c r="O665">
        <v>1</v>
      </c>
      <c r="P665" t="s">
        <v>54</v>
      </c>
      <c r="Q665" s="4">
        <v>46268</v>
      </c>
      <c r="R665" t="s">
        <v>38</v>
      </c>
      <c r="S665" t="s">
        <v>38</v>
      </c>
      <c r="T665" t="s">
        <v>3153</v>
      </c>
      <c r="U665" t="s">
        <v>55</v>
      </c>
      <c r="V665" t="s">
        <v>3154</v>
      </c>
    </row>
    <row r="666" spans="1:22" x14ac:dyDescent="0.2">
      <c r="A666" t="s">
        <v>1394</v>
      </c>
      <c r="B666" t="s">
        <v>1395</v>
      </c>
      <c r="C666" t="s">
        <v>31</v>
      </c>
      <c r="D666" t="s">
        <v>32</v>
      </c>
      <c r="E666" t="s">
        <v>53</v>
      </c>
      <c r="F666" t="s">
        <v>34</v>
      </c>
      <c r="G666" t="s">
        <v>35</v>
      </c>
      <c r="H666" t="s">
        <v>47</v>
      </c>
      <c r="I666" t="s">
        <v>62</v>
      </c>
      <c r="J666" t="s">
        <v>63</v>
      </c>
      <c r="K666" s="4">
        <v>46237</v>
      </c>
      <c r="L666" s="4">
        <v>46602</v>
      </c>
      <c r="M666" t="s">
        <v>64</v>
      </c>
      <c r="O666">
        <v>3</v>
      </c>
      <c r="P666" t="s">
        <v>62</v>
      </c>
      <c r="Q666" s="4">
        <v>46198</v>
      </c>
      <c r="R666" t="s">
        <v>38</v>
      </c>
      <c r="S666" t="s">
        <v>3155</v>
      </c>
      <c r="T666" t="s">
        <v>3153</v>
      </c>
      <c r="U666" t="s">
        <v>3151</v>
      </c>
      <c r="V666" t="s">
        <v>3154</v>
      </c>
    </row>
    <row r="667" spans="1:22" x14ac:dyDescent="0.2">
      <c r="A667" t="s">
        <v>1396</v>
      </c>
      <c r="B667" t="s">
        <v>1397</v>
      </c>
      <c r="C667" t="s">
        <v>73</v>
      </c>
      <c r="D667" t="s">
        <v>74</v>
      </c>
      <c r="E667" t="s">
        <v>60</v>
      </c>
      <c r="F667" t="s">
        <v>34</v>
      </c>
      <c r="G667" t="s">
        <v>35</v>
      </c>
      <c r="H667" t="s">
        <v>47</v>
      </c>
      <c r="I667" t="s">
        <v>56</v>
      </c>
      <c r="J667" t="s">
        <v>37</v>
      </c>
      <c r="K667" s="4">
        <v>45951</v>
      </c>
      <c r="L667" s="4">
        <v>46316</v>
      </c>
      <c r="M667" t="s">
        <v>69</v>
      </c>
      <c r="N667" t="s">
        <v>49</v>
      </c>
      <c r="O667">
        <v>1</v>
      </c>
      <c r="P667" t="s">
        <v>62</v>
      </c>
      <c r="Q667" s="4">
        <v>46329</v>
      </c>
      <c r="R667" t="s">
        <v>84</v>
      </c>
      <c r="S667" t="s">
        <v>3155</v>
      </c>
      <c r="T667" t="s">
        <v>3153</v>
      </c>
      <c r="U667" t="s">
        <v>49</v>
      </c>
      <c r="V667" t="s">
        <v>3154</v>
      </c>
    </row>
    <row r="668" spans="1:22" x14ac:dyDescent="0.2">
      <c r="A668" t="s">
        <v>1398</v>
      </c>
      <c r="B668" t="s">
        <v>1399</v>
      </c>
      <c r="C668" t="s">
        <v>31</v>
      </c>
      <c r="D668" t="s">
        <v>32</v>
      </c>
      <c r="E668" t="s">
        <v>105</v>
      </c>
      <c r="F668" t="s">
        <v>45</v>
      </c>
      <c r="G668" t="s">
        <v>46</v>
      </c>
      <c r="H668" t="s">
        <v>47</v>
      </c>
      <c r="I668" t="s">
        <v>70</v>
      </c>
      <c r="J668" t="s">
        <v>37</v>
      </c>
      <c r="K668" s="4">
        <v>45925</v>
      </c>
      <c r="L668" s="4">
        <v>46290</v>
      </c>
      <c r="M668" t="s">
        <v>38</v>
      </c>
      <c r="N668" t="s">
        <v>75</v>
      </c>
      <c r="O668">
        <v>0</v>
      </c>
      <c r="P668" t="s">
        <v>56</v>
      </c>
      <c r="Q668" s="4">
        <v>46283</v>
      </c>
      <c r="R668" t="s">
        <v>57</v>
      </c>
      <c r="S668" t="s">
        <v>38</v>
      </c>
      <c r="T668" t="s">
        <v>3153</v>
      </c>
      <c r="U668" t="s">
        <v>75</v>
      </c>
      <c r="V668" t="s">
        <v>3154</v>
      </c>
    </row>
    <row r="669" spans="1:22" x14ac:dyDescent="0.2">
      <c r="A669" t="s">
        <v>1400</v>
      </c>
      <c r="B669" t="s">
        <v>1401</v>
      </c>
      <c r="C669" t="s">
        <v>73</v>
      </c>
      <c r="D669" t="s">
        <v>74</v>
      </c>
      <c r="E669" t="s">
        <v>53</v>
      </c>
      <c r="F669" t="s">
        <v>45</v>
      </c>
      <c r="G669" t="s">
        <v>46</v>
      </c>
      <c r="H669" t="s">
        <v>47</v>
      </c>
      <c r="I669" t="s">
        <v>62</v>
      </c>
      <c r="J669" t="s">
        <v>63</v>
      </c>
      <c r="K669" s="4">
        <v>46162</v>
      </c>
      <c r="L669" s="4">
        <v>46342</v>
      </c>
      <c r="M669" t="s">
        <v>84</v>
      </c>
      <c r="N669" t="s">
        <v>55</v>
      </c>
      <c r="O669">
        <v>2</v>
      </c>
      <c r="P669" t="s">
        <v>56</v>
      </c>
      <c r="Q669" s="4">
        <v>46365</v>
      </c>
      <c r="R669" t="s">
        <v>64</v>
      </c>
      <c r="S669" t="s">
        <v>3155</v>
      </c>
      <c r="T669" t="s">
        <v>3153</v>
      </c>
      <c r="U669" t="s">
        <v>55</v>
      </c>
      <c r="V669" t="s">
        <v>3154</v>
      </c>
    </row>
    <row r="670" spans="1:22" x14ac:dyDescent="0.2">
      <c r="A670" t="s">
        <v>1402</v>
      </c>
      <c r="B670" t="s">
        <v>1403</v>
      </c>
      <c r="C670" t="s">
        <v>78</v>
      </c>
      <c r="D670" t="s">
        <v>79</v>
      </c>
      <c r="E670" t="s">
        <v>60</v>
      </c>
      <c r="F670" t="s">
        <v>34</v>
      </c>
      <c r="G670" t="s">
        <v>35</v>
      </c>
      <c r="H670" t="s">
        <v>47</v>
      </c>
      <c r="I670" t="s">
        <v>39</v>
      </c>
      <c r="J670" t="s">
        <v>63</v>
      </c>
      <c r="K670" s="4">
        <v>46188</v>
      </c>
      <c r="L670" s="4">
        <v>46368</v>
      </c>
      <c r="M670" t="s">
        <v>69</v>
      </c>
      <c r="N670" t="s">
        <v>55</v>
      </c>
      <c r="O670">
        <v>2</v>
      </c>
      <c r="P670" t="s">
        <v>50</v>
      </c>
      <c r="Q670" s="4">
        <v>46387</v>
      </c>
      <c r="R670" t="s">
        <v>84</v>
      </c>
      <c r="S670" t="s">
        <v>3155</v>
      </c>
      <c r="T670" t="s">
        <v>3153</v>
      </c>
      <c r="U670" t="s">
        <v>55</v>
      </c>
      <c r="V670" t="s">
        <v>3154</v>
      </c>
    </row>
    <row r="671" spans="1:22" x14ac:dyDescent="0.2">
      <c r="A671" t="s">
        <v>1404</v>
      </c>
      <c r="B671" t="s">
        <v>1405</v>
      </c>
      <c r="C671" t="s">
        <v>31</v>
      </c>
      <c r="D671" t="s">
        <v>87</v>
      </c>
      <c r="E671" t="s">
        <v>91</v>
      </c>
      <c r="F671" t="s">
        <v>67</v>
      </c>
      <c r="G671" t="s">
        <v>68</v>
      </c>
      <c r="H671" t="s">
        <v>88</v>
      </c>
      <c r="I671" t="s">
        <v>50</v>
      </c>
      <c r="J671" t="s">
        <v>63</v>
      </c>
      <c r="K671" s="4">
        <v>45939</v>
      </c>
      <c r="L671" s="4">
        <v>46029</v>
      </c>
      <c r="M671" t="s">
        <v>38</v>
      </c>
      <c r="N671" t="s">
        <v>55</v>
      </c>
      <c r="O671">
        <v>3</v>
      </c>
      <c r="P671" t="s">
        <v>106</v>
      </c>
      <c r="Q671" s="4">
        <v>46405</v>
      </c>
      <c r="R671" t="s">
        <v>84</v>
      </c>
      <c r="S671" t="s">
        <v>38</v>
      </c>
      <c r="T671" t="s">
        <v>3153</v>
      </c>
      <c r="U671" t="s">
        <v>55</v>
      </c>
      <c r="V671" t="s">
        <v>3154</v>
      </c>
    </row>
    <row r="672" spans="1:22" x14ac:dyDescent="0.2">
      <c r="A672" t="s">
        <v>1406</v>
      </c>
      <c r="B672" t="s">
        <v>1407</v>
      </c>
      <c r="C672" t="s">
        <v>103</v>
      </c>
      <c r="D672" t="s">
        <v>104</v>
      </c>
      <c r="E672" t="s">
        <v>91</v>
      </c>
      <c r="F672" t="s">
        <v>34</v>
      </c>
      <c r="G672" t="s">
        <v>35</v>
      </c>
      <c r="H672" t="s">
        <v>88</v>
      </c>
      <c r="I672" t="s">
        <v>111</v>
      </c>
      <c r="J672" t="s">
        <v>63</v>
      </c>
      <c r="K672" s="4">
        <v>46182</v>
      </c>
      <c r="L672" s="4">
        <v>46362</v>
      </c>
      <c r="M672" t="s">
        <v>69</v>
      </c>
      <c r="N672" t="s">
        <v>49</v>
      </c>
      <c r="O672">
        <v>2</v>
      </c>
      <c r="P672" t="s">
        <v>70</v>
      </c>
      <c r="Q672" s="4">
        <v>46256</v>
      </c>
      <c r="R672" t="s">
        <v>38</v>
      </c>
      <c r="S672" t="s">
        <v>3155</v>
      </c>
      <c r="T672" t="s">
        <v>3153</v>
      </c>
      <c r="U672" t="s">
        <v>49</v>
      </c>
      <c r="V672" t="s">
        <v>3154</v>
      </c>
    </row>
    <row r="673" spans="1:22" x14ac:dyDescent="0.2">
      <c r="A673" t="s">
        <v>1408</v>
      </c>
      <c r="B673" t="s">
        <v>1409</v>
      </c>
      <c r="C673" t="s">
        <v>42</v>
      </c>
      <c r="D673" t="s">
        <v>43</v>
      </c>
      <c r="E673" t="s">
        <v>53</v>
      </c>
      <c r="F673" t="s">
        <v>67</v>
      </c>
      <c r="G673" t="s">
        <v>118</v>
      </c>
      <c r="H673" t="s">
        <v>36</v>
      </c>
      <c r="I673" t="s">
        <v>70</v>
      </c>
      <c r="J673" t="s">
        <v>37</v>
      </c>
      <c r="K673" s="4">
        <v>46236</v>
      </c>
      <c r="L673" s="4">
        <v>46601</v>
      </c>
      <c r="M673" t="s">
        <v>64</v>
      </c>
      <c r="N673" t="s">
        <v>55</v>
      </c>
      <c r="O673">
        <v>1</v>
      </c>
      <c r="P673" t="s">
        <v>39</v>
      </c>
      <c r="Q673" s="4">
        <v>46409</v>
      </c>
      <c r="R673" t="s">
        <v>64</v>
      </c>
      <c r="S673" t="s">
        <v>3155</v>
      </c>
      <c r="T673" t="s">
        <v>3153</v>
      </c>
      <c r="U673" t="s">
        <v>55</v>
      </c>
      <c r="V673" t="s">
        <v>3152</v>
      </c>
    </row>
    <row r="674" spans="1:22" x14ac:dyDescent="0.2">
      <c r="A674" t="s">
        <v>1410</v>
      </c>
      <c r="B674" t="s">
        <v>1411</v>
      </c>
      <c r="C674" t="s">
        <v>73</v>
      </c>
      <c r="D674" t="s">
        <v>74</v>
      </c>
      <c r="E674" t="s">
        <v>80</v>
      </c>
      <c r="F674" t="s">
        <v>67</v>
      </c>
      <c r="G674" t="s">
        <v>68</v>
      </c>
      <c r="H674" t="s">
        <v>88</v>
      </c>
      <c r="I674" t="s">
        <v>70</v>
      </c>
      <c r="J674" t="s">
        <v>63</v>
      </c>
      <c r="K674" s="4">
        <v>46068</v>
      </c>
      <c r="L674" s="4">
        <v>46158</v>
      </c>
      <c r="M674" t="s">
        <v>38</v>
      </c>
      <c r="N674" t="s">
        <v>49</v>
      </c>
      <c r="O674">
        <v>1</v>
      </c>
      <c r="P674" t="s">
        <v>39</v>
      </c>
      <c r="Q674" s="4">
        <v>46118</v>
      </c>
      <c r="R674" t="s">
        <v>38</v>
      </c>
      <c r="S674" t="s">
        <v>38</v>
      </c>
      <c r="T674" t="s">
        <v>3153</v>
      </c>
      <c r="U674" t="s">
        <v>49</v>
      </c>
      <c r="V674" t="s">
        <v>3154</v>
      </c>
    </row>
    <row r="675" spans="1:22" x14ac:dyDescent="0.2">
      <c r="A675" t="s">
        <v>1412</v>
      </c>
      <c r="B675" t="s">
        <v>1413</v>
      </c>
      <c r="C675" t="s">
        <v>31</v>
      </c>
      <c r="D675" t="s">
        <v>87</v>
      </c>
      <c r="E675" t="s">
        <v>44</v>
      </c>
      <c r="F675" t="s">
        <v>34</v>
      </c>
      <c r="G675" t="s">
        <v>35</v>
      </c>
      <c r="H675" t="s">
        <v>88</v>
      </c>
      <c r="I675" t="s">
        <v>54</v>
      </c>
      <c r="J675" t="s">
        <v>37</v>
      </c>
      <c r="K675" s="4">
        <v>46186</v>
      </c>
      <c r="L675" s="4">
        <v>46276</v>
      </c>
      <c r="M675" t="s">
        <v>38</v>
      </c>
      <c r="N675" t="s">
        <v>75</v>
      </c>
      <c r="O675">
        <v>1</v>
      </c>
      <c r="P675" t="s">
        <v>62</v>
      </c>
      <c r="Q675" s="4">
        <v>46378</v>
      </c>
      <c r="R675" t="s">
        <v>84</v>
      </c>
      <c r="S675" t="s">
        <v>38</v>
      </c>
      <c r="T675" t="s">
        <v>3153</v>
      </c>
      <c r="U675" t="s">
        <v>75</v>
      </c>
      <c r="V675" t="s">
        <v>3154</v>
      </c>
    </row>
    <row r="676" spans="1:22" x14ac:dyDescent="0.2">
      <c r="A676" t="s">
        <v>1414</v>
      </c>
      <c r="B676" t="s">
        <v>1415</v>
      </c>
      <c r="C676" t="s">
        <v>42</v>
      </c>
      <c r="D676" t="s">
        <v>43</v>
      </c>
      <c r="E676" t="s">
        <v>105</v>
      </c>
      <c r="F676" t="s">
        <v>45</v>
      </c>
      <c r="G676" t="s">
        <v>61</v>
      </c>
      <c r="H676" t="s">
        <v>88</v>
      </c>
      <c r="I676" t="s">
        <v>54</v>
      </c>
      <c r="J676" t="s">
        <v>48</v>
      </c>
      <c r="K676" s="4">
        <v>45850</v>
      </c>
      <c r="L676" s="4">
        <v>46215</v>
      </c>
      <c r="M676" t="s">
        <v>38</v>
      </c>
      <c r="N676" t="s">
        <v>55</v>
      </c>
      <c r="O676">
        <v>2</v>
      </c>
      <c r="P676" t="s">
        <v>62</v>
      </c>
      <c r="Q676" s="4">
        <v>46268</v>
      </c>
      <c r="R676" t="s">
        <v>38</v>
      </c>
      <c r="S676" t="s">
        <v>38</v>
      </c>
      <c r="T676" t="s">
        <v>3153</v>
      </c>
      <c r="U676" t="s">
        <v>55</v>
      </c>
      <c r="V676" t="s">
        <v>3154</v>
      </c>
    </row>
    <row r="677" spans="1:22" x14ac:dyDescent="0.2">
      <c r="A677" t="s">
        <v>1416</v>
      </c>
      <c r="B677" t="s">
        <v>1417</v>
      </c>
      <c r="C677" t="s">
        <v>96</v>
      </c>
      <c r="D677" t="s">
        <v>97</v>
      </c>
      <c r="E677" t="s">
        <v>91</v>
      </c>
      <c r="F677" t="s">
        <v>45</v>
      </c>
      <c r="G677" t="s">
        <v>61</v>
      </c>
      <c r="H677" t="s">
        <v>88</v>
      </c>
      <c r="I677" t="s">
        <v>39</v>
      </c>
      <c r="J677" t="s">
        <v>37</v>
      </c>
      <c r="K677" s="4">
        <v>45797</v>
      </c>
      <c r="L677" s="4">
        <v>45977</v>
      </c>
      <c r="M677" t="s">
        <v>38</v>
      </c>
      <c r="N677" t="s">
        <v>49</v>
      </c>
      <c r="O677">
        <v>3</v>
      </c>
      <c r="P677" t="s">
        <v>106</v>
      </c>
      <c r="Q677" s="4">
        <v>46144</v>
      </c>
      <c r="R677" t="s">
        <v>38</v>
      </c>
      <c r="S677" t="s">
        <v>38</v>
      </c>
      <c r="T677" t="s">
        <v>3153</v>
      </c>
      <c r="U677" t="s">
        <v>49</v>
      </c>
      <c r="V677" t="s">
        <v>3154</v>
      </c>
    </row>
    <row r="678" spans="1:22" x14ac:dyDescent="0.2">
      <c r="A678" t="s">
        <v>1418</v>
      </c>
      <c r="B678" t="s">
        <v>1419</v>
      </c>
      <c r="C678" t="s">
        <v>96</v>
      </c>
      <c r="D678" t="s">
        <v>97</v>
      </c>
      <c r="E678" t="s">
        <v>53</v>
      </c>
      <c r="F678" t="s">
        <v>45</v>
      </c>
      <c r="G678" t="s">
        <v>46</v>
      </c>
      <c r="H678" t="s">
        <v>36</v>
      </c>
      <c r="I678" t="s">
        <v>50</v>
      </c>
      <c r="J678" t="s">
        <v>48</v>
      </c>
      <c r="K678" s="4">
        <v>46070</v>
      </c>
      <c r="L678" s="4">
        <v>46250</v>
      </c>
      <c r="M678" t="s">
        <v>38</v>
      </c>
      <c r="N678" t="s">
        <v>55</v>
      </c>
      <c r="O678">
        <v>0</v>
      </c>
      <c r="P678" t="s">
        <v>50</v>
      </c>
      <c r="Q678" s="4">
        <v>46335</v>
      </c>
      <c r="R678" t="s">
        <v>57</v>
      </c>
      <c r="S678" t="s">
        <v>38</v>
      </c>
      <c r="T678" t="s">
        <v>3153</v>
      </c>
      <c r="U678" t="s">
        <v>55</v>
      </c>
      <c r="V678" t="s">
        <v>3152</v>
      </c>
    </row>
    <row r="679" spans="1:22" x14ac:dyDescent="0.2">
      <c r="A679" t="s">
        <v>1420</v>
      </c>
      <c r="B679" t="s">
        <v>1421</v>
      </c>
      <c r="C679" t="s">
        <v>42</v>
      </c>
      <c r="D679" t="s">
        <v>43</v>
      </c>
      <c r="E679" t="s">
        <v>80</v>
      </c>
      <c r="F679" t="s">
        <v>67</v>
      </c>
      <c r="G679" t="s">
        <v>68</v>
      </c>
      <c r="H679" t="s">
        <v>47</v>
      </c>
      <c r="I679" t="s">
        <v>56</v>
      </c>
      <c r="J679" t="s">
        <v>37</v>
      </c>
      <c r="K679" s="4">
        <v>46160</v>
      </c>
      <c r="L679" s="4">
        <v>46340</v>
      </c>
      <c r="M679" t="s">
        <v>64</v>
      </c>
      <c r="N679" t="s">
        <v>75</v>
      </c>
      <c r="O679">
        <v>2</v>
      </c>
      <c r="P679" t="s">
        <v>111</v>
      </c>
      <c r="Q679" s="4">
        <v>46334</v>
      </c>
      <c r="R679" t="s">
        <v>84</v>
      </c>
      <c r="S679" t="s">
        <v>3155</v>
      </c>
      <c r="T679" t="s">
        <v>3153</v>
      </c>
      <c r="U679" t="s">
        <v>75</v>
      </c>
      <c r="V679" t="s">
        <v>3154</v>
      </c>
    </row>
    <row r="680" spans="1:22" x14ac:dyDescent="0.2">
      <c r="A680" t="s">
        <v>1422</v>
      </c>
      <c r="B680" t="s">
        <v>1423</v>
      </c>
      <c r="C680" t="s">
        <v>78</v>
      </c>
      <c r="D680" t="s">
        <v>79</v>
      </c>
      <c r="E680" t="s">
        <v>53</v>
      </c>
      <c r="F680" t="s">
        <v>45</v>
      </c>
      <c r="G680" t="s">
        <v>46</v>
      </c>
      <c r="H680" t="s">
        <v>36</v>
      </c>
      <c r="I680" t="s">
        <v>39</v>
      </c>
      <c r="J680" t="s">
        <v>37</v>
      </c>
      <c r="K680" s="4">
        <v>46092</v>
      </c>
      <c r="L680" s="4">
        <v>46457</v>
      </c>
      <c r="M680" t="s">
        <v>64</v>
      </c>
      <c r="N680" t="s">
        <v>55</v>
      </c>
      <c r="O680">
        <v>2</v>
      </c>
      <c r="P680" t="s">
        <v>39</v>
      </c>
      <c r="Q680" s="4">
        <v>46135</v>
      </c>
      <c r="R680" t="s">
        <v>64</v>
      </c>
      <c r="S680" t="s">
        <v>3155</v>
      </c>
      <c r="T680" t="s">
        <v>3153</v>
      </c>
      <c r="U680" t="s">
        <v>55</v>
      </c>
      <c r="V680" t="s">
        <v>3152</v>
      </c>
    </row>
    <row r="681" spans="1:22" x14ac:dyDescent="0.2">
      <c r="A681" t="s">
        <v>1424</v>
      </c>
      <c r="B681" t="s">
        <v>1425</v>
      </c>
      <c r="C681" t="s">
        <v>78</v>
      </c>
      <c r="D681" t="s">
        <v>79</v>
      </c>
      <c r="E681" t="s">
        <v>80</v>
      </c>
      <c r="F681" t="s">
        <v>45</v>
      </c>
      <c r="G681" t="s">
        <v>46</v>
      </c>
      <c r="H681" t="s">
        <v>98</v>
      </c>
      <c r="I681" t="s">
        <v>56</v>
      </c>
      <c r="J681" t="s">
        <v>63</v>
      </c>
      <c r="K681" s="4">
        <v>46215</v>
      </c>
      <c r="L681" s="4">
        <v>46395</v>
      </c>
      <c r="M681" t="s">
        <v>64</v>
      </c>
      <c r="N681" t="s">
        <v>75</v>
      </c>
      <c r="O681">
        <v>5</v>
      </c>
      <c r="P681" t="s">
        <v>62</v>
      </c>
      <c r="Q681" s="4">
        <v>46180</v>
      </c>
      <c r="R681" t="s">
        <v>64</v>
      </c>
      <c r="S681" t="s">
        <v>3155</v>
      </c>
      <c r="T681" t="s">
        <v>3153</v>
      </c>
      <c r="U681" t="s">
        <v>75</v>
      </c>
      <c r="V681" t="s">
        <v>3152</v>
      </c>
    </row>
    <row r="682" spans="1:22" x14ac:dyDescent="0.2">
      <c r="A682" t="s">
        <v>1426</v>
      </c>
      <c r="B682" t="s">
        <v>1427</v>
      </c>
      <c r="C682" t="s">
        <v>73</v>
      </c>
      <c r="D682" t="s">
        <v>74</v>
      </c>
      <c r="E682" t="s">
        <v>105</v>
      </c>
      <c r="F682" t="s">
        <v>45</v>
      </c>
      <c r="G682" t="s">
        <v>46</v>
      </c>
      <c r="H682" t="s">
        <v>36</v>
      </c>
      <c r="I682" t="s">
        <v>50</v>
      </c>
      <c r="J682" t="s">
        <v>63</v>
      </c>
      <c r="K682" s="4">
        <v>46196</v>
      </c>
      <c r="L682" s="4">
        <v>46376</v>
      </c>
      <c r="M682" t="s">
        <v>64</v>
      </c>
      <c r="N682" t="s">
        <v>49</v>
      </c>
      <c r="O682">
        <v>1</v>
      </c>
      <c r="P682" t="s">
        <v>39</v>
      </c>
      <c r="Q682" s="4">
        <v>46141</v>
      </c>
      <c r="R682" t="s">
        <v>38</v>
      </c>
      <c r="S682" t="s">
        <v>3155</v>
      </c>
      <c r="T682" t="s">
        <v>3153</v>
      </c>
      <c r="U682" t="s">
        <v>49</v>
      </c>
      <c r="V682" t="s">
        <v>3152</v>
      </c>
    </row>
    <row r="683" spans="1:22" x14ac:dyDescent="0.2">
      <c r="A683" t="s">
        <v>1428</v>
      </c>
      <c r="B683" t="s">
        <v>1429</v>
      </c>
      <c r="C683" t="s">
        <v>42</v>
      </c>
      <c r="D683" t="s">
        <v>43</v>
      </c>
      <c r="E683" t="s">
        <v>53</v>
      </c>
      <c r="F683" t="s">
        <v>67</v>
      </c>
      <c r="G683" t="s">
        <v>118</v>
      </c>
      <c r="H683" t="s">
        <v>47</v>
      </c>
      <c r="I683" t="s">
        <v>70</v>
      </c>
      <c r="J683" t="s">
        <v>48</v>
      </c>
      <c r="K683" s="4">
        <v>45886</v>
      </c>
      <c r="L683" s="4">
        <v>46066</v>
      </c>
      <c r="M683" t="s">
        <v>38</v>
      </c>
      <c r="N683" t="s">
        <v>55</v>
      </c>
      <c r="O683">
        <v>1</v>
      </c>
      <c r="P683" t="s">
        <v>56</v>
      </c>
      <c r="Q683" s="4">
        <v>46376</v>
      </c>
      <c r="R683" t="s">
        <v>64</v>
      </c>
      <c r="S683" t="s">
        <v>38</v>
      </c>
      <c r="T683" t="s">
        <v>3153</v>
      </c>
      <c r="U683" t="s">
        <v>55</v>
      </c>
      <c r="V683" t="s">
        <v>3154</v>
      </c>
    </row>
    <row r="684" spans="1:22" x14ac:dyDescent="0.2">
      <c r="A684" t="s">
        <v>1430</v>
      </c>
      <c r="B684" t="s">
        <v>1431</v>
      </c>
      <c r="C684" t="s">
        <v>103</v>
      </c>
      <c r="D684" t="s">
        <v>104</v>
      </c>
      <c r="E684" t="s">
        <v>91</v>
      </c>
      <c r="F684" t="s">
        <v>34</v>
      </c>
      <c r="G684" t="s">
        <v>35</v>
      </c>
      <c r="H684" t="s">
        <v>36</v>
      </c>
      <c r="I684" t="s">
        <v>54</v>
      </c>
      <c r="J684" t="s">
        <v>63</v>
      </c>
      <c r="K684" s="4">
        <v>46033</v>
      </c>
      <c r="L684" s="4">
        <v>46398</v>
      </c>
      <c r="M684" t="s">
        <v>84</v>
      </c>
      <c r="N684" t="s">
        <v>49</v>
      </c>
      <c r="O684">
        <v>5</v>
      </c>
      <c r="P684" t="s">
        <v>50</v>
      </c>
      <c r="Q684" s="4">
        <v>46372</v>
      </c>
      <c r="R684" t="s">
        <v>84</v>
      </c>
      <c r="S684" t="s">
        <v>3155</v>
      </c>
      <c r="T684" t="s">
        <v>3153</v>
      </c>
      <c r="U684" t="s">
        <v>49</v>
      </c>
      <c r="V684" t="s">
        <v>3152</v>
      </c>
    </row>
    <row r="685" spans="1:22" x14ac:dyDescent="0.2">
      <c r="A685" t="s">
        <v>1432</v>
      </c>
      <c r="B685" t="s">
        <v>1433</v>
      </c>
      <c r="C685" t="s">
        <v>31</v>
      </c>
      <c r="D685" t="s">
        <v>32</v>
      </c>
      <c r="E685" t="s">
        <v>44</v>
      </c>
      <c r="F685" t="s">
        <v>45</v>
      </c>
      <c r="G685" t="s">
        <v>46</v>
      </c>
      <c r="H685" t="s">
        <v>88</v>
      </c>
      <c r="I685" t="s">
        <v>56</v>
      </c>
      <c r="J685" t="s">
        <v>48</v>
      </c>
      <c r="K685" s="4">
        <v>46177</v>
      </c>
      <c r="L685" s="4">
        <v>46267</v>
      </c>
      <c r="M685" t="s">
        <v>38</v>
      </c>
      <c r="N685" t="s">
        <v>75</v>
      </c>
      <c r="O685">
        <v>0</v>
      </c>
      <c r="P685" t="s">
        <v>62</v>
      </c>
      <c r="Q685" s="4">
        <v>46217</v>
      </c>
      <c r="R685" t="s">
        <v>57</v>
      </c>
      <c r="S685" t="s">
        <v>38</v>
      </c>
      <c r="T685" t="s">
        <v>3153</v>
      </c>
      <c r="U685" t="s">
        <v>75</v>
      </c>
      <c r="V685" t="s">
        <v>3154</v>
      </c>
    </row>
    <row r="686" spans="1:22" x14ac:dyDescent="0.2">
      <c r="A686" t="s">
        <v>1434</v>
      </c>
      <c r="B686" t="s">
        <v>1435</v>
      </c>
      <c r="C686" t="s">
        <v>42</v>
      </c>
      <c r="D686" t="s">
        <v>43</v>
      </c>
      <c r="E686" t="s">
        <v>91</v>
      </c>
      <c r="F686" t="s">
        <v>67</v>
      </c>
      <c r="G686" t="s">
        <v>118</v>
      </c>
      <c r="H686" t="s">
        <v>88</v>
      </c>
      <c r="I686" t="s">
        <v>54</v>
      </c>
      <c r="J686" t="s">
        <v>37</v>
      </c>
      <c r="K686" s="4">
        <v>46162</v>
      </c>
      <c r="L686" s="4">
        <v>46342</v>
      </c>
      <c r="M686" t="s">
        <v>64</v>
      </c>
      <c r="N686" t="s">
        <v>55</v>
      </c>
      <c r="O686">
        <v>3</v>
      </c>
      <c r="P686" t="s">
        <v>106</v>
      </c>
      <c r="Q686" s="4">
        <v>46141</v>
      </c>
      <c r="R686" t="s">
        <v>64</v>
      </c>
      <c r="S686" t="s">
        <v>3155</v>
      </c>
      <c r="T686" t="s">
        <v>3153</v>
      </c>
      <c r="U686" t="s">
        <v>55</v>
      </c>
      <c r="V686" t="s">
        <v>3154</v>
      </c>
    </row>
    <row r="687" spans="1:22" x14ac:dyDescent="0.2">
      <c r="A687" t="s">
        <v>1436</v>
      </c>
      <c r="B687" t="s">
        <v>1437</v>
      </c>
      <c r="C687" t="s">
        <v>103</v>
      </c>
      <c r="D687" t="s">
        <v>104</v>
      </c>
      <c r="E687" t="s">
        <v>44</v>
      </c>
      <c r="F687" t="s">
        <v>34</v>
      </c>
      <c r="G687" t="s">
        <v>35</v>
      </c>
      <c r="H687" t="s">
        <v>88</v>
      </c>
      <c r="I687" t="s">
        <v>39</v>
      </c>
      <c r="J687" t="s">
        <v>37</v>
      </c>
      <c r="K687" s="4">
        <v>46182</v>
      </c>
      <c r="L687" s="4">
        <v>46272</v>
      </c>
      <c r="M687" t="s">
        <v>38</v>
      </c>
      <c r="N687" t="s">
        <v>55</v>
      </c>
      <c r="O687">
        <v>0</v>
      </c>
      <c r="P687" t="s">
        <v>56</v>
      </c>
      <c r="Q687" s="4">
        <v>46279</v>
      </c>
      <c r="R687" t="s">
        <v>57</v>
      </c>
      <c r="S687" t="s">
        <v>38</v>
      </c>
      <c r="T687" t="s">
        <v>3153</v>
      </c>
      <c r="U687" t="s">
        <v>55</v>
      </c>
      <c r="V687" t="s">
        <v>3154</v>
      </c>
    </row>
    <row r="688" spans="1:22" x14ac:dyDescent="0.2">
      <c r="A688" t="s">
        <v>1438</v>
      </c>
      <c r="B688" t="s">
        <v>1439</v>
      </c>
      <c r="C688" t="s">
        <v>31</v>
      </c>
      <c r="D688" t="s">
        <v>87</v>
      </c>
      <c r="E688" t="s">
        <v>80</v>
      </c>
      <c r="F688" t="s">
        <v>34</v>
      </c>
      <c r="G688" t="s">
        <v>35</v>
      </c>
      <c r="H688" t="s">
        <v>47</v>
      </c>
      <c r="I688" t="s">
        <v>111</v>
      </c>
      <c r="J688" t="s">
        <v>63</v>
      </c>
      <c r="K688" s="4">
        <v>46089</v>
      </c>
      <c r="L688" s="4">
        <v>46269</v>
      </c>
      <c r="M688" t="s">
        <v>38</v>
      </c>
      <c r="N688" t="s">
        <v>75</v>
      </c>
      <c r="O688">
        <v>0</v>
      </c>
      <c r="P688" t="s">
        <v>50</v>
      </c>
      <c r="Q688" s="4">
        <v>46164</v>
      </c>
      <c r="R688" t="s">
        <v>57</v>
      </c>
      <c r="S688" t="s">
        <v>38</v>
      </c>
      <c r="T688" t="s">
        <v>3153</v>
      </c>
      <c r="U688" t="s">
        <v>75</v>
      </c>
      <c r="V688" t="s">
        <v>3154</v>
      </c>
    </row>
    <row r="689" spans="1:22" x14ac:dyDescent="0.2">
      <c r="A689" t="s">
        <v>1440</v>
      </c>
      <c r="B689" t="s">
        <v>1441</v>
      </c>
      <c r="C689" t="s">
        <v>31</v>
      </c>
      <c r="D689" t="s">
        <v>83</v>
      </c>
      <c r="E689" t="s">
        <v>91</v>
      </c>
      <c r="F689" t="s">
        <v>67</v>
      </c>
      <c r="G689" t="s">
        <v>118</v>
      </c>
      <c r="H689" t="s">
        <v>36</v>
      </c>
      <c r="I689" t="s">
        <v>106</v>
      </c>
      <c r="J689" t="s">
        <v>63</v>
      </c>
      <c r="K689" s="4">
        <v>46154</v>
      </c>
      <c r="L689" s="4">
        <v>46519</v>
      </c>
      <c r="M689" t="s">
        <v>64</v>
      </c>
      <c r="N689" t="s">
        <v>49</v>
      </c>
      <c r="O689">
        <v>3</v>
      </c>
      <c r="P689" t="s">
        <v>70</v>
      </c>
      <c r="Q689" s="4">
        <v>46159</v>
      </c>
      <c r="R689" t="s">
        <v>38</v>
      </c>
      <c r="S689" t="s">
        <v>3155</v>
      </c>
      <c r="T689" t="s">
        <v>3153</v>
      </c>
      <c r="U689" t="s">
        <v>49</v>
      </c>
      <c r="V689" t="s">
        <v>3152</v>
      </c>
    </row>
    <row r="690" spans="1:22" x14ac:dyDescent="0.2">
      <c r="A690" t="s">
        <v>1442</v>
      </c>
      <c r="B690" t="s">
        <v>1443</v>
      </c>
      <c r="C690" t="s">
        <v>31</v>
      </c>
      <c r="D690" t="s">
        <v>83</v>
      </c>
      <c r="E690" t="s">
        <v>44</v>
      </c>
      <c r="F690" t="s">
        <v>45</v>
      </c>
      <c r="G690" t="s">
        <v>46</v>
      </c>
      <c r="H690" t="s">
        <v>36</v>
      </c>
      <c r="I690" t="s">
        <v>70</v>
      </c>
      <c r="J690" t="s">
        <v>48</v>
      </c>
      <c r="K690" s="4">
        <v>46237</v>
      </c>
      <c r="L690" s="4">
        <v>46602</v>
      </c>
      <c r="M690" t="s">
        <v>69</v>
      </c>
      <c r="N690" t="s">
        <v>49</v>
      </c>
      <c r="O690">
        <v>3</v>
      </c>
      <c r="P690" t="s">
        <v>54</v>
      </c>
      <c r="Q690" s="4">
        <v>46218</v>
      </c>
      <c r="R690" t="s">
        <v>38</v>
      </c>
      <c r="S690" t="s">
        <v>3155</v>
      </c>
      <c r="T690" t="s">
        <v>3153</v>
      </c>
      <c r="U690" t="s">
        <v>49</v>
      </c>
      <c r="V690" t="s">
        <v>3152</v>
      </c>
    </row>
    <row r="691" spans="1:22" x14ac:dyDescent="0.2">
      <c r="A691" t="s">
        <v>1444</v>
      </c>
      <c r="B691" t="s">
        <v>1445</v>
      </c>
      <c r="C691" t="s">
        <v>31</v>
      </c>
      <c r="D691" t="s">
        <v>87</v>
      </c>
      <c r="E691" t="s">
        <v>60</v>
      </c>
      <c r="F691" t="s">
        <v>67</v>
      </c>
      <c r="G691" t="s">
        <v>118</v>
      </c>
      <c r="H691" t="s">
        <v>98</v>
      </c>
      <c r="I691" t="s">
        <v>106</v>
      </c>
      <c r="J691" t="s">
        <v>63</v>
      </c>
      <c r="K691" s="4">
        <v>46046</v>
      </c>
      <c r="L691" s="4">
        <v>46411</v>
      </c>
      <c r="M691" t="s">
        <v>69</v>
      </c>
      <c r="N691" t="s">
        <v>55</v>
      </c>
      <c r="O691">
        <v>3</v>
      </c>
      <c r="P691" t="s">
        <v>56</v>
      </c>
      <c r="Q691" s="4">
        <v>46329</v>
      </c>
      <c r="R691" t="s">
        <v>84</v>
      </c>
      <c r="S691" t="s">
        <v>3155</v>
      </c>
      <c r="T691" t="s">
        <v>3153</v>
      </c>
      <c r="U691" t="s">
        <v>55</v>
      </c>
      <c r="V691" t="s">
        <v>3152</v>
      </c>
    </row>
    <row r="692" spans="1:22" x14ac:dyDescent="0.2">
      <c r="A692" t="s">
        <v>1446</v>
      </c>
      <c r="B692" t="s">
        <v>1447</v>
      </c>
      <c r="C692" t="s">
        <v>31</v>
      </c>
      <c r="D692" t="s">
        <v>32</v>
      </c>
      <c r="E692" t="s">
        <v>53</v>
      </c>
      <c r="F692" t="s">
        <v>34</v>
      </c>
      <c r="G692" t="s">
        <v>35</v>
      </c>
      <c r="H692" t="s">
        <v>47</v>
      </c>
      <c r="I692" t="s">
        <v>39</v>
      </c>
      <c r="J692" t="s">
        <v>37</v>
      </c>
      <c r="K692" s="4">
        <v>45869</v>
      </c>
      <c r="L692" s="4">
        <v>46234</v>
      </c>
      <c r="M692" t="s">
        <v>38</v>
      </c>
      <c r="N692" t="s">
        <v>55</v>
      </c>
      <c r="O692">
        <v>3</v>
      </c>
      <c r="P692" t="s">
        <v>62</v>
      </c>
      <c r="Q692" s="4">
        <v>46368</v>
      </c>
      <c r="R692" t="s">
        <v>84</v>
      </c>
      <c r="S692" t="s">
        <v>38</v>
      </c>
      <c r="T692" t="s">
        <v>3153</v>
      </c>
      <c r="U692" t="s">
        <v>55</v>
      </c>
      <c r="V692" t="s">
        <v>3154</v>
      </c>
    </row>
    <row r="693" spans="1:22" x14ac:dyDescent="0.2">
      <c r="A693" t="s">
        <v>1448</v>
      </c>
      <c r="B693" t="s">
        <v>1449</v>
      </c>
      <c r="C693" t="s">
        <v>96</v>
      </c>
      <c r="D693" t="s">
        <v>97</v>
      </c>
      <c r="E693" t="s">
        <v>80</v>
      </c>
      <c r="F693" t="s">
        <v>34</v>
      </c>
      <c r="G693" t="s">
        <v>35</v>
      </c>
      <c r="H693" t="s">
        <v>88</v>
      </c>
      <c r="I693" t="s">
        <v>54</v>
      </c>
      <c r="J693" t="s">
        <v>63</v>
      </c>
      <c r="K693" s="4">
        <v>46181</v>
      </c>
      <c r="L693" s="4">
        <v>46271</v>
      </c>
      <c r="M693" t="s">
        <v>38</v>
      </c>
      <c r="N693" t="s">
        <v>55</v>
      </c>
      <c r="O693">
        <v>1</v>
      </c>
      <c r="P693" t="s">
        <v>56</v>
      </c>
      <c r="Q693" s="4">
        <v>46119</v>
      </c>
      <c r="R693" t="s">
        <v>38</v>
      </c>
      <c r="S693" t="s">
        <v>38</v>
      </c>
      <c r="T693" t="s">
        <v>3153</v>
      </c>
      <c r="U693" t="s">
        <v>55</v>
      </c>
      <c r="V693" t="s">
        <v>3154</v>
      </c>
    </row>
    <row r="694" spans="1:22" x14ac:dyDescent="0.2">
      <c r="A694" t="s">
        <v>1450</v>
      </c>
      <c r="B694" t="s">
        <v>1451</v>
      </c>
      <c r="C694" t="s">
        <v>31</v>
      </c>
      <c r="D694" t="s">
        <v>83</v>
      </c>
      <c r="E694" t="s">
        <v>53</v>
      </c>
      <c r="F694" t="s">
        <v>67</v>
      </c>
      <c r="G694" t="s">
        <v>68</v>
      </c>
      <c r="H694" t="s">
        <v>36</v>
      </c>
      <c r="I694" t="s">
        <v>70</v>
      </c>
      <c r="J694" t="s">
        <v>48</v>
      </c>
      <c r="K694" s="4">
        <v>46188</v>
      </c>
      <c r="L694" s="4">
        <v>46278</v>
      </c>
      <c r="M694" t="s">
        <v>38</v>
      </c>
      <c r="N694" t="s">
        <v>55</v>
      </c>
      <c r="O694">
        <v>4</v>
      </c>
      <c r="P694" t="s">
        <v>56</v>
      </c>
      <c r="Q694" s="4">
        <v>46236</v>
      </c>
      <c r="R694" t="s">
        <v>64</v>
      </c>
      <c r="S694" t="s">
        <v>38</v>
      </c>
      <c r="T694" t="s">
        <v>3153</v>
      </c>
      <c r="U694" t="s">
        <v>55</v>
      </c>
      <c r="V694" t="s">
        <v>3152</v>
      </c>
    </row>
    <row r="695" spans="1:22" x14ac:dyDescent="0.2">
      <c r="A695" t="s">
        <v>1452</v>
      </c>
      <c r="B695" t="s">
        <v>1453</v>
      </c>
      <c r="C695" t="s">
        <v>42</v>
      </c>
      <c r="D695" t="s">
        <v>43</v>
      </c>
      <c r="E695" t="s">
        <v>44</v>
      </c>
      <c r="F695" t="s">
        <v>45</v>
      </c>
      <c r="G695" t="s">
        <v>46</v>
      </c>
      <c r="H695" t="s">
        <v>88</v>
      </c>
      <c r="I695" t="s">
        <v>39</v>
      </c>
      <c r="J695" t="s">
        <v>48</v>
      </c>
      <c r="K695" s="4">
        <v>45943</v>
      </c>
      <c r="L695" s="4">
        <v>46123</v>
      </c>
      <c r="M695" t="s">
        <v>38</v>
      </c>
      <c r="N695" t="s">
        <v>49</v>
      </c>
      <c r="O695">
        <v>2</v>
      </c>
      <c r="P695" t="s">
        <v>62</v>
      </c>
      <c r="Q695" s="4">
        <v>46281</v>
      </c>
      <c r="R695" t="s">
        <v>64</v>
      </c>
      <c r="S695" t="s">
        <v>38</v>
      </c>
      <c r="T695" t="s">
        <v>3153</v>
      </c>
      <c r="U695" t="s">
        <v>49</v>
      </c>
      <c r="V695" t="s">
        <v>3154</v>
      </c>
    </row>
    <row r="696" spans="1:22" x14ac:dyDescent="0.2">
      <c r="A696" t="s">
        <v>1454</v>
      </c>
      <c r="B696" t="s">
        <v>1455</v>
      </c>
      <c r="C696" t="s">
        <v>31</v>
      </c>
      <c r="D696" t="s">
        <v>87</v>
      </c>
      <c r="E696" t="s">
        <v>53</v>
      </c>
      <c r="F696" t="s">
        <v>34</v>
      </c>
      <c r="G696" t="s">
        <v>35</v>
      </c>
      <c r="H696" t="s">
        <v>98</v>
      </c>
      <c r="I696" t="s">
        <v>39</v>
      </c>
      <c r="J696" t="s">
        <v>63</v>
      </c>
      <c r="K696" s="4">
        <v>45854</v>
      </c>
      <c r="L696" s="4">
        <v>46034</v>
      </c>
      <c r="M696" t="s">
        <v>38</v>
      </c>
      <c r="N696" t="s">
        <v>55</v>
      </c>
      <c r="O696">
        <v>5</v>
      </c>
      <c r="P696" t="s">
        <v>70</v>
      </c>
      <c r="Q696" s="4">
        <v>46258</v>
      </c>
      <c r="R696" t="s">
        <v>64</v>
      </c>
      <c r="S696" t="s">
        <v>38</v>
      </c>
      <c r="T696" t="s">
        <v>3153</v>
      </c>
      <c r="U696" t="s">
        <v>55</v>
      </c>
      <c r="V696" t="s">
        <v>3152</v>
      </c>
    </row>
    <row r="697" spans="1:22" x14ac:dyDescent="0.2">
      <c r="A697" t="s">
        <v>1456</v>
      </c>
      <c r="B697" t="s">
        <v>1457</v>
      </c>
      <c r="C697" t="s">
        <v>78</v>
      </c>
      <c r="D697" t="s">
        <v>79</v>
      </c>
      <c r="E697" t="s">
        <v>91</v>
      </c>
      <c r="F697" t="s">
        <v>34</v>
      </c>
      <c r="G697" t="s">
        <v>35</v>
      </c>
      <c r="H697" t="s">
        <v>47</v>
      </c>
      <c r="I697" t="s">
        <v>54</v>
      </c>
      <c r="J697" t="s">
        <v>37</v>
      </c>
      <c r="K697" s="4">
        <v>45857</v>
      </c>
      <c r="L697" s="4">
        <v>46037</v>
      </c>
      <c r="M697" t="s">
        <v>38</v>
      </c>
      <c r="N697" t="s">
        <v>55</v>
      </c>
      <c r="O697">
        <v>2</v>
      </c>
      <c r="P697" t="s">
        <v>54</v>
      </c>
      <c r="Q697" s="4">
        <v>46252</v>
      </c>
      <c r="R697" t="s">
        <v>64</v>
      </c>
      <c r="S697" t="s">
        <v>38</v>
      </c>
      <c r="T697" t="s">
        <v>3153</v>
      </c>
      <c r="U697" t="s">
        <v>55</v>
      </c>
      <c r="V697" t="s">
        <v>3154</v>
      </c>
    </row>
    <row r="698" spans="1:22" x14ac:dyDescent="0.2">
      <c r="A698" t="s">
        <v>1458</v>
      </c>
      <c r="B698" t="s">
        <v>1459</v>
      </c>
      <c r="C698" t="s">
        <v>31</v>
      </c>
      <c r="D698" t="s">
        <v>83</v>
      </c>
      <c r="E698" t="s">
        <v>53</v>
      </c>
      <c r="F698" t="s">
        <v>34</v>
      </c>
      <c r="G698" t="s">
        <v>35</v>
      </c>
      <c r="H698" t="s">
        <v>47</v>
      </c>
      <c r="I698" t="s">
        <v>111</v>
      </c>
      <c r="J698" t="s">
        <v>37</v>
      </c>
      <c r="K698" s="4">
        <v>46228</v>
      </c>
      <c r="L698" s="4">
        <v>46408</v>
      </c>
      <c r="M698" t="s">
        <v>64</v>
      </c>
      <c r="N698" t="s">
        <v>55</v>
      </c>
      <c r="O698">
        <v>1</v>
      </c>
      <c r="P698" t="s">
        <v>39</v>
      </c>
      <c r="Q698" s="4">
        <v>46211</v>
      </c>
      <c r="R698" t="s">
        <v>38</v>
      </c>
      <c r="S698" t="s">
        <v>3155</v>
      </c>
      <c r="T698" t="s">
        <v>3153</v>
      </c>
      <c r="U698" t="s">
        <v>55</v>
      </c>
      <c r="V698" t="s">
        <v>3154</v>
      </c>
    </row>
    <row r="699" spans="1:22" x14ac:dyDescent="0.2">
      <c r="A699" t="s">
        <v>1460</v>
      </c>
      <c r="B699" t="s">
        <v>1461</v>
      </c>
      <c r="C699" t="s">
        <v>31</v>
      </c>
      <c r="D699" t="s">
        <v>83</v>
      </c>
      <c r="E699" t="s">
        <v>44</v>
      </c>
      <c r="F699" t="s">
        <v>67</v>
      </c>
      <c r="G699" t="s">
        <v>68</v>
      </c>
      <c r="H699" t="s">
        <v>36</v>
      </c>
      <c r="I699" t="s">
        <v>54</v>
      </c>
      <c r="J699" t="s">
        <v>48</v>
      </c>
      <c r="K699" s="4">
        <v>46240</v>
      </c>
      <c r="L699" s="4">
        <v>46330</v>
      </c>
      <c r="M699" t="s">
        <v>64</v>
      </c>
      <c r="N699" t="s">
        <v>55</v>
      </c>
      <c r="O699">
        <v>3</v>
      </c>
      <c r="P699" t="s">
        <v>70</v>
      </c>
      <c r="Q699" s="4">
        <v>46321</v>
      </c>
      <c r="R699" t="s">
        <v>64</v>
      </c>
      <c r="S699" t="s">
        <v>3155</v>
      </c>
      <c r="T699" t="s">
        <v>3153</v>
      </c>
      <c r="U699" t="s">
        <v>55</v>
      </c>
      <c r="V699" t="s">
        <v>3152</v>
      </c>
    </row>
    <row r="700" spans="1:22" x14ac:dyDescent="0.2">
      <c r="A700" t="s">
        <v>1462</v>
      </c>
      <c r="B700" t="s">
        <v>1463</v>
      </c>
      <c r="C700" t="s">
        <v>42</v>
      </c>
      <c r="D700" t="s">
        <v>43</v>
      </c>
      <c r="E700" t="s">
        <v>105</v>
      </c>
      <c r="F700" t="s">
        <v>67</v>
      </c>
      <c r="G700" t="s">
        <v>118</v>
      </c>
      <c r="H700" t="s">
        <v>47</v>
      </c>
      <c r="I700" t="s">
        <v>39</v>
      </c>
      <c r="J700" t="s">
        <v>63</v>
      </c>
      <c r="K700" s="4">
        <v>45885</v>
      </c>
      <c r="L700" s="4">
        <v>46250</v>
      </c>
      <c r="M700" t="s">
        <v>38</v>
      </c>
      <c r="N700" t="s">
        <v>55</v>
      </c>
      <c r="O700">
        <v>1</v>
      </c>
      <c r="P700" t="s">
        <v>39</v>
      </c>
      <c r="Q700" s="4">
        <v>46242</v>
      </c>
      <c r="R700" t="s">
        <v>38</v>
      </c>
      <c r="S700" t="s">
        <v>38</v>
      </c>
      <c r="T700" t="s">
        <v>3153</v>
      </c>
      <c r="U700" t="s">
        <v>55</v>
      </c>
      <c r="V700" t="s">
        <v>3154</v>
      </c>
    </row>
    <row r="701" spans="1:22" x14ac:dyDescent="0.2">
      <c r="A701" t="s">
        <v>1464</v>
      </c>
      <c r="B701" t="s">
        <v>1465</v>
      </c>
      <c r="C701" t="s">
        <v>96</v>
      </c>
      <c r="D701" t="s">
        <v>97</v>
      </c>
      <c r="E701" t="s">
        <v>60</v>
      </c>
      <c r="F701" t="s">
        <v>45</v>
      </c>
      <c r="G701" t="s">
        <v>46</v>
      </c>
      <c r="H701" t="s">
        <v>36</v>
      </c>
      <c r="I701" t="s">
        <v>106</v>
      </c>
      <c r="J701" t="s">
        <v>48</v>
      </c>
      <c r="K701" s="4">
        <v>45839</v>
      </c>
      <c r="L701" s="4">
        <v>46204</v>
      </c>
      <c r="M701" t="s">
        <v>38</v>
      </c>
      <c r="N701" t="s">
        <v>55</v>
      </c>
      <c r="O701">
        <v>1</v>
      </c>
      <c r="P701" t="s">
        <v>56</v>
      </c>
      <c r="Q701" s="4">
        <v>46186</v>
      </c>
      <c r="R701" t="s">
        <v>38</v>
      </c>
      <c r="S701" t="s">
        <v>38</v>
      </c>
      <c r="T701" t="s">
        <v>3153</v>
      </c>
      <c r="U701" t="s">
        <v>55</v>
      </c>
      <c r="V701" t="s">
        <v>3152</v>
      </c>
    </row>
    <row r="702" spans="1:22" x14ac:dyDescent="0.2">
      <c r="A702" t="s">
        <v>1466</v>
      </c>
      <c r="B702" t="s">
        <v>1467</v>
      </c>
      <c r="C702" t="s">
        <v>42</v>
      </c>
      <c r="D702" t="s">
        <v>43</v>
      </c>
      <c r="E702" t="s">
        <v>44</v>
      </c>
      <c r="F702" t="s">
        <v>67</v>
      </c>
      <c r="G702" t="s">
        <v>118</v>
      </c>
      <c r="H702" t="s">
        <v>47</v>
      </c>
      <c r="I702" t="s">
        <v>56</v>
      </c>
      <c r="J702" t="s">
        <v>63</v>
      </c>
      <c r="K702" s="4">
        <v>45954</v>
      </c>
      <c r="L702" s="4">
        <v>46319</v>
      </c>
      <c r="M702" t="s">
        <v>64</v>
      </c>
      <c r="N702" t="s">
        <v>55</v>
      </c>
      <c r="O702">
        <v>0</v>
      </c>
      <c r="P702" t="s">
        <v>62</v>
      </c>
      <c r="Q702" s="4">
        <v>46393</v>
      </c>
      <c r="R702" t="s">
        <v>57</v>
      </c>
      <c r="S702" t="s">
        <v>3155</v>
      </c>
      <c r="T702" t="s">
        <v>3153</v>
      </c>
      <c r="U702" t="s">
        <v>55</v>
      </c>
      <c r="V702" t="s">
        <v>3154</v>
      </c>
    </row>
    <row r="703" spans="1:22" x14ac:dyDescent="0.2">
      <c r="A703" t="s">
        <v>1468</v>
      </c>
      <c r="B703" t="s">
        <v>1469</v>
      </c>
      <c r="C703" t="s">
        <v>78</v>
      </c>
      <c r="D703" t="s">
        <v>79</v>
      </c>
      <c r="E703" t="s">
        <v>44</v>
      </c>
      <c r="F703" t="s">
        <v>45</v>
      </c>
      <c r="G703" t="s">
        <v>46</v>
      </c>
      <c r="H703" t="s">
        <v>47</v>
      </c>
      <c r="I703" t="s">
        <v>62</v>
      </c>
      <c r="J703" t="s">
        <v>63</v>
      </c>
      <c r="K703" s="4">
        <v>46078</v>
      </c>
      <c r="L703" s="4">
        <v>46168</v>
      </c>
      <c r="M703" t="s">
        <v>38</v>
      </c>
      <c r="N703" t="s">
        <v>75</v>
      </c>
      <c r="O703">
        <v>2</v>
      </c>
      <c r="P703" t="s">
        <v>70</v>
      </c>
      <c r="Q703" s="4">
        <v>46230</v>
      </c>
      <c r="R703" t="s">
        <v>38</v>
      </c>
      <c r="S703" t="s">
        <v>38</v>
      </c>
      <c r="T703" t="s">
        <v>3153</v>
      </c>
      <c r="U703" t="s">
        <v>75</v>
      </c>
      <c r="V703" t="s">
        <v>3154</v>
      </c>
    </row>
    <row r="704" spans="1:22" x14ac:dyDescent="0.2">
      <c r="A704" t="s">
        <v>1470</v>
      </c>
      <c r="B704" t="s">
        <v>1471</v>
      </c>
      <c r="C704" t="s">
        <v>31</v>
      </c>
      <c r="D704" t="s">
        <v>32</v>
      </c>
      <c r="E704" t="s">
        <v>105</v>
      </c>
      <c r="F704" t="s">
        <v>67</v>
      </c>
      <c r="G704" t="s">
        <v>68</v>
      </c>
      <c r="H704" t="s">
        <v>47</v>
      </c>
      <c r="I704" t="s">
        <v>56</v>
      </c>
      <c r="J704" t="s">
        <v>63</v>
      </c>
      <c r="K704" s="4">
        <v>46093</v>
      </c>
      <c r="L704" s="4">
        <v>46183</v>
      </c>
      <c r="M704" t="s">
        <v>38</v>
      </c>
      <c r="N704" t="s">
        <v>49</v>
      </c>
      <c r="O704">
        <v>2</v>
      </c>
      <c r="P704" t="s">
        <v>50</v>
      </c>
      <c r="Q704" s="4">
        <v>46175</v>
      </c>
      <c r="R704" t="s">
        <v>38</v>
      </c>
      <c r="S704" t="s">
        <v>38</v>
      </c>
      <c r="T704" t="s">
        <v>3153</v>
      </c>
      <c r="U704" t="s">
        <v>49</v>
      </c>
      <c r="V704" t="s">
        <v>3154</v>
      </c>
    </row>
    <row r="705" spans="1:22" x14ac:dyDescent="0.2">
      <c r="A705" t="s">
        <v>1472</v>
      </c>
      <c r="B705" t="s">
        <v>1473</v>
      </c>
      <c r="C705" t="s">
        <v>31</v>
      </c>
      <c r="D705" t="s">
        <v>32</v>
      </c>
      <c r="E705" t="s">
        <v>60</v>
      </c>
      <c r="F705" t="s">
        <v>45</v>
      </c>
      <c r="G705" t="s">
        <v>61</v>
      </c>
      <c r="H705" t="s">
        <v>88</v>
      </c>
      <c r="I705" t="s">
        <v>50</v>
      </c>
      <c r="J705" t="s">
        <v>37</v>
      </c>
      <c r="K705" s="4">
        <v>45928</v>
      </c>
      <c r="L705" s="4">
        <v>46108</v>
      </c>
      <c r="M705" t="s">
        <v>38</v>
      </c>
      <c r="N705" t="s">
        <v>55</v>
      </c>
      <c r="O705">
        <v>2</v>
      </c>
      <c r="P705" t="s">
        <v>106</v>
      </c>
      <c r="Q705" s="4">
        <v>46261</v>
      </c>
      <c r="R705" t="s">
        <v>64</v>
      </c>
      <c r="S705" t="s">
        <v>38</v>
      </c>
      <c r="T705" t="s">
        <v>3153</v>
      </c>
      <c r="U705" t="s">
        <v>55</v>
      </c>
      <c r="V705" t="s">
        <v>3154</v>
      </c>
    </row>
    <row r="706" spans="1:22" x14ac:dyDescent="0.2">
      <c r="A706" t="s">
        <v>1474</v>
      </c>
      <c r="B706" t="s">
        <v>1475</v>
      </c>
      <c r="C706" t="s">
        <v>96</v>
      </c>
      <c r="D706" t="s">
        <v>97</v>
      </c>
      <c r="E706" t="s">
        <v>105</v>
      </c>
      <c r="F706" t="s">
        <v>67</v>
      </c>
      <c r="G706" t="s">
        <v>68</v>
      </c>
      <c r="H706" t="s">
        <v>36</v>
      </c>
      <c r="I706" t="s">
        <v>50</v>
      </c>
      <c r="J706" t="s">
        <v>48</v>
      </c>
      <c r="K706" s="4">
        <v>45877</v>
      </c>
      <c r="L706" s="4">
        <v>46242</v>
      </c>
      <c r="M706" t="s">
        <v>38</v>
      </c>
      <c r="N706" t="s">
        <v>55</v>
      </c>
      <c r="O706">
        <v>2</v>
      </c>
      <c r="P706" t="s">
        <v>70</v>
      </c>
      <c r="Q706" s="4">
        <v>46190</v>
      </c>
      <c r="R706" t="s">
        <v>38</v>
      </c>
      <c r="S706" t="s">
        <v>38</v>
      </c>
      <c r="T706" t="s">
        <v>3153</v>
      </c>
      <c r="U706" t="s">
        <v>55</v>
      </c>
      <c r="V706" t="s">
        <v>3152</v>
      </c>
    </row>
    <row r="707" spans="1:22" x14ac:dyDescent="0.2">
      <c r="A707" t="s">
        <v>1476</v>
      </c>
      <c r="B707" t="s">
        <v>1477</v>
      </c>
      <c r="C707" t="s">
        <v>96</v>
      </c>
      <c r="D707" t="s">
        <v>97</v>
      </c>
      <c r="E707" t="s">
        <v>91</v>
      </c>
      <c r="F707" t="s">
        <v>34</v>
      </c>
      <c r="G707" t="s">
        <v>35</v>
      </c>
      <c r="H707" t="s">
        <v>47</v>
      </c>
      <c r="J707" t="s">
        <v>37</v>
      </c>
      <c r="K707" s="4">
        <v>46229</v>
      </c>
      <c r="L707" s="4">
        <v>46409</v>
      </c>
      <c r="M707" t="s">
        <v>84</v>
      </c>
      <c r="N707" t="s">
        <v>75</v>
      </c>
      <c r="O707">
        <v>2</v>
      </c>
      <c r="P707" t="s">
        <v>106</v>
      </c>
      <c r="Q707" s="4">
        <v>46278</v>
      </c>
      <c r="R707" t="s">
        <v>38</v>
      </c>
      <c r="S707" t="s">
        <v>3155</v>
      </c>
      <c r="T707" t="s">
        <v>3150</v>
      </c>
      <c r="U707" t="s">
        <v>75</v>
      </c>
      <c r="V707" t="s">
        <v>3154</v>
      </c>
    </row>
    <row r="708" spans="1:22" x14ac:dyDescent="0.2">
      <c r="A708" t="s">
        <v>1478</v>
      </c>
      <c r="B708" t="s">
        <v>1479</v>
      </c>
      <c r="C708" t="s">
        <v>78</v>
      </c>
      <c r="D708" t="s">
        <v>79</v>
      </c>
      <c r="E708" t="s">
        <v>80</v>
      </c>
      <c r="F708" t="s">
        <v>45</v>
      </c>
      <c r="G708" t="s">
        <v>46</v>
      </c>
      <c r="H708" t="s">
        <v>88</v>
      </c>
      <c r="I708" t="s">
        <v>111</v>
      </c>
      <c r="J708" t="s">
        <v>63</v>
      </c>
      <c r="K708" s="4">
        <v>46000</v>
      </c>
      <c r="L708" s="4">
        <v>46365</v>
      </c>
      <c r="M708" t="s">
        <v>64</v>
      </c>
      <c r="N708" t="s">
        <v>49</v>
      </c>
      <c r="O708">
        <v>1</v>
      </c>
      <c r="P708" t="s">
        <v>54</v>
      </c>
      <c r="Q708" s="4">
        <v>46311</v>
      </c>
      <c r="R708" t="s">
        <v>64</v>
      </c>
      <c r="S708" t="s">
        <v>3155</v>
      </c>
      <c r="T708" t="s">
        <v>3153</v>
      </c>
      <c r="U708" t="s">
        <v>49</v>
      </c>
      <c r="V708" t="s">
        <v>3154</v>
      </c>
    </row>
    <row r="709" spans="1:22" x14ac:dyDescent="0.2">
      <c r="A709" t="s">
        <v>1480</v>
      </c>
      <c r="B709" t="s">
        <v>1481</v>
      </c>
      <c r="C709" t="s">
        <v>31</v>
      </c>
      <c r="D709" t="s">
        <v>87</v>
      </c>
      <c r="E709" t="s">
        <v>44</v>
      </c>
      <c r="F709" t="s">
        <v>34</v>
      </c>
      <c r="G709" t="s">
        <v>35</v>
      </c>
      <c r="H709" t="s">
        <v>88</v>
      </c>
      <c r="I709" t="s">
        <v>54</v>
      </c>
      <c r="J709" t="s">
        <v>37</v>
      </c>
      <c r="K709" s="4">
        <v>45840</v>
      </c>
      <c r="L709" s="4">
        <v>45930</v>
      </c>
      <c r="M709" t="s">
        <v>38</v>
      </c>
      <c r="N709" t="s">
        <v>75</v>
      </c>
      <c r="O709">
        <v>3</v>
      </c>
      <c r="P709" t="s">
        <v>50</v>
      </c>
      <c r="Q709" s="4">
        <v>46183</v>
      </c>
      <c r="R709" t="s">
        <v>38</v>
      </c>
      <c r="S709" t="s">
        <v>38</v>
      </c>
      <c r="T709" t="s">
        <v>3153</v>
      </c>
      <c r="U709" t="s">
        <v>75</v>
      </c>
      <c r="V709" t="s">
        <v>3154</v>
      </c>
    </row>
    <row r="710" spans="1:22" x14ac:dyDescent="0.2">
      <c r="A710" t="s">
        <v>1482</v>
      </c>
      <c r="B710" t="s">
        <v>1483</v>
      </c>
      <c r="C710" t="s">
        <v>31</v>
      </c>
      <c r="D710" t="s">
        <v>32</v>
      </c>
      <c r="E710" t="s">
        <v>44</v>
      </c>
      <c r="F710" t="s">
        <v>67</v>
      </c>
      <c r="G710" t="s">
        <v>118</v>
      </c>
      <c r="H710" t="s">
        <v>36</v>
      </c>
      <c r="I710" t="s">
        <v>62</v>
      </c>
      <c r="J710" t="s">
        <v>63</v>
      </c>
      <c r="K710" s="4">
        <v>46151</v>
      </c>
      <c r="L710" s="4">
        <v>46241</v>
      </c>
      <c r="M710" t="s">
        <v>38</v>
      </c>
      <c r="N710" t="s">
        <v>55</v>
      </c>
      <c r="O710">
        <v>0</v>
      </c>
      <c r="P710" t="s">
        <v>50</v>
      </c>
      <c r="Q710" s="4">
        <v>46185</v>
      </c>
      <c r="R710" t="s">
        <v>57</v>
      </c>
      <c r="S710" t="s">
        <v>38</v>
      </c>
      <c r="T710" t="s">
        <v>3153</v>
      </c>
      <c r="U710" t="s">
        <v>55</v>
      </c>
      <c r="V710" t="s">
        <v>3152</v>
      </c>
    </row>
    <row r="711" spans="1:22" x14ac:dyDescent="0.2">
      <c r="A711" t="s">
        <v>1484</v>
      </c>
      <c r="B711" t="s">
        <v>1485</v>
      </c>
      <c r="C711" t="s">
        <v>31</v>
      </c>
      <c r="D711" t="s">
        <v>83</v>
      </c>
      <c r="E711" t="s">
        <v>91</v>
      </c>
      <c r="F711" t="s">
        <v>67</v>
      </c>
      <c r="G711" t="s">
        <v>68</v>
      </c>
      <c r="H711" t="s">
        <v>98</v>
      </c>
      <c r="I711" t="s">
        <v>106</v>
      </c>
      <c r="J711" t="s">
        <v>48</v>
      </c>
      <c r="K711" s="4">
        <v>46248</v>
      </c>
      <c r="L711" s="4">
        <v>46613</v>
      </c>
      <c r="M711" t="s">
        <v>64</v>
      </c>
      <c r="N711" t="s">
        <v>49</v>
      </c>
      <c r="O711">
        <v>0</v>
      </c>
      <c r="P711" t="s">
        <v>106</v>
      </c>
      <c r="Q711" s="4">
        <v>46359</v>
      </c>
      <c r="R711" t="s">
        <v>57</v>
      </c>
      <c r="S711" t="s">
        <v>3155</v>
      </c>
      <c r="T711" t="s">
        <v>3153</v>
      </c>
      <c r="U711" t="s">
        <v>49</v>
      </c>
      <c r="V711" t="s">
        <v>3152</v>
      </c>
    </row>
    <row r="712" spans="1:22" x14ac:dyDescent="0.2">
      <c r="A712" t="s">
        <v>1486</v>
      </c>
      <c r="B712" t="s">
        <v>1487</v>
      </c>
      <c r="C712" t="s">
        <v>42</v>
      </c>
      <c r="D712" t="s">
        <v>43</v>
      </c>
      <c r="E712" t="s">
        <v>44</v>
      </c>
      <c r="F712" t="s">
        <v>45</v>
      </c>
      <c r="G712" t="s">
        <v>46</v>
      </c>
      <c r="H712" t="s">
        <v>47</v>
      </c>
      <c r="I712" t="s">
        <v>62</v>
      </c>
      <c r="J712" t="s">
        <v>37</v>
      </c>
      <c r="K712" s="4">
        <v>46199</v>
      </c>
      <c r="L712" s="4">
        <v>46289</v>
      </c>
      <c r="M712" t="s">
        <v>38</v>
      </c>
      <c r="N712" t="s">
        <v>75</v>
      </c>
      <c r="O712">
        <v>1</v>
      </c>
      <c r="P712" t="s">
        <v>106</v>
      </c>
      <c r="Q712" s="4">
        <v>46385</v>
      </c>
      <c r="R712" t="s">
        <v>84</v>
      </c>
      <c r="S712" t="s">
        <v>38</v>
      </c>
      <c r="T712" t="s">
        <v>3153</v>
      </c>
      <c r="U712" t="s">
        <v>75</v>
      </c>
      <c r="V712" t="s">
        <v>3154</v>
      </c>
    </row>
    <row r="713" spans="1:22" x14ac:dyDescent="0.2">
      <c r="A713" t="s">
        <v>1488</v>
      </c>
      <c r="B713" t="s">
        <v>1489</v>
      </c>
      <c r="C713" t="s">
        <v>78</v>
      </c>
      <c r="D713" t="s">
        <v>79</v>
      </c>
      <c r="E713" t="s">
        <v>53</v>
      </c>
      <c r="F713" t="s">
        <v>67</v>
      </c>
      <c r="G713" t="s">
        <v>68</v>
      </c>
      <c r="H713" t="s">
        <v>47</v>
      </c>
      <c r="I713" t="s">
        <v>39</v>
      </c>
      <c r="J713" t="s">
        <v>37</v>
      </c>
      <c r="K713" s="4">
        <v>45824</v>
      </c>
      <c r="L713" s="4">
        <v>46189</v>
      </c>
      <c r="M713" t="s">
        <v>38</v>
      </c>
      <c r="N713" t="s">
        <v>55</v>
      </c>
      <c r="O713">
        <v>1</v>
      </c>
      <c r="P713" t="s">
        <v>111</v>
      </c>
      <c r="Q713" s="4">
        <v>46372</v>
      </c>
      <c r="R713" t="s">
        <v>64</v>
      </c>
      <c r="S713" t="s">
        <v>38</v>
      </c>
      <c r="T713" t="s">
        <v>3153</v>
      </c>
      <c r="U713" t="s">
        <v>55</v>
      </c>
      <c r="V713" t="s">
        <v>3154</v>
      </c>
    </row>
    <row r="714" spans="1:22" x14ac:dyDescent="0.2">
      <c r="A714" t="s">
        <v>1490</v>
      </c>
      <c r="B714" t="s">
        <v>1491</v>
      </c>
      <c r="C714" t="s">
        <v>78</v>
      </c>
      <c r="D714" t="s">
        <v>79</v>
      </c>
      <c r="E714" t="s">
        <v>60</v>
      </c>
      <c r="F714" t="s">
        <v>34</v>
      </c>
      <c r="G714" t="s">
        <v>35</v>
      </c>
      <c r="H714" t="s">
        <v>88</v>
      </c>
      <c r="I714" t="s">
        <v>54</v>
      </c>
      <c r="J714" t="s">
        <v>63</v>
      </c>
      <c r="K714" s="4">
        <v>46059</v>
      </c>
      <c r="L714" s="4">
        <v>46149</v>
      </c>
      <c r="M714" t="s">
        <v>38</v>
      </c>
      <c r="N714" t="s">
        <v>75</v>
      </c>
      <c r="O714">
        <v>0</v>
      </c>
      <c r="P714" t="s">
        <v>54</v>
      </c>
      <c r="Q714" s="4">
        <v>46382</v>
      </c>
      <c r="R714" t="s">
        <v>57</v>
      </c>
      <c r="S714" t="s">
        <v>38</v>
      </c>
      <c r="T714" t="s">
        <v>3153</v>
      </c>
      <c r="U714" t="s">
        <v>75</v>
      </c>
      <c r="V714" t="s">
        <v>3154</v>
      </c>
    </row>
    <row r="715" spans="1:22" x14ac:dyDescent="0.2">
      <c r="A715" t="s">
        <v>1492</v>
      </c>
      <c r="B715" t="s">
        <v>1493</v>
      </c>
      <c r="C715" t="s">
        <v>78</v>
      </c>
      <c r="D715" t="s">
        <v>79</v>
      </c>
      <c r="E715" t="s">
        <v>44</v>
      </c>
      <c r="F715" t="s">
        <v>67</v>
      </c>
      <c r="G715" t="s">
        <v>68</v>
      </c>
      <c r="H715" t="s">
        <v>88</v>
      </c>
      <c r="I715" t="s">
        <v>70</v>
      </c>
      <c r="J715" t="s">
        <v>37</v>
      </c>
      <c r="K715" s="4">
        <v>45857</v>
      </c>
      <c r="L715" s="4">
        <v>46222</v>
      </c>
      <c r="M715" t="s">
        <v>38</v>
      </c>
      <c r="N715" t="s">
        <v>75</v>
      </c>
      <c r="O715">
        <v>3</v>
      </c>
      <c r="P715" t="s">
        <v>50</v>
      </c>
      <c r="Q715" s="4">
        <v>46275</v>
      </c>
      <c r="R715" t="s">
        <v>38</v>
      </c>
      <c r="S715" t="s">
        <v>38</v>
      </c>
      <c r="T715" t="s">
        <v>3153</v>
      </c>
      <c r="U715" t="s">
        <v>75</v>
      </c>
      <c r="V715" t="s">
        <v>3154</v>
      </c>
    </row>
    <row r="716" spans="1:22" x14ac:dyDescent="0.2">
      <c r="A716" t="s">
        <v>1494</v>
      </c>
      <c r="B716" t="s">
        <v>1495</v>
      </c>
      <c r="C716" t="s">
        <v>31</v>
      </c>
      <c r="D716" t="s">
        <v>83</v>
      </c>
      <c r="E716" t="s">
        <v>91</v>
      </c>
      <c r="F716" t="s">
        <v>45</v>
      </c>
      <c r="G716" t="s">
        <v>61</v>
      </c>
      <c r="H716" t="s">
        <v>88</v>
      </c>
      <c r="I716" t="s">
        <v>56</v>
      </c>
      <c r="J716" t="s">
        <v>48</v>
      </c>
      <c r="K716" s="4">
        <v>46220</v>
      </c>
      <c r="L716" s="4">
        <v>46310</v>
      </c>
      <c r="M716" t="s">
        <v>64</v>
      </c>
      <c r="N716" t="s">
        <v>49</v>
      </c>
      <c r="O716">
        <v>2</v>
      </c>
      <c r="P716" t="s">
        <v>70</v>
      </c>
      <c r="Q716" s="4">
        <v>46129</v>
      </c>
      <c r="R716" t="s">
        <v>64</v>
      </c>
      <c r="S716" t="s">
        <v>3155</v>
      </c>
      <c r="T716" t="s">
        <v>3153</v>
      </c>
      <c r="U716" t="s">
        <v>49</v>
      </c>
      <c r="V716" t="s">
        <v>3154</v>
      </c>
    </row>
    <row r="717" spans="1:22" x14ac:dyDescent="0.2">
      <c r="A717" t="s">
        <v>1496</v>
      </c>
      <c r="B717" t="s">
        <v>1497</v>
      </c>
      <c r="C717" t="s">
        <v>31</v>
      </c>
      <c r="D717" t="s">
        <v>87</v>
      </c>
      <c r="E717" t="s">
        <v>53</v>
      </c>
      <c r="F717" t="s">
        <v>45</v>
      </c>
      <c r="G717" t="s">
        <v>46</v>
      </c>
      <c r="H717" t="s">
        <v>47</v>
      </c>
      <c r="I717" t="s">
        <v>54</v>
      </c>
      <c r="J717" t="s">
        <v>37</v>
      </c>
      <c r="K717" s="4">
        <v>45949</v>
      </c>
      <c r="L717" s="4">
        <v>46039</v>
      </c>
      <c r="M717" t="s">
        <v>38</v>
      </c>
      <c r="N717" t="s">
        <v>55</v>
      </c>
      <c r="O717">
        <v>2</v>
      </c>
      <c r="P717" t="s">
        <v>39</v>
      </c>
      <c r="Q717" s="4">
        <v>46158</v>
      </c>
      <c r="R717" t="s">
        <v>38</v>
      </c>
      <c r="S717" t="s">
        <v>38</v>
      </c>
      <c r="T717" t="s">
        <v>3153</v>
      </c>
      <c r="U717" t="s">
        <v>55</v>
      </c>
      <c r="V717" t="s">
        <v>3154</v>
      </c>
    </row>
    <row r="718" spans="1:22" x14ac:dyDescent="0.2">
      <c r="A718" t="s">
        <v>1498</v>
      </c>
      <c r="B718" t="s">
        <v>1499</v>
      </c>
      <c r="C718" t="s">
        <v>78</v>
      </c>
      <c r="D718" t="s">
        <v>79</v>
      </c>
      <c r="E718" t="s">
        <v>105</v>
      </c>
      <c r="F718" t="s">
        <v>45</v>
      </c>
      <c r="G718" t="s">
        <v>61</v>
      </c>
      <c r="H718" t="s">
        <v>98</v>
      </c>
      <c r="I718" t="s">
        <v>39</v>
      </c>
      <c r="J718" t="s">
        <v>37</v>
      </c>
      <c r="K718" s="4">
        <v>46093</v>
      </c>
      <c r="L718" s="4">
        <v>46273</v>
      </c>
      <c r="M718" t="s">
        <v>38</v>
      </c>
      <c r="N718" t="s">
        <v>75</v>
      </c>
      <c r="O718">
        <v>4</v>
      </c>
      <c r="P718" t="s">
        <v>50</v>
      </c>
      <c r="Q718" s="4">
        <v>46214</v>
      </c>
      <c r="R718" t="s">
        <v>64</v>
      </c>
      <c r="S718" t="s">
        <v>38</v>
      </c>
      <c r="T718" t="s">
        <v>3153</v>
      </c>
      <c r="U718" t="s">
        <v>75</v>
      </c>
      <c r="V718" t="s">
        <v>3152</v>
      </c>
    </row>
    <row r="719" spans="1:22" x14ac:dyDescent="0.2">
      <c r="A719" t="s">
        <v>1500</v>
      </c>
      <c r="B719" t="s">
        <v>1501</v>
      </c>
      <c r="C719" t="s">
        <v>31</v>
      </c>
      <c r="D719" t="s">
        <v>87</v>
      </c>
      <c r="E719" t="s">
        <v>53</v>
      </c>
      <c r="F719" t="s">
        <v>34</v>
      </c>
      <c r="G719" t="s">
        <v>35</v>
      </c>
      <c r="H719" t="s">
        <v>88</v>
      </c>
      <c r="I719" t="s">
        <v>70</v>
      </c>
      <c r="J719" t="s">
        <v>48</v>
      </c>
      <c r="K719" s="4">
        <v>46018</v>
      </c>
      <c r="L719" s="4">
        <v>46108</v>
      </c>
      <c r="M719" t="s">
        <v>38</v>
      </c>
      <c r="N719" t="s">
        <v>55</v>
      </c>
      <c r="O719">
        <v>3</v>
      </c>
      <c r="P719" t="s">
        <v>50</v>
      </c>
      <c r="Q719" s="4">
        <v>46359</v>
      </c>
      <c r="R719" t="s">
        <v>84</v>
      </c>
      <c r="S719" t="s">
        <v>38</v>
      </c>
      <c r="T719" t="s">
        <v>3153</v>
      </c>
      <c r="U719" t="s">
        <v>55</v>
      </c>
      <c r="V719" t="s">
        <v>3154</v>
      </c>
    </row>
    <row r="720" spans="1:22" x14ac:dyDescent="0.2">
      <c r="A720" t="s">
        <v>1502</v>
      </c>
      <c r="B720" t="s">
        <v>1503</v>
      </c>
      <c r="C720" t="s">
        <v>31</v>
      </c>
      <c r="D720" t="s">
        <v>83</v>
      </c>
      <c r="E720" t="s">
        <v>105</v>
      </c>
      <c r="F720" t="s">
        <v>34</v>
      </c>
      <c r="G720" t="s">
        <v>35</v>
      </c>
      <c r="H720" t="s">
        <v>36</v>
      </c>
      <c r="I720" t="s">
        <v>70</v>
      </c>
      <c r="J720" t="s">
        <v>63</v>
      </c>
      <c r="K720" s="4">
        <v>45908</v>
      </c>
      <c r="L720" s="4">
        <v>45998</v>
      </c>
      <c r="M720" t="s">
        <v>38</v>
      </c>
      <c r="N720" t="s">
        <v>55</v>
      </c>
      <c r="O720">
        <v>5</v>
      </c>
      <c r="P720" t="s">
        <v>106</v>
      </c>
      <c r="Q720" s="4">
        <v>46187</v>
      </c>
      <c r="R720" t="s">
        <v>38</v>
      </c>
      <c r="S720" t="s">
        <v>38</v>
      </c>
      <c r="T720" t="s">
        <v>3153</v>
      </c>
      <c r="U720" t="s">
        <v>55</v>
      </c>
      <c r="V720" t="s">
        <v>3152</v>
      </c>
    </row>
    <row r="721" spans="1:22" x14ac:dyDescent="0.2">
      <c r="A721" t="s">
        <v>1504</v>
      </c>
      <c r="B721" t="s">
        <v>1505</v>
      </c>
      <c r="C721" t="s">
        <v>96</v>
      </c>
      <c r="D721" t="s">
        <v>97</v>
      </c>
      <c r="E721" t="s">
        <v>53</v>
      </c>
      <c r="F721" t="s">
        <v>67</v>
      </c>
      <c r="G721" t="s">
        <v>68</v>
      </c>
      <c r="H721" t="s">
        <v>47</v>
      </c>
      <c r="I721" t="s">
        <v>62</v>
      </c>
      <c r="J721" t="s">
        <v>48</v>
      </c>
      <c r="K721" s="4">
        <v>46255</v>
      </c>
      <c r="L721" s="4">
        <v>46620</v>
      </c>
      <c r="M721" t="s">
        <v>69</v>
      </c>
      <c r="N721" t="s">
        <v>55</v>
      </c>
      <c r="O721">
        <v>1</v>
      </c>
      <c r="P721" t="s">
        <v>50</v>
      </c>
      <c r="Q721" s="4">
        <v>46153</v>
      </c>
      <c r="R721" t="s">
        <v>38</v>
      </c>
      <c r="S721" t="s">
        <v>3155</v>
      </c>
      <c r="T721" t="s">
        <v>3153</v>
      </c>
      <c r="U721" t="s">
        <v>55</v>
      </c>
      <c r="V721" t="s">
        <v>3154</v>
      </c>
    </row>
    <row r="722" spans="1:22" x14ac:dyDescent="0.2">
      <c r="A722" t="s">
        <v>1506</v>
      </c>
      <c r="B722" t="s">
        <v>1507</v>
      </c>
      <c r="C722" t="s">
        <v>31</v>
      </c>
      <c r="D722" t="s">
        <v>83</v>
      </c>
      <c r="E722" t="s">
        <v>80</v>
      </c>
      <c r="F722" t="s">
        <v>67</v>
      </c>
      <c r="G722" t="s">
        <v>68</v>
      </c>
      <c r="H722" t="s">
        <v>47</v>
      </c>
      <c r="I722" t="s">
        <v>106</v>
      </c>
      <c r="J722" t="s">
        <v>37</v>
      </c>
      <c r="K722" s="4">
        <v>46189</v>
      </c>
      <c r="L722" s="4">
        <v>46369</v>
      </c>
      <c r="M722" t="s">
        <v>64</v>
      </c>
      <c r="N722" t="s">
        <v>75</v>
      </c>
      <c r="O722">
        <v>2</v>
      </c>
      <c r="P722" t="s">
        <v>56</v>
      </c>
      <c r="Q722" s="4">
        <v>46295</v>
      </c>
      <c r="R722" t="s">
        <v>64</v>
      </c>
      <c r="S722" t="s">
        <v>3155</v>
      </c>
      <c r="T722" t="s">
        <v>3153</v>
      </c>
      <c r="U722" t="s">
        <v>75</v>
      </c>
      <c r="V722" t="s">
        <v>3154</v>
      </c>
    </row>
    <row r="723" spans="1:22" x14ac:dyDescent="0.2">
      <c r="A723" t="s">
        <v>1508</v>
      </c>
      <c r="B723" t="s">
        <v>1509</v>
      </c>
      <c r="C723" t="s">
        <v>31</v>
      </c>
      <c r="D723" t="s">
        <v>83</v>
      </c>
      <c r="E723" t="s">
        <v>80</v>
      </c>
      <c r="F723" t="s">
        <v>67</v>
      </c>
      <c r="G723" t="s">
        <v>118</v>
      </c>
      <c r="H723" t="s">
        <v>88</v>
      </c>
      <c r="I723" t="s">
        <v>50</v>
      </c>
      <c r="J723" t="s">
        <v>37</v>
      </c>
      <c r="K723" s="4">
        <v>46212</v>
      </c>
      <c r="L723" s="4">
        <v>46577</v>
      </c>
      <c r="M723" t="s">
        <v>64</v>
      </c>
      <c r="N723" t="s">
        <v>75</v>
      </c>
      <c r="O723">
        <v>2</v>
      </c>
      <c r="P723" t="s">
        <v>106</v>
      </c>
      <c r="Q723" s="4">
        <v>46320</v>
      </c>
      <c r="R723" t="s">
        <v>84</v>
      </c>
      <c r="S723" t="s">
        <v>3155</v>
      </c>
      <c r="T723" t="s">
        <v>3153</v>
      </c>
      <c r="U723" t="s">
        <v>75</v>
      </c>
      <c r="V723" t="s">
        <v>3154</v>
      </c>
    </row>
    <row r="724" spans="1:22" x14ac:dyDescent="0.2">
      <c r="A724" t="s">
        <v>1510</v>
      </c>
      <c r="B724" t="s">
        <v>1511</v>
      </c>
      <c r="C724" t="s">
        <v>31</v>
      </c>
      <c r="D724" t="s">
        <v>87</v>
      </c>
      <c r="E724" t="s">
        <v>91</v>
      </c>
      <c r="F724" t="s">
        <v>67</v>
      </c>
      <c r="G724" t="s">
        <v>68</v>
      </c>
      <c r="H724" t="s">
        <v>88</v>
      </c>
      <c r="I724" t="s">
        <v>111</v>
      </c>
      <c r="J724" t="s">
        <v>48</v>
      </c>
      <c r="K724" s="4">
        <v>46141</v>
      </c>
      <c r="L724" s="4">
        <v>46506</v>
      </c>
      <c r="M724" t="s">
        <v>64</v>
      </c>
      <c r="N724" t="s">
        <v>49</v>
      </c>
      <c r="O724">
        <v>0</v>
      </c>
      <c r="P724" t="s">
        <v>56</v>
      </c>
      <c r="Q724" s="4">
        <v>46240</v>
      </c>
      <c r="R724" t="s">
        <v>57</v>
      </c>
      <c r="S724" t="s">
        <v>3155</v>
      </c>
      <c r="T724" t="s">
        <v>3153</v>
      </c>
      <c r="U724" t="s">
        <v>49</v>
      </c>
      <c r="V724" t="s">
        <v>3154</v>
      </c>
    </row>
    <row r="725" spans="1:22" x14ac:dyDescent="0.2">
      <c r="A725" t="s">
        <v>1512</v>
      </c>
      <c r="B725" t="s">
        <v>1513</v>
      </c>
      <c r="C725" t="s">
        <v>96</v>
      </c>
      <c r="D725" t="s">
        <v>97</v>
      </c>
      <c r="E725" t="s">
        <v>60</v>
      </c>
      <c r="F725" t="s">
        <v>67</v>
      </c>
      <c r="G725" t="s">
        <v>68</v>
      </c>
      <c r="H725" t="s">
        <v>88</v>
      </c>
      <c r="I725" t="s">
        <v>70</v>
      </c>
      <c r="J725" t="s">
        <v>48</v>
      </c>
      <c r="K725" s="4">
        <v>46161</v>
      </c>
      <c r="L725" s="4">
        <v>46341</v>
      </c>
      <c r="M725" t="s">
        <v>84</v>
      </c>
      <c r="N725" t="s">
        <v>75</v>
      </c>
      <c r="O725">
        <v>3</v>
      </c>
      <c r="P725" t="s">
        <v>50</v>
      </c>
      <c r="Q725" s="4">
        <v>46354</v>
      </c>
      <c r="R725" t="s">
        <v>84</v>
      </c>
      <c r="S725" t="s">
        <v>3155</v>
      </c>
      <c r="T725" t="s">
        <v>3153</v>
      </c>
      <c r="U725" t="s">
        <v>75</v>
      </c>
      <c r="V725" t="s">
        <v>3154</v>
      </c>
    </row>
    <row r="726" spans="1:22" x14ac:dyDescent="0.2">
      <c r="A726" t="s">
        <v>1514</v>
      </c>
      <c r="B726" t="s">
        <v>1515</v>
      </c>
      <c r="C726" t="s">
        <v>96</v>
      </c>
      <c r="D726" t="s">
        <v>97</v>
      </c>
      <c r="E726" t="s">
        <v>80</v>
      </c>
      <c r="F726" t="s">
        <v>34</v>
      </c>
      <c r="G726" t="s">
        <v>35</v>
      </c>
      <c r="H726" t="s">
        <v>36</v>
      </c>
      <c r="I726" t="s">
        <v>54</v>
      </c>
      <c r="J726" t="s">
        <v>63</v>
      </c>
      <c r="K726" s="4">
        <v>46070</v>
      </c>
      <c r="L726" s="4">
        <v>46250</v>
      </c>
      <c r="M726" t="s">
        <v>38</v>
      </c>
      <c r="N726" t="s">
        <v>55</v>
      </c>
      <c r="O726">
        <v>2</v>
      </c>
      <c r="P726" t="s">
        <v>111</v>
      </c>
      <c r="Q726" s="4">
        <v>46290</v>
      </c>
      <c r="R726" t="s">
        <v>38</v>
      </c>
      <c r="S726" t="s">
        <v>38</v>
      </c>
      <c r="T726" t="s">
        <v>3153</v>
      </c>
      <c r="U726" t="s">
        <v>55</v>
      </c>
      <c r="V726" t="s">
        <v>3152</v>
      </c>
    </row>
    <row r="727" spans="1:22" x14ac:dyDescent="0.2">
      <c r="A727" t="s">
        <v>1516</v>
      </c>
      <c r="B727" t="s">
        <v>1517</v>
      </c>
      <c r="C727" t="s">
        <v>78</v>
      </c>
      <c r="D727" t="s">
        <v>79</v>
      </c>
      <c r="E727" t="s">
        <v>80</v>
      </c>
      <c r="F727" t="s">
        <v>45</v>
      </c>
      <c r="G727" t="s">
        <v>61</v>
      </c>
      <c r="H727" t="s">
        <v>47</v>
      </c>
      <c r="I727" t="s">
        <v>50</v>
      </c>
      <c r="J727" t="s">
        <v>37</v>
      </c>
      <c r="K727" s="4">
        <v>46035</v>
      </c>
      <c r="L727" s="4">
        <v>46125</v>
      </c>
      <c r="M727" t="s">
        <v>38</v>
      </c>
      <c r="N727" t="s">
        <v>49</v>
      </c>
      <c r="O727">
        <v>1</v>
      </c>
      <c r="P727" t="s">
        <v>62</v>
      </c>
      <c r="Q727" s="4">
        <v>46278</v>
      </c>
      <c r="R727" t="s">
        <v>38</v>
      </c>
      <c r="S727" t="s">
        <v>38</v>
      </c>
      <c r="T727" t="s">
        <v>3153</v>
      </c>
      <c r="U727" t="s">
        <v>49</v>
      </c>
      <c r="V727" t="s">
        <v>3154</v>
      </c>
    </row>
    <row r="728" spans="1:22" x14ac:dyDescent="0.2">
      <c r="A728" t="s">
        <v>1518</v>
      </c>
      <c r="B728" t="s">
        <v>1519</v>
      </c>
      <c r="C728" t="s">
        <v>31</v>
      </c>
      <c r="D728" t="s">
        <v>32</v>
      </c>
      <c r="E728" t="s">
        <v>105</v>
      </c>
      <c r="F728" t="s">
        <v>67</v>
      </c>
      <c r="G728" t="s">
        <v>68</v>
      </c>
      <c r="H728" t="s">
        <v>47</v>
      </c>
      <c r="I728" t="s">
        <v>39</v>
      </c>
      <c r="J728" t="s">
        <v>48</v>
      </c>
      <c r="K728" s="4">
        <v>45887</v>
      </c>
      <c r="L728" s="4">
        <v>46252</v>
      </c>
      <c r="M728" t="s">
        <v>38</v>
      </c>
      <c r="N728" t="s">
        <v>75</v>
      </c>
      <c r="O728">
        <v>2</v>
      </c>
      <c r="P728" t="s">
        <v>56</v>
      </c>
      <c r="Q728" s="4">
        <v>46244</v>
      </c>
      <c r="R728" t="s">
        <v>38</v>
      </c>
      <c r="S728" t="s">
        <v>38</v>
      </c>
      <c r="T728" t="s">
        <v>3153</v>
      </c>
      <c r="U728" t="s">
        <v>75</v>
      </c>
      <c r="V728" t="s">
        <v>3154</v>
      </c>
    </row>
    <row r="729" spans="1:22" x14ac:dyDescent="0.2">
      <c r="A729" t="s">
        <v>1520</v>
      </c>
      <c r="B729" t="s">
        <v>1521</v>
      </c>
      <c r="C729" t="s">
        <v>31</v>
      </c>
      <c r="D729" t="s">
        <v>87</v>
      </c>
      <c r="E729" t="s">
        <v>53</v>
      </c>
      <c r="F729" t="s">
        <v>67</v>
      </c>
      <c r="G729" t="s">
        <v>68</v>
      </c>
      <c r="H729" t="s">
        <v>36</v>
      </c>
      <c r="I729" t="s">
        <v>111</v>
      </c>
      <c r="J729" t="s">
        <v>37</v>
      </c>
      <c r="K729" s="4">
        <v>45829</v>
      </c>
      <c r="L729" s="4">
        <v>46009</v>
      </c>
      <c r="M729" t="s">
        <v>38</v>
      </c>
      <c r="N729" t="s">
        <v>49</v>
      </c>
      <c r="O729">
        <v>1</v>
      </c>
      <c r="P729" t="s">
        <v>106</v>
      </c>
      <c r="Q729" s="4">
        <v>46247</v>
      </c>
      <c r="R729" t="s">
        <v>64</v>
      </c>
      <c r="S729" t="s">
        <v>38</v>
      </c>
      <c r="T729" t="s">
        <v>3153</v>
      </c>
      <c r="U729" t="s">
        <v>49</v>
      </c>
      <c r="V729" t="s">
        <v>3152</v>
      </c>
    </row>
    <row r="730" spans="1:22" x14ac:dyDescent="0.2">
      <c r="A730" t="s">
        <v>1522</v>
      </c>
      <c r="B730" t="s">
        <v>1523</v>
      </c>
      <c r="C730" t="s">
        <v>78</v>
      </c>
      <c r="D730" t="s">
        <v>79</v>
      </c>
      <c r="E730" t="s">
        <v>44</v>
      </c>
      <c r="F730" t="s">
        <v>67</v>
      </c>
      <c r="G730" t="s">
        <v>68</v>
      </c>
      <c r="H730" t="s">
        <v>88</v>
      </c>
      <c r="I730" t="s">
        <v>62</v>
      </c>
      <c r="J730" t="s">
        <v>48</v>
      </c>
      <c r="K730" s="4">
        <v>46029</v>
      </c>
      <c r="L730" s="4">
        <v>46209</v>
      </c>
      <c r="M730" t="s">
        <v>38</v>
      </c>
      <c r="N730" t="s">
        <v>49</v>
      </c>
      <c r="O730">
        <v>1</v>
      </c>
      <c r="P730" t="s">
        <v>54</v>
      </c>
      <c r="Q730" s="4">
        <v>46338</v>
      </c>
      <c r="R730" t="s">
        <v>84</v>
      </c>
      <c r="S730" t="s">
        <v>38</v>
      </c>
      <c r="T730" t="s">
        <v>3153</v>
      </c>
      <c r="U730" t="s">
        <v>49</v>
      </c>
      <c r="V730" t="s">
        <v>3154</v>
      </c>
    </row>
    <row r="731" spans="1:22" x14ac:dyDescent="0.2">
      <c r="A731" t="s">
        <v>1524</v>
      </c>
      <c r="B731" t="s">
        <v>1525</v>
      </c>
      <c r="C731" t="s">
        <v>78</v>
      </c>
      <c r="D731" t="s">
        <v>79</v>
      </c>
      <c r="E731" t="s">
        <v>53</v>
      </c>
      <c r="F731" t="s">
        <v>45</v>
      </c>
      <c r="G731" t="s">
        <v>46</v>
      </c>
      <c r="H731" t="s">
        <v>88</v>
      </c>
      <c r="I731" t="s">
        <v>106</v>
      </c>
      <c r="J731" t="s">
        <v>63</v>
      </c>
      <c r="K731" s="4">
        <v>46268</v>
      </c>
      <c r="L731" s="4">
        <v>46358</v>
      </c>
      <c r="M731" t="s">
        <v>84</v>
      </c>
      <c r="N731" t="s">
        <v>75</v>
      </c>
      <c r="O731">
        <v>2</v>
      </c>
      <c r="P731" t="s">
        <v>39</v>
      </c>
      <c r="Q731" s="4">
        <v>46173</v>
      </c>
      <c r="R731" t="s">
        <v>38</v>
      </c>
      <c r="S731" t="s">
        <v>3155</v>
      </c>
      <c r="T731" t="s">
        <v>3153</v>
      </c>
      <c r="U731" t="s">
        <v>75</v>
      </c>
      <c r="V731" t="s">
        <v>3154</v>
      </c>
    </row>
    <row r="732" spans="1:22" x14ac:dyDescent="0.2">
      <c r="A732" t="s">
        <v>1526</v>
      </c>
      <c r="B732" t="s">
        <v>1527</v>
      </c>
      <c r="C732" t="s">
        <v>103</v>
      </c>
      <c r="D732" t="s">
        <v>104</v>
      </c>
      <c r="E732" t="s">
        <v>91</v>
      </c>
      <c r="F732" t="s">
        <v>67</v>
      </c>
      <c r="G732" t="s">
        <v>68</v>
      </c>
      <c r="H732" t="s">
        <v>88</v>
      </c>
      <c r="I732" t="s">
        <v>70</v>
      </c>
      <c r="J732" t="s">
        <v>63</v>
      </c>
      <c r="K732" s="4">
        <v>46257</v>
      </c>
      <c r="L732" s="4">
        <v>46347</v>
      </c>
      <c r="M732" t="s">
        <v>84</v>
      </c>
      <c r="N732" t="s">
        <v>75</v>
      </c>
      <c r="O732">
        <v>1</v>
      </c>
      <c r="P732" t="s">
        <v>39</v>
      </c>
      <c r="Q732" s="4">
        <v>46308</v>
      </c>
      <c r="R732" t="s">
        <v>64</v>
      </c>
      <c r="S732" t="s">
        <v>3155</v>
      </c>
      <c r="T732" t="s">
        <v>3153</v>
      </c>
      <c r="U732" t="s">
        <v>75</v>
      </c>
      <c r="V732" t="s">
        <v>3154</v>
      </c>
    </row>
    <row r="733" spans="1:22" x14ac:dyDescent="0.2">
      <c r="A733" t="s">
        <v>1528</v>
      </c>
      <c r="B733" t="s">
        <v>1529</v>
      </c>
      <c r="C733" t="s">
        <v>73</v>
      </c>
      <c r="D733" t="s">
        <v>74</v>
      </c>
      <c r="E733" t="s">
        <v>105</v>
      </c>
      <c r="F733" t="s">
        <v>67</v>
      </c>
      <c r="G733" t="s">
        <v>118</v>
      </c>
      <c r="H733" t="s">
        <v>88</v>
      </c>
      <c r="I733" t="s">
        <v>56</v>
      </c>
      <c r="J733" t="s">
        <v>63</v>
      </c>
      <c r="K733" s="4">
        <v>46018</v>
      </c>
      <c r="L733" s="4">
        <v>46108</v>
      </c>
      <c r="M733" t="s">
        <v>38</v>
      </c>
      <c r="N733" t="s">
        <v>49</v>
      </c>
      <c r="O733">
        <v>3</v>
      </c>
      <c r="P733" t="s">
        <v>62</v>
      </c>
      <c r="Q733" s="4">
        <v>46348</v>
      </c>
      <c r="R733" t="s">
        <v>84</v>
      </c>
      <c r="S733" t="s">
        <v>38</v>
      </c>
      <c r="T733" t="s">
        <v>3153</v>
      </c>
      <c r="U733" t="s">
        <v>49</v>
      </c>
      <c r="V733" t="s">
        <v>3154</v>
      </c>
    </row>
    <row r="734" spans="1:22" x14ac:dyDescent="0.2">
      <c r="A734" t="s">
        <v>1530</v>
      </c>
      <c r="B734" t="s">
        <v>1531</v>
      </c>
      <c r="C734" t="s">
        <v>78</v>
      </c>
      <c r="D734" t="s">
        <v>79</v>
      </c>
      <c r="E734" t="s">
        <v>105</v>
      </c>
      <c r="F734" t="s">
        <v>34</v>
      </c>
      <c r="G734" t="s">
        <v>35</v>
      </c>
      <c r="H734" t="s">
        <v>98</v>
      </c>
      <c r="I734" t="s">
        <v>111</v>
      </c>
      <c r="J734" t="s">
        <v>63</v>
      </c>
      <c r="K734" s="4">
        <v>46056</v>
      </c>
      <c r="L734" s="4">
        <v>46236</v>
      </c>
      <c r="M734" t="s">
        <v>38</v>
      </c>
      <c r="N734" t="s">
        <v>55</v>
      </c>
      <c r="O734">
        <v>4</v>
      </c>
      <c r="P734" t="s">
        <v>62</v>
      </c>
      <c r="Q734" s="4">
        <v>46198</v>
      </c>
      <c r="R734" t="s">
        <v>38</v>
      </c>
      <c r="S734" t="s">
        <v>38</v>
      </c>
      <c r="T734" t="s">
        <v>3153</v>
      </c>
      <c r="U734" t="s">
        <v>55</v>
      </c>
      <c r="V734" t="s">
        <v>3152</v>
      </c>
    </row>
    <row r="735" spans="1:22" x14ac:dyDescent="0.2">
      <c r="A735" t="s">
        <v>1532</v>
      </c>
      <c r="B735" t="s">
        <v>1533</v>
      </c>
      <c r="C735" t="s">
        <v>31</v>
      </c>
      <c r="D735" t="s">
        <v>32</v>
      </c>
      <c r="E735" t="s">
        <v>91</v>
      </c>
      <c r="F735" t="s">
        <v>34</v>
      </c>
      <c r="G735" t="s">
        <v>35</v>
      </c>
      <c r="H735" t="s">
        <v>88</v>
      </c>
      <c r="I735" t="s">
        <v>70</v>
      </c>
      <c r="J735" t="s">
        <v>37</v>
      </c>
      <c r="K735" s="4">
        <v>46231</v>
      </c>
      <c r="L735" s="4">
        <v>46321</v>
      </c>
      <c r="M735" t="s">
        <v>64</v>
      </c>
      <c r="N735" t="s">
        <v>55</v>
      </c>
      <c r="O735">
        <v>3</v>
      </c>
      <c r="P735" t="s">
        <v>39</v>
      </c>
      <c r="Q735" s="4">
        <v>46168</v>
      </c>
      <c r="R735" t="s">
        <v>38</v>
      </c>
      <c r="S735" t="s">
        <v>3155</v>
      </c>
      <c r="T735" t="s">
        <v>3153</v>
      </c>
      <c r="U735" t="s">
        <v>55</v>
      </c>
      <c r="V735" t="s">
        <v>3154</v>
      </c>
    </row>
    <row r="736" spans="1:22" x14ac:dyDescent="0.2">
      <c r="A736" t="s">
        <v>1534</v>
      </c>
      <c r="B736" t="s">
        <v>1535</v>
      </c>
      <c r="C736" t="s">
        <v>73</v>
      </c>
      <c r="D736" t="s">
        <v>74</v>
      </c>
      <c r="E736" t="s">
        <v>80</v>
      </c>
      <c r="F736" t="s">
        <v>34</v>
      </c>
      <c r="G736" t="s">
        <v>35</v>
      </c>
      <c r="H736" t="s">
        <v>47</v>
      </c>
      <c r="I736" t="s">
        <v>111</v>
      </c>
      <c r="J736" t="s">
        <v>37</v>
      </c>
      <c r="K736" s="4">
        <v>45993</v>
      </c>
      <c r="L736" s="4">
        <v>46173</v>
      </c>
      <c r="M736" t="s">
        <v>38</v>
      </c>
      <c r="N736" t="s">
        <v>55</v>
      </c>
      <c r="O736">
        <v>1</v>
      </c>
      <c r="P736" t="s">
        <v>62</v>
      </c>
      <c r="Q736" s="4">
        <v>46355</v>
      </c>
      <c r="R736" t="s">
        <v>84</v>
      </c>
      <c r="S736" t="s">
        <v>38</v>
      </c>
      <c r="T736" t="s">
        <v>3153</v>
      </c>
      <c r="U736" t="s">
        <v>55</v>
      </c>
      <c r="V736" t="s">
        <v>3154</v>
      </c>
    </row>
    <row r="737" spans="1:22" x14ac:dyDescent="0.2">
      <c r="A737" t="s">
        <v>1536</v>
      </c>
      <c r="B737" t="s">
        <v>1537</v>
      </c>
      <c r="C737" t="s">
        <v>78</v>
      </c>
      <c r="D737" t="s">
        <v>79</v>
      </c>
      <c r="E737" t="s">
        <v>105</v>
      </c>
      <c r="F737" t="s">
        <v>34</v>
      </c>
      <c r="G737" t="s">
        <v>35</v>
      </c>
      <c r="H737" t="s">
        <v>98</v>
      </c>
      <c r="I737" t="s">
        <v>54</v>
      </c>
      <c r="J737" t="s">
        <v>48</v>
      </c>
      <c r="K737" s="4">
        <v>46016</v>
      </c>
      <c r="L737" s="4">
        <v>46196</v>
      </c>
      <c r="M737" t="s">
        <v>38</v>
      </c>
      <c r="N737" t="s">
        <v>75</v>
      </c>
      <c r="O737">
        <v>5</v>
      </c>
      <c r="P737" t="s">
        <v>39</v>
      </c>
      <c r="Q737" s="4">
        <v>46250</v>
      </c>
      <c r="R737" t="s">
        <v>64</v>
      </c>
      <c r="S737" t="s">
        <v>38</v>
      </c>
      <c r="T737" t="s">
        <v>3153</v>
      </c>
      <c r="U737" t="s">
        <v>75</v>
      </c>
      <c r="V737" t="s">
        <v>3152</v>
      </c>
    </row>
    <row r="738" spans="1:22" x14ac:dyDescent="0.2">
      <c r="A738" t="s">
        <v>1538</v>
      </c>
      <c r="B738" t="s">
        <v>1539</v>
      </c>
      <c r="C738" t="s">
        <v>78</v>
      </c>
      <c r="D738" t="s">
        <v>79</v>
      </c>
      <c r="E738" t="s">
        <v>105</v>
      </c>
      <c r="F738" t="s">
        <v>67</v>
      </c>
      <c r="G738" t="s">
        <v>68</v>
      </c>
      <c r="H738" t="s">
        <v>47</v>
      </c>
      <c r="I738" t="s">
        <v>106</v>
      </c>
      <c r="J738" t="s">
        <v>63</v>
      </c>
      <c r="K738" s="4">
        <v>45845</v>
      </c>
      <c r="L738" s="4">
        <v>46210</v>
      </c>
      <c r="M738" t="s">
        <v>38</v>
      </c>
      <c r="N738" t="s">
        <v>49</v>
      </c>
      <c r="O738">
        <v>2</v>
      </c>
      <c r="P738" t="s">
        <v>62</v>
      </c>
      <c r="Q738" s="4">
        <v>46286</v>
      </c>
      <c r="R738" t="s">
        <v>64</v>
      </c>
      <c r="S738" t="s">
        <v>38</v>
      </c>
      <c r="T738" t="s">
        <v>3153</v>
      </c>
      <c r="U738" t="s">
        <v>49</v>
      </c>
      <c r="V738" t="s">
        <v>3154</v>
      </c>
    </row>
    <row r="739" spans="1:22" x14ac:dyDescent="0.2">
      <c r="A739" t="s">
        <v>1540</v>
      </c>
      <c r="B739" t="s">
        <v>1541</v>
      </c>
      <c r="C739" t="s">
        <v>31</v>
      </c>
      <c r="D739" t="s">
        <v>83</v>
      </c>
      <c r="E739" t="s">
        <v>105</v>
      </c>
      <c r="F739" t="s">
        <v>45</v>
      </c>
      <c r="G739" t="s">
        <v>61</v>
      </c>
      <c r="H739" t="s">
        <v>36</v>
      </c>
      <c r="I739" t="s">
        <v>62</v>
      </c>
      <c r="J739" t="s">
        <v>48</v>
      </c>
      <c r="K739" s="4">
        <v>46210</v>
      </c>
      <c r="L739" s="4">
        <v>46575</v>
      </c>
      <c r="M739" t="s">
        <v>64</v>
      </c>
      <c r="N739" t="s">
        <v>49</v>
      </c>
      <c r="O739">
        <v>1</v>
      </c>
      <c r="P739" t="s">
        <v>70</v>
      </c>
      <c r="Q739" s="4">
        <v>46321</v>
      </c>
      <c r="R739" t="s">
        <v>84</v>
      </c>
      <c r="S739" t="s">
        <v>3155</v>
      </c>
      <c r="T739" t="s">
        <v>3153</v>
      </c>
      <c r="U739" t="s">
        <v>49</v>
      </c>
      <c r="V739" t="s">
        <v>3152</v>
      </c>
    </row>
    <row r="740" spans="1:22" x14ac:dyDescent="0.2">
      <c r="A740" t="s">
        <v>1542</v>
      </c>
      <c r="B740" t="s">
        <v>1543</v>
      </c>
      <c r="C740" t="s">
        <v>31</v>
      </c>
      <c r="D740" t="s">
        <v>32</v>
      </c>
      <c r="E740" t="s">
        <v>60</v>
      </c>
      <c r="F740" t="s">
        <v>34</v>
      </c>
      <c r="G740" t="s">
        <v>35</v>
      </c>
      <c r="H740" t="s">
        <v>47</v>
      </c>
      <c r="I740" t="s">
        <v>62</v>
      </c>
      <c r="J740" t="s">
        <v>37</v>
      </c>
      <c r="K740" s="4">
        <v>45844</v>
      </c>
      <c r="L740" s="4">
        <v>46209</v>
      </c>
      <c r="M740" t="s">
        <v>38</v>
      </c>
      <c r="N740" t="s">
        <v>75</v>
      </c>
      <c r="O740">
        <v>1</v>
      </c>
      <c r="P740" t="s">
        <v>39</v>
      </c>
      <c r="Q740" s="4">
        <v>46280</v>
      </c>
      <c r="R740" t="s">
        <v>64</v>
      </c>
      <c r="S740" t="s">
        <v>38</v>
      </c>
      <c r="T740" t="s">
        <v>3153</v>
      </c>
      <c r="U740" t="s">
        <v>75</v>
      </c>
      <c r="V740" t="s">
        <v>3154</v>
      </c>
    </row>
    <row r="741" spans="1:22" x14ac:dyDescent="0.2">
      <c r="A741" t="s">
        <v>1544</v>
      </c>
      <c r="B741" t="s">
        <v>1545</v>
      </c>
      <c r="C741" t="s">
        <v>73</v>
      </c>
      <c r="D741" t="s">
        <v>74</v>
      </c>
      <c r="E741" t="s">
        <v>105</v>
      </c>
      <c r="F741" t="s">
        <v>34</v>
      </c>
      <c r="G741" t="s">
        <v>35</v>
      </c>
      <c r="H741" t="s">
        <v>88</v>
      </c>
      <c r="I741" t="s">
        <v>70</v>
      </c>
      <c r="J741" t="s">
        <v>48</v>
      </c>
      <c r="K741" s="4">
        <v>45983</v>
      </c>
      <c r="L741" s="4">
        <v>46163</v>
      </c>
      <c r="M741" t="s">
        <v>38</v>
      </c>
      <c r="N741" t="s">
        <v>55</v>
      </c>
      <c r="O741">
        <v>1</v>
      </c>
      <c r="P741" t="s">
        <v>54</v>
      </c>
      <c r="Q741" s="4">
        <v>46347</v>
      </c>
      <c r="R741" t="s">
        <v>84</v>
      </c>
      <c r="S741" t="s">
        <v>38</v>
      </c>
      <c r="T741" t="s">
        <v>3153</v>
      </c>
      <c r="U741" t="s">
        <v>55</v>
      </c>
      <c r="V741" t="s">
        <v>3154</v>
      </c>
    </row>
    <row r="742" spans="1:22" x14ac:dyDescent="0.2">
      <c r="A742" t="s">
        <v>1546</v>
      </c>
      <c r="B742" t="s">
        <v>1547</v>
      </c>
      <c r="C742" t="s">
        <v>31</v>
      </c>
      <c r="D742" t="s">
        <v>32</v>
      </c>
      <c r="E742" t="s">
        <v>60</v>
      </c>
      <c r="F742" t="s">
        <v>67</v>
      </c>
      <c r="G742" t="s">
        <v>68</v>
      </c>
      <c r="H742" t="s">
        <v>36</v>
      </c>
      <c r="I742" t="s">
        <v>62</v>
      </c>
      <c r="J742" t="s">
        <v>63</v>
      </c>
      <c r="K742" s="4">
        <v>45881</v>
      </c>
      <c r="L742" s="4">
        <v>46061</v>
      </c>
      <c r="M742" t="s">
        <v>38</v>
      </c>
      <c r="N742" t="s">
        <v>49</v>
      </c>
      <c r="O742">
        <v>0</v>
      </c>
      <c r="P742" t="s">
        <v>39</v>
      </c>
      <c r="Q742" s="4">
        <v>46255</v>
      </c>
      <c r="R742" t="s">
        <v>57</v>
      </c>
      <c r="S742" t="s">
        <v>38</v>
      </c>
      <c r="T742" t="s">
        <v>3153</v>
      </c>
      <c r="U742" t="s">
        <v>49</v>
      </c>
      <c r="V742" t="s">
        <v>3152</v>
      </c>
    </row>
    <row r="743" spans="1:22" x14ac:dyDescent="0.2">
      <c r="A743" t="s">
        <v>1548</v>
      </c>
      <c r="B743" t="s">
        <v>1549</v>
      </c>
      <c r="C743" t="s">
        <v>96</v>
      </c>
      <c r="D743" t="s">
        <v>97</v>
      </c>
      <c r="E743" t="s">
        <v>105</v>
      </c>
      <c r="F743" t="s">
        <v>34</v>
      </c>
      <c r="G743" t="s">
        <v>35</v>
      </c>
      <c r="H743" t="s">
        <v>88</v>
      </c>
      <c r="I743" t="s">
        <v>70</v>
      </c>
      <c r="J743" t="s">
        <v>37</v>
      </c>
      <c r="K743" s="4">
        <v>46221</v>
      </c>
      <c r="L743" s="4">
        <v>46311</v>
      </c>
      <c r="M743" t="s">
        <v>64</v>
      </c>
      <c r="N743" t="s">
        <v>55</v>
      </c>
      <c r="O743">
        <v>0</v>
      </c>
      <c r="P743" t="s">
        <v>54</v>
      </c>
      <c r="Q743" s="4">
        <v>46154</v>
      </c>
      <c r="R743" t="s">
        <v>57</v>
      </c>
      <c r="S743" t="s">
        <v>3155</v>
      </c>
      <c r="T743" t="s">
        <v>3153</v>
      </c>
      <c r="U743" t="s">
        <v>55</v>
      </c>
      <c r="V743" t="s">
        <v>3154</v>
      </c>
    </row>
    <row r="744" spans="1:22" x14ac:dyDescent="0.2">
      <c r="A744" t="s">
        <v>1550</v>
      </c>
      <c r="B744" t="s">
        <v>1551</v>
      </c>
      <c r="C744" t="s">
        <v>73</v>
      </c>
      <c r="D744" t="s">
        <v>74</v>
      </c>
      <c r="E744" t="s">
        <v>80</v>
      </c>
      <c r="F744" t="s">
        <v>67</v>
      </c>
      <c r="G744" t="s">
        <v>68</v>
      </c>
      <c r="H744" t="s">
        <v>36</v>
      </c>
      <c r="I744" t="s">
        <v>62</v>
      </c>
      <c r="J744" t="s">
        <v>37</v>
      </c>
      <c r="K744" s="4">
        <v>46238</v>
      </c>
      <c r="L744" s="4">
        <v>46418</v>
      </c>
      <c r="M744" t="s">
        <v>84</v>
      </c>
      <c r="N744" t="s">
        <v>55</v>
      </c>
      <c r="O744">
        <v>5</v>
      </c>
      <c r="P744" t="s">
        <v>50</v>
      </c>
      <c r="Q744" s="4">
        <v>46329</v>
      </c>
      <c r="R744" t="s">
        <v>84</v>
      </c>
      <c r="S744" t="s">
        <v>3155</v>
      </c>
      <c r="T744" t="s">
        <v>3153</v>
      </c>
      <c r="U744" t="s">
        <v>55</v>
      </c>
      <c r="V744" t="s">
        <v>3152</v>
      </c>
    </row>
    <row r="745" spans="1:22" x14ac:dyDescent="0.2">
      <c r="A745" t="s">
        <v>1552</v>
      </c>
      <c r="B745" t="s">
        <v>1553</v>
      </c>
      <c r="C745" t="s">
        <v>42</v>
      </c>
      <c r="D745" t="s">
        <v>43</v>
      </c>
      <c r="E745" t="s">
        <v>105</v>
      </c>
      <c r="F745" t="s">
        <v>45</v>
      </c>
      <c r="G745" t="s">
        <v>61</v>
      </c>
      <c r="H745" t="s">
        <v>36</v>
      </c>
      <c r="I745" t="s">
        <v>39</v>
      </c>
      <c r="J745" t="s">
        <v>48</v>
      </c>
      <c r="K745" s="4">
        <v>46215</v>
      </c>
      <c r="L745" s="4">
        <v>46395</v>
      </c>
      <c r="M745" t="s">
        <v>69</v>
      </c>
      <c r="N745" t="s">
        <v>49</v>
      </c>
      <c r="O745">
        <v>4</v>
      </c>
      <c r="P745" t="s">
        <v>39</v>
      </c>
      <c r="Q745" s="4">
        <v>46394</v>
      </c>
      <c r="R745" t="s">
        <v>64</v>
      </c>
      <c r="S745" t="s">
        <v>3155</v>
      </c>
      <c r="T745" t="s">
        <v>3153</v>
      </c>
      <c r="U745" t="s">
        <v>49</v>
      </c>
      <c r="V745" t="s">
        <v>3152</v>
      </c>
    </row>
    <row r="746" spans="1:22" x14ac:dyDescent="0.2">
      <c r="A746" t="s">
        <v>1554</v>
      </c>
      <c r="B746" t="s">
        <v>1555</v>
      </c>
      <c r="C746" t="s">
        <v>31</v>
      </c>
      <c r="D746" t="s">
        <v>83</v>
      </c>
      <c r="E746" t="s">
        <v>60</v>
      </c>
      <c r="F746" t="s">
        <v>34</v>
      </c>
      <c r="G746" t="s">
        <v>35</v>
      </c>
      <c r="H746" t="s">
        <v>88</v>
      </c>
      <c r="I746" t="s">
        <v>50</v>
      </c>
      <c r="J746" t="s">
        <v>48</v>
      </c>
      <c r="K746" s="4">
        <v>46165</v>
      </c>
      <c r="L746" s="4">
        <v>46345</v>
      </c>
      <c r="M746" t="s">
        <v>64</v>
      </c>
      <c r="N746" t="s">
        <v>55</v>
      </c>
      <c r="O746">
        <v>0</v>
      </c>
      <c r="P746" t="s">
        <v>50</v>
      </c>
      <c r="Q746" s="4">
        <v>46282</v>
      </c>
      <c r="R746" t="s">
        <v>57</v>
      </c>
      <c r="S746" t="s">
        <v>3155</v>
      </c>
      <c r="T746" t="s">
        <v>3153</v>
      </c>
      <c r="U746" t="s">
        <v>55</v>
      </c>
      <c r="V746" t="s">
        <v>3154</v>
      </c>
    </row>
    <row r="747" spans="1:22" x14ac:dyDescent="0.2">
      <c r="A747" t="s">
        <v>1556</v>
      </c>
      <c r="B747" t="s">
        <v>1557</v>
      </c>
      <c r="C747" t="s">
        <v>78</v>
      </c>
      <c r="D747" t="s">
        <v>79</v>
      </c>
      <c r="E747" t="s">
        <v>80</v>
      </c>
      <c r="F747" t="s">
        <v>67</v>
      </c>
      <c r="G747" t="s">
        <v>118</v>
      </c>
      <c r="H747" t="s">
        <v>47</v>
      </c>
      <c r="I747" t="s">
        <v>70</v>
      </c>
      <c r="J747" t="s">
        <v>37</v>
      </c>
      <c r="K747" s="4">
        <v>46097</v>
      </c>
      <c r="L747" s="4">
        <v>46462</v>
      </c>
      <c r="M747" t="s">
        <v>69</v>
      </c>
      <c r="N747" t="s">
        <v>75</v>
      </c>
      <c r="O747">
        <v>3</v>
      </c>
      <c r="P747" t="s">
        <v>50</v>
      </c>
      <c r="Q747" s="4">
        <v>46338</v>
      </c>
      <c r="R747" t="s">
        <v>84</v>
      </c>
      <c r="S747" t="s">
        <v>3155</v>
      </c>
      <c r="T747" t="s">
        <v>3153</v>
      </c>
      <c r="U747" t="s">
        <v>75</v>
      </c>
      <c r="V747" t="s">
        <v>3154</v>
      </c>
    </row>
    <row r="748" spans="1:22" x14ac:dyDescent="0.2">
      <c r="A748" t="s">
        <v>1558</v>
      </c>
      <c r="B748" t="s">
        <v>1559</v>
      </c>
      <c r="C748" t="s">
        <v>78</v>
      </c>
      <c r="D748" t="s">
        <v>79</v>
      </c>
      <c r="E748" t="s">
        <v>80</v>
      </c>
      <c r="F748" t="s">
        <v>45</v>
      </c>
      <c r="G748" t="s">
        <v>61</v>
      </c>
      <c r="H748" t="s">
        <v>47</v>
      </c>
      <c r="I748" t="s">
        <v>56</v>
      </c>
      <c r="J748" t="s">
        <v>63</v>
      </c>
      <c r="K748" s="4">
        <v>46191</v>
      </c>
      <c r="L748" s="4">
        <v>46281</v>
      </c>
      <c r="M748" t="s">
        <v>38</v>
      </c>
      <c r="N748" t="s">
        <v>49</v>
      </c>
      <c r="O748">
        <v>3</v>
      </c>
      <c r="P748" t="s">
        <v>56</v>
      </c>
      <c r="Q748" s="4">
        <v>46336</v>
      </c>
      <c r="R748" t="s">
        <v>84</v>
      </c>
      <c r="S748" t="s">
        <v>38</v>
      </c>
      <c r="T748" t="s">
        <v>3153</v>
      </c>
      <c r="U748" t="s">
        <v>49</v>
      </c>
      <c r="V748" t="s">
        <v>3154</v>
      </c>
    </row>
    <row r="749" spans="1:22" x14ac:dyDescent="0.2">
      <c r="A749" t="s">
        <v>1560</v>
      </c>
      <c r="B749" t="s">
        <v>1561</v>
      </c>
      <c r="C749" t="s">
        <v>31</v>
      </c>
      <c r="D749" t="s">
        <v>87</v>
      </c>
      <c r="E749" t="s">
        <v>60</v>
      </c>
      <c r="F749" t="s">
        <v>67</v>
      </c>
      <c r="G749" t="s">
        <v>68</v>
      </c>
      <c r="H749" t="s">
        <v>88</v>
      </c>
      <c r="I749" t="s">
        <v>54</v>
      </c>
      <c r="J749" t="s">
        <v>37</v>
      </c>
      <c r="K749" s="4">
        <v>45985</v>
      </c>
      <c r="L749" s="4">
        <v>46165</v>
      </c>
      <c r="M749" t="s">
        <v>38</v>
      </c>
      <c r="O749">
        <v>2</v>
      </c>
      <c r="P749" t="s">
        <v>62</v>
      </c>
      <c r="Q749" s="4">
        <v>46147</v>
      </c>
      <c r="R749" t="s">
        <v>38</v>
      </c>
      <c r="S749" t="s">
        <v>38</v>
      </c>
      <c r="T749" t="s">
        <v>3153</v>
      </c>
      <c r="U749" t="s">
        <v>3151</v>
      </c>
      <c r="V749" t="s">
        <v>3154</v>
      </c>
    </row>
    <row r="750" spans="1:22" x14ac:dyDescent="0.2">
      <c r="A750" t="s">
        <v>1562</v>
      </c>
      <c r="B750" t="s">
        <v>1563</v>
      </c>
      <c r="C750" t="s">
        <v>103</v>
      </c>
      <c r="D750" t="s">
        <v>104</v>
      </c>
      <c r="E750" t="s">
        <v>80</v>
      </c>
      <c r="F750" t="s">
        <v>67</v>
      </c>
      <c r="G750" t="s">
        <v>118</v>
      </c>
      <c r="H750" t="s">
        <v>47</v>
      </c>
      <c r="I750" t="s">
        <v>50</v>
      </c>
      <c r="J750" t="s">
        <v>37</v>
      </c>
      <c r="K750" s="4">
        <v>45861</v>
      </c>
      <c r="L750" s="4">
        <v>46041</v>
      </c>
      <c r="M750" t="s">
        <v>38</v>
      </c>
      <c r="N750" t="s">
        <v>75</v>
      </c>
      <c r="O750">
        <v>1</v>
      </c>
      <c r="P750" t="s">
        <v>106</v>
      </c>
      <c r="Q750" s="4">
        <v>46298</v>
      </c>
      <c r="R750" t="s">
        <v>64</v>
      </c>
      <c r="S750" t="s">
        <v>38</v>
      </c>
      <c r="T750" t="s">
        <v>3153</v>
      </c>
      <c r="U750" t="s">
        <v>75</v>
      </c>
      <c r="V750" t="s">
        <v>3154</v>
      </c>
    </row>
    <row r="751" spans="1:22" x14ac:dyDescent="0.2">
      <c r="A751" t="s">
        <v>1564</v>
      </c>
      <c r="B751" t="s">
        <v>1565</v>
      </c>
      <c r="C751" t="s">
        <v>103</v>
      </c>
      <c r="D751" t="s">
        <v>104</v>
      </c>
      <c r="E751" t="s">
        <v>105</v>
      </c>
      <c r="F751" t="s">
        <v>45</v>
      </c>
      <c r="G751" t="s">
        <v>61</v>
      </c>
      <c r="H751" t="s">
        <v>47</v>
      </c>
      <c r="I751" t="s">
        <v>39</v>
      </c>
      <c r="J751" t="s">
        <v>48</v>
      </c>
      <c r="K751" s="4">
        <v>45908</v>
      </c>
      <c r="L751" s="4">
        <v>46088</v>
      </c>
      <c r="M751" t="s">
        <v>38</v>
      </c>
      <c r="N751" t="s">
        <v>55</v>
      </c>
      <c r="O751">
        <v>3</v>
      </c>
      <c r="P751" t="s">
        <v>62</v>
      </c>
      <c r="Q751" s="4">
        <v>46405</v>
      </c>
      <c r="R751" t="s">
        <v>84</v>
      </c>
      <c r="S751" t="s">
        <v>38</v>
      </c>
      <c r="T751" t="s">
        <v>3153</v>
      </c>
      <c r="U751" t="s">
        <v>55</v>
      </c>
      <c r="V751" t="s">
        <v>3154</v>
      </c>
    </row>
    <row r="752" spans="1:22" x14ac:dyDescent="0.2">
      <c r="A752" t="s">
        <v>1566</v>
      </c>
      <c r="B752" t="s">
        <v>1567</v>
      </c>
      <c r="C752" t="s">
        <v>78</v>
      </c>
      <c r="D752" t="s">
        <v>79</v>
      </c>
      <c r="E752" t="s">
        <v>60</v>
      </c>
      <c r="F752" t="s">
        <v>67</v>
      </c>
      <c r="G752" t="s">
        <v>68</v>
      </c>
      <c r="H752" t="s">
        <v>47</v>
      </c>
      <c r="I752" t="s">
        <v>56</v>
      </c>
      <c r="J752" t="s">
        <v>37</v>
      </c>
      <c r="K752" s="4">
        <v>45909</v>
      </c>
      <c r="L752" s="4">
        <v>46274</v>
      </c>
      <c r="M752" t="s">
        <v>38</v>
      </c>
      <c r="N752" t="s">
        <v>49</v>
      </c>
      <c r="O752">
        <v>0</v>
      </c>
      <c r="P752" t="s">
        <v>106</v>
      </c>
      <c r="Q752" s="4">
        <v>46408</v>
      </c>
      <c r="R752" t="s">
        <v>57</v>
      </c>
      <c r="S752" t="s">
        <v>38</v>
      </c>
      <c r="T752" t="s">
        <v>3153</v>
      </c>
      <c r="U752" t="s">
        <v>49</v>
      </c>
      <c r="V752" t="s">
        <v>3154</v>
      </c>
    </row>
    <row r="753" spans="1:22" x14ac:dyDescent="0.2">
      <c r="A753" t="s">
        <v>1568</v>
      </c>
      <c r="B753" t="s">
        <v>1569</v>
      </c>
      <c r="C753" t="s">
        <v>31</v>
      </c>
      <c r="D753" t="s">
        <v>83</v>
      </c>
      <c r="E753" t="s">
        <v>44</v>
      </c>
      <c r="F753" t="s">
        <v>67</v>
      </c>
      <c r="G753" t="s">
        <v>68</v>
      </c>
      <c r="H753" t="s">
        <v>47</v>
      </c>
      <c r="I753" t="s">
        <v>111</v>
      </c>
      <c r="J753" t="s">
        <v>37</v>
      </c>
      <c r="K753" s="4">
        <v>46020</v>
      </c>
      <c r="L753" s="4">
        <v>46110</v>
      </c>
      <c r="M753" t="s">
        <v>38</v>
      </c>
      <c r="N753" t="s">
        <v>75</v>
      </c>
      <c r="O753">
        <v>3</v>
      </c>
      <c r="P753" t="s">
        <v>62</v>
      </c>
      <c r="Q753" s="4">
        <v>46176</v>
      </c>
      <c r="R753" t="s">
        <v>64</v>
      </c>
      <c r="S753" t="s">
        <v>38</v>
      </c>
      <c r="T753" t="s">
        <v>3153</v>
      </c>
      <c r="U753" t="s">
        <v>75</v>
      </c>
      <c r="V753" t="s">
        <v>3154</v>
      </c>
    </row>
    <row r="754" spans="1:22" x14ac:dyDescent="0.2">
      <c r="A754" t="s">
        <v>1570</v>
      </c>
      <c r="B754" t="s">
        <v>1571</v>
      </c>
      <c r="C754" t="s">
        <v>78</v>
      </c>
      <c r="D754" t="s">
        <v>79</v>
      </c>
      <c r="E754" t="s">
        <v>53</v>
      </c>
      <c r="F754" t="s">
        <v>45</v>
      </c>
      <c r="G754" t="s">
        <v>46</v>
      </c>
      <c r="H754" t="s">
        <v>47</v>
      </c>
      <c r="J754" t="s">
        <v>63</v>
      </c>
      <c r="K754" s="4">
        <v>45874</v>
      </c>
      <c r="L754" s="4">
        <v>46239</v>
      </c>
      <c r="M754" t="s">
        <v>38</v>
      </c>
      <c r="N754" t="s">
        <v>55</v>
      </c>
      <c r="O754">
        <v>3</v>
      </c>
      <c r="P754" t="s">
        <v>39</v>
      </c>
      <c r="Q754" s="4">
        <v>46260</v>
      </c>
      <c r="R754" t="s">
        <v>64</v>
      </c>
      <c r="S754" t="s">
        <v>38</v>
      </c>
      <c r="T754" t="s">
        <v>3150</v>
      </c>
      <c r="U754" t="s">
        <v>55</v>
      </c>
      <c r="V754" t="s">
        <v>3154</v>
      </c>
    </row>
    <row r="755" spans="1:22" x14ac:dyDescent="0.2">
      <c r="A755" t="s">
        <v>1572</v>
      </c>
      <c r="B755" t="s">
        <v>1573</v>
      </c>
      <c r="C755" t="s">
        <v>73</v>
      </c>
      <c r="D755" t="s">
        <v>74</v>
      </c>
      <c r="E755" t="s">
        <v>105</v>
      </c>
      <c r="F755" t="s">
        <v>67</v>
      </c>
      <c r="G755" t="s">
        <v>68</v>
      </c>
      <c r="H755" t="s">
        <v>88</v>
      </c>
      <c r="I755" t="s">
        <v>62</v>
      </c>
      <c r="J755" t="s">
        <v>63</v>
      </c>
      <c r="K755" s="4">
        <v>45905</v>
      </c>
      <c r="L755" s="4">
        <v>46085</v>
      </c>
      <c r="M755" t="s">
        <v>38</v>
      </c>
      <c r="N755" t="s">
        <v>75</v>
      </c>
      <c r="O755">
        <v>2</v>
      </c>
      <c r="P755" t="s">
        <v>39</v>
      </c>
      <c r="Q755" s="4">
        <v>46292</v>
      </c>
      <c r="R755" t="s">
        <v>38</v>
      </c>
      <c r="S755" t="s">
        <v>38</v>
      </c>
      <c r="T755" t="s">
        <v>3153</v>
      </c>
      <c r="U755" t="s">
        <v>75</v>
      </c>
      <c r="V755" t="s">
        <v>3154</v>
      </c>
    </row>
    <row r="756" spans="1:22" x14ac:dyDescent="0.2">
      <c r="A756" t="s">
        <v>1574</v>
      </c>
      <c r="B756" t="s">
        <v>1575</v>
      </c>
      <c r="C756" t="s">
        <v>31</v>
      </c>
      <c r="D756" t="s">
        <v>87</v>
      </c>
      <c r="E756" t="s">
        <v>91</v>
      </c>
      <c r="F756" t="s">
        <v>67</v>
      </c>
      <c r="G756" t="s">
        <v>118</v>
      </c>
      <c r="H756" t="s">
        <v>98</v>
      </c>
      <c r="I756" t="s">
        <v>111</v>
      </c>
      <c r="J756" t="s">
        <v>48</v>
      </c>
      <c r="K756" s="4">
        <v>45841</v>
      </c>
      <c r="L756" s="4">
        <v>46206</v>
      </c>
      <c r="M756" t="s">
        <v>38</v>
      </c>
      <c r="N756" t="s">
        <v>55</v>
      </c>
      <c r="O756">
        <v>2</v>
      </c>
      <c r="P756" t="s">
        <v>50</v>
      </c>
      <c r="Q756" s="4">
        <v>46167</v>
      </c>
      <c r="R756" t="s">
        <v>64</v>
      </c>
      <c r="S756" t="s">
        <v>38</v>
      </c>
      <c r="T756" t="s">
        <v>3153</v>
      </c>
      <c r="U756" t="s">
        <v>55</v>
      </c>
      <c r="V756" t="s">
        <v>3152</v>
      </c>
    </row>
    <row r="757" spans="1:22" x14ac:dyDescent="0.2">
      <c r="A757" t="s">
        <v>1576</v>
      </c>
      <c r="B757" t="s">
        <v>1577</v>
      </c>
      <c r="C757" t="s">
        <v>31</v>
      </c>
      <c r="D757" t="s">
        <v>87</v>
      </c>
      <c r="E757" t="s">
        <v>91</v>
      </c>
      <c r="F757" t="s">
        <v>45</v>
      </c>
      <c r="G757" t="s">
        <v>61</v>
      </c>
      <c r="H757" t="s">
        <v>36</v>
      </c>
      <c r="I757" t="s">
        <v>54</v>
      </c>
      <c r="J757" t="s">
        <v>48</v>
      </c>
      <c r="K757" s="4">
        <v>46188</v>
      </c>
      <c r="L757" s="4">
        <v>46278</v>
      </c>
      <c r="M757" t="s">
        <v>38</v>
      </c>
      <c r="N757" t="s">
        <v>55</v>
      </c>
      <c r="O757">
        <v>5</v>
      </c>
      <c r="P757" t="s">
        <v>56</v>
      </c>
      <c r="Q757" s="4">
        <v>46303</v>
      </c>
      <c r="R757" t="s">
        <v>84</v>
      </c>
      <c r="S757" t="s">
        <v>38</v>
      </c>
      <c r="T757" t="s">
        <v>3153</v>
      </c>
      <c r="U757" t="s">
        <v>55</v>
      </c>
      <c r="V757" t="s">
        <v>3152</v>
      </c>
    </row>
    <row r="758" spans="1:22" x14ac:dyDescent="0.2">
      <c r="A758" t="s">
        <v>1578</v>
      </c>
      <c r="B758" t="s">
        <v>1579</v>
      </c>
      <c r="C758" t="s">
        <v>96</v>
      </c>
      <c r="D758" t="s">
        <v>97</v>
      </c>
      <c r="E758" t="s">
        <v>105</v>
      </c>
      <c r="F758" t="s">
        <v>45</v>
      </c>
      <c r="G758" t="s">
        <v>46</v>
      </c>
      <c r="H758" t="s">
        <v>98</v>
      </c>
      <c r="I758" t="s">
        <v>70</v>
      </c>
      <c r="J758" t="s">
        <v>48</v>
      </c>
      <c r="K758" s="4">
        <v>46140</v>
      </c>
      <c r="L758" s="4">
        <v>46320</v>
      </c>
      <c r="M758" t="s">
        <v>69</v>
      </c>
      <c r="N758" t="s">
        <v>75</v>
      </c>
      <c r="O758">
        <v>5</v>
      </c>
      <c r="P758" t="s">
        <v>106</v>
      </c>
      <c r="Q758" s="4">
        <v>46202</v>
      </c>
      <c r="R758" t="s">
        <v>38</v>
      </c>
      <c r="S758" t="s">
        <v>3155</v>
      </c>
      <c r="T758" t="s">
        <v>3153</v>
      </c>
      <c r="U758" t="s">
        <v>75</v>
      </c>
      <c r="V758" t="s">
        <v>3152</v>
      </c>
    </row>
    <row r="759" spans="1:22" x14ac:dyDescent="0.2">
      <c r="A759" t="s">
        <v>1580</v>
      </c>
      <c r="B759" t="s">
        <v>1581</v>
      </c>
      <c r="C759" t="s">
        <v>96</v>
      </c>
      <c r="D759" t="s">
        <v>97</v>
      </c>
      <c r="E759" t="s">
        <v>91</v>
      </c>
      <c r="F759" t="s">
        <v>45</v>
      </c>
      <c r="G759" t="s">
        <v>61</v>
      </c>
      <c r="H759" t="s">
        <v>88</v>
      </c>
      <c r="I759" t="s">
        <v>70</v>
      </c>
      <c r="J759" t="s">
        <v>48</v>
      </c>
      <c r="K759" s="4">
        <v>46008</v>
      </c>
      <c r="L759" s="4">
        <v>46373</v>
      </c>
      <c r="M759" t="s">
        <v>64</v>
      </c>
      <c r="N759" t="s">
        <v>75</v>
      </c>
      <c r="O759">
        <v>3</v>
      </c>
      <c r="P759" t="s">
        <v>56</v>
      </c>
      <c r="Q759" s="4">
        <v>46258</v>
      </c>
      <c r="R759" t="s">
        <v>64</v>
      </c>
      <c r="S759" t="s">
        <v>3155</v>
      </c>
      <c r="T759" t="s">
        <v>3153</v>
      </c>
      <c r="U759" t="s">
        <v>75</v>
      </c>
      <c r="V759" t="s">
        <v>3154</v>
      </c>
    </row>
    <row r="760" spans="1:22" x14ac:dyDescent="0.2">
      <c r="A760" t="s">
        <v>1582</v>
      </c>
      <c r="B760" t="s">
        <v>1583</v>
      </c>
      <c r="C760" t="s">
        <v>96</v>
      </c>
      <c r="D760" t="s">
        <v>97</v>
      </c>
      <c r="E760" t="s">
        <v>53</v>
      </c>
      <c r="F760" t="s">
        <v>67</v>
      </c>
      <c r="G760" t="s">
        <v>68</v>
      </c>
      <c r="H760" t="s">
        <v>88</v>
      </c>
      <c r="I760" t="s">
        <v>54</v>
      </c>
      <c r="J760" t="s">
        <v>48</v>
      </c>
      <c r="K760" s="4">
        <v>45938</v>
      </c>
      <c r="L760" s="4">
        <v>46303</v>
      </c>
      <c r="M760" t="s">
        <v>84</v>
      </c>
      <c r="N760" t="s">
        <v>49</v>
      </c>
      <c r="O760">
        <v>0</v>
      </c>
      <c r="P760" t="s">
        <v>39</v>
      </c>
      <c r="Q760" s="4">
        <v>46153</v>
      </c>
      <c r="R760" t="s">
        <v>57</v>
      </c>
      <c r="S760" t="s">
        <v>3155</v>
      </c>
      <c r="T760" t="s">
        <v>3153</v>
      </c>
      <c r="U760" t="s">
        <v>49</v>
      </c>
      <c r="V760" t="s">
        <v>3154</v>
      </c>
    </row>
    <row r="761" spans="1:22" x14ac:dyDescent="0.2">
      <c r="A761" t="s">
        <v>1584</v>
      </c>
      <c r="B761" t="s">
        <v>1585</v>
      </c>
      <c r="C761" t="s">
        <v>73</v>
      </c>
      <c r="D761" t="s">
        <v>74</v>
      </c>
      <c r="E761" t="s">
        <v>80</v>
      </c>
      <c r="F761" t="s">
        <v>34</v>
      </c>
      <c r="G761" t="s">
        <v>35</v>
      </c>
      <c r="H761" t="s">
        <v>36</v>
      </c>
      <c r="I761" t="s">
        <v>54</v>
      </c>
      <c r="J761" t="s">
        <v>37</v>
      </c>
      <c r="K761" s="4">
        <v>46026</v>
      </c>
      <c r="L761" s="4">
        <v>46116</v>
      </c>
      <c r="M761" t="s">
        <v>38</v>
      </c>
      <c r="N761" t="s">
        <v>75</v>
      </c>
      <c r="O761">
        <v>1</v>
      </c>
      <c r="P761" t="s">
        <v>111</v>
      </c>
      <c r="Q761" s="4">
        <v>46385</v>
      </c>
      <c r="R761" t="s">
        <v>84</v>
      </c>
      <c r="S761" t="s">
        <v>38</v>
      </c>
      <c r="T761" t="s">
        <v>3153</v>
      </c>
      <c r="U761" t="s">
        <v>75</v>
      </c>
      <c r="V761" t="s">
        <v>3152</v>
      </c>
    </row>
    <row r="762" spans="1:22" x14ac:dyDescent="0.2">
      <c r="A762" t="s">
        <v>1586</v>
      </c>
      <c r="B762" t="s">
        <v>1587</v>
      </c>
      <c r="C762" t="s">
        <v>42</v>
      </c>
      <c r="D762" t="s">
        <v>43</v>
      </c>
      <c r="E762" t="s">
        <v>60</v>
      </c>
      <c r="F762" t="s">
        <v>34</v>
      </c>
      <c r="G762" t="s">
        <v>35</v>
      </c>
      <c r="H762" t="s">
        <v>47</v>
      </c>
      <c r="I762" t="s">
        <v>50</v>
      </c>
      <c r="J762" t="s">
        <v>48</v>
      </c>
      <c r="K762" s="4">
        <v>46163</v>
      </c>
      <c r="L762" s="4">
        <v>46343</v>
      </c>
      <c r="M762" t="s">
        <v>64</v>
      </c>
      <c r="N762" t="s">
        <v>75</v>
      </c>
      <c r="O762">
        <v>1</v>
      </c>
      <c r="P762" t="s">
        <v>56</v>
      </c>
      <c r="Q762" s="4">
        <v>46319</v>
      </c>
      <c r="R762" t="s">
        <v>64</v>
      </c>
      <c r="S762" t="s">
        <v>3155</v>
      </c>
      <c r="T762" t="s">
        <v>3153</v>
      </c>
      <c r="U762" t="s">
        <v>75</v>
      </c>
      <c r="V762" t="s">
        <v>3154</v>
      </c>
    </row>
    <row r="763" spans="1:22" x14ac:dyDescent="0.2">
      <c r="A763" t="s">
        <v>1588</v>
      </c>
      <c r="B763" t="s">
        <v>1589</v>
      </c>
      <c r="C763" t="s">
        <v>31</v>
      </c>
      <c r="D763" t="s">
        <v>83</v>
      </c>
      <c r="E763" t="s">
        <v>44</v>
      </c>
      <c r="F763" t="s">
        <v>34</v>
      </c>
      <c r="G763" t="s">
        <v>35</v>
      </c>
      <c r="H763" t="s">
        <v>88</v>
      </c>
      <c r="I763" t="s">
        <v>70</v>
      </c>
      <c r="J763" t="s">
        <v>48</v>
      </c>
      <c r="K763" s="4">
        <v>45894</v>
      </c>
      <c r="L763" s="4">
        <v>45984</v>
      </c>
      <c r="M763" t="s">
        <v>38</v>
      </c>
      <c r="N763" t="s">
        <v>55</v>
      </c>
      <c r="O763">
        <v>0</v>
      </c>
      <c r="P763" t="s">
        <v>111</v>
      </c>
      <c r="Q763" s="4">
        <v>46350</v>
      </c>
      <c r="R763" t="s">
        <v>57</v>
      </c>
      <c r="S763" t="s">
        <v>38</v>
      </c>
      <c r="T763" t="s">
        <v>3153</v>
      </c>
      <c r="U763" t="s">
        <v>55</v>
      </c>
      <c r="V763" t="s">
        <v>3154</v>
      </c>
    </row>
    <row r="764" spans="1:22" x14ac:dyDescent="0.2">
      <c r="A764" t="s">
        <v>1590</v>
      </c>
      <c r="B764" t="s">
        <v>1591</v>
      </c>
      <c r="C764" t="s">
        <v>73</v>
      </c>
      <c r="D764" t="s">
        <v>74</v>
      </c>
      <c r="E764" t="s">
        <v>53</v>
      </c>
      <c r="F764" t="s">
        <v>34</v>
      </c>
      <c r="G764" t="s">
        <v>35</v>
      </c>
      <c r="H764" t="s">
        <v>47</v>
      </c>
      <c r="I764" t="s">
        <v>70</v>
      </c>
      <c r="J764" t="s">
        <v>37</v>
      </c>
      <c r="K764" s="4">
        <v>46094</v>
      </c>
      <c r="L764" s="4">
        <v>46274</v>
      </c>
      <c r="M764" t="s">
        <v>38</v>
      </c>
      <c r="N764" t="s">
        <v>55</v>
      </c>
      <c r="O764">
        <v>1</v>
      </c>
      <c r="P764" t="s">
        <v>56</v>
      </c>
      <c r="Q764" s="4">
        <v>46318</v>
      </c>
      <c r="R764" t="s">
        <v>84</v>
      </c>
      <c r="S764" t="s">
        <v>38</v>
      </c>
      <c r="T764" t="s">
        <v>3153</v>
      </c>
      <c r="U764" t="s">
        <v>55</v>
      </c>
      <c r="V764" t="s">
        <v>3154</v>
      </c>
    </row>
    <row r="765" spans="1:22" x14ac:dyDescent="0.2">
      <c r="A765" t="s">
        <v>1592</v>
      </c>
      <c r="B765" t="s">
        <v>1593</v>
      </c>
      <c r="C765" t="s">
        <v>78</v>
      </c>
      <c r="D765" t="s">
        <v>79</v>
      </c>
      <c r="E765" t="s">
        <v>105</v>
      </c>
      <c r="F765" t="s">
        <v>67</v>
      </c>
      <c r="G765" t="s">
        <v>68</v>
      </c>
      <c r="H765" t="s">
        <v>88</v>
      </c>
      <c r="I765" t="s">
        <v>62</v>
      </c>
      <c r="J765" t="s">
        <v>63</v>
      </c>
      <c r="K765" s="4">
        <v>46176</v>
      </c>
      <c r="L765" s="4">
        <v>46356</v>
      </c>
      <c r="M765" t="s">
        <v>64</v>
      </c>
      <c r="N765" t="s">
        <v>55</v>
      </c>
      <c r="O765">
        <v>2</v>
      </c>
      <c r="P765" t="s">
        <v>39</v>
      </c>
      <c r="Q765" s="4">
        <v>46386</v>
      </c>
      <c r="R765" t="s">
        <v>84</v>
      </c>
      <c r="S765" t="s">
        <v>3155</v>
      </c>
      <c r="T765" t="s">
        <v>3153</v>
      </c>
      <c r="U765" t="s">
        <v>55</v>
      </c>
      <c r="V765" t="s">
        <v>3154</v>
      </c>
    </row>
    <row r="766" spans="1:22" x14ac:dyDescent="0.2">
      <c r="A766" t="s">
        <v>1594</v>
      </c>
      <c r="B766" t="s">
        <v>1595</v>
      </c>
      <c r="C766" t="s">
        <v>31</v>
      </c>
      <c r="D766" t="s">
        <v>32</v>
      </c>
      <c r="E766" t="s">
        <v>105</v>
      </c>
      <c r="F766" t="s">
        <v>34</v>
      </c>
      <c r="G766" t="s">
        <v>35</v>
      </c>
      <c r="H766" t="s">
        <v>47</v>
      </c>
      <c r="I766" t="s">
        <v>39</v>
      </c>
      <c r="J766" t="s">
        <v>48</v>
      </c>
      <c r="K766" s="4">
        <v>45817</v>
      </c>
      <c r="L766" s="4">
        <v>45907</v>
      </c>
      <c r="M766" t="s">
        <v>38</v>
      </c>
      <c r="N766" t="s">
        <v>49</v>
      </c>
      <c r="O766">
        <v>2</v>
      </c>
      <c r="P766" t="s">
        <v>62</v>
      </c>
      <c r="Q766" s="4">
        <v>46237</v>
      </c>
      <c r="R766" t="s">
        <v>64</v>
      </c>
      <c r="S766" t="s">
        <v>38</v>
      </c>
      <c r="T766" t="s">
        <v>3153</v>
      </c>
      <c r="U766" t="s">
        <v>49</v>
      </c>
      <c r="V766" t="s">
        <v>3154</v>
      </c>
    </row>
    <row r="767" spans="1:22" x14ac:dyDescent="0.2">
      <c r="A767" t="s">
        <v>1596</v>
      </c>
      <c r="B767" t="s">
        <v>1597</v>
      </c>
      <c r="C767" t="s">
        <v>42</v>
      </c>
      <c r="D767" t="s">
        <v>43</v>
      </c>
      <c r="E767" t="s">
        <v>105</v>
      </c>
      <c r="F767" t="s">
        <v>67</v>
      </c>
      <c r="G767" t="s">
        <v>118</v>
      </c>
      <c r="H767" t="s">
        <v>47</v>
      </c>
      <c r="I767" t="s">
        <v>56</v>
      </c>
      <c r="J767" t="s">
        <v>48</v>
      </c>
      <c r="K767" s="4">
        <v>46022</v>
      </c>
      <c r="L767" s="4">
        <v>46112</v>
      </c>
      <c r="M767" t="s">
        <v>38</v>
      </c>
      <c r="N767" t="s">
        <v>55</v>
      </c>
      <c r="O767">
        <v>1</v>
      </c>
      <c r="P767" t="s">
        <v>70</v>
      </c>
      <c r="Q767" s="4">
        <v>46292</v>
      </c>
      <c r="R767" t="s">
        <v>38</v>
      </c>
      <c r="S767" t="s">
        <v>38</v>
      </c>
      <c r="T767" t="s">
        <v>3153</v>
      </c>
      <c r="U767" t="s">
        <v>55</v>
      </c>
      <c r="V767" t="s">
        <v>3154</v>
      </c>
    </row>
    <row r="768" spans="1:22" x14ac:dyDescent="0.2">
      <c r="A768" t="s">
        <v>1598</v>
      </c>
      <c r="B768" t="s">
        <v>1599</v>
      </c>
      <c r="C768" t="s">
        <v>31</v>
      </c>
      <c r="D768" t="s">
        <v>87</v>
      </c>
      <c r="E768" t="s">
        <v>91</v>
      </c>
      <c r="F768" t="s">
        <v>45</v>
      </c>
      <c r="G768" t="s">
        <v>61</v>
      </c>
      <c r="H768" t="s">
        <v>88</v>
      </c>
      <c r="I768" t="s">
        <v>54</v>
      </c>
      <c r="J768" t="s">
        <v>37</v>
      </c>
      <c r="K768" s="4">
        <v>46188</v>
      </c>
      <c r="L768" s="4">
        <v>46368</v>
      </c>
      <c r="M768" t="s">
        <v>84</v>
      </c>
      <c r="N768" t="s">
        <v>55</v>
      </c>
      <c r="O768">
        <v>2</v>
      </c>
      <c r="P768" t="s">
        <v>62</v>
      </c>
      <c r="Q768" s="4">
        <v>46348</v>
      </c>
      <c r="R768" t="s">
        <v>64</v>
      </c>
      <c r="S768" t="s">
        <v>3155</v>
      </c>
      <c r="T768" t="s">
        <v>3153</v>
      </c>
      <c r="U768" t="s">
        <v>55</v>
      </c>
      <c r="V768" t="s">
        <v>3154</v>
      </c>
    </row>
    <row r="769" spans="1:22" x14ac:dyDescent="0.2">
      <c r="A769" t="s">
        <v>1600</v>
      </c>
      <c r="B769" t="s">
        <v>1601</v>
      </c>
      <c r="C769" t="s">
        <v>96</v>
      </c>
      <c r="D769" t="s">
        <v>97</v>
      </c>
      <c r="E769" t="s">
        <v>44</v>
      </c>
      <c r="F769" t="s">
        <v>67</v>
      </c>
      <c r="G769" t="s">
        <v>68</v>
      </c>
      <c r="H769" t="s">
        <v>98</v>
      </c>
      <c r="I769" t="s">
        <v>70</v>
      </c>
      <c r="J769" t="s">
        <v>48</v>
      </c>
      <c r="K769" s="4">
        <v>46188</v>
      </c>
      <c r="L769" s="4">
        <v>46553</v>
      </c>
      <c r="M769" t="s">
        <v>84</v>
      </c>
      <c r="N769" t="s">
        <v>49</v>
      </c>
      <c r="O769">
        <v>2</v>
      </c>
      <c r="P769" t="s">
        <v>111</v>
      </c>
      <c r="Q769" s="4">
        <v>46357</v>
      </c>
      <c r="R769" t="s">
        <v>84</v>
      </c>
      <c r="S769" t="s">
        <v>3155</v>
      </c>
      <c r="T769" t="s">
        <v>3153</v>
      </c>
      <c r="U769" t="s">
        <v>49</v>
      </c>
      <c r="V769" t="s">
        <v>3152</v>
      </c>
    </row>
    <row r="770" spans="1:22" x14ac:dyDescent="0.2">
      <c r="A770" t="s">
        <v>1602</v>
      </c>
      <c r="B770" t="s">
        <v>1603</v>
      </c>
      <c r="C770" t="s">
        <v>31</v>
      </c>
      <c r="D770" t="s">
        <v>32</v>
      </c>
      <c r="E770" t="s">
        <v>105</v>
      </c>
      <c r="F770" t="s">
        <v>45</v>
      </c>
      <c r="G770" t="s">
        <v>46</v>
      </c>
      <c r="H770" t="s">
        <v>88</v>
      </c>
      <c r="I770" t="s">
        <v>56</v>
      </c>
      <c r="J770" t="s">
        <v>63</v>
      </c>
      <c r="K770" s="4">
        <v>45848</v>
      </c>
      <c r="L770" s="4">
        <v>45938</v>
      </c>
      <c r="M770" t="s">
        <v>38</v>
      </c>
      <c r="N770" t="s">
        <v>49</v>
      </c>
      <c r="O770">
        <v>1</v>
      </c>
      <c r="P770" t="s">
        <v>106</v>
      </c>
      <c r="Q770" s="4">
        <v>46190</v>
      </c>
      <c r="R770" t="s">
        <v>38</v>
      </c>
      <c r="S770" t="s">
        <v>38</v>
      </c>
      <c r="T770" t="s">
        <v>3153</v>
      </c>
      <c r="U770" t="s">
        <v>49</v>
      </c>
      <c r="V770" t="s">
        <v>3154</v>
      </c>
    </row>
    <row r="771" spans="1:22" x14ac:dyDescent="0.2">
      <c r="A771" t="s">
        <v>1604</v>
      </c>
      <c r="B771" t="s">
        <v>1605</v>
      </c>
      <c r="C771" t="s">
        <v>73</v>
      </c>
      <c r="D771" t="s">
        <v>74</v>
      </c>
      <c r="E771" t="s">
        <v>91</v>
      </c>
      <c r="F771" t="s">
        <v>67</v>
      </c>
      <c r="G771" t="s">
        <v>118</v>
      </c>
      <c r="H771" t="s">
        <v>88</v>
      </c>
      <c r="I771" t="s">
        <v>56</v>
      </c>
      <c r="J771" t="s">
        <v>63</v>
      </c>
      <c r="K771" s="4">
        <v>45936</v>
      </c>
      <c r="L771" s="4">
        <v>46116</v>
      </c>
      <c r="M771" t="s">
        <v>38</v>
      </c>
      <c r="N771" t="s">
        <v>75</v>
      </c>
      <c r="O771">
        <v>2</v>
      </c>
      <c r="P771" t="s">
        <v>106</v>
      </c>
      <c r="Q771" s="4">
        <v>46349</v>
      </c>
      <c r="R771" t="s">
        <v>64</v>
      </c>
      <c r="S771" t="s">
        <v>38</v>
      </c>
      <c r="T771" t="s">
        <v>3153</v>
      </c>
      <c r="U771" t="s">
        <v>75</v>
      </c>
      <c r="V771" t="s">
        <v>3154</v>
      </c>
    </row>
    <row r="772" spans="1:22" x14ac:dyDescent="0.2">
      <c r="A772" t="s">
        <v>1606</v>
      </c>
      <c r="B772" t="s">
        <v>1607</v>
      </c>
      <c r="C772" t="s">
        <v>78</v>
      </c>
      <c r="D772" t="s">
        <v>79</v>
      </c>
      <c r="E772" t="s">
        <v>105</v>
      </c>
      <c r="F772" t="s">
        <v>34</v>
      </c>
      <c r="G772" t="s">
        <v>35</v>
      </c>
      <c r="H772" t="s">
        <v>47</v>
      </c>
      <c r="I772" t="s">
        <v>39</v>
      </c>
      <c r="J772" t="s">
        <v>48</v>
      </c>
      <c r="K772" s="4">
        <v>46200</v>
      </c>
      <c r="L772" s="4">
        <v>46380</v>
      </c>
      <c r="M772" t="s">
        <v>84</v>
      </c>
      <c r="N772" t="s">
        <v>75</v>
      </c>
      <c r="O772">
        <v>3</v>
      </c>
      <c r="P772" t="s">
        <v>70</v>
      </c>
      <c r="Q772" s="4">
        <v>46130</v>
      </c>
      <c r="R772" t="s">
        <v>64</v>
      </c>
      <c r="S772" t="s">
        <v>3155</v>
      </c>
      <c r="T772" t="s">
        <v>3153</v>
      </c>
      <c r="U772" t="s">
        <v>75</v>
      </c>
      <c r="V772" t="s">
        <v>3154</v>
      </c>
    </row>
    <row r="773" spans="1:22" x14ac:dyDescent="0.2">
      <c r="A773" t="s">
        <v>1608</v>
      </c>
      <c r="B773" t="s">
        <v>1609</v>
      </c>
      <c r="C773" t="s">
        <v>73</v>
      </c>
      <c r="D773" t="s">
        <v>74</v>
      </c>
      <c r="E773" t="s">
        <v>91</v>
      </c>
      <c r="F773" t="s">
        <v>45</v>
      </c>
      <c r="G773" t="s">
        <v>61</v>
      </c>
      <c r="H773" t="s">
        <v>47</v>
      </c>
      <c r="I773" t="s">
        <v>56</v>
      </c>
      <c r="J773" t="s">
        <v>37</v>
      </c>
      <c r="K773" s="4">
        <v>45826</v>
      </c>
      <c r="L773" s="4">
        <v>46191</v>
      </c>
      <c r="M773" t="s">
        <v>38</v>
      </c>
      <c r="N773" t="s">
        <v>49</v>
      </c>
      <c r="O773">
        <v>3</v>
      </c>
      <c r="P773" t="s">
        <v>62</v>
      </c>
      <c r="Q773" s="4">
        <v>46384</v>
      </c>
      <c r="R773" t="s">
        <v>64</v>
      </c>
      <c r="S773" t="s">
        <v>38</v>
      </c>
      <c r="T773" t="s">
        <v>3153</v>
      </c>
      <c r="U773" t="s">
        <v>49</v>
      </c>
      <c r="V773" t="s">
        <v>3154</v>
      </c>
    </row>
    <row r="774" spans="1:22" x14ac:dyDescent="0.2">
      <c r="A774" t="s">
        <v>1610</v>
      </c>
      <c r="B774" t="s">
        <v>1611</v>
      </c>
      <c r="C774" t="s">
        <v>73</v>
      </c>
      <c r="D774" t="s">
        <v>74</v>
      </c>
      <c r="E774" t="s">
        <v>44</v>
      </c>
      <c r="F774" t="s">
        <v>67</v>
      </c>
      <c r="G774" t="s">
        <v>118</v>
      </c>
      <c r="H774" t="s">
        <v>47</v>
      </c>
      <c r="I774" t="s">
        <v>106</v>
      </c>
      <c r="J774" t="s">
        <v>48</v>
      </c>
      <c r="K774" s="4">
        <v>45848</v>
      </c>
      <c r="L774" s="4">
        <v>46213</v>
      </c>
      <c r="M774" t="s">
        <v>38</v>
      </c>
      <c r="N774" t="s">
        <v>55</v>
      </c>
      <c r="O774">
        <v>3</v>
      </c>
      <c r="P774" t="s">
        <v>39</v>
      </c>
      <c r="Q774" s="4">
        <v>46347</v>
      </c>
      <c r="R774" t="s">
        <v>84</v>
      </c>
      <c r="S774" t="s">
        <v>38</v>
      </c>
      <c r="T774" t="s">
        <v>3153</v>
      </c>
      <c r="U774" t="s">
        <v>55</v>
      </c>
      <c r="V774" t="s">
        <v>3154</v>
      </c>
    </row>
    <row r="775" spans="1:22" x14ac:dyDescent="0.2">
      <c r="A775" t="s">
        <v>1612</v>
      </c>
      <c r="B775" t="s">
        <v>1613</v>
      </c>
      <c r="C775" t="s">
        <v>31</v>
      </c>
      <c r="D775" t="s">
        <v>87</v>
      </c>
      <c r="E775" t="s">
        <v>80</v>
      </c>
      <c r="F775" t="s">
        <v>67</v>
      </c>
      <c r="G775" t="s">
        <v>68</v>
      </c>
      <c r="H775" t="s">
        <v>88</v>
      </c>
      <c r="I775" t="s">
        <v>56</v>
      </c>
      <c r="J775" t="s">
        <v>48</v>
      </c>
      <c r="K775" s="4">
        <v>45956</v>
      </c>
      <c r="L775" s="4">
        <v>46321</v>
      </c>
      <c r="M775" t="s">
        <v>69</v>
      </c>
      <c r="N775" t="s">
        <v>75</v>
      </c>
      <c r="O775">
        <v>2</v>
      </c>
      <c r="P775" t="s">
        <v>54</v>
      </c>
      <c r="Q775" s="4">
        <v>46148</v>
      </c>
      <c r="R775" t="s">
        <v>38</v>
      </c>
      <c r="S775" t="s">
        <v>3155</v>
      </c>
      <c r="T775" t="s">
        <v>3153</v>
      </c>
      <c r="U775" t="s">
        <v>75</v>
      </c>
      <c r="V775" t="s">
        <v>3154</v>
      </c>
    </row>
    <row r="776" spans="1:22" x14ac:dyDescent="0.2">
      <c r="A776" t="s">
        <v>1614</v>
      </c>
      <c r="B776" t="s">
        <v>1615</v>
      </c>
      <c r="C776" t="s">
        <v>42</v>
      </c>
      <c r="D776" t="s">
        <v>43</v>
      </c>
      <c r="E776" t="s">
        <v>105</v>
      </c>
      <c r="F776" t="s">
        <v>67</v>
      </c>
      <c r="G776" t="s">
        <v>68</v>
      </c>
      <c r="H776" t="s">
        <v>88</v>
      </c>
      <c r="I776" t="s">
        <v>39</v>
      </c>
      <c r="J776" t="s">
        <v>37</v>
      </c>
      <c r="K776" s="4">
        <v>46055</v>
      </c>
      <c r="L776" s="4">
        <v>46235</v>
      </c>
      <c r="M776" t="s">
        <v>38</v>
      </c>
      <c r="N776" t="s">
        <v>49</v>
      </c>
      <c r="O776">
        <v>0</v>
      </c>
      <c r="P776" t="s">
        <v>56</v>
      </c>
      <c r="Q776" s="4">
        <v>46140</v>
      </c>
      <c r="R776" t="s">
        <v>57</v>
      </c>
      <c r="S776" t="s">
        <v>38</v>
      </c>
      <c r="T776" t="s">
        <v>3153</v>
      </c>
      <c r="U776" t="s">
        <v>49</v>
      </c>
      <c r="V776" t="s">
        <v>3154</v>
      </c>
    </row>
    <row r="777" spans="1:22" x14ac:dyDescent="0.2">
      <c r="A777" t="s">
        <v>1616</v>
      </c>
      <c r="B777" t="s">
        <v>1617</v>
      </c>
      <c r="C777" t="s">
        <v>31</v>
      </c>
      <c r="D777" t="s">
        <v>87</v>
      </c>
      <c r="E777" t="s">
        <v>105</v>
      </c>
      <c r="F777" t="s">
        <v>34</v>
      </c>
      <c r="G777" t="s">
        <v>35</v>
      </c>
      <c r="H777" t="s">
        <v>36</v>
      </c>
      <c r="I777" t="s">
        <v>50</v>
      </c>
      <c r="J777" t="s">
        <v>37</v>
      </c>
      <c r="K777" s="4">
        <v>45900</v>
      </c>
      <c r="L777" s="4">
        <v>45990</v>
      </c>
      <c r="M777" t="s">
        <v>38</v>
      </c>
      <c r="N777" t="s">
        <v>75</v>
      </c>
      <c r="O777">
        <v>4</v>
      </c>
      <c r="P777" t="s">
        <v>54</v>
      </c>
      <c r="Q777" s="4">
        <v>46156</v>
      </c>
      <c r="R777" t="s">
        <v>64</v>
      </c>
      <c r="S777" t="s">
        <v>38</v>
      </c>
      <c r="T777" t="s">
        <v>3153</v>
      </c>
      <c r="U777" t="s">
        <v>75</v>
      </c>
      <c r="V777" t="s">
        <v>3152</v>
      </c>
    </row>
    <row r="778" spans="1:22" x14ac:dyDescent="0.2">
      <c r="A778" t="s">
        <v>1618</v>
      </c>
      <c r="B778" t="s">
        <v>1619</v>
      </c>
      <c r="C778" t="s">
        <v>73</v>
      </c>
      <c r="D778" t="s">
        <v>74</v>
      </c>
      <c r="E778" t="s">
        <v>80</v>
      </c>
      <c r="F778" t="s">
        <v>34</v>
      </c>
      <c r="G778" t="s">
        <v>35</v>
      </c>
      <c r="H778" t="s">
        <v>88</v>
      </c>
      <c r="I778" t="s">
        <v>70</v>
      </c>
      <c r="J778" t="s">
        <v>63</v>
      </c>
      <c r="K778" s="4">
        <v>45818</v>
      </c>
      <c r="L778" s="4">
        <v>45998</v>
      </c>
      <c r="M778" t="s">
        <v>38</v>
      </c>
      <c r="N778" t="s">
        <v>75</v>
      </c>
      <c r="O778">
        <v>2</v>
      </c>
      <c r="P778" t="s">
        <v>50</v>
      </c>
      <c r="Q778" s="4">
        <v>46203</v>
      </c>
      <c r="R778" t="s">
        <v>38</v>
      </c>
      <c r="S778" t="s">
        <v>38</v>
      </c>
      <c r="T778" t="s">
        <v>3153</v>
      </c>
      <c r="U778" t="s">
        <v>75</v>
      </c>
      <c r="V778" t="s">
        <v>3154</v>
      </c>
    </row>
    <row r="779" spans="1:22" x14ac:dyDescent="0.2">
      <c r="A779" t="s">
        <v>1620</v>
      </c>
      <c r="B779" t="s">
        <v>1621</v>
      </c>
      <c r="C779" t="s">
        <v>78</v>
      </c>
      <c r="D779" t="s">
        <v>79</v>
      </c>
      <c r="E779" t="s">
        <v>53</v>
      </c>
      <c r="F779" t="s">
        <v>34</v>
      </c>
      <c r="G779" t="s">
        <v>35</v>
      </c>
      <c r="H779" t="s">
        <v>47</v>
      </c>
      <c r="I779" t="s">
        <v>54</v>
      </c>
      <c r="J779" t="s">
        <v>48</v>
      </c>
      <c r="K779" s="4">
        <v>46121</v>
      </c>
      <c r="L779" s="4">
        <v>46301</v>
      </c>
      <c r="M779" t="s">
        <v>64</v>
      </c>
      <c r="N779" t="s">
        <v>49</v>
      </c>
      <c r="O779">
        <v>3</v>
      </c>
      <c r="P779" t="s">
        <v>111</v>
      </c>
      <c r="Q779" s="4">
        <v>46394</v>
      </c>
      <c r="R779" t="s">
        <v>64</v>
      </c>
      <c r="S779" t="s">
        <v>3155</v>
      </c>
      <c r="T779" t="s">
        <v>3153</v>
      </c>
      <c r="U779" t="s">
        <v>49</v>
      </c>
      <c r="V779" t="s">
        <v>3154</v>
      </c>
    </row>
    <row r="780" spans="1:22" x14ac:dyDescent="0.2">
      <c r="A780" t="s">
        <v>1622</v>
      </c>
      <c r="B780" t="s">
        <v>1623</v>
      </c>
      <c r="C780" t="s">
        <v>96</v>
      </c>
      <c r="D780" t="s">
        <v>97</v>
      </c>
      <c r="E780" t="s">
        <v>60</v>
      </c>
      <c r="F780" t="s">
        <v>34</v>
      </c>
      <c r="G780" t="s">
        <v>35</v>
      </c>
      <c r="H780" t="s">
        <v>98</v>
      </c>
      <c r="I780" t="s">
        <v>106</v>
      </c>
      <c r="J780" t="s">
        <v>63</v>
      </c>
      <c r="K780" s="4">
        <v>46036</v>
      </c>
      <c r="L780" s="4">
        <v>46216</v>
      </c>
      <c r="M780" t="s">
        <v>38</v>
      </c>
      <c r="N780" t="s">
        <v>75</v>
      </c>
      <c r="O780">
        <v>3</v>
      </c>
      <c r="P780" t="s">
        <v>39</v>
      </c>
      <c r="Q780" s="4">
        <v>46330</v>
      </c>
      <c r="R780" t="s">
        <v>84</v>
      </c>
      <c r="S780" t="s">
        <v>38</v>
      </c>
      <c r="T780" t="s">
        <v>3153</v>
      </c>
      <c r="U780" t="s">
        <v>75</v>
      </c>
      <c r="V780" t="s">
        <v>3152</v>
      </c>
    </row>
    <row r="781" spans="1:22" x14ac:dyDescent="0.2">
      <c r="A781" t="s">
        <v>1624</v>
      </c>
      <c r="B781" t="s">
        <v>1625</v>
      </c>
      <c r="C781" t="s">
        <v>42</v>
      </c>
      <c r="D781" t="s">
        <v>43</v>
      </c>
      <c r="E781" t="s">
        <v>44</v>
      </c>
      <c r="F781" t="s">
        <v>67</v>
      </c>
      <c r="G781" t="s">
        <v>68</v>
      </c>
      <c r="H781" t="s">
        <v>88</v>
      </c>
      <c r="I781" t="s">
        <v>56</v>
      </c>
      <c r="J781" t="s">
        <v>37</v>
      </c>
      <c r="K781" s="4">
        <v>45873</v>
      </c>
      <c r="L781" s="4">
        <v>45963</v>
      </c>
      <c r="M781" t="s">
        <v>38</v>
      </c>
      <c r="N781" t="s">
        <v>49</v>
      </c>
      <c r="O781">
        <v>2</v>
      </c>
      <c r="P781" t="s">
        <v>50</v>
      </c>
      <c r="Q781" s="4">
        <v>46180</v>
      </c>
      <c r="R781" t="s">
        <v>38</v>
      </c>
      <c r="S781" t="s">
        <v>38</v>
      </c>
      <c r="T781" t="s">
        <v>3153</v>
      </c>
      <c r="U781" t="s">
        <v>49</v>
      </c>
      <c r="V781" t="s">
        <v>3154</v>
      </c>
    </row>
    <row r="782" spans="1:22" x14ac:dyDescent="0.2">
      <c r="A782" t="s">
        <v>1626</v>
      </c>
      <c r="B782" t="s">
        <v>1627</v>
      </c>
      <c r="C782" t="s">
        <v>31</v>
      </c>
      <c r="D782" t="s">
        <v>32</v>
      </c>
      <c r="E782" t="s">
        <v>80</v>
      </c>
      <c r="F782" t="s">
        <v>67</v>
      </c>
      <c r="G782" t="s">
        <v>68</v>
      </c>
      <c r="H782" t="s">
        <v>36</v>
      </c>
      <c r="I782" t="s">
        <v>111</v>
      </c>
      <c r="J782" t="s">
        <v>63</v>
      </c>
      <c r="K782" s="4">
        <v>45846</v>
      </c>
      <c r="L782" s="4">
        <v>45936</v>
      </c>
      <c r="M782" t="s">
        <v>38</v>
      </c>
      <c r="N782" t="s">
        <v>55</v>
      </c>
      <c r="O782">
        <v>0</v>
      </c>
      <c r="P782" t="s">
        <v>70</v>
      </c>
      <c r="Q782" s="4">
        <v>46253</v>
      </c>
      <c r="R782" t="s">
        <v>57</v>
      </c>
      <c r="S782" t="s">
        <v>38</v>
      </c>
      <c r="T782" t="s">
        <v>3153</v>
      </c>
      <c r="U782" t="s">
        <v>55</v>
      </c>
      <c r="V782" t="s">
        <v>3152</v>
      </c>
    </row>
    <row r="783" spans="1:22" x14ac:dyDescent="0.2">
      <c r="A783" t="s">
        <v>1628</v>
      </c>
      <c r="B783" t="s">
        <v>1629</v>
      </c>
      <c r="C783" t="s">
        <v>96</v>
      </c>
      <c r="D783" t="s">
        <v>97</v>
      </c>
      <c r="E783" t="s">
        <v>91</v>
      </c>
      <c r="F783" t="s">
        <v>67</v>
      </c>
      <c r="G783" t="s">
        <v>118</v>
      </c>
      <c r="H783" t="s">
        <v>88</v>
      </c>
      <c r="I783" t="s">
        <v>39</v>
      </c>
      <c r="J783" t="s">
        <v>48</v>
      </c>
      <c r="K783" s="4">
        <v>46213</v>
      </c>
      <c r="L783" s="4">
        <v>46578</v>
      </c>
      <c r="M783" t="s">
        <v>84</v>
      </c>
      <c r="N783" t="s">
        <v>49</v>
      </c>
      <c r="O783">
        <v>1</v>
      </c>
      <c r="P783" t="s">
        <v>50</v>
      </c>
      <c r="Q783" s="4">
        <v>46379</v>
      </c>
      <c r="R783" t="s">
        <v>64</v>
      </c>
      <c r="S783" t="s">
        <v>3155</v>
      </c>
      <c r="T783" t="s">
        <v>3153</v>
      </c>
      <c r="U783" t="s">
        <v>49</v>
      </c>
      <c r="V783" t="s">
        <v>3154</v>
      </c>
    </row>
    <row r="784" spans="1:22" x14ac:dyDescent="0.2">
      <c r="A784" t="s">
        <v>1630</v>
      </c>
      <c r="B784" t="s">
        <v>1631</v>
      </c>
      <c r="C784" t="s">
        <v>31</v>
      </c>
      <c r="D784" t="s">
        <v>87</v>
      </c>
      <c r="E784" t="s">
        <v>91</v>
      </c>
      <c r="F784" t="s">
        <v>67</v>
      </c>
      <c r="G784" t="s">
        <v>118</v>
      </c>
      <c r="H784" t="s">
        <v>98</v>
      </c>
      <c r="I784" t="s">
        <v>39</v>
      </c>
      <c r="J784" t="s">
        <v>63</v>
      </c>
      <c r="K784" s="4">
        <v>45863</v>
      </c>
      <c r="L784" s="4">
        <v>46043</v>
      </c>
      <c r="M784" t="s">
        <v>38</v>
      </c>
      <c r="N784" t="s">
        <v>49</v>
      </c>
      <c r="O784">
        <v>5</v>
      </c>
      <c r="P784" t="s">
        <v>70</v>
      </c>
      <c r="Q784" s="4">
        <v>46217</v>
      </c>
      <c r="R784" t="s">
        <v>64</v>
      </c>
      <c r="S784" t="s">
        <v>38</v>
      </c>
      <c r="T784" t="s">
        <v>3153</v>
      </c>
      <c r="U784" t="s">
        <v>49</v>
      </c>
      <c r="V784" t="s">
        <v>3152</v>
      </c>
    </row>
    <row r="785" spans="1:22" x14ac:dyDescent="0.2">
      <c r="A785" t="s">
        <v>1632</v>
      </c>
      <c r="B785" t="s">
        <v>1633</v>
      </c>
      <c r="C785" t="s">
        <v>78</v>
      </c>
      <c r="D785" t="s">
        <v>79</v>
      </c>
      <c r="E785" t="s">
        <v>44</v>
      </c>
      <c r="F785" t="s">
        <v>34</v>
      </c>
      <c r="G785" t="s">
        <v>35</v>
      </c>
      <c r="H785" t="s">
        <v>47</v>
      </c>
      <c r="I785" t="s">
        <v>111</v>
      </c>
      <c r="J785" t="s">
        <v>48</v>
      </c>
      <c r="K785" s="4">
        <v>46263</v>
      </c>
      <c r="L785" s="4">
        <v>46628</v>
      </c>
      <c r="M785" t="s">
        <v>64</v>
      </c>
      <c r="N785" t="s">
        <v>55</v>
      </c>
      <c r="O785">
        <v>0</v>
      </c>
      <c r="P785" t="s">
        <v>54</v>
      </c>
      <c r="Q785" s="4">
        <v>46268</v>
      </c>
      <c r="R785" t="s">
        <v>57</v>
      </c>
      <c r="S785" t="s">
        <v>3155</v>
      </c>
      <c r="T785" t="s">
        <v>3153</v>
      </c>
      <c r="U785" t="s">
        <v>55</v>
      </c>
      <c r="V785" t="s">
        <v>3154</v>
      </c>
    </row>
    <row r="786" spans="1:22" x14ac:dyDescent="0.2">
      <c r="A786" t="s">
        <v>1634</v>
      </c>
      <c r="B786" t="s">
        <v>1635</v>
      </c>
      <c r="C786" t="s">
        <v>31</v>
      </c>
      <c r="D786" t="s">
        <v>83</v>
      </c>
      <c r="E786" t="s">
        <v>60</v>
      </c>
      <c r="F786" t="s">
        <v>34</v>
      </c>
      <c r="G786" t="s">
        <v>35</v>
      </c>
      <c r="H786" t="s">
        <v>88</v>
      </c>
      <c r="I786" t="s">
        <v>70</v>
      </c>
      <c r="J786" t="s">
        <v>63</v>
      </c>
      <c r="K786" s="4">
        <v>46054</v>
      </c>
      <c r="L786" s="4">
        <v>46144</v>
      </c>
      <c r="M786" t="s">
        <v>38</v>
      </c>
      <c r="N786" t="s">
        <v>49</v>
      </c>
      <c r="O786">
        <v>0</v>
      </c>
      <c r="P786" t="s">
        <v>54</v>
      </c>
      <c r="Q786" s="4">
        <v>46209</v>
      </c>
      <c r="R786" t="s">
        <v>57</v>
      </c>
      <c r="S786" t="s">
        <v>38</v>
      </c>
      <c r="T786" t="s">
        <v>3153</v>
      </c>
      <c r="U786" t="s">
        <v>49</v>
      </c>
      <c r="V786" t="s">
        <v>3154</v>
      </c>
    </row>
    <row r="787" spans="1:22" x14ac:dyDescent="0.2">
      <c r="A787" t="s">
        <v>1636</v>
      </c>
      <c r="B787" t="s">
        <v>1637</v>
      </c>
      <c r="C787" t="s">
        <v>78</v>
      </c>
      <c r="D787" t="s">
        <v>79</v>
      </c>
      <c r="E787" t="s">
        <v>80</v>
      </c>
      <c r="F787" t="s">
        <v>45</v>
      </c>
      <c r="G787" t="s">
        <v>46</v>
      </c>
      <c r="H787" t="s">
        <v>88</v>
      </c>
      <c r="I787" t="s">
        <v>56</v>
      </c>
      <c r="J787" t="s">
        <v>63</v>
      </c>
      <c r="K787" s="4">
        <v>45934</v>
      </c>
      <c r="L787" s="4">
        <v>46024</v>
      </c>
      <c r="M787" t="s">
        <v>38</v>
      </c>
      <c r="N787" t="s">
        <v>49</v>
      </c>
      <c r="O787">
        <v>3</v>
      </c>
      <c r="P787" t="s">
        <v>70</v>
      </c>
      <c r="Q787" s="4">
        <v>46303</v>
      </c>
      <c r="R787" t="s">
        <v>84</v>
      </c>
      <c r="S787" t="s">
        <v>38</v>
      </c>
      <c r="T787" t="s">
        <v>3153</v>
      </c>
      <c r="U787" t="s">
        <v>49</v>
      </c>
      <c r="V787" t="s">
        <v>3154</v>
      </c>
    </row>
    <row r="788" spans="1:22" x14ac:dyDescent="0.2">
      <c r="A788" t="s">
        <v>1638</v>
      </c>
      <c r="B788" t="s">
        <v>1639</v>
      </c>
      <c r="C788" t="s">
        <v>31</v>
      </c>
      <c r="D788" t="s">
        <v>87</v>
      </c>
      <c r="E788" t="s">
        <v>80</v>
      </c>
      <c r="F788" t="s">
        <v>67</v>
      </c>
      <c r="G788" t="s">
        <v>118</v>
      </c>
      <c r="H788" t="s">
        <v>47</v>
      </c>
      <c r="I788" t="s">
        <v>56</v>
      </c>
      <c r="J788" t="s">
        <v>63</v>
      </c>
      <c r="K788" s="4">
        <v>46041</v>
      </c>
      <c r="L788" s="4">
        <v>46131</v>
      </c>
      <c r="M788" t="s">
        <v>38</v>
      </c>
      <c r="N788" t="s">
        <v>49</v>
      </c>
      <c r="O788">
        <v>3</v>
      </c>
      <c r="P788" t="s">
        <v>111</v>
      </c>
      <c r="Q788" s="4">
        <v>46120</v>
      </c>
      <c r="R788" t="s">
        <v>38</v>
      </c>
      <c r="S788" t="s">
        <v>38</v>
      </c>
      <c r="T788" t="s">
        <v>3153</v>
      </c>
      <c r="U788" t="s">
        <v>49</v>
      </c>
      <c r="V788" t="s">
        <v>3154</v>
      </c>
    </row>
    <row r="789" spans="1:22" x14ac:dyDescent="0.2">
      <c r="A789" t="s">
        <v>1640</v>
      </c>
      <c r="B789" t="s">
        <v>1641</v>
      </c>
      <c r="C789" t="s">
        <v>103</v>
      </c>
      <c r="D789" t="s">
        <v>104</v>
      </c>
      <c r="E789" t="s">
        <v>44</v>
      </c>
      <c r="F789" t="s">
        <v>45</v>
      </c>
      <c r="G789" t="s">
        <v>61</v>
      </c>
      <c r="H789" t="s">
        <v>88</v>
      </c>
      <c r="I789" t="s">
        <v>111</v>
      </c>
      <c r="J789" t="s">
        <v>63</v>
      </c>
      <c r="K789" s="4">
        <v>46134</v>
      </c>
      <c r="L789" s="4">
        <v>46224</v>
      </c>
      <c r="M789" t="s">
        <v>38</v>
      </c>
      <c r="N789" t="s">
        <v>55</v>
      </c>
      <c r="O789">
        <v>2</v>
      </c>
      <c r="P789" t="s">
        <v>62</v>
      </c>
      <c r="Q789" s="4">
        <v>46371</v>
      </c>
      <c r="R789" t="s">
        <v>84</v>
      </c>
      <c r="S789" t="s">
        <v>38</v>
      </c>
      <c r="T789" t="s">
        <v>3153</v>
      </c>
      <c r="U789" t="s">
        <v>55</v>
      </c>
      <c r="V789" t="s">
        <v>3154</v>
      </c>
    </row>
    <row r="790" spans="1:22" x14ac:dyDescent="0.2">
      <c r="A790" t="s">
        <v>1642</v>
      </c>
      <c r="B790" t="s">
        <v>1643</v>
      </c>
      <c r="C790" t="s">
        <v>42</v>
      </c>
      <c r="D790" t="s">
        <v>43</v>
      </c>
      <c r="E790" t="s">
        <v>44</v>
      </c>
      <c r="F790" t="s">
        <v>34</v>
      </c>
      <c r="G790" t="s">
        <v>35</v>
      </c>
      <c r="H790" t="s">
        <v>88</v>
      </c>
      <c r="I790" t="s">
        <v>106</v>
      </c>
      <c r="J790" t="s">
        <v>48</v>
      </c>
      <c r="K790" s="4">
        <v>45940</v>
      </c>
      <c r="L790" s="4">
        <v>46305</v>
      </c>
      <c r="M790" t="s">
        <v>69</v>
      </c>
      <c r="N790" t="s">
        <v>49</v>
      </c>
      <c r="O790">
        <v>1</v>
      </c>
      <c r="P790" t="s">
        <v>111</v>
      </c>
      <c r="Q790" s="4">
        <v>46257</v>
      </c>
      <c r="R790" t="s">
        <v>38</v>
      </c>
      <c r="S790" t="s">
        <v>3155</v>
      </c>
      <c r="T790" t="s">
        <v>3153</v>
      </c>
      <c r="U790" t="s">
        <v>49</v>
      </c>
      <c r="V790" t="s">
        <v>3154</v>
      </c>
    </row>
    <row r="791" spans="1:22" x14ac:dyDescent="0.2">
      <c r="A791" t="s">
        <v>1644</v>
      </c>
      <c r="B791" t="s">
        <v>1645</v>
      </c>
      <c r="C791" t="s">
        <v>78</v>
      </c>
      <c r="D791" t="s">
        <v>79</v>
      </c>
      <c r="E791" t="s">
        <v>60</v>
      </c>
      <c r="F791" t="s">
        <v>67</v>
      </c>
      <c r="G791" t="s">
        <v>118</v>
      </c>
      <c r="H791" t="s">
        <v>88</v>
      </c>
      <c r="I791" t="s">
        <v>56</v>
      </c>
      <c r="J791" t="s">
        <v>48</v>
      </c>
      <c r="K791" s="4">
        <v>46209</v>
      </c>
      <c r="L791" s="4">
        <v>46574</v>
      </c>
      <c r="M791" t="s">
        <v>64</v>
      </c>
      <c r="N791" t="s">
        <v>49</v>
      </c>
      <c r="O791">
        <v>2</v>
      </c>
      <c r="P791" t="s">
        <v>39</v>
      </c>
      <c r="Q791" s="4">
        <v>46414</v>
      </c>
      <c r="R791" t="s">
        <v>84</v>
      </c>
      <c r="S791" t="s">
        <v>3155</v>
      </c>
      <c r="T791" t="s">
        <v>3153</v>
      </c>
      <c r="U791" t="s">
        <v>49</v>
      </c>
      <c r="V791" t="s">
        <v>3154</v>
      </c>
    </row>
    <row r="792" spans="1:22" x14ac:dyDescent="0.2">
      <c r="A792" t="s">
        <v>1646</v>
      </c>
      <c r="B792" t="s">
        <v>1647</v>
      </c>
      <c r="C792" t="s">
        <v>31</v>
      </c>
      <c r="D792" t="s">
        <v>83</v>
      </c>
      <c r="E792" t="s">
        <v>44</v>
      </c>
      <c r="F792" t="s">
        <v>34</v>
      </c>
      <c r="G792" t="s">
        <v>35</v>
      </c>
      <c r="H792" t="s">
        <v>47</v>
      </c>
      <c r="I792" t="s">
        <v>70</v>
      </c>
      <c r="J792" t="s">
        <v>37</v>
      </c>
      <c r="K792" s="4">
        <v>46020</v>
      </c>
      <c r="L792" s="4">
        <v>46385</v>
      </c>
      <c r="M792" t="s">
        <v>64</v>
      </c>
      <c r="N792" t="s">
        <v>55</v>
      </c>
      <c r="O792">
        <v>1</v>
      </c>
      <c r="P792" t="s">
        <v>62</v>
      </c>
      <c r="Q792" s="4">
        <v>46168</v>
      </c>
      <c r="R792" t="s">
        <v>38</v>
      </c>
      <c r="S792" t="s">
        <v>3155</v>
      </c>
      <c r="T792" t="s">
        <v>3153</v>
      </c>
      <c r="U792" t="s">
        <v>55</v>
      </c>
      <c r="V792" t="s">
        <v>3154</v>
      </c>
    </row>
    <row r="793" spans="1:22" x14ac:dyDescent="0.2">
      <c r="A793" t="s">
        <v>1648</v>
      </c>
      <c r="B793" t="s">
        <v>1649</v>
      </c>
      <c r="C793" t="s">
        <v>31</v>
      </c>
      <c r="D793" t="s">
        <v>87</v>
      </c>
      <c r="E793" t="s">
        <v>60</v>
      </c>
      <c r="F793" t="s">
        <v>45</v>
      </c>
      <c r="G793" t="s">
        <v>46</v>
      </c>
      <c r="H793" t="s">
        <v>47</v>
      </c>
      <c r="I793" t="s">
        <v>39</v>
      </c>
      <c r="J793" t="s">
        <v>37</v>
      </c>
      <c r="K793" s="4">
        <v>45842</v>
      </c>
      <c r="L793" s="4">
        <v>46207</v>
      </c>
      <c r="M793" t="s">
        <v>38</v>
      </c>
      <c r="N793" t="s">
        <v>55</v>
      </c>
      <c r="O793">
        <v>3</v>
      </c>
      <c r="P793" t="s">
        <v>70</v>
      </c>
      <c r="Q793" s="4">
        <v>46306</v>
      </c>
      <c r="R793" t="s">
        <v>84</v>
      </c>
      <c r="S793" t="s">
        <v>38</v>
      </c>
      <c r="T793" t="s">
        <v>3153</v>
      </c>
      <c r="U793" t="s">
        <v>55</v>
      </c>
      <c r="V793" t="s">
        <v>3154</v>
      </c>
    </row>
    <row r="794" spans="1:22" x14ac:dyDescent="0.2">
      <c r="A794" t="s">
        <v>1650</v>
      </c>
      <c r="B794" t="s">
        <v>1651</v>
      </c>
      <c r="C794" t="s">
        <v>31</v>
      </c>
      <c r="D794" t="s">
        <v>83</v>
      </c>
      <c r="E794" t="s">
        <v>80</v>
      </c>
      <c r="F794" t="s">
        <v>34</v>
      </c>
      <c r="G794" t="s">
        <v>35</v>
      </c>
      <c r="H794" t="s">
        <v>47</v>
      </c>
      <c r="I794" t="s">
        <v>54</v>
      </c>
      <c r="J794" t="s">
        <v>63</v>
      </c>
      <c r="K794" s="4">
        <v>46175</v>
      </c>
      <c r="L794" s="4">
        <v>46355</v>
      </c>
      <c r="M794" t="s">
        <v>64</v>
      </c>
      <c r="N794" t="s">
        <v>49</v>
      </c>
      <c r="O794">
        <v>2</v>
      </c>
      <c r="P794" t="s">
        <v>54</v>
      </c>
      <c r="Q794" s="4">
        <v>46230</v>
      </c>
      <c r="R794" t="s">
        <v>64</v>
      </c>
      <c r="S794" t="s">
        <v>3155</v>
      </c>
      <c r="T794" t="s">
        <v>3153</v>
      </c>
      <c r="U794" t="s">
        <v>49</v>
      </c>
      <c r="V794" t="s">
        <v>3154</v>
      </c>
    </row>
    <row r="795" spans="1:22" x14ac:dyDescent="0.2">
      <c r="A795" t="s">
        <v>1652</v>
      </c>
      <c r="B795" t="s">
        <v>1653</v>
      </c>
      <c r="C795" t="s">
        <v>78</v>
      </c>
      <c r="D795" t="s">
        <v>79</v>
      </c>
      <c r="E795" t="s">
        <v>91</v>
      </c>
      <c r="F795" t="s">
        <v>45</v>
      </c>
      <c r="G795" t="s">
        <v>46</v>
      </c>
      <c r="H795" t="s">
        <v>98</v>
      </c>
      <c r="I795" t="s">
        <v>70</v>
      </c>
      <c r="J795" t="s">
        <v>63</v>
      </c>
      <c r="K795" s="4">
        <v>46171</v>
      </c>
      <c r="L795" s="4">
        <v>46261</v>
      </c>
      <c r="M795" t="s">
        <v>38</v>
      </c>
      <c r="N795" t="s">
        <v>55</v>
      </c>
      <c r="O795">
        <v>0</v>
      </c>
      <c r="P795" t="s">
        <v>70</v>
      </c>
      <c r="Q795" s="4">
        <v>46299</v>
      </c>
      <c r="R795" t="s">
        <v>57</v>
      </c>
      <c r="S795" t="s">
        <v>38</v>
      </c>
      <c r="T795" t="s">
        <v>3153</v>
      </c>
      <c r="U795" t="s">
        <v>55</v>
      </c>
      <c r="V795" t="s">
        <v>3152</v>
      </c>
    </row>
    <row r="796" spans="1:22" x14ac:dyDescent="0.2">
      <c r="A796" t="s">
        <v>1654</v>
      </c>
      <c r="B796" t="s">
        <v>1655</v>
      </c>
      <c r="C796" t="s">
        <v>31</v>
      </c>
      <c r="D796" t="s">
        <v>83</v>
      </c>
      <c r="E796" t="s">
        <v>91</v>
      </c>
      <c r="F796" t="s">
        <v>67</v>
      </c>
      <c r="G796" t="s">
        <v>68</v>
      </c>
      <c r="H796" t="s">
        <v>36</v>
      </c>
      <c r="I796" t="s">
        <v>111</v>
      </c>
      <c r="J796" t="s">
        <v>48</v>
      </c>
      <c r="K796" s="4">
        <v>46178</v>
      </c>
      <c r="L796" s="4">
        <v>46268</v>
      </c>
      <c r="M796" t="s">
        <v>38</v>
      </c>
      <c r="N796" t="s">
        <v>49</v>
      </c>
      <c r="O796">
        <v>3</v>
      </c>
      <c r="P796" t="s">
        <v>111</v>
      </c>
      <c r="Q796" s="4">
        <v>46371</v>
      </c>
      <c r="R796" t="s">
        <v>84</v>
      </c>
      <c r="S796" t="s">
        <v>38</v>
      </c>
      <c r="T796" t="s">
        <v>3153</v>
      </c>
      <c r="U796" t="s">
        <v>49</v>
      </c>
      <c r="V796" t="s">
        <v>3152</v>
      </c>
    </row>
    <row r="797" spans="1:22" x14ac:dyDescent="0.2">
      <c r="A797" t="s">
        <v>1656</v>
      </c>
      <c r="B797" t="s">
        <v>1657</v>
      </c>
      <c r="C797" t="s">
        <v>96</v>
      </c>
      <c r="D797" t="s">
        <v>97</v>
      </c>
      <c r="E797" t="s">
        <v>105</v>
      </c>
      <c r="F797" t="s">
        <v>67</v>
      </c>
      <c r="G797" t="s">
        <v>118</v>
      </c>
      <c r="H797" t="s">
        <v>88</v>
      </c>
      <c r="I797" t="s">
        <v>50</v>
      </c>
      <c r="J797" t="s">
        <v>48</v>
      </c>
      <c r="K797" s="4">
        <v>45875</v>
      </c>
      <c r="L797" s="4">
        <v>46240</v>
      </c>
      <c r="M797" t="s">
        <v>38</v>
      </c>
      <c r="N797" t="s">
        <v>75</v>
      </c>
      <c r="O797">
        <v>0</v>
      </c>
      <c r="P797" t="s">
        <v>106</v>
      </c>
      <c r="Q797" s="4">
        <v>46175</v>
      </c>
      <c r="R797" t="s">
        <v>57</v>
      </c>
      <c r="S797" t="s">
        <v>38</v>
      </c>
      <c r="T797" t="s">
        <v>3153</v>
      </c>
      <c r="U797" t="s">
        <v>75</v>
      </c>
      <c r="V797" t="s">
        <v>3154</v>
      </c>
    </row>
    <row r="798" spans="1:22" x14ac:dyDescent="0.2">
      <c r="A798" t="s">
        <v>1658</v>
      </c>
      <c r="B798" t="s">
        <v>1659</v>
      </c>
      <c r="C798" t="s">
        <v>103</v>
      </c>
      <c r="D798" t="s">
        <v>104</v>
      </c>
      <c r="E798" t="s">
        <v>53</v>
      </c>
      <c r="F798" t="s">
        <v>45</v>
      </c>
      <c r="G798" t="s">
        <v>46</v>
      </c>
      <c r="H798" t="s">
        <v>98</v>
      </c>
      <c r="I798" t="s">
        <v>56</v>
      </c>
      <c r="J798" t="s">
        <v>63</v>
      </c>
      <c r="K798" s="4">
        <v>46076</v>
      </c>
      <c r="L798" s="4">
        <v>46441</v>
      </c>
      <c r="M798" t="s">
        <v>64</v>
      </c>
      <c r="N798" t="s">
        <v>55</v>
      </c>
      <c r="O798">
        <v>2</v>
      </c>
      <c r="P798" t="s">
        <v>56</v>
      </c>
      <c r="Q798" s="4">
        <v>46153</v>
      </c>
      <c r="R798" t="s">
        <v>38</v>
      </c>
      <c r="S798" t="s">
        <v>3155</v>
      </c>
      <c r="T798" t="s">
        <v>3153</v>
      </c>
      <c r="U798" t="s">
        <v>55</v>
      </c>
      <c r="V798" t="s">
        <v>3152</v>
      </c>
    </row>
    <row r="799" spans="1:22" x14ac:dyDescent="0.2">
      <c r="A799" t="s">
        <v>1660</v>
      </c>
      <c r="B799" t="s">
        <v>1661</v>
      </c>
      <c r="C799" t="s">
        <v>73</v>
      </c>
      <c r="D799" t="s">
        <v>74</v>
      </c>
      <c r="E799" t="s">
        <v>60</v>
      </c>
      <c r="F799" t="s">
        <v>67</v>
      </c>
      <c r="G799" t="s">
        <v>68</v>
      </c>
      <c r="H799" t="s">
        <v>88</v>
      </c>
      <c r="I799" t="s">
        <v>70</v>
      </c>
      <c r="J799" t="s">
        <v>37</v>
      </c>
      <c r="K799" s="4">
        <v>45977</v>
      </c>
      <c r="L799" s="4">
        <v>46157</v>
      </c>
      <c r="M799" t="s">
        <v>38</v>
      </c>
      <c r="N799" t="s">
        <v>75</v>
      </c>
      <c r="O799">
        <v>0</v>
      </c>
      <c r="P799" t="s">
        <v>54</v>
      </c>
      <c r="Q799" s="4">
        <v>46131</v>
      </c>
      <c r="R799" t="s">
        <v>57</v>
      </c>
      <c r="S799" t="s">
        <v>38</v>
      </c>
      <c r="T799" t="s">
        <v>3153</v>
      </c>
      <c r="U799" t="s">
        <v>75</v>
      </c>
      <c r="V799" t="s">
        <v>3154</v>
      </c>
    </row>
    <row r="800" spans="1:22" x14ac:dyDescent="0.2">
      <c r="A800" t="s">
        <v>1662</v>
      </c>
      <c r="B800" t="s">
        <v>1663</v>
      </c>
      <c r="C800" t="s">
        <v>31</v>
      </c>
      <c r="D800" t="s">
        <v>87</v>
      </c>
      <c r="E800" t="s">
        <v>44</v>
      </c>
      <c r="F800" t="s">
        <v>67</v>
      </c>
      <c r="G800" t="s">
        <v>68</v>
      </c>
      <c r="H800" t="s">
        <v>47</v>
      </c>
      <c r="I800" t="s">
        <v>106</v>
      </c>
      <c r="J800" t="s">
        <v>48</v>
      </c>
      <c r="K800" s="4">
        <v>45802</v>
      </c>
      <c r="L800" s="4">
        <v>46167</v>
      </c>
      <c r="M800" t="s">
        <v>38</v>
      </c>
      <c r="N800" t="s">
        <v>55</v>
      </c>
      <c r="O800">
        <v>1</v>
      </c>
      <c r="P800" t="s">
        <v>62</v>
      </c>
      <c r="Q800" s="4">
        <v>46367</v>
      </c>
      <c r="R800" t="s">
        <v>64</v>
      </c>
      <c r="S800" t="s">
        <v>38</v>
      </c>
      <c r="T800" t="s">
        <v>3153</v>
      </c>
      <c r="U800" t="s">
        <v>55</v>
      </c>
      <c r="V800" t="s">
        <v>3154</v>
      </c>
    </row>
    <row r="801" spans="1:22" x14ac:dyDescent="0.2">
      <c r="A801" t="s">
        <v>1664</v>
      </c>
      <c r="B801" t="s">
        <v>1665</v>
      </c>
      <c r="C801" t="s">
        <v>73</v>
      </c>
      <c r="D801" t="s">
        <v>74</v>
      </c>
      <c r="E801" t="s">
        <v>60</v>
      </c>
      <c r="F801" t="s">
        <v>34</v>
      </c>
      <c r="G801" t="s">
        <v>35</v>
      </c>
      <c r="H801" t="s">
        <v>88</v>
      </c>
      <c r="J801" t="s">
        <v>37</v>
      </c>
      <c r="K801" s="4">
        <v>46209</v>
      </c>
      <c r="L801" s="4">
        <v>46389</v>
      </c>
      <c r="M801" t="s">
        <v>84</v>
      </c>
      <c r="N801" t="s">
        <v>55</v>
      </c>
      <c r="O801">
        <v>3</v>
      </c>
      <c r="P801" t="s">
        <v>56</v>
      </c>
      <c r="Q801" s="4">
        <v>46374</v>
      </c>
      <c r="R801" t="s">
        <v>64</v>
      </c>
      <c r="S801" t="s">
        <v>3155</v>
      </c>
      <c r="T801" t="s">
        <v>3150</v>
      </c>
      <c r="U801" t="s">
        <v>55</v>
      </c>
      <c r="V801" t="s">
        <v>3154</v>
      </c>
    </row>
    <row r="802" spans="1:22" x14ac:dyDescent="0.2">
      <c r="A802" t="s">
        <v>1666</v>
      </c>
      <c r="B802" t="s">
        <v>1667</v>
      </c>
      <c r="C802" t="s">
        <v>78</v>
      </c>
      <c r="D802" t="s">
        <v>79</v>
      </c>
      <c r="E802" t="s">
        <v>105</v>
      </c>
      <c r="F802" t="s">
        <v>45</v>
      </c>
      <c r="G802" t="s">
        <v>46</v>
      </c>
      <c r="H802" t="s">
        <v>47</v>
      </c>
      <c r="I802" t="s">
        <v>54</v>
      </c>
      <c r="J802" t="s">
        <v>48</v>
      </c>
      <c r="K802" s="4">
        <v>46002</v>
      </c>
      <c r="L802" s="4">
        <v>46367</v>
      </c>
      <c r="M802" t="s">
        <v>84</v>
      </c>
      <c r="N802" t="s">
        <v>49</v>
      </c>
      <c r="O802">
        <v>3</v>
      </c>
      <c r="P802" t="s">
        <v>62</v>
      </c>
      <c r="Q802" s="4">
        <v>46141</v>
      </c>
      <c r="R802" t="s">
        <v>38</v>
      </c>
      <c r="S802" t="s">
        <v>3155</v>
      </c>
      <c r="T802" t="s">
        <v>3153</v>
      </c>
      <c r="U802" t="s">
        <v>49</v>
      </c>
      <c r="V802" t="s">
        <v>3154</v>
      </c>
    </row>
    <row r="803" spans="1:22" x14ac:dyDescent="0.2">
      <c r="A803" t="s">
        <v>1668</v>
      </c>
      <c r="B803" t="s">
        <v>1669</v>
      </c>
      <c r="C803" t="s">
        <v>31</v>
      </c>
      <c r="D803" t="s">
        <v>87</v>
      </c>
      <c r="E803" t="s">
        <v>60</v>
      </c>
      <c r="F803" t="s">
        <v>34</v>
      </c>
      <c r="G803" t="s">
        <v>35</v>
      </c>
      <c r="H803" t="s">
        <v>47</v>
      </c>
      <c r="I803" t="s">
        <v>111</v>
      </c>
      <c r="J803" t="s">
        <v>48</v>
      </c>
      <c r="K803" s="4">
        <v>46215</v>
      </c>
      <c r="L803" s="4">
        <v>46580</v>
      </c>
      <c r="M803" t="s">
        <v>69</v>
      </c>
      <c r="N803" t="s">
        <v>75</v>
      </c>
      <c r="O803">
        <v>1</v>
      </c>
      <c r="P803" t="s">
        <v>70</v>
      </c>
      <c r="Q803" s="4">
        <v>46290</v>
      </c>
      <c r="R803" t="s">
        <v>38</v>
      </c>
      <c r="S803" t="s">
        <v>3155</v>
      </c>
      <c r="T803" t="s">
        <v>3153</v>
      </c>
      <c r="U803" t="s">
        <v>75</v>
      </c>
      <c r="V803" t="s">
        <v>3154</v>
      </c>
    </row>
    <row r="804" spans="1:22" x14ac:dyDescent="0.2">
      <c r="A804" t="s">
        <v>1670</v>
      </c>
      <c r="B804" t="s">
        <v>1671</v>
      </c>
      <c r="C804" t="s">
        <v>31</v>
      </c>
      <c r="D804" t="s">
        <v>83</v>
      </c>
      <c r="E804" t="s">
        <v>44</v>
      </c>
      <c r="F804" t="s">
        <v>34</v>
      </c>
      <c r="G804" t="s">
        <v>35</v>
      </c>
      <c r="H804" t="s">
        <v>88</v>
      </c>
      <c r="I804" t="s">
        <v>39</v>
      </c>
      <c r="J804" t="s">
        <v>48</v>
      </c>
      <c r="K804" s="4">
        <v>45865</v>
      </c>
      <c r="L804" s="4">
        <v>45955</v>
      </c>
      <c r="M804" t="s">
        <v>38</v>
      </c>
      <c r="N804" t="s">
        <v>49</v>
      </c>
      <c r="O804">
        <v>1</v>
      </c>
      <c r="P804" t="s">
        <v>56</v>
      </c>
      <c r="Q804" s="4">
        <v>46144</v>
      </c>
      <c r="R804" t="s">
        <v>64</v>
      </c>
      <c r="S804" t="s">
        <v>38</v>
      </c>
      <c r="T804" t="s">
        <v>3153</v>
      </c>
      <c r="U804" t="s">
        <v>49</v>
      </c>
      <c r="V804" t="s">
        <v>3154</v>
      </c>
    </row>
    <row r="805" spans="1:22" x14ac:dyDescent="0.2">
      <c r="A805" t="s">
        <v>1672</v>
      </c>
      <c r="B805" t="s">
        <v>1673</v>
      </c>
      <c r="C805" t="s">
        <v>31</v>
      </c>
      <c r="D805" t="s">
        <v>32</v>
      </c>
      <c r="E805" t="s">
        <v>53</v>
      </c>
      <c r="F805" t="s">
        <v>45</v>
      </c>
      <c r="G805" t="s">
        <v>61</v>
      </c>
      <c r="H805" t="s">
        <v>88</v>
      </c>
      <c r="I805" t="s">
        <v>54</v>
      </c>
      <c r="J805" t="s">
        <v>37</v>
      </c>
      <c r="K805" s="4">
        <v>46126</v>
      </c>
      <c r="L805" s="4">
        <v>46216</v>
      </c>
      <c r="M805" t="s">
        <v>38</v>
      </c>
      <c r="N805" t="s">
        <v>49</v>
      </c>
      <c r="O805">
        <v>3</v>
      </c>
      <c r="P805" t="s">
        <v>54</v>
      </c>
      <c r="Q805" s="4">
        <v>46360</v>
      </c>
      <c r="R805" t="s">
        <v>84</v>
      </c>
      <c r="S805" t="s">
        <v>38</v>
      </c>
      <c r="T805" t="s">
        <v>3153</v>
      </c>
      <c r="U805" t="s">
        <v>49</v>
      </c>
      <c r="V805" t="s">
        <v>3154</v>
      </c>
    </row>
    <row r="806" spans="1:22" x14ac:dyDescent="0.2">
      <c r="A806" t="s">
        <v>1675</v>
      </c>
      <c r="B806" t="s">
        <v>1676</v>
      </c>
      <c r="C806" t="s">
        <v>73</v>
      </c>
      <c r="D806" t="s">
        <v>74</v>
      </c>
      <c r="E806" t="s">
        <v>44</v>
      </c>
      <c r="F806" t="s">
        <v>67</v>
      </c>
      <c r="G806" t="s">
        <v>118</v>
      </c>
      <c r="H806" t="s">
        <v>88</v>
      </c>
      <c r="I806" t="s">
        <v>56</v>
      </c>
      <c r="J806" t="s">
        <v>63</v>
      </c>
      <c r="K806" s="4">
        <v>46088</v>
      </c>
      <c r="L806" s="4">
        <v>46453</v>
      </c>
      <c r="M806" t="s">
        <v>64</v>
      </c>
      <c r="N806" t="s">
        <v>49</v>
      </c>
      <c r="O806">
        <v>1</v>
      </c>
      <c r="P806" t="s">
        <v>70</v>
      </c>
      <c r="Q806" s="4">
        <v>46384</v>
      </c>
      <c r="R806" t="s">
        <v>84</v>
      </c>
      <c r="S806" t="s">
        <v>3155</v>
      </c>
      <c r="T806" t="s">
        <v>3153</v>
      </c>
      <c r="U806" t="s">
        <v>49</v>
      </c>
      <c r="V806" t="s">
        <v>3154</v>
      </c>
    </row>
    <row r="807" spans="1:22" x14ac:dyDescent="0.2">
      <c r="A807" t="s">
        <v>1677</v>
      </c>
      <c r="B807" t="s">
        <v>1678</v>
      </c>
      <c r="C807" t="s">
        <v>103</v>
      </c>
      <c r="D807" t="s">
        <v>104</v>
      </c>
      <c r="E807" t="s">
        <v>80</v>
      </c>
      <c r="F807" t="s">
        <v>45</v>
      </c>
      <c r="G807" t="s">
        <v>61</v>
      </c>
      <c r="H807" t="s">
        <v>36</v>
      </c>
      <c r="I807" t="s">
        <v>111</v>
      </c>
      <c r="J807" t="s">
        <v>37</v>
      </c>
      <c r="K807" s="4">
        <v>46132</v>
      </c>
      <c r="L807" s="4">
        <v>46222</v>
      </c>
      <c r="M807" t="s">
        <v>38</v>
      </c>
      <c r="N807" t="s">
        <v>55</v>
      </c>
      <c r="O807">
        <v>1</v>
      </c>
      <c r="P807" t="s">
        <v>50</v>
      </c>
      <c r="Q807" s="4">
        <v>46381</v>
      </c>
      <c r="R807" t="s">
        <v>64</v>
      </c>
      <c r="S807" t="s">
        <v>38</v>
      </c>
      <c r="T807" t="s">
        <v>3153</v>
      </c>
      <c r="U807" t="s">
        <v>55</v>
      </c>
      <c r="V807" t="s">
        <v>3152</v>
      </c>
    </row>
    <row r="808" spans="1:22" x14ac:dyDescent="0.2">
      <c r="A808" t="s">
        <v>1679</v>
      </c>
      <c r="B808" t="s">
        <v>1680</v>
      </c>
      <c r="C808" t="s">
        <v>42</v>
      </c>
      <c r="D808" t="s">
        <v>43</v>
      </c>
      <c r="E808" t="s">
        <v>91</v>
      </c>
      <c r="F808" t="s">
        <v>45</v>
      </c>
      <c r="G808" t="s">
        <v>46</v>
      </c>
      <c r="H808" t="s">
        <v>88</v>
      </c>
      <c r="I808" t="s">
        <v>111</v>
      </c>
      <c r="J808" t="s">
        <v>48</v>
      </c>
      <c r="K808" s="4">
        <v>46217</v>
      </c>
      <c r="L808" s="4">
        <v>46307</v>
      </c>
      <c r="M808" t="s">
        <v>64</v>
      </c>
      <c r="N808" t="s">
        <v>55</v>
      </c>
      <c r="O808">
        <v>2</v>
      </c>
      <c r="P808" t="s">
        <v>39</v>
      </c>
      <c r="Q808" s="4">
        <v>46257</v>
      </c>
      <c r="R808" t="s">
        <v>38</v>
      </c>
      <c r="S808" t="s">
        <v>3155</v>
      </c>
      <c r="T808" t="s">
        <v>3153</v>
      </c>
      <c r="U808" t="s">
        <v>55</v>
      </c>
      <c r="V808" t="s">
        <v>3154</v>
      </c>
    </row>
    <row r="809" spans="1:22" x14ac:dyDescent="0.2">
      <c r="A809" t="s">
        <v>1681</v>
      </c>
      <c r="B809" t="s">
        <v>1682</v>
      </c>
      <c r="C809" t="s">
        <v>78</v>
      </c>
      <c r="D809" t="s">
        <v>79</v>
      </c>
      <c r="E809" t="s">
        <v>80</v>
      </c>
      <c r="F809" t="s">
        <v>67</v>
      </c>
      <c r="G809" t="s">
        <v>118</v>
      </c>
      <c r="H809" t="s">
        <v>47</v>
      </c>
      <c r="I809" t="s">
        <v>62</v>
      </c>
      <c r="J809" t="s">
        <v>48</v>
      </c>
      <c r="K809" s="4">
        <v>46079</v>
      </c>
      <c r="L809" s="4">
        <v>46259</v>
      </c>
      <c r="M809" t="s">
        <v>38</v>
      </c>
      <c r="N809" t="s">
        <v>55</v>
      </c>
      <c r="O809">
        <v>1</v>
      </c>
      <c r="P809" t="s">
        <v>56</v>
      </c>
      <c r="Q809" s="4">
        <v>46220</v>
      </c>
      <c r="R809" t="s">
        <v>38</v>
      </c>
      <c r="S809" t="s">
        <v>38</v>
      </c>
      <c r="T809" t="s">
        <v>3153</v>
      </c>
      <c r="U809" t="s">
        <v>55</v>
      </c>
      <c r="V809" t="s">
        <v>3154</v>
      </c>
    </row>
    <row r="810" spans="1:22" x14ac:dyDescent="0.2">
      <c r="A810" t="s">
        <v>1683</v>
      </c>
      <c r="B810" t="s">
        <v>1684</v>
      </c>
      <c r="C810" t="s">
        <v>78</v>
      </c>
      <c r="D810" t="s">
        <v>79</v>
      </c>
      <c r="E810" t="s">
        <v>105</v>
      </c>
      <c r="F810" t="s">
        <v>45</v>
      </c>
      <c r="G810" t="s">
        <v>61</v>
      </c>
      <c r="H810" t="s">
        <v>36</v>
      </c>
      <c r="I810" t="s">
        <v>106</v>
      </c>
      <c r="J810" t="s">
        <v>37</v>
      </c>
      <c r="K810" s="4">
        <v>45803</v>
      </c>
      <c r="L810" s="4">
        <v>45983</v>
      </c>
      <c r="M810" t="s">
        <v>38</v>
      </c>
      <c r="N810" t="s">
        <v>49</v>
      </c>
      <c r="O810">
        <v>1</v>
      </c>
      <c r="P810" t="s">
        <v>39</v>
      </c>
      <c r="Q810" s="4">
        <v>46129</v>
      </c>
      <c r="R810" t="s">
        <v>64</v>
      </c>
      <c r="S810" t="s">
        <v>38</v>
      </c>
      <c r="T810" t="s">
        <v>3153</v>
      </c>
      <c r="U810" t="s">
        <v>49</v>
      </c>
      <c r="V810" t="s">
        <v>3152</v>
      </c>
    </row>
    <row r="811" spans="1:22" x14ac:dyDescent="0.2">
      <c r="A811" t="s">
        <v>1685</v>
      </c>
      <c r="B811" t="s">
        <v>1686</v>
      </c>
      <c r="C811" t="s">
        <v>42</v>
      </c>
      <c r="D811" t="s">
        <v>43</v>
      </c>
      <c r="E811" t="s">
        <v>91</v>
      </c>
      <c r="F811" t="s">
        <v>45</v>
      </c>
      <c r="G811" t="s">
        <v>61</v>
      </c>
      <c r="H811" t="s">
        <v>98</v>
      </c>
      <c r="I811" t="s">
        <v>56</v>
      </c>
      <c r="J811" t="s">
        <v>37</v>
      </c>
      <c r="K811" s="4">
        <v>45836</v>
      </c>
      <c r="L811" s="4">
        <v>46201</v>
      </c>
      <c r="M811" t="s">
        <v>38</v>
      </c>
      <c r="N811" t="s">
        <v>75</v>
      </c>
      <c r="O811">
        <v>3</v>
      </c>
      <c r="P811" t="s">
        <v>111</v>
      </c>
      <c r="Q811" s="4">
        <v>46408</v>
      </c>
      <c r="R811" t="s">
        <v>84</v>
      </c>
      <c r="S811" t="s">
        <v>38</v>
      </c>
      <c r="T811" t="s">
        <v>3153</v>
      </c>
      <c r="U811" t="s">
        <v>75</v>
      </c>
      <c r="V811" t="s">
        <v>3152</v>
      </c>
    </row>
    <row r="812" spans="1:22" x14ac:dyDescent="0.2">
      <c r="A812" t="s">
        <v>1687</v>
      </c>
      <c r="B812" t="s">
        <v>1688</v>
      </c>
      <c r="C812" t="s">
        <v>42</v>
      </c>
      <c r="D812" t="s">
        <v>43</v>
      </c>
      <c r="E812" t="s">
        <v>44</v>
      </c>
      <c r="F812" t="s">
        <v>34</v>
      </c>
      <c r="G812" t="s">
        <v>35</v>
      </c>
      <c r="H812" t="s">
        <v>36</v>
      </c>
      <c r="I812" t="s">
        <v>56</v>
      </c>
      <c r="J812" t="s">
        <v>63</v>
      </c>
      <c r="K812" s="4">
        <v>45866</v>
      </c>
      <c r="L812" s="4">
        <v>46231</v>
      </c>
      <c r="M812" t="s">
        <v>38</v>
      </c>
      <c r="N812" t="s">
        <v>75</v>
      </c>
      <c r="O812">
        <v>0</v>
      </c>
      <c r="P812" t="s">
        <v>62</v>
      </c>
      <c r="Q812" s="4">
        <v>46242</v>
      </c>
      <c r="R812" t="s">
        <v>57</v>
      </c>
      <c r="S812" t="s">
        <v>38</v>
      </c>
      <c r="T812" t="s">
        <v>3153</v>
      </c>
      <c r="U812" t="s">
        <v>75</v>
      </c>
      <c r="V812" t="s">
        <v>3152</v>
      </c>
    </row>
    <row r="813" spans="1:22" x14ac:dyDescent="0.2">
      <c r="A813" t="s">
        <v>1689</v>
      </c>
      <c r="B813" t="s">
        <v>1690</v>
      </c>
      <c r="C813" t="s">
        <v>42</v>
      </c>
      <c r="D813" t="s">
        <v>43</v>
      </c>
      <c r="E813" t="s">
        <v>53</v>
      </c>
      <c r="F813" t="s">
        <v>45</v>
      </c>
      <c r="G813" t="s">
        <v>61</v>
      </c>
      <c r="H813" t="s">
        <v>47</v>
      </c>
      <c r="I813" t="s">
        <v>56</v>
      </c>
      <c r="J813" t="s">
        <v>63</v>
      </c>
      <c r="K813" s="4">
        <v>45875</v>
      </c>
      <c r="L813" s="4">
        <v>46240</v>
      </c>
      <c r="M813" t="s">
        <v>38</v>
      </c>
      <c r="N813" t="s">
        <v>49</v>
      </c>
      <c r="O813">
        <v>0</v>
      </c>
      <c r="P813" t="s">
        <v>106</v>
      </c>
      <c r="Q813" s="4">
        <v>46178</v>
      </c>
      <c r="R813" t="s">
        <v>57</v>
      </c>
      <c r="S813" t="s">
        <v>38</v>
      </c>
      <c r="T813" t="s">
        <v>3153</v>
      </c>
      <c r="U813" t="s">
        <v>49</v>
      </c>
      <c r="V813" t="s">
        <v>3154</v>
      </c>
    </row>
    <row r="814" spans="1:22" x14ac:dyDescent="0.2">
      <c r="A814" t="s">
        <v>1691</v>
      </c>
      <c r="B814" t="s">
        <v>1692</v>
      </c>
      <c r="C814" t="s">
        <v>31</v>
      </c>
      <c r="D814" t="s">
        <v>87</v>
      </c>
      <c r="E814" t="s">
        <v>80</v>
      </c>
      <c r="F814" t="s">
        <v>67</v>
      </c>
      <c r="G814" t="s">
        <v>68</v>
      </c>
      <c r="H814" t="s">
        <v>88</v>
      </c>
      <c r="I814" t="s">
        <v>111</v>
      </c>
      <c r="J814" t="s">
        <v>48</v>
      </c>
      <c r="K814" s="4">
        <v>46271</v>
      </c>
      <c r="L814" s="4">
        <v>46451</v>
      </c>
      <c r="M814" t="s">
        <v>64</v>
      </c>
      <c r="N814" t="s">
        <v>75</v>
      </c>
      <c r="O814">
        <v>3</v>
      </c>
      <c r="P814" t="s">
        <v>56</v>
      </c>
      <c r="Q814" s="4">
        <v>46399</v>
      </c>
      <c r="R814" t="s">
        <v>64</v>
      </c>
      <c r="S814" t="s">
        <v>3155</v>
      </c>
      <c r="T814" t="s">
        <v>3153</v>
      </c>
      <c r="U814" t="s">
        <v>75</v>
      </c>
      <c r="V814" t="s">
        <v>3154</v>
      </c>
    </row>
    <row r="815" spans="1:22" x14ac:dyDescent="0.2">
      <c r="A815" t="s">
        <v>1693</v>
      </c>
      <c r="B815" t="s">
        <v>1694</v>
      </c>
      <c r="C815" t="s">
        <v>31</v>
      </c>
      <c r="D815" t="s">
        <v>83</v>
      </c>
      <c r="E815" t="s">
        <v>105</v>
      </c>
      <c r="F815" t="s">
        <v>34</v>
      </c>
      <c r="G815" t="s">
        <v>35</v>
      </c>
      <c r="H815" t="s">
        <v>88</v>
      </c>
      <c r="I815" t="s">
        <v>56</v>
      </c>
      <c r="J815" t="s">
        <v>63</v>
      </c>
      <c r="K815" s="4">
        <v>45883</v>
      </c>
      <c r="L815" s="4">
        <v>46063</v>
      </c>
      <c r="M815" t="s">
        <v>38</v>
      </c>
      <c r="N815" t="s">
        <v>75</v>
      </c>
      <c r="O815">
        <v>3</v>
      </c>
      <c r="P815" t="s">
        <v>39</v>
      </c>
      <c r="Q815" s="4">
        <v>46180</v>
      </c>
      <c r="R815" t="s">
        <v>64</v>
      </c>
      <c r="S815" t="s">
        <v>38</v>
      </c>
      <c r="T815" t="s">
        <v>3153</v>
      </c>
      <c r="U815" t="s">
        <v>75</v>
      </c>
      <c r="V815" t="s">
        <v>3154</v>
      </c>
    </row>
    <row r="816" spans="1:22" x14ac:dyDescent="0.2">
      <c r="A816" t="s">
        <v>1695</v>
      </c>
      <c r="B816" t="s">
        <v>1696</v>
      </c>
      <c r="C816" t="s">
        <v>42</v>
      </c>
      <c r="D816" t="s">
        <v>43</v>
      </c>
      <c r="E816" t="s">
        <v>91</v>
      </c>
      <c r="F816" t="s">
        <v>45</v>
      </c>
      <c r="G816" t="s">
        <v>46</v>
      </c>
      <c r="H816" t="s">
        <v>47</v>
      </c>
      <c r="I816" t="s">
        <v>111</v>
      </c>
      <c r="J816" t="s">
        <v>48</v>
      </c>
      <c r="K816" s="4">
        <v>45979</v>
      </c>
      <c r="L816" s="4">
        <v>46159</v>
      </c>
      <c r="M816" t="s">
        <v>38</v>
      </c>
      <c r="N816" t="s">
        <v>55</v>
      </c>
      <c r="O816">
        <v>1</v>
      </c>
      <c r="P816" t="s">
        <v>106</v>
      </c>
      <c r="Q816" s="4">
        <v>46146</v>
      </c>
      <c r="R816" t="s">
        <v>38</v>
      </c>
      <c r="S816" t="s">
        <v>38</v>
      </c>
      <c r="T816" t="s">
        <v>3153</v>
      </c>
      <c r="U816" t="s">
        <v>55</v>
      </c>
      <c r="V816" t="s">
        <v>3154</v>
      </c>
    </row>
    <row r="817" spans="1:22" x14ac:dyDescent="0.2">
      <c r="A817" t="s">
        <v>1697</v>
      </c>
      <c r="B817" t="s">
        <v>1698</v>
      </c>
      <c r="C817" t="s">
        <v>103</v>
      </c>
      <c r="D817" t="s">
        <v>104</v>
      </c>
      <c r="E817" t="s">
        <v>60</v>
      </c>
      <c r="F817" t="s">
        <v>34</v>
      </c>
      <c r="G817" t="s">
        <v>35</v>
      </c>
      <c r="H817" t="s">
        <v>47</v>
      </c>
      <c r="I817" t="s">
        <v>70</v>
      </c>
      <c r="J817" t="s">
        <v>63</v>
      </c>
      <c r="K817" s="4">
        <v>46236</v>
      </c>
      <c r="L817" s="4">
        <v>46601</v>
      </c>
      <c r="M817" t="s">
        <v>64</v>
      </c>
      <c r="N817" t="s">
        <v>49</v>
      </c>
      <c r="O817">
        <v>0</v>
      </c>
      <c r="P817" t="s">
        <v>106</v>
      </c>
      <c r="Q817" s="4">
        <v>46236</v>
      </c>
      <c r="R817" t="s">
        <v>57</v>
      </c>
      <c r="S817" t="s">
        <v>3155</v>
      </c>
      <c r="T817" t="s">
        <v>3153</v>
      </c>
      <c r="U817" t="s">
        <v>49</v>
      </c>
      <c r="V817" t="s">
        <v>3154</v>
      </c>
    </row>
    <row r="818" spans="1:22" x14ac:dyDescent="0.2">
      <c r="A818" t="s">
        <v>1699</v>
      </c>
      <c r="B818" t="s">
        <v>1700</v>
      </c>
      <c r="C818" t="s">
        <v>73</v>
      </c>
      <c r="D818" t="s">
        <v>74</v>
      </c>
      <c r="E818" t="s">
        <v>105</v>
      </c>
      <c r="F818" t="s">
        <v>34</v>
      </c>
      <c r="G818" t="s">
        <v>35</v>
      </c>
      <c r="H818" t="s">
        <v>88</v>
      </c>
      <c r="I818" t="s">
        <v>56</v>
      </c>
      <c r="J818" t="s">
        <v>37</v>
      </c>
      <c r="K818" s="4">
        <v>46202</v>
      </c>
      <c r="L818" s="4">
        <v>46292</v>
      </c>
      <c r="M818" t="s">
        <v>38</v>
      </c>
      <c r="N818" t="s">
        <v>75</v>
      </c>
      <c r="O818">
        <v>2</v>
      </c>
      <c r="P818" t="s">
        <v>39</v>
      </c>
      <c r="Q818" s="4">
        <v>46286</v>
      </c>
      <c r="R818" t="s">
        <v>38</v>
      </c>
      <c r="S818" t="s">
        <v>38</v>
      </c>
      <c r="T818" t="s">
        <v>3153</v>
      </c>
      <c r="U818" t="s">
        <v>75</v>
      </c>
      <c r="V818" t="s">
        <v>3154</v>
      </c>
    </row>
    <row r="819" spans="1:22" x14ac:dyDescent="0.2">
      <c r="A819" t="s">
        <v>1701</v>
      </c>
      <c r="B819" t="s">
        <v>1702</v>
      </c>
      <c r="C819" t="s">
        <v>73</v>
      </c>
      <c r="D819" t="s">
        <v>74</v>
      </c>
      <c r="E819" t="s">
        <v>105</v>
      </c>
      <c r="F819" t="s">
        <v>45</v>
      </c>
      <c r="G819" t="s">
        <v>61</v>
      </c>
      <c r="H819" t="s">
        <v>47</v>
      </c>
      <c r="I819" t="s">
        <v>50</v>
      </c>
      <c r="J819" t="s">
        <v>63</v>
      </c>
      <c r="K819" s="4">
        <v>45809</v>
      </c>
      <c r="L819" s="4">
        <v>46174</v>
      </c>
      <c r="M819" t="s">
        <v>38</v>
      </c>
      <c r="N819" t="s">
        <v>55</v>
      </c>
      <c r="O819">
        <v>0</v>
      </c>
      <c r="P819" t="s">
        <v>106</v>
      </c>
      <c r="Q819" s="4">
        <v>46223</v>
      </c>
      <c r="R819" t="s">
        <v>57</v>
      </c>
      <c r="S819" t="s">
        <v>38</v>
      </c>
      <c r="T819" t="s">
        <v>3153</v>
      </c>
      <c r="U819" t="s">
        <v>55</v>
      </c>
      <c r="V819" t="s">
        <v>3154</v>
      </c>
    </row>
    <row r="820" spans="1:22" x14ac:dyDescent="0.2">
      <c r="A820" t="s">
        <v>1703</v>
      </c>
      <c r="B820" t="s">
        <v>1704</v>
      </c>
      <c r="C820" t="s">
        <v>78</v>
      </c>
      <c r="D820" t="s">
        <v>79</v>
      </c>
      <c r="E820" t="s">
        <v>60</v>
      </c>
      <c r="F820" t="s">
        <v>45</v>
      </c>
      <c r="G820" t="s">
        <v>61</v>
      </c>
      <c r="H820" t="s">
        <v>47</v>
      </c>
      <c r="I820" t="s">
        <v>50</v>
      </c>
      <c r="J820" t="s">
        <v>63</v>
      </c>
      <c r="K820" s="4">
        <v>46080</v>
      </c>
      <c r="L820" s="4">
        <v>46445</v>
      </c>
      <c r="M820" t="s">
        <v>64</v>
      </c>
      <c r="N820" t="s">
        <v>55</v>
      </c>
      <c r="O820">
        <v>1</v>
      </c>
      <c r="P820" t="s">
        <v>70</v>
      </c>
      <c r="Q820" s="4">
        <v>46404</v>
      </c>
      <c r="R820" t="s">
        <v>84</v>
      </c>
      <c r="S820" t="s">
        <v>3155</v>
      </c>
      <c r="T820" t="s">
        <v>3153</v>
      </c>
      <c r="U820" t="s">
        <v>55</v>
      </c>
      <c r="V820" t="s">
        <v>3154</v>
      </c>
    </row>
    <row r="821" spans="1:22" x14ac:dyDescent="0.2">
      <c r="A821" t="s">
        <v>1705</v>
      </c>
      <c r="B821" t="s">
        <v>1706</v>
      </c>
      <c r="C821" t="s">
        <v>73</v>
      </c>
      <c r="D821" t="s">
        <v>74</v>
      </c>
      <c r="E821" t="s">
        <v>60</v>
      </c>
      <c r="F821" t="s">
        <v>34</v>
      </c>
      <c r="G821" t="s">
        <v>35</v>
      </c>
      <c r="H821" t="s">
        <v>88</v>
      </c>
      <c r="I821" t="s">
        <v>111</v>
      </c>
      <c r="J821" t="s">
        <v>37</v>
      </c>
      <c r="K821" s="4">
        <v>46113</v>
      </c>
      <c r="L821" s="4">
        <v>46293</v>
      </c>
      <c r="M821" t="s">
        <v>38</v>
      </c>
      <c r="N821" t="s">
        <v>55</v>
      </c>
      <c r="O821">
        <v>2</v>
      </c>
      <c r="P821" t="s">
        <v>106</v>
      </c>
      <c r="Q821" s="4">
        <v>46239</v>
      </c>
      <c r="R821" t="s">
        <v>64</v>
      </c>
      <c r="S821" t="s">
        <v>38</v>
      </c>
      <c r="T821" t="s">
        <v>3153</v>
      </c>
      <c r="U821" t="s">
        <v>55</v>
      </c>
      <c r="V821" t="s">
        <v>3154</v>
      </c>
    </row>
    <row r="822" spans="1:22" x14ac:dyDescent="0.2">
      <c r="A822" t="s">
        <v>1707</v>
      </c>
      <c r="B822" t="s">
        <v>1708</v>
      </c>
      <c r="C822" t="s">
        <v>96</v>
      </c>
      <c r="D822" t="s">
        <v>97</v>
      </c>
      <c r="E822" t="s">
        <v>91</v>
      </c>
      <c r="F822" t="s">
        <v>34</v>
      </c>
      <c r="G822" t="s">
        <v>35</v>
      </c>
      <c r="H822" t="s">
        <v>47</v>
      </c>
      <c r="I822" t="s">
        <v>62</v>
      </c>
      <c r="J822" t="s">
        <v>48</v>
      </c>
      <c r="K822" s="4">
        <v>46090</v>
      </c>
      <c r="L822" s="4">
        <v>46180</v>
      </c>
      <c r="M822" t="s">
        <v>38</v>
      </c>
      <c r="N822" t="s">
        <v>75</v>
      </c>
      <c r="O822">
        <v>0</v>
      </c>
      <c r="P822" t="s">
        <v>111</v>
      </c>
      <c r="Q822" s="4">
        <v>46300</v>
      </c>
      <c r="R822" t="s">
        <v>57</v>
      </c>
      <c r="S822" t="s">
        <v>38</v>
      </c>
      <c r="T822" t="s">
        <v>3153</v>
      </c>
      <c r="U822" t="s">
        <v>75</v>
      </c>
      <c r="V822" t="s">
        <v>3154</v>
      </c>
    </row>
    <row r="823" spans="1:22" x14ac:dyDescent="0.2">
      <c r="A823" t="s">
        <v>1709</v>
      </c>
      <c r="B823" t="s">
        <v>1710</v>
      </c>
      <c r="C823" t="s">
        <v>42</v>
      </c>
      <c r="D823" t="s">
        <v>43</v>
      </c>
      <c r="E823" t="s">
        <v>60</v>
      </c>
      <c r="F823" t="s">
        <v>67</v>
      </c>
      <c r="G823" t="s">
        <v>68</v>
      </c>
      <c r="H823" t="s">
        <v>36</v>
      </c>
      <c r="I823" t="s">
        <v>50</v>
      </c>
      <c r="J823" t="s">
        <v>37</v>
      </c>
      <c r="K823" s="4">
        <v>45802</v>
      </c>
      <c r="L823" s="4">
        <v>46167</v>
      </c>
      <c r="M823" t="s">
        <v>38</v>
      </c>
      <c r="N823" t="s">
        <v>55</v>
      </c>
      <c r="O823">
        <v>3</v>
      </c>
      <c r="P823" t="s">
        <v>106</v>
      </c>
      <c r="Q823" s="4">
        <v>46414</v>
      </c>
      <c r="R823" t="s">
        <v>84</v>
      </c>
      <c r="S823" t="s">
        <v>38</v>
      </c>
      <c r="T823" t="s">
        <v>3153</v>
      </c>
      <c r="U823" t="s">
        <v>55</v>
      </c>
      <c r="V823" t="s">
        <v>3152</v>
      </c>
    </row>
    <row r="824" spans="1:22" x14ac:dyDescent="0.2">
      <c r="A824" t="s">
        <v>1711</v>
      </c>
      <c r="B824" t="s">
        <v>1712</v>
      </c>
      <c r="C824" t="s">
        <v>31</v>
      </c>
      <c r="D824" t="s">
        <v>87</v>
      </c>
      <c r="E824" t="s">
        <v>105</v>
      </c>
      <c r="F824" t="s">
        <v>67</v>
      </c>
      <c r="G824" t="s">
        <v>68</v>
      </c>
      <c r="H824" t="s">
        <v>88</v>
      </c>
      <c r="I824" t="s">
        <v>50</v>
      </c>
      <c r="J824" t="s">
        <v>48</v>
      </c>
      <c r="K824" s="4">
        <v>45981</v>
      </c>
      <c r="L824" s="4">
        <v>46161</v>
      </c>
      <c r="M824" t="s">
        <v>38</v>
      </c>
      <c r="N824" t="s">
        <v>49</v>
      </c>
      <c r="O824">
        <v>1</v>
      </c>
      <c r="P824" t="s">
        <v>62</v>
      </c>
      <c r="Q824" s="4">
        <v>46207</v>
      </c>
      <c r="R824" t="s">
        <v>38</v>
      </c>
      <c r="S824" t="s">
        <v>38</v>
      </c>
      <c r="T824" t="s">
        <v>3153</v>
      </c>
      <c r="U824" t="s">
        <v>49</v>
      </c>
      <c r="V824" t="s">
        <v>3154</v>
      </c>
    </row>
    <row r="825" spans="1:22" x14ac:dyDescent="0.2">
      <c r="A825" t="s">
        <v>1713</v>
      </c>
      <c r="B825" t="s">
        <v>1714</v>
      </c>
      <c r="C825" t="s">
        <v>78</v>
      </c>
      <c r="D825" t="s">
        <v>79</v>
      </c>
      <c r="E825" t="s">
        <v>91</v>
      </c>
      <c r="F825" t="s">
        <v>67</v>
      </c>
      <c r="G825" t="s">
        <v>118</v>
      </c>
      <c r="H825" t="s">
        <v>47</v>
      </c>
      <c r="I825" t="s">
        <v>39</v>
      </c>
      <c r="J825" t="s">
        <v>37</v>
      </c>
      <c r="K825" s="4">
        <v>45849</v>
      </c>
      <c r="L825" s="4">
        <v>46029</v>
      </c>
      <c r="M825" t="s">
        <v>38</v>
      </c>
      <c r="N825" t="s">
        <v>55</v>
      </c>
      <c r="O825">
        <v>1</v>
      </c>
      <c r="P825" t="s">
        <v>50</v>
      </c>
      <c r="Q825" s="4">
        <v>46152</v>
      </c>
      <c r="R825" t="s">
        <v>64</v>
      </c>
      <c r="S825" t="s">
        <v>38</v>
      </c>
      <c r="T825" t="s">
        <v>3153</v>
      </c>
      <c r="U825" t="s">
        <v>55</v>
      </c>
      <c r="V825" t="s">
        <v>3154</v>
      </c>
    </row>
    <row r="826" spans="1:22" x14ac:dyDescent="0.2">
      <c r="A826" t="s">
        <v>1715</v>
      </c>
      <c r="B826" t="s">
        <v>1716</v>
      </c>
      <c r="C826" t="s">
        <v>31</v>
      </c>
      <c r="D826" t="s">
        <v>32</v>
      </c>
      <c r="E826" t="s">
        <v>91</v>
      </c>
      <c r="F826" t="s">
        <v>67</v>
      </c>
      <c r="G826" t="s">
        <v>68</v>
      </c>
      <c r="H826" t="s">
        <v>47</v>
      </c>
      <c r="I826" t="s">
        <v>106</v>
      </c>
      <c r="J826" t="s">
        <v>37</v>
      </c>
      <c r="K826" s="4">
        <v>45816</v>
      </c>
      <c r="L826" s="4">
        <v>45996</v>
      </c>
      <c r="M826" t="s">
        <v>38</v>
      </c>
      <c r="N826" t="s">
        <v>49</v>
      </c>
      <c r="O826">
        <v>0</v>
      </c>
      <c r="P826" t="s">
        <v>111</v>
      </c>
      <c r="Q826" s="4">
        <v>46138</v>
      </c>
      <c r="R826" t="s">
        <v>57</v>
      </c>
      <c r="S826" t="s">
        <v>38</v>
      </c>
      <c r="T826" t="s">
        <v>3153</v>
      </c>
      <c r="U826" t="s">
        <v>49</v>
      </c>
      <c r="V826" t="s">
        <v>3154</v>
      </c>
    </row>
    <row r="827" spans="1:22" x14ac:dyDescent="0.2">
      <c r="A827" t="s">
        <v>1717</v>
      </c>
      <c r="B827" t="s">
        <v>1718</v>
      </c>
      <c r="C827" t="s">
        <v>31</v>
      </c>
      <c r="D827" t="s">
        <v>32</v>
      </c>
      <c r="E827" t="s">
        <v>91</v>
      </c>
      <c r="F827" t="s">
        <v>67</v>
      </c>
      <c r="G827" t="s">
        <v>118</v>
      </c>
      <c r="H827" t="s">
        <v>36</v>
      </c>
      <c r="I827" t="s">
        <v>56</v>
      </c>
      <c r="J827" t="s">
        <v>48</v>
      </c>
      <c r="K827" s="4">
        <v>45888</v>
      </c>
      <c r="L827" s="4">
        <v>46068</v>
      </c>
      <c r="M827" t="s">
        <v>38</v>
      </c>
      <c r="N827" t="s">
        <v>49</v>
      </c>
      <c r="O827">
        <v>1</v>
      </c>
      <c r="P827" t="s">
        <v>106</v>
      </c>
      <c r="Q827" s="4">
        <v>46208</v>
      </c>
      <c r="R827" t="s">
        <v>38</v>
      </c>
      <c r="S827" t="s">
        <v>38</v>
      </c>
      <c r="T827" t="s">
        <v>3153</v>
      </c>
      <c r="U827" t="s">
        <v>49</v>
      </c>
      <c r="V827" t="s">
        <v>3152</v>
      </c>
    </row>
    <row r="828" spans="1:22" x14ac:dyDescent="0.2">
      <c r="A828" t="s">
        <v>1719</v>
      </c>
      <c r="B828" t="s">
        <v>1720</v>
      </c>
      <c r="C828" t="s">
        <v>78</v>
      </c>
      <c r="D828" t="s">
        <v>79</v>
      </c>
      <c r="E828" t="s">
        <v>80</v>
      </c>
      <c r="F828" t="s">
        <v>34</v>
      </c>
      <c r="G828" t="s">
        <v>35</v>
      </c>
      <c r="H828" t="s">
        <v>88</v>
      </c>
      <c r="I828" t="s">
        <v>50</v>
      </c>
      <c r="J828" t="s">
        <v>37</v>
      </c>
      <c r="K828" s="4">
        <v>46015</v>
      </c>
      <c r="L828" s="4">
        <v>46380</v>
      </c>
      <c r="M828" t="s">
        <v>84</v>
      </c>
      <c r="N828" t="s">
        <v>55</v>
      </c>
      <c r="O828">
        <v>2</v>
      </c>
      <c r="P828" t="s">
        <v>62</v>
      </c>
      <c r="Q828" s="4">
        <v>46367</v>
      </c>
      <c r="R828" t="s">
        <v>64</v>
      </c>
      <c r="S828" t="s">
        <v>3155</v>
      </c>
      <c r="T828" t="s">
        <v>3153</v>
      </c>
      <c r="U828" t="s">
        <v>55</v>
      </c>
      <c r="V828" t="s">
        <v>3154</v>
      </c>
    </row>
    <row r="829" spans="1:22" x14ac:dyDescent="0.2">
      <c r="A829" t="s">
        <v>1721</v>
      </c>
      <c r="B829" t="s">
        <v>1722</v>
      </c>
      <c r="C829" t="s">
        <v>31</v>
      </c>
      <c r="D829" t="s">
        <v>83</v>
      </c>
      <c r="E829" t="s">
        <v>44</v>
      </c>
      <c r="F829" t="s">
        <v>67</v>
      </c>
      <c r="G829" t="s">
        <v>68</v>
      </c>
      <c r="H829" t="s">
        <v>47</v>
      </c>
      <c r="I829" t="s">
        <v>54</v>
      </c>
      <c r="J829" t="s">
        <v>37</v>
      </c>
      <c r="K829" s="4">
        <v>46055</v>
      </c>
      <c r="L829" s="4">
        <v>46420</v>
      </c>
      <c r="M829" t="s">
        <v>64</v>
      </c>
      <c r="N829" t="s">
        <v>49</v>
      </c>
      <c r="O829">
        <v>2</v>
      </c>
      <c r="P829" t="s">
        <v>56</v>
      </c>
      <c r="Q829" s="4">
        <v>46165</v>
      </c>
      <c r="R829" t="s">
        <v>64</v>
      </c>
      <c r="S829" t="s">
        <v>3155</v>
      </c>
      <c r="T829" t="s">
        <v>3153</v>
      </c>
      <c r="U829" t="s">
        <v>49</v>
      </c>
      <c r="V829" t="s">
        <v>3154</v>
      </c>
    </row>
    <row r="830" spans="1:22" x14ac:dyDescent="0.2">
      <c r="A830" t="s">
        <v>1723</v>
      </c>
      <c r="B830" t="s">
        <v>1724</v>
      </c>
      <c r="C830" t="s">
        <v>42</v>
      </c>
      <c r="D830" t="s">
        <v>43</v>
      </c>
      <c r="E830" t="s">
        <v>44</v>
      </c>
      <c r="F830" t="s">
        <v>67</v>
      </c>
      <c r="G830" t="s">
        <v>118</v>
      </c>
      <c r="H830" t="s">
        <v>36</v>
      </c>
      <c r="I830" t="s">
        <v>56</v>
      </c>
      <c r="J830" t="s">
        <v>48</v>
      </c>
      <c r="K830" s="4">
        <v>45795</v>
      </c>
      <c r="L830" s="4">
        <v>45975</v>
      </c>
      <c r="M830" t="s">
        <v>38</v>
      </c>
      <c r="N830" t="s">
        <v>49</v>
      </c>
      <c r="O830">
        <v>0</v>
      </c>
      <c r="P830" t="s">
        <v>54</v>
      </c>
      <c r="Q830" s="4">
        <v>46233</v>
      </c>
      <c r="R830" t="s">
        <v>57</v>
      </c>
      <c r="S830" t="s">
        <v>38</v>
      </c>
      <c r="T830" t="s">
        <v>3153</v>
      </c>
      <c r="U830" t="s">
        <v>49</v>
      </c>
      <c r="V830" t="s">
        <v>3152</v>
      </c>
    </row>
    <row r="831" spans="1:22" x14ac:dyDescent="0.2">
      <c r="A831" t="s">
        <v>1725</v>
      </c>
      <c r="B831" t="s">
        <v>1726</v>
      </c>
      <c r="C831" t="s">
        <v>31</v>
      </c>
      <c r="D831" t="s">
        <v>87</v>
      </c>
      <c r="E831" t="s">
        <v>105</v>
      </c>
      <c r="F831" t="s">
        <v>34</v>
      </c>
      <c r="G831" t="s">
        <v>35</v>
      </c>
      <c r="H831" t="s">
        <v>88</v>
      </c>
      <c r="I831" t="s">
        <v>39</v>
      </c>
      <c r="J831" t="s">
        <v>48</v>
      </c>
      <c r="K831" s="4">
        <v>45819</v>
      </c>
      <c r="L831" s="4">
        <v>46184</v>
      </c>
      <c r="M831" t="s">
        <v>38</v>
      </c>
      <c r="N831" t="s">
        <v>49</v>
      </c>
      <c r="O831">
        <v>1</v>
      </c>
      <c r="P831" t="s">
        <v>56</v>
      </c>
      <c r="Q831" s="4">
        <v>46118</v>
      </c>
      <c r="R831" t="s">
        <v>38</v>
      </c>
      <c r="S831" t="s">
        <v>38</v>
      </c>
      <c r="T831" t="s">
        <v>3153</v>
      </c>
      <c r="U831" t="s">
        <v>49</v>
      </c>
      <c r="V831" t="s">
        <v>3154</v>
      </c>
    </row>
    <row r="832" spans="1:22" x14ac:dyDescent="0.2">
      <c r="A832" t="s">
        <v>1727</v>
      </c>
      <c r="B832" t="s">
        <v>1728</v>
      </c>
      <c r="C832" t="s">
        <v>31</v>
      </c>
      <c r="D832" t="s">
        <v>32</v>
      </c>
      <c r="E832" t="s">
        <v>91</v>
      </c>
      <c r="F832" t="s">
        <v>34</v>
      </c>
      <c r="G832" t="s">
        <v>35</v>
      </c>
      <c r="H832" t="s">
        <v>88</v>
      </c>
      <c r="I832" t="s">
        <v>50</v>
      </c>
      <c r="J832" t="s">
        <v>37</v>
      </c>
      <c r="K832" s="4">
        <v>45850</v>
      </c>
      <c r="L832" s="4">
        <v>46030</v>
      </c>
      <c r="M832" t="s">
        <v>38</v>
      </c>
      <c r="O832">
        <v>2</v>
      </c>
      <c r="P832" t="s">
        <v>111</v>
      </c>
      <c r="Q832" s="4">
        <v>46171</v>
      </c>
      <c r="R832" t="s">
        <v>38</v>
      </c>
      <c r="S832" t="s">
        <v>38</v>
      </c>
      <c r="T832" t="s">
        <v>3153</v>
      </c>
      <c r="U832" t="s">
        <v>3151</v>
      </c>
      <c r="V832" t="s">
        <v>3154</v>
      </c>
    </row>
    <row r="833" spans="1:22" x14ac:dyDescent="0.2">
      <c r="A833" t="s">
        <v>1729</v>
      </c>
      <c r="B833" t="s">
        <v>1730</v>
      </c>
      <c r="C833" t="s">
        <v>73</v>
      </c>
      <c r="D833" t="s">
        <v>74</v>
      </c>
      <c r="E833" t="s">
        <v>44</v>
      </c>
      <c r="F833" t="s">
        <v>67</v>
      </c>
      <c r="G833" t="s">
        <v>68</v>
      </c>
      <c r="H833" t="s">
        <v>98</v>
      </c>
      <c r="I833" t="s">
        <v>70</v>
      </c>
      <c r="J833" t="s">
        <v>37</v>
      </c>
      <c r="K833" s="4">
        <v>46094</v>
      </c>
      <c r="L833" s="4">
        <v>46184</v>
      </c>
      <c r="M833" t="s">
        <v>38</v>
      </c>
      <c r="N833" t="s">
        <v>49</v>
      </c>
      <c r="O833">
        <v>1</v>
      </c>
      <c r="P833" t="s">
        <v>70</v>
      </c>
      <c r="Q833" s="4">
        <v>46153</v>
      </c>
      <c r="R833" t="s">
        <v>64</v>
      </c>
      <c r="S833" t="s">
        <v>38</v>
      </c>
      <c r="T833" t="s">
        <v>3153</v>
      </c>
      <c r="U833" t="s">
        <v>49</v>
      </c>
      <c r="V833" t="s">
        <v>3152</v>
      </c>
    </row>
    <row r="834" spans="1:22" x14ac:dyDescent="0.2">
      <c r="A834" t="s">
        <v>1731</v>
      </c>
      <c r="B834" t="s">
        <v>1732</v>
      </c>
      <c r="C834" t="s">
        <v>31</v>
      </c>
      <c r="D834" t="s">
        <v>83</v>
      </c>
      <c r="E834" t="s">
        <v>105</v>
      </c>
      <c r="F834" t="s">
        <v>34</v>
      </c>
      <c r="G834" t="s">
        <v>35</v>
      </c>
      <c r="H834" t="s">
        <v>88</v>
      </c>
      <c r="I834" t="s">
        <v>106</v>
      </c>
      <c r="J834" t="s">
        <v>37</v>
      </c>
      <c r="K834" s="4">
        <v>46178</v>
      </c>
      <c r="L834" s="4">
        <v>46543</v>
      </c>
      <c r="M834" t="s">
        <v>84</v>
      </c>
      <c r="N834" t="s">
        <v>49</v>
      </c>
      <c r="O834">
        <v>0</v>
      </c>
      <c r="P834" t="s">
        <v>54</v>
      </c>
      <c r="Q834" s="4">
        <v>46240</v>
      </c>
      <c r="R834" t="s">
        <v>57</v>
      </c>
      <c r="S834" t="s">
        <v>3155</v>
      </c>
      <c r="T834" t="s">
        <v>3153</v>
      </c>
      <c r="U834" t="s">
        <v>49</v>
      </c>
      <c r="V834" t="s">
        <v>3154</v>
      </c>
    </row>
    <row r="835" spans="1:22" x14ac:dyDescent="0.2">
      <c r="A835" t="s">
        <v>1733</v>
      </c>
      <c r="B835" t="s">
        <v>1734</v>
      </c>
      <c r="C835" t="s">
        <v>31</v>
      </c>
      <c r="D835" t="s">
        <v>32</v>
      </c>
      <c r="E835" t="s">
        <v>53</v>
      </c>
      <c r="F835" t="s">
        <v>34</v>
      </c>
      <c r="G835" t="s">
        <v>35</v>
      </c>
      <c r="H835" t="s">
        <v>88</v>
      </c>
      <c r="I835" t="s">
        <v>111</v>
      </c>
      <c r="J835" t="s">
        <v>63</v>
      </c>
      <c r="K835" s="4">
        <v>45859</v>
      </c>
      <c r="L835" s="4">
        <v>45949</v>
      </c>
      <c r="M835" t="s">
        <v>38</v>
      </c>
      <c r="N835" t="s">
        <v>49</v>
      </c>
      <c r="O835">
        <v>3</v>
      </c>
      <c r="P835" t="s">
        <v>54</v>
      </c>
      <c r="Q835" s="4">
        <v>46259</v>
      </c>
      <c r="R835" t="s">
        <v>64</v>
      </c>
      <c r="S835" t="s">
        <v>38</v>
      </c>
      <c r="T835" t="s">
        <v>3153</v>
      </c>
      <c r="U835" t="s">
        <v>49</v>
      </c>
      <c r="V835" t="s">
        <v>3154</v>
      </c>
    </row>
    <row r="836" spans="1:22" x14ac:dyDescent="0.2">
      <c r="A836" t="s">
        <v>1735</v>
      </c>
      <c r="B836" t="s">
        <v>1736</v>
      </c>
      <c r="C836" t="s">
        <v>103</v>
      </c>
      <c r="D836" t="s">
        <v>104</v>
      </c>
      <c r="E836" t="s">
        <v>105</v>
      </c>
      <c r="F836" t="s">
        <v>45</v>
      </c>
      <c r="G836" t="s">
        <v>61</v>
      </c>
      <c r="H836" t="s">
        <v>88</v>
      </c>
      <c r="I836" t="s">
        <v>54</v>
      </c>
      <c r="J836" t="s">
        <v>37</v>
      </c>
      <c r="K836" s="4">
        <v>45912</v>
      </c>
      <c r="L836" s="4">
        <v>46002</v>
      </c>
      <c r="M836" t="s">
        <v>38</v>
      </c>
      <c r="N836" t="s">
        <v>55</v>
      </c>
      <c r="O836">
        <v>3</v>
      </c>
      <c r="P836" t="s">
        <v>111</v>
      </c>
      <c r="Q836" s="4">
        <v>46249</v>
      </c>
      <c r="R836" t="s">
        <v>38</v>
      </c>
      <c r="S836" t="s">
        <v>38</v>
      </c>
      <c r="T836" t="s">
        <v>3153</v>
      </c>
      <c r="U836" t="s">
        <v>55</v>
      </c>
      <c r="V836" t="s">
        <v>3154</v>
      </c>
    </row>
    <row r="837" spans="1:22" x14ac:dyDescent="0.2">
      <c r="A837" t="s">
        <v>1737</v>
      </c>
      <c r="B837" t="s">
        <v>1738</v>
      </c>
      <c r="C837" t="s">
        <v>96</v>
      </c>
      <c r="D837" t="s">
        <v>97</v>
      </c>
      <c r="E837" t="s">
        <v>53</v>
      </c>
      <c r="F837" t="s">
        <v>34</v>
      </c>
      <c r="G837" t="s">
        <v>35</v>
      </c>
      <c r="H837" t="s">
        <v>36</v>
      </c>
      <c r="I837" t="s">
        <v>56</v>
      </c>
      <c r="J837" t="s">
        <v>48</v>
      </c>
      <c r="K837" s="4">
        <v>45933</v>
      </c>
      <c r="L837" s="4">
        <v>46113</v>
      </c>
      <c r="M837" t="s">
        <v>38</v>
      </c>
      <c r="N837" t="s">
        <v>75</v>
      </c>
      <c r="O837">
        <v>5</v>
      </c>
      <c r="P837" t="s">
        <v>54</v>
      </c>
      <c r="Q837" s="4">
        <v>46315</v>
      </c>
      <c r="R837" t="s">
        <v>84</v>
      </c>
      <c r="S837" t="s">
        <v>38</v>
      </c>
      <c r="T837" t="s">
        <v>3153</v>
      </c>
      <c r="U837" t="s">
        <v>75</v>
      </c>
      <c r="V837" t="s">
        <v>3152</v>
      </c>
    </row>
    <row r="838" spans="1:22" x14ac:dyDescent="0.2">
      <c r="A838" t="s">
        <v>1739</v>
      </c>
      <c r="B838" t="s">
        <v>1740</v>
      </c>
      <c r="C838" t="s">
        <v>73</v>
      </c>
      <c r="D838" t="s">
        <v>74</v>
      </c>
      <c r="E838" t="s">
        <v>80</v>
      </c>
      <c r="F838" t="s">
        <v>45</v>
      </c>
      <c r="G838" t="s">
        <v>61</v>
      </c>
      <c r="H838" t="s">
        <v>98</v>
      </c>
      <c r="I838" t="s">
        <v>106</v>
      </c>
      <c r="J838" t="s">
        <v>37</v>
      </c>
      <c r="K838" s="4">
        <v>46149</v>
      </c>
      <c r="L838" s="4">
        <v>46514</v>
      </c>
      <c r="M838" t="s">
        <v>64</v>
      </c>
      <c r="N838" t="s">
        <v>55</v>
      </c>
      <c r="O838">
        <v>3</v>
      </c>
      <c r="P838" t="s">
        <v>50</v>
      </c>
      <c r="Q838" s="4">
        <v>46278</v>
      </c>
      <c r="R838" t="s">
        <v>38</v>
      </c>
      <c r="S838" t="s">
        <v>3155</v>
      </c>
      <c r="T838" t="s">
        <v>3153</v>
      </c>
      <c r="U838" t="s">
        <v>55</v>
      </c>
      <c r="V838" t="s">
        <v>3152</v>
      </c>
    </row>
    <row r="839" spans="1:22" x14ac:dyDescent="0.2">
      <c r="A839" t="s">
        <v>1741</v>
      </c>
      <c r="B839" t="s">
        <v>1742</v>
      </c>
      <c r="C839" t="s">
        <v>73</v>
      </c>
      <c r="D839" t="s">
        <v>74</v>
      </c>
      <c r="E839" t="s">
        <v>60</v>
      </c>
      <c r="F839" t="s">
        <v>67</v>
      </c>
      <c r="G839" t="s">
        <v>118</v>
      </c>
      <c r="H839" t="s">
        <v>88</v>
      </c>
      <c r="I839" t="s">
        <v>54</v>
      </c>
      <c r="J839" t="s">
        <v>63</v>
      </c>
      <c r="K839" s="4">
        <v>46261</v>
      </c>
      <c r="L839" s="4">
        <v>46441</v>
      </c>
      <c r="M839" t="s">
        <v>64</v>
      </c>
      <c r="N839" t="s">
        <v>55</v>
      </c>
      <c r="O839">
        <v>3</v>
      </c>
      <c r="P839" t="s">
        <v>106</v>
      </c>
      <c r="Q839" s="4">
        <v>46146</v>
      </c>
      <c r="R839" t="s">
        <v>38</v>
      </c>
      <c r="S839" t="s">
        <v>3155</v>
      </c>
      <c r="T839" t="s">
        <v>3153</v>
      </c>
      <c r="U839" t="s">
        <v>55</v>
      </c>
      <c r="V839" t="s">
        <v>3154</v>
      </c>
    </row>
    <row r="840" spans="1:22" x14ac:dyDescent="0.2">
      <c r="A840" t="s">
        <v>1743</v>
      </c>
      <c r="B840" t="s">
        <v>1744</v>
      </c>
      <c r="C840" t="s">
        <v>31</v>
      </c>
      <c r="D840" t="s">
        <v>87</v>
      </c>
      <c r="E840" t="s">
        <v>80</v>
      </c>
      <c r="F840" t="s">
        <v>67</v>
      </c>
      <c r="G840" t="s">
        <v>118</v>
      </c>
      <c r="H840" t="s">
        <v>88</v>
      </c>
      <c r="I840" t="s">
        <v>56</v>
      </c>
      <c r="J840" t="s">
        <v>37</v>
      </c>
      <c r="K840" s="4">
        <v>45808</v>
      </c>
      <c r="L840" s="4">
        <v>45898</v>
      </c>
      <c r="M840" t="s">
        <v>38</v>
      </c>
      <c r="N840" t="s">
        <v>75</v>
      </c>
      <c r="O840">
        <v>3</v>
      </c>
      <c r="P840" t="s">
        <v>62</v>
      </c>
      <c r="Q840" s="4">
        <v>46227</v>
      </c>
      <c r="R840" t="s">
        <v>64</v>
      </c>
      <c r="S840" t="s">
        <v>38</v>
      </c>
      <c r="T840" t="s">
        <v>3153</v>
      </c>
      <c r="U840" t="s">
        <v>75</v>
      </c>
      <c r="V840" t="s">
        <v>3154</v>
      </c>
    </row>
    <row r="841" spans="1:22" x14ac:dyDescent="0.2">
      <c r="A841" t="s">
        <v>1745</v>
      </c>
      <c r="B841" t="s">
        <v>1746</v>
      </c>
      <c r="C841" t="s">
        <v>78</v>
      </c>
      <c r="D841" t="s">
        <v>79</v>
      </c>
      <c r="E841" t="s">
        <v>60</v>
      </c>
      <c r="F841" t="s">
        <v>45</v>
      </c>
      <c r="G841" t="s">
        <v>46</v>
      </c>
      <c r="H841" t="s">
        <v>47</v>
      </c>
      <c r="I841" t="s">
        <v>70</v>
      </c>
      <c r="J841" t="s">
        <v>63</v>
      </c>
      <c r="K841" s="4">
        <v>45961</v>
      </c>
      <c r="L841" s="4">
        <v>46326</v>
      </c>
      <c r="M841" t="s">
        <v>64</v>
      </c>
      <c r="N841" t="s">
        <v>49</v>
      </c>
      <c r="O841">
        <v>0</v>
      </c>
      <c r="P841" t="s">
        <v>106</v>
      </c>
      <c r="Q841" s="4">
        <v>46125</v>
      </c>
      <c r="R841" t="s">
        <v>57</v>
      </c>
      <c r="S841" t="s">
        <v>3155</v>
      </c>
      <c r="T841" t="s">
        <v>3153</v>
      </c>
      <c r="U841" t="s">
        <v>49</v>
      </c>
      <c r="V841" t="s">
        <v>3154</v>
      </c>
    </row>
    <row r="842" spans="1:22" x14ac:dyDescent="0.2">
      <c r="A842" t="s">
        <v>1747</v>
      </c>
      <c r="B842" t="s">
        <v>1748</v>
      </c>
      <c r="C842" t="s">
        <v>31</v>
      </c>
      <c r="D842" t="s">
        <v>83</v>
      </c>
      <c r="E842" t="s">
        <v>91</v>
      </c>
      <c r="F842" t="s">
        <v>67</v>
      </c>
      <c r="G842" t="s">
        <v>68</v>
      </c>
      <c r="H842" t="s">
        <v>47</v>
      </c>
      <c r="I842" t="s">
        <v>54</v>
      </c>
      <c r="J842" t="s">
        <v>37</v>
      </c>
      <c r="K842" s="4">
        <v>46090</v>
      </c>
      <c r="L842" s="4">
        <v>46455</v>
      </c>
      <c r="M842" t="s">
        <v>64</v>
      </c>
      <c r="N842" t="s">
        <v>55</v>
      </c>
      <c r="O842">
        <v>3</v>
      </c>
      <c r="P842" t="s">
        <v>62</v>
      </c>
      <c r="Q842" s="4">
        <v>46232</v>
      </c>
      <c r="R842" t="s">
        <v>64</v>
      </c>
      <c r="S842" t="s">
        <v>3155</v>
      </c>
      <c r="T842" t="s">
        <v>3153</v>
      </c>
      <c r="U842" t="s">
        <v>55</v>
      </c>
      <c r="V842" t="s">
        <v>3154</v>
      </c>
    </row>
    <row r="843" spans="1:22" x14ac:dyDescent="0.2">
      <c r="A843" t="s">
        <v>1749</v>
      </c>
      <c r="B843" t="s">
        <v>1750</v>
      </c>
      <c r="C843" t="s">
        <v>42</v>
      </c>
      <c r="D843" t="s">
        <v>43</v>
      </c>
      <c r="E843" t="s">
        <v>105</v>
      </c>
      <c r="F843" t="s">
        <v>45</v>
      </c>
      <c r="G843" t="s">
        <v>46</v>
      </c>
      <c r="H843" t="s">
        <v>47</v>
      </c>
      <c r="I843" t="s">
        <v>39</v>
      </c>
      <c r="J843" t="s">
        <v>48</v>
      </c>
      <c r="K843" s="4">
        <v>45889</v>
      </c>
      <c r="L843" s="4">
        <v>46254</v>
      </c>
      <c r="M843" t="s">
        <v>38</v>
      </c>
      <c r="N843" t="s">
        <v>55</v>
      </c>
      <c r="O843">
        <v>3</v>
      </c>
      <c r="P843" t="s">
        <v>54</v>
      </c>
      <c r="Q843" s="4">
        <v>46363</v>
      </c>
      <c r="R843" t="s">
        <v>64</v>
      </c>
      <c r="S843" t="s">
        <v>38</v>
      </c>
      <c r="T843" t="s">
        <v>3153</v>
      </c>
      <c r="U843" t="s">
        <v>55</v>
      </c>
      <c r="V843" t="s">
        <v>3154</v>
      </c>
    </row>
    <row r="844" spans="1:22" x14ac:dyDescent="0.2">
      <c r="A844" t="s">
        <v>1751</v>
      </c>
      <c r="B844" t="s">
        <v>1752</v>
      </c>
      <c r="C844" t="s">
        <v>42</v>
      </c>
      <c r="D844" t="s">
        <v>43</v>
      </c>
      <c r="E844" t="s">
        <v>105</v>
      </c>
      <c r="F844" t="s">
        <v>34</v>
      </c>
      <c r="G844" t="s">
        <v>35</v>
      </c>
      <c r="H844" t="s">
        <v>47</v>
      </c>
      <c r="I844" t="s">
        <v>70</v>
      </c>
      <c r="J844" t="s">
        <v>48</v>
      </c>
      <c r="K844" s="4">
        <v>45859</v>
      </c>
      <c r="L844" s="4">
        <v>46039</v>
      </c>
      <c r="M844" t="s">
        <v>38</v>
      </c>
      <c r="N844" t="s">
        <v>49</v>
      </c>
      <c r="O844">
        <v>3</v>
      </c>
      <c r="P844" t="s">
        <v>70</v>
      </c>
      <c r="Q844" s="4">
        <v>46182</v>
      </c>
      <c r="R844" t="s">
        <v>38</v>
      </c>
      <c r="S844" t="s">
        <v>38</v>
      </c>
      <c r="T844" t="s">
        <v>3153</v>
      </c>
      <c r="U844" t="s">
        <v>49</v>
      </c>
      <c r="V844" t="s">
        <v>3154</v>
      </c>
    </row>
    <row r="845" spans="1:22" x14ac:dyDescent="0.2">
      <c r="A845" t="s">
        <v>1753</v>
      </c>
      <c r="B845" t="s">
        <v>1754</v>
      </c>
      <c r="C845" t="s">
        <v>31</v>
      </c>
      <c r="D845" t="s">
        <v>87</v>
      </c>
      <c r="E845" t="s">
        <v>105</v>
      </c>
      <c r="F845" t="s">
        <v>45</v>
      </c>
      <c r="G845" t="s">
        <v>61</v>
      </c>
      <c r="H845" t="s">
        <v>47</v>
      </c>
      <c r="I845" t="s">
        <v>50</v>
      </c>
      <c r="J845" t="s">
        <v>37</v>
      </c>
      <c r="K845" s="4">
        <v>46227</v>
      </c>
      <c r="L845" s="4">
        <v>46592</v>
      </c>
      <c r="M845" t="s">
        <v>69</v>
      </c>
      <c r="N845" t="s">
        <v>55</v>
      </c>
      <c r="O845">
        <v>2</v>
      </c>
      <c r="P845" t="s">
        <v>111</v>
      </c>
      <c r="Q845" s="4">
        <v>46280</v>
      </c>
      <c r="R845" t="s">
        <v>38</v>
      </c>
      <c r="S845" t="s">
        <v>3155</v>
      </c>
      <c r="T845" t="s">
        <v>3153</v>
      </c>
      <c r="U845" t="s">
        <v>55</v>
      </c>
      <c r="V845" t="s">
        <v>3154</v>
      </c>
    </row>
    <row r="846" spans="1:22" x14ac:dyDescent="0.2">
      <c r="A846" t="s">
        <v>1755</v>
      </c>
      <c r="B846" t="s">
        <v>1756</v>
      </c>
      <c r="C846" t="s">
        <v>78</v>
      </c>
      <c r="D846" t="s">
        <v>79</v>
      </c>
      <c r="E846" t="s">
        <v>53</v>
      </c>
      <c r="F846" t="s">
        <v>45</v>
      </c>
      <c r="G846" t="s">
        <v>46</v>
      </c>
      <c r="H846" t="s">
        <v>98</v>
      </c>
      <c r="I846" t="s">
        <v>111</v>
      </c>
      <c r="J846" t="s">
        <v>37</v>
      </c>
      <c r="K846" s="4">
        <v>46083</v>
      </c>
      <c r="L846" s="4">
        <v>46263</v>
      </c>
      <c r="M846" t="s">
        <v>38</v>
      </c>
      <c r="N846" t="s">
        <v>75</v>
      </c>
      <c r="O846">
        <v>0</v>
      </c>
      <c r="P846" t="s">
        <v>111</v>
      </c>
      <c r="Q846" s="4">
        <v>46228</v>
      </c>
      <c r="R846" t="s">
        <v>57</v>
      </c>
      <c r="S846" t="s">
        <v>38</v>
      </c>
      <c r="T846" t="s">
        <v>3153</v>
      </c>
      <c r="U846" t="s">
        <v>75</v>
      </c>
      <c r="V846" t="s">
        <v>3152</v>
      </c>
    </row>
    <row r="847" spans="1:22" x14ac:dyDescent="0.2">
      <c r="A847" t="s">
        <v>1757</v>
      </c>
      <c r="B847" t="s">
        <v>1758</v>
      </c>
      <c r="C847" t="s">
        <v>103</v>
      </c>
      <c r="D847" t="s">
        <v>104</v>
      </c>
      <c r="E847" t="s">
        <v>80</v>
      </c>
      <c r="F847" t="s">
        <v>67</v>
      </c>
      <c r="G847" t="s">
        <v>68</v>
      </c>
      <c r="H847" t="s">
        <v>47</v>
      </c>
      <c r="I847" t="s">
        <v>111</v>
      </c>
      <c r="J847" t="s">
        <v>48</v>
      </c>
      <c r="K847" s="4">
        <v>45903</v>
      </c>
      <c r="L847" s="4">
        <v>46083</v>
      </c>
      <c r="M847" t="s">
        <v>38</v>
      </c>
      <c r="N847" t="s">
        <v>75</v>
      </c>
      <c r="O847">
        <v>0</v>
      </c>
      <c r="P847" t="s">
        <v>62</v>
      </c>
      <c r="Q847" s="4">
        <v>46346</v>
      </c>
      <c r="R847" t="s">
        <v>57</v>
      </c>
      <c r="S847" t="s">
        <v>38</v>
      </c>
      <c r="T847" t="s">
        <v>3153</v>
      </c>
      <c r="U847" t="s">
        <v>75</v>
      </c>
      <c r="V847" t="s">
        <v>3154</v>
      </c>
    </row>
    <row r="848" spans="1:22" x14ac:dyDescent="0.2">
      <c r="A848" t="s">
        <v>1759</v>
      </c>
      <c r="B848" t="s">
        <v>1760</v>
      </c>
      <c r="C848" t="s">
        <v>31</v>
      </c>
      <c r="D848" t="s">
        <v>83</v>
      </c>
      <c r="E848" t="s">
        <v>53</v>
      </c>
      <c r="F848" t="s">
        <v>45</v>
      </c>
      <c r="G848" t="s">
        <v>61</v>
      </c>
      <c r="H848" t="s">
        <v>88</v>
      </c>
      <c r="J848" t="s">
        <v>37</v>
      </c>
      <c r="K848" s="4">
        <v>46220</v>
      </c>
      <c r="L848" s="4">
        <v>46585</v>
      </c>
      <c r="M848" t="s">
        <v>64</v>
      </c>
      <c r="N848" t="s">
        <v>55</v>
      </c>
      <c r="O848">
        <v>0</v>
      </c>
      <c r="P848" t="s">
        <v>54</v>
      </c>
      <c r="Q848" s="4">
        <v>46163</v>
      </c>
      <c r="R848" t="s">
        <v>57</v>
      </c>
      <c r="S848" t="s">
        <v>3155</v>
      </c>
      <c r="T848" t="s">
        <v>3150</v>
      </c>
      <c r="U848" t="s">
        <v>55</v>
      </c>
      <c r="V848" t="s">
        <v>3154</v>
      </c>
    </row>
    <row r="849" spans="1:22" x14ac:dyDescent="0.2">
      <c r="A849" t="s">
        <v>1761</v>
      </c>
      <c r="B849" t="s">
        <v>1762</v>
      </c>
      <c r="C849" t="s">
        <v>73</v>
      </c>
      <c r="D849" t="s">
        <v>74</v>
      </c>
      <c r="E849" t="s">
        <v>80</v>
      </c>
      <c r="F849" t="s">
        <v>45</v>
      </c>
      <c r="G849" t="s">
        <v>46</v>
      </c>
      <c r="H849" t="s">
        <v>88</v>
      </c>
      <c r="I849" t="s">
        <v>111</v>
      </c>
      <c r="J849" t="s">
        <v>48</v>
      </c>
      <c r="K849" s="4">
        <v>46008</v>
      </c>
      <c r="L849" s="4">
        <v>46373</v>
      </c>
      <c r="M849" t="s">
        <v>84</v>
      </c>
      <c r="N849" t="s">
        <v>55</v>
      </c>
      <c r="O849">
        <v>3</v>
      </c>
      <c r="P849" t="s">
        <v>39</v>
      </c>
      <c r="Q849" s="4">
        <v>46244</v>
      </c>
      <c r="R849" t="s">
        <v>38</v>
      </c>
      <c r="S849" t="s">
        <v>3155</v>
      </c>
      <c r="T849" t="s">
        <v>3153</v>
      </c>
      <c r="U849" t="s">
        <v>55</v>
      </c>
      <c r="V849" t="s">
        <v>3154</v>
      </c>
    </row>
    <row r="850" spans="1:22" x14ac:dyDescent="0.2">
      <c r="A850" t="s">
        <v>1763</v>
      </c>
      <c r="B850" t="s">
        <v>1764</v>
      </c>
      <c r="C850" t="s">
        <v>103</v>
      </c>
      <c r="D850" t="s">
        <v>104</v>
      </c>
      <c r="E850" t="s">
        <v>105</v>
      </c>
      <c r="F850" t="s">
        <v>67</v>
      </c>
      <c r="G850" t="s">
        <v>118</v>
      </c>
      <c r="H850" t="s">
        <v>47</v>
      </c>
      <c r="I850" t="s">
        <v>54</v>
      </c>
      <c r="J850" t="s">
        <v>37</v>
      </c>
      <c r="K850" s="4">
        <v>45889</v>
      </c>
      <c r="L850" s="4">
        <v>46254</v>
      </c>
      <c r="M850" t="s">
        <v>38</v>
      </c>
      <c r="N850" t="s">
        <v>75</v>
      </c>
      <c r="O850">
        <v>3</v>
      </c>
      <c r="P850" t="s">
        <v>111</v>
      </c>
      <c r="Q850" s="4">
        <v>46275</v>
      </c>
      <c r="R850" t="s">
        <v>38</v>
      </c>
      <c r="S850" t="s">
        <v>38</v>
      </c>
      <c r="T850" t="s">
        <v>3153</v>
      </c>
      <c r="U850" t="s">
        <v>75</v>
      </c>
      <c r="V850" t="s">
        <v>3154</v>
      </c>
    </row>
    <row r="851" spans="1:22" x14ac:dyDescent="0.2">
      <c r="A851" t="s">
        <v>1765</v>
      </c>
      <c r="B851" t="s">
        <v>1766</v>
      </c>
      <c r="C851" t="s">
        <v>31</v>
      </c>
      <c r="D851" t="s">
        <v>83</v>
      </c>
      <c r="E851" t="s">
        <v>105</v>
      </c>
      <c r="F851" t="s">
        <v>34</v>
      </c>
      <c r="G851" t="s">
        <v>35</v>
      </c>
      <c r="H851" t="s">
        <v>88</v>
      </c>
      <c r="I851" t="s">
        <v>70</v>
      </c>
      <c r="J851" t="s">
        <v>37</v>
      </c>
      <c r="K851" s="4">
        <v>46083</v>
      </c>
      <c r="L851" s="4">
        <v>46173</v>
      </c>
      <c r="M851" t="s">
        <v>38</v>
      </c>
      <c r="N851" t="s">
        <v>55</v>
      </c>
      <c r="O851">
        <v>1</v>
      </c>
      <c r="P851" t="s">
        <v>70</v>
      </c>
      <c r="Q851" s="4">
        <v>46381</v>
      </c>
      <c r="R851" t="s">
        <v>84</v>
      </c>
      <c r="S851" t="s">
        <v>38</v>
      </c>
      <c r="T851" t="s">
        <v>3153</v>
      </c>
      <c r="U851" t="s">
        <v>55</v>
      </c>
      <c r="V851" t="s">
        <v>3154</v>
      </c>
    </row>
    <row r="852" spans="1:22" x14ac:dyDescent="0.2">
      <c r="A852" t="s">
        <v>1767</v>
      </c>
      <c r="B852" t="s">
        <v>1768</v>
      </c>
      <c r="C852" t="s">
        <v>31</v>
      </c>
      <c r="D852" t="s">
        <v>32</v>
      </c>
      <c r="E852" t="s">
        <v>80</v>
      </c>
      <c r="F852" t="s">
        <v>45</v>
      </c>
      <c r="G852" t="s">
        <v>61</v>
      </c>
      <c r="H852" t="s">
        <v>47</v>
      </c>
      <c r="I852" t="s">
        <v>111</v>
      </c>
      <c r="J852" t="s">
        <v>37</v>
      </c>
      <c r="K852" s="4">
        <v>46204</v>
      </c>
      <c r="L852" s="4">
        <v>46569</v>
      </c>
      <c r="M852" t="s">
        <v>69</v>
      </c>
      <c r="N852" t="s">
        <v>75</v>
      </c>
      <c r="O852">
        <v>0</v>
      </c>
      <c r="P852" t="s">
        <v>56</v>
      </c>
      <c r="Q852" s="4">
        <v>46266</v>
      </c>
      <c r="R852" t="s">
        <v>57</v>
      </c>
      <c r="S852" t="s">
        <v>3155</v>
      </c>
      <c r="T852" t="s">
        <v>3153</v>
      </c>
      <c r="U852" t="s">
        <v>75</v>
      </c>
      <c r="V852" t="s">
        <v>3154</v>
      </c>
    </row>
    <row r="853" spans="1:22" x14ac:dyDescent="0.2">
      <c r="A853" t="s">
        <v>1769</v>
      </c>
      <c r="B853" t="s">
        <v>1770</v>
      </c>
      <c r="C853" t="s">
        <v>42</v>
      </c>
      <c r="D853" t="s">
        <v>43</v>
      </c>
      <c r="E853" t="s">
        <v>60</v>
      </c>
      <c r="F853" t="s">
        <v>34</v>
      </c>
      <c r="G853" t="s">
        <v>35</v>
      </c>
      <c r="H853" t="s">
        <v>36</v>
      </c>
      <c r="I853" t="s">
        <v>50</v>
      </c>
      <c r="J853" t="s">
        <v>37</v>
      </c>
      <c r="K853" s="4">
        <v>46203</v>
      </c>
      <c r="L853" s="4">
        <v>46383</v>
      </c>
      <c r="M853" t="s">
        <v>64</v>
      </c>
      <c r="N853" t="s">
        <v>55</v>
      </c>
      <c r="O853">
        <v>4</v>
      </c>
      <c r="P853" t="s">
        <v>54</v>
      </c>
      <c r="Q853" s="4">
        <v>46305</v>
      </c>
      <c r="R853" t="s">
        <v>84</v>
      </c>
      <c r="S853" t="s">
        <v>3155</v>
      </c>
      <c r="T853" t="s">
        <v>3153</v>
      </c>
      <c r="U853" t="s">
        <v>55</v>
      </c>
      <c r="V853" t="s">
        <v>3152</v>
      </c>
    </row>
    <row r="854" spans="1:22" x14ac:dyDescent="0.2">
      <c r="A854" t="s">
        <v>1771</v>
      </c>
      <c r="B854" t="s">
        <v>1772</v>
      </c>
      <c r="C854" t="s">
        <v>31</v>
      </c>
      <c r="D854" t="s">
        <v>87</v>
      </c>
      <c r="E854" t="s">
        <v>44</v>
      </c>
      <c r="F854" t="s">
        <v>67</v>
      </c>
      <c r="G854" t="s">
        <v>68</v>
      </c>
      <c r="H854" t="s">
        <v>88</v>
      </c>
      <c r="I854" t="s">
        <v>111</v>
      </c>
      <c r="J854" t="s">
        <v>63</v>
      </c>
      <c r="K854" s="4">
        <v>46270</v>
      </c>
      <c r="L854" s="4">
        <v>46450</v>
      </c>
      <c r="M854" t="s">
        <v>64</v>
      </c>
      <c r="N854" t="s">
        <v>55</v>
      </c>
      <c r="O854">
        <v>3</v>
      </c>
      <c r="P854" t="s">
        <v>54</v>
      </c>
      <c r="Q854" s="4">
        <v>46149</v>
      </c>
      <c r="R854" t="s">
        <v>38</v>
      </c>
      <c r="S854" t="s">
        <v>3155</v>
      </c>
      <c r="T854" t="s">
        <v>3153</v>
      </c>
      <c r="U854" t="s">
        <v>55</v>
      </c>
      <c r="V854" t="s">
        <v>3154</v>
      </c>
    </row>
    <row r="855" spans="1:22" x14ac:dyDescent="0.2">
      <c r="A855" t="s">
        <v>1773</v>
      </c>
      <c r="B855" t="s">
        <v>1774</v>
      </c>
      <c r="C855" t="s">
        <v>103</v>
      </c>
      <c r="D855" t="s">
        <v>104</v>
      </c>
      <c r="E855" t="s">
        <v>60</v>
      </c>
      <c r="F855" t="s">
        <v>45</v>
      </c>
      <c r="G855" t="s">
        <v>46</v>
      </c>
      <c r="H855" t="s">
        <v>88</v>
      </c>
      <c r="I855" t="s">
        <v>70</v>
      </c>
      <c r="J855" t="s">
        <v>63</v>
      </c>
      <c r="K855" s="4">
        <v>46244</v>
      </c>
      <c r="L855" s="4">
        <v>46609</v>
      </c>
      <c r="M855" t="s">
        <v>64</v>
      </c>
      <c r="N855" t="s">
        <v>55</v>
      </c>
      <c r="O855">
        <v>0</v>
      </c>
      <c r="P855" t="s">
        <v>39</v>
      </c>
      <c r="Q855" s="4">
        <v>46294</v>
      </c>
      <c r="R855" t="s">
        <v>57</v>
      </c>
      <c r="S855" t="s">
        <v>3155</v>
      </c>
      <c r="T855" t="s">
        <v>3153</v>
      </c>
      <c r="U855" t="s">
        <v>55</v>
      </c>
      <c r="V855" t="s">
        <v>3154</v>
      </c>
    </row>
    <row r="856" spans="1:22" x14ac:dyDescent="0.2">
      <c r="A856" t="s">
        <v>1775</v>
      </c>
      <c r="B856" t="s">
        <v>1776</v>
      </c>
      <c r="C856" t="s">
        <v>103</v>
      </c>
      <c r="D856" t="s">
        <v>104</v>
      </c>
      <c r="E856" t="s">
        <v>53</v>
      </c>
      <c r="F856" t="s">
        <v>45</v>
      </c>
      <c r="G856" t="s">
        <v>61</v>
      </c>
      <c r="H856" t="s">
        <v>36</v>
      </c>
      <c r="I856" t="s">
        <v>62</v>
      </c>
      <c r="J856" t="s">
        <v>63</v>
      </c>
      <c r="K856" s="4">
        <v>45976</v>
      </c>
      <c r="L856" s="4">
        <v>46341</v>
      </c>
      <c r="M856" t="s">
        <v>64</v>
      </c>
      <c r="N856" t="s">
        <v>49</v>
      </c>
      <c r="O856">
        <v>3</v>
      </c>
      <c r="P856" t="s">
        <v>50</v>
      </c>
      <c r="Q856" s="4">
        <v>46245</v>
      </c>
      <c r="R856" t="s">
        <v>38</v>
      </c>
      <c r="S856" t="s">
        <v>3155</v>
      </c>
      <c r="T856" t="s">
        <v>3153</v>
      </c>
      <c r="U856" t="s">
        <v>49</v>
      </c>
      <c r="V856" t="s">
        <v>3152</v>
      </c>
    </row>
    <row r="857" spans="1:22" x14ac:dyDescent="0.2">
      <c r="A857" t="s">
        <v>1777</v>
      </c>
      <c r="B857" t="s">
        <v>1778</v>
      </c>
      <c r="C857" t="s">
        <v>31</v>
      </c>
      <c r="D857" t="s">
        <v>87</v>
      </c>
      <c r="E857" t="s">
        <v>53</v>
      </c>
      <c r="F857" t="s">
        <v>45</v>
      </c>
      <c r="G857" t="s">
        <v>46</v>
      </c>
      <c r="H857" t="s">
        <v>47</v>
      </c>
      <c r="I857" t="s">
        <v>70</v>
      </c>
      <c r="J857" t="s">
        <v>48</v>
      </c>
      <c r="K857" s="4">
        <v>46211</v>
      </c>
      <c r="L857" s="4">
        <v>46576</v>
      </c>
      <c r="M857" t="s">
        <v>69</v>
      </c>
      <c r="N857" t="s">
        <v>75</v>
      </c>
      <c r="O857">
        <v>2</v>
      </c>
      <c r="P857" t="s">
        <v>54</v>
      </c>
      <c r="Q857" s="4">
        <v>46357</v>
      </c>
      <c r="R857" t="s">
        <v>64</v>
      </c>
      <c r="S857" t="s">
        <v>3155</v>
      </c>
      <c r="T857" t="s">
        <v>3153</v>
      </c>
      <c r="U857" t="s">
        <v>75</v>
      </c>
      <c r="V857" t="s">
        <v>3154</v>
      </c>
    </row>
    <row r="858" spans="1:22" x14ac:dyDescent="0.2">
      <c r="A858" t="s">
        <v>1779</v>
      </c>
      <c r="B858" t="s">
        <v>1780</v>
      </c>
      <c r="C858" t="s">
        <v>78</v>
      </c>
      <c r="D858" t="s">
        <v>79</v>
      </c>
      <c r="E858" t="s">
        <v>44</v>
      </c>
      <c r="F858" t="s">
        <v>45</v>
      </c>
      <c r="G858" t="s">
        <v>46</v>
      </c>
      <c r="H858" t="s">
        <v>47</v>
      </c>
      <c r="I858" t="s">
        <v>39</v>
      </c>
      <c r="J858" t="s">
        <v>37</v>
      </c>
      <c r="K858" s="4">
        <v>46110</v>
      </c>
      <c r="L858" s="4">
        <v>46200</v>
      </c>
      <c r="M858" t="s">
        <v>38</v>
      </c>
      <c r="N858" t="s">
        <v>55</v>
      </c>
      <c r="O858">
        <v>1</v>
      </c>
      <c r="P858" t="s">
        <v>106</v>
      </c>
      <c r="Q858" s="4">
        <v>46376</v>
      </c>
      <c r="R858" t="s">
        <v>84</v>
      </c>
      <c r="S858" t="s">
        <v>38</v>
      </c>
      <c r="T858" t="s">
        <v>3153</v>
      </c>
      <c r="U858" t="s">
        <v>55</v>
      </c>
      <c r="V858" t="s">
        <v>3154</v>
      </c>
    </row>
    <row r="859" spans="1:22" x14ac:dyDescent="0.2">
      <c r="A859" t="s">
        <v>1781</v>
      </c>
      <c r="B859" t="s">
        <v>1782</v>
      </c>
      <c r="C859" t="s">
        <v>73</v>
      </c>
      <c r="D859" t="s">
        <v>74</v>
      </c>
      <c r="E859" t="s">
        <v>44</v>
      </c>
      <c r="F859" t="s">
        <v>67</v>
      </c>
      <c r="G859" t="s">
        <v>68</v>
      </c>
      <c r="H859" t="s">
        <v>88</v>
      </c>
      <c r="I859" t="s">
        <v>62</v>
      </c>
      <c r="J859" t="s">
        <v>48</v>
      </c>
      <c r="K859" s="4">
        <v>45879</v>
      </c>
      <c r="L859" s="4">
        <v>46059</v>
      </c>
      <c r="M859" t="s">
        <v>38</v>
      </c>
      <c r="N859" t="s">
        <v>49</v>
      </c>
      <c r="O859">
        <v>3</v>
      </c>
      <c r="P859" t="s">
        <v>54</v>
      </c>
      <c r="Q859" s="4">
        <v>46296</v>
      </c>
      <c r="R859" t="s">
        <v>64</v>
      </c>
      <c r="S859" t="s">
        <v>38</v>
      </c>
      <c r="T859" t="s">
        <v>3153</v>
      </c>
      <c r="U859" t="s">
        <v>49</v>
      </c>
      <c r="V859" t="s">
        <v>3154</v>
      </c>
    </row>
    <row r="860" spans="1:22" x14ac:dyDescent="0.2">
      <c r="A860" t="s">
        <v>1783</v>
      </c>
      <c r="B860" t="s">
        <v>1784</v>
      </c>
      <c r="C860" t="s">
        <v>78</v>
      </c>
      <c r="D860" t="s">
        <v>79</v>
      </c>
      <c r="E860" t="s">
        <v>91</v>
      </c>
      <c r="F860" t="s">
        <v>45</v>
      </c>
      <c r="G860" t="s">
        <v>61</v>
      </c>
      <c r="H860" t="s">
        <v>47</v>
      </c>
      <c r="I860" t="s">
        <v>62</v>
      </c>
      <c r="J860" t="s">
        <v>37</v>
      </c>
      <c r="K860" s="4">
        <v>45989</v>
      </c>
      <c r="L860" s="4">
        <v>46169</v>
      </c>
      <c r="M860" t="s">
        <v>38</v>
      </c>
      <c r="N860" t="s">
        <v>75</v>
      </c>
      <c r="O860">
        <v>2</v>
      </c>
      <c r="P860" t="s">
        <v>50</v>
      </c>
      <c r="Q860" s="4">
        <v>46176</v>
      </c>
      <c r="R860" t="s">
        <v>38</v>
      </c>
      <c r="S860" t="s">
        <v>38</v>
      </c>
      <c r="T860" t="s">
        <v>3153</v>
      </c>
      <c r="U860" t="s">
        <v>75</v>
      </c>
      <c r="V860" t="s">
        <v>3154</v>
      </c>
    </row>
    <row r="861" spans="1:22" x14ac:dyDescent="0.2">
      <c r="A861" t="s">
        <v>1785</v>
      </c>
      <c r="B861" t="s">
        <v>1786</v>
      </c>
      <c r="C861" t="s">
        <v>103</v>
      </c>
      <c r="D861" t="s">
        <v>104</v>
      </c>
      <c r="E861" t="s">
        <v>80</v>
      </c>
      <c r="F861" t="s">
        <v>45</v>
      </c>
      <c r="G861" t="s">
        <v>61</v>
      </c>
      <c r="H861" t="s">
        <v>36</v>
      </c>
      <c r="I861" t="s">
        <v>106</v>
      </c>
      <c r="J861" t="s">
        <v>37</v>
      </c>
      <c r="K861" s="4">
        <v>45903</v>
      </c>
      <c r="L861" s="4">
        <v>46083</v>
      </c>
      <c r="M861" t="s">
        <v>38</v>
      </c>
      <c r="N861" t="s">
        <v>55</v>
      </c>
      <c r="O861">
        <v>4</v>
      </c>
      <c r="P861" t="s">
        <v>50</v>
      </c>
      <c r="Q861" s="4">
        <v>46401</v>
      </c>
      <c r="R861" t="s">
        <v>84</v>
      </c>
      <c r="S861" t="s">
        <v>38</v>
      </c>
      <c r="T861" t="s">
        <v>3153</v>
      </c>
      <c r="U861" t="s">
        <v>55</v>
      </c>
      <c r="V861" t="s">
        <v>3152</v>
      </c>
    </row>
    <row r="862" spans="1:22" x14ac:dyDescent="0.2">
      <c r="A862" t="s">
        <v>1787</v>
      </c>
      <c r="B862" t="s">
        <v>1788</v>
      </c>
      <c r="C862" t="s">
        <v>31</v>
      </c>
      <c r="D862" t="s">
        <v>87</v>
      </c>
      <c r="E862" t="s">
        <v>44</v>
      </c>
      <c r="F862" t="s">
        <v>34</v>
      </c>
      <c r="G862" t="s">
        <v>35</v>
      </c>
      <c r="H862" t="s">
        <v>88</v>
      </c>
      <c r="I862" t="s">
        <v>54</v>
      </c>
      <c r="J862" t="s">
        <v>37</v>
      </c>
      <c r="K862" s="4">
        <v>46273</v>
      </c>
      <c r="L862" s="4">
        <v>46638</v>
      </c>
      <c r="M862" t="s">
        <v>64</v>
      </c>
      <c r="N862" t="s">
        <v>55</v>
      </c>
      <c r="O862">
        <v>2</v>
      </c>
      <c r="P862" t="s">
        <v>39</v>
      </c>
      <c r="Q862" s="4">
        <v>46244</v>
      </c>
      <c r="R862" t="s">
        <v>38</v>
      </c>
      <c r="S862" t="s">
        <v>3155</v>
      </c>
      <c r="T862" t="s">
        <v>3153</v>
      </c>
      <c r="U862" t="s">
        <v>55</v>
      </c>
      <c r="V862" t="s">
        <v>3154</v>
      </c>
    </row>
    <row r="863" spans="1:22" x14ac:dyDescent="0.2">
      <c r="A863" t="s">
        <v>1789</v>
      </c>
      <c r="B863" t="s">
        <v>1790</v>
      </c>
      <c r="C863" t="s">
        <v>31</v>
      </c>
      <c r="D863" t="s">
        <v>87</v>
      </c>
      <c r="E863" t="s">
        <v>91</v>
      </c>
      <c r="F863" t="s">
        <v>34</v>
      </c>
      <c r="G863" t="s">
        <v>35</v>
      </c>
      <c r="H863" t="s">
        <v>88</v>
      </c>
      <c r="I863" t="s">
        <v>39</v>
      </c>
      <c r="J863" t="s">
        <v>63</v>
      </c>
      <c r="K863" s="4">
        <v>45919</v>
      </c>
      <c r="L863" s="4">
        <v>46284</v>
      </c>
      <c r="M863" t="s">
        <v>38</v>
      </c>
      <c r="N863" t="s">
        <v>75</v>
      </c>
      <c r="O863">
        <v>2</v>
      </c>
      <c r="P863" t="s">
        <v>111</v>
      </c>
      <c r="Q863" s="4">
        <v>46144</v>
      </c>
      <c r="R863" t="s">
        <v>38</v>
      </c>
      <c r="S863" t="s">
        <v>38</v>
      </c>
      <c r="T863" t="s">
        <v>3153</v>
      </c>
      <c r="U863" t="s">
        <v>75</v>
      </c>
      <c r="V863" t="s">
        <v>3154</v>
      </c>
    </row>
    <row r="864" spans="1:22" x14ac:dyDescent="0.2">
      <c r="A864" t="s">
        <v>1791</v>
      </c>
      <c r="B864" t="s">
        <v>1792</v>
      </c>
      <c r="C864" t="s">
        <v>31</v>
      </c>
      <c r="D864" t="s">
        <v>83</v>
      </c>
      <c r="E864" t="s">
        <v>80</v>
      </c>
      <c r="F864" t="s">
        <v>34</v>
      </c>
      <c r="G864" t="s">
        <v>35</v>
      </c>
      <c r="H864" t="s">
        <v>47</v>
      </c>
      <c r="I864" t="s">
        <v>70</v>
      </c>
      <c r="J864" t="s">
        <v>37</v>
      </c>
      <c r="K864" s="4">
        <v>46256</v>
      </c>
      <c r="L864" s="4">
        <v>46436</v>
      </c>
      <c r="M864" t="s">
        <v>64</v>
      </c>
      <c r="N864" t="s">
        <v>49</v>
      </c>
      <c r="O864">
        <v>1</v>
      </c>
      <c r="P864" t="s">
        <v>70</v>
      </c>
      <c r="Q864" s="4">
        <v>46205</v>
      </c>
      <c r="R864" t="s">
        <v>38</v>
      </c>
      <c r="S864" t="s">
        <v>3155</v>
      </c>
      <c r="T864" t="s">
        <v>3153</v>
      </c>
      <c r="U864" t="s">
        <v>49</v>
      </c>
      <c r="V864" t="s">
        <v>3154</v>
      </c>
    </row>
    <row r="865" spans="1:22" x14ac:dyDescent="0.2">
      <c r="A865" t="s">
        <v>1793</v>
      </c>
      <c r="B865" t="s">
        <v>1794</v>
      </c>
      <c r="C865" t="s">
        <v>73</v>
      </c>
      <c r="D865" t="s">
        <v>74</v>
      </c>
      <c r="E865" t="s">
        <v>91</v>
      </c>
      <c r="F865" t="s">
        <v>45</v>
      </c>
      <c r="G865" t="s">
        <v>61</v>
      </c>
      <c r="H865" t="s">
        <v>36</v>
      </c>
      <c r="I865" t="s">
        <v>106</v>
      </c>
      <c r="J865" t="s">
        <v>48</v>
      </c>
      <c r="K865" s="4">
        <v>46226</v>
      </c>
      <c r="L865" s="4">
        <v>46591</v>
      </c>
      <c r="M865" t="s">
        <v>64</v>
      </c>
      <c r="N865" t="s">
        <v>55</v>
      </c>
      <c r="O865">
        <v>5</v>
      </c>
      <c r="P865" t="s">
        <v>106</v>
      </c>
      <c r="Q865" s="4">
        <v>46123</v>
      </c>
      <c r="R865" t="s">
        <v>64</v>
      </c>
      <c r="S865" t="s">
        <v>3155</v>
      </c>
      <c r="T865" t="s">
        <v>3153</v>
      </c>
      <c r="U865" t="s">
        <v>55</v>
      </c>
      <c r="V865" t="s">
        <v>3152</v>
      </c>
    </row>
    <row r="866" spans="1:22" x14ac:dyDescent="0.2">
      <c r="A866" t="s">
        <v>1795</v>
      </c>
      <c r="B866" t="s">
        <v>1796</v>
      </c>
      <c r="C866" t="s">
        <v>31</v>
      </c>
      <c r="D866" t="s">
        <v>87</v>
      </c>
      <c r="E866" t="s">
        <v>91</v>
      </c>
      <c r="F866" t="s">
        <v>34</v>
      </c>
      <c r="G866" t="s">
        <v>35</v>
      </c>
      <c r="H866" t="s">
        <v>88</v>
      </c>
      <c r="I866" t="s">
        <v>39</v>
      </c>
      <c r="J866" t="s">
        <v>63</v>
      </c>
      <c r="K866" s="4">
        <v>46242</v>
      </c>
      <c r="L866" s="4">
        <v>46332</v>
      </c>
      <c r="M866" t="s">
        <v>84</v>
      </c>
      <c r="N866" t="s">
        <v>49</v>
      </c>
      <c r="O866">
        <v>2</v>
      </c>
      <c r="P866" t="s">
        <v>54</v>
      </c>
      <c r="Q866" s="4">
        <v>46157</v>
      </c>
      <c r="R866" t="s">
        <v>64</v>
      </c>
      <c r="S866" t="s">
        <v>3155</v>
      </c>
      <c r="T866" t="s">
        <v>3153</v>
      </c>
      <c r="U866" t="s">
        <v>49</v>
      </c>
      <c r="V866" t="s">
        <v>3154</v>
      </c>
    </row>
    <row r="867" spans="1:22" x14ac:dyDescent="0.2">
      <c r="A867" t="s">
        <v>1797</v>
      </c>
      <c r="B867" t="s">
        <v>1798</v>
      </c>
      <c r="C867" t="s">
        <v>31</v>
      </c>
      <c r="D867" t="s">
        <v>32</v>
      </c>
      <c r="E867" t="s">
        <v>44</v>
      </c>
      <c r="F867" t="s">
        <v>34</v>
      </c>
      <c r="G867" t="s">
        <v>35</v>
      </c>
      <c r="H867" t="s">
        <v>88</v>
      </c>
      <c r="I867" t="s">
        <v>39</v>
      </c>
      <c r="J867" t="s">
        <v>37</v>
      </c>
      <c r="K867" s="4">
        <v>46116</v>
      </c>
      <c r="L867" s="4">
        <v>46296</v>
      </c>
      <c r="M867" t="s">
        <v>84</v>
      </c>
      <c r="N867" t="s">
        <v>75</v>
      </c>
      <c r="O867">
        <v>3</v>
      </c>
      <c r="P867" t="s">
        <v>70</v>
      </c>
      <c r="Q867" s="4">
        <v>46405</v>
      </c>
      <c r="R867" t="s">
        <v>84</v>
      </c>
      <c r="S867" t="s">
        <v>3155</v>
      </c>
      <c r="T867" t="s">
        <v>3153</v>
      </c>
      <c r="U867" t="s">
        <v>75</v>
      </c>
      <c r="V867" t="s">
        <v>3154</v>
      </c>
    </row>
    <row r="868" spans="1:22" x14ac:dyDescent="0.2">
      <c r="A868" t="s">
        <v>1799</v>
      </c>
      <c r="B868" t="s">
        <v>1800</v>
      </c>
      <c r="C868" t="s">
        <v>73</v>
      </c>
      <c r="D868" t="s">
        <v>74</v>
      </c>
      <c r="E868" t="s">
        <v>44</v>
      </c>
      <c r="F868" t="s">
        <v>45</v>
      </c>
      <c r="G868" t="s">
        <v>46</v>
      </c>
      <c r="H868" t="s">
        <v>36</v>
      </c>
      <c r="I868" t="s">
        <v>50</v>
      </c>
      <c r="J868" t="s">
        <v>48</v>
      </c>
      <c r="K868" s="4">
        <v>46113</v>
      </c>
      <c r="L868" s="4">
        <v>46478</v>
      </c>
      <c r="M868" t="s">
        <v>84</v>
      </c>
      <c r="N868" t="s">
        <v>55</v>
      </c>
      <c r="O868">
        <v>0</v>
      </c>
      <c r="P868" t="s">
        <v>54</v>
      </c>
      <c r="Q868" s="4">
        <v>46226</v>
      </c>
      <c r="R868" t="s">
        <v>57</v>
      </c>
      <c r="S868" t="s">
        <v>3155</v>
      </c>
      <c r="T868" t="s">
        <v>3153</v>
      </c>
      <c r="U868" t="s">
        <v>55</v>
      </c>
      <c r="V868" t="s">
        <v>3152</v>
      </c>
    </row>
    <row r="869" spans="1:22" x14ac:dyDescent="0.2">
      <c r="A869" t="s">
        <v>1801</v>
      </c>
      <c r="B869" t="s">
        <v>1802</v>
      </c>
      <c r="C869" t="s">
        <v>31</v>
      </c>
      <c r="D869" t="s">
        <v>83</v>
      </c>
      <c r="E869" t="s">
        <v>91</v>
      </c>
      <c r="F869" t="s">
        <v>67</v>
      </c>
      <c r="G869" t="s">
        <v>68</v>
      </c>
      <c r="H869" t="s">
        <v>36</v>
      </c>
      <c r="I869" t="s">
        <v>50</v>
      </c>
      <c r="J869" t="s">
        <v>37</v>
      </c>
      <c r="K869" s="4">
        <v>46117</v>
      </c>
      <c r="L869" s="4">
        <v>46207</v>
      </c>
      <c r="M869" t="s">
        <v>38</v>
      </c>
      <c r="N869" t="s">
        <v>75</v>
      </c>
      <c r="O869">
        <v>5</v>
      </c>
      <c r="P869" t="s">
        <v>62</v>
      </c>
      <c r="Q869" s="4">
        <v>46261</v>
      </c>
      <c r="R869" t="s">
        <v>64</v>
      </c>
      <c r="S869" t="s">
        <v>38</v>
      </c>
      <c r="T869" t="s">
        <v>3153</v>
      </c>
      <c r="U869" t="s">
        <v>75</v>
      </c>
      <c r="V869" t="s">
        <v>3152</v>
      </c>
    </row>
    <row r="870" spans="1:22" x14ac:dyDescent="0.2">
      <c r="A870" t="s">
        <v>1803</v>
      </c>
      <c r="B870" t="s">
        <v>1804</v>
      </c>
      <c r="C870" t="s">
        <v>73</v>
      </c>
      <c r="D870" t="s">
        <v>74</v>
      </c>
      <c r="E870" t="s">
        <v>53</v>
      </c>
      <c r="F870" t="s">
        <v>45</v>
      </c>
      <c r="G870" t="s">
        <v>46</v>
      </c>
      <c r="H870" t="s">
        <v>36</v>
      </c>
      <c r="I870" t="s">
        <v>50</v>
      </c>
      <c r="J870" t="s">
        <v>63</v>
      </c>
      <c r="K870" s="4">
        <v>46124</v>
      </c>
      <c r="L870" s="4">
        <v>46304</v>
      </c>
      <c r="M870" t="s">
        <v>69</v>
      </c>
      <c r="N870" t="s">
        <v>55</v>
      </c>
      <c r="O870">
        <v>3</v>
      </c>
      <c r="P870" t="s">
        <v>111</v>
      </c>
      <c r="Q870" s="4">
        <v>46296</v>
      </c>
      <c r="R870" t="s">
        <v>84</v>
      </c>
      <c r="S870" t="s">
        <v>3155</v>
      </c>
      <c r="T870" t="s">
        <v>3153</v>
      </c>
      <c r="U870" t="s">
        <v>55</v>
      </c>
      <c r="V870" t="s">
        <v>3152</v>
      </c>
    </row>
    <row r="871" spans="1:22" x14ac:dyDescent="0.2">
      <c r="A871" t="s">
        <v>1805</v>
      </c>
      <c r="B871" t="s">
        <v>1806</v>
      </c>
      <c r="C871" t="s">
        <v>42</v>
      </c>
      <c r="D871" t="s">
        <v>43</v>
      </c>
      <c r="E871" t="s">
        <v>105</v>
      </c>
      <c r="F871" t="s">
        <v>34</v>
      </c>
      <c r="G871" t="s">
        <v>35</v>
      </c>
      <c r="H871" t="s">
        <v>98</v>
      </c>
      <c r="I871" t="s">
        <v>62</v>
      </c>
      <c r="J871" t="s">
        <v>63</v>
      </c>
      <c r="K871" s="4">
        <v>46196</v>
      </c>
      <c r="L871" s="4">
        <v>46561</v>
      </c>
      <c r="M871" t="s">
        <v>69</v>
      </c>
      <c r="N871" t="s">
        <v>75</v>
      </c>
      <c r="O871">
        <v>5</v>
      </c>
      <c r="P871" t="s">
        <v>54</v>
      </c>
      <c r="Q871" s="4">
        <v>46262</v>
      </c>
      <c r="R871" t="s">
        <v>64</v>
      </c>
      <c r="S871" t="s">
        <v>3155</v>
      </c>
      <c r="T871" t="s">
        <v>3153</v>
      </c>
      <c r="U871" t="s">
        <v>75</v>
      </c>
      <c r="V871" t="s">
        <v>3152</v>
      </c>
    </row>
    <row r="872" spans="1:22" x14ac:dyDescent="0.2">
      <c r="A872" t="s">
        <v>1807</v>
      </c>
      <c r="B872" t="s">
        <v>1808</v>
      </c>
      <c r="C872" t="s">
        <v>78</v>
      </c>
      <c r="D872" t="s">
        <v>79</v>
      </c>
      <c r="E872" t="s">
        <v>80</v>
      </c>
      <c r="F872" t="s">
        <v>67</v>
      </c>
      <c r="G872" t="s">
        <v>68</v>
      </c>
      <c r="H872" t="s">
        <v>47</v>
      </c>
      <c r="I872" t="s">
        <v>70</v>
      </c>
      <c r="J872" t="s">
        <v>63</v>
      </c>
      <c r="K872" s="4">
        <v>46011</v>
      </c>
      <c r="L872" s="4">
        <v>46376</v>
      </c>
      <c r="M872" t="s">
        <v>69</v>
      </c>
      <c r="N872" t="s">
        <v>55</v>
      </c>
      <c r="O872">
        <v>3</v>
      </c>
      <c r="P872" t="s">
        <v>39</v>
      </c>
      <c r="Q872" s="4">
        <v>46415</v>
      </c>
      <c r="R872" t="s">
        <v>64</v>
      </c>
      <c r="S872" t="s">
        <v>3155</v>
      </c>
      <c r="T872" t="s">
        <v>3153</v>
      </c>
      <c r="U872" t="s">
        <v>55</v>
      </c>
      <c r="V872" t="s">
        <v>3154</v>
      </c>
    </row>
    <row r="873" spans="1:22" x14ac:dyDescent="0.2">
      <c r="A873" t="s">
        <v>1809</v>
      </c>
      <c r="B873" t="s">
        <v>1810</v>
      </c>
      <c r="C873" t="s">
        <v>73</v>
      </c>
      <c r="D873" t="s">
        <v>74</v>
      </c>
      <c r="E873" t="s">
        <v>91</v>
      </c>
      <c r="F873" t="s">
        <v>67</v>
      </c>
      <c r="G873" t="s">
        <v>68</v>
      </c>
      <c r="H873" t="s">
        <v>88</v>
      </c>
      <c r="I873" t="s">
        <v>39</v>
      </c>
      <c r="J873" t="s">
        <v>48</v>
      </c>
      <c r="K873" s="4">
        <v>46194</v>
      </c>
      <c r="L873" s="4">
        <v>46374</v>
      </c>
      <c r="M873" t="s">
        <v>64</v>
      </c>
      <c r="N873" t="s">
        <v>75</v>
      </c>
      <c r="O873">
        <v>0</v>
      </c>
      <c r="P873" t="s">
        <v>111</v>
      </c>
      <c r="Q873" s="4">
        <v>46210</v>
      </c>
      <c r="R873" t="s">
        <v>57</v>
      </c>
      <c r="S873" t="s">
        <v>3155</v>
      </c>
      <c r="T873" t="s">
        <v>3153</v>
      </c>
      <c r="U873" t="s">
        <v>75</v>
      </c>
      <c r="V873" t="s">
        <v>3154</v>
      </c>
    </row>
    <row r="874" spans="1:22" x14ac:dyDescent="0.2">
      <c r="A874" t="s">
        <v>1811</v>
      </c>
      <c r="B874" t="s">
        <v>1812</v>
      </c>
      <c r="C874" t="s">
        <v>73</v>
      </c>
      <c r="D874" t="s">
        <v>74</v>
      </c>
      <c r="E874" t="s">
        <v>105</v>
      </c>
      <c r="F874" t="s">
        <v>34</v>
      </c>
      <c r="G874" t="s">
        <v>35</v>
      </c>
      <c r="H874" t="s">
        <v>88</v>
      </c>
      <c r="I874" t="s">
        <v>111</v>
      </c>
      <c r="J874" t="s">
        <v>63</v>
      </c>
      <c r="K874" s="4">
        <v>45972</v>
      </c>
      <c r="L874" s="4">
        <v>46337</v>
      </c>
      <c r="M874" t="s">
        <v>69</v>
      </c>
      <c r="N874" t="s">
        <v>75</v>
      </c>
      <c r="O874">
        <v>1</v>
      </c>
      <c r="P874" t="s">
        <v>62</v>
      </c>
      <c r="Q874" s="4">
        <v>46244</v>
      </c>
      <c r="R874" t="s">
        <v>38</v>
      </c>
      <c r="S874" t="s">
        <v>3155</v>
      </c>
      <c r="T874" t="s">
        <v>3153</v>
      </c>
      <c r="U874" t="s">
        <v>75</v>
      </c>
      <c r="V874" t="s">
        <v>3154</v>
      </c>
    </row>
    <row r="875" spans="1:22" x14ac:dyDescent="0.2">
      <c r="A875" t="s">
        <v>1813</v>
      </c>
      <c r="B875" t="s">
        <v>1814</v>
      </c>
      <c r="C875" t="s">
        <v>31</v>
      </c>
      <c r="D875" t="s">
        <v>83</v>
      </c>
      <c r="E875" t="s">
        <v>44</v>
      </c>
      <c r="F875" t="s">
        <v>67</v>
      </c>
      <c r="G875" t="s">
        <v>68</v>
      </c>
      <c r="H875" t="s">
        <v>36</v>
      </c>
      <c r="I875" t="s">
        <v>70</v>
      </c>
      <c r="J875" t="s">
        <v>48</v>
      </c>
      <c r="K875" s="4">
        <v>46060</v>
      </c>
      <c r="L875" s="4">
        <v>46240</v>
      </c>
      <c r="M875" t="s">
        <v>38</v>
      </c>
      <c r="N875" t="s">
        <v>75</v>
      </c>
      <c r="O875">
        <v>4</v>
      </c>
      <c r="P875" t="s">
        <v>56</v>
      </c>
      <c r="Q875" s="4">
        <v>46320</v>
      </c>
      <c r="R875" t="s">
        <v>84</v>
      </c>
      <c r="S875" t="s">
        <v>38</v>
      </c>
      <c r="T875" t="s">
        <v>3153</v>
      </c>
      <c r="U875" t="s">
        <v>75</v>
      </c>
      <c r="V875" t="s">
        <v>3152</v>
      </c>
    </row>
    <row r="876" spans="1:22" x14ac:dyDescent="0.2">
      <c r="A876" t="s">
        <v>1815</v>
      </c>
      <c r="B876" t="s">
        <v>1816</v>
      </c>
      <c r="C876" t="s">
        <v>31</v>
      </c>
      <c r="D876" t="s">
        <v>83</v>
      </c>
      <c r="E876" t="s">
        <v>60</v>
      </c>
      <c r="F876" t="s">
        <v>34</v>
      </c>
      <c r="G876" t="s">
        <v>35</v>
      </c>
      <c r="H876" t="s">
        <v>36</v>
      </c>
      <c r="I876" t="s">
        <v>50</v>
      </c>
      <c r="J876" t="s">
        <v>37</v>
      </c>
      <c r="K876" s="4">
        <v>45936</v>
      </c>
      <c r="L876" s="4">
        <v>46116</v>
      </c>
      <c r="M876" t="s">
        <v>38</v>
      </c>
      <c r="N876" t="s">
        <v>55</v>
      </c>
      <c r="O876">
        <v>0</v>
      </c>
      <c r="P876" t="s">
        <v>111</v>
      </c>
      <c r="Q876" s="4">
        <v>46273</v>
      </c>
      <c r="R876" t="s">
        <v>57</v>
      </c>
      <c r="S876" t="s">
        <v>38</v>
      </c>
      <c r="T876" t="s">
        <v>3153</v>
      </c>
      <c r="U876" t="s">
        <v>55</v>
      </c>
      <c r="V876" t="s">
        <v>3152</v>
      </c>
    </row>
    <row r="877" spans="1:22" x14ac:dyDescent="0.2">
      <c r="A877" t="s">
        <v>1817</v>
      </c>
      <c r="B877" t="s">
        <v>1818</v>
      </c>
      <c r="C877" t="s">
        <v>103</v>
      </c>
      <c r="D877" t="s">
        <v>104</v>
      </c>
      <c r="E877" t="s">
        <v>80</v>
      </c>
      <c r="F877" t="s">
        <v>67</v>
      </c>
      <c r="G877" t="s">
        <v>68</v>
      </c>
      <c r="H877" t="s">
        <v>47</v>
      </c>
      <c r="I877" t="s">
        <v>50</v>
      </c>
      <c r="J877" t="s">
        <v>48</v>
      </c>
      <c r="K877" s="4">
        <v>46173</v>
      </c>
      <c r="L877" s="4">
        <v>46263</v>
      </c>
      <c r="M877" t="s">
        <v>38</v>
      </c>
      <c r="N877" t="s">
        <v>75</v>
      </c>
      <c r="O877">
        <v>2</v>
      </c>
      <c r="P877" t="s">
        <v>54</v>
      </c>
      <c r="Q877" s="4">
        <v>46156</v>
      </c>
      <c r="R877" t="s">
        <v>64</v>
      </c>
      <c r="S877" t="s">
        <v>38</v>
      </c>
      <c r="T877" t="s">
        <v>3153</v>
      </c>
      <c r="U877" t="s">
        <v>75</v>
      </c>
      <c r="V877" t="s">
        <v>3154</v>
      </c>
    </row>
    <row r="878" spans="1:22" x14ac:dyDescent="0.2">
      <c r="A878" t="s">
        <v>1819</v>
      </c>
      <c r="B878" t="s">
        <v>1820</v>
      </c>
      <c r="C878" t="s">
        <v>96</v>
      </c>
      <c r="D878" t="s">
        <v>97</v>
      </c>
      <c r="E878" t="s">
        <v>105</v>
      </c>
      <c r="F878" t="s">
        <v>45</v>
      </c>
      <c r="G878" t="s">
        <v>61</v>
      </c>
      <c r="H878" t="s">
        <v>88</v>
      </c>
      <c r="I878" t="s">
        <v>106</v>
      </c>
      <c r="J878" t="s">
        <v>48</v>
      </c>
      <c r="K878" s="4">
        <v>46224</v>
      </c>
      <c r="L878" s="4">
        <v>46404</v>
      </c>
      <c r="M878" t="s">
        <v>64</v>
      </c>
      <c r="N878" t="s">
        <v>75</v>
      </c>
      <c r="O878">
        <v>1</v>
      </c>
      <c r="P878" t="s">
        <v>70</v>
      </c>
      <c r="Q878" s="4">
        <v>46356</v>
      </c>
      <c r="R878" t="s">
        <v>84</v>
      </c>
      <c r="S878" t="s">
        <v>3155</v>
      </c>
      <c r="T878" t="s">
        <v>3153</v>
      </c>
      <c r="U878" t="s">
        <v>75</v>
      </c>
      <c r="V878" t="s">
        <v>3154</v>
      </c>
    </row>
    <row r="879" spans="1:22" x14ac:dyDescent="0.2">
      <c r="A879" t="s">
        <v>1821</v>
      </c>
      <c r="B879" t="s">
        <v>1822</v>
      </c>
      <c r="C879" t="s">
        <v>31</v>
      </c>
      <c r="D879" t="s">
        <v>32</v>
      </c>
      <c r="E879" t="s">
        <v>53</v>
      </c>
      <c r="F879" t="s">
        <v>67</v>
      </c>
      <c r="G879" t="s">
        <v>68</v>
      </c>
      <c r="H879" t="s">
        <v>36</v>
      </c>
      <c r="I879" t="s">
        <v>50</v>
      </c>
      <c r="J879" t="s">
        <v>37</v>
      </c>
      <c r="K879" s="4">
        <v>46071</v>
      </c>
      <c r="L879" s="4">
        <v>46251</v>
      </c>
      <c r="M879" t="s">
        <v>38</v>
      </c>
      <c r="N879" t="s">
        <v>75</v>
      </c>
      <c r="O879">
        <v>5</v>
      </c>
      <c r="P879" t="s">
        <v>39</v>
      </c>
      <c r="Q879" s="4">
        <v>46332</v>
      </c>
      <c r="R879" t="s">
        <v>84</v>
      </c>
      <c r="S879" t="s">
        <v>38</v>
      </c>
      <c r="T879" t="s">
        <v>3153</v>
      </c>
      <c r="U879" t="s">
        <v>75</v>
      </c>
      <c r="V879" t="s">
        <v>3152</v>
      </c>
    </row>
    <row r="880" spans="1:22" x14ac:dyDescent="0.2">
      <c r="A880" t="s">
        <v>1823</v>
      </c>
      <c r="B880" t="s">
        <v>1824</v>
      </c>
      <c r="C880" t="s">
        <v>31</v>
      </c>
      <c r="D880" t="s">
        <v>83</v>
      </c>
      <c r="E880" t="s">
        <v>44</v>
      </c>
      <c r="F880" t="s">
        <v>45</v>
      </c>
      <c r="G880" t="s">
        <v>46</v>
      </c>
      <c r="H880" t="s">
        <v>88</v>
      </c>
      <c r="I880" t="s">
        <v>106</v>
      </c>
      <c r="J880" t="s">
        <v>48</v>
      </c>
      <c r="K880" s="4">
        <v>46019</v>
      </c>
      <c r="L880" s="4">
        <v>46109</v>
      </c>
      <c r="M880" t="s">
        <v>38</v>
      </c>
      <c r="N880" t="s">
        <v>49</v>
      </c>
      <c r="O880">
        <v>3</v>
      </c>
      <c r="P880" t="s">
        <v>39</v>
      </c>
      <c r="Q880" s="4">
        <v>46154</v>
      </c>
      <c r="R880" t="s">
        <v>38</v>
      </c>
      <c r="S880" t="s">
        <v>38</v>
      </c>
      <c r="T880" t="s">
        <v>3153</v>
      </c>
      <c r="U880" t="s">
        <v>49</v>
      </c>
      <c r="V880" t="s">
        <v>3154</v>
      </c>
    </row>
    <row r="881" spans="1:22" x14ac:dyDescent="0.2">
      <c r="A881" t="s">
        <v>1825</v>
      </c>
      <c r="B881" t="s">
        <v>1826</v>
      </c>
      <c r="C881" t="s">
        <v>96</v>
      </c>
      <c r="D881" t="s">
        <v>97</v>
      </c>
      <c r="E881" t="s">
        <v>80</v>
      </c>
      <c r="F881" t="s">
        <v>45</v>
      </c>
      <c r="G881" t="s">
        <v>61</v>
      </c>
      <c r="H881" t="s">
        <v>47</v>
      </c>
      <c r="I881" t="s">
        <v>62</v>
      </c>
      <c r="J881" t="s">
        <v>37</v>
      </c>
      <c r="K881" s="4">
        <v>45941</v>
      </c>
      <c r="L881" s="4">
        <v>46031</v>
      </c>
      <c r="M881" t="s">
        <v>38</v>
      </c>
      <c r="N881" t="s">
        <v>75</v>
      </c>
      <c r="O881">
        <v>1</v>
      </c>
      <c r="P881" t="s">
        <v>62</v>
      </c>
      <c r="Q881" s="4">
        <v>46260</v>
      </c>
      <c r="R881" t="s">
        <v>64</v>
      </c>
      <c r="S881" t="s">
        <v>38</v>
      </c>
      <c r="T881" t="s">
        <v>3153</v>
      </c>
      <c r="U881" t="s">
        <v>75</v>
      </c>
      <c r="V881" t="s">
        <v>3154</v>
      </c>
    </row>
    <row r="882" spans="1:22" x14ac:dyDescent="0.2">
      <c r="A882" t="s">
        <v>1827</v>
      </c>
      <c r="B882" t="s">
        <v>1828</v>
      </c>
      <c r="C882" t="s">
        <v>31</v>
      </c>
      <c r="D882" t="s">
        <v>87</v>
      </c>
      <c r="E882" t="s">
        <v>80</v>
      </c>
      <c r="F882" t="s">
        <v>45</v>
      </c>
      <c r="G882" t="s">
        <v>46</v>
      </c>
      <c r="H882" t="s">
        <v>88</v>
      </c>
      <c r="I882" t="s">
        <v>70</v>
      </c>
      <c r="J882" t="s">
        <v>37</v>
      </c>
      <c r="K882" s="4">
        <v>46037</v>
      </c>
      <c r="L882" s="4">
        <v>46127</v>
      </c>
      <c r="M882" t="s">
        <v>38</v>
      </c>
      <c r="N882" t="s">
        <v>75</v>
      </c>
      <c r="O882">
        <v>0</v>
      </c>
      <c r="P882" t="s">
        <v>50</v>
      </c>
      <c r="Q882" s="4">
        <v>46322</v>
      </c>
      <c r="R882" t="s">
        <v>57</v>
      </c>
      <c r="S882" t="s">
        <v>38</v>
      </c>
      <c r="T882" t="s">
        <v>3153</v>
      </c>
      <c r="U882" t="s">
        <v>75</v>
      </c>
      <c r="V882" t="s">
        <v>3154</v>
      </c>
    </row>
    <row r="883" spans="1:22" x14ac:dyDescent="0.2">
      <c r="A883" t="s">
        <v>1829</v>
      </c>
      <c r="B883" t="s">
        <v>1830</v>
      </c>
      <c r="C883" t="s">
        <v>31</v>
      </c>
      <c r="D883" t="s">
        <v>32</v>
      </c>
      <c r="E883" t="s">
        <v>91</v>
      </c>
      <c r="F883" t="s">
        <v>34</v>
      </c>
      <c r="G883" t="s">
        <v>35</v>
      </c>
      <c r="H883" t="s">
        <v>88</v>
      </c>
      <c r="I883" t="s">
        <v>111</v>
      </c>
      <c r="J883" t="s">
        <v>37</v>
      </c>
      <c r="K883" s="4">
        <v>45941</v>
      </c>
      <c r="L883" s="4">
        <v>46306</v>
      </c>
      <c r="M883" t="s">
        <v>64</v>
      </c>
      <c r="N883" t="s">
        <v>55</v>
      </c>
      <c r="O883">
        <v>2</v>
      </c>
      <c r="P883" t="s">
        <v>106</v>
      </c>
      <c r="Q883" s="4">
        <v>46332</v>
      </c>
      <c r="R883" t="s">
        <v>64</v>
      </c>
      <c r="S883" t="s">
        <v>3155</v>
      </c>
      <c r="T883" t="s">
        <v>3153</v>
      </c>
      <c r="U883" t="s">
        <v>55</v>
      </c>
      <c r="V883" t="s">
        <v>3154</v>
      </c>
    </row>
    <row r="884" spans="1:22" x14ac:dyDescent="0.2">
      <c r="A884" t="s">
        <v>1831</v>
      </c>
      <c r="B884" t="s">
        <v>1832</v>
      </c>
      <c r="C884" t="s">
        <v>31</v>
      </c>
      <c r="D884" t="s">
        <v>32</v>
      </c>
      <c r="E884" t="s">
        <v>60</v>
      </c>
      <c r="F884" t="s">
        <v>67</v>
      </c>
      <c r="G884" t="s">
        <v>118</v>
      </c>
      <c r="H884" t="s">
        <v>98</v>
      </c>
      <c r="I884" t="s">
        <v>70</v>
      </c>
      <c r="J884" t="s">
        <v>48</v>
      </c>
      <c r="K884" s="4">
        <v>45873</v>
      </c>
      <c r="L884" s="4">
        <v>45963</v>
      </c>
      <c r="M884" t="s">
        <v>38</v>
      </c>
      <c r="N884" t="s">
        <v>75</v>
      </c>
      <c r="O884">
        <v>4</v>
      </c>
      <c r="P884" t="s">
        <v>106</v>
      </c>
      <c r="Q884" s="4">
        <v>46311</v>
      </c>
      <c r="R884" t="s">
        <v>84</v>
      </c>
      <c r="S884" t="s">
        <v>38</v>
      </c>
      <c r="T884" t="s">
        <v>3153</v>
      </c>
      <c r="U884" t="s">
        <v>75</v>
      </c>
      <c r="V884" t="s">
        <v>3152</v>
      </c>
    </row>
    <row r="885" spans="1:22" x14ac:dyDescent="0.2">
      <c r="A885" t="s">
        <v>1833</v>
      </c>
      <c r="B885" t="s">
        <v>1834</v>
      </c>
      <c r="C885" t="s">
        <v>96</v>
      </c>
      <c r="D885" t="s">
        <v>97</v>
      </c>
      <c r="E885" t="s">
        <v>44</v>
      </c>
      <c r="F885" t="s">
        <v>34</v>
      </c>
      <c r="G885" t="s">
        <v>35</v>
      </c>
      <c r="H885" t="s">
        <v>88</v>
      </c>
      <c r="I885" t="s">
        <v>111</v>
      </c>
      <c r="J885" t="s">
        <v>37</v>
      </c>
      <c r="K885" s="4">
        <v>46053</v>
      </c>
      <c r="L885" s="4">
        <v>46143</v>
      </c>
      <c r="M885" t="s">
        <v>38</v>
      </c>
      <c r="N885" t="s">
        <v>75</v>
      </c>
      <c r="O885">
        <v>2</v>
      </c>
      <c r="P885" t="s">
        <v>39</v>
      </c>
      <c r="Q885" s="4">
        <v>46135</v>
      </c>
      <c r="R885" t="s">
        <v>64</v>
      </c>
      <c r="S885" t="s">
        <v>38</v>
      </c>
      <c r="T885" t="s">
        <v>3153</v>
      </c>
      <c r="U885" t="s">
        <v>75</v>
      </c>
      <c r="V885" t="s">
        <v>3154</v>
      </c>
    </row>
    <row r="886" spans="1:22" x14ac:dyDescent="0.2">
      <c r="A886" t="s">
        <v>1835</v>
      </c>
      <c r="B886" t="s">
        <v>1836</v>
      </c>
      <c r="C886" t="s">
        <v>78</v>
      </c>
      <c r="D886" t="s">
        <v>79</v>
      </c>
      <c r="E886" t="s">
        <v>53</v>
      </c>
      <c r="F886" t="s">
        <v>34</v>
      </c>
      <c r="G886" t="s">
        <v>35</v>
      </c>
      <c r="H886" t="s">
        <v>88</v>
      </c>
      <c r="I886" t="s">
        <v>56</v>
      </c>
      <c r="J886" t="s">
        <v>37</v>
      </c>
      <c r="K886" s="4">
        <v>45883</v>
      </c>
      <c r="L886" s="4">
        <v>45973</v>
      </c>
      <c r="M886" t="s">
        <v>38</v>
      </c>
      <c r="N886" t="s">
        <v>49</v>
      </c>
      <c r="O886">
        <v>2</v>
      </c>
      <c r="P886" t="s">
        <v>106</v>
      </c>
      <c r="Q886" s="4">
        <v>46206</v>
      </c>
      <c r="R886" t="s">
        <v>64</v>
      </c>
      <c r="S886" t="s">
        <v>38</v>
      </c>
      <c r="T886" t="s">
        <v>3153</v>
      </c>
      <c r="U886" t="s">
        <v>49</v>
      </c>
      <c r="V886" t="s">
        <v>3154</v>
      </c>
    </row>
    <row r="887" spans="1:22" x14ac:dyDescent="0.2">
      <c r="A887" t="s">
        <v>1837</v>
      </c>
      <c r="B887" t="s">
        <v>1838</v>
      </c>
      <c r="C887" t="s">
        <v>31</v>
      </c>
      <c r="D887" t="s">
        <v>32</v>
      </c>
      <c r="E887" t="s">
        <v>60</v>
      </c>
      <c r="F887" t="s">
        <v>67</v>
      </c>
      <c r="G887" t="s">
        <v>68</v>
      </c>
      <c r="H887" t="s">
        <v>47</v>
      </c>
      <c r="I887" t="s">
        <v>39</v>
      </c>
      <c r="J887" t="s">
        <v>63</v>
      </c>
      <c r="K887" s="4">
        <v>46003</v>
      </c>
      <c r="L887" s="4">
        <v>46368</v>
      </c>
      <c r="M887" t="s">
        <v>64</v>
      </c>
      <c r="N887" t="s">
        <v>55</v>
      </c>
      <c r="O887">
        <v>0</v>
      </c>
      <c r="P887" t="s">
        <v>50</v>
      </c>
      <c r="Q887" s="4">
        <v>46388</v>
      </c>
      <c r="R887" t="s">
        <v>57</v>
      </c>
      <c r="S887" t="s">
        <v>3155</v>
      </c>
      <c r="T887" t="s">
        <v>3153</v>
      </c>
      <c r="U887" t="s">
        <v>55</v>
      </c>
      <c r="V887" t="s">
        <v>3154</v>
      </c>
    </row>
    <row r="888" spans="1:22" x14ac:dyDescent="0.2">
      <c r="A888" t="s">
        <v>1839</v>
      </c>
      <c r="B888" t="s">
        <v>1840</v>
      </c>
      <c r="C888" t="s">
        <v>73</v>
      </c>
      <c r="D888" t="s">
        <v>74</v>
      </c>
      <c r="E888" t="s">
        <v>80</v>
      </c>
      <c r="F888" t="s">
        <v>34</v>
      </c>
      <c r="G888" t="s">
        <v>35</v>
      </c>
      <c r="H888" t="s">
        <v>36</v>
      </c>
      <c r="I888" t="s">
        <v>106</v>
      </c>
      <c r="J888" t="s">
        <v>48</v>
      </c>
      <c r="K888" s="4">
        <v>46041</v>
      </c>
      <c r="L888" s="4">
        <v>46406</v>
      </c>
      <c r="M888" t="s">
        <v>69</v>
      </c>
      <c r="N888" t="s">
        <v>55</v>
      </c>
      <c r="O888">
        <v>0</v>
      </c>
      <c r="P888" t="s">
        <v>70</v>
      </c>
      <c r="Q888" s="4">
        <v>46282</v>
      </c>
      <c r="R888" t="s">
        <v>57</v>
      </c>
      <c r="S888" t="s">
        <v>3155</v>
      </c>
      <c r="T888" t="s">
        <v>3153</v>
      </c>
      <c r="U888" t="s">
        <v>55</v>
      </c>
      <c r="V888" t="s">
        <v>3152</v>
      </c>
    </row>
    <row r="889" spans="1:22" x14ac:dyDescent="0.2">
      <c r="A889" t="s">
        <v>1841</v>
      </c>
      <c r="B889" t="s">
        <v>1842</v>
      </c>
      <c r="C889" t="s">
        <v>31</v>
      </c>
      <c r="D889" t="s">
        <v>32</v>
      </c>
      <c r="E889" t="s">
        <v>53</v>
      </c>
      <c r="F889" t="s">
        <v>67</v>
      </c>
      <c r="G889" t="s">
        <v>68</v>
      </c>
      <c r="H889" t="s">
        <v>98</v>
      </c>
      <c r="I889" t="s">
        <v>56</v>
      </c>
      <c r="J889" t="s">
        <v>37</v>
      </c>
      <c r="K889" s="4">
        <v>46059</v>
      </c>
      <c r="L889" s="4">
        <v>46239</v>
      </c>
      <c r="M889" t="s">
        <v>38</v>
      </c>
      <c r="N889" t="s">
        <v>55</v>
      </c>
      <c r="O889">
        <v>1</v>
      </c>
      <c r="P889" t="s">
        <v>70</v>
      </c>
      <c r="Q889" s="4">
        <v>46246</v>
      </c>
      <c r="R889" t="s">
        <v>38</v>
      </c>
      <c r="S889" t="s">
        <v>38</v>
      </c>
      <c r="T889" t="s">
        <v>3153</v>
      </c>
      <c r="U889" t="s">
        <v>55</v>
      </c>
      <c r="V889" t="s">
        <v>3152</v>
      </c>
    </row>
    <row r="890" spans="1:22" x14ac:dyDescent="0.2">
      <c r="A890" t="s">
        <v>1843</v>
      </c>
      <c r="B890" t="s">
        <v>1844</v>
      </c>
      <c r="C890" t="s">
        <v>78</v>
      </c>
      <c r="D890" t="s">
        <v>79</v>
      </c>
      <c r="E890" t="s">
        <v>53</v>
      </c>
      <c r="F890" t="s">
        <v>45</v>
      </c>
      <c r="G890" t="s">
        <v>61</v>
      </c>
      <c r="H890" t="s">
        <v>88</v>
      </c>
      <c r="I890" t="s">
        <v>54</v>
      </c>
      <c r="J890" t="s">
        <v>63</v>
      </c>
      <c r="K890" s="4">
        <v>45920</v>
      </c>
      <c r="L890" s="4">
        <v>46010</v>
      </c>
      <c r="M890" t="s">
        <v>38</v>
      </c>
      <c r="N890" t="s">
        <v>75</v>
      </c>
      <c r="O890">
        <v>3</v>
      </c>
      <c r="P890" t="s">
        <v>50</v>
      </c>
      <c r="Q890" s="4">
        <v>46225</v>
      </c>
      <c r="R890" t="s">
        <v>38</v>
      </c>
      <c r="S890" t="s">
        <v>38</v>
      </c>
      <c r="T890" t="s">
        <v>3153</v>
      </c>
      <c r="U890" t="s">
        <v>75</v>
      </c>
      <c r="V890" t="s">
        <v>3154</v>
      </c>
    </row>
    <row r="891" spans="1:22" x14ac:dyDescent="0.2">
      <c r="A891" t="s">
        <v>1845</v>
      </c>
      <c r="B891" t="s">
        <v>1846</v>
      </c>
      <c r="C891" t="s">
        <v>103</v>
      </c>
      <c r="D891" t="s">
        <v>104</v>
      </c>
      <c r="E891" t="s">
        <v>60</v>
      </c>
      <c r="F891" t="s">
        <v>67</v>
      </c>
      <c r="G891" t="s">
        <v>68</v>
      </c>
      <c r="H891" t="s">
        <v>88</v>
      </c>
      <c r="I891" t="s">
        <v>50</v>
      </c>
      <c r="J891" t="s">
        <v>37</v>
      </c>
      <c r="K891" s="4">
        <v>45928</v>
      </c>
      <c r="L891" s="4">
        <v>46108</v>
      </c>
      <c r="M891" t="s">
        <v>38</v>
      </c>
      <c r="N891" t="s">
        <v>75</v>
      </c>
      <c r="O891">
        <v>0</v>
      </c>
      <c r="P891" t="s">
        <v>50</v>
      </c>
      <c r="Q891" s="4">
        <v>46323</v>
      </c>
      <c r="R891" t="s">
        <v>57</v>
      </c>
      <c r="S891" t="s">
        <v>38</v>
      </c>
      <c r="T891" t="s">
        <v>3153</v>
      </c>
      <c r="U891" t="s">
        <v>75</v>
      </c>
      <c r="V891" t="s">
        <v>3154</v>
      </c>
    </row>
    <row r="892" spans="1:22" x14ac:dyDescent="0.2">
      <c r="A892" t="s">
        <v>1847</v>
      </c>
      <c r="B892" t="s">
        <v>1848</v>
      </c>
      <c r="C892" t="s">
        <v>42</v>
      </c>
      <c r="D892" t="s">
        <v>43</v>
      </c>
      <c r="E892" t="s">
        <v>80</v>
      </c>
      <c r="F892" t="s">
        <v>67</v>
      </c>
      <c r="G892" t="s">
        <v>118</v>
      </c>
      <c r="H892" t="s">
        <v>88</v>
      </c>
      <c r="I892" t="s">
        <v>106</v>
      </c>
      <c r="J892" t="s">
        <v>63</v>
      </c>
      <c r="K892" s="4">
        <v>46226</v>
      </c>
      <c r="L892" s="4">
        <v>46316</v>
      </c>
      <c r="M892" t="s">
        <v>64</v>
      </c>
      <c r="N892" t="s">
        <v>49</v>
      </c>
      <c r="O892">
        <v>2</v>
      </c>
      <c r="P892" t="s">
        <v>111</v>
      </c>
      <c r="Q892" s="4">
        <v>46228</v>
      </c>
      <c r="R892" t="s">
        <v>64</v>
      </c>
      <c r="S892" t="s">
        <v>3155</v>
      </c>
      <c r="T892" t="s">
        <v>3153</v>
      </c>
      <c r="U892" t="s">
        <v>49</v>
      </c>
      <c r="V892" t="s">
        <v>3154</v>
      </c>
    </row>
    <row r="893" spans="1:22" x14ac:dyDescent="0.2">
      <c r="A893" t="s">
        <v>1849</v>
      </c>
      <c r="B893" t="s">
        <v>1850</v>
      </c>
      <c r="C893" t="s">
        <v>31</v>
      </c>
      <c r="D893" t="s">
        <v>83</v>
      </c>
      <c r="E893" t="s">
        <v>91</v>
      </c>
      <c r="F893" t="s">
        <v>34</v>
      </c>
      <c r="G893" t="s">
        <v>35</v>
      </c>
      <c r="H893" t="s">
        <v>88</v>
      </c>
      <c r="I893" t="s">
        <v>62</v>
      </c>
      <c r="J893" t="s">
        <v>63</v>
      </c>
      <c r="K893" s="4">
        <v>46032</v>
      </c>
      <c r="L893" s="4">
        <v>46397</v>
      </c>
      <c r="M893" t="s">
        <v>64</v>
      </c>
      <c r="N893" t="s">
        <v>75</v>
      </c>
      <c r="O893">
        <v>2</v>
      </c>
      <c r="P893" t="s">
        <v>111</v>
      </c>
      <c r="Q893" s="4">
        <v>46292</v>
      </c>
      <c r="R893" t="s">
        <v>38</v>
      </c>
      <c r="S893" t="s">
        <v>3155</v>
      </c>
      <c r="T893" t="s">
        <v>3153</v>
      </c>
      <c r="U893" t="s">
        <v>75</v>
      </c>
      <c r="V893" t="s">
        <v>3154</v>
      </c>
    </row>
    <row r="894" spans="1:22" x14ac:dyDescent="0.2">
      <c r="A894" t="s">
        <v>1851</v>
      </c>
      <c r="B894" t="s">
        <v>1852</v>
      </c>
      <c r="C894" t="s">
        <v>31</v>
      </c>
      <c r="D894" t="s">
        <v>32</v>
      </c>
      <c r="E894" t="s">
        <v>91</v>
      </c>
      <c r="F894" t="s">
        <v>45</v>
      </c>
      <c r="G894" t="s">
        <v>46</v>
      </c>
      <c r="H894" t="s">
        <v>88</v>
      </c>
      <c r="I894" t="s">
        <v>62</v>
      </c>
      <c r="J894" t="s">
        <v>63</v>
      </c>
      <c r="K894" s="4">
        <v>46259</v>
      </c>
      <c r="L894" s="4">
        <v>46624</v>
      </c>
      <c r="M894" t="s">
        <v>84</v>
      </c>
      <c r="N894" t="s">
        <v>49</v>
      </c>
      <c r="O894">
        <v>3</v>
      </c>
      <c r="P894" t="s">
        <v>106</v>
      </c>
      <c r="Q894" s="4">
        <v>46402</v>
      </c>
      <c r="R894" t="s">
        <v>84</v>
      </c>
      <c r="S894" t="s">
        <v>3155</v>
      </c>
      <c r="T894" t="s">
        <v>3153</v>
      </c>
      <c r="U894" t="s">
        <v>49</v>
      </c>
      <c r="V894" t="s">
        <v>3154</v>
      </c>
    </row>
    <row r="895" spans="1:22" x14ac:dyDescent="0.2">
      <c r="A895" t="s">
        <v>1853</v>
      </c>
      <c r="B895" t="s">
        <v>1854</v>
      </c>
      <c r="C895" t="s">
        <v>78</v>
      </c>
      <c r="D895" t="s">
        <v>79</v>
      </c>
      <c r="E895" t="s">
        <v>53</v>
      </c>
      <c r="F895" t="s">
        <v>67</v>
      </c>
      <c r="G895" t="s">
        <v>118</v>
      </c>
      <c r="H895" t="s">
        <v>88</v>
      </c>
      <c r="J895" t="s">
        <v>48</v>
      </c>
      <c r="K895" s="4">
        <v>46036</v>
      </c>
      <c r="L895" s="4">
        <v>46126</v>
      </c>
      <c r="M895" t="s">
        <v>38</v>
      </c>
      <c r="N895" t="s">
        <v>55</v>
      </c>
      <c r="O895">
        <v>1</v>
      </c>
      <c r="P895" t="s">
        <v>56</v>
      </c>
      <c r="Q895" s="4">
        <v>46295</v>
      </c>
      <c r="R895" t="s">
        <v>84</v>
      </c>
      <c r="S895" t="s">
        <v>38</v>
      </c>
      <c r="T895" t="s">
        <v>3150</v>
      </c>
      <c r="U895" t="s">
        <v>55</v>
      </c>
      <c r="V895" t="s">
        <v>3154</v>
      </c>
    </row>
    <row r="896" spans="1:22" x14ac:dyDescent="0.2">
      <c r="A896" t="s">
        <v>1855</v>
      </c>
      <c r="B896" t="s">
        <v>1856</v>
      </c>
      <c r="C896" t="s">
        <v>31</v>
      </c>
      <c r="D896" t="s">
        <v>32</v>
      </c>
      <c r="E896" t="s">
        <v>44</v>
      </c>
      <c r="F896" t="s">
        <v>34</v>
      </c>
      <c r="G896" t="s">
        <v>35</v>
      </c>
      <c r="H896" t="s">
        <v>88</v>
      </c>
      <c r="I896" t="s">
        <v>50</v>
      </c>
      <c r="J896" t="s">
        <v>37</v>
      </c>
      <c r="K896" s="4">
        <v>46082</v>
      </c>
      <c r="L896" s="4">
        <v>46447</v>
      </c>
      <c r="M896" t="s">
        <v>84</v>
      </c>
      <c r="N896" t="s">
        <v>55</v>
      </c>
      <c r="O896">
        <v>3</v>
      </c>
      <c r="P896" t="s">
        <v>50</v>
      </c>
      <c r="Q896" s="4">
        <v>46226</v>
      </c>
      <c r="R896" t="s">
        <v>64</v>
      </c>
      <c r="S896" t="s">
        <v>3155</v>
      </c>
      <c r="T896" t="s">
        <v>3153</v>
      </c>
      <c r="U896" t="s">
        <v>55</v>
      </c>
      <c r="V896" t="s">
        <v>3154</v>
      </c>
    </row>
    <row r="897" spans="1:22" x14ac:dyDescent="0.2">
      <c r="A897" t="s">
        <v>1857</v>
      </c>
      <c r="B897" t="s">
        <v>1858</v>
      </c>
      <c r="C897" t="s">
        <v>78</v>
      </c>
      <c r="D897" t="s">
        <v>79</v>
      </c>
      <c r="E897" t="s">
        <v>60</v>
      </c>
      <c r="F897" t="s">
        <v>45</v>
      </c>
      <c r="G897" t="s">
        <v>61</v>
      </c>
      <c r="H897" t="s">
        <v>88</v>
      </c>
      <c r="I897" t="s">
        <v>54</v>
      </c>
      <c r="J897" t="s">
        <v>37</v>
      </c>
      <c r="K897" s="4">
        <v>46061</v>
      </c>
      <c r="L897" s="4">
        <v>46426</v>
      </c>
      <c r="M897" t="s">
        <v>64</v>
      </c>
      <c r="N897" t="s">
        <v>75</v>
      </c>
      <c r="O897">
        <v>0</v>
      </c>
      <c r="P897" t="s">
        <v>111</v>
      </c>
      <c r="Q897" s="4">
        <v>46277</v>
      </c>
      <c r="R897" t="s">
        <v>57</v>
      </c>
      <c r="S897" t="s">
        <v>3155</v>
      </c>
      <c r="T897" t="s">
        <v>3153</v>
      </c>
      <c r="U897" t="s">
        <v>75</v>
      </c>
      <c r="V897" t="s">
        <v>3154</v>
      </c>
    </row>
    <row r="898" spans="1:22" x14ac:dyDescent="0.2">
      <c r="A898" t="s">
        <v>1859</v>
      </c>
      <c r="B898" t="s">
        <v>1860</v>
      </c>
      <c r="C898" t="s">
        <v>31</v>
      </c>
      <c r="D898" t="s">
        <v>32</v>
      </c>
      <c r="E898" t="s">
        <v>80</v>
      </c>
      <c r="F898" t="s">
        <v>67</v>
      </c>
      <c r="G898" t="s">
        <v>118</v>
      </c>
      <c r="H898" t="s">
        <v>47</v>
      </c>
      <c r="I898" t="s">
        <v>50</v>
      </c>
      <c r="J898" t="s">
        <v>63</v>
      </c>
      <c r="K898" s="4">
        <v>46071</v>
      </c>
      <c r="L898" s="4">
        <v>46251</v>
      </c>
      <c r="M898" t="s">
        <v>38</v>
      </c>
      <c r="N898" t="s">
        <v>55</v>
      </c>
      <c r="O898">
        <v>2</v>
      </c>
      <c r="P898" t="s">
        <v>62</v>
      </c>
      <c r="Q898" s="4">
        <v>46352</v>
      </c>
      <c r="R898" t="s">
        <v>84</v>
      </c>
      <c r="S898" t="s">
        <v>38</v>
      </c>
      <c r="T898" t="s">
        <v>3153</v>
      </c>
      <c r="U898" t="s">
        <v>55</v>
      </c>
      <c r="V898" t="s">
        <v>3154</v>
      </c>
    </row>
    <row r="899" spans="1:22" x14ac:dyDescent="0.2">
      <c r="A899" t="s">
        <v>1861</v>
      </c>
      <c r="B899" t="s">
        <v>1862</v>
      </c>
      <c r="C899" t="s">
        <v>103</v>
      </c>
      <c r="D899" t="s">
        <v>104</v>
      </c>
      <c r="E899" t="s">
        <v>44</v>
      </c>
      <c r="F899" t="s">
        <v>67</v>
      </c>
      <c r="G899" t="s">
        <v>118</v>
      </c>
      <c r="H899" t="s">
        <v>88</v>
      </c>
      <c r="I899" t="s">
        <v>54</v>
      </c>
      <c r="J899" t="s">
        <v>63</v>
      </c>
      <c r="K899" s="4">
        <v>46205</v>
      </c>
      <c r="L899" s="4">
        <v>46570</v>
      </c>
      <c r="M899" t="s">
        <v>84</v>
      </c>
      <c r="N899" t="s">
        <v>49</v>
      </c>
      <c r="O899">
        <v>3</v>
      </c>
      <c r="P899" t="s">
        <v>111</v>
      </c>
      <c r="Q899" s="4">
        <v>46126</v>
      </c>
      <c r="R899" t="s">
        <v>64</v>
      </c>
      <c r="S899" t="s">
        <v>3155</v>
      </c>
      <c r="T899" t="s">
        <v>3153</v>
      </c>
      <c r="U899" t="s">
        <v>49</v>
      </c>
      <c r="V899" t="s">
        <v>3154</v>
      </c>
    </row>
    <row r="900" spans="1:22" x14ac:dyDescent="0.2">
      <c r="A900" t="s">
        <v>1863</v>
      </c>
      <c r="B900" t="s">
        <v>1864</v>
      </c>
      <c r="C900" t="s">
        <v>103</v>
      </c>
      <c r="D900" t="s">
        <v>104</v>
      </c>
      <c r="E900" t="s">
        <v>53</v>
      </c>
      <c r="F900" t="s">
        <v>34</v>
      </c>
      <c r="G900" t="s">
        <v>35</v>
      </c>
      <c r="H900" t="s">
        <v>47</v>
      </c>
      <c r="I900" t="s">
        <v>62</v>
      </c>
      <c r="J900" t="s">
        <v>48</v>
      </c>
      <c r="K900" s="4">
        <v>45993</v>
      </c>
      <c r="L900" s="4">
        <v>46358</v>
      </c>
      <c r="M900" t="s">
        <v>84</v>
      </c>
      <c r="N900" t="s">
        <v>75</v>
      </c>
      <c r="O900">
        <v>2</v>
      </c>
      <c r="P900" t="s">
        <v>56</v>
      </c>
      <c r="Q900" s="4">
        <v>46237</v>
      </c>
      <c r="R900" t="s">
        <v>64</v>
      </c>
      <c r="S900" t="s">
        <v>3155</v>
      </c>
      <c r="T900" t="s">
        <v>3153</v>
      </c>
      <c r="U900" t="s">
        <v>75</v>
      </c>
      <c r="V900" t="s">
        <v>3154</v>
      </c>
    </row>
    <row r="901" spans="1:22" x14ac:dyDescent="0.2">
      <c r="A901" t="s">
        <v>1865</v>
      </c>
      <c r="B901" t="s">
        <v>1866</v>
      </c>
      <c r="C901" t="s">
        <v>73</v>
      </c>
      <c r="D901" t="s">
        <v>74</v>
      </c>
      <c r="E901" t="s">
        <v>44</v>
      </c>
      <c r="F901" t="s">
        <v>45</v>
      </c>
      <c r="G901" t="s">
        <v>46</v>
      </c>
      <c r="H901" t="s">
        <v>88</v>
      </c>
      <c r="I901" t="s">
        <v>111</v>
      </c>
      <c r="J901" t="s">
        <v>48</v>
      </c>
      <c r="K901" s="4">
        <v>46150</v>
      </c>
      <c r="L901" s="4">
        <v>46515</v>
      </c>
      <c r="M901" t="s">
        <v>84</v>
      </c>
      <c r="N901" t="s">
        <v>55</v>
      </c>
      <c r="O901">
        <v>3</v>
      </c>
      <c r="P901" t="s">
        <v>54</v>
      </c>
      <c r="Q901" s="4">
        <v>46371</v>
      </c>
      <c r="R901" t="s">
        <v>84</v>
      </c>
      <c r="S901" t="s">
        <v>3155</v>
      </c>
      <c r="T901" t="s">
        <v>3153</v>
      </c>
      <c r="U901" t="s">
        <v>55</v>
      </c>
      <c r="V901" t="s">
        <v>3154</v>
      </c>
    </row>
    <row r="902" spans="1:22" x14ac:dyDescent="0.2">
      <c r="A902" t="s">
        <v>1867</v>
      </c>
      <c r="B902" t="s">
        <v>1868</v>
      </c>
      <c r="C902" t="s">
        <v>42</v>
      </c>
      <c r="D902" t="s">
        <v>43</v>
      </c>
      <c r="E902" t="s">
        <v>105</v>
      </c>
      <c r="F902" t="s">
        <v>67</v>
      </c>
      <c r="G902" t="s">
        <v>68</v>
      </c>
      <c r="H902" t="s">
        <v>36</v>
      </c>
      <c r="I902" t="s">
        <v>62</v>
      </c>
      <c r="J902" t="s">
        <v>63</v>
      </c>
      <c r="K902" s="4">
        <v>45832</v>
      </c>
      <c r="L902" s="4">
        <v>46197</v>
      </c>
      <c r="M902" t="s">
        <v>38</v>
      </c>
      <c r="N902" t="s">
        <v>75</v>
      </c>
      <c r="O902">
        <v>3</v>
      </c>
      <c r="P902" t="s">
        <v>70</v>
      </c>
      <c r="Q902" s="4">
        <v>46151</v>
      </c>
      <c r="R902" t="s">
        <v>38</v>
      </c>
      <c r="S902" t="s">
        <v>38</v>
      </c>
      <c r="T902" t="s">
        <v>3153</v>
      </c>
      <c r="U902" t="s">
        <v>75</v>
      </c>
      <c r="V902" t="s">
        <v>3152</v>
      </c>
    </row>
    <row r="903" spans="1:22" x14ac:dyDescent="0.2">
      <c r="A903" t="s">
        <v>1869</v>
      </c>
      <c r="B903" t="s">
        <v>1870</v>
      </c>
      <c r="C903" t="s">
        <v>96</v>
      </c>
      <c r="D903" t="s">
        <v>97</v>
      </c>
      <c r="E903" t="s">
        <v>80</v>
      </c>
      <c r="F903" t="s">
        <v>34</v>
      </c>
      <c r="G903" t="s">
        <v>35</v>
      </c>
      <c r="H903" t="s">
        <v>88</v>
      </c>
      <c r="I903" t="s">
        <v>39</v>
      </c>
      <c r="J903" t="s">
        <v>48</v>
      </c>
      <c r="K903" s="4">
        <v>46126</v>
      </c>
      <c r="L903" s="4">
        <v>46306</v>
      </c>
      <c r="M903" t="s">
        <v>84</v>
      </c>
      <c r="N903" t="s">
        <v>75</v>
      </c>
      <c r="O903">
        <v>3</v>
      </c>
      <c r="P903" t="s">
        <v>70</v>
      </c>
      <c r="Q903" s="4">
        <v>46376</v>
      </c>
      <c r="R903" t="s">
        <v>84</v>
      </c>
      <c r="S903" t="s">
        <v>3155</v>
      </c>
      <c r="T903" t="s">
        <v>3153</v>
      </c>
      <c r="U903" t="s">
        <v>75</v>
      </c>
      <c r="V903" t="s">
        <v>3154</v>
      </c>
    </row>
    <row r="904" spans="1:22" x14ac:dyDescent="0.2">
      <c r="A904" t="s">
        <v>1871</v>
      </c>
      <c r="B904" t="s">
        <v>1872</v>
      </c>
      <c r="C904" t="s">
        <v>103</v>
      </c>
      <c r="D904" t="s">
        <v>104</v>
      </c>
      <c r="E904" t="s">
        <v>60</v>
      </c>
      <c r="F904" t="s">
        <v>45</v>
      </c>
      <c r="G904" t="s">
        <v>61</v>
      </c>
      <c r="H904" t="s">
        <v>36</v>
      </c>
      <c r="I904" t="s">
        <v>70</v>
      </c>
      <c r="J904" t="s">
        <v>37</v>
      </c>
      <c r="K904" s="4">
        <v>45906</v>
      </c>
      <c r="L904" s="4">
        <v>45996</v>
      </c>
      <c r="M904" t="s">
        <v>38</v>
      </c>
      <c r="N904" t="s">
        <v>75</v>
      </c>
      <c r="O904">
        <v>3</v>
      </c>
      <c r="P904" t="s">
        <v>54</v>
      </c>
      <c r="Q904" s="4">
        <v>46288</v>
      </c>
      <c r="R904" t="s">
        <v>64</v>
      </c>
      <c r="S904" t="s">
        <v>38</v>
      </c>
      <c r="T904" t="s">
        <v>3153</v>
      </c>
      <c r="U904" t="s">
        <v>75</v>
      </c>
      <c r="V904" t="s">
        <v>3152</v>
      </c>
    </row>
    <row r="905" spans="1:22" x14ac:dyDescent="0.2">
      <c r="A905" t="s">
        <v>1873</v>
      </c>
      <c r="B905" t="s">
        <v>1874</v>
      </c>
      <c r="C905" t="s">
        <v>96</v>
      </c>
      <c r="D905" t="s">
        <v>97</v>
      </c>
      <c r="E905" t="s">
        <v>53</v>
      </c>
      <c r="F905" t="s">
        <v>67</v>
      </c>
      <c r="G905" t="s">
        <v>68</v>
      </c>
      <c r="H905" t="s">
        <v>88</v>
      </c>
      <c r="I905" t="s">
        <v>70</v>
      </c>
      <c r="J905" t="s">
        <v>37</v>
      </c>
      <c r="K905" s="4">
        <v>46041</v>
      </c>
      <c r="L905" s="4">
        <v>46406</v>
      </c>
      <c r="M905" t="s">
        <v>64</v>
      </c>
      <c r="N905" t="s">
        <v>55</v>
      </c>
      <c r="O905">
        <v>2</v>
      </c>
      <c r="P905" t="s">
        <v>56</v>
      </c>
      <c r="Q905" s="4">
        <v>46290</v>
      </c>
      <c r="R905" t="s">
        <v>64</v>
      </c>
      <c r="S905" t="s">
        <v>3155</v>
      </c>
      <c r="T905" t="s">
        <v>3153</v>
      </c>
      <c r="U905" t="s">
        <v>55</v>
      </c>
      <c r="V905" t="s">
        <v>3154</v>
      </c>
    </row>
    <row r="906" spans="1:22" x14ac:dyDescent="0.2">
      <c r="A906" t="s">
        <v>1875</v>
      </c>
      <c r="B906" t="s">
        <v>1876</v>
      </c>
      <c r="C906" t="s">
        <v>42</v>
      </c>
      <c r="D906" t="s">
        <v>43</v>
      </c>
      <c r="E906" t="s">
        <v>60</v>
      </c>
      <c r="F906" t="s">
        <v>34</v>
      </c>
      <c r="G906" t="s">
        <v>35</v>
      </c>
      <c r="H906" t="s">
        <v>47</v>
      </c>
      <c r="I906" t="s">
        <v>50</v>
      </c>
      <c r="J906" t="s">
        <v>63</v>
      </c>
      <c r="K906" s="4">
        <v>46200</v>
      </c>
      <c r="L906" s="4">
        <v>46565</v>
      </c>
      <c r="M906" t="s">
        <v>64</v>
      </c>
      <c r="N906" t="s">
        <v>55</v>
      </c>
      <c r="O906">
        <v>2</v>
      </c>
      <c r="P906" t="s">
        <v>50</v>
      </c>
      <c r="Q906" s="4">
        <v>46403</v>
      </c>
      <c r="R906" t="s">
        <v>84</v>
      </c>
      <c r="S906" t="s">
        <v>3155</v>
      </c>
      <c r="T906" t="s">
        <v>3153</v>
      </c>
      <c r="U906" t="s">
        <v>55</v>
      </c>
      <c r="V906" t="s">
        <v>3154</v>
      </c>
    </row>
    <row r="907" spans="1:22" x14ac:dyDescent="0.2">
      <c r="A907" t="s">
        <v>1877</v>
      </c>
      <c r="B907" t="s">
        <v>1878</v>
      </c>
      <c r="C907" t="s">
        <v>42</v>
      </c>
      <c r="D907" t="s">
        <v>43</v>
      </c>
      <c r="E907" t="s">
        <v>80</v>
      </c>
      <c r="F907" t="s">
        <v>34</v>
      </c>
      <c r="G907" t="s">
        <v>35</v>
      </c>
      <c r="H907" t="s">
        <v>36</v>
      </c>
      <c r="I907" t="s">
        <v>56</v>
      </c>
      <c r="J907" t="s">
        <v>48</v>
      </c>
      <c r="K907" s="4">
        <v>46196</v>
      </c>
      <c r="L907" s="4">
        <v>46561</v>
      </c>
      <c r="M907" t="s">
        <v>84</v>
      </c>
      <c r="N907" t="s">
        <v>55</v>
      </c>
      <c r="O907">
        <v>4</v>
      </c>
      <c r="P907" t="s">
        <v>39</v>
      </c>
      <c r="Q907" s="4">
        <v>46264</v>
      </c>
      <c r="R907" t="s">
        <v>38</v>
      </c>
      <c r="S907" t="s">
        <v>3155</v>
      </c>
      <c r="T907" t="s">
        <v>3153</v>
      </c>
      <c r="U907" t="s">
        <v>55</v>
      </c>
      <c r="V907" t="s">
        <v>3152</v>
      </c>
    </row>
    <row r="908" spans="1:22" x14ac:dyDescent="0.2">
      <c r="A908" t="s">
        <v>1879</v>
      </c>
      <c r="B908" t="s">
        <v>1880</v>
      </c>
      <c r="C908" t="s">
        <v>31</v>
      </c>
      <c r="D908" t="s">
        <v>83</v>
      </c>
      <c r="E908" t="s">
        <v>44</v>
      </c>
      <c r="F908" t="s">
        <v>45</v>
      </c>
      <c r="G908" t="s">
        <v>61</v>
      </c>
      <c r="H908" t="s">
        <v>88</v>
      </c>
      <c r="I908" t="s">
        <v>56</v>
      </c>
      <c r="J908" t="s">
        <v>63</v>
      </c>
      <c r="K908" s="4">
        <v>46089</v>
      </c>
      <c r="L908" s="4">
        <v>46454</v>
      </c>
      <c r="M908" t="s">
        <v>64</v>
      </c>
      <c r="N908" t="s">
        <v>49</v>
      </c>
      <c r="O908">
        <v>3</v>
      </c>
      <c r="P908" t="s">
        <v>50</v>
      </c>
      <c r="Q908" s="4">
        <v>46359</v>
      </c>
      <c r="R908" t="s">
        <v>84</v>
      </c>
      <c r="S908" t="s">
        <v>3155</v>
      </c>
      <c r="T908" t="s">
        <v>3153</v>
      </c>
      <c r="U908" t="s">
        <v>49</v>
      </c>
      <c r="V908" t="s">
        <v>3154</v>
      </c>
    </row>
    <row r="909" spans="1:22" x14ac:dyDescent="0.2">
      <c r="A909" t="s">
        <v>1881</v>
      </c>
      <c r="B909" t="s">
        <v>1882</v>
      </c>
      <c r="C909" t="s">
        <v>78</v>
      </c>
      <c r="D909" t="s">
        <v>79</v>
      </c>
      <c r="E909" t="s">
        <v>60</v>
      </c>
      <c r="F909" t="s">
        <v>34</v>
      </c>
      <c r="G909" t="s">
        <v>35</v>
      </c>
      <c r="H909" t="s">
        <v>88</v>
      </c>
      <c r="I909" t="s">
        <v>111</v>
      </c>
      <c r="J909" t="s">
        <v>63</v>
      </c>
      <c r="K909" s="4">
        <v>45944</v>
      </c>
      <c r="L909" s="4">
        <v>46034</v>
      </c>
      <c r="M909" t="s">
        <v>38</v>
      </c>
      <c r="N909" t="s">
        <v>49</v>
      </c>
      <c r="O909">
        <v>3</v>
      </c>
      <c r="P909" t="s">
        <v>70</v>
      </c>
      <c r="Q909" s="4">
        <v>46204</v>
      </c>
      <c r="R909" t="s">
        <v>38</v>
      </c>
      <c r="S909" t="s">
        <v>38</v>
      </c>
      <c r="T909" t="s">
        <v>3153</v>
      </c>
      <c r="U909" t="s">
        <v>49</v>
      </c>
      <c r="V909" t="s">
        <v>3154</v>
      </c>
    </row>
    <row r="910" spans="1:22" x14ac:dyDescent="0.2">
      <c r="A910" t="s">
        <v>1883</v>
      </c>
      <c r="B910" t="s">
        <v>1884</v>
      </c>
      <c r="C910" t="s">
        <v>31</v>
      </c>
      <c r="D910" t="s">
        <v>87</v>
      </c>
      <c r="E910" t="s">
        <v>53</v>
      </c>
      <c r="F910" t="s">
        <v>67</v>
      </c>
      <c r="G910" t="s">
        <v>68</v>
      </c>
      <c r="H910" t="s">
        <v>47</v>
      </c>
      <c r="I910" t="s">
        <v>50</v>
      </c>
      <c r="J910" t="s">
        <v>63</v>
      </c>
      <c r="K910" s="4">
        <v>46133</v>
      </c>
      <c r="L910" s="4">
        <v>46498</v>
      </c>
      <c r="M910" t="s">
        <v>84</v>
      </c>
      <c r="N910" t="s">
        <v>49</v>
      </c>
      <c r="O910">
        <v>1</v>
      </c>
      <c r="P910" t="s">
        <v>54</v>
      </c>
      <c r="Q910" s="4">
        <v>46297</v>
      </c>
      <c r="R910" t="s">
        <v>84</v>
      </c>
      <c r="S910" t="s">
        <v>3155</v>
      </c>
      <c r="T910" t="s">
        <v>3153</v>
      </c>
      <c r="U910" t="s">
        <v>49</v>
      </c>
      <c r="V910" t="s">
        <v>3154</v>
      </c>
    </row>
    <row r="911" spans="1:22" x14ac:dyDescent="0.2">
      <c r="A911" t="s">
        <v>1885</v>
      </c>
      <c r="B911" t="s">
        <v>1886</v>
      </c>
      <c r="C911" t="s">
        <v>31</v>
      </c>
      <c r="D911" t="s">
        <v>32</v>
      </c>
      <c r="E911" t="s">
        <v>53</v>
      </c>
      <c r="F911" t="s">
        <v>34</v>
      </c>
      <c r="G911" t="s">
        <v>35</v>
      </c>
      <c r="H911" t="s">
        <v>88</v>
      </c>
      <c r="I911" t="s">
        <v>62</v>
      </c>
      <c r="J911" t="s">
        <v>48</v>
      </c>
      <c r="K911" s="4">
        <v>45955</v>
      </c>
      <c r="L911" s="4">
        <v>46045</v>
      </c>
      <c r="M911" t="s">
        <v>38</v>
      </c>
      <c r="N911" t="s">
        <v>75</v>
      </c>
      <c r="O911">
        <v>0</v>
      </c>
      <c r="P911" t="s">
        <v>111</v>
      </c>
      <c r="Q911" s="4">
        <v>46253</v>
      </c>
      <c r="R911" t="s">
        <v>57</v>
      </c>
      <c r="S911" t="s">
        <v>38</v>
      </c>
      <c r="T911" t="s">
        <v>3153</v>
      </c>
      <c r="U911" t="s">
        <v>75</v>
      </c>
      <c r="V911" t="s">
        <v>3154</v>
      </c>
    </row>
    <row r="912" spans="1:22" x14ac:dyDescent="0.2">
      <c r="A912" t="s">
        <v>1887</v>
      </c>
      <c r="B912" t="s">
        <v>1888</v>
      </c>
      <c r="C912" t="s">
        <v>42</v>
      </c>
      <c r="D912" t="s">
        <v>43</v>
      </c>
      <c r="E912" t="s">
        <v>44</v>
      </c>
      <c r="F912" t="s">
        <v>34</v>
      </c>
      <c r="G912" t="s">
        <v>35</v>
      </c>
      <c r="H912" t="s">
        <v>47</v>
      </c>
      <c r="I912" t="s">
        <v>50</v>
      </c>
      <c r="J912" t="s">
        <v>37</v>
      </c>
      <c r="K912" s="4">
        <v>45922</v>
      </c>
      <c r="L912" s="4">
        <v>46287</v>
      </c>
      <c r="M912" t="s">
        <v>38</v>
      </c>
      <c r="N912" t="s">
        <v>55</v>
      </c>
      <c r="O912">
        <v>1</v>
      </c>
      <c r="P912" t="s">
        <v>70</v>
      </c>
      <c r="Q912" s="4">
        <v>46348</v>
      </c>
      <c r="R912" t="s">
        <v>64</v>
      </c>
      <c r="S912" t="s">
        <v>38</v>
      </c>
      <c r="T912" t="s">
        <v>3153</v>
      </c>
      <c r="U912" t="s">
        <v>55</v>
      </c>
      <c r="V912" t="s">
        <v>3154</v>
      </c>
    </row>
    <row r="913" spans="1:22" x14ac:dyDescent="0.2">
      <c r="A913" t="s">
        <v>1889</v>
      </c>
      <c r="B913" t="s">
        <v>1890</v>
      </c>
      <c r="C913" t="s">
        <v>103</v>
      </c>
      <c r="D913" t="s">
        <v>104</v>
      </c>
      <c r="E913" t="s">
        <v>91</v>
      </c>
      <c r="F913" t="s">
        <v>34</v>
      </c>
      <c r="G913" t="s">
        <v>35</v>
      </c>
      <c r="H913" t="s">
        <v>36</v>
      </c>
      <c r="I913" t="s">
        <v>70</v>
      </c>
      <c r="J913" t="s">
        <v>63</v>
      </c>
      <c r="K913" s="4">
        <v>45812</v>
      </c>
      <c r="L913" s="4">
        <v>45902</v>
      </c>
      <c r="M913" t="s">
        <v>38</v>
      </c>
      <c r="N913" t="s">
        <v>49</v>
      </c>
      <c r="O913">
        <v>2</v>
      </c>
      <c r="P913" t="s">
        <v>111</v>
      </c>
      <c r="Q913" s="4">
        <v>46146</v>
      </c>
      <c r="R913" t="s">
        <v>64</v>
      </c>
      <c r="S913" t="s">
        <v>38</v>
      </c>
      <c r="T913" t="s">
        <v>3153</v>
      </c>
      <c r="U913" t="s">
        <v>49</v>
      </c>
      <c r="V913" t="s">
        <v>3152</v>
      </c>
    </row>
    <row r="914" spans="1:22" x14ac:dyDescent="0.2">
      <c r="A914" t="s">
        <v>1891</v>
      </c>
      <c r="B914" t="s">
        <v>1892</v>
      </c>
      <c r="C914" t="s">
        <v>31</v>
      </c>
      <c r="D914" t="s">
        <v>32</v>
      </c>
      <c r="E914" t="s">
        <v>60</v>
      </c>
      <c r="F914" t="s">
        <v>67</v>
      </c>
      <c r="G914" t="s">
        <v>68</v>
      </c>
      <c r="H914" t="s">
        <v>36</v>
      </c>
      <c r="I914" t="s">
        <v>39</v>
      </c>
      <c r="J914" t="s">
        <v>48</v>
      </c>
      <c r="K914" s="4">
        <v>46112</v>
      </c>
      <c r="L914" s="4">
        <v>46477</v>
      </c>
      <c r="M914" t="s">
        <v>64</v>
      </c>
      <c r="N914" t="s">
        <v>75</v>
      </c>
      <c r="O914">
        <v>0</v>
      </c>
      <c r="P914" t="s">
        <v>70</v>
      </c>
      <c r="Q914" s="4">
        <v>46341</v>
      </c>
      <c r="R914" t="s">
        <v>57</v>
      </c>
      <c r="S914" t="s">
        <v>3155</v>
      </c>
      <c r="T914" t="s">
        <v>3153</v>
      </c>
      <c r="U914" t="s">
        <v>75</v>
      </c>
      <c r="V914" t="s">
        <v>3152</v>
      </c>
    </row>
    <row r="915" spans="1:22" x14ac:dyDescent="0.2">
      <c r="A915" t="s">
        <v>1893</v>
      </c>
      <c r="B915" t="s">
        <v>1894</v>
      </c>
      <c r="C915" t="s">
        <v>103</v>
      </c>
      <c r="D915" t="s">
        <v>104</v>
      </c>
      <c r="E915" t="s">
        <v>60</v>
      </c>
      <c r="F915" t="s">
        <v>34</v>
      </c>
      <c r="G915" t="s">
        <v>35</v>
      </c>
      <c r="H915" t="s">
        <v>88</v>
      </c>
      <c r="I915" t="s">
        <v>39</v>
      </c>
      <c r="J915" t="s">
        <v>63</v>
      </c>
      <c r="K915" s="4">
        <v>45978</v>
      </c>
      <c r="L915" s="4">
        <v>46158</v>
      </c>
      <c r="M915" t="s">
        <v>38</v>
      </c>
      <c r="O915">
        <v>0</v>
      </c>
      <c r="P915" t="s">
        <v>111</v>
      </c>
      <c r="Q915" s="4">
        <v>46341</v>
      </c>
      <c r="R915" t="s">
        <v>57</v>
      </c>
      <c r="S915" t="s">
        <v>38</v>
      </c>
      <c r="T915" t="s">
        <v>3153</v>
      </c>
      <c r="U915" t="s">
        <v>3151</v>
      </c>
      <c r="V915" t="s">
        <v>3154</v>
      </c>
    </row>
    <row r="916" spans="1:22" x14ac:dyDescent="0.2">
      <c r="A916" t="s">
        <v>1895</v>
      </c>
      <c r="B916" t="s">
        <v>1896</v>
      </c>
      <c r="C916" t="s">
        <v>42</v>
      </c>
      <c r="D916" t="s">
        <v>43</v>
      </c>
      <c r="E916" t="s">
        <v>80</v>
      </c>
      <c r="F916" t="s">
        <v>45</v>
      </c>
      <c r="G916" t="s">
        <v>61</v>
      </c>
      <c r="H916" t="s">
        <v>88</v>
      </c>
      <c r="I916" t="s">
        <v>111</v>
      </c>
      <c r="J916" t="s">
        <v>63</v>
      </c>
      <c r="K916" s="4">
        <v>45952</v>
      </c>
      <c r="L916" s="4">
        <v>46042</v>
      </c>
      <c r="M916" t="s">
        <v>38</v>
      </c>
      <c r="N916" t="s">
        <v>75</v>
      </c>
      <c r="O916">
        <v>3</v>
      </c>
      <c r="P916" t="s">
        <v>54</v>
      </c>
      <c r="Q916" s="4">
        <v>46378</v>
      </c>
      <c r="R916" t="s">
        <v>64</v>
      </c>
      <c r="S916" t="s">
        <v>38</v>
      </c>
      <c r="T916" t="s">
        <v>3153</v>
      </c>
      <c r="U916" t="s">
        <v>75</v>
      </c>
      <c r="V916" t="s">
        <v>3154</v>
      </c>
    </row>
    <row r="917" spans="1:22" x14ac:dyDescent="0.2">
      <c r="A917" t="s">
        <v>1897</v>
      </c>
      <c r="B917" t="s">
        <v>1898</v>
      </c>
      <c r="C917" t="s">
        <v>96</v>
      </c>
      <c r="D917" t="s">
        <v>97</v>
      </c>
      <c r="E917" t="s">
        <v>91</v>
      </c>
      <c r="F917" t="s">
        <v>67</v>
      </c>
      <c r="G917" t="s">
        <v>118</v>
      </c>
      <c r="H917" t="s">
        <v>88</v>
      </c>
      <c r="I917" t="s">
        <v>56</v>
      </c>
      <c r="J917" t="s">
        <v>48</v>
      </c>
      <c r="K917" s="4">
        <v>45955</v>
      </c>
      <c r="L917" s="4">
        <v>46135</v>
      </c>
      <c r="M917" t="s">
        <v>38</v>
      </c>
      <c r="N917" t="s">
        <v>55</v>
      </c>
      <c r="O917">
        <v>1</v>
      </c>
      <c r="P917" t="s">
        <v>50</v>
      </c>
      <c r="Q917" s="4">
        <v>46364</v>
      </c>
      <c r="R917" t="s">
        <v>64</v>
      </c>
      <c r="S917" t="s">
        <v>38</v>
      </c>
      <c r="T917" t="s">
        <v>3153</v>
      </c>
      <c r="U917" t="s">
        <v>55</v>
      </c>
      <c r="V917" t="s">
        <v>3154</v>
      </c>
    </row>
    <row r="918" spans="1:22" x14ac:dyDescent="0.2">
      <c r="A918" t="s">
        <v>1899</v>
      </c>
      <c r="B918" t="s">
        <v>1900</v>
      </c>
      <c r="C918" t="s">
        <v>103</v>
      </c>
      <c r="D918" t="s">
        <v>104</v>
      </c>
      <c r="E918" t="s">
        <v>91</v>
      </c>
      <c r="F918" t="s">
        <v>45</v>
      </c>
      <c r="G918" t="s">
        <v>61</v>
      </c>
      <c r="H918" t="s">
        <v>88</v>
      </c>
      <c r="I918" t="s">
        <v>111</v>
      </c>
      <c r="J918" t="s">
        <v>63</v>
      </c>
      <c r="K918" s="4">
        <v>46100</v>
      </c>
      <c r="L918" s="4">
        <v>46465</v>
      </c>
      <c r="M918" t="s">
        <v>84</v>
      </c>
      <c r="N918" t="s">
        <v>55</v>
      </c>
      <c r="O918">
        <v>0</v>
      </c>
      <c r="P918" t="s">
        <v>56</v>
      </c>
      <c r="Q918" s="4">
        <v>46233</v>
      </c>
      <c r="R918" t="s">
        <v>57</v>
      </c>
      <c r="S918" t="s">
        <v>3155</v>
      </c>
      <c r="T918" t="s">
        <v>3153</v>
      </c>
      <c r="U918" t="s">
        <v>55</v>
      </c>
      <c r="V918" t="s">
        <v>3154</v>
      </c>
    </row>
    <row r="919" spans="1:22" x14ac:dyDescent="0.2">
      <c r="A919" t="s">
        <v>1901</v>
      </c>
      <c r="B919" t="s">
        <v>1902</v>
      </c>
      <c r="C919" t="s">
        <v>31</v>
      </c>
      <c r="D919" t="s">
        <v>83</v>
      </c>
      <c r="E919" t="s">
        <v>105</v>
      </c>
      <c r="F919" t="s">
        <v>67</v>
      </c>
      <c r="G919" t="s">
        <v>118</v>
      </c>
      <c r="H919" t="s">
        <v>88</v>
      </c>
      <c r="I919" t="s">
        <v>54</v>
      </c>
      <c r="J919" t="s">
        <v>63</v>
      </c>
      <c r="K919" s="4">
        <v>45983</v>
      </c>
      <c r="L919" s="4">
        <v>46348</v>
      </c>
      <c r="M919" t="s">
        <v>64</v>
      </c>
      <c r="N919" t="s">
        <v>55</v>
      </c>
      <c r="O919">
        <v>1</v>
      </c>
      <c r="P919" t="s">
        <v>50</v>
      </c>
      <c r="Q919" s="4">
        <v>46317</v>
      </c>
      <c r="R919" t="s">
        <v>84</v>
      </c>
      <c r="S919" t="s">
        <v>3155</v>
      </c>
      <c r="T919" t="s">
        <v>3153</v>
      </c>
      <c r="U919" t="s">
        <v>55</v>
      </c>
      <c r="V919" t="s">
        <v>3154</v>
      </c>
    </row>
    <row r="920" spans="1:22" x14ac:dyDescent="0.2">
      <c r="A920" t="s">
        <v>1903</v>
      </c>
      <c r="B920" t="s">
        <v>1904</v>
      </c>
      <c r="C920" t="s">
        <v>42</v>
      </c>
      <c r="D920" t="s">
        <v>43</v>
      </c>
      <c r="E920" t="s">
        <v>91</v>
      </c>
      <c r="F920" t="s">
        <v>67</v>
      </c>
      <c r="G920" t="s">
        <v>118</v>
      </c>
      <c r="H920" t="s">
        <v>88</v>
      </c>
      <c r="I920" t="s">
        <v>62</v>
      </c>
      <c r="J920" t="s">
        <v>48</v>
      </c>
      <c r="K920" s="4">
        <v>45876</v>
      </c>
      <c r="L920" s="4">
        <v>46241</v>
      </c>
      <c r="M920" t="s">
        <v>38</v>
      </c>
      <c r="N920" t="s">
        <v>75</v>
      </c>
      <c r="O920">
        <v>1</v>
      </c>
      <c r="P920" t="s">
        <v>56</v>
      </c>
      <c r="Q920" s="4">
        <v>46249</v>
      </c>
      <c r="R920" t="s">
        <v>38</v>
      </c>
      <c r="S920" t="s">
        <v>38</v>
      </c>
      <c r="T920" t="s">
        <v>3153</v>
      </c>
      <c r="U920" t="s">
        <v>75</v>
      </c>
      <c r="V920" t="s">
        <v>3154</v>
      </c>
    </row>
    <row r="921" spans="1:22" x14ac:dyDescent="0.2">
      <c r="A921" t="s">
        <v>1905</v>
      </c>
      <c r="B921" t="s">
        <v>1906</v>
      </c>
      <c r="C921" t="s">
        <v>31</v>
      </c>
      <c r="D921" t="s">
        <v>87</v>
      </c>
      <c r="E921" t="s">
        <v>91</v>
      </c>
      <c r="F921" t="s">
        <v>67</v>
      </c>
      <c r="G921" t="s">
        <v>118</v>
      </c>
      <c r="H921" t="s">
        <v>88</v>
      </c>
      <c r="I921" t="s">
        <v>56</v>
      </c>
      <c r="J921" t="s">
        <v>37</v>
      </c>
      <c r="K921" s="4">
        <v>46058</v>
      </c>
      <c r="L921" s="4">
        <v>46423</v>
      </c>
      <c r="M921" t="s">
        <v>64</v>
      </c>
      <c r="N921" t="s">
        <v>75</v>
      </c>
      <c r="O921">
        <v>0</v>
      </c>
      <c r="P921" t="s">
        <v>50</v>
      </c>
      <c r="Q921" s="4">
        <v>46321</v>
      </c>
      <c r="R921" t="s">
        <v>57</v>
      </c>
      <c r="S921" t="s">
        <v>3155</v>
      </c>
      <c r="T921" t="s">
        <v>3153</v>
      </c>
      <c r="U921" t="s">
        <v>75</v>
      </c>
      <c r="V921" t="s">
        <v>3154</v>
      </c>
    </row>
    <row r="922" spans="1:22" x14ac:dyDescent="0.2">
      <c r="A922" t="s">
        <v>1907</v>
      </c>
      <c r="B922" t="s">
        <v>1908</v>
      </c>
      <c r="C922" t="s">
        <v>78</v>
      </c>
      <c r="D922" t="s">
        <v>79</v>
      </c>
      <c r="E922" t="s">
        <v>105</v>
      </c>
      <c r="F922" t="s">
        <v>67</v>
      </c>
      <c r="G922" t="s">
        <v>118</v>
      </c>
      <c r="H922" t="s">
        <v>36</v>
      </c>
      <c r="I922" t="s">
        <v>54</v>
      </c>
      <c r="J922" t="s">
        <v>37</v>
      </c>
      <c r="K922" s="4">
        <v>46169</v>
      </c>
      <c r="L922" s="4">
        <v>46534</v>
      </c>
      <c r="M922" t="s">
        <v>69</v>
      </c>
      <c r="N922" t="s">
        <v>75</v>
      </c>
      <c r="O922">
        <v>0</v>
      </c>
      <c r="P922" t="s">
        <v>106</v>
      </c>
      <c r="Q922" s="4">
        <v>46279</v>
      </c>
      <c r="R922" t="s">
        <v>57</v>
      </c>
      <c r="S922" t="s">
        <v>3155</v>
      </c>
      <c r="T922" t="s">
        <v>3153</v>
      </c>
      <c r="U922" t="s">
        <v>75</v>
      </c>
      <c r="V922" t="s">
        <v>3152</v>
      </c>
    </row>
    <row r="923" spans="1:22" x14ac:dyDescent="0.2">
      <c r="A923" t="s">
        <v>1909</v>
      </c>
      <c r="B923" t="s">
        <v>1910</v>
      </c>
      <c r="C923" t="s">
        <v>31</v>
      </c>
      <c r="D923" t="s">
        <v>83</v>
      </c>
      <c r="E923" t="s">
        <v>44</v>
      </c>
      <c r="F923" t="s">
        <v>34</v>
      </c>
      <c r="G923" t="s">
        <v>35</v>
      </c>
      <c r="H923" t="s">
        <v>88</v>
      </c>
      <c r="I923" t="s">
        <v>111</v>
      </c>
      <c r="J923" t="s">
        <v>63</v>
      </c>
      <c r="K923" s="4">
        <v>45837</v>
      </c>
      <c r="L923" s="4">
        <v>46017</v>
      </c>
      <c r="M923" t="s">
        <v>38</v>
      </c>
      <c r="N923" t="s">
        <v>55</v>
      </c>
      <c r="O923">
        <v>0</v>
      </c>
      <c r="P923" t="s">
        <v>111</v>
      </c>
      <c r="Q923" s="4">
        <v>46239</v>
      </c>
      <c r="R923" t="s">
        <v>57</v>
      </c>
      <c r="S923" t="s">
        <v>38</v>
      </c>
      <c r="T923" t="s">
        <v>3153</v>
      </c>
      <c r="U923" t="s">
        <v>55</v>
      </c>
      <c r="V923" t="s">
        <v>3154</v>
      </c>
    </row>
    <row r="924" spans="1:22" x14ac:dyDescent="0.2">
      <c r="A924" t="s">
        <v>1911</v>
      </c>
      <c r="B924" t="s">
        <v>1912</v>
      </c>
      <c r="C924" t="s">
        <v>78</v>
      </c>
      <c r="D924" t="s">
        <v>79</v>
      </c>
      <c r="E924" t="s">
        <v>105</v>
      </c>
      <c r="F924" t="s">
        <v>34</v>
      </c>
      <c r="G924" t="s">
        <v>35</v>
      </c>
      <c r="H924" t="s">
        <v>36</v>
      </c>
      <c r="I924" t="s">
        <v>62</v>
      </c>
      <c r="J924" t="s">
        <v>48</v>
      </c>
      <c r="K924" s="4">
        <v>45923</v>
      </c>
      <c r="L924" s="4">
        <v>46288</v>
      </c>
      <c r="M924" t="s">
        <v>38</v>
      </c>
      <c r="N924" t="s">
        <v>75</v>
      </c>
      <c r="O924">
        <v>1</v>
      </c>
      <c r="P924" t="s">
        <v>39</v>
      </c>
      <c r="Q924" s="4">
        <v>46258</v>
      </c>
      <c r="R924" t="s">
        <v>38</v>
      </c>
      <c r="S924" t="s">
        <v>38</v>
      </c>
      <c r="T924" t="s">
        <v>3153</v>
      </c>
      <c r="U924" t="s">
        <v>75</v>
      </c>
      <c r="V924" t="s">
        <v>3152</v>
      </c>
    </row>
    <row r="925" spans="1:22" x14ac:dyDescent="0.2">
      <c r="A925" t="s">
        <v>1913</v>
      </c>
      <c r="B925" t="s">
        <v>1914</v>
      </c>
      <c r="C925" t="s">
        <v>31</v>
      </c>
      <c r="D925" t="s">
        <v>32</v>
      </c>
      <c r="E925" t="s">
        <v>53</v>
      </c>
      <c r="F925" t="s">
        <v>34</v>
      </c>
      <c r="G925" t="s">
        <v>35</v>
      </c>
      <c r="H925" t="s">
        <v>88</v>
      </c>
      <c r="I925" t="s">
        <v>111</v>
      </c>
      <c r="J925" t="s">
        <v>63</v>
      </c>
      <c r="K925" s="4">
        <v>45803</v>
      </c>
      <c r="L925" s="4">
        <v>45983</v>
      </c>
      <c r="M925" t="s">
        <v>38</v>
      </c>
      <c r="N925" t="s">
        <v>55</v>
      </c>
      <c r="O925">
        <v>3</v>
      </c>
      <c r="P925" t="s">
        <v>62</v>
      </c>
      <c r="Q925" s="4">
        <v>46183</v>
      </c>
      <c r="R925" t="s">
        <v>38</v>
      </c>
      <c r="S925" t="s">
        <v>38</v>
      </c>
      <c r="T925" t="s">
        <v>3153</v>
      </c>
      <c r="U925" t="s">
        <v>55</v>
      </c>
      <c r="V925" t="s">
        <v>3154</v>
      </c>
    </row>
    <row r="926" spans="1:22" x14ac:dyDescent="0.2">
      <c r="A926" t="s">
        <v>1915</v>
      </c>
      <c r="B926" t="s">
        <v>1916</v>
      </c>
      <c r="C926" t="s">
        <v>42</v>
      </c>
      <c r="D926" t="s">
        <v>43</v>
      </c>
      <c r="E926" t="s">
        <v>60</v>
      </c>
      <c r="F926" t="s">
        <v>45</v>
      </c>
      <c r="G926" t="s">
        <v>46</v>
      </c>
      <c r="H926" t="s">
        <v>47</v>
      </c>
      <c r="I926" t="s">
        <v>54</v>
      </c>
      <c r="J926" t="s">
        <v>63</v>
      </c>
      <c r="K926" s="4">
        <v>45988</v>
      </c>
      <c r="L926" s="4">
        <v>46078</v>
      </c>
      <c r="M926" t="s">
        <v>38</v>
      </c>
      <c r="N926" t="s">
        <v>75</v>
      </c>
      <c r="O926">
        <v>1</v>
      </c>
      <c r="P926" t="s">
        <v>56</v>
      </c>
      <c r="Q926" s="4">
        <v>46282</v>
      </c>
      <c r="R926" t="s">
        <v>38</v>
      </c>
      <c r="S926" t="s">
        <v>38</v>
      </c>
      <c r="T926" t="s">
        <v>3153</v>
      </c>
      <c r="U926" t="s">
        <v>75</v>
      </c>
      <c r="V926" t="s">
        <v>3154</v>
      </c>
    </row>
    <row r="927" spans="1:22" x14ac:dyDescent="0.2">
      <c r="A927" t="s">
        <v>1917</v>
      </c>
      <c r="B927" t="s">
        <v>1918</v>
      </c>
      <c r="C927" t="s">
        <v>73</v>
      </c>
      <c r="D927" t="s">
        <v>74</v>
      </c>
      <c r="E927" t="s">
        <v>44</v>
      </c>
      <c r="F927" t="s">
        <v>34</v>
      </c>
      <c r="G927" t="s">
        <v>35</v>
      </c>
      <c r="H927" t="s">
        <v>36</v>
      </c>
      <c r="I927" t="s">
        <v>70</v>
      </c>
      <c r="J927" t="s">
        <v>37</v>
      </c>
      <c r="K927" s="4">
        <v>45830</v>
      </c>
      <c r="L927" s="4">
        <v>46195</v>
      </c>
      <c r="M927" t="s">
        <v>38</v>
      </c>
      <c r="N927" t="s">
        <v>49</v>
      </c>
      <c r="O927">
        <v>5</v>
      </c>
      <c r="P927" t="s">
        <v>54</v>
      </c>
      <c r="Q927" s="4">
        <v>46275</v>
      </c>
      <c r="R927" t="s">
        <v>38</v>
      </c>
      <c r="S927" t="s">
        <v>38</v>
      </c>
      <c r="T927" t="s">
        <v>3153</v>
      </c>
      <c r="U927" t="s">
        <v>49</v>
      </c>
      <c r="V927" t="s">
        <v>3152</v>
      </c>
    </row>
    <row r="928" spans="1:22" x14ac:dyDescent="0.2">
      <c r="A928" t="s">
        <v>1919</v>
      </c>
      <c r="B928" t="s">
        <v>1920</v>
      </c>
      <c r="C928" t="s">
        <v>31</v>
      </c>
      <c r="D928" t="s">
        <v>87</v>
      </c>
      <c r="E928" t="s">
        <v>80</v>
      </c>
      <c r="F928" t="s">
        <v>45</v>
      </c>
      <c r="G928" t="s">
        <v>61</v>
      </c>
      <c r="H928" t="s">
        <v>47</v>
      </c>
      <c r="I928" t="s">
        <v>106</v>
      </c>
      <c r="J928" t="s">
        <v>48</v>
      </c>
      <c r="K928" s="4">
        <v>46105</v>
      </c>
      <c r="L928" s="4">
        <v>46195</v>
      </c>
      <c r="M928" t="s">
        <v>38</v>
      </c>
      <c r="N928" t="s">
        <v>49</v>
      </c>
      <c r="O928">
        <v>2</v>
      </c>
      <c r="P928" t="s">
        <v>62</v>
      </c>
      <c r="Q928" s="4">
        <v>46245</v>
      </c>
      <c r="R928" t="s">
        <v>38</v>
      </c>
      <c r="S928" t="s">
        <v>38</v>
      </c>
      <c r="T928" t="s">
        <v>3153</v>
      </c>
      <c r="U928" t="s">
        <v>49</v>
      </c>
      <c r="V928" t="s">
        <v>3154</v>
      </c>
    </row>
    <row r="929" spans="1:22" x14ac:dyDescent="0.2">
      <c r="A929" t="s">
        <v>1921</v>
      </c>
      <c r="B929" t="s">
        <v>1922</v>
      </c>
      <c r="C929" t="s">
        <v>78</v>
      </c>
      <c r="D929" t="s">
        <v>79</v>
      </c>
      <c r="E929" t="s">
        <v>80</v>
      </c>
      <c r="F929" t="s">
        <v>67</v>
      </c>
      <c r="G929" t="s">
        <v>118</v>
      </c>
      <c r="H929" t="s">
        <v>36</v>
      </c>
      <c r="I929" t="s">
        <v>39</v>
      </c>
      <c r="J929" t="s">
        <v>63</v>
      </c>
      <c r="K929" s="4">
        <v>45808</v>
      </c>
      <c r="L929" s="4">
        <v>46173</v>
      </c>
      <c r="M929" t="s">
        <v>38</v>
      </c>
      <c r="N929" t="s">
        <v>75</v>
      </c>
      <c r="O929">
        <v>0</v>
      </c>
      <c r="P929" t="s">
        <v>106</v>
      </c>
      <c r="Q929" s="4">
        <v>46404</v>
      </c>
      <c r="R929" t="s">
        <v>57</v>
      </c>
      <c r="S929" t="s">
        <v>38</v>
      </c>
      <c r="T929" t="s">
        <v>3153</v>
      </c>
      <c r="U929" t="s">
        <v>75</v>
      </c>
      <c r="V929" t="s">
        <v>3152</v>
      </c>
    </row>
    <row r="930" spans="1:22" x14ac:dyDescent="0.2">
      <c r="A930" t="s">
        <v>1923</v>
      </c>
      <c r="B930" t="s">
        <v>1924</v>
      </c>
      <c r="C930" t="s">
        <v>31</v>
      </c>
      <c r="D930" t="s">
        <v>32</v>
      </c>
      <c r="E930" t="s">
        <v>53</v>
      </c>
      <c r="F930" t="s">
        <v>34</v>
      </c>
      <c r="G930" t="s">
        <v>35</v>
      </c>
      <c r="H930" t="s">
        <v>88</v>
      </c>
      <c r="I930" t="s">
        <v>70</v>
      </c>
      <c r="J930" t="s">
        <v>48</v>
      </c>
      <c r="K930" s="4">
        <v>45899</v>
      </c>
      <c r="L930" s="4">
        <v>45989</v>
      </c>
      <c r="M930" t="s">
        <v>38</v>
      </c>
      <c r="N930" t="s">
        <v>49</v>
      </c>
      <c r="O930">
        <v>0</v>
      </c>
      <c r="P930" t="s">
        <v>70</v>
      </c>
      <c r="Q930" s="4">
        <v>46400</v>
      </c>
      <c r="R930" t="s">
        <v>57</v>
      </c>
      <c r="S930" t="s">
        <v>38</v>
      </c>
      <c r="T930" t="s">
        <v>3153</v>
      </c>
      <c r="U930" t="s">
        <v>49</v>
      </c>
      <c r="V930" t="s">
        <v>3154</v>
      </c>
    </row>
    <row r="931" spans="1:22" x14ac:dyDescent="0.2">
      <c r="A931" t="s">
        <v>1925</v>
      </c>
      <c r="B931" t="s">
        <v>1926</v>
      </c>
      <c r="C931" t="s">
        <v>31</v>
      </c>
      <c r="D931" t="s">
        <v>83</v>
      </c>
      <c r="E931" t="s">
        <v>60</v>
      </c>
      <c r="F931" t="s">
        <v>34</v>
      </c>
      <c r="G931" t="s">
        <v>35</v>
      </c>
      <c r="H931" t="s">
        <v>88</v>
      </c>
      <c r="I931" t="s">
        <v>54</v>
      </c>
      <c r="J931" t="s">
        <v>37</v>
      </c>
      <c r="K931" s="4">
        <v>45891</v>
      </c>
      <c r="L931" s="4">
        <v>45981</v>
      </c>
      <c r="M931" t="s">
        <v>38</v>
      </c>
      <c r="N931" t="s">
        <v>49</v>
      </c>
      <c r="O931">
        <v>3</v>
      </c>
      <c r="P931" t="s">
        <v>70</v>
      </c>
      <c r="Q931" s="4">
        <v>46256</v>
      </c>
      <c r="R931" t="s">
        <v>38</v>
      </c>
      <c r="S931" t="s">
        <v>38</v>
      </c>
      <c r="T931" t="s">
        <v>3153</v>
      </c>
      <c r="U931" t="s">
        <v>49</v>
      </c>
      <c r="V931" t="s">
        <v>3154</v>
      </c>
    </row>
    <row r="932" spans="1:22" x14ac:dyDescent="0.2">
      <c r="A932" t="s">
        <v>1927</v>
      </c>
      <c r="B932" t="s">
        <v>1928</v>
      </c>
      <c r="C932" t="s">
        <v>78</v>
      </c>
      <c r="D932" t="s">
        <v>79</v>
      </c>
      <c r="E932" t="s">
        <v>80</v>
      </c>
      <c r="F932" t="s">
        <v>45</v>
      </c>
      <c r="G932" t="s">
        <v>61</v>
      </c>
      <c r="H932" t="s">
        <v>88</v>
      </c>
      <c r="I932" t="s">
        <v>62</v>
      </c>
      <c r="J932" t="s">
        <v>48</v>
      </c>
      <c r="K932" s="4">
        <v>45820</v>
      </c>
      <c r="L932" s="4">
        <v>45910</v>
      </c>
      <c r="M932" t="s">
        <v>38</v>
      </c>
      <c r="N932" t="s">
        <v>75</v>
      </c>
      <c r="O932">
        <v>2</v>
      </c>
      <c r="P932" t="s">
        <v>54</v>
      </c>
      <c r="Q932" s="4">
        <v>46118</v>
      </c>
      <c r="R932" t="s">
        <v>38</v>
      </c>
      <c r="S932" t="s">
        <v>38</v>
      </c>
      <c r="T932" t="s">
        <v>3153</v>
      </c>
      <c r="U932" t="s">
        <v>75</v>
      </c>
      <c r="V932" t="s">
        <v>3154</v>
      </c>
    </row>
    <row r="933" spans="1:22" x14ac:dyDescent="0.2">
      <c r="A933" t="s">
        <v>1929</v>
      </c>
      <c r="B933" t="s">
        <v>1930</v>
      </c>
      <c r="C933" t="s">
        <v>31</v>
      </c>
      <c r="D933" t="s">
        <v>83</v>
      </c>
      <c r="E933" t="s">
        <v>44</v>
      </c>
      <c r="F933" t="s">
        <v>67</v>
      </c>
      <c r="G933" t="s">
        <v>118</v>
      </c>
      <c r="H933" t="s">
        <v>47</v>
      </c>
      <c r="I933" t="s">
        <v>54</v>
      </c>
      <c r="J933" t="s">
        <v>48</v>
      </c>
      <c r="K933" s="4">
        <v>45976</v>
      </c>
      <c r="L933" s="4">
        <v>46341</v>
      </c>
      <c r="M933" t="s">
        <v>69</v>
      </c>
      <c r="N933" t="s">
        <v>49</v>
      </c>
      <c r="O933">
        <v>1</v>
      </c>
      <c r="P933" t="s">
        <v>54</v>
      </c>
      <c r="Q933" s="4">
        <v>46409</v>
      </c>
      <c r="R933" t="s">
        <v>84</v>
      </c>
      <c r="S933" t="s">
        <v>3155</v>
      </c>
      <c r="T933" t="s">
        <v>3153</v>
      </c>
      <c r="U933" t="s">
        <v>49</v>
      </c>
      <c r="V933" t="s">
        <v>3154</v>
      </c>
    </row>
    <row r="934" spans="1:22" x14ac:dyDescent="0.2">
      <c r="A934" t="s">
        <v>1931</v>
      </c>
      <c r="B934" t="s">
        <v>1932</v>
      </c>
      <c r="C934" t="s">
        <v>73</v>
      </c>
      <c r="D934" t="s">
        <v>74</v>
      </c>
      <c r="E934" t="s">
        <v>105</v>
      </c>
      <c r="F934" t="s">
        <v>67</v>
      </c>
      <c r="G934" t="s">
        <v>68</v>
      </c>
      <c r="H934" t="s">
        <v>47</v>
      </c>
      <c r="I934" t="s">
        <v>39</v>
      </c>
      <c r="J934" t="s">
        <v>63</v>
      </c>
      <c r="K934" s="4">
        <v>45876</v>
      </c>
      <c r="L934" s="4">
        <v>45966</v>
      </c>
      <c r="M934" t="s">
        <v>38</v>
      </c>
      <c r="N934" t="s">
        <v>49</v>
      </c>
      <c r="O934">
        <v>2</v>
      </c>
      <c r="P934" t="s">
        <v>54</v>
      </c>
      <c r="Q934" s="4">
        <v>46150</v>
      </c>
      <c r="R934" t="s">
        <v>64</v>
      </c>
      <c r="S934" t="s">
        <v>38</v>
      </c>
      <c r="T934" t="s">
        <v>3153</v>
      </c>
      <c r="U934" t="s">
        <v>49</v>
      </c>
      <c r="V934" t="s">
        <v>3154</v>
      </c>
    </row>
    <row r="935" spans="1:22" x14ac:dyDescent="0.2">
      <c r="A935" t="s">
        <v>1933</v>
      </c>
      <c r="B935" t="s">
        <v>1934</v>
      </c>
      <c r="C935" t="s">
        <v>96</v>
      </c>
      <c r="D935" t="s">
        <v>97</v>
      </c>
      <c r="E935" t="s">
        <v>44</v>
      </c>
      <c r="F935" t="s">
        <v>45</v>
      </c>
      <c r="G935" t="s">
        <v>61</v>
      </c>
      <c r="H935" t="s">
        <v>88</v>
      </c>
      <c r="I935" t="s">
        <v>56</v>
      </c>
      <c r="J935" t="s">
        <v>37</v>
      </c>
      <c r="K935" s="4">
        <v>46156</v>
      </c>
      <c r="L935" s="4">
        <v>46246</v>
      </c>
      <c r="M935" t="s">
        <v>38</v>
      </c>
      <c r="N935" t="s">
        <v>75</v>
      </c>
      <c r="O935">
        <v>0</v>
      </c>
      <c r="P935" t="s">
        <v>39</v>
      </c>
      <c r="Q935" s="4">
        <v>46185</v>
      </c>
      <c r="R935" t="s">
        <v>57</v>
      </c>
      <c r="S935" t="s">
        <v>38</v>
      </c>
      <c r="T935" t="s">
        <v>3153</v>
      </c>
      <c r="U935" t="s">
        <v>75</v>
      </c>
      <c r="V935" t="s">
        <v>3154</v>
      </c>
    </row>
    <row r="936" spans="1:22" x14ac:dyDescent="0.2">
      <c r="A936" t="s">
        <v>1935</v>
      </c>
      <c r="B936" t="s">
        <v>1936</v>
      </c>
      <c r="C936" t="s">
        <v>31</v>
      </c>
      <c r="D936" t="s">
        <v>83</v>
      </c>
      <c r="E936" t="s">
        <v>80</v>
      </c>
      <c r="F936" t="s">
        <v>67</v>
      </c>
      <c r="G936" t="s">
        <v>68</v>
      </c>
      <c r="H936" t="s">
        <v>47</v>
      </c>
      <c r="I936" t="s">
        <v>111</v>
      </c>
      <c r="J936" t="s">
        <v>63</v>
      </c>
      <c r="K936" s="4">
        <v>46071</v>
      </c>
      <c r="L936" s="4">
        <v>46161</v>
      </c>
      <c r="M936" t="s">
        <v>38</v>
      </c>
      <c r="N936" t="s">
        <v>55</v>
      </c>
      <c r="O936">
        <v>3</v>
      </c>
      <c r="P936" t="s">
        <v>70</v>
      </c>
      <c r="Q936" s="4">
        <v>46178</v>
      </c>
      <c r="R936" t="s">
        <v>64</v>
      </c>
      <c r="S936" t="s">
        <v>38</v>
      </c>
      <c r="T936" t="s">
        <v>3153</v>
      </c>
      <c r="U936" t="s">
        <v>55</v>
      </c>
      <c r="V936" t="s">
        <v>3154</v>
      </c>
    </row>
    <row r="937" spans="1:22" x14ac:dyDescent="0.2">
      <c r="A937" t="s">
        <v>1937</v>
      </c>
      <c r="B937" t="s">
        <v>1938</v>
      </c>
      <c r="C937" t="s">
        <v>73</v>
      </c>
      <c r="D937" t="s">
        <v>74</v>
      </c>
      <c r="E937" t="s">
        <v>105</v>
      </c>
      <c r="F937" t="s">
        <v>45</v>
      </c>
      <c r="G937" t="s">
        <v>46</v>
      </c>
      <c r="H937" t="s">
        <v>98</v>
      </c>
      <c r="I937" t="s">
        <v>106</v>
      </c>
      <c r="J937" t="s">
        <v>37</v>
      </c>
      <c r="K937" s="4">
        <v>45892</v>
      </c>
      <c r="L937" s="4">
        <v>46072</v>
      </c>
      <c r="M937" t="s">
        <v>38</v>
      </c>
      <c r="N937" t="s">
        <v>75</v>
      </c>
      <c r="O937">
        <v>1</v>
      </c>
      <c r="P937" t="s">
        <v>70</v>
      </c>
      <c r="Q937" s="4">
        <v>46222</v>
      </c>
      <c r="R937" t="s">
        <v>38</v>
      </c>
      <c r="S937" t="s">
        <v>38</v>
      </c>
      <c r="T937" t="s">
        <v>3153</v>
      </c>
      <c r="U937" t="s">
        <v>75</v>
      </c>
      <c r="V937" t="s">
        <v>3152</v>
      </c>
    </row>
    <row r="938" spans="1:22" x14ac:dyDescent="0.2">
      <c r="A938" t="s">
        <v>1939</v>
      </c>
      <c r="B938" t="s">
        <v>1940</v>
      </c>
      <c r="C938" t="s">
        <v>78</v>
      </c>
      <c r="D938" t="s">
        <v>79</v>
      </c>
      <c r="E938" t="s">
        <v>105</v>
      </c>
      <c r="F938" t="s">
        <v>67</v>
      </c>
      <c r="G938" t="s">
        <v>68</v>
      </c>
      <c r="H938" t="s">
        <v>88</v>
      </c>
      <c r="I938" t="s">
        <v>62</v>
      </c>
      <c r="J938" t="s">
        <v>63</v>
      </c>
      <c r="K938" s="4">
        <v>46071</v>
      </c>
      <c r="L938" s="4">
        <v>46161</v>
      </c>
      <c r="M938" t="s">
        <v>38</v>
      </c>
      <c r="N938" t="s">
        <v>75</v>
      </c>
      <c r="O938">
        <v>2</v>
      </c>
      <c r="P938" t="s">
        <v>56</v>
      </c>
      <c r="Q938" s="4">
        <v>46273</v>
      </c>
      <c r="R938" t="s">
        <v>38</v>
      </c>
      <c r="S938" t="s">
        <v>38</v>
      </c>
      <c r="T938" t="s">
        <v>3153</v>
      </c>
      <c r="U938" t="s">
        <v>75</v>
      </c>
      <c r="V938" t="s">
        <v>3154</v>
      </c>
    </row>
    <row r="939" spans="1:22" x14ac:dyDescent="0.2">
      <c r="A939" t="s">
        <v>1941</v>
      </c>
      <c r="B939" t="s">
        <v>1942</v>
      </c>
      <c r="C939" t="s">
        <v>103</v>
      </c>
      <c r="D939" t="s">
        <v>104</v>
      </c>
      <c r="E939" t="s">
        <v>91</v>
      </c>
      <c r="F939" t="s">
        <v>45</v>
      </c>
      <c r="G939" t="s">
        <v>46</v>
      </c>
      <c r="H939" t="s">
        <v>88</v>
      </c>
      <c r="I939" t="s">
        <v>62</v>
      </c>
      <c r="J939" t="s">
        <v>63</v>
      </c>
      <c r="K939" s="4">
        <v>45827</v>
      </c>
      <c r="L939" s="4">
        <v>46007</v>
      </c>
      <c r="M939" t="s">
        <v>38</v>
      </c>
      <c r="N939" t="s">
        <v>55</v>
      </c>
      <c r="O939">
        <v>2</v>
      </c>
      <c r="P939" t="s">
        <v>39</v>
      </c>
      <c r="Q939" s="4">
        <v>46280</v>
      </c>
      <c r="R939" t="s">
        <v>64</v>
      </c>
      <c r="S939" t="s">
        <v>38</v>
      </c>
      <c r="T939" t="s">
        <v>3153</v>
      </c>
      <c r="U939" t="s">
        <v>55</v>
      </c>
      <c r="V939" t="s">
        <v>3154</v>
      </c>
    </row>
    <row r="940" spans="1:22" x14ac:dyDescent="0.2">
      <c r="A940" t="s">
        <v>1943</v>
      </c>
      <c r="B940" t="s">
        <v>1944</v>
      </c>
      <c r="C940" t="s">
        <v>31</v>
      </c>
      <c r="D940" t="s">
        <v>83</v>
      </c>
      <c r="E940" t="s">
        <v>44</v>
      </c>
      <c r="F940" t="s">
        <v>45</v>
      </c>
      <c r="G940" t="s">
        <v>46</v>
      </c>
      <c r="H940" t="s">
        <v>88</v>
      </c>
      <c r="I940" t="s">
        <v>39</v>
      </c>
      <c r="J940" t="s">
        <v>48</v>
      </c>
      <c r="K940" s="4">
        <v>46244</v>
      </c>
      <c r="L940" s="4">
        <v>46609</v>
      </c>
      <c r="M940" t="s">
        <v>69</v>
      </c>
      <c r="N940" t="s">
        <v>75</v>
      </c>
      <c r="O940">
        <v>3</v>
      </c>
      <c r="P940" t="s">
        <v>50</v>
      </c>
      <c r="Q940" s="4">
        <v>46195</v>
      </c>
      <c r="R940" t="s">
        <v>38</v>
      </c>
      <c r="S940" t="s">
        <v>3155</v>
      </c>
      <c r="T940" t="s">
        <v>3153</v>
      </c>
      <c r="U940" t="s">
        <v>75</v>
      </c>
      <c r="V940" t="s">
        <v>3154</v>
      </c>
    </row>
    <row r="941" spans="1:22" x14ac:dyDescent="0.2">
      <c r="A941" t="s">
        <v>1945</v>
      </c>
      <c r="B941" t="s">
        <v>1946</v>
      </c>
      <c r="C941" t="s">
        <v>73</v>
      </c>
      <c r="D941" t="s">
        <v>74</v>
      </c>
      <c r="E941" t="s">
        <v>44</v>
      </c>
      <c r="F941" t="s">
        <v>67</v>
      </c>
      <c r="G941" t="s">
        <v>68</v>
      </c>
      <c r="H941" t="s">
        <v>47</v>
      </c>
      <c r="I941" t="s">
        <v>54</v>
      </c>
      <c r="J941" t="s">
        <v>37</v>
      </c>
      <c r="K941" s="4">
        <v>46119</v>
      </c>
      <c r="L941" s="4">
        <v>46299</v>
      </c>
      <c r="M941" t="s">
        <v>69</v>
      </c>
      <c r="N941" t="s">
        <v>49</v>
      </c>
      <c r="O941">
        <v>2</v>
      </c>
      <c r="P941" t="s">
        <v>39</v>
      </c>
      <c r="Q941" s="4">
        <v>46129</v>
      </c>
      <c r="R941" t="s">
        <v>38</v>
      </c>
      <c r="S941" t="s">
        <v>3155</v>
      </c>
      <c r="T941" t="s">
        <v>3153</v>
      </c>
      <c r="U941" t="s">
        <v>49</v>
      </c>
      <c r="V941" t="s">
        <v>3154</v>
      </c>
    </row>
    <row r="942" spans="1:22" x14ac:dyDescent="0.2">
      <c r="A942" t="s">
        <v>1947</v>
      </c>
      <c r="B942" t="s">
        <v>1948</v>
      </c>
      <c r="C942" t="s">
        <v>73</v>
      </c>
      <c r="D942" t="s">
        <v>74</v>
      </c>
      <c r="E942" t="s">
        <v>80</v>
      </c>
      <c r="F942" t="s">
        <v>34</v>
      </c>
      <c r="G942" t="s">
        <v>35</v>
      </c>
      <c r="H942" t="s">
        <v>47</v>
      </c>
      <c r="J942" t="s">
        <v>48</v>
      </c>
      <c r="K942" s="4">
        <v>46082</v>
      </c>
      <c r="L942" s="4">
        <v>46447</v>
      </c>
      <c r="M942" t="s">
        <v>84</v>
      </c>
      <c r="N942" t="s">
        <v>55</v>
      </c>
      <c r="O942">
        <v>0</v>
      </c>
      <c r="P942" t="s">
        <v>62</v>
      </c>
      <c r="Q942" s="4">
        <v>46122</v>
      </c>
      <c r="R942" t="s">
        <v>57</v>
      </c>
      <c r="S942" t="s">
        <v>3155</v>
      </c>
      <c r="T942" t="s">
        <v>3150</v>
      </c>
      <c r="U942" t="s">
        <v>55</v>
      </c>
      <c r="V942" t="s">
        <v>3154</v>
      </c>
    </row>
    <row r="943" spans="1:22" x14ac:dyDescent="0.2">
      <c r="A943" t="s">
        <v>1949</v>
      </c>
      <c r="B943" t="s">
        <v>1950</v>
      </c>
      <c r="C943" t="s">
        <v>96</v>
      </c>
      <c r="D943" t="s">
        <v>97</v>
      </c>
      <c r="E943" t="s">
        <v>80</v>
      </c>
      <c r="F943" t="s">
        <v>45</v>
      </c>
      <c r="G943" t="s">
        <v>46</v>
      </c>
      <c r="H943" t="s">
        <v>88</v>
      </c>
      <c r="I943" t="s">
        <v>62</v>
      </c>
      <c r="J943" t="s">
        <v>48</v>
      </c>
      <c r="K943" s="4">
        <v>45837</v>
      </c>
      <c r="L943" s="4">
        <v>46202</v>
      </c>
      <c r="M943" t="s">
        <v>38</v>
      </c>
      <c r="N943" t="s">
        <v>75</v>
      </c>
      <c r="O943">
        <v>1</v>
      </c>
      <c r="P943" t="s">
        <v>106</v>
      </c>
      <c r="Q943" s="4">
        <v>46115</v>
      </c>
      <c r="R943" t="s">
        <v>64</v>
      </c>
      <c r="S943" t="s">
        <v>38</v>
      </c>
      <c r="T943" t="s">
        <v>3153</v>
      </c>
      <c r="U943" t="s">
        <v>75</v>
      </c>
      <c r="V943" t="s">
        <v>3154</v>
      </c>
    </row>
    <row r="944" spans="1:22" x14ac:dyDescent="0.2">
      <c r="A944" t="s">
        <v>1951</v>
      </c>
      <c r="B944" t="s">
        <v>1952</v>
      </c>
      <c r="C944" t="s">
        <v>31</v>
      </c>
      <c r="D944" t="s">
        <v>83</v>
      </c>
      <c r="E944" t="s">
        <v>60</v>
      </c>
      <c r="F944" t="s">
        <v>34</v>
      </c>
      <c r="G944" t="s">
        <v>35</v>
      </c>
      <c r="H944" t="s">
        <v>88</v>
      </c>
      <c r="I944" t="s">
        <v>70</v>
      </c>
      <c r="J944" t="s">
        <v>48</v>
      </c>
      <c r="K944" s="4">
        <v>46031</v>
      </c>
      <c r="L944" s="4">
        <v>46211</v>
      </c>
      <c r="M944" t="s">
        <v>38</v>
      </c>
      <c r="N944" t="s">
        <v>49</v>
      </c>
      <c r="O944">
        <v>1</v>
      </c>
      <c r="P944" t="s">
        <v>54</v>
      </c>
      <c r="Q944" s="4">
        <v>46179</v>
      </c>
      <c r="R944" t="s">
        <v>64</v>
      </c>
      <c r="S944" t="s">
        <v>38</v>
      </c>
      <c r="T944" t="s">
        <v>3153</v>
      </c>
      <c r="U944" t="s">
        <v>49</v>
      </c>
      <c r="V944" t="s">
        <v>3154</v>
      </c>
    </row>
    <row r="945" spans="1:22" x14ac:dyDescent="0.2">
      <c r="A945" t="s">
        <v>1953</v>
      </c>
      <c r="B945" t="s">
        <v>1954</v>
      </c>
      <c r="C945" t="s">
        <v>42</v>
      </c>
      <c r="D945" t="s">
        <v>43</v>
      </c>
      <c r="E945" t="s">
        <v>91</v>
      </c>
      <c r="F945" t="s">
        <v>34</v>
      </c>
      <c r="G945" t="s">
        <v>35</v>
      </c>
      <c r="H945" t="s">
        <v>47</v>
      </c>
      <c r="I945" t="s">
        <v>62</v>
      </c>
      <c r="J945" t="s">
        <v>63</v>
      </c>
      <c r="K945" s="4">
        <v>46131</v>
      </c>
      <c r="L945" s="4">
        <v>46496</v>
      </c>
      <c r="M945" t="s">
        <v>64</v>
      </c>
      <c r="N945" t="s">
        <v>55</v>
      </c>
      <c r="O945">
        <v>2</v>
      </c>
      <c r="P945" t="s">
        <v>111</v>
      </c>
      <c r="Q945" s="4">
        <v>46209</v>
      </c>
      <c r="R945" t="s">
        <v>38</v>
      </c>
      <c r="S945" t="s">
        <v>3155</v>
      </c>
      <c r="T945" t="s">
        <v>3153</v>
      </c>
      <c r="U945" t="s">
        <v>55</v>
      </c>
      <c r="V945" t="s">
        <v>3154</v>
      </c>
    </row>
    <row r="946" spans="1:22" x14ac:dyDescent="0.2">
      <c r="A946" t="s">
        <v>1955</v>
      </c>
      <c r="B946" t="s">
        <v>1956</v>
      </c>
      <c r="C946" t="s">
        <v>31</v>
      </c>
      <c r="D946" t="s">
        <v>87</v>
      </c>
      <c r="E946" t="s">
        <v>44</v>
      </c>
      <c r="F946" t="s">
        <v>34</v>
      </c>
      <c r="G946" t="s">
        <v>35</v>
      </c>
      <c r="H946" t="s">
        <v>88</v>
      </c>
      <c r="I946" t="s">
        <v>106</v>
      </c>
      <c r="J946" t="s">
        <v>48</v>
      </c>
      <c r="K946" s="4">
        <v>45937</v>
      </c>
      <c r="L946" s="4">
        <v>46027</v>
      </c>
      <c r="M946" t="s">
        <v>38</v>
      </c>
      <c r="N946" t="s">
        <v>49</v>
      </c>
      <c r="O946">
        <v>0</v>
      </c>
      <c r="P946" t="s">
        <v>50</v>
      </c>
      <c r="Q946" s="4">
        <v>46312</v>
      </c>
      <c r="R946" t="s">
        <v>57</v>
      </c>
      <c r="S946" t="s">
        <v>38</v>
      </c>
      <c r="T946" t="s">
        <v>3153</v>
      </c>
      <c r="U946" t="s">
        <v>49</v>
      </c>
      <c r="V946" t="s">
        <v>3154</v>
      </c>
    </row>
    <row r="947" spans="1:22" x14ac:dyDescent="0.2">
      <c r="A947" t="s">
        <v>1957</v>
      </c>
      <c r="B947" t="s">
        <v>1958</v>
      </c>
      <c r="C947" t="s">
        <v>103</v>
      </c>
      <c r="D947" t="s">
        <v>104</v>
      </c>
      <c r="E947" t="s">
        <v>91</v>
      </c>
      <c r="F947" t="s">
        <v>45</v>
      </c>
      <c r="G947" t="s">
        <v>46</v>
      </c>
      <c r="H947" t="s">
        <v>47</v>
      </c>
      <c r="I947" t="s">
        <v>54</v>
      </c>
      <c r="J947" t="s">
        <v>63</v>
      </c>
      <c r="K947" s="4">
        <v>46193</v>
      </c>
      <c r="L947" s="4">
        <v>46373</v>
      </c>
      <c r="M947" t="s">
        <v>64</v>
      </c>
      <c r="N947" t="s">
        <v>49</v>
      </c>
      <c r="O947">
        <v>3</v>
      </c>
      <c r="P947" t="s">
        <v>62</v>
      </c>
      <c r="Q947" s="4">
        <v>46362</v>
      </c>
      <c r="R947" t="s">
        <v>84</v>
      </c>
      <c r="S947" t="s">
        <v>3155</v>
      </c>
      <c r="T947" t="s">
        <v>3153</v>
      </c>
      <c r="U947" t="s">
        <v>49</v>
      </c>
      <c r="V947" t="s">
        <v>3154</v>
      </c>
    </row>
    <row r="948" spans="1:22" x14ac:dyDescent="0.2">
      <c r="A948" t="s">
        <v>1959</v>
      </c>
      <c r="B948" t="s">
        <v>1960</v>
      </c>
      <c r="C948" t="s">
        <v>31</v>
      </c>
      <c r="D948" t="s">
        <v>83</v>
      </c>
      <c r="E948" t="s">
        <v>80</v>
      </c>
      <c r="F948" t="s">
        <v>67</v>
      </c>
      <c r="G948" t="s">
        <v>68</v>
      </c>
      <c r="H948" t="s">
        <v>88</v>
      </c>
      <c r="I948" t="s">
        <v>111</v>
      </c>
      <c r="J948" t="s">
        <v>37</v>
      </c>
      <c r="K948" s="4">
        <v>46215</v>
      </c>
      <c r="L948" s="4">
        <v>46580</v>
      </c>
      <c r="M948" t="s">
        <v>64</v>
      </c>
      <c r="N948" t="s">
        <v>49</v>
      </c>
      <c r="O948">
        <v>2</v>
      </c>
      <c r="P948" t="s">
        <v>111</v>
      </c>
      <c r="Q948" s="4">
        <v>46287</v>
      </c>
      <c r="R948" t="s">
        <v>38</v>
      </c>
      <c r="S948" t="s">
        <v>3155</v>
      </c>
      <c r="T948" t="s">
        <v>3153</v>
      </c>
      <c r="U948" t="s">
        <v>49</v>
      </c>
      <c r="V948" t="s">
        <v>3154</v>
      </c>
    </row>
    <row r="949" spans="1:22" x14ac:dyDescent="0.2">
      <c r="A949" t="s">
        <v>1961</v>
      </c>
      <c r="B949" t="s">
        <v>1962</v>
      </c>
      <c r="C949" t="s">
        <v>78</v>
      </c>
      <c r="D949" t="s">
        <v>79</v>
      </c>
      <c r="E949" t="s">
        <v>91</v>
      </c>
      <c r="F949" t="s">
        <v>34</v>
      </c>
      <c r="G949" t="s">
        <v>35</v>
      </c>
      <c r="H949" t="s">
        <v>47</v>
      </c>
      <c r="I949" t="s">
        <v>106</v>
      </c>
      <c r="J949" t="s">
        <v>48</v>
      </c>
      <c r="K949" s="4">
        <v>45885</v>
      </c>
      <c r="L949" s="4">
        <v>46250</v>
      </c>
      <c r="M949" t="s">
        <v>38</v>
      </c>
      <c r="N949" t="s">
        <v>75</v>
      </c>
      <c r="O949">
        <v>0</v>
      </c>
      <c r="P949" t="s">
        <v>50</v>
      </c>
      <c r="Q949" s="4">
        <v>46302</v>
      </c>
      <c r="R949" t="s">
        <v>57</v>
      </c>
      <c r="S949" t="s">
        <v>38</v>
      </c>
      <c r="T949" t="s">
        <v>3153</v>
      </c>
      <c r="U949" t="s">
        <v>75</v>
      </c>
      <c r="V949" t="s">
        <v>3154</v>
      </c>
    </row>
    <row r="950" spans="1:22" x14ac:dyDescent="0.2">
      <c r="A950" t="s">
        <v>1963</v>
      </c>
      <c r="B950" t="s">
        <v>1964</v>
      </c>
      <c r="C950" t="s">
        <v>31</v>
      </c>
      <c r="D950" t="s">
        <v>32</v>
      </c>
      <c r="E950" t="s">
        <v>80</v>
      </c>
      <c r="F950" t="s">
        <v>45</v>
      </c>
      <c r="G950" t="s">
        <v>46</v>
      </c>
      <c r="H950" t="s">
        <v>36</v>
      </c>
      <c r="I950" t="s">
        <v>70</v>
      </c>
      <c r="J950" t="s">
        <v>63</v>
      </c>
      <c r="K950" s="4">
        <v>45994</v>
      </c>
      <c r="L950" s="4">
        <v>46359</v>
      </c>
      <c r="M950" t="s">
        <v>64</v>
      </c>
      <c r="N950" t="s">
        <v>75</v>
      </c>
      <c r="O950">
        <v>2</v>
      </c>
      <c r="P950" t="s">
        <v>50</v>
      </c>
      <c r="Q950" s="4">
        <v>46346</v>
      </c>
      <c r="R950" t="s">
        <v>84</v>
      </c>
      <c r="S950" t="s">
        <v>3155</v>
      </c>
      <c r="T950" t="s">
        <v>3153</v>
      </c>
      <c r="U950" t="s">
        <v>75</v>
      </c>
      <c r="V950" t="s">
        <v>3152</v>
      </c>
    </row>
    <row r="951" spans="1:22" x14ac:dyDescent="0.2">
      <c r="A951" t="s">
        <v>1965</v>
      </c>
      <c r="B951" t="s">
        <v>1966</v>
      </c>
      <c r="C951" t="s">
        <v>31</v>
      </c>
      <c r="D951" t="s">
        <v>83</v>
      </c>
      <c r="E951" t="s">
        <v>44</v>
      </c>
      <c r="F951" t="s">
        <v>67</v>
      </c>
      <c r="G951" t="s">
        <v>68</v>
      </c>
      <c r="H951" t="s">
        <v>36</v>
      </c>
      <c r="I951" t="s">
        <v>54</v>
      </c>
      <c r="J951" t="s">
        <v>63</v>
      </c>
      <c r="K951" s="4">
        <v>45878</v>
      </c>
      <c r="L951" s="4">
        <v>45968</v>
      </c>
      <c r="M951" t="s">
        <v>38</v>
      </c>
      <c r="N951" t="s">
        <v>55</v>
      </c>
      <c r="O951">
        <v>5</v>
      </c>
      <c r="P951" t="s">
        <v>39</v>
      </c>
      <c r="Q951" s="4">
        <v>46296</v>
      </c>
      <c r="R951" t="s">
        <v>84</v>
      </c>
      <c r="S951" t="s">
        <v>38</v>
      </c>
      <c r="T951" t="s">
        <v>3153</v>
      </c>
      <c r="U951" t="s">
        <v>55</v>
      </c>
      <c r="V951" t="s">
        <v>3152</v>
      </c>
    </row>
    <row r="952" spans="1:22" x14ac:dyDescent="0.2">
      <c r="A952" t="s">
        <v>1968</v>
      </c>
      <c r="B952" t="s">
        <v>1969</v>
      </c>
      <c r="C952" t="s">
        <v>31</v>
      </c>
      <c r="D952" t="s">
        <v>83</v>
      </c>
      <c r="E952" t="s">
        <v>60</v>
      </c>
      <c r="F952" t="s">
        <v>34</v>
      </c>
      <c r="G952" t="s">
        <v>35</v>
      </c>
      <c r="H952" t="s">
        <v>47</v>
      </c>
      <c r="I952" t="s">
        <v>50</v>
      </c>
      <c r="J952" t="s">
        <v>63</v>
      </c>
      <c r="K952" s="4">
        <v>46084</v>
      </c>
      <c r="L952" s="4">
        <v>46174</v>
      </c>
      <c r="M952" t="s">
        <v>38</v>
      </c>
      <c r="N952" t="s">
        <v>55</v>
      </c>
      <c r="O952">
        <v>1</v>
      </c>
      <c r="P952" t="s">
        <v>62</v>
      </c>
      <c r="Q952" s="4">
        <v>46230</v>
      </c>
      <c r="R952" t="s">
        <v>38</v>
      </c>
      <c r="S952" t="s">
        <v>38</v>
      </c>
      <c r="T952" t="s">
        <v>3153</v>
      </c>
      <c r="U952" t="s">
        <v>55</v>
      </c>
      <c r="V952" t="s">
        <v>3154</v>
      </c>
    </row>
    <row r="953" spans="1:22" x14ac:dyDescent="0.2">
      <c r="A953" t="s">
        <v>1970</v>
      </c>
      <c r="B953" t="s">
        <v>1971</v>
      </c>
      <c r="C953" t="s">
        <v>42</v>
      </c>
      <c r="D953" t="s">
        <v>43</v>
      </c>
      <c r="E953" t="s">
        <v>105</v>
      </c>
      <c r="F953" t="s">
        <v>45</v>
      </c>
      <c r="G953" t="s">
        <v>61</v>
      </c>
      <c r="H953" t="s">
        <v>98</v>
      </c>
      <c r="I953" t="s">
        <v>62</v>
      </c>
      <c r="J953" t="s">
        <v>48</v>
      </c>
      <c r="K953" s="4">
        <v>46124</v>
      </c>
      <c r="L953" s="4">
        <v>46304</v>
      </c>
      <c r="M953" t="s">
        <v>69</v>
      </c>
      <c r="N953" t="s">
        <v>75</v>
      </c>
      <c r="O953">
        <v>3</v>
      </c>
      <c r="P953" t="s">
        <v>56</v>
      </c>
      <c r="Q953" s="4">
        <v>46279</v>
      </c>
      <c r="R953" t="s">
        <v>64</v>
      </c>
      <c r="S953" t="s">
        <v>3155</v>
      </c>
      <c r="T953" t="s">
        <v>3153</v>
      </c>
      <c r="U953" t="s">
        <v>75</v>
      </c>
      <c r="V953" t="s">
        <v>3152</v>
      </c>
    </row>
    <row r="954" spans="1:22" x14ac:dyDescent="0.2">
      <c r="A954" t="s">
        <v>1972</v>
      </c>
      <c r="B954" t="s">
        <v>1973</v>
      </c>
      <c r="C954" t="s">
        <v>31</v>
      </c>
      <c r="D954" t="s">
        <v>83</v>
      </c>
      <c r="E954" t="s">
        <v>44</v>
      </c>
      <c r="F954" t="s">
        <v>34</v>
      </c>
      <c r="G954" t="s">
        <v>35</v>
      </c>
      <c r="H954" t="s">
        <v>98</v>
      </c>
      <c r="I954" t="s">
        <v>70</v>
      </c>
      <c r="J954" t="s">
        <v>37</v>
      </c>
      <c r="K954" s="4">
        <v>46245</v>
      </c>
      <c r="L954" s="4">
        <v>46425</v>
      </c>
      <c r="M954" t="s">
        <v>64</v>
      </c>
      <c r="N954" t="s">
        <v>75</v>
      </c>
      <c r="O954">
        <v>1</v>
      </c>
      <c r="P954" t="s">
        <v>62</v>
      </c>
      <c r="Q954" s="4">
        <v>46239</v>
      </c>
      <c r="R954" t="s">
        <v>38</v>
      </c>
      <c r="S954" t="s">
        <v>3155</v>
      </c>
      <c r="T954" t="s">
        <v>3153</v>
      </c>
      <c r="U954" t="s">
        <v>75</v>
      </c>
      <c r="V954" t="s">
        <v>3152</v>
      </c>
    </row>
    <row r="955" spans="1:22" x14ac:dyDescent="0.2">
      <c r="A955" t="s">
        <v>1974</v>
      </c>
      <c r="B955" t="s">
        <v>1975</v>
      </c>
      <c r="C955" t="s">
        <v>31</v>
      </c>
      <c r="D955" t="s">
        <v>83</v>
      </c>
      <c r="E955" t="s">
        <v>44</v>
      </c>
      <c r="F955" t="s">
        <v>34</v>
      </c>
      <c r="G955" t="s">
        <v>35</v>
      </c>
      <c r="H955" t="s">
        <v>36</v>
      </c>
      <c r="I955" t="s">
        <v>70</v>
      </c>
      <c r="J955" t="s">
        <v>37</v>
      </c>
      <c r="K955" s="4">
        <v>46160</v>
      </c>
      <c r="L955" s="4">
        <v>46340</v>
      </c>
      <c r="M955" t="s">
        <v>64</v>
      </c>
      <c r="N955" t="s">
        <v>75</v>
      </c>
      <c r="O955">
        <v>0</v>
      </c>
      <c r="P955" t="s">
        <v>50</v>
      </c>
      <c r="Q955" s="4">
        <v>46414</v>
      </c>
      <c r="R955" t="s">
        <v>57</v>
      </c>
      <c r="S955" t="s">
        <v>3155</v>
      </c>
      <c r="T955" t="s">
        <v>3153</v>
      </c>
      <c r="U955" t="s">
        <v>75</v>
      </c>
      <c r="V955" t="s">
        <v>3152</v>
      </c>
    </row>
    <row r="956" spans="1:22" x14ac:dyDescent="0.2">
      <c r="A956" t="s">
        <v>1976</v>
      </c>
      <c r="B956" t="s">
        <v>1977</v>
      </c>
      <c r="C956" t="s">
        <v>103</v>
      </c>
      <c r="D956" t="s">
        <v>104</v>
      </c>
      <c r="E956" t="s">
        <v>53</v>
      </c>
      <c r="F956" t="s">
        <v>34</v>
      </c>
      <c r="G956" t="s">
        <v>35</v>
      </c>
      <c r="H956" t="s">
        <v>47</v>
      </c>
      <c r="I956" t="s">
        <v>70</v>
      </c>
      <c r="J956" t="s">
        <v>37</v>
      </c>
      <c r="K956" s="4">
        <v>46009</v>
      </c>
      <c r="L956" s="4">
        <v>46189</v>
      </c>
      <c r="M956" t="s">
        <v>38</v>
      </c>
      <c r="N956" t="s">
        <v>49</v>
      </c>
      <c r="O956">
        <v>0</v>
      </c>
      <c r="P956" t="s">
        <v>56</v>
      </c>
      <c r="Q956" s="4">
        <v>46356</v>
      </c>
      <c r="R956" t="s">
        <v>57</v>
      </c>
      <c r="S956" t="s">
        <v>38</v>
      </c>
      <c r="T956" t="s">
        <v>3153</v>
      </c>
      <c r="U956" t="s">
        <v>49</v>
      </c>
      <c r="V956" t="s">
        <v>3154</v>
      </c>
    </row>
    <row r="957" spans="1:22" x14ac:dyDescent="0.2">
      <c r="A957" t="s">
        <v>1978</v>
      </c>
      <c r="B957" t="s">
        <v>1979</v>
      </c>
      <c r="C957" t="s">
        <v>96</v>
      </c>
      <c r="D957" t="s">
        <v>97</v>
      </c>
      <c r="E957" t="s">
        <v>44</v>
      </c>
      <c r="F957" t="s">
        <v>45</v>
      </c>
      <c r="G957" t="s">
        <v>61</v>
      </c>
      <c r="H957" t="s">
        <v>47</v>
      </c>
      <c r="I957" t="s">
        <v>106</v>
      </c>
      <c r="J957" t="s">
        <v>63</v>
      </c>
      <c r="K957" s="4">
        <v>45827</v>
      </c>
      <c r="L957" s="4">
        <v>46007</v>
      </c>
      <c r="M957" t="s">
        <v>38</v>
      </c>
      <c r="N957" t="s">
        <v>55</v>
      </c>
      <c r="O957">
        <v>3</v>
      </c>
      <c r="P957" t="s">
        <v>50</v>
      </c>
      <c r="Q957" s="4">
        <v>46245</v>
      </c>
      <c r="R957" t="s">
        <v>64</v>
      </c>
      <c r="S957" t="s">
        <v>38</v>
      </c>
      <c r="T957" t="s">
        <v>3153</v>
      </c>
      <c r="U957" t="s">
        <v>55</v>
      </c>
      <c r="V957" t="s">
        <v>3154</v>
      </c>
    </row>
    <row r="958" spans="1:22" x14ac:dyDescent="0.2">
      <c r="A958" t="s">
        <v>1980</v>
      </c>
      <c r="B958" t="s">
        <v>1981</v>
      </c>
      <c r="C958" t="s">
        <v>31</v>
      </c>
      <c r="D958" t="s">
        <v>32</v>
      </c>
      <c r="E958" t="s">
        <v>53</v>
      </c>
      <c r="F958" t="s">
        <v>34</v>
      </c>
      <c r="G958" t="s">
        <v>35</v>
      </c>
      <c r="H958" t="s">
        <v>47</v>
      </c>
      <c r="I958" t="s">
        <v>70</v>
      </c>
      <c r="J958" t="s">
        <v>37</v>
      </c>
      <c r="K958" s="4">
        <v>46230</v>
      </c>
      <c r="L958" s="4">
        <v>46595</v>
      </c>
      <c r="M958" t="s">
        <v>69</v>
      </c>
      <c r="N958" t="s">
        <v>55</v>
      </c>
      <c r="O958">
        <v>3</v>
      </c>
      <c r="P958" t="s">
        <v>56</v>
      </c>
      <c r="Q958" s="4">
        <v>46336</v>
      </c>
      <c r="R958" t="s">
        <v>84</v>
      </c>
      <c r="S958" t="s">
        <v>3155</v>
      </c>
      <c r="T958" t="s">
        <v>3153</v>
      </c>
      <c r="U958" t="s">
        <v>55</v>
      </c>
      <c r="V958" t="s">
        <v>3154</v>
      </c>
    </row>
    <row r="959" spans="1:22" x14ac:dyDescent="0.2">
      <c r="A959" t="s">
        <v>1982</v>
      </c>
      <c r="B959" t="s">
        <v>1983</v>
      </c>
      <c r="C959" t="s">
        <v>103</v>
      </c>
      <c r="D959" t="s">
        <v>104</v>
      </c>
      <c r="E959" t="s">
        <v>80</v>
      </c>
      <c r="F959" t="s">
        <v>67</v>
      </c>
      <c r="G959" t="s">
        <v>118</v>
      </c>
      <c r="H959" t="s">
        <v>88</v>
      </c>
      <c r="I959" t="s">
        <v>56</v>
      </c>
      <c r="J959" t="s">
        <v>37</v>
      </c>
      <c r="K959" s="4">
        <v>46093</v>
      </c>
      <c r="L959" s="4">
        <v>46183</v>
      </c>
      <c r="M959" t="s">
        <v>38</v>
      </c>
      <c r="N959" t="s">
        <v>55</v>
      </c>
      <c r="O959">
        <v>0</v>
      </c>
      <c r="P959" t="s">
        <v>54</v>
      </c>
      <c r="Q959" s="4">
        <v>46363</v>
      </c>
      <c r="R959" t="s">
        <v>57</v>
      </c>
      <c r="S959" t="s">
        <v>38</v>
      </c>
      <c r="T959" t="s">
        <v>3153</v>
      </c>
      <c r="U959" t="s">
        <v>55</v>
      </c>
      <c r="V959" t="s">
        <v>3154</v>
      </c>
    </row>
    <row r="960" spans="1:22" x14ac:dyDescent="0.2">
      <c r="A960" t="s">
        <v>1984</v>
      </c>
      <c r="B960" t="s">
        <v>1985</v>
      </c>
      <c r="C960" t="s">
        <v>31</v>
      </c>
      <c r="D960" t="s">
        <v>32</v>
      </c>
      <c r="E960" t="s">
        <v>91</v>
      </c>
      <c r="F960" t="s">
        <v>34</v>
      </c>
      <c r="G960" t="s">
        <v>35</v>
      </c>
      <c r="H960" t="s">
        <v>47</v>
      </c>
      <c r="I960" t="s">
        <v>111</v>
      </c>
      <c r="J960" t="s">
        <v>48</v>
      </c>
      <c r="K960" s="4">
        <v>45988</v>
      </c>
      <c r="L960" s="4">
        <v>46353</v>
      </c>
      <c r="M960" t="s">
        <v>69</v>
      </c>
      <c r="N960" t="s">
        <v>49</v>
      </c>
      <c r="O960">
        <v>3</v>
      </c>
      <c r="P960" t="s">
        <v>70</v>
      </c>
      <c r="Q960" s="4">
        <v>46136</v>
      </c>
      <c r="R960" t="s">
        <v>38</v>
      </c>
      <c r="S960" t="s">
        <v>3155</v>
      </c>
      <c r="T960" t="s">
        <v>3153</v>
      </c>
      <c r="U960" t="s">
        <v>49</v>
      </c>
      <c r="V960" t="s">
        <v>3154</v>
      </c>
    </row>
    <row r="961" spans="1:22" x14ac:dyDescent="0.2">
      <c r="A961" t="s">
        <v>1986</v>
      </c>
      <c r="B961" t="s">
        <v>1987</v>
      </c>
      <c r="C961" t="s">
        <v>96</v>
      </c>
      <c r="D961" t="s">
        <v>97</v>
      </c>
      <c r="E961" t="s">
        <v>60</v>
      </c>
      <c r="F961" t="s">
        <v>45</v>
      </c>
      <c r="G961" t="s">
        <v>61</v>
      </c>
      <c r="H961" t="s">
        <v>88</v>
      </c>
      <c r="I961" t="s">
        <v>62</v>
      </c>
      <c r="J961" t="s">
        <v>37</v>
      </c>
      <c r="K961" s="4">
        <v>45858</v>
      </c>
      <c r="L961" s="4">
        <v>46038</v>
      </c>
      <c r="M961" t="s">
        <v>38</v>
      </c>
      <c r="N961" t="s">
        <v>49</v>
      </c>
      <c r="O961">
        <v>0</v>
      </c>
      <c r="P961" t="s">
        <v>39</v>
      </c>
      <c r="Q961" s="4">
        <v>46292</v>
      </c>
      <c r="R961" t="s">
        <v>57</v>
      </c>
      <c r="S961" t="s">
        <v>38</v>
      </c>
      <c r="T961" t="s">
        <v>3153</v>
      </c>
      <c r="U961" t="s">
        <v>49</v>
      </c>
      <c r="V961" t="s">
        <v>3154</v>
      </c>
    </row>
    <row r="962" spans="1:22" x14ac:dyDescent="0.2">
      <c r="A962" t="s">
        <v>1988</v>
      </c>
      <c r="B962" t="s">
        <v>1989</v>
      </c>
      <c r="C962" t="s">
        <v>78</v>
      </c>
      <c r="D962" t="s">
        <v>79</v>
      </c>
      <c r="E962" t="s">
        <v>91</v>
      </c>
      <c r="F962" t="s">
        <v>67</v>
      </c>
      <c r="G962" t="s">
        <v>118</v>
      </c>
      <c r="H962" t="s">
        <v>36</v>
      </c>
      <c r="I962" t="s">
        <v>54</v>
      </c>
      <c r="J962" t="s">
        <v>48</v>
      </c>
      <c r="K962" s="4">
        <v>45985</v>
      </c>
      <c r="L962" s="4">
        <v>46075</v>
      </c>
      <c r="M962" t="s">
        <v>38</v>
      </c>
      <c r="N962" t="s">
        <v>55</v>
      </c>
      <c r="O962">
        <v>5</v>
      </c>
      <c r="P962" t="s">
        <v>111</v>
      </c>
      <c r="Q962" s="4">
        <v>46283</v>
      </c>
      <c r="R962" t="s">
        <v>64</v>
      </c>
      <c r="S962" t="s">
        <v>38</v>
      </c>
      <c r="T962" t="s">
        <v>3153</v>
      </c>
      <c r="U962" t="s">
        <v>55</v>
      </c>
      <c r="V962" t="s">
        <v>3152</v>
      </c>
    </row>
    <row r="963" spans="1:22" x14ac:dyDescent="0.2">
      <c r="A963" t="s">
        <v>1990</v>
      </c>
      <c r="B963" t="s">
        <v>1991</v>
      </c>
      <c r="C963" t="s">
        <v>73</v>
      </c>
      <c r="D963" t="s">
        <v>74</v>
      </c>
      <c r="E963" t="s">
        <v>91</v>
      </c>
      <c r="F963" t="s">
        <v>67</v>
      </c>
      <c r="G963" t="s">
        <v>118</v>
      </c>
      <c r="H963" t="s">
        <v>88</v>
      </c>
      <c r="I963" t="s">
        <v>54</v>
      </c>
      <c r="J963" t="s">
        <v>37</v>
      </c>
      <c r="K963" s="4">
        <v>46134</v>
      </c>
      <c r="L963" s="4">
        <v>46314</v>
      </c>
      <c r="M963" t="s">
        <v>69</v>
      </c>
      <c r="N963" t="s">
        <v>75</v>
      </c>
      <c r="O963">
        <v>2</v>
      </c>
      <c r="P963" t="s">
        <v>106</v>
      </c>
      <c r="Q963" s="4">
        <v>46197</v>
      </c>
      <c r="R963" t="s">
        <v>64</v>
      </c>
      <c r="S963" t="s">
        <v>3155</v>
      </c>
      <c r="T963" t="s">
        <v>3153</v>
      </c>
      <c r="U963" t="s">
        <v>75</v>
      </c>
      <c r="V963" t="s">
        <v>3154</v>
      </c>
    </row>
    <row r="964" spans="1:22" x14ac:dyDescent="0.2">
      <c r="A964" t="s">
        <v>1992</v>
      </c>
      <c r="B964" t="s">
        <v>1993</v>
      </c>
      <c r="C964" t="s">
        <v>73</v>
      </c>
      <c r="D964" t="s">
        <v>74</v>
      </c>
      <c r="E964" t="s">
        <v>105</v>
      </c>
      <c r="F964" t="s">
        <v>45</v>
      </c>
      <c r="G964" t="s">
        <v>61</v>
      </c>
      <c r="H964" t="s">
        <v>88</v>
      </c>
      <c r="I964" t="s">
        <v>54</v>
      </c>
      <c r="J964" t="s">
        <v>37</v>
      </c>
      <c r="K964" s="4">
        <v>46113</v>
      </c>
      <c r="L964" s="4">
        <v>46293</v>
      </c>
      <c r="M964" t="s">
        <v>38</v>
      </c>
      <c r="N964" t="s">
        <v>55</v>
      </c>
      <c r="O964">
        <v>0</v>
      </c>
      <c r="P964" t="s">
        <v>50</v>
      </c>
      <c r="Q964" s="4">
        <v>46322</v>
      </c>
      <c r="R964" t="s">
        <v>57</v>
      </c>
      <c r="S964" t="s">
        <v>38</v>
      </c>
      <c r="T964" t="s">
        <v>3153</v>
      </c>
      <c r="U964" t="s">
        <v>55</v>
      </c>
      <c r="V964" t="s">
        <v>3154</v>
      </c>
    </row>
    <row r="965" spans="1:22" x14ac:dyDescent="0.2">
      <c r="A965" t="s">
        <v>1994</v>
      </c>
      <c r="B965" t="s">
        <v>1995</v>
      </c>
      <c r="C965" t="s">
        <v>73</v>
      </c>
      <c r="D965" t="s">
        <v>74</v>
      </c>
      <c r="E965" t="s">
        <v>53</v>
      </c>
      <c r="F965" t="s">
        <v>67</v>
      </c>
      <c r="G965" t="s">
        <v>68</v>
      </c>
      <c r="H965" t="s">
        <v>36</v>
      </c>
      <c r="I965" t="s">
        <v>111</v>
      </c>
      <c r="J965" t="s">
        <v>48</v>
      </c>
      <c r="K965" s="4">
        <v>46096</v>
      </c>
      <c r="L965" s="4">
        <v>46276</v>
      </c>
      <c r="M965" t="s">
        <v>38</v>
      </c>
      <c r="N965" t="s">
        <v>75</v>
      </c>
      <c r="O965">
        <v>2</v>
      </c>
      <c r="P965" t="s">
        <v>54</v>
      </c>
      <c r="Q965" s="4">
        <v>46196</v>
      </c>
      <c r="R965" t="s">
        <v>38</v>
      </c>
      <c r="S965" t="s">
        <v>38</v>
      </c>
      <c r="T965" t="s">
        <v>3153</v>
      </c>
      <c r="U965" t="s">
        <v>75</v>
      </c>
      <c r="V965" t="s">
        <v>3152</v>
      </c>
    </row>
    <row r="966" spans="1:22" x14ac:dyDescent="0.2">
      <c r="A966" t="s">
        <v>1996</v>
      </c>
      <c r="B966" t="s">
        <v>1997</v>
      </c>
      <c r="C966" t="s">
        <v>31</v>
      </c>
      <c r="D966" t="s">
        <v>32</v>
      </c>
      <c r="E966" t="s">
        <v>60</v>
      </c>
      <c r="F966" t="s">
        <v>34</v>
      </c>
      <c r="G966" t="s">
        <v>35</v>
      </c>
      <c r="H966" t="s">
        <v>36</v>
      </c>
      <c r="I966" t="s">
        <v>56</v>
      </c>
      <c r="J966" t="s">
        <v>48</v>
      </c>
      <c r="K966" s="4">
        <v>45888</v>
      </c>
      <c r="L966" s="4">
        <v>46253</v>
      </c>
      <c r="M966" t="s">
        <v>38</v>
      </c>
      <c r="N966" t="s">
        <v>49</v>
      </c>
      <c r="O966">
        <v>1</v>
      </c>
      <c r="P966" t="s">
        <v>70</v>
      </c>
      <c r="Q966" s="4">
        <v>46318</v>
      </c>
      <c r="R966" t="s">
        <v>84</v>
      </c>
      <c r="S966" t="s">
        <v>38</v>
      </c>
      <c r="T966" t="s">
        <v>3153</v>
      </c>
      <c r="U966" t="s">
        <v>49</v>
      </c>
      <c r="V966" t="s">
        <v>3152</v>
      </c>
    </row>
    <row r="967" spans="1:22" x14ac:dyDescent="0.2">
      <c r="A967" t="s">
        <v>1998</v>
      </c>
      <c r="B967" t="s">
        <v>1999</v>
      </c>
      <c r="C967" t="s">
        <v>42</v>
      </c>
      <c r="D967" t="s">
        <v>43</v>
      </c>
      <c r="E967" t="s">
        <v>53</v>
      </c>
      <c r="F967" t="s">
        <v>34</v>
      </c>
      <c r="G967" t="s">
        <v>35</v>
      </c>
      <c r="H967" t="s">
        <v>47</v>
      </c>
      <c r="I967" t="s">
        <v>106</v>
      </c>
      <c r="J967" t="s">
        <v>63</v>
      </c>
      <c r="K967" s="4">
        <v>46003</v>
      </c>
      <c r="L967" s="4">
        <v>46183</v>
      </c>
      <c r="M967" t="s">
        <v>38</v>
      </c>
      <c r="N967" t="s">
        <v>75</v>
      </c>
      <c r="O967">
        <v>1</v>
      </c>
      <c r="P967" t="s">
        <v>70</v>
      </c>
      <c r="Q967" s="4">
        <v>46312</v>
      </c>
      <c r="R967" t="s">
        <v>64</v>
      </c>
      <c r="S967" t="s">
        <v>38</v>
      </c>
      <c r="T967" t="s">
        <v>3153</v>
      </c>
      <c r="U967" t="s">
        <v>75</v>
      </c>
      <c r="V967" t="s">
        <v>3154</v>
      </c>
    </row>
    <row r="968" spans="1:22" x14ac:dyDescent="0.2">
      <c r="A968" t="s">
        <v>2000</v>
      </c>
      <c r="B968" t="s">
        <v>2001</v>
      </c>
      <c r="C968" t="s">
        <v>103</v>
      </c>
      <c r="D968" t="s">
        <v>104</v>
      </c>
      <c r="E968" t="s">
        <v>80</v>
      </c>
      <c r="F968" t="s">
        <v>67</v>
      </c>
      <c r="G968" t="s">
        <v>68</v>
      </c>
      <c r="H968" t="s">
        <v>36</v>
      </c>
      <c r="I968" t="s">
        <v>54</v>
      </c>
      <c r="J968" t="s">
        <v>48</v>
      </c>
      <c r="K968" s="4">
        <v>45995</v>
      </c>
      <c r="L968" s="4">
        <v>46085</v>
      </c>
      <c r="M968" t="s">
        <v>38</v>
      </c>
      <c r="N968" t="s">
        <v>49</v>
      </c>
      <c r="O968">
        <v>2</v>
      </c>
      <c r="P968" t="s">
        <v>111</v>
      </c>
      <c r="Q968" s="4">
        <v>46128</v>
      </c>
      <c r="R968" t="s">
        <v>38</v>
      </c>
      <c r="S968" t="s">
        <v>38</v>
      </c>
      <c r="T968" t="s">
        <v>3153</v>
      </c>
      <c r="U968" t="s">
        <v>49</v>
      </c>
      <c r="V968" t="s">
        <v>3152</v>
      </c>
    </row>
    <row r="969" spans="1:22" x14ac:dyDescent="0.2">
      <c r="A969" t="s">
        <v>2002</v>
      </c>
      <c r="B969" t="s">
        <v>2003</v>
      </c>
      <c r="C969" t="s">
        <v>103</v>
      </c>
      <c r="D969" t="s">
        <v>104</v>
      </c>
      <c r="E969" t="s">
        <v>44</v>
      </c>
      <c r="F969" t="s">
        <v>34</v>
      </c>
      <c r="G969" t="s">
        <v>35</v>
      </c>
      <c r="H969" t="s">
        <v>47</v>
      </c>
      <c r="I969" t="s">
        <v>54</v>
      </c>
      <c r="J969" t="s">
        <v>48</v>
      </c>
      <c r="K969" s="4">
        <v>46265</v>
      </c>
      <c r="L969" s="4">
        <v>46630</v>
      </c>
      <c r="M969" t="s">
        <v>64</v>
      </c>
      <c r="N969" t="s">
        <v>75</v>
      </c>
      <c r="O969">
        <v>3</v>
      </c>
      <c r="P969" t="s">
        <v>62</v>
      </c>
      <c r="Q969" s="4">
        <v>46399</v>
      </c>
      <c r="R969" t="s">
        <v>84</v>
      </c>
      <c r="S969" t="s">
        <v>3155</v>
      </c>
      <c r="T969" t="s">
        <v>3153</v>
      </c>
      <c r="U969" t="s">
        <v>75</v>
      </c>
      <c r="V969" t="s">
        <v>3154</v>
      </c>
    </row>
    <row r="970" spans="1:22" x14ac:dyDescent="0.2">
      <c r="A970" t="s">
        <v>2004</v>
      </c>
      <c r="B970" t="s">
        <v>2005</v>
      </c>
      <c r="C970" t="s">
        <v>103</v>
      </c>
      <c r="D970" t="s">
        <v>104</v>
      </c>
      <c r="E970" t="s">
        <v>91</v>
      </c>
      <c r="F970" t="s">
        <v>34</v>
      </c>
      <c r="G970" t="s">
        <v>35</v>
      </c>
      <c r="H970" t="s">
        <v>47</v>
      </c>
      <c r="I970" t="s">
        <v>106</v>
      </c>
      <c r="J970" t="s">
        <v>63</v>
      </c>
      <c r="K970" s="4">
        <v>45864</v>
      </c>
      <c r="L970" s="4">
        <v>46044</v>
      </c>
      <c r="M970" t="s">
        <v>38</v>
      </c>
      <c r="N970" t="s">
        <v>75</v>
      </c>
      <c r="O970">
        <v>2</v>
      </c>
      <c r="P970" t="s">
        <v>106</v>
      </c>
      <c r="Q970" s="4">
        <v>46301</v>
      </c>
      <c r="R970" t="s">
        <v>84</v>
      </c>
      <c r="S970" t="s">
        <v>38</v>
      </c>
      <c r="T970" t="s">
        <v>3153</v>
      </c>
      <c r="U970" t="s">
        <v>75</v>
      </c>
      <c r="V970" t="s">
        <v>3154</v>
      </c>
    </row>
    <row r="971" spans="1:22" x14ac:dyDescent="0.2">
      <c r="A971" t="s">
        <v>2006</v>
      </c>
      <c r="B971" t="s">
        <v>2007</v>
      </c>
      <c r="C971" t="s">
        <v>96</v>
      </c>
      <c r="D971" t="s">
        <v>97</v>
      </c>
      <c r="E971" t="s">
        <v>53</v>
      </c>
      <c r="F971" t="s">
        <v>45</v>
      </c>
      <c r="G971" t="s">
        <v>46</v>
      </c>
      <c r="H971" t="s">
        <v>36</v>
      </c>
      <c r="I971" t="s">
        <v>54</v>
      </c>
      <c r="J971" t="s">
        <v>37</v>
      </c>
      <c r="K971" s="4">
        <v>45868</v>
      </c>
      <c r="L971" s="4">
        <v>46233</v>
      </c>
      <c r="M971" t="s">
        <v>38</v>
      </c>
      <c r="N971" t="s">
        <v>49</v>
      </c>
      <c r="O971">
        <v>1</v>
      </c>
      <c r="P971" t="s">
        <v>70</v>
      </c>
      <c r="Q971" s="4">
        <v>46164</v>
      </c>
      <c r="R971" t="s">
        <v>38</v>
      </c>
      <c r="S971" t="s">
        <v>38</v>
      </c>
      <c r="T971" t="s">
        <v>3153</v>
      </c>
      <c r="U971" t="s">
        <v>49</v>
      </c>
      <c r="V971" t="s">
        <v>3152</v>
      </c>
    </row>
    <row r="972" spans="1:22" x14ac:dyDescent="0.2">
      <c r="A972" t="s">
        <v>2008</v>
      </c>
      <c r="B972" t="s">
        <v>2009</v>
      </c>
      <c r="C972" t="s">
        <v>96</v>
      </c>
      <c r="D972" t="s">
        <v>97</v>
      </c>
      <c r="E972" t="s">
        <v>91</v>
      </c>
      <c r="F972" t="s">
        <v>34</v>
      </c>
      <c r="G972" t="s">
        <v>35</v>
      </c>
      <c r="H972" t="s">
        <v>88</v>
      </c>
      <c r="I972" t="s">
        <v>54</v>
      </c>
      <c r="J972" t="s">
        <v>63</v>
      </c>
      <c r="K972" s="4">
        <v>46037</v>
      </c>
      <c r="L972" s="4">
        <v>46217</v>
      </c>
      <c r="M972" t="s">
        <v>38</v>
      </c>
      <c r="N972" t="s">
        <v>49</v>
      </c>
      <c r="O972">
        <v>0</v>
      </c>
      <c r="P972" t="s">
        <v>62</v>
      </c>
      <c r="Q972" s="4">
        <v>46350</v>
      </c>
      <c r="R972" t="s">
        <v>57</v>
      </c>
      <c r="S972" t="s">
        <v>38</v>
      </c>
      <c r="T972" t="s">
        <v>3153</v>
      </c>
      <c r="U972" t="s">
        <v>49</v>
      </c>
      <c r="V972" t="s">
        <v>3154</v>
      </c>
    </row>
    <row r="973" spans="1:22" x14ac:dyDescent="0.2">
      <c r="A973" t="s">
        <v>2010</v>
      </c>
      <c r="B973" t="s">
        <v>2011</v>
      </c>
      <c r="C973" t="s">
        <v>31</v>
      </c>
      <c r="D973" t="s">
        <v>32</v>
      </c>
      <c r="E973" t="s">
        <v>105</v>
      </c>
      <c r="F973" t="s">
        <v>45</v>
      </c>
      <c r="G973" t="s">
        <v>46</v>
      </c>
      <c r="H973" t="s">
        <v>88</v>
      </c>
      <c r="I973" t="s">
        <v>39</v>
      </c>
      <c r="J973" t="s">
        <v>37</v>
      </c>
      <c r="K973" s="4">
        <v>45817</v>
      </c>
      <c r="L973" s="4">
        <v>45997</v>
      </c>
      <c r="M973" t="s">
        <v>38</v>
      </c>
      <c r="N973" t="s">
        <v>75</v>
      </c>
      <c r="O973">
        <v>1</v>
      </c>
      <c r="P973" t="s">
        <v>56</v>
      </c>
      <c r="Q973" s="4">
        <v>46147</v>
      </c>
      <c r="R973" t="s">
        <v>38</v>
      </c>
      <c r="S973" t="s">
        <v>38</v>
      </c>
      <c r="T973" t="s">
        <v>3153</v>
      </c>
      <c r="U973" t="s">
        <v>75</v>
      </c>
      <c r="V973" t="s">
        <v>3154</v>
      </c>
    </row>
    <row r="974" spans="1:22" x14ac:dyDescent="0.2">
      <c r="A974" t="s">
        <v>2012</v>
      </c>
      <c r="B974" t="s">
        <v>2013</v>
      </c>
      <c r="C974" t="s">
        <v>42</v>
      </c>
      <c r="D974" t="s">
        <v>43</v>
      </c>
      <c r="E974" t="s">
        <v>91</v>
      </c>
      <c r="F974" t="s">
        <v>34</v>
      </c>
      <c r="G974" t="s">
        <v>35</v>
      </c>
      <c r="H974" t="s">
        <v>88</v>
      </c>
      <c r="I974" t="s">
        <v>62</v>
      </c>
      <c r="J974" t="s">
        <v>48</v>
      </c>
      <c r="K974" s="4">
        <v>45915</v>
      </c>
      <c r="L974" s="4">
        <v>46005</v>
      </c>
      <c r="M974" t="s">
        <v>38</v>
      </c>
      <c r="N974" t="s">
        <v>75</v>
      </c>
      <c r="O974">
        <v>1</v>
      </c>
      <c r="P974" t="s">
        <v>62</v>
      </c>
      <c r="Q974" s="4">
        <v>46346</v>
      </c>
      <c r="R974" t="s">
        <v>64</v>
      </c>
      <c r="S974" t="s">
        <v>38</v>
      </c>
      <c r="T974" t="s">
        <v>3153</v>
      </c>
      <c r="U974" t="s">
        <v>75</v>
      </c>
      <c r="V974" t="s">
        <v>3154</v>
      </c>
    </row>
    <row r="975" spans="1:22" x14ac:dyDescent="0.2">
      <c r="A975" t="s">
        <v>2014</v>
      </c>
      <c r="B975" t="s">
        <v>2015</v>
      </c>
      <c r="C975" t="s">
        <v>31</v>
      </c>
      <c r="D975" t="s">
        <v>32</v>
      </c>
      <c r="E975" t="s">
        <v>105</v>
      </c>
      <c r="F975" t="s">
        <v>45</v>
      </c>
      <c r="G975" t="s">
        <v>61</v>
      </c>
      <c r="H975" t="s">
        <v>98</v>
      </c>
      <c r="I975" t="s">
        <v>39</v>
      </c>
      <c r="J975" t="s">
        <v>37</v>
      </c>
      <c r="K975" s="4">
        <v>45911</v>
      </c>
      <c r="L975" s="4">
        <v>46091</v>
      </c>
      <c r="M975" t="s">
        <v>38</v>
      </c>
      <c r="N975" t="s">
        <v>49</v>
      </c>
      <c r="O975">
        <v>0</v>
      </c>
      <c r="P975" t="s">
        <v>50</v>
      </c>
      <c r="Q975" s="4">
        <v>46151</v>
      </c>
      <c r="R975" t="s">
        <v>57</v>
      </c>
      <c r="S975" t="s">
        <v>38</v>
      </c>
      <c r="T975" t="s">
        <v>3153</v>
      </c>
      <c r="U975" t="s">
        <v>49</v>
      </c>
      <c r="V975" t="s">
        <v>3152</v>
      </c>
    </row>
    <row r="976" spans="1:22" x14ac:dyDescent="0.2">
      <c r="A976" t="s">
        <v>2016</v>
      </c>
      <c r="B976" t="s">
        <v>2017</v>
      </c>
      <c r="C976" t="s">
        <v>73</v>
      </c>
      <c r="D976" t="s">
        <v>74</v>
      </c>
      <c r="E976" t="s">
        <v>44</v>
      </c>
      <c r="F976" t="s">
        <v>34</v>
      </c>
      <c r="G976" t="s">
        <v>35</v>
      </c>
      <c r="H976" t="s">
        <v>98</v>
      </c>
      <c r="I976" t="s">
        <v>50</v>
      </c>
      <c r="J976" t="s">
        <v>48</v>
      </c>
      <c r="K976" s="4">
        <v>45848</v>
      </c>
      <c r="L976" s="4">
        <v>45938</v>
      </c>
      <c r="M976" t="s">
        <v>38</v>
      </c>
      <c r="N976" t="s">
        <v>55</v>
      </c>
      <c r="O976">
        <v>5</v>
      </c>
      <c r="P976" t="s">
        <v>62</v>
      </c>
      <c r="Q976" s="4">
        <v>46368</v>
      </c>
      <c r="R976" t="s">
        <v>84</v>
      </c>
      <c r="S976" t="s">
        <v>38</v>
      </c>
      <c r="T976" t="s">
        <v>3153</v>
      </c>
      <c r="U976" t="s">
        <v>55</v>
      </c>
      <c r="V976" t="s">
        <v>3152</v>
      </c>
    </row>
    <row r="977" spans="1:22" x14ac:dyDescent="0.2">
      <c r="A977" t="s">
        <v>2018</v>
      </c>
      <c r="B977" t="s">
        <v>2019</v>
      </c>
      <c r="C977" t="s">
        <v>42</v>
      </c>
      <c r="D977" t="s">
        <v>43</v>
      </c>
      <c r="E977" t="s">
        <v>80</v>
      </c>
      <c r="F977" t="s">
        <v>34</v>
      </c>
      <c r="G977" t="s">
        <v>35</v>
      </c>
      <c r="H977" t="s">
        <v>88</v>
      </c>
      <c r="I977" t="s">
        <v>111</v>
      </c>
      <c r="J977" t="s">
        <v>48</v>
      </c>
      <c r="K977" s="4">
        <v>46205</v>
      </c>
      <c r="L977" s="4">
        <v>46385</v>
      </c>
      <c r="M977" t="s">
        <v>64</v>
      </c>
      <c r="N977" t="s">
        <v>75</v>
      </c>
      <c r="O977">
        <v>2</v>
      </c>
      <c r="P977" t="s">
        <v>50</v>
      </c>
      <c r="Q977" s="4">
        <v>46205</v>
      </c>
      <c r="R977" t="s">
        <v>38</v>
      </c>
      <c r="S977" t="s">
        <v>3155</v>
      </c>
      <c r="T977" t="s">
        <v>3153</v>
      </c>
      <c r="U977" t="s">
        <v>75</v>
      </c>
      <c r="V977" t="s">
        <v>3154</v>
      </c>
    </row>
    <row r="978" spans="1:22" x14ac:dyDescent="0.2">
      <c r="A978" t="s">
        <v>2020</v>
      </c>
      <c r="B978" t="s">
        <v>2021</v>
      </c>
      <c r="C978" t="s">
        <v>31</v>
      </c>
      <c r="D978" t="s">
        <v>87</v>
      </c>
      <c r="E978" t="s">
        <v>44</v>
      </c>
      <c r="F978" t="s">
        <v>67</v>
      </c>
      <c r="G978" t="s">
        <v>118</v>
      </c>
      <c r="H978" t="s">
        <v>47</v>
      </c>
      <c r="I978" t="s">
        <v>70</v>
      </c>
      <c r="J978" t="s">
        <v>48</v>
      </c>
      <c r="K978" s="4">
        <v>46102</v>
      </c>
      <c r="L978" s="4">
        <v>46282</v>
      </c>
      <c r="M978" t="s">
        <v>38</v>
      </c>
      <c r="N978" t="s">
        <v>55</v>
      </c>
      <c r="O978">
        <v>2</v>
      </c>
      <c r="P978" t="s">
        <v>106</v>
      </c>
      <c r="Q978" s="4">
        <v>46125</v>
      </c>
      <c r="R978" t="s">
        <v>38</v>
      </c>
      <c r="S978" t="s">
        <v>38</v>
      </c>
      <c r="T978" t="s">
        <v>3153</v>
      </c>
      <c r="U978" t="s">
        <v>55</v>
      </c>
      <c r="V978" t="s">
        <v>3154</v>
      </c>
    </row>
    <row r="979" spans="1:22" x14ac:dyDescent="0.2">
      <c r="A979" t="s">
        <v>2022</v>
      </c>
      <c r="B979" t="s">
        <v>2023</v>
      </c>
      <c r="C979" t="s">
        <v>31</v>
      </c>
      <c r="D979" t="s">
        <v>32</v>
      </c>
      <c r="E979" t="s">
        <v>105</v>
      </c>
      <c r="F979" t="s">
        <v>45</v>
      </c>
      <c r="G979" t="s">
        <v>46</v>
      </c>
      <c r="H979" t="s">
        <v>98</v>
      </c>
      <c r="I979" t="s">
        <v>39</v>
      </c>
      <c r="J979" t="s">
        <v>48</v>
      </c>
      <c r="K979" s="4">
        <v>46273</v>
      </c>
      <c r="L979" s="4">
        <v>46453</v>
      </c>
      <c r="M979" t="s">
        <v>64</v>
      </c>
      <c r="N979" t="s">
        <v>55</v>
      </c>
      <c r="O979">
        <v>4</v>
      </c>
      <c r="P979" t="s">
        <v>111</v>
      </c>
      <c r="Q979" s="4">
        <v>46403</v>
      </c>
      <c r="R979" t="s">
        <v>84</v>
      </c>
      <c r="S979" t="s">
        <v>3155</v>
      </c>
      <c r="T979" t="s">
        <v>3153</v>
      </c>
      <c r="U979" t="s">
        <v>55</v>
      </c>
      <c r="V979" t="s">
        <v>3152</v>
      </c>
    </row>
    <row r="980" spans="1:22" x14ac:dyDescent="0.2">
      <c r="A980" t="s">
        <v>2024</v>
      </c>
      <c r="B980" t="s">
        <v>2025</v>
      </c>
      <c r="C980" t="s">
        <v>31</v>
      </c>
      <c r="D980" t="s">
        <v>83</v>
      </c>
      <c r="E980" t="s">
        <v>53</v>
      </c>
      <c r="F980" t="s">
        <v>45</v>
      </c>
      <c r="G980" t="s">
        <v>46</v>
      </c>
      <c r="H980" t="s">
        <v>47</v>
      </c>
      <c r="I980" t="s">
        <v>50</v>
      </c>
      <c r="J980" t="s">
        <v>48</v>
      </c>
      <c r="K980" s="4">
        <v>45968</v>
      </c>
      <c r="L980" s="4">
        <v>46148</v>
      </c>
      <c r="M980" t="s">
        <v>38</v>
      </c>
      <c r="N980" t="s">
        <v>49</v>
      </c>
      <c r="O980">
        <v>1</v>
      </c>
      <c r="P980" t="s">
        <v>111</v>
      </c>
      <c r="Q980" s="4">
        <v>46340</v>
      </c>
      <c r="R980" t="s">
        <v>84</v>
      </c>
      <c r="S980" t="s">
        <v>38</v>
      </c>
      <c r="T980" t="s">
        <v>3153</v>
      </c>
      <c r="U980" t="s">
        <v>49</v>
      </c>
      <c r="V980" t="s">
        <v>3154</v>
      </c>
    </row>
    <row r="981" spans="1:22" x14ac:dyDescent="0.2">
      <c r="A981" t="s">
        <v>2026</v>
      </c>
      <c r="B981" t="s">
        <v>2027</v>
      </c>
      <c r="C981" t="s">
        <v>31</v>
      </c>
      <c r="D981" t="s">
        <v>83</v>
      </c>
      <c r="E981" t="s">
        <v>60</v>
      </c>
      <c r="F981" t="s">
        <v>45</v>
      </c>
      <c r="G981" t="s">
        <v>46</v>
      </c>
      <c r="H981" t="s">
        <v>36</v>
      </c>
      <c r="I981" t="s">
        <v>70</v>
      </c>
      <c r="J981" t="s">
        <v>63</v>
      </c>
      <c r="K981" s="4">
        <v>45862</v>
      </c>
      <c r="L981" s="4">
        <v>46042</v>
      </c>
      <c r="M981" t="s">
        <v>38</v>
      </c>
      <c r="N981" t="s">
        <v>75</v>
      </c>
      <c r="O981">
        <v>0</v>
      </c>
      <c r="P981" t="s">
        <v>50</v>
      </c>
      <c r="Q981" s="4">
        <v>46293</v>
      </c>
      <c r="R981" t="s">
        <v>57</v>
      </c>
      <c r="S981" t="s">
        <v>38</v>
      </c>
      <c r="T981" t="s">
        <v>3153</v>
      </c>
      <c r="U981" t="s">
        <v>75</v>
      </c>
      <c r="V981" t="s">
        <v>3152</v>
      </c>
    </row>
    <row r="982" spans="1:22" x14ac:dyDescent="0.2">
      <c r="A982" t="s">
        <v>2028</v>
      </c>
      <c r="B982" t="s">
        <v>2029</v>
      </c>
      <c r="C982" t="s">
        <v>31</v>
      </c>
      <c r="D982" t="s">
        <v>32</v>
      </c>
      <c r="E982" t="s">
        <v>44</v>
      </c>
      <c r="F982" t="s">
        <v>45</v>
      </c>
      <c r="G982" t="s">
        <v>61</v>
      </c>
      <c r="H982" t="s">
        <v>88</v>
      </c>
      <c r="I982" t="s">
        <v>106</v>
      </c>
      <c r="J982" t="s">
        <v>48</v>
      </c>
      <c r="K982" s="4">
        <v>45795</v>
      </c>
      <c r="L982" s="4">
        <v>45975</v>
      </c>
      <c r="M982" t="s">
        <v>38</v>
      </c>
      <c r="N982" t="s">
        <v>49</v>
      </c>
      <c r="O982">
        <v>3</v>
      </c>
      <c r="P982" t="s">
        <v>106</v>
      </c>
      <c r="Q982" s="4">
        <v>46344</v>
      </c>
      <c r="R982" t="s">
        <v>84</v>
      </c>
      <c r="S982" t="s">
        <v>38</v>
      </c>
      <c r="T982" t="s">
        <v>3153</v>
      </c>
      <c r="U982" t="s">
        <v>49</v>
      </c>
      <c r="V982" t="s">
        <v>3154</v>
      </c>
    </row>
    <row r="983" spans="1:22" x14ac:dyDescent="0.2">
      <c r="A983" t="s">
        <v>2030</v>
      </c>
      <c r="B983" t="s">
        <v>2031</v>
      </c>
      <c r="C983" t="s">
        <v>31</v>
      </c>
      <c r="D983" t="s">
        <v>32</v>
      </c>
      <c r="E983" t="s">
        <v>80</v>
      </c>
      <c r="F983" t="s">
        <v>45</v>
      </c>
      <c r="G983" t="s">
        <v>46</v>
      </c>
      <c r="H983" t="s">
        <v>47</v>
      </c>
      <c r="I983" t="s">
        <v>62</v>
      </c>
      <c r="J983" t="s">
        <v>63</v>
      </c>
      <c r="K983" s="4">
        <v>46254</v>
      </c>
      <c r="L983" s="4">
        <v>46434</v>
      </c>
      <c r="M983" t="s">
        <v>64</v>
      </c>
      <c r="N983" t="s">
        <v>75</v>
      </c>
      <c r="O983">
        <v>0</v>
      </c>
      <c r="P983" t="s">
        <v>106</v>
      </c>
      <c r="Q983" s="4">
        <v>46381</v>
      </c>
      <c r="R983" t="s">
        <v>57</v>
      </c>
      <c r="S983" t="s">
        <v>3155</v>
      </c>
      <c r="T983" t="s">
        <v>3153</v>
      </c>
      <c r="U983" t="s">
        <v>75</v>
      </c>
      <c r="V983" t="s">
        <v>3154</v>
      </c>
    </row>
    <row r="984" spans="1:22" x14ac:dyDescent="0.2">
      <c r="A984" t="s">
        <v>2032</v>
      </c>
      <c r="B984" t="s">
        <v>2033</v>
      </c>
      <c r="C984" t="s">
        <v>78</v>
      </c>
      <c r="D984" t="s">
        <v>79</v>
      </c>
      <c r="E984" t="s">
        <v>60</v>
      </c>
      <c r="F984" t="s">
        <v>34</v>
      </c>
      <c r="G984" t="s">
        <v>35</v>
      </c>
      <c r="H984" t="s">
        <v>88</v>
      </c>
      <c r="I984" t="s">
        <v>56</v>
      </c>
      <c r="J984" t="s">
        <v>37</v>
      </c>
      <c r="K984" s="4">
        <v>46111</v>
      </c>
      <c r="L984" s="4">
        <v>46201</v>
      </c>
      <c r="M984" t="s">
        <v>38</v>
      </c>
      <c r="N984" t="s">
        <v>75</v>
      </c>
      <c r="O984">
        <v>1</v>
      </c>
      <c r="P984" t="s">
        <v>62</v>
      </c>
      <c r="Q984" s="4">
        <v>46264</v>
      </c>
      <c r="R984" t="s">
        <v>38</v>
      </c>
      <c r="S984" t="s">
        <v>38</v>
      </c>
      <c r="T984" t="s">
        <v>3153</v>
      </c>
      <c r="U984" t="s">
        <v>75</v>
      </c>
      <c r="V984" t="s">
        <v>3154</v>
      </c>
    </row>
    <row r="985" spans="1:22" x14ac:dyDescent="0.2">
      <c r="A985" t="s">
        <v>2034</v>
      </c>
      <c r="B985" t="s">
        <v>2035</v>
      </c>
      <c r="C985" t="s">
        <v>42</v>
      </c>
      <c r="D985" t="s">
        <v>43</v>
      </c>
      <c r="E985" t="s">
        <v>105</v>
      </c>
      <c r="F985" t="s">
        <v>45</v>
      </c>
      <c r="G985" t="s">
        <v>61</v>
      </c>
      <c r="H985" t="s">
        <v>88</v>
      </c>
      <c r="I985" t="s">
        <v>106</v>
      </c>
      <c r="J985" t="s">
        <v>63</v>
      </c>
      <c r="K985" s="4">
        <v>45988</v>
      </c>
      <c r="L985" s="4">
        <v>46168</v>
      </c>
      <c r="M985" t="s">
        <v>38</v>
      </c>
      <c r="N985" t="s">
        <v>49</v>
      </c>
      <c r="O985">
        <v>3</v>
      </c>
      <c r="P985" t="s">
        <v>39</v>
      </c>
      <c r="Q985" s="4">
        <v>46271</v>
      </c>
      <c r="R985" t="s">
        <v>38</v>
      </c>
      <c r="S985" t="s">
        <v>38</v>
      </c>
      <c r="T985" t="s">
        <v>3153</v>
      </c>
      <c r="U985" t="s">
        <v>49</v>
      </c>
      <c r="V985" t="s">
        <v>3154</v>
      </c>
    </row>
    <row r="986" spans="1:22" x14ac:dyDescent="0.2">
      <c r="A986" t="s">
        <v>2036</v>
      </c>
      <c r="B986" t="s">
        <v>2037</v>
      </c>
      <c r="C986" t="s">
        <v>73</v>
      </c>
      <c r="D986" t="s">
        <v>74</v>
      </c>
      <c r="E986" t="s">
        <v>44</v>
      </c>
      <c r="F986" t="s">
        <v>34</v>
      </c>
      <c r="G986" t="s">
        <v>35</v>
      </c>
      <c r="H986" t="s">
        <v>98</v>
      </c>
      <c r="I986" t="s">
        <v>56</v>
      </c>
      <c r="J986" t="s">
        <v>48</v>
      </c>
      <c r="K986" s="4">
        <v>45819</v>
      </c>
      <c r="L986" s="4">
        <v>46184</v>
      </c>
      <c r="M986" t="s">
        <v>38</v>
      </c>
      <c r="N986" t="s">
        <v>49</v>
      </c>
      <c r="O986">
        <v>4</v>
      </c>
      <c r="P986" t="s">
        <v>39</v>
      </c>
      <c r="Q986" s="4">
        <v>46392</v>
      </c>
      <c r="R986" t="s">
        <v>64</v>
      </c>
      <c r="S986" t="s">
        <v>38</v>
      </c>
      <c r="T986" t="s">
        <v>3153</v>
      </c>
      <c r="U986" t="s">
        <v>49</v>
      </c>
      <c r="V986" t="s">
        <v>3152</v>
      </c>
    </row>
    <row r="987" spans="1:22" x14ac:dyDescent="0.2">
      <c r="A987" t="s">
        <v>2038</v>
      </c>
      <c r="B987" t="s">
        <v>2039</v>
      </c>
      <c r="C987" t="s">
        <v>31</v>
      </c>
      <c r="D987" t="s">
        <v>87</v>
      </c>
      <c r="E987" t="s">
        <v>80</v>
      </c>
      <c r="F987" t="s">
        <v>45</v>
      </c>
      <c r="G987" t="s">
        <v>61</v>
      </c>
      <c r="H987" t="s">
        <v>47</v>
      </c>
      <c r="I987" t="s">
        <v>39</v>
      </c>
      <c r="J987" t="s">
        <v>48</v>
      </c>
      <c r="K987" s="4">
        <v>45854</v>
      </c>
      <c r="L987" s="4">
        <v>46219</v>
      </c>
      <c r="M987" t="s">
        <v>38</v>
      </c>
      <c r="N987" t="s">
        <v>75</v>
      </c>
      <c r="O987">
        <v>1</v>
      </c>
      <c r="P987" t="s">
        <v>111</v>
      </c>
      <c r="Q987" s="4">
        <v>46375</v>
      </c>
      <c r="R987" t="s">
        <v>84</v>
      </c>
      <c r="S987" t="s">
        <v>38</v>
      </c>
      <c r="T987" t="s">
        <v>3153</v>
      </c>
      <c r="U987" t="s">
        <v>75</v>
      </c>
      <c r="V987" t="s">
        <v>3154</v>
      </c>
    </row>
    <row r="988" spans="1:22" x14ac:dyDescent="0.2">
      <c r="A988" t="s">
        <v>2040</v>
      </c>
      <c r="B988" t="s">
        <v>2041</v>
      </c>
      <c r="C988" t="s">
        <v>78</v>
      </c>
      <c r="D988" t="s">
        <v>79</v>
      </c>
      <c r="E988" t="s">
        <v>91</v>
      </c>
      <c r="F988" t="s">
        <v>45</v>
      </c>
      <c r="G988" t="s">
        <v>46</v>
      </c>
      <c r="H988" t="s">
        <v>88</v>
      </c>
      <c r="I988" t="s">
        <v>54</v>
      </c>
      <c r="J988" t="s">
        <v>63</v>
      </c>
      <c r="K988" s="4">
        <v>46022</v>
      </c>
      <c r="L988" s="4">
        <v>46112</v>
      </c>
      <c r="M988" t="s">
        <v>38</v>
      </c>
      <c r="N988" t="s">
        <v>49</v>
      </c>
      <c r="O988">
        <v>0</v>
      </c>
      <c r="P988" t="s">
        <v>70</v>
      </c>
      <c r="Q988" s="4">
        <v>46138</v>
      </c>
      <c r="R988" t="s">
        <v>57</v>
      </c>
      <c r="S988" t="s">
        <v>38</v>
      </c>
      <c r="T988" t="s">
        <v>3153</v>
      </c>
      <c r="U988" t="s">
        <v>49</v>
      </c>
      <c r="V988" t="s">
        <v>3154</v>
      </c>
    </row>
    <row r="989" spans="1:22" x14ac:dyDescent="0.2">
      <c r="A989" t="s">
        <v>2042</v>
      </c>
      <c r="B989" t="s">
        <v>2043</v>
      </c>
      <c r="C989" t="s">
        <v>78</v>
      </c>
      <c r="D989" t="s">
        <v>79</v>
      </c>
      <c r="E989" t="s">
        <v>44</v>
      </c>
      <c r="F989" t="s">
        <v>67</v>
      </c>
      <c r="G989" t="s">
        <v>68</v>
      </c>
      <c r="H989" t="s">
        <v>88</v>
      </c>
      <c r="J989" t="s">
        <v>48</v>
      </c>
      <c r="K989" s="4">
        <v>45807</v>
      </c>
      <c r="L989" s="4">
        <v>45987</v>
      </c>
      <c r="M989" t="s">
        <v>38</v>
      </c>
      <c r="N989" t="s">
        <v>55</v>
      </c>
      <c r="O989">
        <v>3</v>
      </c>
      <c r="P989" t="s">
        <v>50</v>
      </c>
      <c r="Q989" s="4">
        <v>46231</v>
      </c>
      <c r="R989" t="s">
        <v>38</v>
      </c>
      <c r="S989" t="s">
        <v>38</v>
      </c>
      <c r="T989" t="s">
        <v>3150</v>
      </c>
      <c r="U989" t="s">
        <v>55</v>
      </c>
      <c r="V989" t="s">
        <v>3154</v>
      </c>
    </row>
    <row r="990" spans="1:22" x14ac:dyDescent="0.2">
      <c r="A990" t="s">
        <v>2044</v>
      </c>
      <c r="B990" t="s">
        <v>2045</v>
      </c>
      <c r="C990" t="s">
        <v>42</v>
      </c>
      <c r="D990" t="s">
        <v>43</v>
      </c>
      <c r="E990" t="s">
        <v>60</v>
      </c>
      <c r="F990" t="s">
        <v>34</v>
      </c>
      <c r="G990" t="s">
        <v>35</v>
      </c>
      <c r="H990" t="s">
        <v>88</v>
      </c>
      <c r="I990" t="s">
        <v>62</v>
      </c>
      <c r="J990" t="s">
        <v>63</v>
      </c>
      <c r="K990" s="4">
        <v>45927</v>
      </c>
      <c r="L990" s="4">
        <v>46292</v>
      </c>
      <c r="M990" t="s">
        <v>38</v>
      </c>
      <c r="N990" t="s">
        <v>49</v>
      </c>
      <c r="O990">
        <v>2</v>
      </c>
      <c r="P990" t="s">
        <v>39</v>
      </c>
      <c r="Q990" s="4">
        <v>46219</v>
      </c>
      <c r="R990" t="s">
        <v>38</v>
      </c>
      <c r="S990" t="s">
        <v>38</v>
      </c>
      <c r="T990" t="s">
        <v>3153</v>
      </c>
      <c r="U990" t="s">
        <v>49</v>
      </c>
      <c r="V990" t="s">
        <v>3154</v>
      </c>
    </row>
    <row r="991" spans="1:22" x14ac:dyDescent="0.2">
      <c r="A991" t="s">
        <v>2046</v>
      </c>
      <c r="B991" t="s">
        <v>2047</v>
      </c>
      <c r="C991" t="s">
        <v>31</v>
      </c>
      <c r="D991" t="s">
        <v>87</v>
      </c>
      <c r="E991" t="s">
        <v>80</v>
      </c>
      <c r="F991" t="s">
        <v>67</v>
      </c>
      <c r="G991" t="s">
        <v>118</v>
      </c>
      <c r="H991" t="s">
        <v>47</v>
      </c>
      <c r="I991" t="s">
        <v>54</v>
      </c>
      <c r="J991" t="s">
        <v>37</v>
      </c>
      <c r="K991" s="4">
        <v>45857</v>
      </c>
      <c r="L991" s="4">
        <v>46037</v>
      </c>
      <c r="M991" t="s">
        <v>38</v>
      </c>
      <c r="N991" t="s">
        <v>75</v>
      </c>
      <c r="O991">
        <v>0</v>
      </c>
      <c r="P991" t="s">
        <v>50</v>
      </c>
      <c r="Q991" s="4">
        <v>46317</v>
      </c>
      <c r="R991" t="s">
        <v>57</v>
      </c>
      <c r="S991" t="s">
        <v>38</v>
      </c>
      <c r="T991" t="s">
        <v>3153</v>
      </c>
      <c r="U991" t="s">
        <v>75</v>
      </c>
      <c r="V991" t="s">
        <v>3154</v>
      </c>
    </row>
    <row r="992" spans="1:22" x14ac:dyDescent="0.2">
      <c r="A992" t="s">
        <v>2048</v>
      </c>
      <c r="B992" t="s">
        <v>2049</v>
      </c>
      <c r="C992" t="s">
        <v>42</v>
      </c>
      <c r="D992" t="s">
        <v>43</v>
      </c>
      <c r="E992" t="s">
        <v>105</v>
      </c>
      <c r="F992" t="s">
        <v>34</v>
      </c>
      <c r="G992" t="s">
        <v>35</v>
      </c>
      <c r="H992" t="s">
        <v>88</v>
      </c>
      <c r="I992" t="s">
        <v>70</v>
      </c>
      <c r="J992" t="s">
        <v>63</v>
      </c>
      <c r="K992" s="4">
        <v>46194</v>
      </c>
      <c r="L992" s="4">
        <v>46374</v>
      </c>
      <c r="M992" t="s">
        <v>64</v>
      </c>
      <c r="N992" t="s">
        <v>49</v>
      </c>
      <c r="O992">
        <v>2</v>
      </c>
      <c r="P992" t="s">
        <v>62</v>
      </c>
      <c r="Q992" s="4">
        <v>46200</v>
      </c>
      <c r="R992" t="s">
        <v>38</v>
      </c>
      <c r="S992" t="s">
        <v>3155</v>
      </c>
      <c r="T992" t="s">
        <v>3153</v>
      </c>
      <c r="U992" t="s">
        <v>49</v>
      </c>
      <c r="V992" t="s">
        <v>3154</v>
      </c>
    </row>
    <row r="993" spans="1:22" x14ac:dyDescent="0.2">
      <c r="A993" t="s">
        <v>2050</v>
      </c>
      <c r="B993" t="s">
        <v>2051</v>
      </c>
      <c r="C993" t="s">
        <v>96</v>
      </c>
      <c r="D993" t="s">
        <v>97</v>
      </c>
      <c r="E993" t="s">
        <v>53</v>
      </c>
      <c r="F993" t="s">
        <v>67</v>
      </c>
      <c r="G993" t="s">
        <v>118</v>
      </c>
      <c r="H993" t="s">
        <v>36</v>
      </c>
      <c r="I993" t="s">
        <v>56</v>
      </c>
      <c r="J993" t="s">
        <v>48</v>
      </c>
      <c r="K993" s="4">
        <v>46220</v>
      </c>
      <c r="L993" s="4">
        <v>46310</v>
      </c>
      <c r="M993" t="s">
        <v>64</v>
      </c>
      <c r="N993" t="s">
        <v>55</v>
      </c>
      <c r="O993">
        <v>0</v>
      </c>
      <c r="P993" t="s">
        <v>39</v>
      </c>
      <c r="Q993" s="4">
        <v>46399</v>
      </c>
      <c r="R993" t="s">
        <v>57</v>
      </c>
      <c r="S993" t="s">
        <v>3155</v>
      </c>
      <c r="T993" t="s">
        <v>3153</v>
      </c>
      <c r="U993" t="s">
        <v>55</v>
      </c>
      <c r="V993" t="s">
        <v>3152</v>
      </c>
    </row>
    <row r="994" spans="1:22" x14ac:dyDescent="0.2">
      <c r="A994" t="s">
        <v>2052</v>
      </c>
      <c r="B994" t="s">
        <v>2053</v>
      </c>
      <c r="C994" t="s">
        <v>103</v>
      </c>
      <c r="D994" t="s">
        <v>104</v>
      </c>
      <c r="E994" t="s">
        <v>105</v>
      </c>
      <c r="F994" t="s">
        <v>67</v>
      </c>
      <c r="G994" t="s">
        <v>118</v>
      </c>
      <c r="H994" t="s">
        <v>47</v>
      </c>
      <c r="I994" t="s">
        <v>39</v>
      </c>
      <c r="J994" t="s">
        <v>63</v>
      </c>
      <c r="K994" s="4">
        <v>45849</v>
      </c>
      <c r="L994" s="4">
        <v>46029</v>
      </c>
      <c r="M994" t="s">
        <v>38</v>
      </c>
      <c r="N994" t="s">
        <v>55</v>
      </c>
      <c r="O994">
        <v>0</v>
      </c>
      <c r="P994" t="s">
        <v>106</v>
      </c>
      <c r="Q994" s="4">
        <v>46149</v>
      </c>
      <c r="R994" t="s">
        <v>57</v>
      </c>
      <c r="S994" t="s">
        <v>38</v>
      </c>
      <c r="T994" t="s">
        <v>3153</v>
      </c>
      <c r="U994" t="s">
        <v>55</v>
      </c>
      <c r="V994" t="s">
        <v>3154</v>
      </c>
    </row>
    <row r="995" spans="1:22" x14ac:dyDescent="0.2">
      <c r="A995" t="s">
        <v>2054</v>
      </c>
      <c r="B995" t="s">
        <v>2055</v>
      </c>
      <c r="C995" t="s">
        <v>31</v>
      </c>
      <c r="D995" t="s">
        <v>83</v>
      </c>
      <c r="E995" t="s">
        <v>80</v>
      </c>
      <c r="F995" t="s">
        <v>67</v>
      </c>
      <c r="G995" t="s">
        <v>68</v>
      </c>
      <c r="H995" t="s">
        <v>88</v>
      </c>
      <c r="I995" t="s">
        <v>39</v>
      </c>
      <c r="J995" t="s">
        <v>37</v>
      </c>
      <c r="K995" s="4">
        <v>45936</v>
      </c>
      <c r="L995" s="4">
        <v>46301</v>
      </c>
      <c r="M995" t="s">
        <v>84</v>
      </c>
      <c r="N995" t="s">
        <v>55</v>
      </c>
      <c r="O995">
        <v>2</v>
      </c>
      <c r="P995" t="s">
        <v>50</v>
      </c>
      <c r="Q995" s="4">
        <v>46137</v>
      </c>
      <c r="R995" t="s">
        <v>38</v>
      </c>
      <c r="S995" t="s">
        <v>3155</v>
      </c>
      <c r="T995" t="s">
        <v>3153</v>
      </c>
      <c r="U995" t="s">
        <v>55</v>
      </c>
      <c r="V995" t="s">
        <v>3154</v>
      </c>
    </row>
    <row r="996" spans="1:22" x14ac:dyDescent="0.2">
      <c r="A996" t="s">
        <v>2056</v>
      </c>
      <c r="B996" t="s">
        <v>2057</v>
      </c>
      <c r="C996" t="s">
        <v>31</v>
      </c>
      <c r="D996" t="s">
        <v>83</v>
      </c>
      <c r="E996" t="s">
        <v>44</v>
      </c>
      <c r="F996" t="s">
        <v>67</v>
      </c>
      <c r="G996" t="s">
        <v>118</v>
      </c>
      <c r="H996" t="s">
        <v>36</v>
      </c>
      <c r="I996" t="s">
        <v>39</v>
      </c>
      <c r="J996" t="s">
        <v>48</v>
      </c>
      <c r="K996" s="4">
        <v>46075</v>
      </c>
      <c r="L996" s="4">
        <v>46255</v>
      </c>
      <c r="M996" t="s">
        <v>38</v>
      </c>
      <c r="N996" t="s">
        <v>55</v>
      </c>
      <c r="O996">
        <v>2</v>
      </c>
      <c r="P996" t="s">
        <v>106</v>
      </c>
      <c r="Q996" s="4">
        <v>46373</v>
      </c>
      <c r="R996" t="s">
        <v>64</v>
      </c>
      <c r="S996" t="s">
        <v>38</v>
      </c>
      <c r="T996" t="s">
        <v>3153</v>
      </c>
      <c r="U996" t="s">
        <v>55</v>
      </c>
      <c r="V996" t="s">
        <v>3152</v>
      </c>
    </row>
    <row r="997" spans="1:22" x14ac:dyDescent="0.2">
      <c r="A997" t="s">
        <v>2058</v>
      </c>
      <c r="B997" t="s">
        <v>2059</v>
      </c>
      <c r="C997" t="s">
        <v>31</v>
      </c>
      <c r="D997" t="s">
        <v>83</v>
      </c>
      <c r="E997" t="s">
        <v>105</v>
      </c>
      <c r="F997" t="s">
        <v>34</v>
      </c>
      <c r="G997" t="s">
        <v>35</v>
      </c>
      <c r="H997" t="s">
        <v>36</v>
      </c>
      <c r="I997" t="s">
        <v>70</v>
      </c>
      <c r="J997" t="s">
        <v>37</v>
      </c>
      <c r="K997" s="4">
        <v>45844</v>
      </c>
      <c r="L997" s="4">
        <v>45934</v>
      </c>
      <c r="M997" t="s">
        <v>38</v>
      </c>
      <c r="N997" t="s">
        <v>49</v>
      </c>
      <c r="O997">
        <v>4</v>
      </c>
      <c r="P997" t="s">
        <v>39</v>
      </c>
      <c r="Q997" s="4">
        <v>46262</v>
      </c>
      <c r="R997" t="s">
        <v>38</v>
      </c>
      <c r="S997" t="s">
        <v>38</v>
      </c>
      <c r="T997" t="s">
        <v>3153</v>
      </c>
      <c r="U997" t="s">
        <v>49</v>
      </c>
      <c r="V997" t="s">
        <v>3152</v>
      </c>
    </row>
    <row r="998" spans="1:22" x14ac:dyDescent="0.2">
      <c r="A998" t="s">
        <v>2060</v>
      </c>
      <c r="B998" t="s">
        <v>2061</v>
      </c>
      <c r="C998" t="s">
        <v>31</v>
      </c>
      <c r="D998" t="s">
        <v>32</v>
      </c>
      <c r="E998" t="s">
        <v>80</v>
      </c>
      <c r="F998" t="s">
        <v>45</v>
      </c>
      <c r="G998" t="s">
        <v>46</v>
      </c>
      <c r="H998" t="s">
        <v>88</v>
      </c>
      <c r="I998" t="s">
        <v>39</v>
      </c>
      <c r="J998" t="s">
        <v>48</v>
      </c>
      <c r="K998" s="4">
        <v>45959</v>
      </c>
      <c r="L998" s="4">
        <v>46324</v>
      </c>
      <c r="M998" t="s">
        <v>64</v>
      </c>
      <c r="O998">
        <v>2</v>
      </c>
      <c r="P998" t="s">
        <v>39</v>
      </c>
      <c r="Q998" s="4">
        <v>46304</v>
      </c>
      <c r="R998" t="s">
        <v>64</v>
      </c>
      <c r="S998" t="s">
        <v>3155</v>
      </c>
      <c r="T998" t="s">
        <v>3153</v>
      </c>
      <c r="U998" t="s">
        <v>3151</v>
      </c>
      <c r="V998" t="s">
        <v>3154</v>
      </c>
    </row>
    <row r="999" spans="1:22" x14ac:dyDescent="0.2">
      <c r="A999" t="s">
        <v>2062</v>
      </c>
      <c r="B999" t="s">
        <v>2063</v>
      </c>
      <c r="C999" t="s">
        <v>31</v>
      </c>
      <c r="D999" t="s">
        <v>32</v>
      </c>
      <c r="E999" t="s">
        <v>60</v>
      </c>
      <c r="F999" t="s">
        <v>67</v>
      </c>
      <c r="G999" t="s">
        <v>68</v>
      </c>
      <c r="H999" t="s">
        <v>47</v>
      </c>
      <c r="I999" t="s">
        <v>62</v>
      </c>
      <c r="J999" t="s">
        <v>63</v>
      </c>
      <c r="K999" s="4">
        <v>45882</v>
      </c>
      <c r="L999" s="4">
        <v>46247</v>
      </c>
      <c r="M999" t="s">
        <v>38</v>
      </c>
      <c r="N999" t="s">
        <v>55</v>
      </c>
      <c r="O999">
        <v>1</v>
      </c>
      <c r="P999" t="s">
        <v>111</v>
      </c>
      <c r="Q999" s="4">
        <v>46133</v>
      </c>
      <c r="R999" t="s">
        <v>38</v>
      </c>
      <c r="S999" t="s">
        <v>38</v>
      </c>
      <c r="T999" t="s">
        <v>3153</v>
      </c>
      <c r="U999" t="s">
        <v>55</v>
      </c>
      <c r="V999" t="s">
        <v>3154</v>
      </c>
    </row>
    <row r="1000" spans="1:22" x14ac:dyDescent="0.2">
      <c r="A1000" t="s">
        <v>2064</v>
      </c>
      <c r="B1000" t="s">
        <v>2065</v>
      </c>
      <c r="C1000" t="s">
        <v>96</v>
      </c>
      <c r="D1000" t="s">
        <v>97</v>
      </c>
      <c r="E1000" t="s">
        <v>53</v>
      </c>
      <c r="F1000" t="s">
        <v>34</v>
      </c>
      <c r="G1000" t="s">
        <v>35</v>
      </c>
      <c r="H1000" t="s">
        <v>88</v>
      </c>
      <c r="I1000" t="s">
        <v>62</v>
      </c>
      <c r="J1000" t="s">
        <v>48</v>
      </c>
      <c r="K1000" s="4">
        <v>46045</v>
      </c>
      <c r="L1000" s="4">
        <v>46410</v>
      </c>
      <c r="M1000" t="s">
        <v>64</v>
      </c>
      <c r="N1000" t="s">
        <v>75</v>
      </c>
      <c r="O1000">
        <v>2</v>
      </c>
      <c r="P1000" t="s">
        <v>111</v>
      </c>
      <c r="Q1000" s="4">
        <v>46291</v>
      </c>
      <c r="R1000" t="s">
        <v>38</v>
      </c>
      <c r="S1000" t="s">
        <v>3155</v>
      </c>
      <c r="T1000" t="s">
        <v>3153</v>
      </c>
      <c r="U1000" t="s">
        <v>75</v>
      </c>
      <c r="V1000" t="s">
        <v>3154</v>
      </c>
    </row>
    <row r="1001" spans="1:22" x14ac:dyDescent="0.2">
      <c r="A1001" t="s">
        <v>2066</v>
      </c>
      <c r="B1001" t="s">
        <v>2067</v>
      </c>
      <c r="C1001" t="s">
        <v>42</v>
      </c>
      <c r="D1001" t="s">
        <v>43</v>
      </c>
      <c r="E1001" t="s">
        <v>44</v>
      </c>
      <c r="F1001" t="s">
        <v>34</v>
      </c>
      <c r="G1001" t="s">
        <v>35</v>
      </c>
      <c r="H1001" t="s">
        <v>47</v>
      </c>
      <c r="I1001" t="s">
        <v>50</v>
      </c>
      <c r="J1001" t="s">
        <v>48</v>
      </c>
      <c r="K1001" s="4">
        <v>46077</v>
      </c>
      <c r="L1001" s="4">
        <v>46257</v>
      </c>
      <c r="M1001" t="s">
        <v>38</v>
      </c>
      <c r="N1001" t="s">
        <v>55</v>
      </c>
      <c r="O1001">
        <v>2</v>
      </c>
      <c r="P1001" t="s">
        <v>111</v>
      </c>
      <c r="Q1001" s="4">
        <v>46125</v>
      </c>
      <c r="R1001" t="s">
        <v>38</v>
      </c>
      <c r="S1001" t="s">
        <v>38</v>
      </c>
      <c r="T1001" t="s">
        <v>3153</v>
      </c>
      <c r="U1001" t="s">
        <v>55</v>
      </c>
      <c r="V1001" t="s">
        <v>3154</v>
      </c>
    </row>
    <row r="1002" spans="1:22" x14ac:dyDescent="0.2">
      <c r="A1002" t="s">
        <v>2068</v>
      </c>
      <c r="B1002" t="s">
        <v>2069</v>
      </c>
      <c r="C1002" t="s">
        <v>78</v>
      </c>
      <c r="D1002" t="s">
        <v>79</v>
      </c>
      <c r="E1002" t="s">
        <v>80</v>
      </c>
      <c r="F1002" t="s">
        <v>67</v>
      </c>
      <c r="G1002" t="s">
        <v>68</v>
      </c>
      <c r="H1002" t="s">
        <v>47</v>
      </c>
      <c r="I1002" t="s">
        <v>106</v>
      </c>
      <c r="J1002" t="s">
        <v>37</v>
      </c>
      <c r="K1002" s="4">
        <v>46169</v>
      </c>
      <c r="L1002" s="4">
        <v>46349</v>
      </c>
      <c r="M1002" t="s">
        <v>64</v>
      </c>
      <c r="N1002" t="s">
        <v>75</v>
      </c>
      <c r="O1002">
        <v>3</v>
      </c>
      <c r="P1002" t="s">
        <v>106</v>
      </c>
      <c r="Q1002" s="4">
        <v>46346</v>
      </c>
      <c r="R1002" t="s">
        <v>84</v>
      </c>
      <c r="S1002" t="s">
        <v>3155</v>
      </c>
      <c r="T1002" t="s">
        <v>3153</v>
      </c>
      <c r="U1002" t="s">
        <v>75</v>
      </c>
      <c r="V1002" t="s">
        <v>3154</v>
      </c>
    </row>
    <row r="1003" spans="1:22" x14ac:dyDescent="0.2">
      <c r="A1003" t="s">
        <v>2070</v>
      </c>
      <c r="B1003" t="s">
        <v>2071</v>
      </c>
      <c r="C1003" t="s">
        <v>73</v>
      </c>
      <c r="D1003" t="s">
        <v>74</v>
      </c>
      <c r="E1003" t="s">
        <v>44</v>
      </c>
      <c r="F1003" t="s">
        <v>67</v>
      </c>
      <c r="G1003" t="s">
        <v>118</v>
      </c>
      <c r="H1003" t="s">
        <v>36</v>
      </c>
      <c r="I1003" t="s">
        <v>54</v>
      </c>
      <c r="J1003" t="s">
        <v>63</v>
      </c>
      <c r="K1003" s="4">
        <v>46150</v>
      </c>
      <c r="L1003" s="4">
        <v>46240</v>
      </c>
      <c r="M1003" t="s">
        <v>38</v>
      </c>
      <c r="N1003" t="s">
        <v>49</v>
      </c>
      <c r="O1003">
        <v>1</v>
      </c>
      <c r="P1003" t="s">
        <v>62</v>
      </c>
      <c r="Q1003" s="4">
        <v>46406</v>
      </c>
      <c r="R1003" t="s">
        <v>64</v>
      </c>
      <c r="S1003" t="s">
        <v>38</v>
      </c>
      <c r="T1003" t="s">
        <v>3153</v>
      </c>
      <c r="U1003" t="s">
        <v>49</v>
      </c>
      <c r="V1003" t="s">
        <v>3152</v>
      </c>
    </row>
    <row r="1004" spans="1:22" x14ac:dyDescent="0.2">
      <c r="A1004" t="s">
        <v>2072</v>
      </c>
      <c r="B1004" t="s">
        <v>2073</v>
      </c>
      <c r="C1004" t="s">
        <v>73</v>
      </c>
      <c r="D1004" t="s">
        <v>74</v>
      </c>
      <c r="E1004" t="s">
        <v>44</v>
      </c>
      <c r="F1004" t="s">
        <v>67</v>
      </c>
      <c r="G1004" t="s">
        <v>118</v>
      </c>
      <c r="H1004" t="s">
        <v>88</v>
      </c>
      <c r="I1004" t="s">
        <v>111</v>
      </c>
      <c r="J1004" t="s">
        <v>48</v>
      </c>
      <c r="K1004" s="4">
        <v>46220</v>
      </c>
      <c r="L1004" s="4">
        <v>46585</v>
      </c>
      <c r="M1004" t="s">
        <v>69</v>
      </c>
      <c r="N1004" t="s">
        <v>49</v>
      </c>
      <c r="O1004">
        <v>3</v>
      </c>
      <c r="P1004" t="s">
        <v>62</v>
      </c>
      <c r="Q1004" s="4">
        <v>46141</v>
      </c>
      <c r="R1004" t="s">
        <v>64</v>
      </c>
      <c r="S1004" t="s">
        <v>3155</v>
      </c>
      <c r="T1004" t="s">
        <v>3153</v>
      </c>
      <c r="U1004" t="s">
        <v>49</v>
      </c>
      <c r="V1004" t="s">
        <v>3154</v>
      </c>
    </row>
    <row r="1005" spans="1:22" x14ac:dyDescent="0.2">
      <c r="A1005" t="s">
        <v>2074</v>
      </c>
      <c r="B1005" t="s">
        <v>2075</v>
      </c>
      <c r="C1005" t="s">
        <v>31</v>
      </c>
      <c r="D1005" t="s">
        <v>83</v>
      </c>
      <c r="E1005" t="s">
        <v>44</v>
      </c>
      <c r="F1005" t="s">
        <v>34</v>
      </c>
      <c r="G1005" t="s">
        <v>35</v>
      </c>
      <c r="H1005" t="s">
        <v>98</v>
      </c>
      <c r="I1005" t="s">
        <v>39</v>
      </c>
      <c r="J1005" t="s">
        <v>37</v>
      </c>
      <c r="K1005" s="4">
        <v>45920</v>
      </c>
      <c r="L1005" s="4">
        <v>46010</v>
      </c>
      <c r="M1005" t="s">
        <v>38</v>
      </c>
      <c r="N1005" t="s">
        <v>75</v>
      </c>
      <c r="O1005">
        <v>4</v>
      </c>
      <c r="P1005" t="s">
        <v>54</v>
      </c>
      <c r="Q1005" s="4">
        <v>46203</v>
      </c>
      <c r="R1005" t="s">
        <v>64</v>
      </c>
      <c r="S1005" t="s">
        <v>38</v>
      </c>
      <c r="T1005" t="s">
        <v>3153</v>
      </c>
      <c r="U1005" t="s">
        <v>75</v>
      </c>
      <c r="V1005" t="s">
        <v>3152</v>
      </c>
    </row>
    <row r="1006" spans="1:22" x14ac:dyDescent="0.2">
      <c r="A1006" t="s">
        <v>2076</v>
      </c>
      <c r="B1006" t="s">
        <v>2077</v>
      </c>
      <c r="C1006" t="s">
        <v>31</v>
      </c>
      <c r="D1006" t="s">
        <v>32</v>
      </c>
      <c r="E1006" t="s">
        <v>53</v>
      </c>
      <c r="F1006" t="s">
        <v>45</v>
      </c>
      <c r="G1006" t="s">
        <v>61</v>
      </c>
      <c r="H1006" t="s">
        <v>88</v>
      </c>
      <c r="I1006" t="s">
        <v>50</v>
      </c>
      <c r="J1006" t="s">
        <v>48</v>
      </c>
      <c r="K1006" s="4">
        <v>45885</v>
      </c>
      <c r="L1006" s="4">
        <v>46065</v>
      </c>
      <c r="M1006" t="s">
        <v>38</v>
      </c>
      <c r="N1006" t="s">
        <v>75</v>
      </c>
      <c r="O1006">
        <v>0</v>
      </c>
      <c r="P1006" t="s">
        <v>39</v>
      </c>
      <c r="Q1006" s="4">
        <v>46164</v>
      </c>
      <c r="R1006" t="s">
        <v>57</v>
      </c>
      <c r="S1006" t="s">
        <v>38</v>
      </c>
      <c r="T1006" t="s">
        <v>3153</v>
      </c>
      <c r="U1006" t="s">
        <v>75</v>
      </c>
      <c r="V1006" t="s">
        <v>3154</v>
      </c>
    </row>
    <row r="1007" spans="1:22" x14ac:dyDescent="0.2">
      <c r="A1007" t="s">
        <v>2078</v>
      </c>
      <c r="B1007" t="s">
        <v>2079</v>
      </c>
      <c r="C1007" t="s">
        <v>73</v>
      </c>
      <c r="D1007" t="s">
        <v>74</v>
      </c>
      <c r="E1007" t="s">
        <v>105</v>
      </c>
      <c r="F1007" t="s">
        <v>45</v>
      </c>
      <c r="G1007" t="s">
        <v>61</v>
      </c>
      <c r="H1007" t="s">
        <v>88</v>
      </c>
      <c r="I1007" t="s">
        <v>106</v>
      </c>
      <c r="J1007" t="s">
        <v>37</v>
      </c>
      <c r="K1007" s="4">
        <v>46172</v>
      </c>
      <c r="L1007" s="4">
        <v>46537</v>
      </c>
      <c r="M1007" t="s">
        <v>64</v>
      </c>
      <c r="N1007" t="s">
        <v>55</v>
      </c>
      <c r="O1007">
        <v>2</v>
      </c>
      <c r="P1007" t="s">
        <v>111</v>
      </c>
      <c r="Q1007" s="4">
        <v>46148</v>
      </c>
      <c r="R1007" t="s">
        <v>38</v>
      </c>
      <c r="S1007" t="s">
        <v>3155</v>
      </c>
      <c r="T1007" t="s">
        <v>3153</v>
      </c>
      <c r="U1007" t="s">
        <v>55</v>
      </c>
      <c r="V1007" t="s">
        <v>3154</v>
      </c>
    </row>
    <row r="1008" spans="1:22" x14ac:dyDescent="0.2">
      <c r="A1008" t="s">
        <v>2080</v>
      </c>
      <c r="B1008" t="s">
        <v>2081</v>
      </c>
      <c r="C1008" t="s">
        <v>78</v>
      </c>
      <c r="D1008" t="s">
        <v>79</v>
      </c>
      <c r="E1008" t="s">
        <v>53</v>
      </c>
      <c r="F1008" t="s">
        <v>67</v>
      </c>
      <c r="G1008" t="s">
        <v>68</v>
      </c>
      <c r="H1008" t="s">
        <v>88</v>
      </c>
      <c r="I1008" t="s">
        <v>50</v>
      </c>
      <c r="J1008" t="s">
        <v>63</v>
      </c>
      <c r="K1008" s="4">
        <v>45814</v>
      </c>
      <c r="L1008" s="4">
        <v>45904</v>
      </c>
      <c r="M1008" t="s">
        <v>38</v>
      </c>
      <c r="N1008" t="s">
        <v>55</v>
      </c>
      <c r="O1008">
        <v>3</v>
      </c>
      <c r="P1008" t="s">
        <v>111</v>
      </c>
      <c r="Q1008" s="4">
        <v>46175</v>
      </c>
      <c r="R1008" t="s">
        <v>38</v>
      </c>
      <c r="S1008" t="s">
        <v>38</v>
      </c>
      <c r="T1008" t="s">
        <v>3153</v>
      </c>
      <c r="U1008" t="s">
        <v>55</v>
      </c>
      <c r="V1008" t="s">
        <v>3154</v>
      </c>
    </row>
    <row r="1009" spans="1:22" x14ac:dyDescent="0.2">
      <c r="A1009" t="s">
        <v>2082</v>
      </c>
      <c r="B1009" t="s">
        <v>2083</v>
      </c>
      <c r="C1009" t="s">
        <v>78</v>
      </c>
      <c r="D1009" t="s">
        <v>79</v>
      </c>
      <c r="E1009" t="s">
        <v>91</v>
      </c>
      <c r="F1009" t="s">
        <v>34</v>
      </c>
      <c r="G1009" t="s">
        <v>35</v>
      </c>
      <c r="H1009" t="s">
        <v>36</v>
      </c>
      <c r="I1009" t="s">
        <v>54</v>
      </c>
      <c r="J1009" t="s">
        <v>37</v>
      </c>
      <c r="K1009" s="4">
        <v>46217</v>
      </c>
      <c r="L1009" s="4">
        <v>46582</v>
      </c>
      <c r="M1009" t="s">
        <v>69</v>
      </c>
      <c r="N1009" t="s">
        <v>55</v>
      </c>
      <c r="O1009">
        <v>0</v>
      </c>
      <c r="P1009" t="s">
        <v>111</v>
      </c>
      <c r="Q1009" s="4">
        <v>46184</v>
      </c>
      <c r="R1009" t="s">
        <v>57</v>
      </c>
      <c r="S1009" t="s">
        <v>3155</v>
      </c>
      <c r="T1009" t="s">
        <v>3153</v>
      </c>
      <c r="U1009" t="s">
        <v>55</v>
      </c>
      <c r="V1009" t="s">
        <v>3152</v>
      </c>
    </row>
    <row r="1010" spans="1:22" x14ac:dyDescent="0.2">
      <c r="A1010" t="s">
        <v>2084</v>
      </c>
      <c r="B1010" t="s">
        <v>2085</v>
      </c>
      <c r="C1010" t="s">
        <v>96</v>
      </c>
      <c r="D1010" t="s">
        <v>97</v>
      </c>
      <c r="E1010" t="s">
        <v>60</v>
      </c>
      <c r="F1010" t="s">
        <v>45</v>
      </c>
      <c r="G1010" t="s">
        <v>46</v>
      </c>
      <c r="H1010" t="s">
        <v>88</v>
      </c>
      <c r="I1010" t="s">
        <v>106</v>
      </c>
      <c r="J1010" t="s">
        <v>63</v>
      </c>
      <c r="K1010" s="4">
        <v>45799</v>
      </c>
      <c r="L1010" s="4">
        <v>45979</v>
      </c>
      <c r="M1010" t="s">
        <v>38</v>
      </c>
      <c r="N1010" t="s">
        <v>49</v>
      </c>
      <c r="O1010">
        <v>1</v>
      </c>
      <c r="P1010" t="s">
        <v>106</v>
      </c>
      <c r="Q1010" s="4">
        <v>46344</v>
      </c>
      <c r="R1010" t="s">
        <v>84</v>
      </c>
      <c r="S1010" t="s">
        <v>38</v>
      </c>
      <c r="T1010" t="s">
        <v>3153</v>
      </c>
      <c r="U1010" t="s">
        <v>49</v>
      </c>
      <c r="V1010" t="s">
        <v>3154</v>
      </c>
    </row>
    <row r="1011" spans="1:22" x14ac:dyDescent="0.2">
      <c r="A1011" t="s">
        <v>2086</v>
      </c>
      <c r="B1011" t="s">
        <v>2087</v>
      </c>
      <c r="C1011" t="s">
        <v>103</v>
      </c>
      <c r="D1011" t="s">
        <v>104</v>
      </c>
      <c r="E1011" t="s">
        <v>53</v>
      </c>
      <c r="F1011" t="s">
        <v>67</v>
      </c>
      <c r="G1011" t="s">
        <v>68</v>
      </c>
      <c r="H1011" t="s">
        <v>47</v>
      </c>
      <c r="I1011" t="s">
        <v>50</v>
      </c>
      <c r="J1011" t="s">
        <v>37</v>
      </c>
      <c r="K1011" s="4">
        <v>45956</v>
      </c>
      <c r="L1011" s="4">
        <v>46136</v>
      </c>
      <c r="M1011" t="s">
        <v>38</v>
      </c>
      <c r="N1011" t="s">
        <v>49</v>
      </c>
      <c r="O1011">
        <v>3</v>
      </c>
      <c r="P1011" t="s">
        <v>56</v>
      </c>
      <c r="Q1011" s="4">
        <v>46191</v>
      </c>
      <c r="R1011" t="s">
        <v>64</v>
      </c>
      <c r="S1011" t="s">
        <v>38</v>
      </c>
      <c r="T1011" t="s">
        <v>3153</v>
      </c>
      <c r="U1011" t="s">
        <v>49</v>
      </c>
      <c r="V1011" t="s">
        <v>3154</v>
      </c>
    </row>
    <row r="1012" spans="1:22" x14ac:dyDescent="0.2">
      <c r="A1012" t="s">
        <v>2088</v>
      </c>
      <c r="B1012" t="s">
        <v>2089</v>
      </c>
      <c r="C1012" t="s">
        <v>42</v>
      </c>
      <c r="D1012" t="s">
        <v>43</v>
      </c>
      <c r="E1012" t="s">
        <v>53</v>
      </c>
      <c r="F1012" t="s">
        <v>34</v>
      </c>
      <c r="G1012" t="s">
        <v>35</v>
      </c>
      <c r="H1012" t="s">
        <v>88</v>
      </c>
      <c r="I1012" t="s">
        <v>111</v>
      </c>
      <c r="J1012" t="s">
        <v>48</v>
      </c>
      <c r="K1012" s="4">
        <v>46267</v>
      </c>
      <c r="L1012" s="4">
        <v>46632</v>
      </c>
      <c r="M1012" t="s">
        <v>69</v>
      </c>
      <c r="N1012" t="s">
        <v>55</v>
      </c>
      <c r="O1012">
        <v>2</v>
      </c>
      <c r="P1012" t="s">
        <v>111</v>
      </c>
      <c r="Q1012" s="4">
        <v>46244</v>
      </c>
      <c r="R1012" t="s">
        <v>64</v>
      </c>
      <c r="S1012" t="s">
        <v>3155</v>
      </c>
      <c r="T1012" t="s">
        <v>3153</v>
      </c>
      <c r="U1012" t="s">
        <v>55</v>
      </c>
      <c r="V1012" t="s">
        <v>3154</v>
      </c>
    </row>
    <row r="1013" spans="1:22" x14ac:dyDescent="0.2">
      <c r="A1013" t="s">
        <v>2090</v>
      </c>
      <c r="B1013" t="s">
        <v>2091</v>
      </c>
      <c r="C1013" t="s">
        <v>73</v>
      </c>
      <c r="D1013" t="s">
        <v>74</v>
      </c>
      <c r="E1013" t="s">
        <v>105</v>
      </c>
      <c r="F1013" t="s">
        <v>67</v>
      </c>
      <c r="G1013" t="s">
        <v>68</v>
      </c>
      <c r="H1013" t="s">
        <v>88</v>
      </c>
      <c r="I1013" t="s">
        <v>56</v>
      </c>
      <c r="J1013" t="s">
        <v>48</v>
      </c>
      <c r="K1013" s="4">
        <v>46141</v>
      </c>
      <c r="L1013" s="4">
        <v>46321</v>
      </c>
      <c r="M1013" t="s">
        <v>69</v>
      </c>
      <c r="N1013" t="s">
        <v>55</v>
      </c>
      <c r="O1013">
        <v>2</v>
      </c>
      <c r="P1013" t="s">
        <v>50</v>
      </c>
      <c r="Q1013" s="4">
        <v>46349</v>
      </c>
      <c r="R1013" t="s">
        <v>84</v>
      </c>
      <c r="S1013" t="s">
        <v>3155</v>
      </c>
      <c r="T1013" t="s">
        <v>3153</v>
      </c>
      <c r="U1013" t="s">
        <v>55</v>
      </c>
      <c r="V1013" t="s">
        <v>3154</v>
      </c>
    </row>
    <row r="1014" spans="1:22" x14ac:dyDescent="0.2">
      <c r="A1014" t="s">
        <v>2092</v>
      </c>
      <c r="B1014" t="s">
        <v>2093</v>
      </c>
      <c r="C1014" t="s">
        <v>42</v>
      </c>
      <c r="D1014" t="s">
        <v>43</v>
      </c>
      <c r="E1014" t="s">
        <v>91</v>
      </c>
      <c r="F1014" t="s">
        <v>34</v>
      </c>
      <c r="G1014" t="s">
        <v>35</v>
      </c>
      <c r="H1014" t="s">
        <v>88</v>
      </c>
      <c r="I1014" t="s">
        <v>56</v>
      </c>
      <c r="J1014" t="s">
        <v>37</v>
      </c>
      <c r="K1014" s="4">
        <v>46081</v>
      </c>
      <c r="L1014" s="4">
        <v>46171</v>
      </c>
      <c r="M1014" t="s">
        <v>38</v>
      </c>
      <c r="N1014" t="s">
        <v>75</v>
      </c>
      <c r="O1014">
        <v>3</v>
      </c>
      <c r="P1014" t="s">
        <v>106</v>
      </c>
      <c r="Q1014" s="4">
        <v>46313</v>
      </c>
      <c r="R1014" t="s">
        <v>64</v>
      </c>
      <c r="S1014" t="s">
        <v>38</v>
      </c>
      <c r="T1014" t="s">
        <v>3153</v>
      </c>
      <c r="U1014" t="s">
        <v>75</v>
      </c>
      <c r="V1014" t="s">
        <v>3154</v>
      </c>
    </row>
    <row r="1015" spans="1:22" x14ac:dyDescent="0.2">
      <c r="A1015" t="s">
        <v>2094</v>
      </c>
      <c r="B1015" t="s">
        <v>2095</v>
      </c>
      <c r="C1015" t="s">
        <v>96</v>
      </c>
      <c r="D1015" t="s">
        <v>97</v>
      </c>
      <c r="E1015" t="s">
        <v>80</v>
      </c>
      <c r="F1015" t="s">
        <v>67</v>
      </c>
      <c r="G1015" t="s">
        <v>118</v>
      </c>
      <c r="H1015" t="s">
        <v>36</v>
      </c>
      <c r="I1015" t="s">
        <v>50</v>
      </c>
      <c r="J1015" t="s">
        <v>48</v>
      </c>
      <c r="K1015" s="4">
        <v>46098</v>
      </c>
      <c r="L1015" s="4">
        <v>46463</v>
      </c>
      <c r="M1015" t="s">
        <v>64</v>
      </c>
      <c r="N1015" t="s">
        <v>55</v>
      </c>
      <c r="O1015">
        <v>3</v>
      </c>
      <c r="P1015" t="s">
        <v>106</v>
      </c>
      <c r="Q1015" s="4">
        <v>46259</v>
      </c>
      <c r="R1015" t="s">
        <v>64</v>
      </c>
      <c r="S1015" t="s">
        <v>3155</v>
      </c>
      <c r="T1015" t="s">
        <v>3153</v>
      </c>
      <c r="U1015" t="s">
        <v>55</v>
      </c>
      <c r="V1015" t="s">
        <v>3152</v>
      </c>
    </row>
    <row r="1016" spans="1:22" x14ac:dyDescent="0.2">
      <c r="A1016" t="s">
        <v>2096</v>
      </c>
      <c r="B1016" t="s">
        <v>2097</v>
      </c>
      <c r="C1016" t="s">
        <v>103</v>
      </c>
      <c r="D1016" t="s">
        <v>104</v>
      </c>
      <c r="E1016" t="s">
        <v>105</v>
      </c>
      <c r="F1016" t="s">
        <v>34</v>
      </c>
      <c r="G1016" t="s">
        <v>35</v>
      </c>
      <c r="H1016" t="s">
        <v>36</v>
      </c>
      <c r="I1016" t="s">
        <v>70</v>
      </c>
      <c r="J1016" t="s">
        <v>48</v>
      </c>
      <c r="K1016" s="4">
        <v>46151</v>
      </c>
      <c r="L1016" s="4">
        <v>46241</v>
      </c>
      <c r="M1016" t="s">
        <v>38</v>
      </c>
      <c r="N1016" t="s">
        <v>55</v>
      </c>
      <c r="O1016">
        <v>2</v>
      </c>
      <c r="P1016" t="s">
        <v>70</v>
      </c>
      <c r="Q1016" s="4">
        <v>46148</v>
      </c>
      <c r="R1016" t="s">
        <v>64</v>
      </c>
      <c r="S1016" t="s">
        <v>38</v>
      </c>
      <c r="T1016" t="s">
        <v>3153</v>
      </c>
      <c r="U1016" t="s">
        <v>55</v>
      </c>
      <c r="V1016" t="s">
        <v>3152</v>
      </c>
    </row>
    <row r="1017" spans="1:22" x14ac:dyDescent="0.2">
      <c r="A1017" t="s">
        <v>2098</v>
      </c>
      <c r="B1017" t="s">
        <v>2099</v>
      </c>
      <c r="C1017" t="s">
        <v>31</v>
      </c>
      <c r="D1017" t="s">
        <v>87</v>
      </c>
      <c r="E1017" t="s">
        <v>91</v>
      </c>
      <c r="F1017" t="s">
        <v>45</v>
      </c>
      <c r="G1017" t="s">
        <v>46</v>
      </c>
      <c r="H1017" t="s">
        <v>36</v>
      </c>
      <c r="I1017" t="s">
        <v>70</v>
      </c>
      <c r="J1017" t="s">
        <v>48</v>
      </c>
      <c r="K1017" s="4">
        <v>46196</v>
      </c>
      <c r="L1017" s="4">
        <v>46561</v>
      </c>
      <c r="M1017" t="s">
        <v>69</v>
      </c>
      <c r="N1017" t="s">
        <v>49</v>
      </c>
      <c r="O1017">
        <v>2</v>
      </c>
      <c r="P1017" t="s">
        <v>54</v>
      </c>
      <c r="Q1017" s="4">
        <v>46169</v>
      </c>
      <c r="R1017" t="s">
        <v>38</v>
      </c>
      <c r="S1017" t="s">
        <v>3155</v>
      </c>
      <c r="T1017" t="s">
        <v>3153</v>
      </c>
      <c r="U1017" t="s">
        <v>49</v>
      </c>
      <c r="V1017" t="s">
        <v>3152</v>
      </c>
    </row>
    <row r="1018" spans="1:22" x14ac:dyDescent="0.2">
      <c r="A1018" t="s">
        <v>2100</v>
      </c>
      <c r="B1018" t="s">
        <v>2101</v>
      </c>
      <c r="C1018" t="s">
        <v>78</v>
      </c>
      <c r="D1018" t="s">
        <v>79</v>
      </c>
      <c r="E1018" t="s">
        <v>44</v>
      </c>
      <c r="F1018" t="s">
        <v>34</v>
      </c>
      <c r="G1018" t="s">
        <v>35</v>
      </c>
      <c r="H1018" t="s">
        <v>47</v>
      </c>
      <c r="I1018" t="s">
        <v>70</v>
      </c>
      <c r="J1018" t="s">
        <v>63</v>
      </c>
      <c r="K1018" s="4">
        <v>46274</v>
      </c>
      <c r="L1018" s="4">
        <v>46454</v>
      </c>
      <c r="M1018" t="s">
        <v>84</v>
      </c>
      <c r="N1018" t="s">
        <v>55</v>
      </c>
      <c r="O1018">
        <v>0</v>
      </c>
      <c r="P1018" t="s">
        <v>54</v>
      </c>
      <c r="Q1018" s="4">
        <v>46155</v>
      </c>
      <c r="R1018" t="s">
        <v>57</v>
      </c>
      <c r="S1018" t="s">
        <v>3155</v>
      </c>
      <c r="T1018" t="s">
        <v>3153</v>
      </c>
      <c r="U1018" t="s">
        <v>55</v>
      </c>
      <c r="V1018" t="s">
        <v>3154</v>
      </c>
    </row>
    <row r="1019" spans="1:22" x14ac:dyDescent="0.2">
      <c r="A1019" t="s">
        <v>2102</v>
      </c>
      <c r="B1019" t="s">
        <v>2103</v>
      </c>
      <c r="C1019" t="s">
        <v>31</v>
      </c>
      <c r="D1019" t="s">
        <v>87</v>
      </c>
      <c r="E1019" t="s">
        <v>91</v>
      </c>
      <c r="F1019" t="s">
        <v>67</v>
      </c>
      <c r="G1019" t="s">
        <v>68</v>
      </c>
      <c r="H1019" t="s">
        <v>98</v>
      </c>
      <c r="I1019" t="s">
        <v>50</v>
      </c>
      <c r="J1019" t="s">
        <v>48</v>
      </c>
      <c r="K1019" s="4">
        <v>46035</v>
      </c>
      <c r="L1019" s="4">
        <v>46215</v>
      </c>
      <c r="M1019" t="s">
        <v>38</v>
      </c>
      <c r="N1019" t="s">
        <v>49</v>
      </c>
      <c r="O1019">
        <v>5</v>
      </c>
      <c r="P1019" t="s">
        <v>54</v>
      </c>
      <c r="Q1019" s="4">
        <v>46146</v>
      </c>
      <c r="R1019" t="s">
        <v>38</v>
      </c>
      <c r="S1019" t="s">
        <v>38</v>
      </c>
      <c r="T1019" t="s">
        <v>3153</v>
      </c>
      <c r="U1019" t="s">
        <v>49</v>
      </c>
      <c r="V1019" t="s">
        <v>3152</v>
      </c>
    </row>
    <row r="1020" spans="1:22" x14ac:dyDescent="0.2">
      <c r="A1020" t="s">
        <v>2104</v>
      </c>
      <c r="B1020" t="s">
        <v>2105</v>
      </c>
      <c r="C1020" t="s">
        <v>31</v>
      </c>
      <c r="D1020" t="s">
        <v>83</v>
      </c>
      <c r="E1020" t="s">
        <v>60</v>
      </c>
      <c r="F1020" t="s">
        <v>67</v>
      </c>
      <c r="G1020" t="s">
        <v>68</v>
      </c>
      <c r="H1020" t="s">
        <v>88</v>
      </c>
      <c r="I1020" t="s">
        <v>54</v>
      </c>
      <c r="J1020" t="s">
        <v>37</v>
      </c>
      <c r="K1020" s="4">
        <v>45917</v>
      </c>
      <c r="L1020" s="4">
        <v>46007</v>
      </c>
      <c r="M1020" t="s">
        <v>38</v>
      </c>
      <c r="N1020" t="s">
        <v>49</v>
      </c>
      <c r="O1020">
        <v>0</v>
      </c>
      <c r="P1020" t="s">
        <v>54</v>
      </c>
      <c r="Q1020" s="4">
        <v>46211</v>
      </c>
      <c r="R1020" t="s">
        <v>57</v>
      </c>
      <c r="S1020" t="s">
        <v>38</v>
      </c>
      <c r="T1020" t="s">
        <v>3153</v>
      </c>
      <c r="U1020" t="s">
        <v>49</v>
      </c>
      <c r="V1020" t="s">
        <v>3154</v>
      </c>
    </row>
    <row r="1021" spans="1:22" x14ac:dyDescent="0.2">
      <c r="A1021" t="s">
        <v>2106</v>
      </c>
      <c r="B1021" t="s">
        <v>2107</v>
      </c>
      <c r="C1021" t="s">
        <v>42</v>
      </c>
      <c r="D1021" t="s">
        <v>43</v>
      </c>
      <c r="E1021" t="s">
        <v>91</v>
      </c>
      <c r="F1021" t="s">
        <v>45</v>
      </c>
      <c r="G1021" t="s">
        <v>61</v>
      </c>
      <c r="H1021" t="s">
        <v>36</v>
      </c>
      <c r="I1021" t="s">
        <v>56</v>
      </c>
      <c r="J1021" t="s">
        <v>37</v>
      </c>
      <c r="K1021" s="4">
        <v>45968</v>
      </c>
      <c r="L1021" s="4">
        <v>46148</v>
      </c>
      <c r="M1021" t="s">
        <v>38</v>
      </c>
      <c r="N1021" t="s">
        <v>49</v>
      </c>
      <c r="O1021">
        <v>5</v>
      </c>
      <c r="P1021" t="s">
        <v>54</v>
      </c>
      <c r="Q1021" s="4">
        <v>46261</v>
      </c>
      <c r="R1021" t="s">
        <v>64</v>
      </c>
      <c r="S1021" t="s">
        <v>38</v>
      </c>
      <c r="T1021" t="s">
        <v>3153</v>
      </c>
      <c r="U1021" t="s">
        <v>49</v>
      </c>
      <c r="V1021" t="s">
        <v>3152</v>
      </c>
    </row>
    <row r="1022" spans="1:22" x14ac:dyDescent="0.2">
      <c r="A1022" t="s">
        <v>2108</v>
      </c>
      <c r="B1022" t="s">
        <v>2109</v>
      </c>
      <c r="C1022" t="s">
        <v>96</v>
      </c>
      <c r="D1022" t="s">
        <v>97</v>
      </c>
      <c r="E1022" t="s">
        <v>91</v>
      </c>
      <c r="F1022" t="s">
        <v>34</v>
      </c>
      <c r="G1022" t="s">
        <v>35</v>
      </c>
      <c r="H1022" t="s">
        <v>36</v>
      </c>
      <c r="I1022" t="s">
        <v>56</v>
      </c>
      <c r="J1022" t="s">
        <v>63</v>
      </c>
      <c r="K1022" s="4">
        <v>46131</v>
      </c>
      <c r="L1022" s="4">
        <v>46221</v>
      </c>
      <c r="M1022" t="s">
        <v>38</v>
      </c>
      <c r="N1022" t="s">
        <v>55</v>
      </c>
      <c r="O1022">
        <v>0</v>
      </c>
      <c r="P1022" t="s">
        <v>39</v>
      </c>
      <c r="Q1022" s="4">
        <v>46147</v>
      </c>
      <c r="R1022" t="s">
        <v>57</v>
      </c>
      <c r="S1022" t="s">
        <v>38</v>
      </c>
      <c r="T1022" t="s">
        <v>3153</v>
      </c>
      <c r="U1022" t="s">
        <v>55</v>
      </c>
      <c r="V1022" t="s">
        <v>3152</v>
      </c>
    </row>
    <row r="1023" spans="1:22" x14ac:dyDescent="0.2">
      <c r="A1023" t="s">
        <v>2110</v>
      </c>
      <c r="B1023" t="s">
        <v>2111</v>
      </c>
      <c r="C1023" t="s">
        <v>73</v>
      </c>
      <c r="D1023" t="s">
        <v>74</v>
      </c>
      <c r="E1023" t="s">
        <v>105</v>
      </c>
      <c r="F1023" t="s">
        <v>34</v>
      </c>
      <c r="G1023" t="s">
        <v>35</v>
      </c>
      <c r="H1023" t="s">
        <v>88</v>
      </c>
      <c r="I1023" t="s">
        <v>111</v>
      </c>
      <c r="J1023" t="s">
        <v>37</v>
      </c>
      <c r="K1023" s="4">
        <v>46269</v>
      </c>
      <c r="L1023" s="4">
        <v>46634</v>
      </c>
      <c r="M1023" t="s">
        <v>69</v>
      </c>
      <c r="N1023" t="s">
        <v>49</v>
      </c>
      <c r="O1023">
        <v>2</v>
      </c>
      <c r="P1023" t="s">
        <v>111</v>
      </c>
      <c r="Q1023" s="4">
        <v>46148</v>
      </c>
      <c r="R1023" t="s">
        <v>38</v>
      </c>
      <c r="S1023" t="s">
        <v>3155</v>
      </c>
      <c r="T1023" t="s">
        <v>3153</v>
      </c>
      <c r="U1023" t="s">
        <v>49</v>
      </c>
      <c r="V1023" t="s">
        <v>3154</v>
      </c>
    </row>
    <row r="1024" spans="1:22" x14ac:dyDescent="0.2">
      <c r="A1024" t="s">
        <v>2112</v>
      </c>
      <c r="B1024" t="s">
        <v>2113</v>
      </c>
      <c r="C1024" t="s">
        <v>78</v>
      </c>
      <c r="D1024" t="s">
        <v>79</v>
      </c>
      <c r="E1024" t="s">
        <v>53</v>
      </c>
      <c r="F1024" t="s">
        <v>67</v>
      </c>
      <c r="G1024" t="s">
        <v>118</v>
      </c>
      <c r="H1024" t="s">
        <v>36</v>
      </c>
      <c r="I1024" t="s">
        <v>106</v>
      </c>
      <c r="J1024" t="s">
        <v>37</v>
      </c>
      <c r="K1024" s="4">
        <v>45996</v>
      </c>
      <c r="L1024" s="4">
        <v>46361</v>
      </c>
      <c r="M1024" t="s">
        <v>64</v>
      </c>
      <c r="N1024" t="s">
        <v>49</v>
      </c>
      <c r="O1024">
        <v>1</v>
      </c>
      <c r="P1024" t="s">
        <v>106</v>
      </c>
      <c r="Q1024" s="4">
        <v>46136</v>
      </c>
      <c r="R1024" t="s">
        <v>38</v>
      </c>
      <c r="S1024" t="s">
        <v>3155</v>
      </c>
      <c r="T1024" t="s">
        <v>3153</v>
      </c>
      <c r="U1024" t="s">
        <v>49</v>
      </c>
      <c r="V1024" t="s">
        <v>3152</v>
      </c>
    </row>
    <row r="1025" spans="1:22" x14ac:dyDescent="0.2">
      <c r="A1025" t="s">
        <v>2114</v>
      </c>
      <c r="B1025" t="s">
        <v>2115</v>
      </c>
      <c r="C1025" t="s">
        <v>73</v>
      </c>
      <c r="D1025" t="s">
        <v>74</v>
      </c>
      <c r="E1025" t="s">
        <v>80</v>
      </c>
      <c r="F1025" t="s">
        <v>67</v>
      </c>
      <c r="G1025" t="s">
        <v>118</v>
      </c>
      <c r="H1025" t="s">
        <v>88</v>
      </c>
      <c r="I1025" t="s">
        <v>50</v>
      </c>
      <c r="J1025" t="s">
        <v>63</v>
      </c>
      <c r="K1025" s="4">
        <v>45898</v>
      </c>
      <c r="L1025" s="4">
        <v>46078</v>
      </c>
      <c r="M1025" t="s">
        <v>38</v>
      </c>
      <c r="N1025" t="s">
        <v>75</v>
      </c>
      <c r="O1025">
        <v>0</v>
      </c>
      <c r="P1025" t="s">
        <v>50</v>
      </c>
      <c r="Q1025" s="4">
        <v>46186</v>
      </c>
      <c r="R1025" t="s">
        <v>57</v>
      </c>
      <c r="S1025" t="s">
        <v>38</v>
      </c>
      <c r="T1025" t="s">
        <v>3153</v>
      </c>
      <c r="U1025" t="s">
        <v>75</v>
      </c>
      <c r="V1025" t="s">
        <v>3154</v>
      </c>
    </row>
    <row r="1026" spans="1:22" x14ac:dyDescent="0.2">
      <c r="A1026" t="s">
        <v>2116</v>
      </c>
      <c r="B1026" t="s">
        <v>2117</v>
      </c>
      <c r="C1026" t="s">
        <v>96</v>
      </c>
      <c r="D1026" t="s">
        <v>97</v>
      </c>
      <c r="E1026" t="s">
        <v>105</v>
      </c>
      <c r="F1026" t="s">
        <v>67</v>
      </c>
      <c r="G1026" t="s">
        <v>118</v>
      </c>
      <c r="H1026" t="s">
        <v>88</v>
      </c>
      <c r="I1026" t="s">
        <v>50</v>
      </c>
      <c r="J1026" t="s">
        <v>37</v>
      </c>
      <c r="K1026" s="4">
        <v>46198</v>
      </c>
      <c r="L1026" s="4">
        <v>46563</v>
      </c>
      <c r="M1026" t="s">
        <v>84</v>
      </c>
      <c r="N1026" t="s">
        <v>55</v>
      </c>
      <c r="O1026">
        <v>0</v>
      </c>
      <c r="P1026" t="s">
        <v>106</v>
      </c>
      <c r="Q1026" s="4">
        <v>46315</v>
      </c>
      <c r="R1026" t="s">
        <v>57</v>
      </c>
      <c r="S1026" t="s">
        <v>3155</v>
      </c>
      <c r="T1026" t="s">
        <v>3153</v>
      </c>
      <c r="U1026" t="s">
        <v>55</v>
      </c>
      <c r="V1026" t="s">
        <v>3154</v>
      </c>
    </row>
    <row r="1027" spans="1:22" x14ac:dyDescent="0.2">
      <c r="A1027" t="s">
        <v>2118</v>
      </c>
      <c r="B1027" t="s">
        <v>2119</v>
      </c>
      <c r="C1027" t="s">
        <v>96</v>
      </c>
      <c r="D1027" t="s">
        <v>97</v>
      </c>
      <c r="E1027" t="s">
        <v>80</v>
      </c>
      <c r="F1027" t="s">
        <v>45</v>
      </c>
      <c r="G1027" t="s">
        <v>3156</v>
      </c>
      <c r="H1027" t="s">
        <v>88</v>
      </c>
      <c r="I1027" t="s">
        <v>56</v>
      </c>
      <c r="J1027" t="s">
        <v>37</v>
      </c>
      <c r="K1027" s="4">
        <v>45851</v>
      </c>
      <c r="L1027" s="4">
        <v>46216</v>
      </c>
      <c r="M1027" t="s">
        <v>38</v>
      </c>
      <c r="N1027" t="s">
        <v>75</v>
      </c>
      <c r="O1027">
        <v>1</v>
      </c>
      <c r="P1027" t="s">
        <v>50</v>
      </c>
      <c r="Q1027" s="4">
        <v>46212</v>
      </c>
      <c r="R1027" t="s">
        <v>38</v>
      </c>
      <c r="S1027" t="s">
        <v>38</v>
      </c>
      <c r="T1027" t="s">
        <v>3153</v>
      </c>
      <c r="U1027" t="s">
        <v>75</v>
      </c>
      <c r="V1027" t="s">
        <v>3154</v>
      </c>
    </row>
    <row r="1028" spans="1:22" x14ac:dyDescent="0.2">
      <c r="A1028" t="s">
        <v>2120</v>
      </c>
      <c r="B1028" t="s">
        <v>2121</v>
      </c>
      <c r="C1028" t="s">
        <v>96</v>
      </c>
      <c r="D1028" t="s">
        <v>97</v>
      </c>
      <c r="E1028" t="s">
        <v>53</v>
      </c>
      <c r="F1028" t="s">
        <v>67</v>
      </c>
      <c r="G1028" t="s">
        <v>68</v>
      </c>
      <c r="H1028" t="s">
        <v>98</v>
      </c>
      <c r="I1028" t="s">
        <v>70</v>
      </c>
      <c r="J1028" t="s">
        <v>48</v>
      </c>
      <c r="K1028" s="4">
        <v>46110</v>
      </c>
      <c r="L1028" s="4">
        <v>46475</v>
      </c>
      <c r="M1028" t="s">
        <v>64</v>
      </c>
      <c r="N1028" t="s">
        <v>75</v>
      </c>
      <c r="O1028">
        <v>1</v>
      </c>
      <c r="P1028" t="s">
        <v>62</v>
      </c>
      <c r="Q1028" s="4">
        <v>46235</v>
      </c>
      <c r="R1028" t="s">
        <v>38</v>
      </c>
      <c r="S1028" t="s">
        <v>3155</v>
      </c>
      <c r="T1028" t="s">
        <v>3153</v>
      </c>
      <c r="U1028" t="s">
        <v>75</v>
      </c>
      <c r="V1028" t="s">
        <v>3152</v>
      </c>
    </row>
    <row r="1029" spans="1:22" x14ac:dyDescent="0.2">
      <c r="A1029" t="s">
        <v>2122</v>
      </c>
      <c r="B1029" t="s">
        <v>2123</v>
      </c>
      <c r="C1029" t="s">
        <v>42</v>
      </c>
      <c r="D1029" t="s">
        <v>43</v>
      </c>
      <c r="E1029" t="s">
        <v>53</v>
      </c>
      <c r="F1029" t="s">
        <v>67</v>
      </c>
      <c r="G1029" t="s">
        <v>68</v>
      </c>
      <c r="H1029" t="s">
        <v>88</v>
      </c>
      <c r="I1029" t="s">
        <v>106</v>
      </c>
      <c r="J1029" t="s">
        <v>63</v>
      </c>
      <c r="K1029" s="4">
        <v>45953</v>
      </c>
      <c r="L1029" s="4">
        <v>46133</v>
      </c>
      <c r="M1029" t="s">
        <v>38</v>
      </c>
      <c r="N1029" t="s">
        <v>49</v>
      </c>
      <c r="O1029">
        <v>3</v>
      </c>
      <c r="P1029" t="s">
        <v>106</v>
      </c>
      <c r="Q1029" s="4">
        <v>46177</v>
      </c>
      <c r="R1029" t="s">
        <v>38</v>
      </c>
      <c r="S1029" t="s">
        <v>38</v>
      </c>
      <c r="T1029" t="s">
        <v>3153</v>
      </c>
      <c r="U1029" t="s">
        <v>49</v>
      </c>
      <c r="V1029" t="s">
        <v>3154</v>
      </c>
    </row>
    <row r="1030" spans="1:22" x14ac:dyDescent="0.2">
      <c r="A1030" t="s">
        <v>2124</v>
      </c>
      <c r="B1030" t="s">
        <v>2125</v>
      </c>
      <c r="C1030" t="s">
        <v>103</v>
      </c>
      <c r="D1030" t="s">
        <v>104</v>
      </c>
      <c r="E1030" t="s">
        <v>53</v>
      </c>
      <c r="F1030" t="s">
        <v>34</v>
      </c>
      <c r="G1030" t="s">
        <v>35</v>
      </c>
      <c r="H1030" t="s">
        <v>88</v>
      </c>
      <c r="I1030" t="s">
        <v>111</v>
      </c>
      <c r="J1030" t="s">
        <v>37</v>
      </c>
      <c r="K1030" s="4">
        <v>46243</v>
      </c>
      <c r="L1030" s="4">
        <v>46333</v>
      </c>
      <c r="M1030" t="s">
        <v>64</v>
      </c>
      <c r="N1030" t="s">
        <v>75</v>
      </c>
      <c r="O1030">
        <v>1</v>
      </c>
      <c r="P1030" t="s">
        <v>111</v>
      </c>
      <c r="Q1030" s="4">
        <v>46222</v>
      </c>
      <c r="R1030" t="s">
        <v>38</v>
      </c>
      <c r="S1030" t="s">
        <v>3155</v>
      </c>
      <c r="T1030" t="s">
        <v>3153</v>
      </c>
      <c r="U1030" t="s">
        <v>75</v>
      </c>
      <c r="V1030" t="s">
        <v>3154</v>
      </c>
    </row>
    <row r="1031" spans="1:22" x14ac:dyDescent="0.2">
      <c r="A1031" t="s">
        <v>2126</v>
      </c>
      <c r="B1031" t="s">
        <v>2127</v>
      </c>
      <c r="C1031" t="s">
        <v>103</v>
      </c>
      <c r="D1031" t="s">
        <v>104</v>
      </c>
      <c r="E1031" t="s">
        <v>60</v>
      </c>
      <c r="F1031" t="s">
        <v>67</v>
      </c>
      <c r="G1031" t="s">
        <v>118</v>
      </c>
      <c r="H1031" t="s">
        <v>36</v>
      </c>
      <c r="I1031" t="s">
        <v>54</v>
      </c>
      <c r="J1031" t="s">
        <v>63</v>
      </c>
      <c r="K1031" s="4">
        <v>45814</v>
      </c>
      <c r="L1031" s="4">
        <v>45904</v>
      </c>
      <c r="M1031" t="s">
        <v>38</v>
      </c>
      <c r="N1031" t="s">
        <v>75</v>
      </c>
      <c r="O1031">
        <v>5</v>
      </c>
      <c r="P1031" t="s">
        <v>54</v>
      </c>
      <c r="Q1031" s="4">
        <v>46408</v>
      </c>
      <c r="R1031" t="s">
        <v>84</v>
      </c>
      <c r="S1031" t="s">
        <v>38</v>
      </c>
      <c r="T1031" t="s">
        <v>3153</v>
      </c>
      <c r="U1031" t="s">
        <v>75</v>
      </c>
      <c r="V1031" t="s">
        <v>3152</v>
      </c>
    </row>
    <row r="1032" spans="1:22" x14ac:dyDescent="0.2">
      <c r="A1032" t="s">
        <v>2128</v>
      </c>
      <c r="B1032" t="s">
        <v>2129</v>
      </c>
      <c r="C1032" t="s">
        <v>96</v>
      </c>
      <c r="D1032" t="s">
        <v>97</v>
      </c>
      <c r="E1032" t="s">
        <v>60</v>
      </c>
      <c r="F1032" t="s">
        <v>45</v>
      </c>
      <c r="G1032" t="s">
        <v>61</v>
      </c>
      <c r="H1032" t="s">
        <v>88</v>
      </c>
      <c r="I1032" t="s">
        <v>39</v>
      </c>
      <c r="J1032" t="s">
        <v>63</v>
      </c>
      <c r="K1032" s="4">
        <v>46115</v>
      </c>
      <c r="L1032" s="4">
        <v>46480</v>
      </c>
      <c r="M1032" t="s">
        <v>69</v>
      </c>
      <c r="N1032" t="s">
        <v>55</v>
      </c>
      <c r="O1032">
        <v>2</v>
      </c>
      <c r="P1032" t="s">
        <v>56</v>
      </c>
      <c r="Q1032" s="4">
        <v>46156</v>
      </c>
      <c r="R1032" t="s">
        <v>38</v>
      </c>
      <c r="S1032" t="s">
        <v>3155</v>
      </c>
      <c r="T1032" t="s">
        <v>3153</v>
      </c>
      <c r="U1032" t="s">
        <v>55</v>
      </c>
      <c r="V1032" t="s">
        <v>3154</v>
      </c>
    </row>
    <row r="1033" spans="1:22" x14ac:dyDescent="0.2">
      <c r="A1033" t="s">
        <v>2130</v>
      </c>
      <c r="B1033" t="s">
        <v>2131</v>
      </c>
      <c r="C1033" t="s">
        <v>103</v>
      </c>
      <c r="D1033" t="s">
        <v>104</v>
      </c>
      <c r="E1033" t="s">
        <v>80</v>
      </c>
      <c r="F1033" t="s">
        <v>45</v>
      </c>
      <c r="G1033" t="s">
        <v>61</v>
      </c>
      <c r="H1033" t="s">
        <v>36</v>
      </c>
      <c r="I1033" t="s">
        <v>56</v>
      </c>
      <c r="J1033" t="s">
        <v>63</v>
      </c>
      <c r="K1033" s="4">
        <v>45911</v>
      </c>
      <c r="L1033" s="4">
        <v>46001</v>
      </c>
      <c r="M1033" t="s">
        <v>38</v>
      </c>
      <c r="N1033" t="s">
        <v>75</v>
      </c>
      <c r="O1033">
        <v>0</v>
      </c>
      <c r="P1033" t="s">
        <v>39</v>
      </c>
      <c r="Q1033" s="4">
        <v>46357</v>
      </c>
      <c r="R1033" t="s">
        <v>57</v>
      </c>
      <c r="S1033" t="s">
        <v>38</v>
      </c>
      <c r="T1033" t="s">
        <v>3153</v>
      </c>
      <c r="U1033" t="s">
        <v>75</v>
      </c>
      <c r="V1033" t="s">
        <v>3152</v>
      </c>
    </row>
    <row r="1034" spans="1:22" x14ac:dyDescent="0.2">
      <c r="A1034" t="s">
        <v>2132</v>
      </c>
      <c r="B1034" t="s">
        <v>2133</v>
      </c>
      <c r="C1034" t="s">
        <v>103</v>
      </c>
      <c r="D1034" t="s">
        <v>104</v>
      </c>
      <c r="E1034" t="s">
        <v>60</v>
      </c>
      <c r="F1034" t="s">
        <v>67</v>
      </c>
      <c r="G1034" t="s">
        <v>118</v>
      </c>
      <c r="H1034" t="s">
        <v>88</v>
      </c>
      <c r="I1034" t="s">
        <v>50</v>
      </c>
      <c r="J1034" t="s">
        <v>63</v>
      </c>
      <c r="K1034" s="4">
        <v>45874</v>
      </c>
      <c r="L1034" s="4">
        <v>46054</v>
      </c>
      <c r="M1034" t="s">
        <v>38</v>
      </c>
      <c r="N1034" t="s">
        <v>75</v>
      </c>
      <c r="O1034">
        <v>3</v>
      </c>
      <c r="P1034" t="s">
        <v>54</v>
      </c>
      <c r="Q1034" s="4">
        <v>46275</v>
      </c>
      <c r="R1034" t="s">
        <v>38</v>
      </c>
      <c r="S1034" t="s">
        <v>38</v>
      </c>
      <c r="T1034" t="s">
        <v>3153</v>
      </c>
      <c r="U1034" t="s">
        <v>75</v>
      </c>
      <c r="V1034" t="s">
        <v>3154</v>
      </c>
    </row>
    <row r="1035" spans="1:22" x14ac:dyDescent="0.2">
      <c r="A1035" t="s">
        <v>2134</v>
      </c>
      <c r="B1035" t="s">
        <v>2135</v>
      </c>
      <c r="C1035" t="s">
        <v>103</v>
      </c>
      <c r="D1035" t="s">
        <v>104</v>
      </c>
      <c r="E1035" t="s">
        <v>53</v>
      </c>
      <c r="F1035" t="s">
        <v>34</v>
      </c>
      <c r="G1035" t="s">
        <v>35</v>
      </c>
      <c r="H1035" t="s">
        <v>36</v>
      </c>
      <c r="I1035" t="s">
        <v>54</v>
      </c>
      <c r="J1035" t="s">
        <v>37</v>
      </c>
      <c r="K1035" s="4">
        <v>46007</v>
      </c>
      <c r="L1035" s="4">
        <v>46372</v>
      </c>
      <c r="M1035" t="s">
        <v>64</v>
      </c>
      <c r="N1035" t="s">
        <v>75</v>
      </c>
      <c r="O1035">
        <v>3</v>
      </c>
      <c r="P1035" t="s">
        <v>39</v>
      </c>
      <c r="Q1035" s="4">
        <v>46120</v>
      </c>
      <c r="R1035" t="s">
        <v>64</v>
      </c>
      <c r="S1035" t="s">
        <v>3155</v>
      </c>
      <c r="T1035" t="s">
        <v>3153</v>
      </c>
      <c r="U1035" t="s">
        <v>75</v>
      </c>
      <c r="V1035" t="s">
        <v>3152</v>
      </c>
    </row>
    <row r="1036" spans="1:22" x14ac:dyDescent="0.2">
      <c r="A1036" t="s">
        <v>2136</v>
      </c>
      <c r="B1036" t="s">
        <v>2137</v>
      </c>
      <c r="C1036" t="s">
        <v>96</v>
      </c>
      <c r="D1036" t="s">
        <v>97</v>
      </c>
      <c r="E1036" t="s">
        <v>105</v>
      </c>
      <c r="F1036" t="s">
        <v>45</v>
      </c>
      <c r="G1036" t="s">
        <v>61</v>
      </c>
      <c r="H1036" t="s">
        <v>88</v>
      </c>
      <c r="J1036" t="s">
        <v>37</v>
      </c>
      <c r="K1036" s="4">
        <v>45878</v>
      </c>
      <c r="L1036" s="4">
        <v>45968</v>
      </c>
      <c r="M1036" t="s">
        <v>38</v>
      </c>
      <c r="N1036" t="s">
        <v>75</v>
      </c>
      <c r="O1036">
        <v>3</v>
      </c>
      <c r="P1036" t="s">
        <v>70</v>
      </c>
      <c r="Q1036" s="4">
        <v>46399</v>
      </c>
      <c r="R1036" t="s">
        <v>64</v>
      </c>
      <c r="S1036" t="s">
        <v>38</v>
      </c>
      <c r="T1036" t="s">
        <v>3150</v>
      </c>
      <c r="U1036" t="s">
        <v>75</v>
      </c>
      <c r="V1036" t="s">
        <v>3154</v>
      </c>
    </row>
    <row r="1037" spans="1:22" x14ac:dyDescent="0.2">
      <c r="A1037" t="s">
        <v>2138</v>
      </c>
      <c r="B1037" t="s">
        <v>2139</v>
      </c>
      <c r="C1037" t="s">
        <v>31</v>
      </c>
      <c r="D1037" t="s">
        <v>32</v>
      </c>
      <c r="E1037" t="s">
        <v>53</v>
      </c>
      <c r="F1037" t="s">
        <v>67</v>
      </c>
      <c r="G1037" t="s">
        <v>118</v>
      </c>
      <c r="H1037" t="s">
        <v>47</v>
      </c>
      <c r="I1037" t="s">
        <v>111</v>
      </c>
      <c r="J1037" t="s">
        <v>37</v>
      </c>
      <c r="K1037" s="4">
        <v>46130</v>
      </c>
      <c r="L1037" s="4">
        <v>46220</v>
      </c>
      <c r="M1037" t="s">
        <v>38</v>
      </c>
      <c r="N1037" t="s">
        <v>49</v>
      </c>
      <c r="O1037">
        <v>1</v>
      </c>
      <c r="P1037" t="s">
        <v>111</v>
      </c>
      <c r="Q1037" s="4">
        <v>46280</v>
      </c>
      <c r="R1037" t="s">
        <v>38</v>
      </c>
      <c r="S1037" t="s">
        <v>38</v>
      </c>
      <c r="T1037" t="s">
        <v>3153</v>
      </c>
      <c r="U1037" t="s">
        <v>49</v>
      </c>
      <c r="V1037" t="s">
        <v>3154</v>
      </c>
    </row>
    <row r="1038" spans="1:22" x14ac:dyDescent="0.2">
      <c r="A1038" t="s">
        <v>2140</v>
      </c>
      <c r="B1038" t="s">
        <v>2141</v>
      </c>
      <c r="C1038" t="s">
        <v>73</v>
      </c>
      <c r="D1038" t="s">
        <v>74</v>
      </c>
      <c r="E1038" t="s">
        <v>53</v>
      </c>
      <c r="F1038" t="s">
        <v>67</v>
      </c>
      <c r="G1038" t="s">
        <v>68</v>
      </c>
      <c r="H1038" t="s">
        <v>36</v>
      </c>
      <c r="I1038" t="s">
        <v>62</v>
      </c>
      <c r="J1038" t="s">
        <v>48</v>
      </c>
      <c r="K1038" s="4">
        <v>45994</v>
      </c>
      <c r="L1038" s="4">
        <v>46084</v>
      </c>
      <c r="M1038" t="s">
        <v>38</v>
      </c>
      <c r="N1038" t="s">
        <v>49</v>
      </c>
      <c r="O1038">
        <v>3</v>
      </c>
      <c r="P1038" t="s">
        <v>56</v>
      </c>
      <c r="Q1038" s="4">
        <v>46280</v>
      </c>
      <c r="R1038" t="s">
        <v>38</v>
      </c>
      <c r="S1038" t="s">
        <v>38</v>
      </c>
      <c r="T1038" t="s">
        <v>3153</v>
      </c>
      <c r="U1038" t="s">
        <v>49</v>
      </c>
      <c r="V1038" t="s">
        <v>3152</v>
      </c>
    </row>
    <row r="1039" spans="1:22" x14ac:dyDescent="0.2">
      <c r="A1039" t="s">
        <v>2142</v>
      </c>
      <c r="B1039" t="s">
        <v>2143</v>
      </c>
      <c r="C1039" t="s">
        <v>31</v>
      </c>
      <c r="D1039" t="s">
        <v>83</v>
      </c>
      <c r="E1039" t="s">
        <v>60</v>
      </c>
      <c r="F1039" t="s">
        <v>67</v>
      </c>
      <c r="G1039" t="s">
        <v>68</v>
      </c>
      <c r="H1039" t="s">
        <v>47</v>
      </c>
      <c r="I1039" t="s">
        <v>50</v>
      </c>
      <c r="J1039" t="s">
        <v>48</v>
      </c>
      <c r="K1039" s="4">
        <v>46021</v>
      </c>
      <c r="L1039" s="4">
        <v>46111</v>
      </c>
      <c r="M1039" t="s">
        <v>38</v>
      </c>
      <c r="N1039" t="s">
        <v>55</v>
      </c>
      <c r="O1039">
        <v>1</v>
      </c>
      <c r="P1039" t="s">
        <v>70</v>
      </c>
      <c r="Q1039" s="4">
        <v>46192</v>
      </c>
      <c r="R1039" t="s">
        <v>64</v>
      </c>
      <c r="S1039" t="s">
        <v>38</v>
      </c>
      <c r="T1039" t="s">
        <v>3153</v>
      </c>
      <c r="U1039" t="s">
        <v>55</v>
      </c>
      <c r="V1039" t="s">
        <v>3154</v>
      </c>
    </row>
    <row r="1040" spans="1:22" x14ac:dyDescent="0.2">
      <c r="A1040" t="s">
        <v>2144</v>
      </c>
      <c r="B1040" t="s">
        <v>2145</v>
      </c>
      <c r="C1040" t="s">
        <v>78</v>
      </c>
      <c r="D1040" t="s">
        <v>79</v>
      </c>
      <c r="E1040" t="s">
        <v>53</v>
      </c>
      <c r="F1040" t="s">
        <v>67</v>
      </c>
      <c r="G1040" t="s">
        <v>118</v>
      </c>
      <c r="H1040" t="s">
        <v>47</v>
      </c>
      <c r="I1040" t="s">
        <v>106</v>
      </c>
      <c r="J1040" t="s">
        <v>37</v>
      </c>
      <c r="K1040" s="4">
        <v>45891</v>
      </c>
      <c r="L1040" s="4">
        <v>45981</v>
      </c>
      <c r="M1040" t="s">
        <v>38</v>
      </c>
      <c r="N1040" t="s">
        <v>75</v>
      </c>
      <c r="O1040">
        <v>3</v>
      </c>
      <c r="P1040" t="s">
        <v>50</v>
      </c>
      <c r="Q1040" s="4">
        <v>46394</v>
      </c>
      <c r="R1040" t="s">
        <v>64</v>
      </c>
      <c r="S1040" t="s">
        <v>38</v>
      </c>
      <c r="T1040" t="s">
        <v>3153</v>
      </c>
      <c r="U1040" t="s">
        <v>75</v>
      </c>
      <c r="V1040" t="s">
        <v>3154</v>
      </c>
    </row>
    <row r="1041" spans="1:22" x14ac:dyDescent="0.2">
      <c r="A1041" t="s">
        <v>2146</v>
      </c>
      <c r="B1041" t="s">
        <v>2147</v>
      </c>
      <c r="C1041" t="s">
        <v>31</v>
      </c>
      <c r="D1041" t="s">
        <v>87</v>
      </c>
      <c r="E1041" t="s">
        <v>44</v>
      </c>
      <c r="F1041" t="s">
        <v>34</v>
      </c>
      <c r="G1041" t="s">
        <v>35</v>
      </c>
      <c r="H1041" t="s">
        <v>88</v>
      </c>
      <c r="I1041" t="s">
        <v>70</v>
      </c>
      <c r="J1041" t="s">
        <v>63</v>
      </c>
      <c r="K1041" s="4">
        <v>45885</v>
      </c>
      <c r="L1041" s="4">
        <v>46065</v>
      </c>
      <c r="M1041" t="s">
        <v>38</v>
      </c>
      <c r="N1041" t="s">
        <v>55</v>
      </c>
      <c r="O1041">
        <v>1</v>
      </c>
      <c r="P1041" t="s">
        <v>54</v>
      </c>
      <c r="Q1041" s="4">
        <v>46143</v>
      </c>
      <c r="R1041" t="s">
        <v>38</v>
      </c>
      <c r="S1041" t="s">
        <v>38</v>
      </c>
      <c r="T1041" t="s">
        <v>3153</v>
      </c>
      <c r="U1041" t="s">
        <v>55</v>
      </c>
      <c r="V1041" t="s">
        <v>3154</v>
      </c>
    </row>
    <row r="1042" spans="1:22" x14ac:dyDescent="0.2">
      <c r="A1042" t="s">
        <v>2148</v>
      </c>
      <c r="B1042" t="s">
        <v>2149</v>
      </c>
      <c r="C1042" t="s">
        <v>78</v>
      </c>
      <c r="D1042" t="s">
        <v>79</v>
      </c>
      <c r="E1042" t="s">
        <v>105</v>
      </c>
      <c r="F1042" t="s">
        <v>67</v>
      </c>
      <c r="G1042" t="s">
        <v>68</v>
      </c>
      <c r="H1042" t="s">
        <v>47</v>
      </c>
      <c r="I1042" t="s">
        <v>54</v>
      </c>
      <c r="J1042" t="s">
        <v>63</v>
      </c>
      <c r="K1042" s="4">
        <v>46197</v>
      </c>
      <c r="L1042" s="4">
        <v>46287</v>
      </c>
      <c r="M1042" t="s">
        <v>38</v>
      </c>
      <c r="N1042" t="s">
        <v>49</v>
      </c>
      <c r="O1042">
        <v>2</v>
      </c>
      <c r="P1042" t="s">
        <v>56</v>
      </c>
      <c r="Q1042" s="4">
        <v>46280</v>
      </c>
      <c r="R1042" t="s">
        <v>38</v>
      </c>
      <c r="S1042" t="s">
        <v>38</v>
      </c>
      <c r="T1042" t="s">
        <v>3153</v>
      </c>
      <c r="U1042" t="s">
        <v>49</v>
      </c>
      <c r="V1042" t="s">
        <v>3154</v>
      </c>
    </row>
    <row r="1043" spans="1:22" x14ac:dyDescent="0.2">
      <c r="A1043" t="s">
        <v>2150</v>
      </c>
      <c r="B1043" t="s">
        <v>2151</v>
      </c>
      <c r="C1043" t="s">
        <v>96</v>
      </c>
      <c r="D1043" t="s">
        <v>97</v>
      </c>
      <c r="E1043" t="s">
        <v>91</v>
      </c>
      <c r="F1043" t="s">
        <v>67</v>
      </c>
      <c r="G1043" t="s">
        <v>68</v>
      </c>
      <c r="H1043" t="s">
        <v>36</v>
      </c>
      <c r="I1043" t="s">
        <v>62</v>
      </c>
      <c r="J1043" t="s">
        <v>37</v>
      </c>
      <c r="K1043" s="4">
        <v>45994</v>
      </c>
      <c r="L1043" s="4">
        <v>46084</v>
      </c>
      <c r="M1043" t="s">
        <v>38</v>
      </c>
      <c r="N1043" t="s">
        <v>55</v>
      </c>
      <c r="O1043">
        <v>1</v>
      </c>
      <c r="P1043" t="s">
        <v>70</v>
      </c>
      <c r="Q1043" s="4">
        <v>46133</v>
      </c>
      <c r="R1043" t="s">
        <v>64</v>
      </c>
      <c r="S1043" t="s">
        <v>38</v>
      </c>
      <c r="T1043" t="s">
        <v>3153</v>
      </c>
      <c r="U1043" t="s">
        <v>55</v>
      </c>
      <c r="V1043" t="s">
        <v>3152</v>
      </c>
    </row>
    <row r="1044" spans="1:22" x14ac:dyDescent="0.2">
      <c r="A1044" t="s">
        <v>2152</v>
      </c>
      <c r="B1044" t="s">
        <v>2153</v>
      </c>
      <c r="C1044" t="s">
        <v>42</v>
      </c>
      <c r="D1044" t="s">
        <v>43</v>
      </c>
      <c r="E1044" t="s">
        <v>60</v>
      </c>
      <c r="F1044" t="s">
        <v>34</v>
      </c>
      <c r="G1044" t="s">
        <v>35</v>
      </c>
      <c r="H1044" t="s">
        <v>36</v>
      </c>
      <c r="I1044" t="s">
        <v>50</v>
      </c>
      <c r="J1044" t="s">
        <v>63</v>
      </c>
      <c r="K1044" s="4">
        <v>46072</v>
      </c>
      <c r="L1044" s="4">
        <v>46162</v>
      </c>
      <c r="M1044" t="s">
        <v>38</v>
      </c>
      <c r="N1044" t="s">
        <v>55</v>
      </c>
      <c r="O1044">
        <v>4</v>
      </c>
      <c r="P1044" t="s">
        <v>106</v>
      </c>
      <c r="Q1044" s="4">
        <v>46118</v>
      </c>
      <c r="R1044" t="s">
        <v>38</v>
      </c>
      <c r="S1044" t="s">
        <v>38</v>
      </c>
      <c r="T1044" t="s">
        <v>3153</v>
      </c>
      <c r="U1044" t="s">
        <v>55</v>
      </c>
      <c r="V1044" t="s">
        <v>3152</v>
      </c>
    </row>
    <row r="1045" spans="1:22" x14ac:dyDescent="0.2">
      <c r="A1045" t="s">
        <v>2154</v>
      </c>
      <c r="B1045" t="s">
        <v>2155</v>
      </c>
      <c r="C1045" t="s">
        <v>42</v>
      </c>
      <c r="D1045" t="s">
        <v>43</v>
      </c>
      <c r="E1045" t="s">
        <v>44</v>
      </c>
      <c r="F1045" t="s">
        <v>34</v>
      </c>
      <c r="G1045" t="s">
        <v>35</v>
      </c>
      <c r="H1045" t="s">
        <v>36</v>
      </c>
      <c r="I1045" t="s">
        <v>56</v>
      </c>
      <c r="J1045" t="s">
        <v>48</v>
      </c>
      <c r="K1045" s="4">
        <v>46104</v>
      </c>
      <c r="L1045" s="4">
        <v>46194</v>
      </c>
      <c r="M1045" t="s">
        <v>38</v>
      </c>
      <c r="N1045" t="s">
        <v>75</v>
      </c>
      <c r="O1045">
        <v>2</v>
      </c>
      <c r="P1045" t="s">
        <v>111</v>
      </c>
      <c r="Q1045" s="4">
        <v>46316</v>
      </c>
      <c r="R1045" t="s">
        <v>64</v>
      </c>
      <c r="S1045" t="s">
        <v>38</v>
      </c>
      <c r="T1045" t="s">
        <v>3153</v>
      </c>
      <c r="U1045" t="s">
        <v>75</v>
      </c>
      <c r="V1045" t="s">
        <v>3152</v>
      </c>
    </row>
    <row r="1046" spans="1:22" x14ac:dyDescent="0.2">
      <c r="A1046" t="s">
        <v>2156</v>
      </c>
      <c r="B1046" t="s">
        <v>2157</v>
      </c>
      <c r="C1046" t="s">
        <v>42</v>
      </c>
      <c r="D1046" t="s">
        <v>43</v>
      </c>
      <c r="E1046" t="s">
        <v>44</v>
      </c>
      <c r="F1046" t="s">
        <v>34</v>
      </c>
      <c r="G1046" t="s">
        <v>35</v>
      </c>
      <c r="H1046" t="s">
        <v>47</v>
      </c>
      <c r="I1046" t="s">
        <v>39</v>
      </c>
      <c r="J1046" t="s">
        <v>63</v>
      </c>
      <c r="K1046" s="4">
        <v>46077</v>
      </c>
      <c r="L1046" s="4">
        <v>46167</v>
      </c>
      <c r="M1046" t="s">
        <v>38</v>
      </c>
      <c r="N1046" t="s">
        <v>49</v>
      </c>
      <c r="O1046">
        <v>1</v>
      </c>
      <c r="P1046" t="s">
        <v>54</v>
      </c>
      <c r="Q1046" s="4">
        <v>46217</v>
      </c>
      <c r="R1046" t="s">
        <v>38</v>
      </c>
      <c r="S1046" t="s">
        <v>38</v>
      </c>
      <c r="T1046" t="s">
        <v>3153</v>
      </c>
      <c r="U1046" t="s">
        <v>49</v>
      </c>
      <c r="V1046" t="s">
        <v>3154</v>
      </c>
    </row>
    <row r="1047" spans="1:22" x14ac:dyDescent="0.2">
      <c r="A1047" t="s">
        <v>2158</v>
      </c>
      <c r="B1047" t="s">
        <v>2159</v>
      </c>
      <c r="C1047" t="s">
        <v>31</v>
      </c>
      <c r="D1047" t="s">
        <v>87</v>
      </c>
      <c r="E1047" t="s">
        <v>53</v>
      </c>
      <c r="F1047" t="s">
        <v>34</v>
      </c>
      <c r="G1047" t="s">
        <v>35</v>
      </c>
      <c r="H1047" t="s">
        <v>88</v>
      </c>
      <c r="I1047" t="s">
        <v>54</v>
      </c>
      <c r="J1047" t="s">
        <v>48</v>
      </c>
      <c r="K1047" s="4">
        <v>45985</v>
      </c>
      <c r="L1047" s="4">
        <v>46165</v>
      </c>
      <c r="M1047" t="s">
        <v>38</v>
      </c>
      <c r="N1047" t="s">
        <v>55</v>
      </c>
      <c r="O1047">
        <v>0</v>
      </c>
      <c r="P1047" t="s">
        <v>106</v>
      </c>
      <c r="Q1047" s="4">
        <v>46273</v>
      </c>
      <c r="R1047" t="s">
        <v>57</v>
      </c>
      <c r="S1047" t="s">
        <v>38</v>
      </c>
      <c r="T1047" t="s">
        <v>3153</v>
      </c>
      <c r="U1047" t="s">
        <v>55</v>
      </c>
      <c r="V1047" t="s">
        <v>3154</v>
      </c>
    </row>
    <row r="1048" spans="1:22" x14ac:dyDescent="0.2">
      <c r="A1048" t="s">
        <v>2160</v>
      </c>
      <c r="B1048" t="s">
        <v>2161</v>
      </c>
      <c r="C1048" t="s">
        <v>42</v>
      </c>
      <c r="D1048" t="s">
        <v>43</v>
      </c>
      <c r="E1048" t="s">
        <v>91</v>
      </c>
      <c r="F1048" t="s">
        <v>45</v>
      </c>
      <c r="G1048" t="s">
        <v>61</v>
      </c>
      <c r="H1048" t="s">
        <v>88</v>
      </c>
      <c r="I1048" t="s">
        <v>106</v>
      </c>
      <c r="J1048" t="s">
        <v>63</v>
      </c>
      <c r="K1048" s="4">
        <v>46041</v>
      </c>
      <c r="L1048" s="4">
        <v>46221</v>
      </c>
      <c r="M1048" t="s">
        <v>38</v>
      </c>
      <c r="N1048" t="s">
        <v>49</v>
      </c>
      <c r="O1048">
        <v>1</v>
      </c>
      <c r="P1048" t="s">
        <v>54</v>
      </c>
      <c r="Q1048" s="4">
        <v>46366</v>
      </c>
      <c r="R1048" t="s">
        <v>84</v>
      </c>
      <c r="S1048" t="s">
        <v>38</v>
      </c>
      <c r="T1048" t="s">
        <v>3153</v>
      </c>
      <c r="U1048" t="s">
        <v>49</v>
      </c>
      <c r="V1048" t="s">
        <v>3154</v>
      </c>
    </row>
    <row r="1049" spans="1:22" x14ac:dyDescent="0.2">
      <c r="A1049" t="s">
        <v>2162</v>
      </c>
      <c r="B1049" t="s">
        <v>2163</v>
      </c>
      <c r="C1049" t="s">
        <v>96</v>
      </c>
      <c r="D1049" t="s">
        <v>97</v>
      </c>
      <c r="E1049" t="s">
        <v>105</v>
      </c>
      <c r="F1049" t="s">
        <v>45</v>
      </c>
      <c r="G1049" t="s">
        <v>46</v>
      </c>
      <c r="H1049" t="s">
        <v>36</v>
      </c>
      <c r="I1049" t="s">
        <v>39</v>
      </c>
      <c r="J1049" t="s">
        <v>63</v>
      </c>
      <c r="K1049" s="4">
        <v>45837</v>
      </c>
      <c r="L1049" s="4">
        <v>45927</v>
      </c>
      <c r="M1049" t="s">
        <v>38</v>
      </c>
      <c r="N1049" t="s">
        <v>75</v>
      </c>
      <c r="O1049">
        <v>0</v>
      </c>
      <c r="P1049" t="s">
        <v>50</v>
      </c>
      <c r="Q1049" s="4">
        <v>46270</v>
      </c>
      <c r="R1049" t="s">
        <v>57</v>
      </c>
      <c r="S1049" t="s">
        <v>38</v>
      </c>
      <c r="T1049" t="s">
        <v>3153</v>
      </c>
      <c r="U1049" t="s">
        <v>75</v>
      </c>
      <c r="V1049" t="s">
        <v>3152</v>
      </c>
    </row>
    <row r="1050" spans="1:22" x14ac:dyDescent="0.2">
      <c r="A1050" t="s">
        <v>2164</v>
      </c>
      <c r="B1050" t="s">
        <v>2165</v>
      </c>
      <c r="C1050" t="s">
        <v>31</v>
      </c>
      <c r="D1050" t="s">
        <v>87</v>
      </c>
      <c r="E1050" t="s">
        <v>53</v>
      </c>
      <c r="F1050" t="s">
        <v>45</v>
      </c>
      <c r="G1050" t="s">
        <v>46</v>
      </c>
      <c r="H1050" t="s">
        <v>47</v>
      </c>
      <c r="I1050" t="s">
        <v>54</v>
      </c>
      <c r="J1050" t="s">
        <v>37</v>
      </c>
      <c r="K1050" s="4">
        <v>46059</v>
      </c>
      <c r="L1050" s="4">
        <v>46424</v>
      </c>
      <c r="M1050" t="s">
        <v>84</v>
      </c>
      <c r="N1050" t="s">
        <v>75</v>
      </c>
      <c r="O1050">
        <v>3</v>
      </c>
      <c r="P1050" t="s">
        <v>50</v>
      </c>
      <c r="Q1050" s="4">
        <v>46126</v>
      </c>
      <c r="R1050" t="s">
        <v>64</v>
      </c>
      <c r="S1050" t="s">
        <v>3155</v>
      </c>
      <c r="T1050" t="s">
        <v>3153</v>
      </c>
      <c r="U1050" t="s">
        <v>75</v>
      </c>
      <c r="V1050" t="s">
        <v>3154</v>
      </c>
    </row>
    <row r="1051" spans="1:22" x14ac:dyDescent="0.2">
      <c r="A1051" t="s">
        <v>2166</v>
      </c>
      <c r="B1051" t="s">
        <v>2167</v>
      </c>
      <c r="C1051" t="s">
        <v>31</v>
      </c>
      <c r="D1051" t="s">
        <v>32</v>
      </c>
      <c r="E1051" t="s">
        <v>44</v>
      </c>
      <c r="F1051" t="s">
        <v>67</v>
      </c>
      <c r="G1051" t="s">
        <v>118</v>
      </c>
      <c r="H1051" t="s">
        <v>47</v>
      </c>
      <c r="I1051" t="s">
        <v>39</v>
      </c>
      <c r="J1051" t="s">
        <v>48</v>
      </c>
      <c r="K1051" s="4">
        <v>45825</v>
      </c>
      <c r="L1051" s="4">
        <v>46005</v>
      </c>
      <c r="M1051" t="s">
        <v>38</v>
      </c>
      <c r="N1051" t="s">
        <v>55</v>
      </c>
      <c r="O1051">
        <v>0</v>
      </c>
      <c r="P1051" t="s">
        <v>111</v>
      </c>
      <c r="Q1051" s="4">
        <v>46172</v>
      </c>
      <c r="R1051" t="s">
        <v>57</v>
      </c>
      <c r="S1051" t="s">
        <v>38</v>
      </c>
      <c r="T1051" t="s">
        <v>3153</v>
      </c>
      <c r="U1051" t="s">
        <v>55</v>
      </c>
      <c r="V1051" t="s">
        <v>3154</v>
      </c>
    </row>
    <row r="1052" spans="1:22" x14ac:dyDescent="0.2">
      <c r="A1052" t="s">
        <v>2168</v>
      </c>
      <c r="B1052" t="s">
        <v>2169</v>
      </c>
      <c r="C1052" t="s">
        <v>96</v>
      </c>
      <c r="D1052" t="s">
        <v>97</v>
      </c>
      <c r="E1052" t="s">
        <v>53</v>
      </c>
      <c r="F1052" t="s">
        <v>34</v>
      </c>
      <c r="G1052" t="s">
        <v>35</v>
      </c>
      <c r="H1052" t="s">
        <v>47</v>
      </c>
      <c r="I1052" t="s">
        <v>111</v>
      </c>
      <c r="J1052" t="s">
        <v>37</v>
      </c>
      <c r="K1052" s="4">
        <v>46243</v>
      </c>
      <c r="L1052" s="4">
        <v>46608</v>
      </c>
      <c r="M1052" t="s">
        <v>84</v>
      </c>
      <c r="N1052" t="s">
        <v>55</v>
      </c>
      <c r="O1052">
        <v>3</v>
      </c>
      <c r="P1052" t="s">
        <v>62</v>
      </c>
      <c r="Q1052" s="4">
        <v>46308</v>
      </c>
      <c r="R1052" t="s">
        <v>64</v>
      </c>
      <c r="S1052" t="s">
        <v>3155</v>
      </c>
      <c r="T1052" t="s">
        <v>3153</v>
      </c>
      <c r="U1052" t="s">
        <v>55</v>
      </c>
      <c r="V1052" t="s">
        <v>3154</v>
      </c>
    </row>
    <row r="1053" spans="1:22" x14ac:dyDescent="0.2">
      <c r="A1053" t="s">
        <v>2170</v>
      </c>
      <c r="B1053" t="s">
        <v>2171</v>
      </c>
      <c r="C1053" t="s">
        <v>42</v>
      </c>
      <c r="D1053" t="s">
        <v>43</v>
      </c>
      <c r="E1053" t="s">
        <v>60</v>
      </c>
      <c r="F1053" t="s">
        <v>45</v>
      </c>
      <c r="G1053" t="s">
        <v>46</v>
      </c>
      <c r="H1053" t="s">
        <v>36</v>
      </c>
      <c r="I1053" t="s">
        <v>70</v>
      </c>
      <c r="J1053" t="s">
        <v>63</v>
      </c>
      <c r="K1053" s="4">
        <v>45881</v>
      </c>
      <c r="L1053" s="4">
        <v>46061</v>
      </c>
      <c r="M1053" t="s">
        <v>38</v>
      </c>
      <c r="N1053" t="s">
        <v>49</v>
      </c>
      <c r="O1053">
        <v>2</v>
      </c>
      <c r="P1053" t="s">
        <v>56</v>
      </c>
      <c r="Q1053" s="4">
        <v>46360</v>
      </c>
      <c r="R1053" t="s">
        <v>64</v>
      </c>
      <c r="S1053" t="s">
        <v>38</v>
      </c>
      <c r="T1053" t="s">
        <v>3153</v>
      </c>
      <c r="U1053" t="s">
        <v>49</v>
      </c>
      <c r="V1053" t="s">
        <v>3152</v>
      </c>
    </row>
    <row r="1054" spans="1:22" x14ac:dyDescent="0.2">
      <c r="A1054" t="s">
        <v>2172</v>
      </c>
      <c r="B1054" t="s">
        <v>2173</v>
      </c>
      <c r="C1054" t="s">
        <v>96</v>
      </c>
      <c r="D1054" t="s">
        <v>97</v>
      </c>
      <c r="E1054" t="s">
        <v>91</v>
      </c>
      <c r="F1054" t="s">
        <v>45</v>
      </c>
      <c r="G1054" t="s">
        <v>46</v>
      </c>
      <c r="H1054" t="s">
        <v>88</v>
      </c>
      <c r="I1054" t="s">
        <v>39</v>
      </c>
      <c r="J1054" t="s">
        <v>48</v>
      </c>
      <c r="K1054" s="4">
        <v>45943</v>
      </c>
      <c r="L1054" s="4">
        <v>46033</v>
      </c>
      <c r="M1054" t="s">
        <v>38</v>
      </c>
      <c r="N1054" t="s">
        <v>49</v>
      </c>
      <c r="O1054">
        <v>3</v>
      </c>
      <c r="P1054" t="s">
        <v>39</v>
      </c>
      <c r="Q1054" s="4">
        <v>46401</v>
      </c>
      <c r="R1054" t="s">
        <v>84</v>
      </c>
      <c r="S1054" t="s">
        <v>38</v>
      </c>
      <c r="T1054" t="s">
        <v>3153</v>
      </c>
      <c r="U1054" t="s">
        <v>49</v>
      </c>
      <c r="V1054" t="s">
        <v>3154</v>
      </c>
    </row>
    <row r="1055" spans="1:22" x14ac:dyDescent="0.2">
      <c r="A1055" t="s">
        <v>2174</v>
      </c>
      <c r="B1055" t="s">
        <v>2175</v>
      </c>
      <c r="C1055" t="s">
        <v>73</v>
      </c>
      <c r="D1055" t="s">
        <v>74</v>
      </c>
      <c r="E1055" t="s">
        <v>105</v>
      </c>
      <c r="F1055" t="s">
        <v>67</v>
      </c>
      <c r="G1055" t="s">
        <v>118</v>
      </c>
      <c r="H1055" t="s">
        <v>88</v>
      </c>
      <c r="I1055" t="s">
        <v>111</v>
      </c>
      <c r="J1055" t="s">
        <v>63</v>
      </c>
      <c r="K1055" s="4">
        <v>45855</v>
      </c>
      <c r="L1055" s="4">
        <v>46035</v>
      </c>
      <c r="M1055" t="s">
        <v>38</v>
      </c>
      <c r="N1055" t="s">
        <v>49</v>
      </c>
      <c r="O1055">
        <v>1</v>
      </c>
      <c r="P1055" t="s">
        <v>50</v>
      </c>
      <c r="Q1055" s="4">
        <v>46306</v>
      </c>
      <c r="R1055" t="s">
        <v>84</v>
      </c>
      <c r="S1055" t="s">
        <v>38</v>
      </c>
      <c r="T1055" t="s">
        <v>3153</v>
      </c>
      <c r="U1055" t="s">
        <v>49</v>
      </c>
      <c r="V1055" t="s">
        <v>3154</v>
      </c>
    </row>
    <row r="1056" spans="1:22" x14ac:dyDescent="0.2">
      <c r="A1056" t="s">
        <v>2176</v>
      </c>
      <c r="B1056" t="s">
        <v>2177</v>
      </c>
      <c r="C1056" t="s">
        <v>96</v>
      </c>
      <c r="D1056" t="s">
        <v>97</v>
      </c>
      <c r="E1056" t="s">
        <v>80</v>
      </c>
      <c r="F1056" t="s">
        <v>67</v>
      </c>
      <c r="G1056" t="s">
        <v>118</v>
      </c>
      <c r="H1056" t="s">
        <v>47</v>
      </c>
      <c r="I1056" t="s">
        <v>62</v>
      </c>
      <c r="J1056" t="s">
        <v>63</v>
      </c>
      <c r="K1056" s="4">
        <v>46085</v>
      </c>
      <c r="L1056" s="4">
        <v>46265</v>
      </c>
      <c r="M1056" t="s">
        <v>38</v>
      </c>
      <c r="N1056" t="s">
        <v>75</v>
      </c>
      <c r="O1056">
        <v>2</v>
      </c>
      <c r="P1056" t="s">
        <v>62</v>
      </c>
      <c r="Q1056" s="4">
        <v>46190</v>
      </c>
      <c r="R1056" t="s">
        <v>38</v>
      </c>
      <c r="S1056" t="s">
        <v>38</v>
      </c>
      <c r="T1056" t="s">
        <v>3153</v>
      </c>
      <c r="U1056" t="s">
        <v>75</v>
      </c>
      <c r="V1056" t="s">
        <v>3154</v>
      </c>
    </row>
    <row r="1057" spans="1:22" x14ac:dyDescent="0.2">
      <c r="A1057" t="s">
        <v>2178</v>
      </c>
      <c r="B1057" t="s">
        <v>2179</v>
      </c>
      <c r="C1057" t="s">
        <v>31</v>
      </c>
      <c r="D1057" t="s">
        <v>83</v>
      </c>
      <c r="E1057" t="s">
        <v>105</v>
      </c>
      <c r="F1057" t="s">
        <v>67</v>
      </c>
      <c r="G1057" t="s">
        <v>118</v>
      </c>
      <c r="H1057" t="s">
        <v>88</v>
      </c>
      <c r="I1057" t="s">
        <v>50</v>
      </c>
      <c r="J1057" t="s">
        <v>37</v>
      </c>
      <c r="K1057" s="4">
        <v>46105</v>
      </c>
      <c r="L1057" s="4">
        <v>46285</v>
      </c>
      <c r="M1057" t="s">
        <v>38</v>
      </c>
      <c r="N1057" t="s">
        <v>49</v>
      </c>
      <c r="O1057">
        <v>3</v>
      </c>
      <c r="P1057" t="s">
        <v>50</v>
      </c>
      <c r="Q1057" s="4">
        <v>46345</v>
      </c>
      <c r="R1057" t="s">
        <v>84</v>
      </c>
      <c r="S1057" t="s">
        <v>38</v>
      </c>
      <c r="T1057" t="s">
        <v>3153</v>
      </c>
      <c r="U1057" t="s">
        <v>49</v>
      </c>
      <c r="V1057" t="s">
        <v>3154</v>
      </c>
    </row>
    <row r="1058" spans="1:22" x14ac:dyDescent="0.2">
      <c r="A1058" t="s">
        <v>2180</v>
      </c>
      <c r="B1058" t="s">
        <v>2181</v>
      </c>
      <c r="C1058" t="s">
        <v>78</v>
      </c>
      <c r="D1058" t="s">
        <v>79</v>
      </c>
      <c r="E1058" t="s">
        <v>60</v>
      </c>
      <c r="F1058" t="s">
        <v>34</v>
      </c>
      <c r="G1058" t="s">
        <v>35</v>
      </c>
      <c r="H1058" t="s">
        <v>88</v>
      </c>
      <c r="I1058" t="s">
        <v>50</v>
      </c>
      <c r="J1058" t="s">
        <v>63</v>
      </c>
      <c r="K1058" s="4">
        <v>45840</v>
      </c>
      <c r="L1058" s="4">
        <v>46205</v>
      </c>
      <c r="M1058" t="s">
        <v>38</v>
      </c>
      <c r="N1058" t="s">
        <v>55</v>
      </c>
      <c r="O1058">
        <v>1</v>
      </c>
      <c r="P1058" t="s">
        <v>39</v>
      </c>
      <c r="Q1058" s="4">
        <v>46317</v>
      </c>
      <c r="R1058" t="s">
        <v>64</v>
      </c>
      <c r="S1058" t="s">
        <v>38</v>
      </c>
      <c r="T1058" t="s">
        <v>3153</v>
      </c>
      <c r="U1058" t="s">
        <v>55</v>
      </c>
      <c r="V1058" t="s">
        <v>3154</v>
      </c>
    </row>
    <row r="1059" spans="1:22" x14ac:dyDescent="0.2">
      <c r="A1059" t="s">
        <v>2182</v>
      </c>
      <c r="B1059" t="s">
        <v>2183</v>
      </c>
      <c r="C1059" t="s">
        <v>73</v>
      </c>
      <c r="D1059" t="s">
        <v>74</v>
      </c>
      <c r="E1059" t="s">
        <v>60</v>
      </c>
      <c r="F1059" t="s">
        <v>34</v>
      </c>
      <c r="G1059" t="s">
        <v>35</v>
      </c>
      <c r="H1059" t="s">
        <v>47</v>
      </c>
      <c r="I1059" t="s">
        <v>50</v>
      </c>
      <c r="J1059" t="s">
        <v>37</v>
      </c>
      <c r="K1059" s="4">
        <v>45897</v>
      </c>
      <c r="L1059" s="4">
        <v>45987</v>
      </c>
      <c r="M1059" t="s">
        <v>38</v>
      </c>
      <c r="N1059" t="s">
        <v>49</v>
      </c>
      <c r="O1059">
        <v>2</v>
      </c>
      <c r="P1059" t="s">
        <v>62</v>
      </c>
      <c r="Q1059" s="4">
        <v>46365</v>
      </c>
      <c r="R1059" t="s">
        <v>64</v>
      </c>
      <c r="S1059" t="s">
        <v>38</v>
      </c>
      <c r="T1059" t="s">
        <v>3153</v>
      </c>
      <c r="U1059" t="s">
        <v>49</v>
      </c>
      <c r="V1059" t="s">
        <v>3154</v>
      </c>
    </row>
    <row r="1060" spans="1:22" x14ac:dyDescent="0.2">
      <c r="A1060" t="s">
        <v>2184</v>
      </c>
      <c r="B1060" t="s">
        <v>2185</v>
      </c>
      <c r="C1060" t="s">
        <v>31</v>
      </c>
      <c r="D1060" t="s">
        <v>32</v>
      </c>
      <c r="E1060" t="s">
        <v>91</v>
      </c>
      <c r="F1060" t="s">
        <v>45</v>
      </c>
      <c r="G1060" t="s">
        <v>61</v>
      </c>
      <c r="H1060" t="s">
        <v>88</v>
      </c>
      <c r="I1060" t="s">
        <v>70</v>
      </c>
      <c r="J1060" t="s">
        <v>48</v>
      </c>
      <c r="K1060" s="4">
        <v>46160</v>
      </c>
      <c r="L1060" s="4">
        <v>46525</v>
      </c>
      <c r="M1060" t="s">
        <v>84</v>
      </c>
      <c r="N1060" t="s">
        <v>49</v>
      </c>
      <c r="O1060">
        <v>1</v>
      </c>
      <c r="P1060" t="s">
        <v>70</v>
      </c>
      <c r="Q1060" s="4">
        <v>46115</v>
      </c>
      <c r="R1060" t="s">
        <v>38</v>
      </c>
      <c r="S1060" t="s">
        <v>3155</v>
      </c>
      <c r="T1060" t="s">
        <v>3153</v>
      </c>
      <c r="U1060" t="s">
        <v>49</v>
      </c>
      <c r="V1060" t="s">
        <v>3154</v>
      </c>
    </row>
    <row r="1061" spans="1:22" x14ac:dyDescent="0.2">
      <c r="A1061" t="s">
        <v>2186</v>
      </c>
      <c r="B1061" t="s">
        <v>2187</v>
      </c>
      <c r="C1061" t="s">
        <v>103</v>
      </c>
      <c r="D1061" t="s">
        <v>104</v>
      </c>
      <c r="E1061" t="s">
        <v>44</v>
      </c>
      <c r="F1061" t="s">
        <v>34</v>
      </c>
      <c r="G1061" t="s">
        <v>35</v>
      </c>
      <c r="H1061" t="s">
        <v>36</v>
      </c>
      <c r="I1061" t="s">
        <v>56</v>
      </c>
      <c r="J1061" t="s">
        <v>48</v>
      </c>
      <c r="K1061" s="4">
        <v>45853</v>
      </c>
      <c r="L1061" s="4">
        <v>45943</v>
      </c>
      <c r="M1061" t="s">
        <v>38</v>
      </c>
      <c r="N1061" t="s">
        <v>49</v>
      </c>
      <c r="O1061">
        <v>5</v>
      </c>
      <c r="P1061" t="s">
        <v>39</v>
      </c>
      <c r="Q1061" s="4">
        <v>46164</v>
      </c>
      <c r="R1061" t="s">
        <v>38</v>
      </c>
      <c r="S1061" t="s">
        <v>38</v>
      </c>
      <c r="T1061" t="s">
        <v>3153</v>
      </c>
      <c r="U1061" t="s">
        <v>49</v>
      </c>
      <c r="V1061" t="s">
        <v>3152</v>
      </c>
    </row>
    <row r="1062" spans="1:22" x14ac:dyDescent="0.2">
      <c r="A1062" t="s">
        <v>2188</v>
      </c>
      <c r="B1062" t="s">
        <v>2189</v>
      </c>
      <c r="C1062" t="s">
        <v>31</v>
      </c>
      <c r="D1062" t="s">
        <v>87</v>
      </c>
      <c r="E1062" t="s">
        <v>44</v>
      </c>
      <c r="F1062" t="s">
        <v>67</v>
      </c>
      <c r="G1062" t="s">
        <v>68</v>
      </c>
      <c r="H1062" t="s">
        <v>47</v>
      </c>
      <c r="I1062" t="s">
        <v>70</v>
      </c>
      <c r="J1062" t="s">
        <v>63</v>
      </c>
      <c r="K1062" s="4">
        <v>46241</v>
      </c>
      <c r="L1062" s="4">
        <v>46421</v>
      </c>
      <c r="M1062" t="s">
        <v>64</v>
      </c>
      <c r="N1062" t="s">
        <v>55</v>
      </c>
      <c r="O1062">
        <v>3</v>
      </c>
      <c r="P1062" t="s">
        <v>56</v>
      </c>
      <c r="Q1062" s="4">
        <v>46298</v>
      </c>
      <c r="R1062" t="s">
        <v>84</v>
      </c>
      <c r="S1062" t="s">
        <v>3155</v>
      </c>
      <c r="T1062" t="s">
        <v>3153</v>
      </c>
      <c r="U1062" t="s">
        <v>55</v>
      </c>
      <c r="V1062" t="s">
        <v>3154</v>
      </c>
    </row>
    <row r="1063" spans="1:22" x14ac:dyDescent="0.2">
      <c r="A1063" t="s">
        <v>2190</v>
      </c>
      <c r="B1063" t="s">
        <v>2191</v>
      </c>
      <c r="C1063" t="s">
        <v>73</v>
      </c>
      <c r="D1063" t="s">
        <v>74</v>
      </c>
      <c r="E1063" t="s">
        <v>53</v>
      </c>
      <c r="F1063" t="s">
        <v>67</v>
      </c>
      <c r="G1063" t="s">
        <v>118</v>
      </c>
      <c r="H1063" t="s">
        <v>47</v>
      </c>
      <c r="I1063" t="s">
        <v>62</v>
      </c>
      <c r="J1063" t="s">
        <v>37</v>
      </c>
      <c r="K1063" s="4">
        <v>45958</v>
      </c>
      <c r="L1063" s="4">
        <v>46323</v>
      </c>
      <c r="M1063" t="s">
        <v>84</v>
      </c>
      <c r="N1063" t="s">
        <v>49</v>
      </c>
      <c r="O1063">
        <v>3</v>
      </c>
      <c r="P1063" t="s">
        <v>111</v>
      </c>
      <c r="Q1063" s="4">
        <v>46131</v>
      </c>
      <c r="R1063" t="s">
        <v>38</v>
      </c>
      <c r="S1063" t="s">
        <v>3155</v>
      </c>
      <c r="T1063" t="s">
        <v>3153</v>
      </c>
      <c r="U1063" t="s">
        <v>49</v>
      </c>
      <c r="V1063" t="s">
        <v>3154</v>
      </c>
    </row>
    <row r="1064" spans="1:22" x14ac:dyDescent="0.2">
      <c r="A1064" t="s">
        <v>2192</v>
      </c>
      <c r="B1064" t="s">
        <v>2193</v>
      </c>
      <c r="C1064" t="s">
        <v>31</v>
      </c>
      <c r="D1064" t="s">
        <v>32</v>
      </c>
      <c r="E1064" t="s">
        <v>80</v>
      </c>
      <c r="F1064" t="s">
        <v>67</v>
      </c>
      <c r="G1064" t="s">
        <v>68</v>
      </c>
      <c r="H1064" t="s">
        <v>88</v>
      </c>
      <c r="I1064" t="s">
        <v>106</v>
      </c>
      <c r="J1064" t="s">
        <v>37</v>
      </c>
      <c r="K1064" s="4">
        <v>45925</v>
      </c>
      <c r="L1064" s="4">
        <v>46105</v>
      </c>
      <c r="M1064" t="s">
        <v>38</v>
      </c>
      <c r="N1064" t="s">
        <v>55</v>
      </c>
      <c r="O1064">
        <v>3</v>
      </c>
      <c r="P1064" t="s">
        <v>70</v>
      </c>
      <c r="Q1064" s="4">
        <v>46134</v>
      </c>
      <c r="R1064" t="s">
        <v>38</v>
      </c>
      <c r="S1064" t="s">
        <v>38</v>
      </c>
      <c r="T1064" t="s">
        <v>3153</v>
      </c>
      <c r="U1064" t="s">
        <v>55</v>
      </c>
      <c r="V1064" t="s">
        <v>3154</v>
      </c>
    </row>
    <row r="1065" spans="1:22" x14ac:dyDescent="0.2">
      <c r="A1065" t="s">
        <v>2194</v>
      </c>
      <c r="B1065" t="s">
        <v>2195</v>
      </c>
      <c r="C1065" t="s">
        <v>96</v>
      </c>
      <c r="D1065" t="s">
        <v>97</v>
      </c>
      <c r="E1065" t="s">
        <v>91</v>
      </c>
      <c r="F1065" t="s">
        <v>45</v>
      </c>
      <c r="G1065" t="s">
        <v>46</v>
      </c>
      <c r="H1065" t="s">
        <v>36</v>
      </c>
      <c r="I1065" t="s">
        <v>70</v>
      </c>
      <c r="J1065" t="s">
        <v>37</v>
      </c>
      <c r="K1065" s="4">
        <v>46043</v>
      </c>
      <c r="L1065" s="4">
        <v>46223</v>
      </c>
      <c r="M1065" t="s">
        <v>38</v>
      </c>
      <c r="N1065" t="s">
        <v>49</v>
      </c>
      <c r="O1065">
        <v>2</v>
      </c>
      <c r="P1065" t="s">
        <v>56</v>
      </c>
      <c r="Q1065" s="4">
        <v>46238</v>
      </c>
      <c r="R1065" t="s">
        <v>38</v>
      </c>
      <c r="S1065" t="s">
        <v>38</v>
      </c>
      <c r="T1065" t="s">
        <v>3153</v>
      </c>
      <c r="U1065" t="s">
        <v>49</v>
      </c>
      <c r="V1065" t="s">
        <v>3152</v>
      </c>
    </row>
    <row r="1066" spans="1:22" x14ac:dyDescent="0.2">
      <c r="A1066" t="s">
        <v>2196</v>
      </c>
      <c r="B1066" t="s">
        <v>2197</v>
      </c>
      <c r="C1066" t="s">
        <v>96</v>
      </c>
      <c r="D1066" t="s">
        <v>97</v>
      </c>
      <c r="E1066" t="s">
        <v>44</v>
      </c>
      <c r="F1066" t="s">
        <v>34</v>
      </c>
      <c r="G1066" t="s">
        <v>35</v>
      </c>
      <c r="H1066" t="s">
        <v>88</v>
      </c>
      <c r="I1066" t="s">
        <v>70</v>
      </c>
      <c r="J1066" t="s">
        <v>63</v>
      </c>
      <c r="K1066" s="4">
        <v>46270</v>
      </c>
      <c r="L1066" s="4">
        <v>46635</v>
      </c>
      <c r="M1066" t="s">
        <v>64</v>
      </c>
      <c r="N1066" t="s">
        <v>49</v>
      </c>
      <c r="O1066">
        <v>0</v>
      </c>
      <c r="P1066" t="s">
        <v>50</v>
      </c>
      <c r="Q1066" s="4">
        <v>46374</v>
      </c>
      <c r="R1066" t="s">
        <v>57</v>
      </c>
      <c r="S1066" t="s">
        <v>3155</v>
      </c>
      <c r="T1066" t="s">
        <v>3153</v>
      </c>
      <c r="U1066" t="s">
        <v>49</v>
      </c>
      <c r="V1066" t="s">
        <v>3154</v>
      </c>
    </row>
    <row r="1067" spans="1:22" x14ac:dyDescent="0.2">
      <c r="A1067" t="s">
        <v>2198</v>
      </c>
      <c r="B1067" t="s">
        <v>2199</v>
      </c>
      <c r="C1067" t="s">
        <v>42</v>
      </c>
      <c r="D1067" t="s">
        <v>43</v>
      </c>
      <c r="E1067" t="s">
        <v>91</v>
      </c>
      <c r="F1067" t="s">
        <v>67</v>
      </c>
      <c r="G1067" t="s">
        <v>118</v>
      </c>
      <c r="H1067" t="s">
        <v>88</v>
      </c>
      <c r="I1067" t="s">
        <v>39</v>
      </c>
      <c r="J1067" t="s">
        <v>48</v>
      </c>
      <c r="K1067" s="4">
        <v>46146</v>
      </c>
      <c r="L1067" s="4">
        <v>46511</v>
      </c>
      <c r="M1067" t="s">
        <v>64</v>
      </c>
      <c r="N1067" t="s">
        <v>49</v>
      </c>
      <c r="O1067">
        <v>3</v>
      </c>
      <c r="P1067" t="s">
        <v>39</v>
      </c>
      <c r="Q1067" s="4">
        <v>46204</v>
      </c>
      <c r="R1067" t="s">
        <v>38</v>
      </c>
      <c r="S1067" t="s">
        <v>3155</v>
      </c>
      <c r="T1067" t="s">
        <v>3153</v>
      </c>
      <c r="U1067" t="s">
        <v>49</v>
      </c>
      <c r="V1067" t="s">
        <v>3154</v>
      </c>
    </row>
    <row r="1068" spans="1:22" x14ac:dyDescent="0.2">
      <c r="A1068" t="s">
        <v>2200</v>
      </c>
      <c r="B1068" t="s">
        <v>2201</v>
      </c>
      <c r="C1068" t="s">
        <v>78</v>
      </c>
      <c r="D1068" t="s">
        <v>79</v>
      </c>
      <c r="E1068" t="s">
        <v>80</v>
      </c>
      <c r="F1068" t="s">
        <v>67</v>
      </c>
      <c r="G1068" t="s">
        <v>118</v>
      </c>
      <c r="H1068" t="s">
        <v>47</v>
      </c>
      <c r="I1068" t="s">
        <v>50</v>
      </c>
      <c r="J1068" t="s">
        <v>63</v>
      </c>
      <c r="K1068" s="4">
        <v>45847</v>
      </c>
      <c r="L1068" s="4">
        <v>45937</v>
      </c>
      <c r="M1068" t="s">
        <v>38</v>
      </c>
      <c r="N1068" t="s">
        <v>55</v>
      </c>
      <c r="O1068">
        <v>3</v>
      </c>
      <c r="P1068" t="s">
        <v>50</v>
      </c>
      <c r="Q1068" s="4">
        <v>46363</v>
      </c>
      <c r="R1068" t="s">
        <v>64</v>
      </c>
      <c r="S1068" t="s">
        <v>38</v>
      </c>
      <c r="T1068" t="s">
        <v>3153</v>
      </c>
      <c r="U1068" t="s">
        <v>55</v>
      </c>
      <c r="V1068" t="s">
        <v>3154</v>
      </c>
    </row>
    <row r="1069" spans="1:22" x14ac:dyDescent="0.2">
      <c r="A1069" t="s">
        <v>2202</v>
      </c>
      <c r="B1069" t="s">
        <v>2203</v>
      </c>
      <c r="C1069" t="s">
        <v>31</v>
      </c>
      <c r="D1069" t="s">
        <v>32</v>
      </c>
      <c r="E1069" t="s">
        <v>53</v>
      </c>
      <c r="F1069" t="s">
        <v>67</v>
      </c>
      <c r="G1069" t="s">
        <v>68</v>
      </c>
      <c r="H1069" t="s">
        <v>47</v>
      </c>
      <c r="I1069" t="s">
        <v>106</v>
      </c>
      <c r="J1069" t="s">
        <v>48</v>
      </c>
      <c r="K1069" s="4">
        <v>45832</v>
      </c>
      <c r="L1069" s="4">
        <v>46197</v>
      </c>
      <c r="M1069" t="s">
        <v>38</v>
      </c>
      <c r="N1069" t="s">
        <v>49</v>
      </c>
      <c r="O1069">
        <v>3</v>
      </c>
      <c r="P1069" t="s">
        <v>50</v>
      </c>
      <c r="Q1069" s="4">
        <v>46232</v>
      </c>
      <c r="R1069" t="s">
        <v>38</v>
      </c>
      <c r="S1069" t="s">
        <v>38</v>
      </c>
      <c r="T1069" t="s">
        <v>3153</v>
      </c>
      <c r="U1069" t="s">
        <v>49</v>
      </c>
      <c r="V1069" t="s">
        <v>3154</v>
      </c>
    </row>
    <row r="1070" spans="1:22" x14ac:dyDescent="0.2">
      <c r="A1070" t="s">
        <v>2204</v>
      </c>
      <c r="B1070" t="s">
        <v>2205</v>
      </c>
      <c r="C1070" t="s">
        <v>96</v>
      </c>
      <c r="D1070" t="s">
        <v>97</v>
      </c>
      <c r="E1070" t="s">
        <v>80</v>
      </c>
      <c r="F1070" t="s">
        <v>45</v>
      </c>
      <c r="G1070" t="s">
        <v>46</v>
      </c>
      <c r="H1070" t="s">
        <v>88</v>
      </c>
      <c r="I1070" t="s">
        <v>62</v>
      </c>
      <c r="J1070" t="s">
        <v>37</v>
      </c>
      <c r="K1070" s="4">
        <v>46265</v>
      </c>
      <c r="L1070" s="4">
        <v>46630</v>
      </c>
      <c r="M1070" t="s">
        <v>64</v>
      </c>
      <c r="N1070" t="s">
        <v>49</v>
      </c>
      <c r="O1070">
        <v>2</v>
      </c>
      <c r="P1070" t="s">
        <v>62</v>
      </c>
      <c r="Q1070" s="4">
        <v>46393</v>
      </c>
      <c r="R1070" t="s">
        <v>64</v>
      </c>
      <c r="S1070" t="s">
        <v>3155</v>
      </c>
      <c r="T1070" t="s">
        <v>3153</v>
      </c>
      <c r="U1070" t="s">
        <v>49</v>
      </c>
      <c r="V1070" t="s">
        <v>3154</v>
      </c>
    </row>
    <row r="1071" spans="1:22" x14ac:dyDescent="0.2">
      <c r="A1071" t="s">
        <v>2206</v>
      </c>
      <c r="B1071" t="s">
        <v>2207</v>
      </c>
      <c r="C1071" t="s">
        <v>103</v>
      </c>
      <c r="D1071" t="s">
        <v>104</v>
      </c>
      <c r="E1071" t="s">
        <v>105</v>
      </c>
      <c r="F1071" t="s">
        <v>34</v>
      </c>
      <c r="G1071" t="s">
        <v>35</v>
      </c>
      <c r="H1071" t="s">
        <v>47</v>
      </c>
      <c r="I1071" t="s">
        <v>56</v>
      </c>
      <c r="J1071" t="s">
        <v>48</v>
      </c>
      <c r="K1071" s="4">
        <v>45826</v>
      </c>
      <c r="L1071" s="4">
        <v>46191</v>
      </c>
      <c r="M1071" t="s">
        <v>38</v>
      </c>
      <c r="N1071" t="s">
        <v>75</v>
      </c>
      <c r="O1071">
        <v>3</v>
      </c>
      <c r="P1071" t="s">
        <v>39</v>
      </c>
      <c r="Q1071" s="4">
        <v>46320</v>
      </c>
      <c r="R1071" t="s">
        <v>84</v>
      </c>
      <c r="S1071" t="s">
        <v>38</v>
      </c>
      <c r="T1071" t="s">
        <v>3153</v>
      </c>
      <c r="U1071" t="s">
        <v>75</v>
      </c>
      <c r="V1071" t="s">
        <v>3154</v>
      </c>
    </row>
    <row r="1072" spans="1:22" x14ac:dyDescent="0.2">
      <c r="A1072" t="s">
        <v>2208</v>
      </c>
      <c r="B1072" t="s">
        <v>2209</v>
      </c>
      <c r="C1072" t="s">
        <v>31</v>
      </c>
      <c r="D1072" t="s">
        <v>83</v>
      </c>
      <c r="E1072" t="s">
        <v>60</v>
      </c>
      <c r="F1072" t="s">
        <v>45</v>
      </c>
      <c r="G1072" t="s">
        <v>46</v>
      </c>
      <c r="H1072" t="s">
        <v>47</v>
      </c>
      <c r="I1072" t="s">
        <v>54</v>
      </c>
      <c r="J1072" t="s">
        <v>37</v>
      </c>
      <c r="K1072" s="4">
        <v>46047</v>
      </c>
      <c r="L1072" s="4">
        <v>46412</v>
      </c>
      <c r="M1072" t="s">
        <v>69</v>
      </c>
      <c r="N1072" t="s">
        <v>49</v>
      </c>
      <c r="O1072">
        <v>2</v>
      </c>
      <c r="P1072" t="s">
        <v>70</v>
      </c>
      <c r="Q1072" s="4">
        <v>46359</v>
      </c>
      <c r="R1072" t="s">
        <v>64</v>
      </c>
      <c r="S1072" t="s">
        <v>3155</v>
      </c>
      <c r="T1072" t="s">
        <v>3153</v>
      </c>
      <c r="U1072" t="s">
        <v>49</v>
      </c>
      <c r="V1072" t="s">
        <v>3154</v>
      </c>
    </row>
    <row r="1073" spans="1:22" x14ac:dyDescent="0.2">
      <c r="A1073" t="s">
        <v>2210</v>
      </c>
      <c r="B1073" t="s">
        <v>2211</v>
      </c>
      <c r="C1073" t="s">
        <v>31</v>
      </c>
      <c r="D1073" t="s">
        <v>87</v>
      </c>
      <c r="E1073" t="s">
        <v>44</v>
      </c>
      <c r="F1073" t="s">
        <v>34</v>
      </c>
      <c r="G1073" t="s">
        <v>35</v>
      </c>
      <c r="H1073" t="s">
        <v>47</v>
      </c>
      <c r="I1073" t="s">
        <v>56</v>
      </c>
      <c r="J1073" t="s">
        <v>63</v>
      </c>
      <c r="K1073" s="4">
        <v>46207</v>
      </c>
      <c r="L1073" s="4">
        <v>46572</v>
      </c>
      <c r="M1073" t="s">
        <v>84</v>
      </c>
      <c r="N1073" t="s">
        <v>75</v>
      </c>
      <c r="O1073">
        <v>0</v>
      </c>
      <c r="P1073" t="s">
        <v>56</v>
      </c>
      <c r="Q1073" s="4">
        <v>46376</v>
      </c>
      <c r="R1073" t="s">
        <v>57</v>
      </c>
      <c r="S1073" t="s">
        <v>3155</v>
      </c>
      <c r="T1073" t="s">
        <v>3153</v>
      </c>
      <c r="U1073" t="s">
        <v>75</v>
      </c>
      <c r="V1073" t="s">
        <v>3154</v>
      </c>
    </row>
    <row r="1074" spans="1:22" x14ac:dyDescent="0.2">
      <c r="A1074" t="s">
        <v>2212</v>
      </c>
      <c r="B1074" t="s">
        <v>2213</v>
      </c>
      <c r="C1074" t="s">
        <v>96</v>
      </c>
      <c r="D1074" t="s">
        <v>97</v>
      </c>
      <c r="E1074" t="s">
        <v>53</v>
      </c>
      <c r="F1074" t="s">
        <v>34</v>
      </c>
      <c r="G1074" t="s">
        <v>35</v>
      </c>
      <c r="H1074" t="s">
        <v>36</v>
      </c>
      <c r="I1074" t="s">
        <v>50</v>
      </c>
      <c r="J1074" t="s">
        <v>48</v>
      </c>
      <c r="K1074" s="4">
        <v>46112</v>
      </c>
      <c r="L1074" s="4">
        <v>46202</v>
      </c>
      <c r="M1074" t="s">
        <v>38</v>
      </c>
      <c r="N1074" t="s">
        <v>75</v>
      </c>
      <c r="O1074">
        <v>1</v>
      </c>
      <c r="P1074" t="s">
        <v>70</v>
      </c>
      <c r="Q1074" s="4">
        <v>46211</v>
      </c>
      <c r="R1074" t="s">
        <v>38</v>
      </c>
      <c r="S1074" t="s">
        <v>38</v>
      </c>
      <c r="T1074" t="s">
        <v>3153</v>
      </c>
      <c r="U1074" t="s">
        <v>75</v>
      </c>
      <c r="V1074" t="s">
        <v>3152</v>
      </c>
    </row>
    <row r="1075" spans="1:22" x14ac:dyDescent="0.2">
      <c r="A1075" t="s">
        <v>2214</v>
      </c>
      <c r="B1075" t="s">
        <v>2215</v>
      </c>
      <c r="C1075" t="s">
        <v>31</v>
      </c>
      <c r="D1075" t="s">
        <v>32</v>
      </c>
      <c r="E1075" t="s">
        <v>60</v>
      </c>
      <c r="F1075" t="s">
        <v>45</v>
      </c>
      <c r="G1075" t="s">
        <v>61</v>
      </c>
      <c r="H1075" t="s">
        <v>88</v>
      </c>
      <c r="I1075" t="s">
        <v>70</v>
      </c>
      <c r="J1075" t="s">
        <v>48</v>
      </c>
      <c r="K1075" s="4">
        <v>46201</v>
      </c>
      <c r="L1075" s="4">
        <v>46566</v>
      </c>
      <c r="M1075" t="s">
        <v>64</v>
      </c>
      <c r="N1075" t="s">
        <v>49</v>
      </c>
      <c r="O1075">
        <v>1</v>
      </c>
      <c r="P1075" t="s">
        <v>54</v>
      </c>
      <c r="Q1075" s="4">
        <v>46149</v>
      </c>
      <c r="R1075" t="s">
        <v>38</v>
      </c>
      <c r="S1075" t="s">
        <v>3155</v>
      </c>
      <c r="T1075" t="s">
        <v>3153</v>
      </c>
      <c r="U1075" t="s">
        <v>49</v>
      </c>
      <c r="V1075" t="s">
        <v>3154</v>
      </c>
    </row>
    <row r="1076" spans="1:22" x14ac:dyDescent="0.2">
      <c r="A1076" t="s">
        <v>2216</v>
      </c>
      <c r="B1076" t="s">
        <v>2217</v>
      </c>
      <c r="C1076" t="s">
        <v>31</v>
      </c>
      <c r="D1076" t="s">
        <v>87</v>
      </c>
      <c r="E1076" t="s">
        <v>91</v>
      </c>
      <c r="F1076" t="s">
        <v>34</v>
      </c>
      <c r="G1076" t="s">
        <v>35</v>
      </c>
      <c r="H1076" t="s">
        <v>88</v>
      </c>
      <c r="I1076" t="s">
        <v>54</v>
      </c>
      <c r="J1076" t="s">
        <v>37</v>
      </c>
      <c r="K1076" s="4">
        <v>45852</v>
      </c>
      <c r="L1076" s="4">
        <v>46032</v>
      </c>
      <c r="M1076" t="s">
        <v>38</v>
      </c>
      <c r="N1076" t="s">
        <v>75</v>
      </c>
      <c r="O1076">
        <v>0</v>
      </c>
      <c r="P1076" t="s">
        <v>62</v>
      </c>
      <c r="Q1076" s="4">
        <v>46336</v>
      </c>
      <c r="R1076" t="s">
        <v>57</v>
      </c>
      <c r="S1076" t="s">
        <v>38</v>
      </c>
      <c r="T1076" t="s">
        <v>3153</v>
      </c>
      <c r="U1076" t="s">
        <v>75</v>
      </c>
      <c r="V1076" t="s">
        <v>3154</v>
      </c>
    </row>
    <row r="1077" spans="1:22" x14ac:dyDescent="0.2">
      <c r="A1077" t="s">
        <v>2218</v>
      </c>
      <c r="B1077" t="s">
        <v>2219</v>
      </c>
      <c r="C1077" t="s">
        <v>78</v>
      </c>
      <c r="D1077" t="s">
        <v>79</v>
      </c>
      <c r="E1077" t="s">
        <v>91</v>
      </c>
      <c r="F1077" t="s">
        <v>45</v>
      </c>
      <c r="G1077" t="s">
        <v>46</v>
      </c>
      <c r="H1077" t="s">
        <v>36</v>
      </c>
      <c r="I1077" t="s">
        <v>106</v>
      </c>
      <c r="J1077" t="s">
        <v>63</v>
      </c>
      <c r="K1077" s="4">
        <v>46075</v>
      </c>
      <c r="L1077" s="4">
        <v>46255</v>
      </c>
      <c r="M1077" t="s">
        <v>38</v>
      </c>
      <c r="N1077" t="s">
        <v>49</v>
      </c>
      <c r="O1077">
        <v>1</v>
      </c>
      <c r="P1077" t="s">
        <v>50</v>
      </c>
      <c r="Q1077" s="4">
        <v>46180</v>
      </c>
      <c r="R1077" t="s">
        <v>38</v>
      </c>
      <c r="S1077" t="s">
        <v>38</v>
      </c>
      <c r="T1077" t="s">
        <v>3153</v>
      </c>
      <c r="U1077" t="s">
        <v>49</v>
      </c>
      <c r="V1077" t="s">
        <v>3152</v>
      </c>
    </row>
    <row r="1078" spans="1:22" x14ac:dyDescent="0.2">
      <c r="A1078" t="s">
        <v>2220</v>
      </c>
      <c r="B1078" t="s">
        <v>2221</v>
      </c>
      <c r="C1078" t="s">
        <v>31</v>
      </c>
      <c r="D1078" t="s">
        <v>32</v>
      </c>
      <c r="E1078" t="s">
        <v>80</v>
      </c>
      <c r="F1078" t="s">
        <v>45</v>
      </c>
      <c r="G1078" t="s">
        <v>61</v>
      </c>
      <c r="H1078" t="s">
        <v>36</v>
      </c>
      <c r="I1078" t="s">
        <v>62</v>
      </c>
      <c r="J1078" t="s">
        <v>48</v>
      </c>
      <c r="K1078" s="4">
        <v>45968</v>
      </c>
      <c r="L1078" s="4">
        <v>46058</v>
      </c>
      <c r="M1078" t="s">
        <v>38</v>
      </c>
      <c r="N1078" t="s">
        <v>75</v>
      </c>
      <c r="O1078">
        <v>0</v>
      </c>
      <c r="P1078" t="s">
        <v>39</v>
      </c>
      <c r="Q1078" s="4">
        <v>46402</v>
      </c>
      <c r="R1078" t="s">
        <v>57</v>
      </c>
      <c r="S1078" t="s">
        <v>38</v>
      </c>
      <c r="T1078" t="s">
        <v>3153</v>
      </c>
      <c r="U1078" t="s">
        <v>75</v>
      </c>
      <c r="V1078" t="s">
        <v>3152</v>
      </c>
    </row>
    <row r="1079" spans="1:22" x14ac:dyDescent="0.2">
      <c r="A1079" t="s">
        <v>2222</v>
      </c>
      <c r="B1079" t="s">
        <v>2223</v>
      </c>
      <c r="C1079" t="s">
        <v>31</v>
      </c>
      <c r="D1079" t="s">
        <v>83</v>
      </c>
      <c r="E1079" t="s">
        <v>80</v>
      </c>
      <c r="F1079" t="s">
        <v>67</v>
      </c>
      <c r="G1079" t="s">
        <v>118</v>
      </c>
      <c r="H1079" t="s">
        <v>47</v>
      </c>
      <c r="I1079" t="s">
        <v>106</v>
      </c>
      <c r="J1079" t="s">
        <v>37</v>
      </c>
      <c r="K1079" s="4">
        <v>46120</v>
      </c>
      <c r="L1079" s="4">
        <v>46485</v>
      </c>
      <c r="M1079" t="s">
        <v>69</v>
      </c>
      <c r="N1079" t="s">
        <v>75</v>
      </c>
      <c r="O1079">
        <v>3</v>
      </c>
      <c r="P1079" t="s">
        <v>70</v>
      </c>
      <c r="Q1079" s="4">
        <v>46312</v>
      </c>
      <c r="R1079" t="s">
        <v>84</v>
      </c>
      <c r="S1079" t="s">
        <v>3155</v>
      </c>
      <c r="T1079" t="s">
        <v>3153</v>
      </c>
      <c r="U1079" t="s">
        <v>75</v>
      </c>
      <c r="V1079" t="s">
        <v>3154</v>
      </c>
    </row>
    <row r="1080" spans="1:22" x14ac:dyDescent="0.2">
      <c r="A1080" t="s">
        <v>2224</v>
      </c>
      <c r="B1080" t="s">
        <v>2225</v>
      </c>
      <c r="C1080" t="s">
        <v>73</v>
      </c>
      <c r="D1080" t="s">
        <v>74</v>
      </c>
      <c r="E1080" t="s">
        <v>53</v>
      </c>
      <c r="F1080" t="s">
        <v>34</v>
      </c>
      <c r="G1080" t="s">
        <v>35</v>
      </c>
      <c r="H1080" t="s">
        <v>88</v>
      </c>
      <c r="I1080" t="s">
        <v>70</v>
      </c>
      <c r="J1080" t="s">
        <v>63</v>
      </c>
      <c r="K1080" s="4">
        <v>46147</v>
      </c>
      <c r="L1080" s="4">
        <v>46512</v>
      </c>
      <c r="M1080" t="s">
        <v>64</v>
      </c>
      <c r="N1080" t="s">
        <v>75</v>
      </c>
      <c r="O1080">
        <v>2</v>
      </c>
      <c r="P1080" t="s">
        <v>54</v>
      </c>
      <c r="Q1080" s="4">
        <v>46377</v>
      </c>
      <c r="R1080" t="s">
        <v>64</v>
      </c>
      <c r="S1080" t="s">
        <v>3155</v>
      </c>
      <c r="T1080" t="s">
        <v>3153</v>
      </c>
      <c r="U1080" t="s">
        <v>75</v>
      </c>
      <c r="V1080" t="s">
        <v>3154</v>
      </c>
    </row>
    <row r="1081" spans="1:22" x14ac:dyDescent="0.2">
      <c r="A1081" t="s">
        <v>2226</v>
      </c>
      <c r="B1081" t="s">
        <v>2227</v>
      </c>
      <c r="C1081" t="s">
        <v>42</v>
      </c>
      <c r="D1081" t="s">
        <v>43</v>
      </c>
      <c r="E1081" t="s">
        <v>44</v>
      </c>
      <c r="F1081" t="s">
        <v>67</v>
      </c>
      <c r="G1081" t="s">
        <v>118</v>
      </c>
      <c r="H1081" t="s">
        <v>36</v>
      </c>
      <c r="I1081" t="s">
        <v>62</v>
      </c>
      <c r="J1081" t="s">
        <v>63</v>
      </c>
      <c r="K1081" s="4">
        <v>46133</v>
      </c>
      <c r="L1081" s="4">
        <v>46313</v>
      </c>
      <c r="M1081" t="s">
        <v>84</v>
      </c>
      <c r="O1081">
        <v>4</v>
      </c>
      <c r="P1081" t="s">
        <v>106</v>
      </c>
      <c r="Q1081" s="4">
        <v>46186</v>
      </c>
      <c r="R1081" t="s">
        <v>38</v>
      </c>
      <c r="S1081" t="s">
        <v>3155</v>
      </c>
      <c r="T1081" t="s">
        <v>3153</v>
      </c>
      <c r="U1081" t="s">
        <v>3151</v>
      </c>
      <c r="V1081" t="s">
        <v>3152</v>
      </c>
    </row>
    <row r="1082" spans="1:22" x14ac:dyDescent="0.2">
      <c r="A1082" t="s">
        <v>2228</v>
      </c>
      <c r="B1082" t="s">
        <v>2229</v>
      </c>
      <c r="C1082" t="s">
        <v>73</v>
      </c>
      <c r="D1082" t="s">
        <v>74</v>
      </c>
      <c r="E1082" t="s">
        <v>44</v>
      </c>
      <c r="F1082" t="s">
        <v>34</v>
      </c>
      <c r="G1082" t="s">
        <v>35</v>
      </c>
      <c r="H1082" t="s">
        <v>36</v>
      </c>
      <c r="I1082" t="s">
        <v>50</v>
      </c>
      <c r="J1082" t="s">
        <v>63</v>
      </c>
      <c r="K1082" s="4">
        <v>46215</v>
      </c>
      <c r="L1082" s="4">
        <v>46580</v>
      </c>
      <c r="M1082" t="s">
        <v>69</v>
      </c>
      <c r="N1082" t="s">
        <v>49</v>
      </c>
      <c r="O1082">
        <v>1</v>
      </c>
      <c r="P1082" t="s">
        <v>111</v>
      </c>
      <c r="Q1082" s="4">
        <v>46220</v>
      </c>
      <c r="R1082" t="s">
        <v>38</v>
      </c>
      <c r="S1082" t="s">
        <v>3155</v>
      </c>
      <c r="T1082" t="s">
        <v>3153</v>
      </c>
      <c r="U1082" t="s">
        <v>49</v>
      </c>
      <c r="V1082" t="s">
        <v>3152</v>
      </c>
    </row>
    <row r="1083" spans="1:22" x14ac:dyDescent="0.2">
      <c r="A1083" t="s">
        <v>2230</v>
      </c>
      <c r="B1083" t="s">
        <v>2231</v>
      </c>
      <c r="C1083" t="s">
        <v>42</v>
      </c>
      <c r="D1083" t="s">
        <v>43</v>
      </c>
      <c r="E1083" t="s">
        <v>80</v>
      </c>
      <c r="F1083" t="s">
        <v>67</v>
      </c>
      <c r="G1083" t="s">
        <v>68</v>
      </c>
      <c r="H1083" t="s">
        <v>88</v>
      </c>
      <c r="J1083" t="s">
        <v>37</v>
      </c>
      <c r="K1083" s="4">
        <v>46137</v>
      </c>
      <c r="L1083" s="4">
        <v>46502</v>
      </c>
      <c r="M1083" t="s">
        <v>64</v>
      </c>
      <c r="N1083" t="s">
        <v>75</v>
      </c>
      <c r="O1083">
        <v>1</v>
      </c>
      <c r="P1083" t="s">
        <v>62</v>
      </c>
      <c r="Q1083" s="4">
        <v>46245</v>
      </c>
      <c r="R1083" t="s">
        <v>38</v>
      </c>
      <c r="S1083" t="s">
        <v>3155</v>
      </c>
      <c r="T1083" t="s">
        <v>3150</v>
      </c>
      <c r="U1083" t="s">
        <v>75</v>
      </c>
      <c r="V1083" t="s">
        <v>3154</v>
      </c>
    </row>
    <row r="1084" spans="1:22" x14ac:dyDescent="0.2">
      <c r="A1084" t="s">
        <v>2232</v>
      </c>
      <c r="B1084" t="s">
        <v>2233</v>
      </c>
      <c r="C1084" t="s">
        <v>78</v>
      </c>
      <c r="D1084" t="s">
        <v>79</v>
      </c>
      <c r="E1084" t="s">
        <v>44</v>
      </c>
      <c r="F1084" t="s">
        <v>45</v>
      </c>
      <c r="G1084" t="s">
        <v>46</v>
      </c>
      <c r="H1084" t="s">
        <v>36</v>
      </c>
      <c r="I1084" t="s">
        <v>56</v>
      </c>
      <c r="J1084" t="s">
        <v>37</v>
      </c>
      <c r="K1084" s="4">
        <v>45800</v>
      </c>
      <c r="L1084" s="4">
        <v>45980</v>
      </c>
      <c r="M1084" t="s">
        <v>38</v>
      </c>
      <c r="N1084" t="s">
        <v>75</v>
      </c>
      <c r="O1084">
        <v>4</v>
      </c>
      <c r="P1084" t="s">
        <v>39</v>
      </c>
      <c r="Q1084" s="4">
        <v>46413</v>
      </c>
      <c r="R1084" t="s">
        <v>84</v>
      </c>
      <c r="S1084" t="s">
        <v>38</v>
      </c>
      <c r="T1084" t="s">
        <v>3153</v>
      </c>
      <c r="U1084" t="s">
        <v>75</v>
      </c>
      <c r="V1084" t="s">
        <v>3152</v>
      </c>
    </row>
    <row r="1085" spans="1:22" x14ac:dyDescent="0.2">
      <c r="A1085" t="s">
        <v>2234</v>
      </c>
      <c r="B1085" t="s">
        <v>2235</v>
      </c>
      <c r="C1085" t="s">
        <v>31</v>
      </c>
      <c r="D1085" t="s">
        <v>87</v>
      </c>
      <c r="E1085" t="s">
        <v>60</v>
      </c>
      <c r="F1085" t="s">
        <v>67</v>
      </c>
      <c r="G1085" t="s">
        <v>118</v>
      </c>
      <c r="H1085" t="s">
        <v>47</v>
      </c>
      <c r="I1085" t="s">
        <v>62</v>
      </c>
      <c r="J1085" t="s">
        <v>48</v>
      </c>
      <c r="K1085" s="4">
        <v>46077</v>
      </c>
      <c r="L1085" s="4">
        <v>46257</v>
      </c>
      <c r="M1085" t="s">
        <v>38</v>
      </c>
      <c r="N1085" t="s">
        <v>55</v>
      </c>
      <c r="O1085">
        <v>1</v>
      </c>
      <c r="P1085" t="s">
        <v>56</v>
      </c>
      <c r="Q1085" s="4">
        <v>46207</v>
      </c>
      <c r="R1085" t="s">
        <v>64</v>
      </c>
      <c r="S1085" t="s">
        <v>38</v>
      </c>
      <c r="T1085" t="s">
        <v>3153</v>
      </c>
      <c r="U1085" t="s">
        <v>55</v>
      </c>
      <c r="V1085" t="s">
        <v>3154</v>
      </c>
    </row>
    <row r="1086" spans="1:22" x14ac:dyDescent="0.2">
      <c r="A1086" t="s">
        <v>2236</v>
      </c>
      <c r="B1086" t="s">
        <v>2237</v>
      </c>
      <c r="C1086" t="s">
        <v>73</v>
      </c>
      <c r="D1086" t="s">
        <v>74</v>
      </c>
      <c r="E1086" t="s">
        <v>44</v>
      </c>
      <c r="F1086" t="s">
        <v>45</v>
      </c>
      <c r="G1086" t="s">
        <v>61</v>
      </c>
      <c r="H1086" t="s">
        <v>36</v>
      </c>
      <c r="I1086" t="s">
        <v>62</v>
      </c>
      <c r="J1086" t="s">
        <v>63</v>
      </c>
      <c r="K1086" s="4">
        <v>46171</v>
      </c>
      <c r="L1086" s="4">
        <v>46261</v>
      </c>
      <c r="M1086" t="s">
        <v>38</v>
      </c>
      <c r="N1086" t="s">
        <v>49</v>
      </c>
      <c r="O1086">
        <v>4</v>
      </c>
      <c r="P1086" t="s">
        <v>56</v>
      </c>
      <c r="Q1086" s="4">
        <v>46145</v>
      </c>
      <c r="R1086" t="s">
        <v>64</v>
      </c>
      <c r="S1086" t="s">
        <v>38</v>
      </c>
      <c r="T1086" t="s">
        <v>3153</v>
      </c>
      <c r="U1086" t="s">
        <v>49</v>
      </c>
      <c r="V1086" t="s">
        <v>3152</v>
      </c>
    </row>
    <row r="1087" spans="1:22" x14ac:dyDescent="0.2">
      <c r="A1087" t="s">
        <v>2238</v>
      </c>
      <c r="B1087" t="s">
        <v>2239</v>
      </c>
      <c r="C1087" t="s">
        <v>73</v>
      </c>
      <c r="D1087" t="s">
        <v>74</v>
      </c>
      <c r="E1087" t="s">
        <v>44</v>
      </c>
      <c r="F1087" t="s">
        <v>67</v>
      </c>
      <c r="G1087" t="s">
        <v>118</v>
      </c>
      <c r="H1087" t="s">
        <v>47</v>
      </c>
      <c r="I1087" t="s">
        <v>56</v>
      </c>
      <c r="J1087" t="s">
        <v>48</v>
      </c>
      <c r="K1087" s="4">
        <v>45800</v>
      </c>
      <c r="L1087" s="4">
        <v>46165</v>
      </c>
      <c r="M1087" t="s">
        <v>38</v>
      </c>
      <c r="N1087" t="s">
        <v>75</v>
      </c>
      <c r="O1087">
        <v>1</v>
      </c>
      <c r="P1087" t="s">
        <v>50</v>
      </c>
      <c r="Q1087" s="4">
        <v>46192</v>
      </c>
      <c r="R1087" t="s">
        <v>64</v>
      </c>
      <c r="S1087" t="s">
        <v>38</v>
      </c>
      <c r="T1087" t="s">
        <v>3153</v>
      </c>
      <c r="U1087" t="s">
        <v>75</v>
      </c>
      <c r="V1087" t="s">
        <v>3154</v>
      </c>
    </row>
    <row r="1088" spans="1:22" x14ac:dyDescent="0.2">
      <c r="A1088" t="s">
        <v>2240</v>
      </c>
      <c r="B1088" t="s">
        <v>2241</v>
      </c>
      <c r="C1088" t="s">
        <v>103</v>
      </c>
      <c r="D1088" t="s">
        <v>104</v>
      </c>
      <c r="E1088" t="s">
        <v>60</v>
      </c>
      <c r="F1088" t="s">
        <v>67</v>
      </c>
      <c r="G1088" t="s">
        <v>68</v>
      </c>
      <c r="H1088" t="s">
        <v>88</v>
      </c>
      <c r="I1088" t="s">
        <v>50</v>
      </c>
      <c r="J1088" t="s">
        <v>37</v>
      </c>
      <c r="K1088" s="4">
        <v>46229</v>
      </c>
      <c r="L1088" s="4">
        <v>46594</v>
      </c>
      <c r="M1088" t="s">
        <v>69</v>
      </c>
      <c r="N1088" t="s">
        <v>75</v>
      </c>
      <c r="O1088">
        <v>0</v>
      </c>
      <c r="P1088" t="s">
        <v>54</v>
      </c>
      <c r="Q1088" s="4">
        <v>46163</v>
      </c>
      <c r="R1088" t="s">
        <v>57</v>
      </c>
      <c r="S1088" t="s">
        <v>3155</v>
      </c>
      <c r="T1088" t="s">
        <v>3153</v>
      </c>
      <c r="U1088" t="s">
        <v>75</v>
      </c>
      <c r="V1088" t="s">
        <v>3154</v>
      </c>
    </row>
    <row r="1089" spans="1:22" x14ac:dyDescent="0.2">
      <c r="A1089" t="s">
        <v>2242</v>
      </c>
      <c r="B1089" t="s">
        <v>2243</v>
      </c>
      <c r="C1089" t="s">
        <v>103</v>
      </c>
      <c r="D1089" t="s">
        <v>104</v>
      </c>
      <c r="E1089" t="s">
        <v>60</v>
      </c>
      <c r="F1089" t="s">
        <v>45</v>
      </c>
      <c r="G1089" t="s">
        <v>61</v>
      </c>
      <c r="H1089" t="s">
        <v>47</v>
      </c>
      <c r="I1089" t="s">
        <v>50</v>
      </c>
      <c r="J1089" t="s">
        <v>37</v>
      </c>
      <c r="K1089" s="4">
        <v>45806</v>
      </c>
      <c r="L1089" s="4">
        <v>45896</v>
      </c>
      <c r="M1089" t="s">
        <v>38</v>
      </c>
      <c r="N1089" t="s">
        <v>75</v>
      </c>
      <c r="O1089">
        <v>0</v>
      </c>
      <c r="P1089" t="s">
        <v>62</v>
      </c>
      <c r="Q1089" s="4">
        <v>46116</v>
      </c>
      <c r="R1089" t="s">
        <v>57</v>
      </c>
      <c r="S1089" t="s">
        <v>38</v>
      </c>
      <c r="T1089" t="s">
        <v>3153</v>
      </c>
      <c r="U1089" t="s">
        <v>75</v>
      </c>
      <c r="V1089" t="s">
        <v>3154</v>
      </c>
    </row>
    <row r="1090" spans="1:22" x14ac:dyDescent="0.2">
      <c r="A1090" t="s">
        <v>2244</v>
      </c>
      <c r="B1090" t="s">
        <v>2245</v>
      </c>
      <c r="C1090" t="s">
        <v>78</v>
      </c>
      <c r="D1090" t="s">
        <v>79</v>
      </c>
      <c r="E1090" t="s">
        <v>80</v>
      </c>
      <c r="F1090" t="s">
        <v>34</v>
      </c>
      <c r="G1090" t="s">
        <v>35</v>
      </c>
      <c r="H1090" t="s">
        <v>47</v>
      </c>
      <c r="I1090" t="s">
        <v>70</v>
      </c>
      <c r="J1090" t="s">
        <v>63</v>
      </c>
      <c r="K1090" s="4">
        <v>45842</v>
      </c>
      <c r="L1090" s="4">
        <v>45932</v>
      </c>
      <c r="M1090" t="s">
        <v>38</v>
      </c>
      <c r="N1090" t="s">
        <v>75</v>
      </c>
      <c r="O1090">
        <v>3</v>
      </c>
      <c r="P1090" t="s">
        <v>62</v>
      </c>
      <c r="Q1090" s="4">
        <v>46341</v>
      </c>
      <c r="R1090" t="s">
        <v>64</v>
      </c>
      <c r="S1090" t="s">
        <v>38</v>
      </c>
      <c r="T1090" t="s">
        <v>3153</v>
      </c>
      <c r="U1090" t="s">
        <v>75</v>
      </c>
      <c r="V1090" t="s">
        <v>3154</v>
      </c>
    </row>
    <row r="1091" spans="1:22" x14ac:dyDescent="0.2">
      <c r="A1091" t="s">
        <v>2246</v>
      </c>
      <c r="B1091" t="s">
        <v>2247</v>
      </c>
      <c r="C1091" t="s">
        <v>96</v>
      </c>
      <c r="D1091" t="s">
        <v>97</v>
      </c>
      <c r="E1091" t="s">
        <v>44</v>
      </c>
      <c r="F1091" t="s">
        <v>45</v>
      </c>
      <c r="G1091" t="s">
        <v>61</v>
      </c>
      <c r="H1091" t="s">
        <v>36</v>
      </c>
      <c r="I1091" t="s">
        <v>111</v>
      </c>
      <c r="J1091" t="s">
        <v>48</v>
      </c>
      <c r="K1091" s="4">
        <v>46052</v>
      </c>
      <c r="L1091" s="4">
        <v>46417</v>
      </c>
      <c r="M1091" t="s">
        <v>64</v>
      </c>
      <c r="N1091" t="s">
        <v>55</v>
      </c>
      <c r="O1091">
        <v>3</v>
      </c>
      <c r="P1091" t="s">
        <v>106</v>
      </c>
      <c r="Q1091" s="4">
        <v>46374</v>
      </c>
      <c r="R1091" t="s">
        <v>84</v>
      </c>
      <c r="S1091" t="s">
        <v>3155</v>
      </c>
      <c r="T1091" t="s">
        <v>3153</v>
      </c>
      <c r="U1091" t="s">
        <v>55</v>
      </c>
      <c r="V1091" t="s">
        <v>3152</v>
      </c>
    </row>
    <row r="1092" spans="1:22" x14ac:dyDescent="0.2">
      <c r="A1092" t="s">
        <v>2248</v>
      </c>
      <c r="B1092" t="s">
        <v>2249</v>
      </c>
      <c r="C1092" t="s">
        <v>42</v>
      </c>
      <c r="D1092" t="s">
        <v>43</v>
      </c>
      <c r="E1092" t="s">
        <v>60</v>
      </c>
      <c r="F1092" t="s">
        <v>45</v>
      </c>
      <c r="G1092" t="s">
        <v>46</v>
      </c>
      <c r="H1092" t="s">
        <v>36</v>
      </c>
      <c r="I1092" t="s">
        <v>62</v>
      </c>
      <c r="J1092" t="s">
        <v>37</v>
      </c>
      <c r="K1092" s="4">
        <v>46189</v>
      </c>
      <c r="L1092" s="4">
        <v>46369</v>
      </c>
      <c r="M1092" t="s">
        <v>64</v>
      </c>
      <c r="N1092" t="s">
        <v>75</v>
      </c>
      <c r="O1092">
        <v>2</v>
      </c>
      <c r="P1092" t="s">
        <v>111</v>
      </c>
      <c r="Q1092" s="4">
        <v>46322</v>
      </c>
      <c r="R1092" t="s">
        <v>64</v>
      </c>
      <c r="S1092" t="s">
        <v>3155</v>
      </c>
      <c r="T1092" t="s">
        <v>3153</v>
      </c>
      <c r="U1092" t="s">
        <v>75</v>
      </c>
      <c r="V1092" t="s">
        <v>3152</v>
      </c>
    </row>
    <row r="1093" spans="1:22" x14ac:dyDescent="0.2">
      <c r="A1093" t="s">
        <v>2250</v>
      </c>
      <c r="B1093" t="s">
        <v>2251</v>
      </c>
      <c r="C1093" t="s">
        <v>96</v>
      </c>
      <c r="D1093" t="s">
        <v>97</v>
      </c>
      <c r="E1093" t="s">
        <v>91</v>
      </c>
      <c r="F1093" t="s">
        <v>45</v>
      </c>
      <c r="G1093" t="s">
        <v>46</v>
      </c>
      <c r="H1093" t="s">
        <v>88</v>
      </c>
      <c r="I1093" t="s">
        <v>111</v>
      </c>
      <c r="J1093" t="s">
        <v>63</v>
      </c>
      <c r="K1093" s="4">
        <v>45910</v>
      </c>
      <c r="L1093" s="4">
        <v>46000</v>
      </c>
      <c r="M1093" t="s">
        <v>38</v>
      </c>
      <c r="N1093" t="s">
        <v>75</v>
      </c>
      <c r="O1093">
        <v>2</v>
      </c>
      <c r="P1093" t="s">
        <v>111</v>
      </c>
      <c r="Q1093" s="4">
        <v>46299</v>
      </c>
      <c r="R1093" t="s">
        <v>84</v>
      </c>
      <c r="S1093" t="s">
        <v>38</v>
      </c>
      <c r="T1093" t="s">
        <v>3153</v>
      </c>
      <c r="U1093" t="s">
        <v>75</v>
      </c>
      <c r="V1093" t="s">
        <v>3154</v>
      </c>
    </row>
    <row r="1094" spans="1:22" x14ac:dyDescent="0.2">
      <c r="A1094" t="s">
        <v>2252</v>
      </c>
      <c r="B1094" t="s">
        <v>2253</v>
      </c>
      <c r="C1094" t="s">
        <v>103</v>
      </c>
      <c r="D1094" t="s">
        <v>104</v>
      </c>
      <c r="E1094" t="s">
        <v>80</v>
      </c>
      <c r="F1094" t="s">
        <v>67</v>
      </c>
      <c r="G1094" t="s">
        <v>68</v>
      </c>
      <c r="H1094" t="s">
        <v>47</v>
      </c>
      <c r="I1094" t="s">
        <v>54</v>
      </c>
      <c r="J1094" t="s">
        <v>48</v>
      </c>
      <c r="K1094" s="4">
        <v>46138</v>
      </c>
      <c r="L1094" s="4">
        <v>46318</v>
      </c>
      <c r="M1094" t="s">
        <v>69</v>
      </c>
      <c r="N1094" t="s">
        <v>75</v>
      </c>
      <c r="O1094">
        <v>1</v>
      </c>
      <c r="P1094" t="s">
        <v>62</v>
      </c>
      <c r="Q1094" s="4">
        <v>46201</v>
      </c>
      <c r="R1094" t="s">
        <v>64</v>
      </c>
      <c r="S1094" t="s">
        <v>3155</v>
      </c>
      <c r="T1094" t="s">
        <v>3153</v>
      </c>
      <c r="U1094" t="s">
        <v>75</v>
      </c>
      <c r="V1094" t="s">
        <v>3154</v>
      </c>
    </row>
    <row r="1095" spans="1:22" x14ac:dyDescent="0.2">
      <c r="A1095" t="s">
        <v>2254</v>
      </c>
      <c r="B1095" t="s">
        <v>2255</v>
      </c>
      <c r="C1095" t="s">
        <v>42</v>
      </c>
      <c r="D1095" t="s">
        <v>43</v>
      </c>
      <c r="E1095" t="s">
        <v>44</v>
      </c>
      <c r="F1095" t="s">
        <v>67</v>
      </c>
      <c r="G1095" t="s">
        <v>68</v>
      </c>
      <c r="H1095" t="s">
        <v>47</v>
      </c>
      <c r="I1095" t="s">
        <v>50</v>
      </c>
      <c r="J1095" t="s">
        <v>48</v>
      </c>
      <c r="K1095" s="4">
        <v>46228</v>
      </c>
      <c r="L1095" s="4">
        <v>46593</v>
      </c>
      <c r="M1095" t="s">
        <v>84</v>
      </c>
      <c r="N1095" t="s">
        <v>75</v>
      </c>
      <c r="O1095">
        <v>0</v>
      </c>
      <c r="P1095" t="s">
        <v>56</v>
      </c>
      <c r="Q1095" s="4">
        <v>46383</v>
      </c>
      <c r="R1095" t="s">
        <v>57</v>
      </c>
      <c r="S1095" t="s">
        <v>3155</v>
      </c>
      <c r="T1095" t="s">
        <v>3153</v>
      </c>
      <c r="U1095" t="s">
        <v>75</v>
      </c>
      <c r="V1095" t="s">
        <v>3154</v>
      </c>
    </row>
    <row r="1096" spans="1:22" x14ac:dyDescent="0.2">
      <c r="A1096" t="s">
        <v>2256</v>
      </c>
      <c r="B1096" t="s">
        <v>2257</v>
      </c>
      <c r="C1096" t="s">
        <v>31</v>
      </c>
      <c r="D1096" t="s">
        <v>32</v>
      </c>
      <c r="E1096" t="s">
        <v>53</v>
      </c>
      <c r="F1096" t="s">
        <v>45</v>
      </c>
      <c r="G1096" t="s">
        <v>61</v>
      </c>
      <c r="H1096" t="s">
        <v>36</v>
      </c>
      <c r="I1096" t="s">
        <v>50</v>
      </c>
      <c r="J1096" t="s">
        <v>48</v>
      </c>
      <c r="K1096" s="4">
        <v>46158</v>
      </c>
      <c r="L1096" s="4">
        <v>46338</v>
      </c>
      <c r="M1096" t="s">
        <v>64</v>
      </c>
      <c r="N1096" t="s">
        <v>49</v>
      </c>
      <c r="O1096">
        <v>0</v>
      </c>
      <c r="P1096" t="s">
        <v>50</v>
      </c>
      <c r="Q1096" s="4">
        <v>46233</v>
      </c>
      <c r="R1096" t="s">
        <v>57</v>
      </c>
      <c r="S1096" t="s">
        <v>3155</v>
      </c>
      <c r="T1096" t="s">
        <v>3153</v>
      </c>
      <c r="U1096" t="s">
        <v>49</v>
      </c>
      <c r="V1096" t="s">
        <v>3152</v>
      </c>
    </row>
    <row r="1097" spans="1:22" x14ac:dyDescent="0.2">
      <c r="A1097" t="s">
        <v>2258</v>
      </c>
      <c r="B1097" t="s">
        <v>2259</v>
      </c>
      <c r="C1097" t="s">
        <v>31</v>
      </c>
      <c r="D1097" t="s">
        <v>83</v>
      </c>
      <c r="E1097" t="s">
        <v>80</v>
      </c>
      <c r="F1097" t="s">
        <v>67</v>
      </c>
      <c r="G1097" t="s">
        <v>118</v>
      </c>
      <c r="H1097" t="s">
        <v>36</v>
      </c>
      <c r="I1097" t="s">
        <v>54</v>
      </c>
      <c r="J1097" t="s">
        <v>48</v>
      </c>
      <c r="K1097" s="4">
        <v>46267</v>
      </c>
      <c r="L1097" s="4">
        <v>46357</v>
      </c>
      <c r="M1097" t="s">
        <v>84</v>
      </c>
      <c r="N1097" t="s">
        <v>55</v>
      </c>
      <c r="O1097">
        <v>0</v>
      </c>
      <c r="P1097" t="s">
        <v>111</v>
      </c>
      <c r="Q1097" s="4">
        <v>46252</v>
      </c>
      <c r="R1097" t="s">
        <v>57</v>
      </c>
      <c r="S1097" t="s">
        <v>3155</v>
      </c>
      <c r="T1097" t="s">
        <v>3153</v>
      </c>
      <c r="U1097" t="s">
        <v>55</v>
      </c>
      <c r="V1097" t="s">
        <v>3152</v>
      </c>
    </row>
    <row r="1098" spans="1:22" x14ac:dyDescent="0.2">
      <c r="A1098" t="s">
        <v>2260</v>
      </c>
      <c r="B1098" t="s">
        <v>2261</v>
      </c>
      <c r="C1098" t="s">
        <v>31</v>
      </c>
      <c r="D1098" t="s">
        <v>87</v>
      </c>
      <c r="E1098" t="s">
        <v>91</v>
      </c>
      <c r="F1098" t="s">
        <v>34</v>
      </c>
      <c r="G1098" t="s">
        <v>35</v>
      </c>
      <c r="H1098" t="s">
        <v>47</v>
      </c>
      <c r="I1098" t="s">
        <v>50</v>
      </c>
      <c r="J1098" t="s">
        <v>63</v>
      </c>
      <c r="K1098" s="4">
        <v>46150</v>
      </c>
      <c r="L1098" s="4">
        <v>46240</v>
      </c>
      <c r="M1098" t="s">
        <v>38</v>
      </c>
      <c r="N1098" t="s">
        <v>75</v>
      </c>
      <c r="O1098">
        <v>1</v>
      </c>
      <c r="P1098" t="s">
        <v>39</v>
      </c>
      <c r="Q1098" s="4">
        <v>46254</v>
      </c>
      <c r="R1098" t="s">
        <v>38</v>
      </c>
      <c r="S1098" t="s">
        <v>38</v>
      </c>
      <c r="T1098" t="s">
        <v>3153</v>
      </c>
      <c r="U1098" t="s">
        <v>75</v>
      </c>
      <c r="V1098" t="s">
        <v>3154</v>
      </c>
    </row>
    <row r="1099" spans="1:22" x14ac:dyDescent="0.2">
      <c r="A1099" t="s">
        <v>2262</v>
      </c>
      <c r="B1099" t="s">
        <v>2263</v>
      </c>
      <c r="C1099" t="s">
        <v>96</v>
      </c>
      <c r="D1099" t="s">
        <v>97</v>
      </c>
      <c r="E1099" t="s">
        <v>44</v>
      </c>
      <c r="F1099" t="s">
        <v>67</v>
      </c>
      <c r="G1099" t="s">
        <v>68</v>
      </c>
      <c r="H1099" t="s">
        <v>47</v>
      </c>
      <c r="I1099" t="s">
        <v>50</v>
      </c>
      <c r="J1099" t="s">
        <v>37</v>
      </c>
      <c r="K1099" s="4">
        <v>45842</v>
      </c>
      <c r="L1099" s="4">
        <v>45932</v>
      </c>
      <c r="M1099" t="s">
        <v>38</v>
      </c>
      <c r="N1099" t="s">
        <v>55</v>
      </c>
      <c r="O1099">
        <v>2</v>
      </c>
      <c r="P1099" t="s">
        <v>50</v>
      </c>
      <c r="Q1099" s="4">
        <v>46408</v>
      </c>
      <c r="R1099" t="s">
        <v>84</v>
      </c>
      <c r="S1099" t="s">
        <v>38</v>
      </c>
      <c r="T1099" t="s">
        <v>3153</v>
      </c>
      <c r="U1099" t="s">
        <v>55</v>
      </c>
      <c r="V1099" t="s">
        <v>3154</v>
      </c>
    </row>
    <row r="1100" spans="1:22" x14ac:dyDescent="0.2">
      <c r="A1100" t="s">
        <v>2264</v>
      </c>
      <c r="B1100" t="s">
        <v>2265</v>
      </c>
      <c r="C1100" t="s">
        <v>78</v>
      </c>
      <c r="D1100" t="s">
        <v>79</v>
      </c>
      <c r="E1100" t="s">
        <v>91</v>
      </c>
      <c r="F1100" t="s">
        <v>34</v>
      </c>
      <c r="G1100" t="s">
        <v>35</v>
      </c>
      <c r="H1100" t="s">
        <v>47</v>
      </c>
      <c r="I1100" t="s">
        <v>39</v>
      </c>
      <c r="J1100" t="s">
        <v>63</v>
      </c>
      <c r="K1100" s="4">
        <v>46241</v>
      </c>
      <c r="L1100" s="4">
        <v>46421</v>
      </c>
      <c r="M1100" t="s">
        <v>64</v>
      </c>
      <c r="N1100" t="s">
        <v>75</v>
      </c>
      <c r="O1100">
        <v>3</v>
      </c>
      <c r="P1100" t="s">
        <v>62</v>
      </c>
      <c r="Q1100" s="4">
        <v>46385</v>
      </c>
      <c r="R1100" t="s">
        <v>84</v>
      </c>
      <c r="S1100" t="s">
        <v>3155</v>
      </c>
      <c r="T1100" t="s">
        <v>3153</v>
      </c>
      <c r="U1100" t="s">
        <v>75</v>
      </c>
      <c r="V1100" t="s">
        <v>3154</v>
      </c>
    </row>
    <row r="1101" spans="1:22" x14ac:dyDescent="0.2">
      <c r="A1101" t="s">
        <v>2266</v>
      </c>
      <c r="B1101" t="s">
        <v>2267</v>
      </c>
      <c r="C1101" t="s">
        <v>78</v>
      </c>
      <c r="D1101" t="s">
        <v>79</v>
      </c>
      <c r="E1101" t="s">
        <v>91</v>
      </c>
      <c r="F1101" t="s">
        <v>34</v>
      </c>
      <c r="G1101" t="s">
        <v>35</v>
      </c>
      <c r="H1101" t="s">
        <v>98</v>
      </c>
      <c r="I1101" t="s">
        <v>106</v>
      </c>
      <c r="J1101" t="s">
        <v>63</v>
      </c>
      <c r="K1101" s="4">
        <v>45873</v>
      </c>
      <c r="L1101" s="4">
        <v>46238</v>
      </c>
      <c r="M1101" t="s">
        <v>38</v>
      </c>
      <c r="N1101" t="s">
        <v>49</v>
      </c>
      <c r="O1101">
        <v>5</v>
      </c>
      <c r="P1101" t="s">
        <v>111</v>
      </c>
      <c r="Q1101" s="4">
        <v>46322</v>
      </c>
      <c r="R1101" t="s">
        <v>84</v>
      </c>
      <c r="S1101" t="s">
        <v>38</v>
      </c>
      <c r="T1101" t="s">
        <v>3153</v>
      </c>
      <c r="U1101" t="s">
        <v>49</v>
      </c>
      <c r="V1101" t="s">
        <v>3152</v>
      </c>
    </row>
    <row r="1102" spans="1:22" x14ac:dyDescent="0.2">
      <c r="A1102" t="s">
        <v>2268</v>
      </c>
      <c r="B1102" t="s">
        <v>2269</v>
      </c>
      <c r="C1102" t="s">
        <v>73</v>
      </c>
      <c r="D1102" t="s">
        <v>74</v>
      </c>
      <c r="E1102" t="s">
        <v>44</v>
      </c>
      <c r="F1102" t="s">
        <v>45</v>
      </c>
      <c r="G1102" t="s">
        <v>46</v>
      </c>
      <c r="H1102" t="s">
        <v>47</v>
      </c>
      <c r="I1102" t="s">
        <v>106</v>
      </c>
      <c r="J1102" t="s">
        <v>37</v>
      </c>
      <c r="K1102" s="4">
        <v>45844</v>
      </c>
      <c r="L1102" s="4">
        <v>46024</v>
      </c>
      <c r="M1102" t="s">
        <v>38</v>
      </c>
      <c r="N1102" t="s">
        <v>55</v>
      </c>
      <c r="O1102">
        <v>3</v>
      </c>
      <c r="P1102" t="s">
        <v>111</v>
      </c>
      <c r="Q1102" s="4">
        <v>46310</v>
      </c>
      <c r="R1102" t="s">
        <v>84</v>
      </c>
      <c r="S1102" t="s">
        <v>38</v>
      </c>
      <c r="T1102" t="s">
        <v>3153</v>
      </c>
      <c r="U1102" t="s">
        <v>55</v>
      </c>
      <c r="V1102" t="s">
        <v>3154</v>
      </c>
    </row>
    <row r="1103" spans="1:22" x14ac:dyDescent="0.2">
      <c r="A1103" t="s">
        <v>2270</v>
      </c>
      <c r="B1103" t="s">
        <v>2271</v>
      </c>
      <c r="C1103" t="s">
        <v>31</v>
      </c>
      <c r="D1103" t="s">
        <v>87</v>
      </c>
      <c r="E1103" t="s">
        <v>44</v>
      </c>
      <c r="F1103" t="s">
        <v>45</v>
      </c>
      <c r="G1103" t="s">
        <v>46</v>
      </c>
      <c r="H1103" t="s">
        <v>88</v>
      </c>
      <c r="I1103" t="s">
        <v>50</v>
      </c>
      <c r="J1103" t="s">
        <v>37</v>
      </c>
      <c r="K1103" s="4">
        <v>46045</v>
      </c>
      <c r="L1103" s="4">
        <v>46410</v>
      </c>
      <c r="M1103" t="s">
        <v>84</v>
      </c>
      <c r="N1103" t="s">
        <v>49</v>
      </c>
      <c r="O1103">
        <v>2</v>
      </c>
      <c r="P1103" t="s">
        <v>56</v>
      </c>
      <c r="Q1103" s="4">
        <v>46317</v>
      </c>
      <c r="R1103" t="s">
        <v>64</v>
      </c>
      <c r="S1103" t="s">
        <v>3155</v>
      </c>
      <c r="T1103" t="s">
        <v>3153</v>
      </c>
      <c r="U1103" t="s">
        <v>49</v>
      </c>
      <c r="V1103" t="s">
        <v>3154</v>
      </c>
    </row>
    <row r="1104" spans="1:22" x14ac:dyDescent="0.2">
      <c r="A1104" t="s">
        <v>2272</v>
      </c>
      <c r="B1104" t="s">
        <v>2273</v>
      </c>
      <c r="C1104" t="s">
        <v>103</v>
      </c>
      <c r="D1104" t="s">
        <v>104</v>
      </c>
      <c r="E1104" t="s">
        <v>80</v>
      </c>
      <c r="F1104" t="s">
        <v>67</v>
      </c>
      <c r="G1104" t="s">
        <v>118</v>
      </c>
      <c r="H1104" t="s">
        <v>36</v>
      </c>
      <c r="I1104" t="s">
        <v>106</v>
      </c>
      <c r="J1104" t="s">
        <v>63</v>
      </c>
      <c r="K1104" s="4">
        <v>45824</v>
      </c>
      <c r="L1104" s="4">
        <v>45914</v>
      </c>
      <c r="M1104" t="s">
        <v>38</v>
      </c>
      <c r="N1104" t="s">
        <v>75</v>
      </c>
      <c r="O1104">
        <v>1</v>
      </c>
      <c r="P1104" t="s">
        <v>70</v>
      </c>
      <c r="Q1104" s="4">
        <v>46327</v>
      </c>
      <c r="R1104" t="s">
        <v>84</v>
      </c>
      <c r="S1104" t="s">
        <v>38</v>
      </c>
      <c r="T1104" t="s">
        <v>3153</v>
      </c>
      <c r="U1104" t="s">
        <v>75</v>
      </c>
      <c r="V1104" t="s">
        <v>3152</v>
      </c>
    </row>
    <row r="1105" spans="1:22" x14ac:dyDescent="0.2">
      <c r="A1105" t="s">
        <v>2274</v>
      </c>
      <c r="B1105" t="s">
        <v>2275</v>
      </c>
      <c r="C1105" t="s">
        <v>73</v>
      </c>
      <c r="D1105" t="s">
        <v>74</v>
      </c>
      <c r="E1105" t="s">
        <v>105</v>
      </c>
      <c r="F1105" t="s">
        <v>67</v>
      </c>
      <c r="G1105" t="s">
        <v>118</v>
      </c>
      <c r="H1105" t="s">
        <v>88</v>
      </c>
      <c r="I1105" t="s">
        <v>62</v>
      </c>
      <c r="J1105" t="s">
        <v>63</v>
      </c>
      <c r="K1105" s="4">
        <v>45821</v>
      </c>
      <c r="L1105" s="4">
        <v>46186</v>
      </c>
      <c r="M1105" t="s">
        <v>38</v>
      </c>
      <c r="N1105" t="s">
        <v>75</v>
      </c>
      <c r="O1105">
        <v>0</v>
      </c>
      <c r="P1105" t="s">
        <v>111</v>
      </c>
      <c r="Q1105" s="4">
        <v>46265</v>
      </c>
      <c r="R1105" t="s">
        <v>57</v>
      </c>
      <c r="S1105" t="s">
        <v>38</v>
      </c>
      <c r="T1105" t="s">
        <v>3153</v>
      </c>
      <c r="U1105" t="s">
        <v>75</v>
      </c>
      <c r="V1105" t="s">
        <v>3154</v>
      </c>
    </row>
    <row r="1106" spans="1:22" x14ac:dyDescent="0.2">
      <c r="A1106" t="s">
        <v>2276</v>
      </c>
      <c r="B1106" t="s">
        <v>2277</v>
      </c>
      <c r="C1106" t="s">
        <v>31</v>
      </c>
      <c r="D1106" t="s">
        <v>87</v>
      </c>
      <c r="E1106" t="s">
        <v>105</v>
      </c>
      <c r="F1106" t="s">
        <v>45</v>
      </c>
      <c r="G1106" t="s">
        <v>61</v>
      </c>
      <c r="H1106" t="s">
        <v>88</v>
      </c>
      <c r="I1106" t="s">
        <v>54</v>
      </c>
      <c r="J1106" t="s">
        <v>48</v>
      </c>
      <c r="K1106" s="4">
        <v>46117</v>
      </c>
      <c r="L1106" s="4">
        <v>46482</v>
      </c>
      <c r="M1106" t="s">
        <v>64</v>
      </c>
      <c r="N1106" t="s">
        <v>55</v>
      </c>
      <c r="O1106">
        <v>1</v>
      </c>
      <c r="P1106" t="s">
        <v>106</v>
      </c>
      <c r="Q1106" s="4">
        <v>46402</v>
      </c>
      <c r="R1106" t="s">
        <v>64</v>
      </c>
      <c r="S1106" t="s">
        <v>3155</v>
      </c>
      <c r="T1106" t="s">
        <v>3153</v>
      </c>
      <c r="U1106" t="s">
        <v>55</v>
      </c>
      <c r="V1106" t="s">
        <v>3154</v>
      </c>
    </row>
    <row r="1107" spans="1:22" x14ac:dyDescent="0.2">
      <c r="A1107" t="s">
        <v>2278</v>
      </c>
      <c r="B1107" t="s">
        <v>2279</v>
      </c>
      <c r="C1107" t="s">
        <v>31</v>
      </c>
      <c r="D1107" t="s">
        <v>32</v>
      </c>
      <c r="E1107" t="s">
        <v>80</v>
      </c>
      <c r="F1107" t="s">
        <v>45</v>
      </c>
      <c r="G1107" t="s">
        <v>61</v>
      </c>
      <c r="H1107" t="s">
        <v>88</v>
      </c>
      <c r="I1107" t="s">
        <v>111</v>
      </c>
      <c r="J1107" t="s">
        <v>37</v>
      </c>
      <c r="K1107" s="4">
        <v>46098</v>
      </c>
      <c r="L1107" s="4">
        <v>46463</v>
      </c>
      <c r="M1107" t="s">
        <v>64</v>
      </c>
      <c r="N1107" t="s">
        <v>75</v>
      </c>
      <c r="O1107">
        <v>0</v>
      </c>
      <c r="P1107" t="s">
        <v>62</v>
      </c>
      <c r="Q1107" s="4">
        <v>46379</v>
      </c>
      <c r="R1107" t="s">
        <v>57</v>
      </c>
      <c r="S1107" t="s">
        <v>3155</v>
      </c>
      <c r="T1107" t="s">
        <v>3153</v>
      </c>
      <c r="U1107" t="s">
        <v>75</v>
      </c>
      <c r="V1107" t="s">
        <v>3154</v>
      </c>
    </row>
    <row r="1108" spans="1:22" x14ac:dyDescent="0.2">
      <c r="A1108" t="s">
        <v>2280</v>
      </c>
      <c r="B1108" t="s">
        <v>2281</v>
      </c>
      <c r="C1108" t="s">
        <v>103</v>
      </c>
      <c r="D1108" t="s">
        <v>104</v>
      </c>
      <c r="E1108" t="s">
        <v>91</v>
      </c>
      <c r="F1108" t="s">
        <v>34</v>
      </c>
      <c r="G1108" t="s">
        <v>35</v>
      </c>
      <c r="H1108" t="s">
        <v>36</v>
      </c>
      <c r="I1108" t="s">
        <v>70</v>
      </c>
      <c r="J1108" t="s">
        <v>63</v>
      </c>
      <c r="K1108" s="4">
        <v>46197</v>
      </c>
      <c r="L1108" s="4">
        <v>46377</v>
      </c>
      <c r="M1108" t="s">
        <v>64</v>
      </c>
      <c r="N1108" t="s">
        <v>49</v>
      </c>
      <c r="O1108">
        <v>3</v>
      </c>
      <c r="P1108" t="s">
        <v>62</v>
      </c>
      <c r="Q1108" s="4">
        <v>46251</v>
      </c>
      <c r="R1108" t="s">
        <v>64</v>
      </c>
      <c r="S1108" t="s">
        <v>3155</v>
      </c>
      <c r="T1108" t="s">
        <v>3153</v>
      </c>
      <c r="U1108" t="s">
        <v>49</v>
      </c>
      <c r="V1108" t="s">
        <v>3152</v>
      </c>
    </row>
    <row r="1109" spans="1:22" x14ac:dyDescent="0.2">
      <c r="A1109" t="s">
        <v>2282</v>
      </c>
      <c r="B1109" t="s">
        <v>2283</v>
      </c>
      <c r="C1109" t="s">
        <v>31</v>
      </c>
      <c r="D1109" t="s">
        <v>83</v>
      </c>
      <c r="E1109" t="s">
        <v>44</v>
      </c>
      <c r="F1109" t="s">
        <v>67</v>
      </c>
      <c r="G1109" t="s">
        <v>118</v>
      </c>
      <c r="H1109" t="s">
        <v>47</v>
      </c>
      <c r="I1109" t="s">
        <v>56</v>
      </c>
      <c r="J1109" t="s">
        <v>63</v>
      </c>
      <c r="K1109" s="4">
        <v>46269</v>
      </c>
      <c r="L1109" s="4">
        <v>46359</v>
      </c>
      <c r="M1109" t="s">
        <v>64</v>
      </c>
      <c r="N1109" t="s">
        <v>49</v>
      </c>
      <c r="O1109">
        <v>1</v>
      </c>
      <c r="P1109" t="s">
        <v>56</v>
      </c>
      <c r="Q1109" s="4">
        <v>46328</v>
      </c>
      <c r="R1109" t="s">
        <v>84</v>
      </c>
      <c r="S1109" t="s">
        <v>3155</v>
      </c>
      <c r="T1109" t="s">
        <v>3153</v>
      </c>
      <c r="U1109" t="s">
        <v>49</v>
      </c>
      <c r="V1109" t="s">
        <v>3154</v>
      </c>
    </row>
    <row r="1110" spans="1:22" x14ac:dyDescent="0.2">
      <c r="A1110" t="s">
        <v>2284</v>
      </c>
      <c r="B1110" t="s">
        <v>2285</v>
      </c>
      <c r="C1110" t="s">
        <v>31</v>
      </c>
      <c r="D1110" t="s">
        <v>83</v>
      </c>
      <c r="E1110" t="s">
        <v>105</v>
      </c>
      <c r="F1110" t="s">
        <v>45</v>
      </c>
      <c r="G1110" t="s">
        <v>46</v>
      </c>
      <c r="H1110" t="s">
        <v>47</v>
      </c>
      <c r="I1110" t="s">
        <v>39</v>
      </c>
      <c r="J1110" t="s">
        <v>37</v>
      </c>
      <c r="K1110" s="4">
        <v>46140</v>
      </c>
      <c r="L1110" s="4">
        <v>46505</v>
      </c>
      <c r="M1110" t="s">
        <v>64</v>
      </c>
      <c r="N1110" t="s">
        <v>55</v>
      </c>
      <c r="O1110">
        <v>1</v>
      </c>
      <c r="P1110" t="s">
        <v>70</v>
      </c>
      <c r="Q1110" s="4">
        <v>46354</v>
      </c>
      <c r="R1110" t="s">
        <v>84</v>
      </c>
      <c r="S1110" t="s">
        <v>3155</v>
      </c>
      <c r="T1110" t="s">
        <v>3153</v>
      </c>
      <c r="U1110" t="s">
        <v>55</v>
      </c>
      <c r="V1110" t="s">
        <v>3154</v>
      </c>
    </row>
    <row r="1111" spans="1:22" x14ac:dyDescent="0.2">
      <c r="A1111" t="s">
        <v>2286</v>
      </c>
      <c r="B1111" t="s">
        <v>2287</v>
      </c>
      <c r="C1111" t="s">
        <v>42</v>
      </c>
      <c r="D1111" t="s">
        <v>43</v>
      </c>
      <c r="E1111" t="s">
        <v>53</v>
      </c>
      <c r="F1111" t="s">
        <v>45</v>
      </c>
      <c r="G1111" t="s">
        <v>61</v>
      </c>
      <c r="H1111" t="s">
        <v>88</v>
      </c>
      <c r="I1111" t="s">
        <v>106</v>
      </c>
      <c r="J1111" t="s">
        <v>63</v>
      </c>
      <c r="K1111" s="4">
        <v>45840</v>
      </c>
      <c r="L1111" s="4">
        <v>46020</v>
      </c>
      <c r="M1111" t="s">
        <v>38</v>
      </c>
      <c r="N1111" t="s">
        <v>75</v>
      </c>
      <c r="O1111">
        <v>2</v>
      </c>
      <c r="P1111" t="s">
        <v>54</v>
      </c>
      <c r="Q1111" s="4">
        <v>46282</v>
      </c>
      <c r="R1111" t="s">
        <v>38</v>
      </c>
      <c r="S1111" t="s">
        <v>38</v>
      </c>
      <c r="T1111" t="s">
        <v>3153</v>
      </c>
      <c r="U1111" t="s">
        <v>75</v>
      </c>
      <c r="V1111" t="s">
        <v>3154</v>
      </c>
    </row>
    <row r="1112" spans="1:22" x14ac:dyDescent="0.2">
      <c r="A1112" t="s">
        <v>2288</v>
      </c>
      <c r="B1112" t="s">
        <v>2289</v>
      </c>
      <c r="C1112" t="s">
        <v>42</v>
      </c>
      <c r="D1112" t="s">
        <v>43</v>
      </c>
      <c r="E1112" t="s">
        <v>80</v>
      </c>
      <c r="F1112" t="s">
        <v>45</v>
      </c>
      <c r="G1112" t="s">
        <v>46</v>
      </c>
      <c r="H1112" t="s">
        <v>88</v>
      </c>
      <c r="I1112" t="s">
        <v>106</v>
      </c>
      <c r="J1112" t="s">
        <v>37</v>
      </c>
      <c r="K1112" s="4">
        <v>46015</v>
      </c>
      <c r="L1112" s="4">
        <v>46195</v>
      </c>
      <c r="M1112" t="s">
        <v>38</v>
      </c>
      <c r="N1112" t="s">
        <v>75</v>
      </c>
      <c r="O1112">
        <v>3</v>
      </c>
      <c r="P1112" t="s">
        <v>70</v>
      </c>
      <c r="Q1112" s="4">
        <v>46141</v>
      </c>
      <c r="R1112" t="s">
        <v>38</v>
      </c>
      <c r="S1112" t="s">
        <v>38</v>
      </c>
      <c r="T1112" t="s">
        <v>3153</v>
      </c>
      <c r="U1112" t="s">
        <v>75</v>
      </c>
      <c r="V1112" t="s">
        <v>3154</v>
      </c>
    </row>
    <row r="1113" spans="1:22" x14ac:dyDescent="0.2">
      <c r="A1113" t="s">
        <v>2290</v>
      </c>
      <c r="B1113" t="s">
        <v>2291</v>
      </c>
      <c r="C1113" t="s">
        <v>78</v>
      </c>
      <c r="D1113" t="s">
        <v>79</v>
      </c>
      <c r="E1113" t="s">
        <v>44</v>
      </c>
      <c r="F1113" t="s">
        <v>45</v>
      </c>
      <c r="G1113" t="s">
        <v>46</v>
      </c>
      <c r="H1113" t="s">
        <v>36</v>
      </c>
      <c r="I1113" t="s">
        <v>54</v>
      </c>
      <c r="J1113" t="s">
        <v>37</v>
      </c>
      <c r="K1113" s="4">
        <v>46038</v>
      </c>
      <c r="L1113" s="4">
        <v>46128</v>
      </c>
      <c r="M1113" t="s">
        <v>38</v>
      </c>
      <c r="N1113" t="s">
        <v>55</v>
      </c>
      <c r="O1113">
        <v>5</v>
      </c>
      <c r="P1113" t="s">
        <v>62</v>
      </c>
      <c r="Q1113" s="4">
        <v>46392</v>
      </c>
      <c r="R1113" t="s">
        <v>84</v>
      </c>
      <c r="S1113" t="s">
        <v>38</v>
      </c>
      <c r="T1113" t="s">
        <v>3153</v>
      </c>
      <c r="U1113" t="s">
        <v>55</v>
      </c>
      <c r="V1113" t="s">
        <v>3152</v>
      </c>
    </row>
    <row r="1114" spans="1:22" x14ac:dyDescent="0.2">
      <c r="A1114" t="s">
        <v>2292</v>
      </c>
      <c r="B1114" t="s">
        <v>2293</v>
      </c>
      <c r="C1114" t="s">
        <v>31</v>
      </c>
      <c r="D1114" t="s">
        <v>87</v>
      </c>
      <c r="E1114" t="s">
        <v>53</v>
      </c>
      <c r="F1114" t="s">
        <v>34</v>
      </c>
      <c r="G1114" t="s">
        <v>35</v>
      </c>
      <c r="H1114" t="s">
        <v>47</v>
      </c>
      <c r="I1114" t="s">
        <v>50</v>
      </c>
      <c r="J1114" t="s">
        <v>37</v>
      </c>
      <c r="K1114" s="4">
        <v>45956</v>
      </c>
      <c r="L1114" s="4">
        <v>46136</v>
      </c>
      <c r="M1114" t="s">
        <v>38</v>
      </c>
      <c r="N1114" t="s">
        <v>49</v>
      </c>
      <c r="O1114">
        <v>0</v>
      </c>
      <c r="P1114" t="s">
        <v>62</v>
      </c>
      <c r="Q1114" s="4">
        <v>46275</v>
      </c>
      <c r="R1114" t="s">
        <v>57</v>
      </c>
      <c r="S1114" t="s">
        <v>38</v>
      </c>
      <c r="T1114" t="s">
        <v>3153</v>
      </c>
      <c r="U1114" t="s">
        <v>49</v>
      </c>
      <c r="V1114" t="s">
        <v>3154</v>
      </c>
    </row>
    <row r="1115" spans="1:22" x14ac:dyDescent="0.2">
      <c r="A1115" t="s">
        <v>2294</v>
      </c>
      <c r="B1115" t="s">
        <v>2295</v>
      </c>
      <c r="C1115" t="s">
        <v>96</v>
      </c>
      <c r="D1115" t="s">
        <v>97</v>
      </c>
      <c r="E1115" t="s">
        <v>80</v>
      </c>
      <c r="F1115" t="s">
        <v>45</v>
      </c>
      <c r="G1115" t="s">
        <v>61</v>
      </c>
      <c r="H1115" t="s">
        <v>98</v>
      </c>
      <c r="I1115" t="s">
        <v>106</v>
      </c>
      <c r="J1115" t="s">
        <v>63</v>
      </c>
      <c r="K1115" s="4">
        <v>45795</v>
      </c>
      <c r="L1115" s="4">
        <v>45975</v>
      </c>
      <c r="M1115" t="s">
        <v>38</v>
      </c>
      <c r="N1115" t="s">
        <v>55</v>
      </c>
      <c r="O1115">
        <v>2</v>
      </c>
      <c r="P1115" t="s">
        <v>54</v>
      </c>
      <c r="Q1115" s="4">
        <v>46235</v>
      </c>
      <c r="R1115" t="s">
        <v>38</v>
      </c>
      <c r="S1115" t="s">
        <v>38</v>
      </c>
      <c r="T1115" t="s">
        <v>3153</v>
      </c>
      <c r="U1115" t="s">
        <v>55</v>
      </c>
      <c r="V1115" t="s">
        <v>3152</v>
      </c>
    </row>
    <row r="1116" spans="1:22" x14ac:dyDescent="0.2">
      <c r="A1116" t="s">
        <v>2296</v>
      </c>
      <c r="B1116" t="s">
        <v>2297</v>
      </c>
      <c r="C1116" t="s">
        <v>31</v>
      </c>
      <c r="D1116" t="s">
        <v>32</v>
      </c>
      <c r="E1116" t="s">
        <v>44</v>
      </c>
      <c r="F1116" t="s">
        <v>67</v>
      </c>
      <c r="G1116" t="s">
        <v>118</v>
      </c>
      <c r="H1116" t="s">
        <v>47</v>
      </c>
      <c r="I1116" t="s">
        <v>50</v>
      </c>
      <c r="J1116" t="s">
        <v>48</v>
      </c>
      <c r="K1116" s="4">
        <v>46103</v>
      </c>
      <c r="L1116" s="4">
        <v>46193</v>
      </c>
      <c r="M1116" t="s">
        <v>38</v>
      </c>
      <c r="N1116" t="s">
        <v>49</v>
      </c>
      <c r="O1116">
        <v>2</v>
      </c>
      <c r="P1116" t="s">
        <v>39</v>
      </c>
      <c r="Q1116" s="4">
        <v>46307</v>
      </c>
      <c r="R1116" t="s">
        <v>84</v>
      </c>
      <c r="S1116" t="s">
        <v>38</v>
      </c>
      <c r="T1116" t="s">
        <v>3153</v>
      </c>
      <c r="U1116" t="s">
        <v>49</v>
      </c>
      <c r="V1116" t="s">
        <v>3154</v>
      </c>
    </row>
    <row r="1117" spans="1:22" x14ac:dyDescent="0.2">
      <c r="A1117" t="s">
        <v>2298</v>
      </c>
      <c r="B1117" t="s">
        <v>2299</v>
      </c>
      <c r="C1117" t="s">
        <v>73</v>
      </c>
      <c r="D1117" t="s">
        <v>74</v>
      </c>
      <c r="E1117" t="s">
        <v>80</v>
      </c>
      <c r="F1117" t="s">
        <v>45</v>
      </c>
      <c r="G1117" t="s">
        <v>61</v>
      </c>
      <c r="H1117" t="s">
        <v>36</v>
      </c>
      <c r="I1117" t="s">
        <v>50</v>
      </c>
      <c r="J1117" t="s">
        <v>63</v>
      </c>
      <c r="K1117" s="4">
        <v>46249</v>
      </c>
      <c r="L1117" s="4">
        <v>46339</v>
      </c>
      <c r="M1117" t="s">
        <v>64</v>
      </c>
      <c r="N1117" t="s">
        <v>55</v>
      </c>
      <c r="O1117">
        <v>1</v>
      </c>
      <c r="P1117" t="s">
        <v>106</v>
      </c>
      <c r="Q1117" s="4">
        <v>46264</v>
      </c>
      <c r="R1117" t="s">
        <v>38</v>
      </c>
      <c r="S1117" t="s">
        <v>3155</v>
      </c>
      <c r="T1117" t="s">
        <v>3153</v>
      </c>
      <c r="U1117" t="s">
        <v>55</v>
      </c>
      <c r="V1117" t="s">
        <v>3152</v>
      </c>
    </row>
    <row r="1118" spans="1:22" x14ac:dyDescent="0.2">
      <c r="A1118" t="s">
        <v>2300</v>
      </c>
      <c r="B1118" t="s">
        <v>2301</v>
      </c>
      <c r="C1118" t="s">
        <v>31</v>
      </c>
      <c r="D1118" t="s">
        <v>87</v>
      </c>
      <c r="E1118" t="s">
        <v>105</v>
      </c>
      <c r="F1118" t="s">
        <v>34</v>
      </c>
      <c r="G1118" t="s">
        <v>35</v>
      </c>
      <c r="H1118" t="s">
        <v>47</v>
      </c>
      <c r="I1118" t="s">
        <v>56</v>
      </c>
      <c r="J1118" t="s">
        <v>48</v>
      </c>
      <c r="K1118" s="4">
        <v>46106</v>
      </c>
      <c r="L1118" s="4">
        <v>46196</v>
      </c>
      <c r="M1118" t="s">
        <v>38</v>
      </c>
      <c r="N1118" t="s">
        <v>55</v>
      </c>
      <c r="O1118">
        <v>0</v>
      </c>
      <c r="P1118" t="s">
        <v>50</v>
      </c>
      <c r="Q1118" s="4">
        <v>46135</v>
      </c>
      <c r="R1118" t="s">
        <v>57</v>
      </c>
      <c r="S1118" t="s">
        <v>38</v>
      </c>
      <c r="T1118" t="s">
        <v>3153</v>
      </c>
      <c r="U1118" t="s">
        <v>55</v>
      </c>
      <c r="V1118" t="s">
        <v>3154</v>
      </c>
    </row>
    <row r="1119" spans="1:22" x14ac:dyDescent="0.2">
      <c r="A1119" t="s">
        <v>2302</v>
      </c>
      <c r="B1119" t="s">
        <v>2303</v>
      </c>
      <c r="C1119" t="s">
        <v>42</v>
      </c>
      <c r="D1119" t="s">
        <v>43</v>
      </c>
      <c r="E1119" t="s">
        <v>105</v>
      </c>
      <c r="F1119" t="s">
        <v>67</v>
      </c>
      <c r="G1119" t="s">
        <v>118</v>
      </c>
      <c r="H1119" t="s">
        <v>47</v>
      </c>
      <c r="I1119" t="s">
        <v>56</v>
      </c>
      <c r="J1119" t="s">
        <v>63</v>
      </c>
      <c r="K1119" s="4">
        <v>45960</v>
      </c>
      <c r="L1119" s="4">
        <v>46325</v>
      </c>
      <c r="M1119" t="s">
        <v>64</v>
      </c>
      <c r="N1119" t="s">
        <v>49</v>
      </c>
      <c r="O1119">
        <v>2</v>
      </c>
      <c r="P1119" t="s">
        <v>70</v>
      </c>
      <c r="Q1119" s="4">
        <v>46185</v>
      </c>
      <c r="R1119" t="s">
        <v>64</v>
      </c>
      <c r="S1119" t="s">
        <v>3155</v>
      </c>
      <c r="T1119" t="s">
        <v>3153</v>
      </c>
      <c r="U1119" t="s">
        <v>49</v>
      </c>
      <c r="V1119" t="s">
        <v>3154</v>
      </c>
    </row>
    <row r="1120" spans="1:22" x14ac:dyDescent="0.2">
      <c r="A1120" t="s">
        <v>2304</v>
      </c>
      <c r="B1120" t="s">
        <v>2305</v>
      </c>
      <c r="C1120" t="s">
        <v>73</v>
      </c>
      <c r="D1120" t="s">
        <v>74</v>
      </c>
      <c r="E1120" t="s">
        <v>91</v>
      </c>
      <c r="F1120" t="s">
        <v>67</v>
      </c>
      <c r="G1120" t="s">
        <v>68</v>
      </c>
      <c r="H1120" t="s">
        <v>47</v>
      </c>
      <c r="I1120" t="s">
        <v>62</v>
      </c>
      <c r="J1120" t="s">
        <v>37</v>
      </c>
      <c r="K1120" s="4">
        <v>45839</v>
      </c>
      <c r="L1120" s="4">
        <v>46019</v>
      </c>
      <c r="M1120" t="s">
        <v>38</v>
      </c>
      <c r="N1120" t="s">
        <v>49</v>
      </c>
      <c r="O1120">
        <v>1</v>
      </c>
      <c r="P1120" t="s">
        <v>56</v>
      </c>
      <c r="Q1120" s="4">
        <v>46357</v>
      </c>
      <c r="R1120" t="s">
        <v>84</v>
      </c>
      <c r="S1120" t="s">
        <v>38</v>
      </c>
      <c r="T1120" t="s">
        <v>3153</v>
      </c>
      <c r="U1120" t="s">
        <v>49</v>
      </c>
      <c r="V1120" t="s">
        <v>3154</v>
      </c>
    </row>
    <row r="1121" spans="1:22" x14ac:dyDescent="0.2">
      <c r="A1121" t="s">
        <v>2306</v>
      </c>
      <c r="B1121" t="s">
        <v>2307</v>
      </c>
      <c r="C1121" t="s">
        <v>31</v>
      </c>
      <c r="D1121" t="s">
        <v>83</v>
      </c>
      <c r="E1121" t="s">
        <v>80</v>
      </c>
      <c r="F1121" t="s">
        <v>34</v>
      </c>
      <c r="G1121" t="s">
        <v>35</v>
      </c>
      <c r="H1121" t="s">
        <v>36</v>
      </c>
      <c r="I1121" t="s">
        <v>54</v>
      </c>
      <c r="J1121" t="s">
        <v>48</v>
      </c>
      <c r="K1121" s="4">
        <v>45869</v>
      </c>
      <c r="L1121" s="4">
        <v>46049</v>
      </c>
      <c r="M1121" t="s">
        <v>38</v>
      </c>
      <c r="N1121" t="s">
        <v>49</v>
      </c>
      <c r="O1121">
        <v>2</v>
      </c>
      <c r="P1121" t="s">
        <v>39</v>
      </c>
      <c r="Q1121" s="4">
        <v>46222</v>
      </c>
      <c r="R1121" t="s">
        <v>64</v>
      </c>
      <c r="S1121" t="s">
        <v>38</v>
      </c>
      <c r="T1121" t="s">
        <v>3153</v>
      </c>
      <c r="U1121" t="s">
        <v>49</v>
      </c>
      <c r="V1121" t="s">
        <v>3152</v>
      </c>
    </row>
    <row r="1122" spans="1:22" x14ac:dyDescent="0.2">
      <c r="A1122" t="s">
        <v>2308</v>
      </c>
      <c r="B1122" t="s">
        <v>2309</v>
      </c>
      <c r="C1122" t="s">
        <v>73</v>
      </c>
      <c r="D1122" t="s">
        <v>74</v>
      </c>
      <c r="E1122" t="s">
        <v>60</v>
      </c>
      <c r="F1122" t="s">
        <v>45</v>
      </c>
      <c r="G1122" t="s">
        <v>46</v>
      </c>
      <c r="H1122" t="s">
        <v>36</v>
      </c>
      <c r="I1122" t="s">
        <v>50</v>
      </c>
      <c r="J1122" t="s">
        <v>37</v>
      </c>
      <c r="K1122" s="4">
        <v>46220</v>
      </c>
      <c r="L1122" s="4">
        <v>46400</v>
      </c>
      <c r="M1122" t="s">
        <v>64</v>
      </c>
      <c r="N1122" t="s">
        <v>49</v>
      </c>
      <c r="O1122">
        <v>0</v>
      </c>
      <c r="P1122" t="s">
        <v>54</v>
      </c>
      <c r="Q1122" s="4">
        <v>46259</v>
      </c>
      <c r="R1122" t="s">
        <v>57</v>
      </c>
      <c r="S1122" t="s">
        <v>3155</v>
      </c>
      <c r="T1122" t="s">
        <v>3153</v>
      </c>
      <c r="U1122" t="s">
        <v>49</v>
      </c>
      <c r="V1122" t="s">
        <v>3152</v>
      </c>
    </row>
    <row r="1123" spans="1:22" x14ac:dyDescent="0.2">
      <c r="A1123" t="s">
        <v>2310</v>
      </c>
      <c r="B1123" t="s">
        <v>2311</v>
      </c>
      <c r="C1123" t="s">
        <v>78</v>
      </c>
      <c r="D1123" t="s">
        <v>79</v>
      </c>
      <c r="E1123" t="s">
        <v>80</v>
      </c>
      <c r="F1123" t="s">
        <v>34</v>
      </c>
      <c r="G1123" t="s">
        <v>35</v>
      </c>
      <c r="H1123" t="s">
        <v>88</v>
      </c>
      <c r="I1123" t="s">
        <v>56</v>
      </c>
      <c r="J1123" t="s">
        <v>37</v>
      </c>
      <c r="K1123" s="4">
        <v>45796</v>
      </c>
      <c r="L1123" s="4">
        <v>46161</v>
      </c>
      <c r="M1123" t="s">
        <v>38</v>
      </c>
      <c r="N1123" t="s">
        <v>55</v>
      </c>
      <c r="O1123">
        <v>3</v>
      </c>
      <c r="P1123" t="s">
        <v>70</v>
      </c>
      <c r="Q1123" s="4">
        <v>46132</v>
      </c>
      <c r="R1123" t="s">
        <v>38</v>
      </c>
      <c r="S1123" t="s">
        <v>38</v>
      </c>
      <c r="T1123" t="s">
        <v>3153</v>
      </c>
      <c r="U1123" t="s">
        <v>55</v>
      </c>
      <c r="V1123" t="s">
        <v>3154</v>
      </c>
    </row>
    <row r="1124" spans="1:22" x14ac:dyDescent="0.2">
      <c r="A1124" t="s">
        <v>2312</v>
      </c>
      <c r="B1124" t="s">
        <v>2313</v>
      </c>
      <c r="C1124" t="s">
        <v>78</v>
      </c>
      <c r="D1124" t="s">
        <v>79</v>
      </c>
      <c r="E1124" t="s">
        <v>53</v>
      </c>
      <c r="F1124" t="s">
        <v>45</v>
      </c>
      <c r="G1124" t="s">
        <v>46</v>
      </c>
      <c r="H1124" t="s">
        <v>88</v>
      </c>
      <c r="I1124" t="s">
        <v>111</v>
      </c>
      <c r="J1124" t="s">
        <v>37</v>
      </c>
      <c r="K1124" s="4">
        <v>46038</v>
      </c>
      <c r="L1124" s="4">
        <v>46403</v>
      </c>
      <c r="M1124" t="s">
        <v>69</v>
      </c>
      <c r="N1124" t="s">
        <v>75</v>
      </c>
      <c r="O1124">
        <v>1</v>
      </c>
      <c r="P1124" t="s">
        <v>50</v>
      </c>
      <c r="Q1124" s="4">
        <v>46282</v>
      </c>
      <c r="R1124" t="s">
        <v>38</v>
      </c>
      <c r="S1124" t="s">
        <v>3155</v>
      </c>
      <c r="T1124" t="s">
        <v>3153</v>
      </c>
      <c r="U1124" t="s">
        <v>75</v>
      </c>
      <c r="V1124" t="s">
        <v>3154</v>
      </c>
    </row>
    <row r="1125" spans="1:22" x14ac:dyDescent="0.2">
      <c r="A1125" t="s">
        <v>2314</v>
      </c>
      <c r="B1125" t="s">
        <v>2315</v>
      </c>
      <c r="C1125" t="s">
        <v>103</v>
      </c>
      <c r="D1125" t="s">
        <v>104</v>
      </c>
      <c r="E1125" t="s">
        <v>53</v>
      </c>
      <c r="F1125" t="s">
        <v>45</v>
      </c>
      <c r="G1125" t="s">
        <v>46</v>
      </c>
      <c r="H1125" t="s">
        <v>88</v>
      </c>
      <c r="I1125" t="s">
        <v>111</v>
      </c>
      <c r="J1125" t="s">
        <v>63</v>
      </c>
      <c r="K1125" s="4">
        <v>45827</v>
      </c>
      <c r="L1125" s="4">
        <v>46007</v>
      </c>
      <c r="M1125" t="s">
        <v>38</v>
      </c>
      <c r="N1125" t="s">
        <v>55</v>
      </c>
      <c r="O1125">
        <v>0</v>
      </c>
      <c r="P1125" t="s">
        <v>111</v>
      </c>
      <c r="Q1125" s="4">
        <v>46186</v>
      </c>
      <c r="R1125" t="s">
        <v>57</v>
      </c>
      <c r="S1125" t="s">
        <v>38</v>
      </c>
      <c r="T1125" t="s">
        <v>3153</v>
      </c>
      <c r="U1125" t="s">
        <v>55</v>
      </c>
      <c r="V1125" t="s">
        <v>3154</v>
      </c>
    </row>
    <row r="1126" spans="1:22" x14ac:dyDescent="0.2">
      <c r="A1126" t="s">
        <v>2316</v>
      </c>
      <c r="B1126" t="s">
        <v>2317</v>
      </c>
      <c r="C1126" t="s">
        <v>73</v>
      </c>
      <c r="D1126" t="s">
        <v>74</v>
      </c>
      <c r="E1126" t="s">
        <v>91</v>
      </c>
      <c r="F1126" t="s">
        <v>67</v>
      </c>
      <c r="G1126" t="s">
        <v>68</v>
      </c>
      <c r="H1126" t="s">
        <v>47</v>
      </c>
      <c r="I1126" t="s">
        <v>39</v>
      </c>
      <c r="J1126" t="s">
        <v>48</v>
      </c>
      <c r="K1126" s="4">
        <v>45881</v>
      </c>
      <c r="L1126" s="4">
        <v>45971</v>
      </c>
      <c r="M1126" t="s">
        <v>38</v>
      </c>
      <c r="N1126" t="s">
        <v>49</v>
      </c>
      <c r="O1126">
        <v>2</v>
      </c>
      <c r="P1126" t="s">
        <v>70</v>
      </c>
      <c r="Q1126" s="4">
        <v>46290</v>
      </c>
      <c r="R1126" t="s">
        <v>38</v>
      </c>
      <c r="S1126" t="s">
        <v>38</v>
      </c>
      <c r="T1126" t="s">
        <v>3153</v>
      </c>
      <c r="U1126" t="s">
        <v>49</v>
      </c>
      <c r="V1126" t="s">
        <v>3154</v>
      </c>
    </row>
    <row r="1127" spans="1:22" x14ac:dyDescent="0.2">
      <c r="A1127" t="s">
        <v>2318</v>
      </c>
      <c r="B1127" t="s">
        <v>2319</v>
      </c>
      <c r="C1127" t="s">
        <v>31</v>
      </c>
      <c r="D1127" t="s">
        <v>87</v>
      </c>
      <c r="E1127" t="s">
        <v>44</v>
      </c>
      <c r="F1127" t="s">
        <v>67</v>
      </c>
      <c r="G1127" t="s">
        <v>68</v>
      </c>
      <c r="H1127" t="s">
        <v>47</v>
      </c>
      <c r="I1127" t="s">
        <v>56</v>
      </c>
      <c r="J1127" t="s">
        <v>63</v>
      </c>
      <c r="K1127" s="4">
        <v>46004</v>
      </c>
      <c r="L1127" s="4">
        <v>46184</v>
      </c>
      <c r="M1127" t="s">
        <v>38</v>
      </c>
      <c r="N1127" t="s">
        <v>49</v>
      </c>
      <c r="O1127">
        <v>1</v>
      </c>
      <c r="P1127" t="s">
        <v>56</v>
      </c>
      <c r="Q1127" s="4">
        <v>46337</v>
      </c>
      <c r="R1127" t="s">
        <v>84</v>
      </c>
      <c r="S1127" t="s">
        <v>38</v>
      </c>
      <c r="T1127" t="s">
        <v>3153</v>
      </c>
      <c r="U1127" t="s">
        <v>49</v>
      </c>
      <c r="V1127" t="s">
        <v>3154</v>
      </c>
    </row>
    <row r="1128" spans="1:22" x14ac:dyDescent="0.2">
      <c r="A1128" t="s">
        <v>2320</v>
      </c>
      <c r="B1128" t="s">
        <v>2321</v>
      </c>
      <c r="C1128" t="s">
        <v>103</v>
      </c>
      <c r="D1128" t="s">
        <v>104</v>
      </c>
      <c r="E1128" t="s">
        <v>105</v>
      </c>
      <c r="F1128" t="s">
        <v>34</v>
      </c>
      <c r="G1128" t="s">
        <v>35</v>
      </c>
      <c r="H1128" t="s">
        <v>47</v>
      </c>
      <c r="I1128" t="s">
        <v>39</v>
      </c>
      <c r="J1128" t="s">
        <v>63</v>
      </c>
      <c r="K1128" s="4">
        <v>46067</v>
      </c>
      <c r="L1128" s="4">
        <v>46432</v>
      </c>
      <c r="M1128" t="s">
        <v>84</v>
      </c>
      <c r="N1128" t="s">
        <v>75</v>
      </c>
      <c r="O1128">
        <v>3</v>
      </c>
      <c r="P1128" t="s">
        <v>54</v>
      </c>
      <c r="Q1128" s="4">
        <v>46352</v>
      </c>
      <c r="R1128" t="s">
        <v>84</v>
      </c>
      <c r="S1128" t="s">
        <v>3155</v>
      </c>
      <c r="T1128" t="s">
        <v>3153</v>
      </c>
      <c r="U1128" t="s">
        <v>75</v>
      </c>
      <c r="V1128" t="s">
        <v>3154</v>
      </c>
    </row>
    <row r="1129" spans="1:22" x14ac:dyDescent="0.2">
      <c r="A1129" t="s">
        <v>2322</v>
      </c>
      <c r="B1129" t="s">
        <v>2323</v>
      </c>
      <c r="C1129" t="s">
        <v>31</v>
      </c>
      <c r="D1129" t="s">
        <v>87</v>
      </c>
      <c r="E1129" t="s">
        <v>53</v>
      </c>
      <c r="F1129" t="s">
        <v>67</v>
      </c>
      <c r="G1129" t="s">
        <v>118</v>
      </c>
      <c r="H1129" t="s">
        <v>36</v>
      </c>
      <c r="I1129" t="s">
        <v>39</v>
      </c>
      <c r="J1129" t="s">
        <v>48</v>
      </c>
      <c r="K1129" s="4">
        <v>45857</v>
      </c>
      <c r="L1129" s="4">
        <v>45947</v>
      </c>
      <c r="M1129" t="s">
        <v>38</v>
      </c>
      <c r="N1129" t="s">
        <v>49</v>
      </c>
      <c r="O1129">
        <v>4</v>
      </c>
      <c r="P1129" t="s">
        <v>39</v>
      </c>
      <c r="Q1129" s="4">
        <v>46245</v>
      </c>
      <c r="R1129" t="s">
        <v>38</v>
      </c>
      <c r="S1129" t="s">
        <v>38</v>
      </c>
      <c r="T1129" t="s">
        <v>3153</v>
      </c>
      <c r="U1129" t="s">
        <v>49</v>
      </c>
      <c r="V1129" t="s">
        <v>3152</v>
      </c>
    </row>
    <row r="1130" spans="1:22" x14ac:dyDescent="0.2">
      <c r="A1130" t="s">
        <v>2324</v>
      </c>
      <c r="B1130" t="s">
        <v>2325</v>
      </c>
      <c r="C1130" t="s">
        <v>78</v>
      </c>
      <c r="D1130" t="s">
        <v>79</v>
      </c>
      <c r="E1130" t="s">
        <v>44</v>
      </c>
      <c r="F1130" t="s">
        <v>45</v>
      </c>
      <c r="G1130" t="s">
        <v>61</v>
      </c>
      <c r="H1130" t="s">
        <v>88</v>
      </c>
      <c r="J1130" t="s">
        <v>63</v>
      </c>
      <c r="K1130" s="4">
        <v>46055</v>
      </c>
      <c r="L1130" s="4">
        <v>46145</v>
      </c>
      <c r="M1130" t="s">
        <v>38</v>
      </c>
      <c r="N1130" t="s">
        <v>55</v>
      </c>
      <c r="O1130">
        <v>2</v>
      </c>
      <c r="P1130" t="s">
        <v>56</v>
      </c>
      <c r="Q1130" s="4">
        <v>46389</v>
      </c>
      <c r="R1130" t="s">
        <v>84</v>
      </c>
      <c r="S1130" t="s">
        <v>38</v>
      </c>
      <c r="T1130" t="s">
        <v>3150</v>
      </c>
      <c r="U1130" t="s">
        <v>55</v>
      </c>
      <c r="V1130" t="s">
        <v>3154</v>
      </c>
    </row>
    <row r="1131" spans="1:22" x14ac:dyDescent="0.2">
      <c r="A1131" t="s">
        <v>2326</v>
      </c>
      <c r="B1131" t="s">
        <v>2327</v>
      </c>
      <c r="C1131" t="s">
        <v>31</v>
      </c>
      <c r="D1131" t="s">
        <v>83</v>
      </c>
      <c r="E1131" t="s">
        <v>80</v>
      </c>
      <c r="F1131" t="s">
        <v>34</v>
      </c>
      <c r="G1131" t="s">
        <v>35</v>
      </c>
      <c r="H1131" t="s">
        <v>98</v>
      </c>
      <c r="I1131" t="s">
        <v>54</v>
      </c>
      <c r="J1131" t="s">
        <v>63</v>
      </c>
      <c r="K1131" s="4">
        <v>46002</v>
      </c>
      <c r="L1131" s="4">
        <v>46367</v>
      </c>
      <c r="M1131" t="s">
        <v>84</v>
      </c>
      <c r="N1131" t="s">
        <v>55</v>
      </c>
      <c r="O1131">
        <v>3</v>
      </c>
      <c r="P1131" t="s">
        <v>54</v>
      </c>
      <c r="Q1131" s="4">
        <v>46402</v>
      </c>
      <c r="R1131" t="s">
        <v>84</v>
      </c>
      <c r="S1131" t="s">
        <v>3155</v>
      </c>
      <c r="T1131" t="s">
        <v>3153</v>
      </c>
      <c r="U1131" t="s">
        <v>55</v>
      </c>
      <c r="V1131" t="s">
        <v>3152</v>
      </c>
    </row>
    <row r="1132" spans="1:22" x14ac:dyDescent="0.2">
      <c r="A1132" t="s">
        <v>2328</v>
      </c>
      <c r="B1132" t="s">
        <v>2329</v>
      </c>
      <c r="C1132" t="s">
        <v>42</v>
      </c>
      <c r="D1132" t="s">
        <v>43</v>
      </c>
      <c r="E1132" t="s">
        <v>105</v>
      </c>
      <c r="F1132" t="s">
        <v>45</v>
      </c>
      <c r="G1132" t="s">
        <v>61</v>
      </c>
      <c r="H1132" t="s">
        <v>88</v>
      </c>
      <c r="I1132" t="s">
        <v>54</v>
      </c>
      <c r="J1132" t="s">
        <v>37</v>
      </c>
      <c r="K1132" s="4">
        <v>46030</v>
      </c>
      <c r="L1132" s="4">
        <v>46120</v>
      </c>
      <c r="M1132" t="s">
        <v>38</v>
      </c>
      <c r="N1132" t="s">
        <v>55</v>
      </c>
      <c r="O1132">
        <v>1</v>
      </c>
      <c r="P1132" t="s">
        <v>62</v>
      </c>
      <c r="Q1132" s="4">
        <v>46247</v>
      </c>
      <c r="R1132" t="s">
        <v>64</v>
      </c>
      <c r="S1132" t="s">
        <v>38</v>
      </c>
      <c r="T1132" t="s">
        <v>3153</v>
      </c>
      <c r="U1132" t="s">
        <v>55</v>
      </c>
      <c r="V1132" t="s">
        <v>3154</v>
      </c>
    </row>
    <row r="1133" spans="1:22" x14ac:dyDescent="0.2">
      <c r="A1133" t="s">
        <v>2330</v>
      </c>
      <c r="B1133" t="s">
        <v>2331</v>
      </c>
      <c r="C1133" t="s">
        <v>31</v>
      </c>
      <c r="D1133" t="s">
        <v>32</v>
      </c>
      <c r="E1133" t="s">
        <v>44</v>
      </c>
      <c r="F1133" t="s">
        <v>45</v>
      </c>
      <c r="G1133" t="s">
        <v>61</v>
      </c>
      <c r="H1133" t="s">
        <v>36</v>
      </c>
      <c r="I1133" t="s">
        <v>106</v>
      </c>
      <c r="J1133" t="s">
        <v>48</v>
      </c>
      <c r="K1133" s="4">
        <v>46226</v>
      </c>
      <c r="L1133" s="4">
        <v>46406</v>
      </c>
      <c r="M1133" t="s">
        <v>64</v>
      </c>
      <c r="N1133" t="s">
        <v>49</v>
      </c>
      <c r="O1133">
        <v>5</v>
      </c>
      <c r="P1133" t="s">
        <v>39</v>
      </c>
      <c r="Q1133" s="4">
        <v>46395</v>
      </c>
      <c r="R1133" t="s">
        <v>84</v>
      </c>
      <c r="S1133" t="s">
        <v>3155</v>
      </c>
      <c r="T1133" t="s">
        <v>3153</v>
      </c>
      <c r="U1133" t="s">
        <v>49</v>
      </c>
      <c r="V1133" t="s">
        <v>3152</v>
      </c>
    </row>
    <row r="1134" spans="1:22" x14ac:dyDescent="0.2">
      <c r="A1134" t="s">
        <v>2332</v>
      </c>
      <c r="B1134" t="s">
        <v>2333</v>
      </c>
      <c r="C1134" t="s">
        <v>96</v>
      </c>
      <c r="D1134" t="s">
        <v>97</v>
      </c>
      <c r="E1134" t="s">
        <v>53</v>
      </c>
      <c r="F1134" t="s">
        <v>45</v>
      </c>
      <c r="G1134" t="s">
        <v>46</v>
      </c>
      <c r="H1134" t="s">
        <v>98</v>
      </c>
      <c r="I1134" t="s">
        <v>70</v>
      </c>
      <c r="J1134" t="s">
        <v>48</v>
      </c>
      <c r="K1134" s="4">
        <v>45884</v>
      </c>
      <c r="L1134" s="4">
        <v>46064</v>
      </c>
      <c r="M1134" t="s">
        <v>38</v>
      </c>
      <c r="N1134" t="s">
        <v>75</v>
      </c>
      <c r="O1134">
        <v>0</v>
      </c>
      <c r="P1134" t="s">
        <v>111</v>
      </c>
      <c r="Q1134" s="4">
        <v>46371</v>
      </c>
      <c r="R1134" t="s">
        <v>57</v>
      </c>
      <c r="S1134" t="s">
        <v>38</v>
      </c>
      <c r="T1134" t="s">
        <v>3153</v>
      </c>
      <c r="U1134" t="s">
        <v>75</v>
      </c>
      <c r="V1134" t="s">
        <v>3152</v>
      </c>
    </row>
    <row r="1135" spans="1:22" x14ac:dyDescent="0.2">
      <c r="A1135" t="s">
        <v>2334</v>
      </c>
      <c r="B1135" t="s">
        <v>2335</v>
      </c>
      <c r="C1135" t="s">
        <v>31</v>
      </c>
      <c r="D1135" t="s">
        <v>87</v>
      </c>
      <c r="E1135" t="s">
        <v>105</v>
      </c>
      <c r="F1135" t="s">
        <v>34</v>
      </c>
      <c r="G1135" t="s">
        <v>35</v>
      </c>
      <c r="H1135" t="s">
        <v>88</v>
      </c>
      <c r="I1135" t="s">
        <v>70</v>
      </c>
      <c r="J1135" t="s">
        <v>48</v>
      </c>
      <c r="K1135" s="4">
        <v>46095</v>
      </c>
      <c r="L1135" s="4">
        <v>46185</v>
      </c>
      <c r="M1135" t="s">
        <v>38</v>
      </c>
      <c r="N1135" t="s">
        <v>75</v>
      </c>
      <c r="O1135">
        <v>1</v>
      </c>
      <c r="P1135" t="s">
        <v>70</v>
      </c>
      <c r="Q1135" s="4">
        <v>46394</v>
      </c>
      <c r="R1135" t="s">
        <v>84</v>
      </c>
      <c r="S1135" t="s">
        <v>38</v>
      </c>
      <c r="T1135" t="s">
        <v>3153</v>
      </c>
      <c r="U1135" t="s">
        <v>75</v>
      </c>
      <c r="V1135" t="s">
        <v>3154</v>
      </c>
    </row>
    <row r="1136" spans="1:22" x14ac:dyDescent="0.2">
      <c r="A1136" t="s">
        <v>2336</v>
      </c>
      <c r="B1136" t="s">
        <v>2337</v>
      </c>
      <c r="C1136" t="s">
        <v>78</v>
      </c>
      <c r="D1136" t="s">
        <v>79</v>
      </c>
      <c r="E1136" t="s">
        <v>53</v>
      </c>
      <c r="F1136" t="s">
        <v>45</v>
      </c>
      <c r="G1136" t="s">
        <v>46</v>
      </c>
      <c r="H1136" t="s">
        <v>47</v>
      </c>
      <c r="I1136" t="s">
        <v>54</v>
      </c>
      <c r="J1136" t="s">
        <v>48</v>
      </c>
      <c r="K1136" s="4">
        <v>46030</v>
      </c>
      <c r="L1136" s="4">
        <v>46395</v>
      </c>
      <c r="M1136" t="s">
        <v>64</v>
      </c>
      <c r="N1136" t="s">
        <v>75</v>
      </c>
      <c r="O1136">
        <v>3</v>
      </c>
      <c r="P1136" t="s">
        <v>54</v>
      </c>
      <c r="Q1136" s="4">
        <v>46336</v>
      </c>
      <c r="R1136" t="s">
        <v>64</v>
      </c>
      <c r="S1136" t="s">
        <v>3155</v>
      </c>
      <c r="T1136" t="s">
        <v>3153</v>
      </c>
      <c r="U1136" t="s">
        <v>75</v>
      </c>
      <c r="V1136" t="s">
        <v>3154</v>
      </c>
    </row>
    <row r="1137" spans="1:22" x14ac:dyDescent="0.2">
      <c r="A1137" t="s">
        <v>2338</v>
      </c>
      <c r="B1137" t="s">
        <v>2339</v>
      </c>
      <c r="C1137" t="s">
        <v>78</v>
      </c>
      <c r="D1137" t="s">
        <v>79</v>
      </c>
      <c r="E1137" t="s">
        <v>60</v>
      </c>
      <c r="F1137" t="s">
        <v>34</v>
      </c>
      <c r="G1137" t="s">
        <v>35</v>
      </c>
      <c r="H1137" t="s">
        <v>36</v>
      </c>
      <c r="I1137" t="s">
        <v>70</v>
      </c>
      <c r="J1137" t="s">
        <v>63</v>
      </c>
      <c r="K1137" s="4">
        <v>45894</v>
      </c>
      <c r="L1137" s="4">
        <v>45984</v>
      </c>
      <c r="M1137" t="s">
        <v>38</v>
      </c>
      <c r="N1137" t="s">
        <v>49</v>
      </c>
      <c r="O1137">
        <v>3</v>
      </c>
      <c r="P1137" t="s">
        <v>106</v>
      </c>
      <c r="Q1137" s="4">
        <v>46400</v>
      </c>
      <c r="R1137" t="s">
        <v>84</v>
      </c>
      <c r="S1137" t="s">
        <v>38</v>
      </c>
      <c r="T1137" t="s">
        <v>3153</v>
      </c>
      <c r="U1137" t="s">
        <v>49</v>
      </c>
      <c r="V1137" t="s">
        <v>3152</v>
      </c>
    </row>
    <row r="1138" spans="1:22" x14ac:dyDescent="0.2">
      <c r="A1138" t="s">
        <v>2340</v>
      </c>
      <c r="B1138" t="s">
        <v>2341</v>
      </c>
      <c r="C1138" t="s">
        <v>31</v>
      </c>
      <c r="D1138" t="s">
        <v>87</v>
      </c>
      <c r="E1138" t="s">
        <v>105</v>
      </c>
      <c r="F1138" t="s">
        <v>45</v>
      </c>
      <c r="G1138" t="s">
        <v>46</v>
      </c>
      <c r="H1138" t="s">
        <v>88</v>
      </c>
      <c r="I1138" t="s">
        <v>39</v>
      </c>
      <c r="J1138" t="s">
        <v>37</v>
      </c>
      <c r="K1138" s="4">
        <v>45983</v>
      </c>
      <c r="L1138" s="4">
        <v>46163</v>
      </c>
      <c r="M1138" t="s">
        <v>38</v>
      </c>
      <c r="N1138" t="s">
        <v>55</v>
      </c>
      <c r="O1138">
        <v>2</v>
      </c>
      <c r="P1138" t="s">
        <v>70</v>
      </c>
      <c r="Q1138" s="4">
        <v>46288</v>
      </c>
      <c r="R1138" t="s">
        <v>38</v>
      </c>
      <c r="S1138" t="s">
        <v>38</v>
      </c>
      <c r="T1138" t="s">
        <v>3153</v>
      </c>
      <c r="U1138" t="s">
        <v>55</v>
      </c>
      <c r="V1138" t="s">
        <v>3154</v>
      </c>
    </row>
    <row r="1139" spans="1:22" x14ac:dyDescent="0.2">
      <c r="A1139" t="s">
        <v>2342</v>
      </c>
      <c r="B1139" t="s">
        <v>2343</v>
      </c>
      <c r="C1139" t="s">
        <v>73</v>
      </c>
      <c r="D1139" t="s">
        <v>74</v>
      </c>
      <c r="E1139" t="s">
        <v>60</v>
      </c>
      <c r="F1139" t="s">
        <v>45</v>
      </c>
      <c r="G1139" t="s">
        <v>46</v>
      </c>
      <c r="H1139" t="s">
        <v>88</v>
      </c>
      <c r="I1139" t="s">
        <v>70</v>
      </c>
      <c r="J1139" t="s">
        <v>63</v>
      </c>
      <c r="K1139" s="4">
        <v>45972</v>
      </c>
      <c r="L1139" s="4">
        <v>46062</v>
      </c>
      <c r="M1139" t="s">
        <v>38</v>
      </c>
      <c r="N1139" t="s">
        <v>75</v>
      </c>
      <c r="O1139">
        <v>3</v>
      </c>
      <c r="P1139" t="s">
        <v>39</v>
      </c>
      <c r="Q1139" s="4">
        <v>46398</v>
      </c>
      <c r="R1139" t="s">
        <v>84</v>
      </c>
      <c r="S1139" t="s">
        <v>38</v>
      </c>
      <c r="T1139" t="s">
        <v>3153</v>
      </c>
      <c r="U1139" t="s">
        <v>75</v>
      </c>
      <c r="V1139" t="s">
        <v>3154</v>
      </c>
    </row>
    <row r="1140" spans="1:22" x14ac:dyDescent="0.2">
      <c r="A1140" t="s">
        <v>2344</v>
      </c>
      <c r="B1140" t="s">
        <v>2345</v>
      </c>
      <c r="C1140" t="s">
        <v>31</v>
      </c>
      <c r="D1140" t="s">
        <v>83</v>
      </c>
      <c r="E1140" t="s">
        <v>44</v>
      </c>
      <c r="F1140" t="s">
        <v>34</v>
      </c>
      <c r="G1140" t="s">
        <v>35</v>
      </c>
      <c r="H1140" t="s">
        <v>88</v>
      </c>
      <c r="I1140" t="s">
        <v>62</v>
      </c>
      <c r="J1140" t="s">
        <v>37</v>
      </c>
      <c r="K1140" s="4">
        <v>46125</v>
      </c>
      <c r="L1140" s="4">
        <v>46215</v>
      </c>
      <c r="M1140" t="s">
        <v>38</v>
      </c>
      <c r="N1140" t="s">
        <v>55</v>
      </c>
      <c r="O1140">
        <v>0</v>
      </c>
      <c r="P1140" t="s">
        <v>62</v>
      </c>
      <c r="Q1140" s="4">
        <v>46268</v>
      </c>
      <c r="R1140" t="s">
        <v>57</v>
      </c>
      <c r="S1140" t="s">
        <v>38</v>
      </c>
      <c r="T1140" t="s">
        <v>3153</v>
      </c>
      <c r="U1140" t="s">
        <v>55</v>
      </c>
      <c r="V1140" t="s">
        <v>3154</v>
      </c>
    </row>
    <row r="1141" spans="1:22" x14ac:dyDescent="0.2">
      <c r="A1141" t="s">
        <v>2346</v>
      </c>
      <c r="B1141" t="s">
        <v>2347</v>
      </c>
      <c r="C1141" t="s">
        <v>78</v>
      </c>
      <c r="D1141" t="s">
        <v>79</v>
      </c>
      <c r="E1141" t="s">
        <v>53</v>
      </c>
      <c r="F1141" t="s">
        <v>45</v>
      </c>
      <c r="G1141" t="s">
        <v>61</v>
      </c>
      <c r="H1141" t="s">
        <v>36</v>
      </c>
      <c r="I1141" t="s">
        <v>70</v>
      </c>
      <c r="J1141" t="s">
        <v>48</v>
      </c>
      <c r="K1141" s="4">
        <v>46004</v>
      </c>
      <c r="L1141" s="4">
        <v>46184</v>
      </c>
      <c r="M1141" t="s">
        <v>38</v>
      </c>
      <c r="N1141" t="s">
        <v>55</v>
      </c>
      <c r="O1141">
        <v>3</v>
      </c>
      <c r="P1141" t="s">
        <v>56</v>
      </c>
      <c r="Q1141" s="4">
        <v>46272</v>
      </c>
      <c r="R1141" t="s">
        <v>38</v>
      </c>
      <c r="S1141" t="s">
        <v>38</v>
      </c>
      <c r="T1141" t="s">
        <v>3153</v>
      </c>
      <c r="U1141" t="s">
        <v>55</v>
      </c>
      <c r="V1141" t="s">
        <v>3152</v>
      </c>
    </row>
    <row r="1142" spans="1:22" x14ac:dyDescent="0.2">
      <c r="A1142" t="s">
        <v>2348</v>
      </c>
      <c r="B1142" t="s">
        <v>2349</v>
      </c>
      <c r="C1142" t="s">
        <v>31</v>
      </c>
      <c r="D1142" t="s">
        <v>32</v>
      </c>
      <c r="E1142" t="s">
        <v>91</v>
      </c>
      <c r="F1142" t="s">
        <v>67</v>
      </c>
      <c r="G1142" t="s">
        <v>68</v>
      </c>
      <c r="H1142" t="s">
        <v>47</v>
      </c>
      <c r="I1142" t="s">
        <v>50</v>
      </c>
      <c r="J1142" t="s">
        <v>37</v>
      </c>
      <c r="K1142" s="4">
        <v>45799</v>
      </c>
      <c r="L1142" s="4">
        <v>46164</v>
      </c>
      <c r="M1142" t="s">
        <v>38</v>
      </c>
      <c r="N1142" t="s">
        <v>49</v>
      </c>
      <c r="O1142">
        <v>0</v>
      </c>
      <c r="P1142" t="s">
        <v>106</v>
      </c>
      <c r="Q1142" s="4">
        <v>46300</v>
      </c>
      <c r="R1142" t="s">
        <v>57</v>
      </c>
      <c r="S1142" t="s">
        <v>38</v>
      </c>
      <c r="T1142" t="s">
        <v>3153</v>
      </c>
      <c r="U1142" t="s">
        <v>49</v>
      </c>
      <c r="V1142" t="s">
        <v>3154</v>
      </c>
    </row>
    <row r="1143" spans="1:22" x14ac:dyDescent="0.2">
      <c r="A1143" t="s">
        <v>2350</v>
      </c>
      <c r="B1143" t="s">
        <v>2351</v>
      </c>
      <c r="C1143" t="s">
        <v>31</v>
      </c>
      <c r="D1143" t="s">
        <v>32</v>
      </c>
      <c r="E1143" t="s">
        <v>44</v>
      </c>
      <c r="F1143" t="s">
        <v>67</v>
      </c>
      <c r="G1143" t="s">
        <v>68</v>
      </c>
      <c r="H1143" t="s">
        <v>88</v>
      </c>
      <c r="I1143" t="s">
        <v>70</v>
      </c>
      <c r="J1143" t="s">
        <v>63</v>
      </c>
      <c r="K1143" s="4">
        <v>46157</v>
      </c>
      <c r="L1143" s="4">
        <v>46247</v>
      </c>
      <c r="M1143" t="s">
        <v>38</v>
      </c>
      <c r="N1143" t="s">
        <v>75</v>
      </c>
      <c r="O1143">
        <v>2</v>
      </c>
      <c r="P1143" t="s">
        <v>56</v>
      </c>
      <c r="Q1143" s="4">
        <v>46396</v>
      </c>
      <c r="R1143" t="s">
        <v>84</v>
      </c>
      <c r="S1143" t="s">
        <v>38</v>
      </c>
      <c r="T1143" t="s">
        <v>3153</v>
      </c>
      <c r="U1143" t="s">
        <v>75</v>
      </c>
      <c r="V1143" t="s">
        <v>3154</v>
      </c>
    </row>
    <row r="1144" spans="1:22" x14ac:dyDescent="0.2">
      <c r="A1144" t="s">
        <v>2352</v>
      </c>
      <c r="B1144" t="s">
        <v>2353</v>
      </c>
      <c r="C1144" t="s">
        <v>31</v>
      </c>
      <c r="D1144" t="s">
        <v>32</v>
      </c>
      <c r="E1144" t="s">
        <v>105</v>
      </c>
      <c r="F1144" t="s">
        <v>34</v>
      </c>
      <c r="G1144" t="s">
        <v>35</v>
      </c>
      <c r="H1144" t="s">
        <v>36</v>
      </c>
      <c r="I1144" t="s">
        <v>39</v>
      </c>
      <c r="J1144" t="s">
        <v>48</v>
      </c>
      <c r="K1144" s="4">
        <v>46116</v>
      </c>
      <c r="L1144" s="4">
        <v>46296</v>
      </c>
      <c r="M1144" t="s">
        <v>64</v>
      </c>
      <c r="N1144" t="s">
        <v>75</v>
      </c>
      <c r="O1144">
        <v>2</v>
      </c>
      <c r="P1144" t="s">
        <v>70</v>
      </c>
      <c r="Q1144" s="4">
        <v>46141</v>
      </c>
      <c r="R1144" t="s">
        <v>64</v>
      </c>
      <c r="S1144" t="s">
        <v>3155</v>
      </c>
      <c r="T1144" t="s">
        <v>3153</v>
      </c>
      <c r="U1144" t="s">
        <v>75</v>
      </c>
      <c r="V1144" t="s">
        <v>3152</v>
      </c>
    </row>
    <row r="1145" spans="1:22" x14ac:dyDescent="0.2">
      <c r="A1145" t="s">
        <v>2354</v>
      </c>
      <c r="B1145" t="s">
        <v>2355</v>
      </c>
      <c r="C1145" t="s">
        <v>103</v>
      </c>
      <c r="D1145" t="s">
        <v>104</v>
      </c>
      <c r="E1145" t="s">
        <v>80</v>
      </c>
      <c r="F1145" t="s">
        <v>67</v>
      </c>
      <c r="G1145" t="s">
        <v>68</v>
      </c>
      <c r="H1145" t="s">
        <v>36</v>
      </c>
      <c r="I1145" t="s">
        <v>62</v>
      </c>
      <c r="J1145" t="s">
        <v>37</v>
      </c>
      <c r="K1145" s="4">
        <v>45998</v>
      </c>
      <c r="L1145" s="4">
        <v>46088</v>
      </c>
      <c r="M1145" t="s">
        <v>38</v>
      </c>
      <c r="N1145" t="s">
        <v>75</v>
      </c>
      <c r="O1145">
        <v>1</v>
      </c>
      <c r="P1145" t="s">
        <v>50</v>
      </c>
      <c r="Q1145" s="4">
        <v>46402</v>
      </c>
      <c r="R1145" t="s">
        <v>84</v>
      </c>
      <c r="S1145" t="s">
        <v>38</v>
      </c>
      <c r="T1145" t="s">
        <v>3153</v>
      </c>
      <c r="U1145" t="s">
        <v>75</v>
      </c>
      <c r="V1145" t="s">
        <v>3152</v>
      </c>
    </row>
    <row r="1146" spans="1:22" x14ac:dyDescent="0.2">
      <c r="A1146" t="s">
        <v>2356</v>
      </c>
      <c r="B1146" t="s">
        <v>2357</v>
      </c>
      <c r="C1146" t="s">
        <v>78</v>
      </c>
      <c r="D1146" t="s">
        <v>79</v>
      </c>
      <c r="E1146" t="s">
        <v>91</v>
      </c>
      <c r="F1146" t="s">
        <v>45</v>
      </c>
      <c r="G1146" t="s">
        <v>46</v>
      </c>
      <c r="H1146" t="s">
        <v>36</v>
      </c>
      <c r="I1146" t="s">
        <v>111</v>
      </c>
      <c r="J1146" t="s">
        <v>63</v>
      </c>
      <c r="K1146" s="4">
        <v>46164</v>
      </c>
      <c r="L1146" s="4">
        <v>46529</v>
      </c>
      <c r="M1146" t="s">
        <v>84</v>
      </c>
      <c r="N1146" t="s">
        <v>49</v>
      </c>
      <c r="O1146">
        <v>5</v>
      </c>
      <c r="P1146" t="s">
        <v>56</v>
      </c>
      <c r="Q1146" s="4">
        <v>46375</v>
      </c>
      <c r="R1146" t="s">
        <v>64</v>
      </c>
      <c r="S1146" t="s">
        <v>3155</v>
      </c>
      <c r="T1146" t="s">
        <v>3153</v>
      </c>
      <c r="U1146" t="s">
        <v>49</v>
      </c>
      <c r="V1146" t="s">
        <v>3152</v>
      </c>
    </row>
    <row r="1147" spans="1:22" x14ac:dyDescent="0.2">
      <c r="A1147" t="s">
        <v>2358</v>
      </c>
      <c r="B1147" t="s">
        <v>2359</v>
      </c>
      <c r="C1147" t="s">
        <v>42</v>
      </c>
      <c r="D1147" t="s">
        <v>43</v>
      </c>
      <c r="E1147" t="s">
        <v>80</v>
      </c>
      <c r="F1147" t="s">
        <v>34</v>
      </c>
      <c r="G1147" t="s">
        <v>35</v>
      </c>
      <c r="H1147" t="s">
        <v>88</v>
      </c>
      <c r="I1147" t="s">
        <v>39</v>
      </c>
      <c r="J1147" t="s">
        <v>48</v>
      </c>
      <c r="K1147" s="4">
        <v>46055</v>
      </c>
      <c r="L1147" s="4">
        <v>46145</v>
      </c>
      <c r="M1147" t="s">
        <v>38</v>
      </c>
      <c r="N1147" t="s">
        <v>49</v>
      </c>
      <c r="O1147">
        <v>3</v>
      </c>
      <c r="P1147" t="s">
        <v>62</v>
      </c>
      <c r="Q1147" s="4">
        <v>46213</v>
      </c>
      <c r="R1147" t="s">
        <v>38</v>
      </c>
      <c r="S1147" t="s">
        <v>38</v>
      </c>
      <c r="T1147" t="s">
        <v>3153</v>
      </c>
      <c r="U1147" t="s">
        <v>49</v>
      </c>
      <c r="V1147" t="s">
        <v>3154</v>
      </c>
    </row>
    <row r="1148" spans="1:22" x14ac:dyDescent="0.2">
      <c r="A1148" t="s">
        <v>2360</v>
      </c>
      <c r="B1148" t="s">
        <v>2361</v>
      </c>
      <c r="C1148" t="s">
        <v>96</v>
      </c>
      <c r="D1148" t="s">
        <v>97</v>
      </c>
      <c r="E1148" t="s">
        <v>60</v>
      </c>
      <c r="F1148" t="s">
        <v>34</v>
      </c>
      <c r="G1148" t="s">
        <v>35</v>
      </c>
      <c r="H1148" t="s">
        <v>47</v>
      </c>
      <c r="I1148" t="s">
        <v>54</v>
      </c>
      <c r="J1148" t="s">
        <v>48</v>
      </c>
      <c r="K1148" s="4">
        <v>45960</v>
      </c>
      <c r="L1148" s="4">
        <v>46050</v>
      </c>
      <c r="M1148" t="s">
        <v>38</v>
      </c>
      <c r="N1148" t="s">
        <v>49</v>
      </c>
      <c r="O1148">
        <v>3</v>
      </c>
      <c r="P1148" t="s">
        <v>62</v>
      </c>
      <c r="Q1148" s="4">
        <v>46245</v>
      </c>
      <c r="R1148" t="s">
        <v>38</v>
      </c>
      <c r="S1148" t="s">
        <v>38</v>
      </c>
      <c r="T1148" t="s">
        <v>3153</v>
      </c>
      <c r="U1148" t="s">
        <v>49</v>
      </c>
      <c r="V1148" t="s">
        <v>3154</v>
      </c>
    </row>
    <row r="1149" spans="1:22" x14ac:dyDescent="0.2">
      <c r="A1149" t="s">
        <v>2362</v>
      </c>
      <c r="B1149" t="s">
        <v>2363</v>
      </c>
      <c r="C1149" t="s">
        <v>31</v>
      </c>
      <c r="D1149" t="s">
        <v>83</v>
      </c>
      <c r="E1149" t="s">
        <v>91</v>
      </c>
      <c r="F1149" t="s">
        <v>34</v>
      </c>
      <c r="G1149" t="s">
        <v>35</v>
      </c>
      <c r="H1149" t="s">
        <v>47</v>
      </c>
      <c r="I1149" t="s">
        <v>50</v>
      </c>
      <c r="J1149" t="s">
        <v>48</v>
      </c>
      <c r="K1149" s="4">
        <v>45980</v>
      </c>
      <c r="L1149" s="4">
        <v>46070</v>
      </c>
      <c r="M1149" t="s">
        <v>38</v>
      </c>
      <c r="N1149" t="s">
        <v>49</v>
      </c>
      <c r="O1149">
        <v>0</v>
      </c>
      <c r="P1149" t="s">
        <v>54</v>
      </c>
      <c r="Q1149" s="4">
        <v>46242</v>
      </c>
      <c r="R1149" t="s">
        <v>57</v>
      </c>
      <c r="S1149" t="s">
        <v>38</v>
      </c>
      <c r="T1149" t="s">
        <v>3153</v>
      </c>
      <c r="U1149" t="s">
        <v>49</v>
      </c>
      <c r="V1149" t="s">
        <v>3154</v>
      </c>
    </row>
    <row r="1150" spans="1:22" x14ac:dyDescent="0.2">
      <c r="A1150" t="s">
        <v>2364</v>
      </c>
      <c r="B1150" t="s">
        <v>2365</v>
      </c>
      <c r="C1150" t="s">
        <v>31</v>
      </c>
      <c r="D1150" t="s">
        <v>32</v>
      </c>
      <c r="E1150" t="s">
        <v>91</v>
      </c>
      <c r="F1150" t="s">
        <v>45</v>
      </c>
      <c r="G1150" t="s">
        <v>3156</v>
      </c>
      <c r="H1150" t="s">
        <v>47</v>
      </c>
      <c r="I1150" t="s">
        <v>62</v>
      </c>
      <c r="J1150" t="s">
        <v>63</v>
      </c>
      <c r="K1150" s="4">
        <v>46207</v>
      </c>
      <c r="L1150" s="4">
        <v>46297</v>
      </c>
      <c r="M1150" t="s">
        <v>64</v>
      </c>
      <c r="N1150" t="s">
        <v>55</v>
      </c>
      <c r="O1150">
        <v>0</v>
      </c>
      <c r="P1150" t="s">
        <v>39</v>
      </c>
      <c r="Q1150" s="4">
        <v>46222</v>
      </c>
      <c r="R1150" t="s">
        <v>57</v>
      </c>
      <c r="S1150" t="s">
        <v>3155</v>
      </c>
      <c r="T1150" t="s">
        <v>3153</v>
      </c>
      <c r="U1150" t="s">
        <v>55</v>
      </c>
      <c r="V1150" t="s">
        <v>3154</v>
      </c>
    </row>
    <row r="1151" spans="1:22" x14ac:dyDescent="0.2">
      <c r="A1151" t="s">
        <v>2366</v>
      </c>
      <c r="B1151" t="s">
        <v>2367</v>
      </c>
      <c r="C1151" t="s">
        <v>42</v>
      </c>
      <c r="D1151" t="s">
        <v>43</v>
      </c>
      <c r="E1151" t="s">
        <v>53</v>
      </c>
      <c r="F1151" t="s">
        <v>67</v>
      </c>
      <c r="G1151" t="s">
        <v>68</v>
      </c>
      <c r="H1151" t="s">
        <v>47</v>
      </c>
      <c r="I1151" t="s">
        <v>50</v>
      </c>
      <c r="J1151" t="s">
        <v>63</v>
      </c>
      <c r="K1151" s="4">
        <v>46200</v>
      </c>
      <c r="L1151" s="4">
        <v>46565</v>
      </c>
      <c r="M1151" t="s">
        <v>84</v>
      </c>
      <c r="N1151" t="s">
        <v>75</v>
      </c>
      <c r="O1151">
        <v>2</v>
      </c>
      <c r="P1151" t="s">
        <v>54</v>
      </c>
      <c r="Q1151" s="4">
        <v>46325</v>
      </c>
      <c r="R1151" t="s">
        <v>84</v>
      </c>
      <c r="S1151" t="s">
        <v>3155</v>
      </c>
      <c r="T1151" t="s">
        <v>3153</v>
      </c>
      <c r="U1151" t="s">
        <v>75</v>
      </c>
      <c r="V1151" t="s">
        <v>3154</v>
      </c>
    </row>
    <row r="1152" spans="1:22" x14ac:dyDescent="0.2">
      <c r="A1152" t="s">
        <v>2368</v>
      </c>
      <c r="B1152" t="s">
        <v>2369</v>
      </c>
      <c r="C1152" t="s">
        <v>42</v>
      </c>
      <c r="D1152" t="s">
        <v>43</v>
      </c>
      <c r="E1152" t="s">
        <v>44</v>
      </c>
      <c r="F1152" t="s">
        <v>34</v>
      </c>
      <c r="G1152" t="s">
        <v>35</v>
      </c>
      <c r="H1152" t="s">
        <v>88</v>
      </c>
      <c r="I1152" t="s">
        <v>54</v>
      </c>
      <c r="J1152" t="s">
        <v>48</v>
      </c>
      <c r="K1152" s="4">
        <v>45830</v>
      </c>
      <c r="L1152" s="4">
        <v>46195</v>
      </c>
      <c r="M1152" t="s">
        <v>38</v>
      </c>
      <c r="N1152" t="s">
        <v>49</v>
      </c>
      <c r="O1152">
        <v>1</v>
      </c>
      <c r="P1152" t="s">
        <v>56</v>
      </c>
      <c r="Q1152" s="4">
        <v>46365</v>
      </c>
      <c r="R1152" t="s">
        <v>84</v>
      </c>
      <c r="S1152" t="s">
        <v>38</v>
      </c>
      <c r="T1152" t="s">
        <v>3153</v>
      </c>
      <c r="U1152" t="s">
        <v>49</v>
      </c>
      <c r="V1152" t="s">
        <v>3154</v>
      </c>
    </row>
    <row r="1153" spans="1:22" x14ac:dyDescent="0.2">
      <c r="A1153" t="s">
        <v>2370</v>
      </c>
      <c r="B1153" t="s">
        <v>2371</v>
      </c>
      <c r="C1153" t="s">
        <v>42</v>
      </c>
      <c r="D1153" t="s">
        <v>43</v>
      </c>
      <c r="E1153" t="s">
        <v>80</v>
      </c>
      <c r="F1153" t="s">
        <v>45</v>
      </c>
      <c r="G1153" t="s">
        <v>61</v>
      </c>
      <c r="H1153" t="s">
        <v>47</v>
      </c>
      <c r="I1153" t="s">
        <v>39</v>
      </c>
      <c r="J1153" t="s">
        <v>37</v>
      </c>
      <c r="K1153" s="4">
        <v>45892</v>
      </c>
      <c r="L1153" s="4">
        <v>46072</v>
      </c>
      <c r="M1153" t="s">
        <v>38</v>
      </c>
      <c r="N1153" t="s">
        <v>49</v>
      </c>
      <c r="O1153">
        <v>2</v>
      </c>
      <c r="P1153" t="s">
        <v>56</v>
      </c>
      <c r="Q1153" s="4">
        <v>46219</v>
      </c>
      <c r="R1153" t="s">
        <v>38</v>
      </c>
      <c r="S1153" t="s">
        <v>38</v>
      </c>
      <c r="T1153" t="s">
        <v>3153</v>
      </c>
      <c r="U1153" t="s">
        <v>49</v>
      </c>
      <c r="V1153" t="s">
        <v>3154</v>
      </c>
    </row>
    <row r="1154" spans="1:22" x14ac:dyDescent="0.2">
      <c r="A1154" t="s">
        <v>2372</v>
      </c>
      <c r="B1154" t="s">
        <v>2373</v>
      </c>
      <c r="C1154" t="s">
        <v>42</v>
      </c>
      <c r="D1154" t="s">
        <v>43</v>
      </c>
      <c r="E1154" t="s">
        <v>105</v>
      </c>
      <c r="F1154" t="s">
        <v>45</v>
      </c>
      <c r="G1154" t="s">
        <v>61</v>
      </c>
      <c r="H1154" t="s">
        <v>88</v>
      </c>
      <c r="I1154" t="s">
        <v>70</v>
      </c>
      <c r="J1154" t="s">
        <v>37</v>
      </c>
      <c r="K1154" s="4">
        <v>45975</v>
      </c>
      <c r="L1154" s="4">
        <v>46155</v>
      </c>
      <c r="M1154" t="s">
        <v>38</v>
      </c>
      <c r="N1154" t="s">
        <v>75</v>
      </c>
      <c r="O1154">
        <v>2</v>
      </c>
      <c r="P1154" t="s">
        <v>62</v>
      </c>
      <c r="Q1154" s="4">
        <v>46229</v>
      </c>
      <c r="R1154" t="s">
        <v>38</v>
      </c>
      <c r="S1154" t="s">
        <v>38</v>
      </c>
      <c r="T1154" t="s">
        <v>3153</v>
      </c>
      <c r="U1154" t="s">
        <v>75</v>
      </c>
      <c r="V1154" t="s">
        <v>3154</v>
      </c>
    </row>
    <row r="1155" spans="1:22" x14ac:dyDescent="0.2">
      <c r="A1155" t="s">
        <v>2374</v>
      </c>
      <c r="B1155" t="s">
        <v>2375</v>
      </c>
      <c r="C1155" t="s">
        <v>73</v>
      </c>
      <c r="D1155" t="s">
        <v>74</v>
      </c>
      <c r="E1155" t="s">
        <v>80</v>
      </c>
      <c r="F1155" t="s">
        <v>67</v>
      </c>
      <c r="G1155" t="s">
        <v>68</v>
      </c>
      <c r="H1155" t="s">
        <v>47</v>
      </c>
      <c r="I1155" t="s">
        <v>50</v>
      </c>
      <c r="J1155" t="s">
        <v>37</v>
      </c>
      <c r="K1155" s="4">
        <v>46267</v>
      </c>
      <c r="L1155" s="4">
        <v>46357</v>
      </c>
      <c r="M1155" t="s">
        <v>69</v>
      </c>
      <c r="N1155" t="s">
        <v>55</v>
      </c>
      <c r="O1155">
        <v>1</v>
      </c>
      <c r="P1155" t="s">
        <v>70</v>
      </c>
      <c r="Q1155" s="4">
        <v>46171</v>
      </c>
      <c r="R1155" t="s">
        <v>64</v>
      </c>
      <c r="S1155" t="s">
        <v>3155</v>
      </c>
      <c r="T1155" t="s">
        <v>3153</v>
      </c>
      <c r="U1155" t="s">
        <v>55</v>
      </c>
      <c r="V1155" t="s">
        <v>3154</v>
      </c>
    </row>
    <row r="1156" spans="1:22" x14ac:dyDescent="0.2">
      <c r="A1156" t="s">
        <v>2376</v>
      </c>
      <c r="B1156" t="s">
        <v>2377</v>
      </c>
      <c r="C1156" t="s">
        <v>31</v>
      </c>
      <c r="D1156" t="s">
        <v>83</v>
      </c>
      <c r="E1156" t="s">
        <v>91</v>
      </c>
      <c r="F1156" t="s">
        <v>67</v>
      </c>
      <c r="G1156" t="s">
        <v>118</v>
      </c>
      <c r="H1156" t="s">
        <v>88</v>
      </c>
      <c r="I1156" t="s">
        <v>70</v>
      </c>
      <c r="J1156" t="s">
        <v>37</v>
      </c>
      <c r="K1156" s="4">
        <v>45985</v>
      </c>
      <c r="L1156" s="4">
        <v>46075</v>
      </c>
      <c r="M1156" t="s">
        <v>38</v>
      </c>
      <c r="N1156" t="s">
        <v>55</v>
      </c>
      <c r="O1156">
        <v>2</v>
      </c>
      <c r="P1156" t="s">
        <v>39</v>
      </c>
      <c r="Q1156" s="4">
        <v>46244</v>
      </c>
      <c r="R1156" t="s">
        <v>38</v>
      </c>
      <c r="S1156" t="s">
        <v>38</v>
      </c>
      <c r="T1156" t="s">
        <v>3153</v>
      </c>
      <c r="U1156" t="s">
        <v>55</v>
      </c>
      <c r="V1156" t="s">
        <v>3154</v>
      </c>
    </row>
    <row r="1157" spans="1:22" x14ac:dyDescent="0.2">
      <c r="A1157" t="s">
        <v>2378</v>
      </c>
      <c r="B1157" t="s">
        <v>2379</v>
      </c>
      <c r="C1157" t="s">
        <v>42</v>
      </c>
      <c r="D1157" t="s">
        <v>43</v>
      </c>
      <c r="E1157" t="s">
        <v>53</v>
      </c>
      <c r="F1157" t="s">
        <v>45</v>
      </c>
      <c r="G1157" t="s">
        <v>46</v>
      </c>
      <c r="H1157" t="s">
        <v>36</v>
      </c>
      <c r="I1157" t="s">
        <v>62</v>
      </c>
      <c r="J1157" t="s">
        <v>37</v>
      </c>
      <c r="K1157" s="4">
        <v>45985</v>
      </c>
      <c r="L1157" s="4">
        <v>46165</v>
      </c>
      <c r="M1157" t="s">
        <v>38</v>
      </c>
      <c r="N1157" t="s">
        <v>55</v>
      </c>
      <c r="O1157">
        <v>3</v>
      </c>
      <c r="P1157" t="s">
        <v>56</v>
      </c>
      <c r="Q1157" s="4">
        <v>46214</v>
      </c>
      <c r="R1157" t="s">
        <v>64</v>
      </c>
      <c r="S1157" t="s">
        <v>38</v>
      </c>
      <c r="T1157" t="s">
        <v>3153</v>
      </c>
      <c r="U1157" t="s">
        <v>55</v>
      </c>
      <c r="V1157" t="s">
        <v>3152</v>
      </c>
    </row>
    <row r="1158" spans="1:22" x14ac:dyDescent="0.2">
      <c r="A1158" t="s">
        <v>2380</v>
      </c>
      <c r="B1158" t="s">
        <v>2381</v>
      </c>
      <c r="C1158" t="s">
        <v>103</v>
      </c>
      <c r="D1158" t="s">
        <v>104</v>
      </c>
      <c r="E1158" t="s">
        <v>60</v>
      </c>
      <c r="F1158" t="s">
        <v>34</v>
      </c>
      <c r="G1158" t="s">
        <v>35</v>
      </c>
      <c r="H1158" t="s">
        <v>47</v>
      </c>
      <c r="I1158" t="s">
        <v>62</v>
      </c>
      <c r="J1158" t="s">
        <v>48</v>
      </c>
      <c r="K1158" s="4">
        <v>45933</v>
      </c>
      <c r="L1158" s="4">
        <v>46298</v>
      </c>
      <c r="M1158" t="s">
        <v>69</v>
      </c>
      <c r="N1158" t="s">
        <v>55</v>
      </c>
      <c r="O1158">
        <v>3</v>
      </c>
      <c r="P1158" t="s">
        <v>106</v>
      </c>
      <c r="Q1158" s="4">
        <v>46356</v>
      </c>
      <c r="R1158" t="s">
        <v>84</v>
      </c>
      <c r="S1158" t="s">
        <v>3155</v>
      </c>
      <c r="T1158" t="s">
        <v>3153</v>
      </c>
      <c r="U1158" t="s">
        <v>55</v>
      </c>
      <c r="V1158" t="s">
        <v>3154</v>
      </c>
    </row>
    <row r="1159" spans="1:22" x14ac:dyDescent="0.2">
      <c r="A1159" t="s">
        <v>2382</v>
      </c>
      <c r="B1159" t="s">
        <v>2383</v>
      </c>
      <c r="C1159" t="s">
        <v>31</v>
      </c>
      <c r="D1159" t="s">
        <v>83</v>
      </c>
      <c r="E1159" t="s">
        <v>44</v>
      </c>
      <c r="F1159" t="s">
        <v>67</v>
      </c>
      <c r="G1159" t="s">
        <v>118</v>
      </c>
      <c r="H1159" t="s">
        <v>88</v>
      </c>
      <c r="I1159" t="s">
        <v>111</v>
      </c>
      <c r="J1159" t="s">
        <v>37</v>
      </c>
      <c r="K1159" s="4">
        <v>46159</v>
      </c>
      <c r="L1159" s="4">
        <v>46339</v>
      </c>
      <c r="M1159" t="s">
        <v>84</v>
      </c>
      <c r="N1159" t="s">
        <v>49</v>
      </c>
      <c r="O1159">
        <v>0</v>
      </c>
      <c r="P1159" t="s">
        <v>39</v>
      </c>
      <c r="Q1159" s="4">
        <v>46167</v>
      </c>
      <c r="R1159" t="s">
        <v>57</v>
      </c>
      <c r="S1159" t="s">
        <v>3155</v>
      </c>
      <c r="T1159" t="s">
        <v>3153</v>
      </c>
      <c r="U1159" t="s">
        <v>49</v>
      </c>
      <c r="V1159" t="s">
        <v>3154</v>
      </c>
    </row>
    <row r="1160" spans="1:22" x14ac:dyDescent="0.2">
      <c r="A1160" t="s">
        <v>2384</v>
      </c>
      <c r="B1160" t="s">
        <v>2385</v>
      </c>
      <c r="C1160" t="s">
        <v>103</v>
      </c>
      <c r="D1160" t="s">
        <v>104</v>
      </c>
      <c r="E1160" t="s">
        <v>80</v>
      </c>
      <c r="F1160" t="s">
        <v>45</v>
      </c>
      <c r="G1160" t="s">
        <v>61</v>
      </c>
      <c r="H1160" t="s">
        <v>88</v>
      </c>
      <c r="I1160" t="s">
        <v>70</v>
      </c>
      <c r="J1160" t="s">
        <v>48</v>
      </c>
      <c r="K1160" s="4">
        <v>46223</v>
      </c>
      <c r="L1160" s="4">
        <v>46588</v>
      </c>
      <c r="M1160" t="s">
        <v>69</v>
      </c>
      <c r="N1160" t="s">
        <v>49</v>
      </c>
      <c r="O1160">
        <v>1</v>
      </c>
      <c r="P1160" t="s">
        <v>39</v>
      </c>
      <c r="Q1160" s="4">
        <v>46228</v>
      </c>
      <c r="R1160" t="s">
        <v>38</v>
      </c>
      <c r="S1160" t="s">
        <v>3155</v>
      </c>
      <c r="T1160" t="s">
        <v>3153</v>
      </c>
      <c r="U1160" t="s">
        <v>49</v>
      </c>
      <c r="V1160" t="s">
        <v>3154</v>
      </c>
    </row>
    <row r="1161" spans="1:22" x14ac:dyDescent="0.2">
      <c r="A1161" t="s">
        <v>2386</v>
      </c>
      <c r="B1161" t="s">
        <v>2387</v>
      </c>
      <c r="C1161" t="s">
        <v>31</v>
      </c>
      <c r="D1161" t="s">
        <v>32</v>
      </c>
      <c r="E1161" t="s">
        <v>60</v>
      </c>
      <c r="F1161" t="s">
        <v>67</v>
      </c>
      <c r="G1161" t="s">
        <v>68</v>
      </c>
      <c r="H1161" t="s">
        <v>88</v>
      </c>
      <c r="I1161" t="s">
        <v>56</v>
      </c>
      <c r="J1161" t="s">
        <v>37</v>
      </c>
      <c r="K1161" s="4">
        <v>45946</v>
      </c>
      <c r="L1161" s="4">
        <v>46311</v>
      </c>
      <c r="M1161" t="s">
        <v>84</v>
      </c>
      <c r="N1161" t="s">
        <v>55</v>
      </c>
      <c r="O1161">
        <v>2</v>
      </c>
      <c r="P1161" t="s">
        <v>54</v>
      </c>
      <c r="Q1161" s="4">
        <v>46236</v>
      </c>
      <c r="R1161" t="s">
        <v>38</v>
      </c>
      <c r="S1161" t="s">
        <v>3155</v>
      </c>
      <c r="T1161" t="s">
        <v>3153</v>
      </c>
      <c r="U1161" t="s">
        <v>55</v>
      </c>
      <c r="V1161" t="s">
        <v>3154</v>
      </c>
    </row>
    <row r="1162" spans="1:22" x14ac:dyDescent="0.2">
      <c r="A1162" t="s">
        <v>2388</v>
      </c>
      <c r="B1162" t="s">
        <v>2389</v>
      </c>
      <c r="C1162" t="s">
        <v>103</v>
      </c>
      <c r="D1162" t="s">
        <v>104</v>
      </c>
      <c r="E1162" t="s">
        <v>91</v>
      </c>
      <c r="F1162" t="s">
        <v>45</v>
      </c>
      <c r="G1162" t="s">
        <v>61</v>
      </c>
      <c r="H1162" t="s">
        <v>47</v>
      </c>
      <c r="I1162" t="s">
        <v>50</v>
      </c>
      <c r="J1162" t="s">
        <v>37</v>
      </c>
      <c r="K1162" s="4">
        <v>45939</v>
      </c>
      <c r="L1162" s="4">
        <v>46304</v>
      </c>
      <c r="M1162" t="s">
        <v>69</v>
      </c>
      <c r="N1162" t="s">
        <v>55</v>
      </c>
      <c r="O1162">
        <v>3</v>
      </c>
      <c r="P1162" t="s">
        <v>39</v>
      </c>
      <c r="Q1162" s="4">
        <v>46284</v>
      </c>
      <c r="R1162" t="s">
        <v>64</v>
      </c>
      <c r="S1162" t="s">
        <v>3155</v>
      </c>
      <c r="T1162" t="s">
        <v>3153</v>
      </c>
      <c r="U1162" t="s">
        <v>55</v>
      </c>
      <c r="V1162" t="s">
        <v>3154</v>
      </c>
    </row>
    <row r="1163" spans="1:22" x14ac:dyDescent="0.2">
      <c r="A1163" t="s">
        <v>2390</v>
      </c>
      <c r="B1163" t="s">
        <v>2391</v>
      </c>
      <c r="C1163" t="s">
        <v>103</v>
      </c>
      <c r="D1163" t="s">
        <v>104</v>
      </c>
      <c r="E1163" t="s">
        <v>53</v>
      </c>
      <c r="F1163" t="s">
        <v>67</v>
      </c>
      <c r="G1163" t="s">
        <v>118</v>
      </c>
      <c r="H1163" t="s">
        <v>36</v>
      </c>
      <c r="I1163" t="s">
        <v>50</v>
      </c>
      <c r="J1163" t="s">
        <v>48</v>
      </c>
      <c r="K1163" s="4">
        <v>46262</v>
      </c>
      <c r="L1163" s="4">
        <v>46627</v>
      </c>
      <c r="M1163" t="s">
        <v>64</v>
      </c>
      <c r="N1163" t="s">
        <v>49</v>
      </c>
      <c r="O1163">
        <v>4</v>
      </c>
      <c r="P1163" t="s">
        <v>54</v>
      </c>
      <c r="Q1163" s="4">
        <v>46125</v>
      </c>
      <c r="R1163" t="s">
        <v>38</v>
      </c>
      <c r="S1163" t="s">
        <v>3155</v>
      </c>
      <c r="T1163" t="s">
        <v>3153</v>
      </c>
      <c r="U1163" t="s">
        <v>49</v>
      </c>
      <c r="V1163" t="s">
        <v>3152</v>
      </c>
    </row>
    <row r="1164" spans="1:22" x14ac:dyDescent="0.2">
      <c r="A1164" t="s">
        <v>2392</v>
      </c>
      <c r="B1164" t="s">
        <v>2393</v>
      </c>
      <c r="C1164" t="s">
        <v>96</v>
      </c>
      <c r="D1164" t="s">
        <v>97</v>
      </c>
      <c r="E1164" t="s">
        <v>91</v>
      </c>
      <c r="F1164" t="s">
        <v>34</v>
      </c>
      <c r="G1164" t="s">
        <v>35</v>
      </c>
      <c r="H1164" t="s">
        <v>47</v>
      </c>
      <c r="I1164" t="s">
        <v>54</v>
      </c>
      <c r="J1164" t="s">
        <v>63</v>
      </c>
      <c r="K1164" s="4">
        <v>46174</v>
      </c>
      <c r="L1164" s="4">
        <v>46264</v>
      </c>
      <c r="M1164" t="s">
        <v>38</v>
      </c>
      <c r="O1164">
        <v>2</v>
      </c>
      <c r="P1164" t="s">
        <v>50</v>
      </c>
      <c r="Q1164" s="4">
        <v>46350</v>
      </c>
      <c r="R1164" t="s">
        <v>64</v>
      </c>
      <c r="S1164" t="s">
        <v>38</v>
      </c>
      <c r="T1164" t="s">
        <v>3153</v>
      </c>
      <c r="U1164" t="s">
        <v>3151</v>
      </c>
      <c r="V1164" t="s">
        <v>3154</v>
      </c>
    </row>
    <row r="1165" spans="1:22" x14ac:dyDescent="0.2">
      <c r="A1165" t="s">
        <v>2394</v>
      </c>
      <c r="B1165" t="s">
        <v>2395</v>
      </c>
      <c r="C1165" t="s">
        <v>31</v>
      </c>
      <c r="D1165" t="s">
        <v>83</v>
      </c>
      <c r="E1165" t="s">
        <v>91</v>
      </c>
      <c r="F1165" t="s">
        <v>45</v>
      </c>
      <c r="G1165" t="s">
        <v>46</v>
      </c>
      <c r="H1165" t="s">
        <v>36</v>
      </c>
      <c r="I1165" t="s">
        <v>54</v>
      </c>
      <c r="J1165" t="s">
        <v>37</v>
      </c>
      <c r="K1165" s="4">
        <v>46088</v>
      </c>
      <c r="L1165" s="4">
        <v>46453</v>
      </c>
      <c r="M1165" t="s">
        <v>69</v>
      </c>
      <c r="N1165" t="s">
        <v>49</v>
      </c>
      <c r="O1165">
        <v>3</v>
      </c>
      <c r="P1165" t="s">
        <v>39</v>
      </c>
      <c r="Q1165" s="4">
        <v>46193</v>
      </c>
      <c r="R1165" t="s">
        <v>38</v>
      </c>
      <c r="S1165" t="s">
        <v>3155</v>
      </c>
      <c r="T1165" t="s">
        <v>3153</v>
      </c>
      <c r="U1165" t="s">
        <v>49</v>
      </c>
      <c r="V1165" t="s">
        <v>3152</v>
      </c>
    </row>
    <row r="1166" spans="1:22" x14ac:dyDescent="0.2">
      <c r="A1166" t="s">
        <v>2396</v>
      </c>
      <c r="B1166" t="s">
        <v>2397</v>
      </c>
      <c r="C1166" t="s">
        <v>103</v>
      </c>
      <c r="D1166" t="s">
        <v>104</v>
      </c>
      <c r="E1166" t="s">
        <v>105</v>
      </c>
      <c r="F1166" t="s">
        <v>45</v>
      </c>
      <c r="G1166" t="s">
        <v>61</v>
      </c>
      <c r="H1166" t="s">
        <v>88</v>
      </c>
      <c r="I1166" t="s">
        <v>62</v>
      </c>
      <c r="J1166" t="s">
        <v>48</v>
      </c>
      <c r="K1166" s="4">
        <v>46220</v>
      </c>
      <c r="L1166" s="4">
        <v>46310</v>
      </c>
      <c r="M1166" t="s">
        <v>84</v>
      </c>
      <c r="N1166" t="s">
        <v>55</v>
      </c>
      <c r="O1166">
        <v>1</v>
      </c>
      <c r="P1166" t="s">
        <v>56</v>
      </c>
      <c r="Q1166" s="4">
        <v>46327</v>
      </c>
      <c r="R1166" t="s">
        <v>64</v>
      </c>
      <c r="S1166" t="s">
        <v>3155</v>
      </c>
      <c r="T1166" t="s">
        <v>3153</v>
      </c>
      <c r="U1166" t="s">
        <v>55</v>
      </c>
      <c r="V1166" t="s">
        <v>3154</v>
      </c>
    </row>
    <row r="1167" spans="1:22" x14ac:dyDescent="0.2">
      <c r="A1167" t="s">
        <v>2398</v>
      </c>
      <c r="B1167" t="s">
        <v>2399</v>
      </c>
      <c r="C1167" t="s">
        <v>103</v>
      </c>
      <c r="D1167" t="s">
        <v>104</v>
      </c>
      <c r="E1167" t="s">
        <v>80</v>
      </c>
      <c r="F1167" t="s">
        <v>34</v>
      </c>
      <c r="G1167" t="s">
        <v>35</v>
      </c>
      <c r="H1167" t="s">
        <v>47</v>
      </c>
      <c r="I1167" t="s">
        <v>54</v>
      </c>
      <c r="J1167" t="s">
        <v>48</v>
      </c>
      <c r="K1167" s="4">
        <v>46046</v>
      </c>
      <c r="L1167" s="4">
        <v>46226</v>
      </c>
      <c r="M1167" t="s">
        <v>38</v>
      </c>
      <c r="N1167" t="s">
        <v>55</v>
      </c>
      <c r="O1167">
        <v>3</v>
      </c>
      <c r="P1167" t="s">
        <v>54</v>
      </c>
      <c r="Q1167" s="4">
        <v>46257</v>
      </c>
      <c r="R1167" t="s">
        <v>64</v>
      </c>
      <c r="S1167" t="s">
        <v>38</v>
      </c>
      <c r="T1167" t="s">
        <v>3153</v>
      </c>
      <c r="U1167" t="s">
        <v>55</v>
      </c>
      <c r="V1167" t="s">
        <v>3154</v>
      </c>
    </row>
    <row r="1168" spans="1:22" x14ac:dyDescent="0.2">
      <c r="A1168" t="s">
        <v>2400</v>
      </c>
      <c r="B1168" t="s">
        <v>2401</v>
      </c>
      <c r="C1168" t="s">
        <v>31</v>
      </c>
      <c r="D1168" t="s">
        <v>87</v>
      </c>
      <c r="E1168" t="s">
        <v>80</v>
      </c>
      <c r="F1168" t="s">
        <v>67</v>
      </c>
      <c r="G1168" t="s">
        <v>118</v>
      </c>
      <c r="H1168" t="s">
        <v>36</v>
      </c>
      <c r="I1168" t="s">
        <v>111</v>
      </c>
      <c r="J1168" t="s">
        <v>63</v>
      </c>
      <c r="K1168" s="4">
        <v>45801</v>
      </c>
      <c r="L1168" s="4">
        <v>45891</v>
      </c>
      <c r="M1168" t="s">
        <v>38</v>
      </c>
      <c r="N1168" t="s">
        <v>49</v>
      </c>
      <c r="O1168">
        <v>0</v>
      </c>
      <c r="P1168" t="s">
        <v>70</v>
      </c>
      <c r="Q1168" s="4">
        <v>46179</v>
      </c>
      <c r="R1168" t="s">
        <v>57</v>
      </c>
      <c r="S1168" t="s">
        <v>38</v>
      </c>
      <c r="T1168" t="s">
        <v>3153</v>
      </c>
      <c r="U1168" t="s">
        <v>49</v>
      </c>
      <c r="V1168" t="s">
        <v>3152</v>
      </c>
    </row>
    <row r="1169" spans="1:22" x14ac:dyDescent="0.2">
      <c r="A1169" t="s">
        <v>2402</v>
      </c>
      <c r="B1169" t="s">
        <v>2403</v>
      </c>
      <c r="C1169" t="s">
        <v>31</v>
      </c>
      <c r="D1169" t="s">
        <v>32</v>
      </c>
      <c r="E1169" t="s">
        <v>80</v>
      </c>
      <c r="F1169" t="s">
        <v>34</v>
      </c>
      <c r="G1169" t="s">
        <v>35</v>
      </c>
      <c r="H1169" t="s">
        <v>36</v>
      </c>
      <c r="I1169" t="s">
        <v>50</v>
      </c>
      <c r="J1169" t="s">
        <v>63</v>
      </c>
      <c r="K1169" s="4">
        <v>46248</v>
      </c>
      <c r="L1169" s="4">
        <v>46613</v>
      </c>
      <c r="M1169" t="s">
        <v>64</v>
      </c>
      <c r="N1169" t="s">
        <v>55</v>
      </c>
      <c r="O1169">
        <v>1</v>
      </c>
      <c r="P1169" t="s">
        <v>70</v>
      </c>
      <c r="Q1169" s="4">
        <v>46238</v>
      </c>
      <c r="R1169" t="s">
        <v>38</v>
      </c>
      <c r="S1169" t="s">
        <v>3155</v>
      </c>
      <c r="T1169" t="s">
        <v>3153</v>
      </c>
      <c r="U1169" t="s">
        <v>55</v>
      </c>
      <c r="V1169" t="s">
        <v>3152</v>
      </c>
    </row>
    <row r="1170" spans="1:22" x14ac:dyDescent="0.2">
      <c r="A1170" t="s">
        <v>2404</v>
      </c>
      <c r="B1170" t="s">
        <v>2405</v>
      </c>
      <c r="C1170" t="s">
        <v>103</v>
      </c>
      <c r="D1170" t="s">
        <v>104</v>
      </c>
      <c r="E1170" t="s">
        <v>53</v>
      </c>
      <c r="F1170" t="s">
        <v>67</v>
      </c>
      <c r="G1170" t="s">
        <v>68</v>
      </c>
      <c r="H1170" t="s">
        <v>47</v>
      </c>
      <c r="I1170" t="s">
        <v>50</v>
      </c>
      <c r="J1170" t="s">
        <v>48</v>
      </c>
      <c r="K1170" s="4">
        <v>45852</v>
      </c>
      <c r="L1170" s="4">
        <v>45942</v>
      </c>
      <c r="M1170" t="s">
        <v>38</v>
      </c>
      <c r="N1170" t="s">
        <v>55</v>
      </c>
      <c r="O1170">
        <v>3</v>
      </c>
      <c r="P1170" t="s">
        <v>70</v>
      </c>
      <c r="Q1170" s="4">
        <v>46366</v>
      </c>
      <c r="R1170" t="s">
        <v>84</v>
      </c>
      <c r="S1170" t="s">
        <v>38</v>
      </c>
      <c r="T1170" t="s">
        <v>3153</v>
      </c>
      <c r="U1170" t="s">
        <v>55</v>
      </c>
      <c r="V1170" t="s">
        <v>3154</v>
      </c>
    </row>
    <row r="1171" spans="1:22" x14ac:dyDescent="0.2">
      <c r="A1171" t="s">
        <v>2406</v>
      </c>
      <c r="B1171" t="s">
        <v>2407</v>
      </c>
      <c r="C1171" t="s">
        <v>96</v>
      </c>
      <c r="D1171" t="s">
        <v>97</v>
      </c>
      <c r="E1171" t="s">
        <v>60</v>
      </c>
      <c r="F1171" t="s">
        <v>34</v>
      </c>
      <c r="G1171" t="s">
        <v>35</v>
      </c>
      <c r="H1171" t="s">
        <v>88</v>
      </c>
      <c r="I1171" t="s">
        <v>62</v>
      </c>
      <c r="J1171" t="s">
        <v>63</v>
      </c>
      <c r="K1171" s="4">
        <v>45906</v>
      </c>
      <c r="L1171" s="4">
        <v>46271</v>
      </c>
      <c r="M1171" t="s">
        <v>38</v>
      </c>
      <c r="N1171" t="s">
        <v>49</v>
      </c>
      <c r="O1171">
        <v>0</v>
      </c>
      <c r="P1171" t="s">
        <v>56</v>
      </c>
      <c r="Q1171" s="4">
        <v>46279</v>
      </c>
      <c r="R1171" t="s">
        <v>57</v>
      </c>
      <c r="S1171" t="s">
        <v>38</v>
      </c>
      <c r="T1171" t="s">
        <v>3153</v>
      </c>
      <c r="U1171" t="s">
        <v>49</v>
      </c>
      <c r="V1171" t="s">
        <v>3154</v>
      </c>
    </row>
    <row r="1172" spans="1:22" x14ac:dyDescent="0.2">
      <c r="A1172" t="s">
        <v>2408</v>
      </c>
      <c r="B1172" t="s">
        <v>2409</v>
      </c>
      <c r="C1172" t="s">
        <v>31</v>
      </c>
      <c r="D1172" t="s">
        <v>32</v>
      </c>
      <c r="E1172" t="s">
        <v>105</v>
      </c>
      <c r="F1172" t="s">
        <v>67</v>
      </c>
      <c r="G1172" t="s">
        <v>68</v>
      </c>
      <c r="H1172" t="s">
        <v>36</v>
      </c>
      <c r="I1172" t="s">
        <v>39</v>
      </c>
      <c r="J1172" t="s">
        <v>48</v>
      </c>
      <c r="K1172" s="4">
        <v>45879</v>
      </c>
      <c r="L1172" s="4">
        <v>46244</v>
      </c>
      <c r="M1172" t="s">
        <v>38</v>
      </c>
      <c r="N1172" t="s">
        <v>49</v>
      </c>
      <c r="O1172">
        <v>0</v>
      </c>
      <c r="P1172" t="s">
        <v>70</v>
      </c>
      <c r="Q1172" s="4">
        <v>46130</v>
      </c>
      <c r="R1172" t="s">
        <v>57</v>
      </c>
      <c r="S1172" t="s">
        <v>38</v>
      </c>
      <c r="T1172" t="s">
        <v>3153</v>
      </c>
      <c r="U1172" t="s">
        <v>49</v>
      </c>
      <c r="V1172" t="s">
        <v>3152</v>
      </c>
    </row>
    <row r="1173" spans="1:22" x14ac:dyDescent="0.2">
      <c r="A1173" t="s">
        <v>2410</v>
      </c>
      <c r="B1173" t="s">
        <v>2411</v>
      </c>
      <c r="C1173" t="s">
        <v>73</v>
      </c>
      <c r="D1173" t="s">
        <v>74</v>
      </c>
      <c r="E1173" t="s">
        <v>80</v>
      </c>
      <c r="F1173" t="s">
        <v>45</v>
      </c>
      <c r="G1173" t="s">
        <v>46</v>
      </c>
      <c r="H1173" t="s">
        <v>98</v>
      </c>
      <c r="I1173" t="s">
        <v>70</v>
      </c>
      <c r="J1173" t="s">
        <v>37</v>
      </c>
      <c r="K1173" s="4">
        <v>46051</v>
      </c>
      <c r="L1173" s="4">
        <v>46416</v>
      </c>
      <c r="M1173" t="s">
        <v>84</v>
      </c>
      <c r="N1173" t="s">
        <v>49</v>
      </c>
      <c r="O1173">
        <v>5</v>
      </c>
      <c r="P1173" t="s">
        <v>70</v>
      </c>
      <c r="Q1173" s="4">
        <v>46128</v>
      </c>
      <c r="R1173" t="s">
        <v>38</v>
      </c>
      <c r="S1173" t="s">
        <v>3155</v>
      </c>
      <c r="T1173" t="s">
        <v>3153</v>
      </c>
      <c r="U1173" t="s">
        <v>49</v>
      </c>
      <c r="V1173" t="s">
        <v>3152</v>
      </c>
    </row>
    <row r="1174" spans="1:22" x14ac:dyDescent="0.2">
      <c r="A1174" t="s">
        <v>2412</v>
      </c>
      <c r="B1174" t="s">
        <v>2413</v>
      </c>
      <c r="C1174" t="s">
        <v>31</v>
      </c>
      <c r="D1174" t="s">
        <v>32</v>
      </c>
      <c r="E1174" t="s">
        <v>53</v>
      </c>
      <c r="F1174" t="s">
        <v>34</v>
      </c>
      <c r="G1174" t="s">
        <v>35</v>
      </c>
      <c r="H1174" t="s">
        <v>47</v>
      </c>
      <c r="I1174" t="s">
        <v>70</v>
      </c>
      <c r="J1174" t="s">
        <v>48</v>
      </c>
      <c r="K1174" s="4">
        <v>45996</v>
      </c>
      <c r="L1174" s="4">
        <v>46086</v>
      </c>
      <c r="M1174" t="s">
        <v>38</v>
      </c>
      <c r="N1174" t="s">
        <v>49</v>
      </c>
      <c r="O1174">
        <v>3</v>
      </c>
      <c r="P1174" t="s">
        <v>56</v>
      </c>
      <c r="Q1174" s="4">
        <v>46262</v>
      </c>
      <c r="R1174" t="s">
        <v>38</v>
      </c>
      <c r="S1174" t="s">
        <v>38</v>
      </c>
      <c r="T1174" t="s">
        <v>3153</v>
      </c>
      <c r="U1174" t="s">
        <v>49</v>
      </c>
      <c r="V1174" t="s">
        <v>3154</v>
      </c>
    </row>
    <row r="1175" spans="1:22" x14ac:dyDescent="0.2">
      <c r="A1175" t="s">
        <v>2414</v>
      </c>
      <c r="B1175" t="s">
        <v>2415</v>
      </c>
      <c r="C1175" t="s">
        <v>31</v>
      </c>
      <c r="D1175" t="s">
        <v>87</v>
      </c>
      <c r="E1175" t="s">
        <v>53</v>
      </c>
      <c r="F1175" t="s">
        <v>34</v>
      </c>
      <c r="G1175" t="s">
        <v>35</v>
      </c>
      <c r="H1175" t="s">
        <v>88</v>
      </c>
      <c r="I1175" t="s">
        <v>39</v>
      </c>
      <c r="J1175" t="s">
        <v>63</v>
      </c>
      <c r="K1175" s="4">
        <v>46016</v>
      </c>
      <c r="L1175" s="4">
        <v>46196</v>
      </c>
      <c r="M1175" t="s">
        <v>38</v>
      </c>
      <c r="N1175" t="s">
        <v>75</v>
      </c>
      <c r="O1175">
        <v>0</v>
      </c>
      <c r="P1175" t="s">
        <v>56</v>
      </c>
      <c r="Q1175" s="4">
        <v>46137</v>
      </c>
      <c r="R1175" t="s">
        <v>57</v>
      </c>
      <c r="S1175" t="s">
        <v>38</v>
      </c>
      <c r="T1175" t="s">
        <v>3153</v>
      </c>
      <c r="U1175" t="s">
        <v>75</v>
      </c>
      <c r="V1175" t="s">
        <v>3154</v>
      </c>
    </row>
    <row r="1176" spans="1:22" x14ac:dyDescent="0.2">
      <c r="A1176" t="s">
        <v>2416</v>
      </c>
      <c r="B1176" t="s">
        <v>2417</v>
      </c>
      <c r="C1176" t="s">
        <v>31</v>
      </c>
      <c r="D1176" t="s">
        <v>32</v>
      </c>
      <c r="E1176" t="s">
        <v>53</v>
      </c>
      <c r="F1176" t="s">
        <v>45</v>
      </c>
      <c r="G1176" t="s">
        <v>61</v>
      </c>
      <c r="H1176" t="s">
        <v>88</v>
      </c>
      <c r="I1176" t="s">
        <v>70</v>
      </c>
      <c r="J1176" t="s">
        <v>37</v>
      </c>
      <c r="K1176" s="4">
        <v>46090</v>
      </c>
      <c r="L1176" s="4">
        <v>46455</v>
      </c>
      <c r="M1176" t="s">
        <v>64</v>
      </c>
      <c r="N1176" t="s">
        <v>49</v>
      </c>
      <c r="O1176">
        <v>1</v>
      </c>
      <c r="P1176" t="s">
        <v>50</v>
      </c>
      <c r="Q1176" s="4">
        <v>46322</v>
      </c>
      <c r="R1176" t="s">
        <v>84</v>
      </c>
      <c r="S1176" t="s">
        <v>3155</v>
      </c>
      <c r="T1176" t="s">
        <v>3153</v>
      </c>
      <c r="U1176" t="s">
        <v>49</v>
      </c>
      <c r="V1176" t="s">
        <v>3154</v>
      </c>
    </row>
    <row r="1177" spans="1:22" x14ac:dyDescent="0.2">
      <c r="A1177" t="s">
        <v>2418</v>
      </c>
      <c r="B1177" t="s">
        <v>2419</v>
      </c>
      <c r="C1177" t="s">
        <v>31</v>
      </c>
      <c r="D1177" t="s">
        <v>87</v>
      </c>
      <c r="E1177" t="s">
        <v>53</v>
      </c>
      <c r="F1177" t="s">
        <v>67</v>
      </c>
      <c r="G1177" t="s">
        <v>68</v>
      </c>
      <c r="H1177" t="s">
        <v>88</v>
      </c>
      <c r="J1177" t="s">
        <v>37</v>
      </c>
      <c r="K1177" s="4">
        <v>46250</v>
      </c>
      <c r="L1177" s="4">
        <v>46430</v>
      </c>
      <c r="M1177" t="s">
        <v>64</v>
      </c>
      <c r="N1177" t="s">
        <v>55</v>
      </c>
      <c r="O1177">
        <v>3</v>
      </c>
      <c r="P1177" t="s">
        <v>39</v>
      </c>
      <c r="Q1177" s="4">
        <v>46136</v>
      </c>
      <c r="R1177" t="s">
        <v>38</v>
      </c>
      <c r="S1177" t="s">
        <v>3155</v>
      </c>
      <c r="T1177" t="s">
        <v>3150</v>
      </c>
      <c r="U1177" t="s">
        <v>55</v>
      </c>
      <c r="V1177" t="s">
        <v>3154</v>
      </c>
    </row>
    <row r="1178" spans="1:22" x14ac:dyDescent="0.2">
      <c r="A1178" t="s">
        <v>2420</v>
      </c>
      <c r="B1178" t="s">
        <v>2421</v>
      </c>
      <c r="C1178" t="s">
        <v>42</v>
      </c>
      <c r="D1178" t="s">
        <v>43</v>
      </c>
      <c r="E1178" t="s">
        <v>44</v>
      </c>
      <c r="F1178" t="s">
        <v>67</v>
      </c>
      <c r="G1178" t="s">
        <v>68</v>
      </c>
      <c r="H1178" t="s">
        <v>88</v>
      </c>
      <c r="I1178" t="s">
        <v>111</v>
      </c>
      <c r="J1178" t="s">
        <v>48</v>
      </c>
      <c r="K1178" s="4">
        <v>45959</v>
      </c>
      <c r="L1178" s="4">
        <v>46139</v>
      </c>
      <c r="M1178" t="s">
        <v>38</v>
      </c>
      <c r="N1178" t="s">
        <v>55</v>
      </c>
      <c r="O1178">
        <v>1</v>
      </c>
      <c r="P1178" t="s">
        <v>70</v>
      </c>
      <c r="Q1178" s="4">
        <v>46179</v>
      </c>
      <c r="R1178" t="s">
        <v>64</v>
      </c>
      <c r="S1178" t="s">
        <v>38</v>
      </c>
      <c r="T1178" t="s">
        <v>3153</v>
      </c>
      <c r="U1178" t="s">
        <v>55</v>
      </c>
      <c r="V1178" t="s">
        <v>3154</v>
      </c>
    </row>
    <row r="1179" spans="1:22" x14ac:dyDescent="0.2">
      <c r="A1179" t="s">
        <v>2422</v>
      </c>
      <c r="B1179" t="s">
        <v>2423</v>
      </c>
      <c r="C1179" t="s">
        <v>103</v>
      </c>
      <c r="D1179" t="s">
        <v>104</v>
      </c>
      <c r="E1179" t="s">
        <v>60</v>
      </c>
      <c r="F1179" t="s">
        <v>67</v>
      </c>
      <c r="G1179" t="s">
        <v>118</v>
      </c>
      <c r="H1179" t="s">
        <v>47</v>
      </c>
      <c r="I1179" t="s">
        <v>39</v>
      </c>
      <c r="J1179" t="s">
        <v>48</v>
      </c>
      <c r="K1179" s="4">
        <v>46142</v>
      </c>
      <c r="L1179" s="4">
        <v>46507</v>
      </c>
      <c r="M1179" t="s">
        <v>84</v>
      </c>
      <c r="N1179" t="s">
        <v>49</v>
      </c>
      <c r="O1179">
        <v>3</v>
      </c>
      <c r="P1179" t="s">
        <v>62</v>
      </c>
      <c r="Q1179" s="4">
        <v>46370</v>
      </c>
      <c r="R1179" t="s">
        <v>84</v>
      </c>
      <c r="S1179" t="s">
        <v>3155</v>
      </c>
      <c r="T1179" t="s">
        <v>3153</v>
      </c>
      <c r="U1179" t="s">
        <v>49</v>
      </c>
      <c r="V1179" t="s">
        <v>3154</v>
      </c>
    </row>
    <row r="1180" spans="1:22" x14ac:dyDescent="0.2">
      <c r="A1180" t="s">
        <v>2424</v>
      </c>
      <c r="B1180" t="s">
        <v>2425</v>
      </c>
      <c r="C1180" t="s">
        <v>78</v>
      </c>
      <c r="D1180" t="s">
        <v>79</v>
      </c>
      <c r="E1180" t="s">
        <v>60</v>
      </c>
      <c r="F1180" t="s">
        <v>34</v>
      </c>
      <c r="G1180" t="s">
        <v>35</v>
      </c>
      <c r="H1180" t="s">
        <v>88</v>
      </c>
      <c r="I1180" t="s">
        <v>62</v>
      </c>
      <c r="J1180" t="s">
        <v>63</v>
      </c>
      <c r="K1180" s="4">
        <v>46138</v>
      </c>
      <c r="L1180" s="4">
        <v>46228</v>
      </c>
      <c r="M1180" t="s">
        <v>38</v>
      </c>
      <c r="N1180" t="s">
        <v>55</v>
      </c>
      <c r="O1180">
        <v>0</v>
      </c>
      <c r="P1180" t="s">
        <v>56</v>
      </c>
      <c r="Q1180" s="4">
        <v>46187</v>
      </c>
      <c r="R1180" t="s">
        <v>57</v>
      </c>
      <c r="S1180" t="s">
        <v>38</v>
      </c>
      <c r="T1180" t="s">
        <v>3153</v>
      </c>
      <c r="U1180" t="s">
        <v>55</v>
      </c>
      <c r="V1180" t="s">
        <v>3154</v>
      </c>
    </row>
    <row r="1181" spans="1:22" x14ac:dyDescent="0.2">
      <c r="A1181" t="s">
        <v>2426</v>
      </c>
      <c r="B1181" t="s">
        <v>2427</v>
      </c>
      <c r="C1181" t="s">
        <v>78</v>
      </c>
      <c r="D1181" t="s">
        <v>79</v>
      </c>
      <c r="E1181" t="s">
        <v>60</v>
      </c>
      <c r="F1181" t="s">
        <v>34</v>
      </c>
      <c r="G1181" t="s">
        <v>35</v>
      </c>
      <c r="H1181" t="s">
        <v>88</v>
      </c>
      <c r="I1181" t="s">
        <v>56</v>
      </c>
      <c r="J1181" t="s">
        <v>63</v>
      </c>
      <c r="K1181" s="4">
        <v>46067</v>
      </c>
      <c r="L1181" s="4">
        <v>46247</v>
      </c>
      <c r="M1181" t="s">
        <v>38</v>
      </c>
      <c r="N1181" t="s">
        <v>55</v>
      </c>
      <c r="O1181">
        <v>0</v>
      </c>
      <c r="P1181" t="s">
        <v>50</v>
      </c>
      <c r="Q1181" s="4">
        <v>46239</v>
      </c>
      <c r="R1181" t="s">
        <v>57</v>
      </c>
      <c r="S1181" t="s">
        <v>38</v>
      </c>
      <c r="T1181" t="s">
        <v>3153</v>
      </c>
      <c r="U1181" t="s">
        <v>55</v>
      </c>
      <c r="V1181" t="s">
        <v>3154</v>
      </c>
    </row>
    <row r="1182" spans="1:22" x14ac:dyDescent="0.2">
      <c r="A1182" t="s">
        <v>2428</v>
      </c>
      <c r="B1182" t="s">
        <v>2429</v>
      </c>
      <c r="C1182" t="s">
        <v>73</v>
      </c>
      <c r="D1182" t="s">
        <v>74</v>
      </c>
      <c r="E1182" t="s">
        <v>44</v>
      </c>
      <c r="F1182" t="s">
        <v>67</v>
      </c>
      <c r="G1182" t="s">
        <v>118</v>
      </c>
      <c r="H1182" t="s">
        <v>47</v>
      </c>
      <c r="I1182" t="s">
        <v>56</v>
      </c>
      <c r="J1182" t="s">
        <v>37</v>
      </c>
      <c r="K1182" s="4">
        <v>46233</v>
      </c>
      <c r="L1182" s="4">
        <v>46413</v>
      </c>
      <c r="M1182" t="s">
        <v>69</v>
      </c>
      <c r="N1182" t="s">
        <v>75</v>
      </c>
      <c r="O1182">
        <v>3</v>
      </c>
      <c r="P1182" t="s">
        <v>39</v>
      </c>
      <c r="Q1182" s="4">
        <v>46195</v>
      </c>
      <c r="R1182" t="s">
        <v>38</v>
      </c>
      <c r="S1182" t="s">
        <v>3155</v>
      </c>
      <c r="T1182" t="s">
        <v>3153</v>
      </c>
      <c r="U1182" t="s">
        <v>75</v>
      </c>
      <c r="V1182" t="s">
        <v>3154</v>
      </c>
    </row>
    <row r="1183" spans="1:22" x14ac:dyDescent="0.2">
      <c r="A1183" t="s">
        <v>2430</v>
      </c>
      <c r="B1183" t="s">
        <v>2431</v>
      </c>
      <c r="C1183" t="s">
        <v>96</v>
      </c>
      <c r="D1183" t="s">
        <v>97</v>
      </c>
      <c r="E1183" t="s">
        <v>44</v>
      </c>
      <c r="F1183" t="s">
        <v>45</v>
      </c>
      <c r="G1183" t="s">
        <v>61</v>
      </c>
      <c r="H1183" t="s">
        <v>36</v>
      </c>
      <c r="I1183" t="s">
        <v>106</v>
      </c>
      <c r="J1183" t="s">
        <v>37</v>
      </c>
      <c r="K1183" s="4">
        <v>46101</v>
      </c>
      <c r="L1183" s="4">
        <v>46466</v>
      </c>
      <c r="M1183" t="s">
        <v>69</v>
      </c>
      <c r="N1183" t="s">
        <v>55</v>
      </c>
      <c r="O1183">
        <v>5</v>
      </c>
      <c r="P1183" t="s">
        <v>62</v>
      </c>
      <c r="Q1183" s="4">
        <v>46126</v>
      </c>
      <c r="R1183" t="s">
        <v>38</v>
      </c>
      <c r="S1183" t="s">
        <v>3155</v>
      </c>
      <c r="T1183" t="s">
        <v>3153</v>
      </c>
      <c r="U1183" t="s">
        <v>55</v>
      </c>
      <c r="V1183" t="s">
        <v>3152</v>
      </c>
    </row>
    <row r="1184" spans="1:22" x14ac:dyDescent="0.2">
      <c r="A1184" t="s">
        <v>2432</v>
      </c>
      <c r="B1184" t="s">
        <v>2433</v>
      </c>
      <c r="C1184" t="s">
        <v>103</v>
      </c>
      <c r="D1184" t="s">
        <v>104</v>
      </c>
      <c r="E1184" t="s">
        <v>60</v>
      </c>
      <c r="F1184" t="s">
        <v>67</v>
      </c>
      <c r="G1184" t="s">
        <v>118</v>
      </c>
      <c r="H1184" t="s">
        <v>88</v>
      </c>
      <c r="I1184" t="s">
        <v>39</v>
      </c>
      <c r="J1184" t="s">
        <v>63</v>
      </c>
      <c r="K1184" s="4">
        <v>45880</v>
      </c>
      <c r="L1184" s="4">
        <v>45970</v>
      </c>
      <c r="M1184" t="s">
        <v>38</v>
      </c>
      <c r="N1184" t="s">
        <v>49</v>
      </c>
      <c r="O1184">
        <v>0</v>
      </c>
      <c r="P1184" t="s">
        <v>50</v>
      </c>
      <c r="Q1184" s="4">
        <v>46303</v>
      </c>
      <c r="R1184" t="s">
        <v>57</v>
      </c>
      <c r="S1184" t="s">
        <v>38</v>
      </c>
      <c r="T1184" t="s">
        <v>3153</v>
      </c>
      <c r="U1184" t="s">
        <v>49</v>
      </c>
      <c r="V1184" t="s">
        <v>3154</v>
      </c>
    </row>
    <row r="1185" spans="1:22" x14ac:dyDescent="0.2">
      <c r="A1185" t="s">
        <v>2434</v>
      </c>
      <c r="B1185" t="s">
        <v>2435</v>
      </c>
      <c r="C1185" t="s">
        <v>31</v>
      </c>
      <c r="D1185" t="s">
        <v>87</v>
      </c>
      <c r="E1185" t="s">
        <v>91</v>
      </c>
      <c r="F1185" t="s">
        <v>67</v>
      </c>
      <c r="G1185" t="s">
        <v>118</v>
      </c>
      <c r="H1185" t="s">
        <v>98</v>
      </c>
      <c r="I1185" t="s">
        <v>111</v>
      </c>
      <c r="J1185" t="s">
        <v>37</v>
      </c>
      <c r="K1185" s="4">
        <v>45963</v>
      </c>
      <c r="L1185" s="4">
        <v>46328</v>
      </c>
      <c r="M1185" t="s">
        <v>64</v>
      </c>
      <c r="N1185" t="s">
        <v>49</v>
      </c>
      <c r="O1185">
        <v>2</v>
      </c>
      <c r="P1185" t="s">
        <v>54</v>
      </c>
      <c r="Q1185" s="4">
        <v>46134</v>
      </c>
      <c r="R1185" t="s">
        <v>64</v>
      </c>
      <c r="S1185" t="s">
        <v>3155</v>
      </c>
      <c r="T1185" t="s">
        <v>3153</v>
      </c>
      <c r="U1185" t="s">
        <v>49</v>
      </c>
      <c r="V1185" t="s">
        <v>3152</v>
      </c>
    </row>
    <row r="1186" spans="1:22" x14ac:dyDescent="0.2">
      <c r="A1186" t="s">
        <v>2436</v>
      </c>
      <c r="B1186" t="s">
        <v>2437</v>
      </c>
      <c r="C1186" t="s">
        <v>103</v>
      </c>
      <c r="D1186" t="s">
        <v>104</v>
      </c>
      <c r="E1186" t="s">
        <v>44</v>
      </c>
      <c r="F1186" t="s">
        <v>45</v>
      </c>
      <c r="G1186" t="s">
        <v>46</v>
      </c>
      <c r="H1186" t="s">
        <v>98</v>
      </c>
      <c r="I1186" t="s">
        <v>106</v>
      </c>
      <c r="J1186" t="s">
        <v>48</v>
      </c>
      <c r="K1186" s="4">
        <v>46176</v>
      </c>
      <c r="L1186" s="4">
        <v>46541</v>
      </c>
      <c r="M1186" t="s">
        <v>64</v>
      </c>
      <c r="N1186" t="s">
        <v>75</v>
      </c>
      <c r="O1186">
        <v>5</v>
      </c>
      <c r="P1186" t="s">
        <v>70</v>
      </c>
      <c r="Q1186" s="4">
        <v>46177</v>
      </c>
      <c r="R1186" t="s">
        <v>38</v>
      </c>
      <c r="S1186" t="s">
        <v>3155</v>
      </c>
      <c r="T1186" t="s">
        <v>3153</v>
      </c>
      <c r="U1186" t="s">
        <v>75</v>
      </c>
      <c r="V1186" t="s">
        <v>3152</v>
      </c>
    </row>
    <row r="1187" spans="1:22" x14ac:dyDescent="0.2">
      <c r="A1187" t="s">
        <v>2438</v>
      </c>
      <c r="B1187" t="s">
        <v>2439</v>
      </c>
      <c r="C1187" t="s">
        <v>103</v>
      </c>
      <c r="D1187" t="s">
        <v>104</v>
      </c>
      <c r="E1187" t="s">
        <v>91</v>
      </c>
      <c r="F1187" t="s">
        <v>45</v>
      </c>
      <c r="G1187" t="s">
        <v>46</v>
      </c>
      <c r="H1187" t="s">
        <v>88</v>
      </c>
      <c r="I1187" t="s">
        <v>111</v>
      </c>
      <c r="J1187" t="s">
        <v>48</v>
      </c>
      <c r="K1187" s="4">
        <v>45906</v>
      </c>
      <c r="L1187" s="4">
        <v>45996</v>
      </c>
      <c r="M1187" t="s">
        <v>38</v>
      </c>
      <c r="N1187" t="s">
        <v>49</v>
      </c>
      <c r="O1187">
        <v>0</v>
      </c>
      <c r="P1187" t="s">
        <v>54</v>
      </c>
      <c r="Q1187" s="4">
        <v>46216</v>
      </c>
      <c r="R1187" t="s">
        <v>57</v>
      </c>
      <c r="S1187" t="s">
        <v>38</v>
      </c>
      <c r="T1187" t="s">
        <v>3153</v>
      </c>
      <c r="U1187" t="s">
        <v>49</v>
      </c>
      <c r="V1187" t="s">
        <v>3154</v>
      </c>
    </row>
    <row r="1188" spans="1:22" x14ac:dyDescent="0.2">
      <c r="A1188" t="s">
        <v>2440</v>
      </c>
      <c r="B1188" t="s">
        <v>2441</v>
      </c>
      <c r="C1188" t="s">
        <v>31</v>
      </c>
      <c r="D1188" t="s">
        <v>32</v>
      </c>
      <c r="E1188" t="s">
        <v>44</v>
      </c>
      <c r="F1188" t="s">
        <v>67</v>
      </c>
      <c r="G1188" t="s">
        <v>68</v>
      </c>
      <c r="H1188" t="s">
        <v>88</v>
      </c>
      <c r="I1188" t="s">
        <v>106</v>
      </c>
      <c r="J1188" t="s">
        <v>63</v>
      </c>
      <c r="K1188" s="4">
        <v>46160</v>
      </c>
      <c r="L1188" s="4">
        <v>46250</v>
      </c>
      <c r="M1188" t="s">
        <v>38</v>
      </c>
      <c r="N1188" t="s">
        <v>75</v>
      </c>
      <c r="O1188">
        <v>0</v>
      </c>
      <c r="P1188" t="s">
        <v>111</v>
      </c>
      <c r="Q1188" s="4">
        <v>46154</v>
      </c>
      <c r="R1188" t="s">
        <v>57</v>
      </c>
      <c r="S1188" t="s">
        <v>38</v>
      </c>
      <c r="T1188" t="s">
        <v>3153</v>
      </c>
      <c r="U1188" t="s">
        <v>75</v>
      </c>
      <c r="V1188" t="s">
        <v>3154</v>
      </c>
    </row>
    <row r="1189" spans="1:22" x14ac:dyDescent="0.2">
      <c r="A1189" t="s">
        <v>2442</v>
      </c>
      <c r="B1189" t="s">
        <v>2443</v>
      </c>
      <c r="C1189" t="s">
        <v>31</v>
      </c>
      <c r="D1189" t="s">
        <v>83</v>
      </c>
      <c r="E1189" t="s">
        <v>105</v>
      </c>
      <c r="F1189" t="s">
        <v>67</v>
      </c>
      <c r="G1189" t="s">
        <v>118</v>
      </c>
      <c r="H1189" t="s">
        <v>88</v>
      </c>
      <c r="I1189" t="s">
        <v>62</v>
      </c>
      <c r="J1189" t="s">
        <v>48</v>
      </c>
      <c r="K1189" s="4">
        <v>45877</v>
      </c>
      <c r="L1189" s="4">
        <v>46242</v>
      </c>
      <c r="M1189" t="s">
        <v>38</v>
      </c>
      <c r="N1189" t="s">
        <v>49</v>
      </c>
      <c r="O1189">
        <v>0</v>
      </c>
      <c r="P1189" t="s">
        <v>39</v>
      </c>
      <c r="Q1189" s="4">
        <v>46120</v>
      </c>
      <c r="R1189" t="s">
        <v>57</v>
      </c>
      <c r="S1189" t="s">
        <v>38</v>
      </c>
      <c r="T1189" t="s">
        <v>3153</v>
      </c>
      <c r="U1189" t="s">
        <v>49</v>
      </c>
      <c r="V1189" t="s">
        <v>3154</v>
      </c>
    </row>
    <row r="1190" spans="1:22" x14ac:dyDescent="0.2">
      <c r="A1190" t="s">
        <v>2444</v>
      </c>
      <c r="B1190" t="s">
        <v>2445</v>
      </c>
      <c r="C1190" t="s">
        <v>78</v>
      </c>
      <c r="D1190" t="s">
        <v>79</v>
      </c>
      <c r="E1190" t="s">
        <v>53</v>
      </c>
      <c r="F1190" t="s">
        <v>34</v>
      </c>
      <c r="G1190" t="s">
        <v>35</v>
      </c>
      <c r="H1190" t="s">
        <v>36</v>
      </c>
      <c r="I1190" t="s">
        <v>70</v>
      </c>
      <c r="J1190" t="s">
        <v>37</v>
      </c>
      <c r="K1190" s="4">
        <v>45994</v>
      </c>
      <c r="L1190" s="4">
        <v>46084</v>
      </c>
      <c r="M1190" t="s">
        <v>38</v>
      </c>
      <c r="N1190" t="s">
        <v>49</v>
      </c>
      <c r="O1190">
        <v>4</v>
      </c>
      <c r="P1190" t="s">
        <v>111</v>
      </c>
      <c r="Q1190" s="4">
        <v>46121</v>
      </c>
      <c r="R1190" t="s">
        <v>64</v>
      </c>
      <c r="S1190" t="s">
        <v>38</v>
      </c>
      <c r="T1190" t="s">
        <v>3153</v>
      </c>
      <c r="U1190" t="s">
        <v>49</v>
      </c>
      <c r="V1190" t="s">
        <v>3152</v>
      </c>
    </row>
    <row r="1191" spans="1:22" x14ac:dyDescent="0.2">
      <c r="A1191" t="s">
        <v>2446</v>
      </c>
      <c r="B1191" t="s">
        <v>2447</v>
      </c>
      <c r="C1191" t="s">
        <v>73</v>
      </c>
      <c r="D1191" t="s">
        <v>74</v>
      </c>
      <c r="E1191" t="s">
        <v>60</v>
      </c>
      <c r="F1191" t="s">
        <v>67</v>
      </c>
      <c r="G1191" t="s">
        <v>118</v>
      </c>
      <c r="H1191" t="s">
        <v>47</v>
      </c>
      <c r="I1191" t="s">
        <v>62</v>
      </c>
      <c r="J1191" t="s">
        <v>48</v>
      </c>
      <c r="K1191" s="4">
        <v>45806</v>
      </c>
      <c r="L1191" s="4">
        <v>45896</v>
      </c>
      <c r="M1191" t="s">
        <v>38</v>
      </c>
      <c r="N1191" t="s">
        <v>49</v>
      </c>
      <c r="O1191">
        <v>1</v>
      </c>
      <c r="P1191" t="s">
        <v>70</v>
      </c>
      <c r="Q1191" s="4">
        <v>46315</v>
      </c>
      <c r="R1191" t="s">
        <v>84</v>
      </c>
      <c r="S1191" t="s">
        <v>38</v>
      </c>
      <c r="T1191" t="s">
        <v>3153</v>
      </c>
      <c r="U1191" t="s">
        <v>49</v>
      </c>
      <c r="V1191" t="s">
        <v>3154</v>
      </c>
    </row>
    <row r="1192" spans="1:22" x14ac:dyDescent="0.2">
      <c r="A1192" t="s">
        <v>2448</v>
      </c>
      <c r="B1192" t="s">
        <v>2449</v>
      </c>
      <c r="C1192" t="s">
        <v>31</v>
      </c>
      <c r="D1192" t="s">
        <v>87</v>
      </c>
      <c r="E1192" t="s">
        <v>105</v>
      </c>
      <c r="F1192" t="s">
        <v>67</v>
      </c>
      <c r="G1192" t="s">
        <v>68</v>
      </c>
      <c r="H1192" t="s">
        <v>36</v>
      </c>
      <c r="I1192" t="s">
        <v>56</v>
      </c>
      <c r="J1192" t="s">
        <v>48</v>
      </c>
      <c r="K1192" s="4">
        <v>46220</v>
      </c>
      <c r="L1192" s="4">
        <v>46585</v>
      </c>
      <c r="M1192" t="s">
        <v>64</v>
      </c>
      <c r="N1192" t="s">
        <v>55</v>
      </c>
      <c r="O1192">
        <v>3</v>
      </c>
      <c r="P1192" t="s">
        <v>62</v>
      </c>
      <c r="Q1192" s="4">
        <v>46386</v>
      </c>
      <c r="R1192" t="s">
        <v>84</v>
      </c>
      <c r="S1192" t="s">
        <v>3155</v>
      </c>
      <c r="T1192" t="s">
        <v>3153</v>
      </c>
      <c r="U1192" t="s">
        <v>55</v>
      </c>
      <c r="V1192" t="s">
        <v>3152</v>
      </c>
    </row>
    <row r="1193" spans="1:22" x14ac:dyDescent="0.2">
      <c r="A1193" t="s">
        <v>2450</v>
      </c>
      <c r="B1193" t="s">
        <v>2451</v>
      </c>
      <c r="C1193" t="s">
        <v>73</v>
      </c>
      <c r="D1193" t="s">
        <v>74</v>
      </c>
      <c r="E1193" t="s">
        <v>91</v>
      </c>
      <c r="F1193" t="s">
        <v>45</v>
      </c>
      <c r="G1193" t="s">
        <v>46</v>
      </c>
      <c r="H1193" t="s">
        <v>47</v>
      </c>
      <c r="I1193" t="s">
        <v>54</v>
      </c>
      <c r="J1193" t="s">
        <v>48</v>
      </c>
      <c r="K1193" s="4">
        <v>45965</v>
      </c>
      <c r="L1193" s="4">
        <v>46330</v>
      </c>
      <c r="M1193" t="s">
        <v>64</v>
      </c>
      <c r="N1193" t="s">
        <v>55</v>
      </c>
      <c r="O1193">
        <v>1</v>
      </c>
      <c r="P1193" t="s">
        <v>70</v>
      </c>
      <c r="Q1193" s="4">
        <v>46346</v>
      </c>
      <c r="R1193" t="s">
        <v>64</v>
      </c>
      <c r="S1193" t="s">
        <v>3155</v>
      </c>
      <c r="T1193" t="s">
        <v>3153</v>
      </c>
      <c r="U1193" t="s">
        <v>55</v>
      </c>
      <c r="V1193" t="s">
        <v>3154</v>
      </c>
    </row>
    <row r="1194" spans="1:22" x14ac:dyDescent="0.2">
      <c r="A1194" t="s">
        <v>2452</v>
      </c>
      <c r="B1194" t="s">
        <v>2453</v>
      </c>
      <c r="C1194" t="s">
        <v>31</v>
      </c>
      <c r="D1194" t="s">
        <v>87</v>
      </c>
      <c r="E1194" t="s">
        <v>91</v>
      </c>
      <c r="F1194" t="s">
        <v>67</v>
      </c>
      <c r="G1194" t="s">
        <v>68</v>
      </c>
      <c r="H1194" t="s">
        <v>36</v>
      </c>
      <c r="I1194" t="s">
        <v>56</v>
      </c>
      <c r="J1194" t="s">
        <v>37</v>
      </c>
      <c r="K1194" s="4">
        <v>46209</v>
      </c>
      <c r="L1194" s="4">
        <v>46574</v>
      </c>
      <c r="M1194" t="s">
        <v>64</v>
      </c>
      <c r="N1194" t="s">
        <v>49</v>
      </c>
      <c r="O1194">
        <v>0</v>
      </c>
      <c r="P1194" t="s">
        <v>54</v>
      </c>
      <c r="Q1194" s="4">
        <v>46302</v>
      </c>
      <c r="R1194" t="s">
        <v>57</v>
      </c>
      <c r="S1194" t="s">
        <v>3155</v>
      </c>
      <c r="T1194" t="s">
        <v>3153</v>
      </c>
      <c r="U1194" t="s">
        <v>49</v>
      </c>
      <c r="V1194" t="s">
        <v>3152</v>
      </c>
    </row>
    <row r="1195" spans="1:22" x14ac:dyDescent="0.2">
      <c r="A1195" t="s">
        <v>2454</v>
      </c>
      <c r="B1195" t="s">
        <v>2455</v>
      </c>
      <c r="C1195" t="s">
        <v>31</v>
      </c>
      <c r="D1195" t="s">
        <v>87</v>
      </c>
      <c r="E1195" t="s">
        <v>80</v>
      </c>
      <c r="F1195" t="s">
        <v>67</v>
      </c>
      <c r="G1195" t="s">
        <v>118</v>
      </c>
      <c r="H1195" t="s">
        <v>88</v>
      </c>
      <c r="I1195" t="s">
        <v>39</v>
      </c>
      <c r="J1195" t="s">
        <v>48</v>
      </c>
      <c r="K1195" s="4">
        <v>46010</v>
      </c>
      <c r="L1195" s="4">
        <v>46375</v>
      </c>
      <c r="M1195" t="s">
        <v>64</v>
      </c>
      <c r="N1195" t="s">
        <v>49</v>
      </c>
      <c r="O1195">
        <v>1</v>
      </c>
      <c r="P1195" t="s">
        <v>39</v>
      </c>
      <c r="Q1195" s="4">
        <v>46333</v>
      </c>
      <c r="R1195" t="s">
        <v>84</v>
      </c>
      <c r="S1195" t="s">
        <v>3155</v>
      </c>
      <c r="T1195" t="s">
        <v>3153</v>
      </c>
      <c r="U1195" t="s">
        <v>49</v>
      </c>
      <c r="V1195" t="s">
        <v>3154</v>
      </c>
    </row>
    <row r="1196" spans="1:22" x14ac:dyDescent="0.2">
      <c r="A1196" t="s">
        <v>2456</v>
      </c>
      <c r="B1196" t="s">
        <v>2457</v>
      </c>
      <c r="C1196" t="s">
        <v>103</v>
      </c>
      <c r="D1196" t="s">
        <v>104</v>
      </c>
      <c r="E1196" t="s">
        <v>53</v>
      </c>
      <c r="F1196" t="s">
        <v>34</v>
      </c>
      <c r="G1196" t="s">
        <v>35</v>
      </c>
      <c r="H1196" t="s">
        <v>88</v>
      </c>
      <c r="I1196" t="s">
        <v>70</v>
      </c>
      <c r="J1196" t="s">
        <v>48</v>
      </c>
      <c r="K1196" s="4">
        <v>45857</v>
      </c>
      <c r="L1196" s="4">
        <v>45947</v>
      </c>
      <c r="M1196" t="s">
        <v>38</v>
      </c>
      <c r="N1196" t="s">
        <v>75</v>
      </c>
      <c r="O1196">
        <v>1</v>
      </c>
      <c r="P1196" t="s">
        <v>54</v>
      </c>
      <c r="Q1196" s="4">
        <v>46348</v>
      </c>
      <c r="R1196" t="s">
        <v>64</v>
      </c>
      <c r="S1196" t="s">
        <v>38</v>
      </c>
      <c r="T1196" t="s">
        <v>3153</v>
      </c>
      <c r="U1196" t="s">
        <v>75</v>
      </c>
      <c r="V1196" t="s">
        <v>3154</v>
      </c>
    </row>
    <row r="1197" spans="1:22" x14ac:dyDescent="0.2">
      <c r="A1197" t="s">
        <v>2458</v>
      </c>
      <c r="B1197" t="s">
        <v>2459</v>
      </c>
      <c r="C1197" t="s">
        <v>96</v>
      </c>
      <c r="D1197" t="s">
        <v>97</v>
      </c>
      <c r="E1197" t="s">
        <v>53</v>
      </c>
      <c r="F1197" t="s">
        <v>67</v>
      </c>
      <c r="G1197" t="s">
        <v>118</v>
      </c>
      <c r="H1197" t="s">
        <v>47</v>
      </c>
      <c r="I1197" t="s">
        <v>62</v>
      </c>
      <c r="J1197" t="s">
        <v>63</v>
      </c>
      <c r="K1197" s="4">
        <v>46015</v>
      </c>
      <c r="L1197" s="4">
        <v>46380</v>
      </c>
      <c r="M1197" t="s">
        <v>64</v>
      </c>
      <c r="N1197" t="s">
        <v>49</v>
      </c>
      <c r="O1197">
        <v>0</v>
      </c>
      <c r="P1197" t="s">
        <v>50</v>
      </c>
      <c r="Q1197" s="4">
        <v>46363</v>
      </c>
      <c r="R1197" t="s">
        <v>57</v>
      </c>
      <c r="S1197" t="s">
        <v>3155</v>
      </c>
      <c r="T1197" t="s">
        <v>3153</v>
      </c>
      <c r="U1197" t="s">
        <v>49</v>
      </c>
      <c r="V1197" t="s">
        <v>3154</v>
      </c>
    </row>
    <row r="1198" spans="1:22" x14ac:dyDescent="0.2">
      <c r="A1198" t="s">
        <v>2460</v>
      </c>
      <c r="B1198" t="s">
        <v>2461</v>
      </c>
      <c r="C1198" t="s">
        <v>31</v>
      </c>
      <c r="D1198" t="s">
        <v>87</v>
      </c>
      <c r="E1198" t="s">
        <v>60</v>
      </c>
      <c r="F1198" t="s">
        <v>34</v>
      </c>
      <c r="G1198" t="s">
        <v>35</v>
      </c>
      <c r="H1198" t="s">
        <v>36</v>
      </c>
      <c r="I1198" t="s">
        <v>56</v>
      </c>
      <c r="J1198" t="s">
        <v>63</v>
      </c>
      <c r="K1198" s="4">
        <v>45892</v>
      </c>
      <c r="L1198" s="4">
        <v>45982</v>
      </c>
      <c r="M1198" t="s">
        <v>38</v>
      </c>
      <c r="N1198" t="s">
        <v>55</v>
      </c>
      <c r="O1198">
        <v>1</v>
      </c>
      <c r="P1198" t="s">
        <v>111</v>
      </c>
      <c r="Q1198" s="4">
        <v>46270</v>
      </c>
      <c r="R1198" t="s">
        <v>38</v>
      </c>
      <c r="S1198" t="s">
        <v>38</v>
      </c>
      <c r="T1198" t="s">
        <v>3153</v>
      </c>
      <c r="U1198" t="s">
        <v>55</v>
      </c>
      <c r="V1198" t="s">
        <v>3152</v>
      </c>
    </row>
    <row r="1199" spans="1:22" x14ac:dyDescent="0.2">
      <c r="A1199" t="s">
        <v>2462</v>
      </c>
      <c r="B1199" t="s">
        <v>2463</v>
      </c>
      <c r="C1199" t="s">
        <v>31</v>
      </c>
      <c r="D1199" t="s">
        <v>32</v>
      </c>
      <c r="E1199" t="s">
        <v>53</v>
      </c>
      <c r="F1199" t="s">
        <v>45</v>
      </c>
      <c r="G1199" t="s">
        <v>61</v>
      </c>
      <c r="H1199" t="s">
        <v>47</v>
      </c>
      <c r="I1199" t="s">
        <v>50</v>
      </c>
      <c r="J1199" t="s">
        <v>48</v>
      </c>
      <c r="K1199" s="4">
        <v>46067</v>
      </c>
      <c r="L1199" s="4">
        <v>46157</v>
      </c>
      <c r="M1199" t="s">
        <v>38</v>
      </c>
      <c r="N1199" t="s">
        <v>55</v>
      </c>
      <c r="O1199">
        <v>1</v>
      </c>
      <c r="P1199" t="s">
        <v>106</v>
      </c>
      <c r="Q1199" s="4">
        <v>46306</v>
      </c>
      <c r="R1199" t="s">
        <v>84</v>
      </c>
      <c r="S1199" t="s">
        <v>38</v>
      </c>
      <c r="T1199" t="s">
        <v>3153</v>
      </c>
      <c r="U1199" t="s">
        <v>55</v>
      </c>
      <c r="V1199" t="s">
        <v>3154</v>
      </c>
    </row>
    <row r="1200" spans="1:22" x14ac:dyDescent="0.2">
      <c r="A1200" t="s">
        <v>2464</v>
      </c>
      <c r="B1200" t="s">
        <v>2465</v>
      </c>
      <c r="C1200" t="s">
        <v>96</v>
      </c>
      <c r="D1200" t="s">
        <v>97</v>
      </c>
      <c r="E1200" t="s">
        <v>60</v>
      </c>
      <c r="F1200" t="s">
        <v>67</v>
      </c>
      <c r="G1200" t="s">
        <v>68</v>
      </c>
      <c r="H1200" t="s">
        <v>36</v>
      </c>
      <c r="I1200" t="s">
        <v>106</v>
      </c>
      <c r="J1200" t="s">
        <v>63</v>
      </c>
      <c r="K1200" s="4">
        <v>45986</v>
      </c>
      <c r="L1200" s="4">
        <v>46351</v>
      </c>
      <c r="M1200" t="s">
        <v>69</v>
      </c>
      <c r="N1200" t="s">
        <v>75</v>
      </c>
      <c r="O1200">
        <v>4</v>
      </c>
      <c r="P1200" t="s">
        <v>50</v>
      </c>
      <c r="Q1200" s="4">
        <v>46208</v>
      </c>
      <c r="R1200" t="s">
        <v>38</v>
      </c>
      <c r="S1200" t="s">
        <v>3155</v>
      </c>
      <c r="T1200" t="s">
        <v>3153</v>
      </c>
      <c r="U1200" t="s">
        <v>75</v>
      </c>
      <c r="V1200" t="s">
        <v>3152</v>
      </c>
    </row>
    <row r="1201" spans="1:22" x14ac:dyDescent="0.2">
      <c r="A1201" t="s">
        <v>2466</v>
      </c>
      <c r="B1201" t="s">
        <v>2467</v>
      </c>
      <c r="C1201" t="s">
        <v>42</v>
      </c>
      <c r="D1201" t="s">
        <v>43</v>
      </c>
      <c r="E1201" t="s">
        <v>60</v>
      </c>
      <c r="F1201" t="s">
        <v>67</v>
      </c>
      <c r="G1201" t="s">
        <v>118</v>
      </c>
      <c r="H1201" t="s">
        <v>88</v>
      </c>
      <c r="I1201" t="s">
        <v>62</v>
      </c>
      <c r="J1201" t="s">
        <v>63</v>
      </c>
      <c r="K1201" s="4">
        <v>45830</v>
      </c>
      <c r="L1201" s="4">
        <v>46195</v>
      </c>
      <c r="M1201" t="s">
        <v>38</v>
      </c>
      <c r="N1201" t="s">
        <v>75</v>
      </c>
      <c r="O1201">
        <v>3</v>
      </c>
      <c r="P1201" t="s">
        <v>106</v>
      </c>
      <c r="Q1201" s="4">
        <v>46160</v>
      </c>
      <c r="R1201" t="s">
        <v>38</v>
      </c>
      <c r="S1201" t="s">
        <v>38</v>
      </c>
      <c r="T1201" t="s">
        <v>3153</v>
      </c>
      <c r="U1201" t="s">
        <v>75</v>
      </c>
      <c r="V1201" t="s">
        <v>3154</v>
      </c>
    </row>
    <row r="1202" spans="1:22" x14ac:dyDescent="0.2">
      <c r="A1202" t="s">
        <v>2468</v>
      </c>
      <c r="B1202" t="s">
        <v>2469</v>
      </c>
      <c r="C1202" t="s">
        <v>103</v>
      </c>
      <c r="D1202" t="s">
        <v>104</v>
      </c>
      <c r="E1202" t="s">
        <v>91</v>
      </c>
      <c r="F1202" t="s">
        <v>34</v>
      </c>
      <c r="G1202" t="s">
        <v>35</v>
      </c>
      <c r="H1202" t="s">
        <v>98</v>
      </c>
      <c r="I1202" t="s">
        <v>54</v>
      </c>
      <c r="J1202" t="s">
        <v>48</v>
      </c>
      <c r="K1202" s="4">
        <v>46200</v>
      </c>
      <c r="L1202" s="4">
        <v>46380</v>
      </c>
      <c r="M1202" t="s">
        <v>69</v>
      </c>
      <c r="N1202" t="s">
        <v>55</v>
      </c>
      <c r="O1202">
        <v>4</v>
      </c>
      <c r="P1202" t="s">
        <v>70</v>
      </c>
      <c r="Q1202" s="4">
        <v>46273</v>
      </c>
      <c r="R1202" t="s">
        <v>38</v>
      </c>
      <c r="S1202" t="s">
        <v>3155</v>
      </c>
      <c r="T1202" t="s">
        <v>3153</v>
      </c>
      <c r="U1202" t="s">
        <v>55</v>
      </c>
      <c r="V1202" t="s">
        <v>3152</v>
      </c>
    </row>
    <row r="1203" spans="1:22" x14ac:dyDescent="0.2">
      <c r="A1203" t="s">
        <v>2470</v>
      </c>
      <c r="B1203" t="s">
        <v>2471</v>
      </c>
      <c r="C1203" t="s">
        <v>96</v>
      </c>
      <c r="D1203" t="s">
        <v>97</v>
      </c>
      <c r="E1203" t="s">
        <v>53</v>
      </c>
      <c r="F1203" t="s">
        <v>45</v>
      </c>
      <c r="G1203" t="s">
        <v>46</v>
      </c>
      <c r="H1203" t="s">
        <v>36</v>
      </c>
      <c r="I1203" t="s">
        <v>62</v>
      </c>
      <c r="J1203" t="s">
        <v>37</v>
      </c>
      <c r="K1203" s="4">
        <v>46069</v>
      </c>
      <c r="L1203" s="4">
        <v>46434</v>
      </c>
      <c r="M1203" t="s">
        <v>84</v>
      </c>
      <c r="N1203" t="s">
        <v>75</v>
      </c>
      <c r="O1203">
        <v>4</v>
      </c>
      <c r="P1203" t="s">
        <v>70</v>
      </c>
      <c r="Q1203" s="4">
        <v>46126</v>
      </c>
      <c r="R1203" t="s">
        <v>38</v>
      </c>
      <c r="S1203" t="s">
        <v>3155</v>
      </c>
      <c r="T1203" t="s">
        <v>3153</v>
      </c>
      <c r="U1203" t="s">
        <v>75</v>
      </c>
      <c r="V1203" t="s">
        <v>3152</v>
      </c>
    </row>
    <row r="1204" spans="1:22" x14ac:dyDescent="0.2">
      <c r="A1204" t="s">
        <v>2472</v>
      </c>
      <c r="B1204" t="s">
        <v>2473</v>
      </c>
      <c r="C1204" t="s">
        <v>73</v>
      </c>
      <c r="D1204" t="s">
        <v>74</v>
      </c>
      <c r="E1204" t="s">
        <v>105</v>
      </c>
      <c r="F1204" t="s">
        <v>67</v>
      </c>
      <c r="G1204" t="s">
        <v>118</v>
      </c>
      <c r="H1204" t="s">
        <v>88</v>
      </c>
      <c r="I1204" t="s">
        <v>50</v>
      </c>
      <c r="J1204" t="s">
        <v>63</v>
      </c>
      <c r="K1204" s="4">
        <v>45892</v>
      </c>
      <c r="L1204" s="4">
        <v>45982</v>
      </c>
      <c r="M1204" t="s">
        <v>38</v>
      </c>
      <c r="N1204" t="s">
        <v>75</v>
      </c>
      <c r="O1204">
        <v>1</v>
      </c>
      <c r="P1204" t="s">
        <v>106</v>
      </c>
      <c r="Q1204" s="4">
        <v>46381</v>
      </c>
      <c r="R1204" t="s">
        <v>84</v>
      </c>
      <c r="S1204" t="s">
        <v>38</v>
      </c>
      <c r="T1204" t="s">
        <v>3153</v>
      </c>
      <c r="U1204" t="s">
        <v>75</v>
      </c>
      <c r="V1204" t="s">
        <v>3154</v>
      </c>
    </row>
    <row r="1205" spans="1:22" x14ac:dyDescent="0.2">
      <c r="A1205" t="s">
        <v>2474</v>
      </c>
      <c r="B1205" t="s">
        <v>2475</v>
      </c>
      <c r="C1205" t="s">
        <v>31</v>
      </c>
      <c r="D1205" t="s">
        <v>32</v>
      </c>
      <c r="E1205" t="s">
        <v>60</v>
      </c>
      <c r="F1205" t="s">
        <v>34</v>
      </c>
      <c r="G1205" t="s">
        <v>35</v>
      </c>
      <c r="H1205" t="s">
        <v>47</v>
      </c>
      <c r="I1205" t="s">
        <v>39</v>
      </c>
      <c r="J1205" t="s">
        <v>63</v>
      </c>
      <c r="K1205" s="4">
        <v>45847</v>
      </c>
      <c r="L1205" s="4">
        <v>46027</v>
      </c>
      <c r="M1205" t="s">
        <v>38</v>
      </c>
      <c r="N1205" t="s">
        <v>55</v>
      </c>
      <c r="O1205">
        <v>2</v>
      </c>
      <c r="P1205" t="s">
        <v>62</v>
      </c>
      <c r="Q1205" s="4">
        <v>46323</v>
      </c>
      <c r="R1205" t="s">
        <v>84</v>
      </c>
      <c r="S1205" t="s">
        <v>38</v>
      </c>
      <c r="T1205" t="s">
        <v>3153</v>
      </c>
      <c r="U1205" t="s">
        <v>55</v>
      </c>
      <c r="V1205" t="s">
        <v>3154</v>
      </c>
    </row>
    <row r="1206" spans="1:22" x14ac:dyDescent="0.2">
      <c r="A1206" t="s">
        <v>2476</v>
      </c>
      <c r="B1206" t="s">
        <v>2477</v>
      </c>
      <c r="C1206" t="s">
        <v>78</v>
      </c>
      <c r="D1206" t="s">
        <v>79</v>
      </c>
      <c r="E1206" t="s">
        <v>60</v>
      </c>
      <c r="F1206" t="s">
        <v>67</v>
      </c>
      <c r="G1206" t="s">
        <v>68</v>
      </c>
      <c r="H1206" t="s">
        <v>36</v>
      </c>
      <c r="I1206" t="s">
        <v>50</v>
      </c>
      <c r="J1206" t="s">
        <v>37</v>
      </c>
      <c r="K1206" s="4">
        <v>46068</v>
      </c>
      <c r="L1206" s="4">
        <v>46433</v>
      </c>
      <c r="M1206" t="s">
        <v>84</v>
      </c>
      <c r="N1206" t="s">
        <v>75</v>
      </c>
      <c r="O1206">
        <v>5</v>
      </c>
      <c r="P1206" t="s">
        <v>106</v>
      </c>
      <c r="Q1206" s="4">
        <v>46251</v>
      </c>
      <c r="R1206" t="s">
        <v>64</v>
      </c>
      <c r="S1206" t="s">
        <v>3155</v>
      </c>
      <c r="T1206" t="s">
        <v>3153</v>
      </c>
      <c r="U1206" t="s">
        <v>75</v>
      </c>
      <c r="V1206" t="s">
        <v>3152</v>
      </c>
    </row>
    <row r="1207" spans="1:22" x14ac:dyDescent="0.2">
      <c r="A1207" t="s">
        <v>2478</v>
      </c>
      <c r="B1207" t="s">
        <v>2479</v>
      </c>
      <c r="C1207" t="s">
        <v>73</v>
      </c>
      <c r="D1207" t="s">
        <v>74</v>
      </c>
      <c r="E1207" t="s">
        <v>44</v>
      </c>
      <c r="F1207" t="s">
        <v>67</v>
      </c>
      <c r="G1207" t="s">
        <v>68</v>
      </c>
      <c r="H1207" t="s">
        <v>47</v>
      </c>
      <c r="I1207" t="s">
        <v>111</v>
      </c>
      <c r="J1207" t="s">
        <v>37</v>
      </c>
      <c r="K1207" s="4">
        <v>45861</v>
      </c>
      <c r="L1207" s="4">
        <v>46041</v>
      </c>
      <c r="M1207" t="s">
        <v>38</v>
      </c>
      <c r="N1207" t="s">
        <v>55</v>
      </c>
      <c r="O1207">
        <v>1</v>
      </c>
      <c r="P1207" t="s">
        <v>70</v>
      </c>
      <c r="Q1207" s="4">
        <v>46212</v>
      </c>
      <c r="R1207" t="s">
        <v>38</v>
      </c>
      <c r="S1207" t="s">
        <v>38</v>
      </c>
      <c r="T1207" t="s">
        <v>3153</v>
      </c>
      <c r="U1207" t="s">
        <v>55</v>
      </c>
      <c r="V1207" t="s">
        <v>3154</v>
      </c>
    </row>
    <row r="1208" spans="1:22" x14ac:dyDescent="0.2">
      <c r="A1208" t="s">
        <v>2480</v>
      </c>
      <c r="B1208" t="s">
        <v>2481</v>
      </c>
      <c r="C1208" t="s">
        <v>31</v>
      </c>
      <c r="D1208" t="s">
        <v>83</v>
      </c>
      <c r="E1208" t="s">
        <v>53</v>
      </c>
      <c r="F1208" t="s">
        <v>67</v>
      </c>
      <c r="G1208" t="s">
        <v>68</v>
      </c>
      <c r="H1208" t="s">
        <v>88</v>
      </c>
      <c r="I1208" t="s">
        <v>50</v>
      </c>
      <c r="J1208" t="s">
        <v>48</v>
      </c>
      <c r="K1208" s="4">
        <v>46152</v>
      </c>
      <c r="L1208" s="4">
        <v>46517</v>
      </c>
      <c r="M1208" t="s">
        <v>69</v>
      </c>
      <c r="N1208" t="s">
        <v>49</v>
      </c>
      <c r="O1208">
        <v>2</v>
      </c>
      <c r="P1208" t="s">
        <v>39</v>
      </c>
      <c r="Q1208" s="4">
        <v>46135</v>
      </c>
      <c r="R1208" t="s">
        <v>38</v>
      </c>
      <c r="S1208" t="s">
        <v>3155</v>
      </c>
      <c r="T1208" t="s">
        <v>3153</v>
      </c>
      <c r="U1208" t="s">
        <v>49</v>
      </c>
      <c r="V1208" t="s">
        <v>3154</v>
      </c>
    </row>
    <row r="1209" spans="1:22" x14ac:dyDescent="0.2">
      <c r="A1209" t="s">
        <v>2482</v>
      </c>
      <c r="B1209" t="s">
        <v>2483</v>
      </c>
      <c r="C1209" t="s">
        <v>103</v>
      </c>
      <c r="D1209" t="s">
        <v>104</v>
      </c>
      <c r="E1209" t="s">
        <v>60</v>
      </c>
      <c r="F1209" t="s">
        <v>45</v>
      </c>
      <c r="G1209" t="s">
        <v>61</v>
      </c>
      <c r="H1209" t="s">
        <v>88</v>
      </c>
      <c r="I1209" t="s">
        <v>62</v>
      </c>
      <c r="J1209" t="s">
        <v>63</v>
      </c>
      <c r="K1209" s="4">
        <v>46243</v>
      </c>
      <c r="L1209" s="4">
        <v>46333</v>
      </c>
      <c r="M1209" t="s">
        <v>64</v>
      </c>
      <c r="N1209" t="s">
        <v>75</v>
      </c>
      <c r="O1209">
        <v>1</v>
      </c>
      <c r="P1209" t="s">
        <v>106</v>
      </c>
      <c r="Q1209" s="4">
        <v>46153</v>
      </c>
      <c r="R1209" t="s">
        <v>64</v>
      </c>
      <c r="S1209" t="s">
        <v>3155</v>
      </c>
      <c r="T1209" t="s">
        <v>3153</v>
      </c>
      <c r="U1209" t="s">
        <v>75</v>
      </c>
      <c r="V1209" t="s">
        <v>3154</v>
      </c>
    </row>
    <row r="1210" spans="1:22" x14ac:dyDescent="0.2">
      <c r="A1210" t="s">
        <v>2484</v>
      </c>
      <c r="B1210" t="s">
        <v>2485</v>
      </c>
      <c r="C1210" t="s">
        <v>31</v>
      </c>
      <c r="D1210" t="s">
        <v>87</v>
      </c>
      <c r="E1210" t="s">
        <v>105</v>
      </c>
      <c r="F1210" t="s">
        <v>45</v>
      </c>
      <c r="G1210" t="s">
        <v>46</v>
      </c>
      <c r="H1210" t="s">
        <v>88</v>
      </c>
      <c r="I1210" t="s">
        <v>39</v>
      </c>
      <c r="J1210" t="s">
        <v>37</v>
      </c>
      <c r="K1210" s="4">
        <v>45962</v>
      </c>
      <c r="L1210" s="4">
        <v>46327</v>
      </c>
      <c r="M1210" t="s">
        <v>64</v>
      </c>
      <c r="N1210" t="s">
        <v>75</v>
      </c>
      <c r="O1210">
        <v>0</v>
      </c>
      <c r="P1210" t="s">
        <v>50</v>
      </c>
      <c r="Q1210" s="4">
        <v>46279</v>
      </c>
      <c r="R1210" t="s">
        <v>57</v>
      </c>
      <c r="S1210" t="s">
        <v>3155</v>
      </c>
      <c r="T1210" t="s">
        <v>3153</v>
      </c>
      <c r="U1210" t="s">
        <v>75</v>
      </c>
      <c r="V1210" t="s">
        <v>3154</v>
      </c>
    </row>
    <row r="1211" spans="1:22" x14ac:dyDescent="0.2">
      <c r="A1211" t="s">
        <v>2486</v>
      </c>
      <c r="B1211" t="s">
        <v>2487</v>
      </c>
      <c r="C1211" t="s">
        <v>42</v>
      </c>
      <c r="D1211" t="s">
        <v>43</v>
      </c>
      <c r="E1211" t="s">
        <v>60</v>
      </c>
      <c r="F1211" t="s">
        <v>34</v>
      </c>
      <c r="G1211" t="s">
        <v>35</v>
      </c>
      <c r="H1211" t="s">
        <v>98</v>
      </c>
      <c r="I1211" t="s">
        <v>62</v>
      </c>
      <c r="J1211" t="s">
        <v>48</v>
      </c>
      <c r="K1211" s="4">
        <v>45954</v>
      </c>
      <c r="L1211" s="4">
        <v>46044</v>
      </c>
      <c r="M1211" t="s">
        <v>38</v>
      </c>
      <c r="N1211" t="s">
        <v>55</v>
      </c>
      <c r="O1211">
        <v>5</v>
      </c>
      <c r="P1211" t="s">
        <v>111</v>
      </c>
      <c r="Q1211" s="4">
        <v>46303</v>
      </c>
      <c r="R1211" t="s">
        <v>64</v>
      </c>
      <c r="S1211" t="s">
        <v>38</v>
      </c>
      <c r="T1211" t="s">
        <v>3153</v>
      </c>
      <c r="U1211" t="s">
        <v>55</v>
      </c>
      <c r="V1211" t="s">
        <v>3152</v>
      </c>
    </row>
    <row r="1212" spans="1:22" x14ac:dyDescent="0.2">
      <c r="A1212" t="s">
        <v>2488</v>
      </c>
      <c r="B1212" t="s">
        <v>2489</v>
      </c>
      <c r="C1212" t="s">
        <v>31</v>
      </c>
      <c r="D1212" t="s">
        <v>83</v>
      </c>
      <c r="E1212" t="s">
        <v>60</v>
      </c>
      <c r="F1212" t="s">
        <v>67</v>
      </c>
      <c r="G1212" t="s">
        <v>118</v>
      </c>
      <c r="H1212" t="s">
        <v>47</v>
      </c>
      <c r="I1212" t="s">
        <v>50</v>
      </c>
      <c r="J1212" t="s">
        <v>48</v>
      </c>
      <c r="K1212" s="4">
        <v>46246</v>
      </c>
      <c r="L1212" s="4">
        <v>46611</v>
      </c>
      <c r="M1212" t="s">
        <v>84</v>
      </c>
      <c r="N1212" t="s">
        <v>49</v>
      </c>
      <c r="O1212">
        <v>3</v>
      </c>
      <c r="P1212" t="s">
        <v>70</v>
      </c>
      <c r="Q1212" s="4">
        <v>46325</v>
      </c>
      <c r="R1212" t="s">
        <v>84</v>
      </c>
      <c r="S1212" t="s">
        <v>3155</v>
      </c>
      <c r="T1212" t="s">
        <v>3153</v>
      </c>
      <c r="U1212" t="s">
        <v>49</v>
      </c>
      <c r="V1212" t="s">
        <v>3154</v>
      </c>
    </row>
    <row r="1213" spans="1:22" x14ac:dyDescent="0.2">
      <c r="A1213" t="s">
        <v>2490</v>
      </c>
      <c r="B1213" t="s">
        <v>2491</v>
      </c>
      <c r="C1213" t="s">
        <v>31</v>
      </c>
      <c r="D1213" t="s">
        <v>32</v>
      </c>
      <c r="E1213" t="s">
        <v>91</v>
      </c>
      <c r="F1213" t="s">
        <v>34</v>
      </c>
      <c r="G1213" t="s">
        <v>35</v>
      </c>
      <c r="H1213" t="s">
        <v>88</v>
      </c>
      <c r="I1213" t="s">
        <v>111</v>
      </c>
      <c r="J1213" t="s">
        <v>37</v>
      </c>
      <c r="K1213" s="4">
        <v>45803</v>
      </c>
      <c r="L1213" s="4">
        <v>45983</v>
      </c>
      <c r="M1213" t="s">
        <v>38</v>
      </c>
      <c r="N1213" t="s">
        <v>55</v>
      </c>
      <c r="O1213">
        <v>1</v>
      </c>
      <c r="P1213" t="s">
        <v>39</v>
      </c>
      <c r="Q1213" s="4">
        <v>46404</v>
      </c>
      <c r="R1213" t="s">
        <v>84</v>
      </c>
      <c r="S1213" t="s">
        <v>38</v>
      </c>
      <c r="T1213" t="s">
        <v>3153</v>
      </c>
      <c r="U1213" t="s">
        <v>55</v>
      </c>
      <c r="V1213" t="s">
        <v>3154</v>
      </c>
    </row>
    <row r="1214" spans="1:22" x14ac:dyDescent="0.2">
      <c r="A1214" t="s">
        <v>2492</v>
      </c>
      <c r="B1214" t="s">
        <v>2493</v>
      </c>
      <c r="C1214" t="s">
        <v>31</v>
      </c>
      <c r="D1214" t="s">
        <v>83</v>
      </c>
      <c r="E1214" t="s">
        <v>105</v>
      </c>
      <c r="F1214" t="s">
        <v>67</v>
      </c>
      <c r="G1214" t="s">
        <v>118</v>
      </c>
      <c r="H1214" t="s">
        <v>98</v>
      </c>
      <c r="I1214" t="s">
        <v>54</v>
      </c>
      <c r="J1214" t="s">
        <v>37</v>
      </c>
      <c r="K1214" s="4">
        <v>46172</v>
      </c>
      <c r="L1214" s="4">
        <v>46352</v>
      </c>
      <c r="M1214" t="s">
        <v>64</v>
      </c>
      <c r="N1214" t="s">
        <v>55</v>
      </c>
      <c r="O1214">
        <v>2</v>
      </c>
      <c r="P1214" t="s">
        <v>62</v>
      </c>
      <c r="Q1214" s="4">
        <v>46298</v>
      </c>
      <c r="R1214" t="s">
        <v>84</v>
      </c>
      <c r="S1214" t="s">
        <v>3155</v>
      </c>
      <c r="T1214" t="s">
        <v>3153</v>
      </c>
      <c r="U1214" t="s">
        <v>55</v>
      </c>
      <c r="V1214" t="s">
        <v>3152</v>
      </c>
    </row>
    <row r="1215" spans="1:22" x14ac:dyDescent="0.2">
      <c r="A1215" t="s">
        <v>2494</v>
      </c>
      <c r="B1215" t="s">
        <v>2495</v>
      </c>
      <c r="C1215" t="s">
        <v>31</v>
      </c>
      <c r="D1215" t="s">
        <v>83</v>
      </c>
      <c r="E1215" t="s">
        <v>60</v>
      </c>
      <c r="F1215" t="s">
        <v>45</v>
      </c>
      <c r="G1215" t="s">
        <v>61</v>
      </c>
      <c r="H1215" t="s">
        <v>98</v>
      </c>
      <c r="I1215" t="s">
        <v>111</v>
      </c>
      <c r="J1215" t="s">
        <v>37</v>
      </c>
      <c r="K1215" s="4">
        <v>46270</v>
      </c>
      <c r="L1215" s="4">
        <v>46360</v>
      </c>
      <c r="M1215" t="s">
        <v>84</v>
      </c>
      <c r="N1215" t="s">
        <v>49</v>
      </c>
      <c r="O1215">
        <v>0</v>
      </c>
      <c r="P1215" t="s">
        <v>70</v>
      </c>
      <c r="Q1215" s="4">
        <v>46155</v>
      </c>
      <c r="R1215" t="s">
        <v>57</v>
      </c>
      <c r="S1215" t="s">
        <v>3155</v>
      </c>
      <c r="T1215" t="s">
        <v>3153</v>
      </c>
      <c r="U1215" t="s">
        <v>49</v>
      </c>
      <c r="V1215" t="s">
        <v>3152</v>
      </c>
    </row>
    <row r="1216" spans="1:22" x14ac:dyDescent="0.2">
      <c r="A1216" t="s">
        <v>2496</v>
      </c>
      <c r="B1216" t="s">
        <v>2497</v>
      </c>
      <c r="C1216" t="s">
        <v>103</v>
      </c>
      <c r="D1216" t="s">
        <v>104</v>
      </c>
      <c r="E1216" t="s">
        <v>44</v>
      </c>
      <c r="F1216" t="s">
        <v>45</v>
      </c>
      <c r="G1216" t="s">
        <v>61</v>
      </c>
      <c r="H1216" t="s">
        <v>36</v>
      </c>
      <c r="I1216" t="s">
        <v>106</v>
      </c>
      <c r="J1216" t="s">
        <v>48</v>
      </c>
      <c r="K1216" s="4">
        <v>46208</v>
      </c>
      <c r="L1216" s="4">
        <v>46388</v>
      </c>
      <c r="M1216" t="s">
        <v>64</v>
      </c>
      <c r="N1216" t="s">
        <v>49</v>
      </c>
      <c r="O1216">
        <v>2</v>
      </c>
      <c r="P1216" t="s">
        <v>56</v>
      </c>
      <c r="Q1216" s="4">
        <v>46307</v>
      </c>
      <c r="R1216" t="s">
        <v>64</v>
      </c>
      <c r="S1216" t="s">
        <v>3155</v>
      </c>
      <c r="T1216" t="s">
        <v>3153</v>
      </c>
      <c r="U1216" t="s">
        <v>49</v>
      </c>
      <c r="V1216" t="s">
        <v>3152</v>
      </c>
    </row>
    <row r="1217" spans="1:22" x14ac:dyDescent="0.2">
      <c r="A1217" t="s">
        <v>2498</v>
      </c>
      <c r="B1217" t="s">
        <v>2499</v>
      </c>
      <c r="C1217" t="s">
        <v>78</v>
      </c>
      <c r="D1217" t="s">
        <v>79</v>
      </c>
      <c r="E1217" t="s">
        <v>60</v>
      </c>
      <c r="F1217" t="s">
        <v>67</v>
      </c>
      <c r="G1217" t="s">
        <v>118</v>
      </c>
      <c r="H1217" t="s">
        <v>47</v>
      </c>
      <c r="I1217" t="s">
        <v>50</v>
      </c>
      <c r="J1217" t="s">
        <v>63</v>
      </c>
      <c r="K1217" s="4">
        <v>45833</v>
      </c>
      <c r="L1217" s="4">
        <v>46198</v>
      </c>
      <c r="M1217" t="s">
        <v>38</v>
      </c>
      <c r="N1217" t="s">
        <v>75</v>
      </c>
      <c r="O1217">
        <v>0</v>
      </c>
      <c r="P1217" t="s">
        <v>39</v>
      </c>
      <c r="Q1217" s="4">
        <v>46187</v>
      </c>
      <c r="R1217" t="s">
        <v>57</v>
      </c>
      <c r="S1217" t="s">
        <v>38</v>
      </c>
      <c r="T1217" t="s">
        <v>3153</v>
      </c>
      <c r="U1217" t="s">
        <v>75</v>
      </c>
      <c r="V1217" t="s">
        <v>3154</v>
      </c>
    </row>
    <row r="1218" spans="1:22" x14ac:dyDescent="0.2">
      <c r="A1218" t="s">
        <v>2500</v>
      </c>
      <c r="B1218" t="s">
        <v>2501</v>
      </c>
      <c r="C1218" t="s">
        <v>96</v>
      </c>
      <c r="D1218" t="s">
        <v>97</v>
      </c>
      <c r="E1218" t="s">
        <v>53</v>
      </c>
      <c r="F1218" t="s">
        <v>45</v>
      </c>
      <c r="G1218" t="s">
        <v>61</v>
      </c>
      <c r="H1218" t="s">
        <v>47</v>
      </c>
      <c r="I1218" t="s">
        <v>39</v>
      </c>
      <c r="J1218" t="s">
        <v>48</v>
      </c>
      <c r="K1218" s="4">
        <v>46154</v>
      </c>
      <c r="L1218" s="4">
        <v>46334</v>
      </c>
      <c r="M1218" t="s">
        <v>64</v>
      </c>
      <c r="N1218" t="s">
        <v>75</v>
      </c>
      <c r="O1218">
        <v>0</v>
      </c>
      <c r="P1218" t="s">
        <v>50</v>
      </c>
      <c r="Q1218" s="4">
        <v>46318</v>
      </c>
      <c r="R1218" t="s">
        <v>57</v>
      </c>
      <c r="S1218" t="s">
        <v>3155</v>
      </c>
      <c r="T1218" t="s">
        <v>3153</v>
      </c>
      <c r="U1218" t="s">
        <v>75</v>
      </c>
      <c r="V1218" t="s">
        <v>3154</v>
      </c>
    </row>
    <row r="1219" spans="1:22" x14ac:dyDescent="0.2">
      <c r="A1219" t="s">
        <v>2502</v>
      </c>
      <c r="B1219" t="s">
        <v>2503</v>
      </c>
      <c r="C1219" t="s">
        <v>42</v>
      </c>
      <c r="D1219" t="s">
        <v>43</v>
      </c>
      <c r="E1219" t="s">
        <v>91</v>
      </c>
      <c r="F1219" t="s">
        <v>67</v>
      </c>
      <c r="G1219" t="s">
        <v>118</v>
      </c>
      <c r="H1219" t="s">
        <v>88</v>
      </c>
      <c r="I1219" t="s">
        <v>50</v>
      </c>
      <c r="J1219" t="s">
        <v>37</v>
      </c>
      <c r="K1219" s="4">
        <v>46237</v>
      </c>
      <c r="L1219" s="4">
        <v>46327</v>
      </c>
      <c r="M1219" t="s">
        <v>84</v>
      </c>
      <c r="N1219" t="s">
        <v>75</v>
      </c>
      <c r="O1219">
        <v>1</v>
      </c>
      <c r="P1219" t="s">
        <v>50</v>
      </c>
      <c r="Q1219" s="4">
        <v>46167</v>
      </c>
      <c r="R1219" t="s">
        <v>38</v>
      </c>
      <c r="S1219" t="s">
        <v>3155</v>
      </c>
      <c r="T1219" t="s">
        <v>3153</v>
      </c>
      <c r="U1219" t="s">
        <v>75</v>
      </c>
      <c r="V1219" t="s">
        <v>3154</v>
      </c>
    </row>
    <row r="1220" spans="1:22" x14ac:dyDescent="0.2">
      <c r="A1220" t="s">
        <v>2504</v>
      </c>
      <c r="B1220" t="s">
        <v>2505</v>
      </c>
      <c r="C1220" t="s">
        <v>31</v>
      </c>
      <c r="D1220" t="s">
        <v>83</v>
      </c>
      <c r="E1220" t="s">
        <v>91</v>
      </c>
      <c r="F1220" t="s">
        <v>34</v>
      </c>
      <c r="G1220" t="s">
        <v>35</v>
      </c>
      <c r="H1220" t="s">
        <v>36</v>
      </c>
      <c r="I1220" t="s">
        <v>111</v>
      </c>
      <c r="J1220" t="s">
        <v>63</v>
      </c>
      <c r="K1220" s="4">
        <v>46156</v>
      </c>
      <c r="L1220" s="4">
        <v>46336</v>
      </c>
      <c r="M1220" t="s">
        <v>84</v>
      </c>
      <c r="N1220" t="s">
        <v>49</v>
      </c>
      <c r="O1220">
        <v>1</v>
      </c>
      <c r="P1220" t="s">
        <v>106</v>
      </c>
      <c r="Q1220" s="4">
        <v>46173</v>
      </c>
      <c r="R1220" t="s">
        <v>38</v>
      </c>
      <c r="S1220" t="s">
        <v>3155</v>
      </c>
      <c r="T1220" t="s">
        <v>3153</v>
      </c>
      <c r="U1220" t="s">
        <v>49</v>
      </c>
      <c r="V1220" t="s">
        <v>3152</v>
      </c>
    </row>
    <row r="1221" spans="1:22" x14ac:dyDescent="0.2">
      <c r="A1221" t="s">
        <v>2506</v>
      </c>
      <c r="B1221" t="s">
        <v>2507</v>
      </c>
      <c r="C1221" t="s">
        <v>31</v>
      </c>
      <c r="D1221" t="s">
        <v>32</v>
      </c>
      <c r="E1221" t="s">
        <v>53</v>
      </c>
      <c r="F1221" t="s">
        <v>67</v>
      </c>
      <c r="G1221" t="s">
        <v>68</v>
      </c>
      <c r="H1221" t="s">
        <v>47</v>
      </c>
      <c r="I1221" t="s">
        <v>111</v>
      </c>
      <c r="J1221" t="s">
        <v>37</v>
      </c>
      <c r="K1221" s="4">
        <v>45897</v>
      </c>
      <c r="L1221" s="4">
        <v>45987</v>
      </c>
      <c r="M1221" t="s">
        <v>38</v>
      </c>
      <c r="N1221" t="s">
        <v>75</v>
      </c>
      <c r="O1221">
        <v>3</v>
      </c>
      <c r="P1221" t="s">
        <v>39</v>
      </c>
      <c r="Q1221" s="4">
        <v>46321</v>
      </c>
      <c r="R1221" t="s">
        <v>84</v>
      </c>
      <c r="S1221" t="s">
        <v>38</v>
      </c>
      <c r="T1221" t="s">
        <v>3153</v>
      </c>
      <c r="U1221" t="s">
        <v>75</v>
      </c>
      <c r="V1221" t="s">
        <v>3154</v>
      </c>
    </row>
    <row r="1222" spans="1:22" x14ac:dyDescent="0.2">
      <c r="A1222" t="s">
        <v>2508</v>
      </c>
      <c r="B1222" t="s">
        <v>2509</v>
      </c>
      <c r="C1222" t="s">
        <v>31</v>
      </c>
      <c r="D1222" t="s">
        <v>83</v>
      </c>
      <c r="E1222" t="s">
        <v>44</v>
      </c>
      <c r="F1222" t="s">
        <v>67</v>
      </c>
      <c r="G1222" t="s">
        <v>118</v>
      </c>
      <c r="H1222" t="s">
        <v>36</v>
      </c>
      <c r="I1222" t="s">
        <v>50</v>
      </c>
      <c r="J1222" t="s">
        <v>63</v>
      </c>
      <c r="K1222" s="4">
        <v>45835</v>
      </c>
      <c r="L1222" s="4">
        <v>45925</v>
      </c>
      <c r="M1222" t="s">
        <v>38</v>
      </c>
      <c r="N1222" t="s">
        <v>75</v>
      </c>
      <c r="O1222">
        <v>0</v>
      </c>
      <c r="P1222" t="s">
        <v>50</v>
      </c>
      <c r="Q1222" s="4">
        <v>46307</v>
      </c>
      <c r="R1222" t="s">
        <v>57</v>
      </c>
      <c r="S1222" t="s">
        <v>38</v>
      </c>
      <c r="T1222" t="s">
        <v>3153</v>
      </c>
      <c r="U1222" t="s">
        <v>75</v>
      </c>
      <c r="V1222" t="s">
        <v>3152</v>
      </c>
    </row>
    <row r="1223" spans="1:22" x14ac:dyDescent="0.2">
      <c r="A1223" t="s">
        <v>2510</v>
      </c>
      <c r="B1223" t="s">
        <v>2511</v>
      </c>
      <c r="C1223" t="s">
        <v>31</v>
      </c>
      <c r="D1223" t="s">
        <v>32</v>
      </c>
      <c r="E1223" t="s">
        <v>91</v>
      </c>
      <c r="F1223" t="s">
        <v>45</v>
      </c>
      <c r="G1223" t="s">
        <v>46</v>
      </c>
      <c r="H1223" t="s">
        <v>88</v>
      </c>
      <c r="I1223" t="s">
        <v>50</v>
      </c>
      <c r="J1223" t="s">
        <v>37</v>
      </c>
      <c r="K1223" s="4">
        <v>46231</v>
      </c>
      <c r="L1223" s="4">
        <v>46411</v>
      </c>
      <c r="M1223" t="s">
        <v>69</v>
      </c>
      <c r="N1223" t="s">
        <v>55</v>
      </c>
      <c r="O1223">
        <v>2</v>
      </c>
      <c r="P1223" t="s">
        <v>62</v>
      </c>
      <c r="Q1223" s="4">
        <v>46391</v>
      </c>
      <c r="R1223" t="s">
        <v>84</v>
      </c>
      <c r="S1223" t="s">
        <v>3155</v>
      </c>
      <c r="T1223" t="s">
        <v>3153</v>
      </c>
      <c r="U1223" t="s">
        <v>55</v>
      </c>
      <c r="V1223" t="s">
        <v>3154</v>
      </c>
    </row>
    <row r="1224" spans="1:22" x14ac:dyDescent="0.2">
      <c r="A1224" t="s">
        <v>2512</v>
      </c>
      <c r="B1224" t="s">
        <v>2513</v>
      </c>
      <c r="C1224" t="s">
        <v>96</v>
      </c>
      <c r="D1224" t="s">
        <v>97</v>
      </c>
      <c r="E1224" t="s">
        <v>91</v>
      </c>
      <c r="F1224" t="s">
        <v>34</v>
      </c>
      <c r="G1224" t="s">
        <v>35</v>
      </c>
      <c r="H1224" t="s">
        <v>47</v>
      </c>
      <c r="J1224" t="s">
        <v>63</v>
      </c>
      <c r="K1224" s="4">
        <v>45942</v>
      </c>
      <c r="L1224" s="4">
        <v>46032</v>
      </c>
      <c r="M1224" t="s">
        <v>38</v>
      </c>
      <c r="N1224" t="s">
        <v>55</v>
      </c>
      <c r="O1224">
        <v>1</v>
      </c>
      <c r="P1224" t="s">
        <v>39</v>
      </c>
      <c r="Q1224" s="4">
        <v>46282</v>
      </c>
      <c r="R1224" t="s">
        <v>38</v>
      </c>
      <c r="S1224" t="s">
        <v>38</v>
      </c>
      <c r="T1224" t="s">
        <v>3150</v>
      </c>
      <c r="U1224" t="s">
        <v>55</v>
      </c>
      <c r="V1224" t="s">
        <v>3154</v>
      </c>
    </row>
    <row r="1225" spans="1:22" x14ac:dyDescent="0.2">
      <c r="A1225" t="s">
        <v>2514</v>
      </c>
      <c r="B1225" t="s">
        <v>2515</v>
      </c>
      <c r="C1225" t="s">
        <v>31</v>
      </c>
      <c r="D1225" t="s">
        <v>87</v>
      </c>
      <c r="E1225" t="s">
        <v>44</v>
      </c>
      <c r="F1225" t="s">
        <v>34</v>
      </c>
      <c r="G1225" t="s">
        <v>35</v>
      </c>
      <c r="H1225" t="s">
        <v>88</v>
      </c>
      <c r="I1225" t="s">
        <v>56</v>
      </c>
      <c r="J1225" t="s">
        <v>37</v>
      </c>
      <c r="K1225" s="4">
        <v>45874</v>
      </c>
      <c r="L1225" s="4">
        <v>46239</v>
      </c>
      <c r="M1225" t="s">
        <v>38</v>
      </c>
      <c r="N1225" t="s">
        <v>55</v>
      </c>
      <c r="O1225">
        <v>1</v>
      </c>
      <c r="P1225" t="s">
        <v>39</v>
      </c>
      <c r="Q1225" s="4">
        <v>46179</v>
      </c>
      <c r="R1225" t="s">
        <v>38</v>
      </c>
      <c r="S1225" t="s">
        <v>38</v>
      </c>
      <c r="T1225" t="s">
        <v>3153</v>
      </c>
      <c r="U1225" t="s">
        <v>55</v>
      </c>
      <c r="V1225" t="s">
        <v>3154</v>
      </c>
    </row>
    <row r="1226" spans="1:22" x14ac:dyDescent="0.2">
      <c r="A1226" t="s">
        <v>2516</v>
      </c>
      <c r="B1226" t="s">
        <v>2517</v>
      </c>
      <c r="C1226" t="s">
        <v>42</v>
      </c>
      <c r="D1226" t="s">
        <v>43</v>
      </c>
      <c r="E1226" t="s">
        <v>91</v>
      </c>
      <c r="F1226" t="s">
        <v>34</v>
      </c>
      <c r="G1226" t="s">
        <v>35</v>
      </c>
      <c r="H1226" t="s">
        <v>36</v>
      </c>
      <c r="I1226" t="s">
        <v>62</v>
      </c>
      <c r="J1226" t="s">
        <v>48</v>
      </c>
      <c r="K1226" s="4">
        <v>45907</v>
      </c>
      <c r="L1226" s="4">
        <v>46272</v>
      </c>
      <c r="M1226" t="s">
        <v>38</v>
      </c>
      <c r="N1226" t="s">
        <v>49</v>
      </c>
      <c r="O1226">
        <v>5</v>
      </c>
      <c r="P1226" t="s">
        <v>56</v>
      </c>
      <c r="Q1226" s="4">
        <v>46243</v>
      </c>
      <c r="R1226" t="s">
        <v>38</v>
      </c>
      <c r="S1226" t="s">
        <v>38</v>
      </c>
      <c r="T1226" t="s">
        <v>3153</v>
      </c>
      <c r="U1226" t="s">
        <v>49</v>
      </c>
      <c r="V1226" t="s">
        <v>3152</v>
      </c>
    </row>
    <row r="1227" spans="1:22" x14ac:dyDescent="0.2">
      <c r="A1227" t="s">
        <v>2518</v>
      </c>
      <c r="B1227" t="s">
        <v>2519</v>
      </c>
      <c r="C1227" t="s">
        <v>96</v>
      </c>
      <c r="D1227" t="s">
        <v>97</v>
      </c>
      <c r="E1227" t="s">
        <v>91</v>
      </c>
      <c r="F1227" t="s">
        <v>34</v>
      </c>
      <c r="G1227" t="s">
        <v>35</v>
      </c>
      <c r="H1227" t="s">
        <v>88</v>
      </c>
      <c r="I1227" t="s">
        <v>70</v>
      </c>
      <c r="J1227" t="s">
        <v>48</v>
      </c>
      <c r="K1227" s="4">
        <v>45944</v>
      </c>
      <c r="L1227" s="4">
        <v>46034</v>
      </c>
      <c r="M1227" t="s">
        <v>38</v>
      </c>
      <c r="N1227" t="s">
        <v>75</v>
      </c>
      <c r="O1227">
        <v>2</v>
      </c>
      <c r="P1227" t="s">
        <v>111</v>
      </c>
      <c r="Q1227" s="4">
        <v>46346</v>
      </c>
      <c r="R1227" t="s">
        <v>84</v>
      </c>
      <c r="S1227" t="s">
        <v>38</v>
      </c>
      <c r="T1227" t="s">
        <v>3153</v>
      </c>
      <c r="U1227" t="s">
        <v>75</v>
      </c>
      <c r="V1227" t="s">
        <v>3154</v>
      </c>
    </row>
    <row r="1228" spans="1:22" x14ac:dyDescent="0.2">
      <c r="A1228" t="s">
        <v>2520</v>
      </c>
      <c r="B1228" t="s">
        <v>2521</v>
      </c>
      <c r="C1228" t="s">
        <v>31</v>
      </c>
      <c r="D1228" t="s">
        <v>83</v>
      </c>
      <c r="E1228" t="s">
        <v>44</v>
      </c>
      <c r="F1228" t="s">
        <v>45</v>
      </c>
      <c r="G1228" t="s">
        <v>61</v>
      </c>
      <c r="H1228" t="s">
        <v>47</v>
      </c>
      <c r="I1228" t="s">
        <v>62</v>
      </c>
      <c r="J1228" t="s">
        <v>63</v>
      </c>
      <c r="K1228" s="4">
        <v>46046</v>
      </c>
      <c r="L1228" s="4">
        <v>46226</v>
      </c>
      <c r="M1228" t="s">
        <v>38</v>
      </c>
      <c r="N1228" t="s">
        <v>75</v>
      </c>
      <c r="O1228">
        <v>1</v>
      </c>
      <c r="P1228" t="s">
        <v>111</v>
      </c>
      <c r="Q1228" s="4">
        <v>46391</v>
      </c>
      <c r="R1228" t="s">
        <v>84</v>
      </c>
      <c r="S1228" t="s">
        <v>38</v>
      </c>
      <c r="T1228" t="s">
        <v>3153</v>
      </c>
      <c r="U1228" t="s">
        <v>75</v>
      </c>
      <c r="V1228" t="s">
        <v>3154</v>
      </c>
    </row>
    <row r="1229" spans="1:22" x14ac:dyDescent="0.2">
      <c r="A1229" t="s">
        <v>2522</v>
      </c>
      <c r="B1229" t="s">
        <v>2523</v>
      </c>
      <c r="C1229" t="s">
        <v>96</v>
      </c>
      <c r="D1229" t="s">
        <v>97</v>
      </c>
      <c r="E1229" t="s">
        <v>105</v>
      </c>
      <c r="F1229" t="s">
        <v>67</v>
      </c>
      <c r="G1229" t="s">
        <v>118</v>
      </c>
      <c r="H1229" t="s">
        <v>98</v>
      </c>
      <c r="I1229" t="s">
        <v>70</v>
      </c>
      <c r="J1229" t="s">
        <v>63</v>
      </c>
      <c r="K1229" s="4">
        <v>45907</v>
      </c>
      <c r="L1229" s="4">
        <v>46272</v>
      </c>
      <c r="M1229" t="s">
        <v>38</v>
      </c>
      <c r="N1229" t="s">
        <v>49</v>
      </c>
      <c r="O1229">
        <v>3</v>
      </c>
      <c r="P1229" t="s">
        <v>50</v>
      </c>
      <c r="Q1229" s="4">
        <v>46368</v>
      </c>
      <c r="R1229" t="s">
        <v>84</v>
      </c>
      <c r="S1229" t="s">
        <v>38</v>
      </c>
      <c r="T1229" t="s">
        <v>3153</v>
      </c>
      <c r="U1229" t="s">
        <v>49</v>
      </c>
      <c r="V1229" t="s">
        <v>3152</v>
      </c>
    </row>
    <row r="1230" spans="1:22" x14ac:dyDescent="0.2">
      <c r="A1230" t="s">
        <v>2524</v>
      </c>
      <c r="B1230" t="s">
        <v>2525</v>
      </c>
      <c r="C1230" t="s">
        <v>31</v>
      </c>
      <c r="D1230" t="s">
        <v>87</v>
      </c>
      <c r="E1230" t="s">
        <v>60</v>
      </c>
      <c r="F1230" t="s">
        <v>34</v>
      </c>
      <c r="G1230" t="s">
        <v>35</v>
      </c>
      <c r="H1230" t="s">
        <v>88</v>
      </c>
      <c r="I1230" t="s">
        <v>50</v>
      </c>
      <c r="J1230" t="s">
        <v>63</v>
      </c>
      <c r="K1230" s="4">
        <v>45847</v>
      </c>
      <c r="L1230" s="4">
        <v>45937</v>
      </c>
      <c r="M1230" t="s">
        <v>38</v>
      </c>
      <c r="N1230" t="s">
        <v>75</v>
      </c>
      <c r="O1230">
        <v>1</v>
      </c>
      <c r="P1230" t="s">
        <v>106</v>
      </c>
      <c r="Q1230" s="4">
        <v>46367</v>
      </c>
      <c r="R1230" t="s">
        <v>84</v>
      </c>
      <c r="S1230" t="s">
        <v>38</v>
      </c>
      <c r="T1230" t="s">
        <v>3153</v>
      </c>
      <c r="U1230" t="s">
        <v>75</v>
      </c>
      <c r="V1230" t="s">
        <v>3154</v>
      </c>
    </row>
    <row r="1231" spans="1:22" x14ac:dyDescent="0.2">
      <c r="A1231" t="s">
        <v>2526</v>
      </c>
      <c r="B1231" t="s">
        <v>2527</v>
      </c>
      <c r="C1231" t="s">
        <v>73</v>
      </c>
      <c r="D1231" t="s">
        <v>74</v>
      </c>
      <c r="E1231" t="s">
        <v>80</v>
      </c>
      <c r="F1231" t="s">
        <v>34</v>
      </c>
      <c r="G1231" t="s">
        <v>35</v>
      </c>
      <c r="H1231" t="s">
        <v>88</v>
      </c>
      <c r="I1231" t="s">
        <v>54</v>
      </c>
      <c r="J1231" t="s">
        <v>37</v>
      </c>
      <c r="K1231" s="4">
        <v>46087</v>
      </c>
      <c r="L1231" s="4">
        <v>46177</v>
      </c>
      <c r="M1231" t="s">
        <v>38</v>
      </c>
      <c r="N1231" t="s">
        <v>49</v>
      </c>
      <c r="O1231">
        <v>2</v>
      </c>
      <c r="P1231" t="s">
        <v>62</v>
      </c>
      <c r="Q1231" s="4">
        <v>46130</v>
      </c>
      <c r="R1231" t="s">
        <v>38</v>
      </c>
      <c r="S1231" t="s">
        <v>38</v>
      </c>
      <c r="T1231" t="s">
        <v>3153</v>
      </c>
      <c r="U1231" t="s">
        <v>49</v>
      </c>
      <c r="V1231" t="s">
        <v>3154</v>
      </c>
    </row>
    <row r="1232" spans="1:22" x14ac:dyDescent="0.2">
      <c r="A1232" t="s">
        <v>2528</v>
      </c>
      <c r="B1232" t="s">
        <v>2529</v>
      </c>
      <c r="C1232" t="s">
        <v>42</v>
      </c>
      <c r="D1232" t="s">
        <v>43</v>
      </c>
      <c r="E1232" t="s">
        <v>91</v>
      </c>
      <c r="F1232" t="s">
        <v>34</v>
      </c>
      <c r="G1232" t="s">
        <v>35</v>
      </c>
      <c r="H1232" t="s">
        <v>88</v>
      </c>
      <c r="I1232" t="s">
        <v>39</v>
      </c>
      <c r="J1232" t="s">
        <v>48</v>
      </c>
      <c r="K1232" s="4">
        <v>46260</v>
      </c>
      <c r="L1232" s="4">
        <v>46625</v>
      </c>
      <c r="M1232" t="s">
        <v>64</v>
      </c>
      <c r="N1232" t="s">
        <v>75</v>
      </c>
      <c r="O1232">
        <v>1</v>
      </c>
      <c r="P1232" t="s">
        <v>62</v>
      </c>
      <c r="Q1232" s="4">
        <v>46290</v>
      </c>
      <c r="R1232" t="s">
        <v>38</v>
      </c>
      <c r="S1232" t="s">
        <v>3155</v>
      </c>
      <c r="T1232" t="s">
        <v>3153</v>
      </c>
      <c r="U1232" t="s">
        <v>75</v>
      </c>
      <c r="V1232" t="s">
        <v>3154</v>
      </c>
    </row>
    <row r="1233" spans="1:22" x14ac:dyDescent="0.2">
      <c r="A1233" t="s">
        <v>2530</v>
      </c>
      <c r="B1233" t="s">
        <v>2531</v>
      </c>
      <c r="C1233" t="s">
        <v>103</v>
      </c>
      <c r="D1233" t="s">
        <v>104</v>
      </c>
      <c r="E1233" t="s">
        <v>44</v>
      </c>
      <c r="F1233" t="s">
        <v>67</v>
      </c>
      <c r="G1233" t="s">
        <v>118</v>
      </c>
      <c r="H1233" t="s">
        <v>47</v>
      </c>
      <c r="I1233" t="s">
        <v>56</v>
      </c>
      <c r="J1233" t="s">
        <v>48</v>
      </c>
      <c r="K1233" s="4">
        <v>46180</v>
      </c>
      <c r="L1233" s="4">
        <v>46545</v>
      </c>
      <c r="M1233" t="s">
        <v>64</v>
      </c>
      <c r="N1233" t="s">
        <v>55</v>
      </c>
      <c r="O1233">
        <v>2</v>
      </c>
      <c r="P1233" t="s">
        <v>70</v>
      </c>
      <c r="Q1233" s="4">
        <v>46315</v>
      </c>
      <c r="R1233" t="s">
        <v>84</v>
      </c>
      <c r="S1233" t="s">
        <v>3155</v>
      </c>
      <c r="T1233" t="s">
        <v>3153</v>
      </c>
      <c r="U1233" t="s">
        <v>55</v>
      </c>
      <c r="V1233" t="s">
        <v>3154</v>
      </c>
    </row>
    <row r="1234" spans="1:22" x14ac:dyDescent="0.2">
      <c r="A1234" t="s">
        <v>2532</v>
      </c>
      <c r="B1234" t="s">
        <v>2533</v>
      </c>
      <c r="C1234" t="s">
        <v>31</v>
      </c>
      <c r="D1234" t="s">
        <v>83</v>
      </c>
      <c r="E1234" t="s">
        <v>44</v>
      </c>
      <c r="F1234" t="s">
        <v>67</v>
      </c>
      <c r="G1234" t="s">
        <v>118</v>
      </c>
      <c r="H1234" t="s">
        <v>47</v>
      </c>
      <c r="I1234" t="s">
        <v>106</v>
      </c>
      <c r="J1234" t="s">
        <v>63</v>
      </c>
      <c r="K1234" s="4">
        <v>46180</v>
      </c>
      <c r="L1234" s="4">
        <v>46545</v>
      </c>
      <c r="M1234" t="s">
        <v>69</v>
      </c>
      <c r="N1234" t="s">
        <v>55</v>
      </c>
      <c r="O1234">
        <v>2</v>
      </c>
      <c r="P1234" t="s">
        <v>54</v>
      </c>
      <c r="Q1234" s="4">
        <v>46314</v>
      </c>
      <c r="R1234" t="s">
        <v>64</v>
      </c>
      <c r="S1234" t="s">
        <v>3155</v>
      </c>
      <c r="T1234" t="s">
        <v>3153</v>
      </c>
      <c r="U1234" t="s">
        <v>55</v>
      </c>
      <c r="V1234" t="s">
        <v>3154</v>
      </c>
    </row>
    <row r="1235" spans="1:22" x14ac:dyDescent="0.2">
      <c r="A1235" t="s">
        <v>2534</v>
      </c>
      <c r="B1235" t="s">
        <v>2535</v>
      </c>
      <c r="C1235" t="s">
        <v>96</v>
      </c>
      <c r="D1235" t="s">
        <v>97</v>
      </c>
      <c r="E1235" t="s">
        <v>53</v>
      </c>
      <c r="F1235" t="s">
        <v>34</v>
      </c>
      <c r="G1235" t="s">
        <v>35</v>
      </c>
      <c r="H1235" t="s">
        <v>88</v>
      </c>
      <c r="I1235" t="s">
        <v>106</v>
      </c>
      <c r="J1235" t="s">
        <v>37</v>
      </c>
      <c r="K1235" s="4">
        <v>46223</v>
      </c>
      <c r="L1235" s="4">
        <v>46313</v>
      </c>
      <c r="M1235" t="s">
        <v>84</v>
      </c>
      <c r="N1235" t="s">
        <v>49</v>
      </c>
      <c r="O1235">
        <v>3</v>
      </c>
      <c r="P1235" t="s">
        <v>62</v>
      </c>
      <c r="Q1235" s="4">
        <v>46304</v>
      </c>
      <c r="R1235" t="s">
        <v>84</v>
      </c>
      <c r="S1235" t="s">
        <v>3155</v>
      </c>
      <c r="T1235" t="s">
        <v>3153</v>
      </c>
      <c r="U1235" t="s">
        <v>49</v>
      </c>
      <c r="V1235" t="s">
        <v>3154</v>
      </c>
    </row>
    <row r="1236" spans="1:22" x14ac:dyDescent="0.2">
      <c r="A1236" t="s">
        <v>2536</v>
      </c>
      <c r="B1236" t="s">
        <v>2537</v>
      </c>
      <c r="C1236" t="s">
        <v>42</v>
      </c>
      <c r="D1236" t="s">
        <v>43</v>
      </c>
      <c r="E1236" t="s">
        <v>105</v>
      </c>
      <c r="F1236" t="s">
        <v>34</v>
      </c>
      <c r="G1236" t="s">
        <v>35</v>
      </c>
      <c r="H1236" t="s">
        <v>88</v>
      </c>
      <c r="I1236" t="s">
        <v>111</v>
      </c>
      <c r="J1236" t="s">
        <v>63</v>
      </c>
      <c r="K1236" s="4">
        <v>45880</v>
      </c>
      <c r="L1236" s="4">
        <v>46245</v>
      </c>
      <c r="M1236" t="s">
        <v>38</v>
      </c>
      <c r="N1236" t="s">
        <v>75</v>
      </c>
      <c r="O1236">
        <v>2</v>
      </c>
      <c r="P1236" t="s">
        <v>70</v>
      </c>
      <c r="Q1236" s="4">
        <v>46229</v>
      </c>
      <c r="R1236" t="s">
        <v>64</v>
      </c>
      <c r="S1236" t="s">
        <v>38</v>
      </c>
      <c r="T1236" t="s">
        <v>3153</v>
      </c>
      <c r="U1236" t="s">
        <v>75</v>
      </c>
      <c r="V1236" t="s">
        <v>3154</v>
      </c>
    </row>
    <row r="1237" spans="1:22" x14ac:dyDescent="0.2">
      <c r="A1237" t="s">
        <v>2538</v>
      </c>
      <c r="B1237" t="s">
        <v>2539</v>
      </c>
      <c r="C1237" t="s">
        <v>42</v>
      </c>
      <c r="D1237" t="s">
        <v>43</v>
      </c>
      <c r="E1237" t="s">
        <v>105</v>
      </c>
      <c r="F1237" t="s">
        <v>34</v>
      </c>
      <c r="G1237" t="s">
        <v>35</v>
      </c>
      <c r="H1237" t="s">
        <v>36</v>
      </c>
      <c r="I1237" t="s">
        <v>111</v>
      </c>
      <c r="J1237" t="s">
        <v>48</v>
      </c>
      <c r="K1237" s="4">
        <v>46191</v>
      </c>
      <c r="L1237" s="4">
        <v>46281</v>
      </c>
      <c r="M1237" t="s">
        <v>38</v>
      </c>
      <c r="N1237" t="s">
        <v>55</v>
      </c>
      <c r="O1237">
        <v>4</v>
      </c>
      <c r="P1237" t="s">
        <v>70</v>
      </c>
      <c r="Q1237" s="4">
        <v>46285</v>
      </c>
      <c r="R1237" t="s">
        <v>38</v>
      </c>
      <c r="S1237" t="s">
        <v>38</v>
      </c>
      <c r="T1237" t="s">
        <v>3153</v>
      </c>
      <c r="U1237" t="s">
        <v>55</v>
      </c>
      <c r="V1237" t="s">
        <v>3152</v>
      </c>
    </row>
    <row r="1238" spans="1:22" x14ac:dyDescent="0.2">
      <c r="A1238" t="s">
        <v>2540</v>
      </c>
      <c r="B1238" t="s">
        <v>2541</v>
      </c>
      <c r="C1238" t="s">
        <v>31</v>
      </c>
      <c r="D1238" t="s">
        <v>83</v>
      </c>
      <c r="E1238" t="s">
        <v>80</v>
      </c>
      <c r="F1238" t="s">
        <v>67</v>
      </c>
      <c r="G1238" t="s">
        <v>68</v>
      </c>
      <c r="H1238" t="s">
        <v>88</v>
      </c>
      <c r="I1238" t="s">
        <v>106</v>
      </c>
      <c r="J1238" t="s">
        <v>63</v>
      </c>
      <c r="K1238" s="4">
        <v>46125</v>
      </c>
      <c r="L1238" s="4">
        <v>46305</v>
      </c>
      <c r="M1238" t="s">
        <v>64</v>
      </c>
      <c r="N1238" t="s">
        <v>75</v>
      </c>
      <c r="O1238">
        <v>1</v>
      </c>
      <c r="P1238" t="s">
        <v>54</v>
      </c>
      <c r="Q1238" s="4">
        <v>46169</v>
      </c>
      <c r="R1238" t="s">
        <v>64</v>
      </c>
      <c r="S1238" t="s">
        <v>3155</v>
      </c>
      <c r="T1238" t="s">
        <v>3153</v>
      </c>
      <c r="U1238" t="s">
        <v>75</v>
      </c>
      <c r="V1238" t="s">
        <v>3154</v>
      </c>
    </row>
    <row r="1239" spans="1:22" x14ac:dyDescent="0.2">
      <c r="A1239" t="s">
        <v>2542</v>
      </c>
      <c r="B1239" t="s">
        <v>2543</v>
      </c>
      <c r="C1239" t="s">
        <v>42</v>
      </c>
      <c r="D1239" t="s">
        <v>43</v>
      </c>
      <c r="E1239" t="s">
        <v>91</v>
      </c>
      <c r="F1239" t="s">
        <v>67</v>
      </c>
      <c r="G1239" t="s">
        <v>118</v>
      </c>
      <c r="H1239" t="s">
        <v>36</v>
      </c>
      <c r="I1239" t="s">
        <v>70</v>
      </c>
      <c r="J1239" t="s">
        <v>48</v>
      </c>
      <c r="K1239" s="4">
        <v>46154</v>
      </c>
      <c r="L1239" s="4">
        <v>46334</v>
      </c>
      <c r="M1239" t="s">
        <v>64</v>
      </c>
      <c r="N1239" t="s">
        <v>75</v>
      </c>
      <c r="O1239">
        <v>0</v>
      </c>
      <c r="P1239" t="s">
        <v>70</v>
      </c>
      <c r="Q1239" s="4">
        <v>46123</v>
      </c>
      <c r="R1239" t="s">
        <v>57</v>
      </c>
      <c r="S1239" t="s">
        <v>3155</v>
      </c>
      <c r="T1239" t="s">
        <v>3153</v>
      </c>
      <c r="U1239" t="s">
        <v>75</v>
      </c>
      <c r="V1239" t="s">
        <v>3152</v>
      </c>
    </row>
    <row r="1240" spans="1:22" x14ac:dyDescent="0.2">
      <c r="A1240" t="s">
        <v>2544</v>
      </c>
      <c r="B1240" t="s">
        <v>2545</v>
      </c>
      <c r="C1240" t="s">
        <v>96</v>
      </c>
      <c r="D1240" t="s">
        <v>97</v>
      </c>
      <c r="E1240" t="s">
        <v>105</v>
      </c>
      <c r="F1240" t="s">
        <v>67</v>
      </c>
      <c r="G1240" t="s">
        <v>68</v>
      </c>
      <c r="H1240" t="s">
        <v>36</v>
      </c>
      <c r="I1240" t="s">
        <v>50</v>
      </c>
      <c r="J1240" t="s">
        <v>48</v>
      </c>
      <c r="K1240" s="4">
        <v>46042</v>
      </c>
      <c r="L1240" s="4">
        <v>46222</v>
      </c>
      <c r="M1240" t="s">
        <v>38</v>
      </c>
      <c r="N1240" t="s">
        <v>49</v>
      </c>
      <c r="O1240">
        <v>4</v>
      </c>
      <c r="P1240" t="s">
        <v>50</v>
      </c>
      <c r="Q1240" s="4">
        <v>46177</v>
      </c>
      <c r="R1240" t="s">
        <v>38</v>
      </c>
      <c r="S1240" t="s">
        <v>38</v>
      </c>
      <c r="T1240" t="s">
        <v>3153</v>
      </c>
      <c r="U1240" t="s">
        <v>49</v>
      </c>
      <c r="V1240" t="s">
        <v>3152</v>
      </c>
    </row>
    <row r="1241" spans="1:22" x14ac:dyDescent="0.2">
      <c r="A1241" t="s">
        <v>2546</v>
      </c>
      <c r="B1241" t="s">
        <v>2547</v>
      </c>
      <c r="C1241" t="s">
        <v>31</v>
      </c>
      <c r="D1241" t="s">
        <v>83</v>
      </c>
      <c r="E1241" t="s">
        <v>53</v>
      </c>
      <c r="F1241" t="s">
        <v>67</v>
      </c>
      <c r="G1241" t="s">
        <v>68</v>
      </c>
      <c r="H1241" t="s">
        <v>88</v>
      </c>
      <c r="I1241" t="s">
        <v>54</v>
      </c>
      <c r="J1241" t="s">
        <v>63</v>
      </c>
      <c r="K1241" s="4">
        <v>45843</v>
      </c>
      <c r="L1241" s="4">
        <v>46208</v>
      </c>
      <c r="M1241" t="s">
        <v>38</v>
      </c>
      <c r="N1241" t="s">
        <v>49</v>
      </c>
      <c r="O1241">
        <v>2</v>
      </c>
      <c r="P1241" t="s">
        <v>62</v>
      </c>
      <c r="Q1241" s="4">
        <v>46320</v>
      </c>
      <c r="R1241" t="s">
        <v>64</v>
      </c>
      <c r="S1241" t="s">
        <v>38</v>
      </c>
      <c r="T1241" t="s">
        <v>3153</v>
      </c>
      <c r="U1241" t="s">
        <v>49</v>
      </c>
      <c r="V1241" t="s">
        <v>3154</v>
      </c>
    </row>
    <row r="1242" spans="1:22" x14ac:dyDescent="0.2">
      <c r="A1242" t="s">
        <v>2548</v>
      </c>
      <c r="B1242" t="s">
        <v>2549</v>
      </c>
      <c r="C1242" t="s">
        <v>31</v>
      </c>
      <c r="D1242" t="s">
        <v>83</v>
      </c>
      <c r="E1242" t="s">
        <v>53</v>
      </c>
      <c r="F1242" t="s">
        <v>67</v>
      </c>
      <c r="G1242" t="s">
        <v>68</v>
      </c>
      <c r="H1242" t="s">
        <v>36</v>
      </c>
      <c r="I1242" t="s">
        <v>62</v>
      </c>
      <c r="J1242" t="s">
        <v>37</v>
      </c>
      <c r="K1242" s="4">
        <v>45870</v>
      </c>
      <c r="L1242" s="4">
        <v>46050</v>
      </c>
      <c r="M1242" t="s">
        <v>38</v>
      </c>
      <c r="N1242" t="s">
        <v>49</v>
      </c>
      <c r="O1242">
        <v>3</v>
      </c>
      <c r="P1242" t="s">
        <v>106</v>
      </c>
      <c r="Q1242" s="4">
        <v>46258</v>
      </c>
      <c r="R1242" t="s">
        <v>64</v>
      </c>
      <c r="S1242" t="s">
        <v>38</v>
      </c>
      <c r="T1242" t="s">
        <v>3153</v>
      </c>
      <c r="U1242" t="s">
        <v>49</v>
      </c>
      <c r="V1242" t="s">
        <v>3152</v>
      </c>
    </row>
    <row r="1243" spans="1:22" x14ac:dyDescent="0.2">
      <c r="A1243" t="s">
        <v>2550</v>
      </c>
      <c r="B1243" t="s">
        <v>2551</v>
      </c>
      <c r="C1243" t="s">
        <v>73</v>
      </c>
      <c r="D1243" t="s">
        <v>74</v>
      </c>
      <c r="E1243" t="s">
        <v>91</v>
      </c>
      <c r="F1243" t="s">
        <v>34</v>
      </c>
      <c r="G1243" t="s">
        <v>35</v>
      </c>
      <c r="H1243" t="s">
        <v>36</v>
      </c>
      <c r="I1243" t="s">
        <v>56</v>
      </c>
      <c r="J1243" t="s">
        <v>63</v>
      </c>
      <c r="K1243" s="4">
        <v>45998</v>
      </c>
      <c r="L1243" s="4">
        <v>46363</v>
      </c>
      <c r="M1243" t="s">
        <v>64</v>
      </c>
      <c r="N1243" t="s">
        <v>49</v>
      </c>
      <c r="O1243">
        <v>3</v>
      </c>
      <c r="P1243" t="s">
        <v>56</v>
      </c>
      <c r="Q1243" s="4">
        <v>46301</v>
      </c>
      <c r="R1243" t="s">
        <v>84</v>
      </c>
      <c r="S1243" t="s">
        <v>3155</v>
      </c>
      <c r="T1243" t="s">
        <v>3153</v>
      </c>
      <c r="U1243" t="s">
        <v>49</v>
      </c>
      <c r="V1243" t="s">
        <v>3152</v>
      </c>
    </row>
    <row r="1244" spans="1:22" x14ac:dyDescent="0.2">
      <c r="A1244" t="s">
        <v>2552</v>
      </c>
      <c r="B1244" t="s">
        <v>2553</v>
      </c>
      <c r="C1244" t="s">
        <v>31</v>
      </c>
      <c r="D1244" t="s">
        <v>87</v>
      </c>
      <c r="E1244" t="s">
        <v>53</v>
      </c>
      <c r="F1244" t="s">
        <v>45</v>
      </c>
      <c r="G1244" t="s">
        <v>46</v>
      </c>
      <c r="H1244" t="s">
        <v>98</v>
      </c>
      <c r="I1244" t="s">
        <v>70</v>
      </c>
      <c r="J1244" t="s">
        <v>48</v>
      </c>
      <c r="K1244" s="4">
        <v>46233</v>
      </c>
      <c r="L1244" s="4">
        <v>46598</v>
      </c>
      <c r="M1244" t="s">
        <v>64</v>
      </c>
      <c r="N1244" t="s">
        <v>75</v>
      </c>
      <c r="O1244">
        <v>0</v>
      </c>
      <c r="P1244" t="s">
        <v>50</v>
      </c>
      <c r="Q1244" s="4">
        <v>46184</v>
      </c>
      <c r="R1244" t="s">
        <v>57</v>
      </c>
      <c r="S1244" t="s">
        <v>3155</v>
      </c>
      <c r="T1244" t="s">
        <v>3153</v>
      </c>
      <c r="U1244" t="s">
        <v>75</v>
      </c>
      <c r="V1244" t="s">
        <v>3152</v>
      </c>
    </row>
    <row r="1245" spans="1:22" x14ac:dyDescent="0.2">
      <c r="A1245" t="s">
        <v>2554</v>
      </c>
      <c r="B1245" t="s">
        <v>2555</v>
      </c>
      <c r="C1245" t="s">
        <v>31</v>
      </c>
      <c r="D1245" t="s">
        <v>87</v>
      </c>
      <c r="E1245" t="s">
        <v>91</v>
      </c>
      <c r="F1245" t="s">
        <v>67</v>
      </c>
      <c r="G1245" t="s">
        <v>118</v>
      </c>
      <c r="H1245" t="s">
        <v>47</v>
      </c>
      <c r="I1245" t="s">
        <v>54</v>
      </c>
      <c r="J1245" t="s">
        <v>37</v>
      </c>
      <c r="K1245" s="4">
        <v>46238</v>
      </c>
      <c r="L1245" s="4">
        <v>46328</v>
      </c>
      <c r="M1245" t="s">
        <v>64</v>
      </c>
      <c r="N1245" t="s">
        <v>55</v>
      </c>
      <c r="O1245">
        <v>2</v>
      </c>
      <c r="P1245" t="s">
        <v>111</v>
      </c>
      <c r="Q1245" s="4">
        <v>46277</v>
      </c>
      <c r="R1245" t="s">
        <v>64</v>
      </c>
      <c r="S1245" t="s">
        <v>3155</v>
      </c>
      <c r="T1245" t="s">
        <v>3153</v>
      </c>
      <c r="U1245" t="s">
        <v>55</v>
      </c>
      <c r="V1245" t="s">
        <v>3154</v>
      </c>
    </row>
    <row r="1246" spans="1:22" x14ac:dyDescent="0.2">
      <c r="A1246" t="s">
        <v>2556</v>
      </c>
      <c r="B1246" t="s">
        <v>2557</v>
      </c>
      <c r="C1246" t="s">
        <v>78</v>
      </c>
      <c r="D1246" t="s">
        <v>79</v>
      </c>
      <c r="E1246" t="s">
        <v>91</v>
      </c>
      <c r="F1246" t="s">
        <v>45</v>
      </c>
      <c r="G1246" t="s">
        <v>46</v>
      </c>
      <c r="H1246" t="s">
        <v>88</v>
      </c>
      <c r="I1246" t="s">
        <v>50</v>
      </c>
      <c r="J1246" t="s">
        <v>63</v>
      </c>
      <c r="K1246" s="4">
        <v>45926</v>
      </c>
      <c r="L1246" s="4">
        <v>46016</v>
      </c>
      <c r="M1246" t="s">
        <v>38</v>
      </c>
      <c r="N1246" t="s">
        <v>75</v>
      </c>
      <c r="O1246">
        <v>2</v>
      </c>
      <c r="P1246" t="s">
        <v>111</v>
      </c>
      <c r="Q1246" s="4">
        <v>46260</v>
      </c>
      <c r="R1246" t="s">
        <v>38</v>
      </c>
      <c r="S1246" t="s">
        <v>38</v>
      </c>
      <c r="T1246" t="s">
        <v>3153</v>
      </c>
      <c r="U1246" t="s">
        <v>75</v>
      </c>
      <c r="V1246" t="s">
        <v>3154</v>
      </c>
    </row>
    <row r="1247" spans="1:22" x14ac:dyDescent="0.2">
      <c r="A1247" t="s">
        <v>2558</v>
      </c>
      <c r="B1247" t="s">
        <v>2559</v>
      </c>
      <c r="C1247" t="s">
        <v>42</v>
      </c>
      <c r="D1247" t="s">
        <v>43</v>
      </c>
      <c r="E1247" t="s">
        <v>91</v>
      </c>
      <c r="F1247" t="s">
        <v>45</v>
      </c>
      <c r="G1247" t="s">
        <v>61</v>
      </c>
      <c r="H1247" t="s">
        <v>98</v>
      </c>
      <c r="I1247" t="s">
        <v>54</v>
      </c>
      <c r="J1247" t="s">
        <v>37</v>
      </c>
      <c r="K1247" s="4">
        <v>46059</v>
      </c>
      <c r="L1247" s="4">
        <v>46239</v>
      </c>
      <c r="M1247" t="s">
        <v>38</v>
      </c>
      <c r="O1247">
        <v>5</v>
      </c>
      <c r="P1247" t="s">
        <v>50</v>
      </c>
      <c r="Q1247" s="4">
        <v>46340</v>
      </c>
      <c r="R1247" t="s">
        <v>84</v>
      </c>
      <c r="S1247" t="s">
        <v>38</v>
      </c>
      <c r="T1247" t="s">
        <v>3153</v>
      </c>
      <c r="U1247" t="s">
        <v>3151</v>
      </c>
      <c r="V1247" t="s">
        <v>3152</v>
      </c>
    </row>
    <row r="1248" spans="1:22" x14ac:dyDescent="0.2">
      <c r="A1248" t="s">
        <v>2560</v>
      </c>
      <c r="B1248" t="s">
        <v>2561</v>
      </c>
      <c r="C1248" t="s">
        <v>31</v>
      </c>
      <c r="D1248" t="s">
        <v>83</v>
      </c>
      <c r="E1248" t="s">
        <v>44</v>
      </c>
      <c r="F1248" t="s">
        <v>34</v>
      </c>
      <c r="G1248" t="s">
        <v>35</v>
      </c>
      <c r="H1248" t="s">
        <v>88</v>
      </c>
      <c r="I1248" t="s">
        <v>50</v>
      </c>
      <c r="J1248" t="s">
        <v>63</v>
      </c>
      <c r="K1248" s="4">
        <v>45805</v>
      </c>
      <c r="L1248" s="4">
        <v>45985</v>
      </c>
      <c r="M1248" t="s">
        <v>38</v>
      </c>
      <c r="N1248" t="s">
        <v>75</v>
      </c>
      <c r="O1248">
        <v>1</v>
      </c>
      <c r="P1248" t="s">
        <v>70</v>
      </c>
      <c r="Q1248" s="4">
        <v>46150</v>
      </c>
      <c r="R1248" t="s">
        <v>38</v>
      </c>
      <c r="S1248" t="s">
        <v>38</v>
      </c>
      <c r="T1248" t="s">
        <v>3153</v>
      </c>
      <c r="U1248" t="s">
        <v>75</v>
      </c>
      <c r="V1248" t="s">
        <v>3154</v>
      </c>
    </row>
    <row r="1249" spans="1:22" x14ac:dyDescent="0.2">
      <c r="A1249" t="s">
        <v>2562</v>
      </c>
      <c r="B1249" t="s">
        <v>2563</v>
      </c>
      <c r="C1249" t="s">
        <v>31</v>
      </c>
      <c r="D1249" t="s">
        <v>32</v>
      </c>
      <c r="E1249" t="s">
        <v>44</v>
      </c>
      <c r="F1249" t="s">
        <v>34</v>
      </c>
      <c r="G1249" t="s">
        <v>35</v>
      </c>
      <c r="H1249" t="s">
        <v>36</v>
      </c>
      <c r="I1249" t="s">
        <v>50</v>
      </c>
      <c r="J1249" t="s">
        <v>37</v>
      </c>
      <c r="K1249" s="4">
        <v>46173</v>
      </c>
      <c r="L1249" s="4">
        <v>46538</v>
      </c>
      <c r="M1249" t="s">
        <v>64</v>
      </c>
      <c r="N1249" t="s">
        <v>49</v>
      </c>
      <c r="O1249">
        <v>0</v>
      </c>
      <c r="P1249" t="s">
        <v>39</v>
      </c>
      <c r="Q1249" s="4">
        <v>46271</v>
      </c>
      <c r="R1249" t="s">
        <v>57</v>
      </c>
      <c r="S1249" t="s">
        <v>3155</v>
      </c>
      <c r="T1249" t="s">
        <v>3153</v>
      </c>
      <c r="U1249" t="s">
        <v>49</v>
      </c>
      <c r="V1249" t="s">
        <v>3152</v>
      </c>
    </row>
    <row r="1250" spans="1:22" x14ac:dyDescent="0.2">
      <c r="A1250" t="s">
        <v>2564</v>
      </c>
      <c r="B1250" t="s">
        <v>2565</v>
      </c>
      <c r="C1250" t="s">
        <v>31</v>
      </c>
      <c r="D1250" t="s">
        <v>32</v>
      </c>
      <c r="E1250" t="s">
        <v>80</v>
      </c>
      <c r="F1250" t="s">
        <v>45</v>
      </c>
      <c r="G1250" t="s">
        <v>46</v>
      </c>
      <c r="H1250" t="s">
        <v>47</v>
      </c>
      <c r="I1250" t="s">
        <v>50</v>
      </c>
      <c r="J1250" t="s">
        <v>37</v>
      </c>
      <c r="K1250" s="4">
        <v>46171</v>
      </c>
      <c r="L1250" s="4">
        <v>46536</v>
      </c>
      <c r="M1250" t="s">
        <v>69</v>
      </c>
      <c r="N1250" t="s">
        <v>55</v>
      </c>
      <c r="O1250">
        <v>1</v>
      </c>
      <c r="P1250" t="s">
        <v>50</v>
      </c>
      <c r="Q1250" s="4">
        <v>46356</v>
      </c>
      <c r="R1250" t="s">
        <v>84</v>
      </c>
      <c r="S1250" t="s">
        <v>3155</v>
      </c>
      <c r="T1250" t="s">
        <v>3153</v>
      </c>
      <c r="U1250" t="s">
        <v>55</v>
      </c>
      <c r="V1250" t="s">
        <v>3154</v>
      </c>
    </row>
    <row r="1251" spans="1:22" x14ac:dyDescent="0.2">
      <c r="A1251" t="s">
        <v>2566</v>
      </c>
      <c r="B1251" t="s">
        <v>2567</v>
      </c>
      <c r="C1251" t="s">
        <v>31</v>
      </c>
      <c r="D1251" t="s">
        <v>83</v>
      </c>
      <c r="E1251" t="s">
        <v>80</v>
      </c>
      <c r="F1251" t="s">
        <v>45</v>
      </c>
      <c r="G1251" t="s">
        <v>61</v>
      </c>
      <c r="H1251" t="s">
        <v>88</v>
      </c>
      <c r="I1251" t="s">
        <v>56</v>
      </c>
      <c r="J1251" t="s">
        <v>63</v>
      </c>
      <c r="K1251" s="4">
        <v>45893</v>
      </c>
      <c r="L1251" s="4">
        <v>46073</v>
      </c>
      <c r="M1251" t="s">
        <v>38</v>
      </c>
      <c r="N1251" t="s">
        <v>49</v>
      </c>
      <c r="O1251">
        <v>2</v>
      </c>
      <c r="P1251" t="s">
        <v>39</v>
      </c>
      <c r="Q1251" s="4">
        <v>46362</v>
      </c>
      <c r="R1251" t="s">
        <v>64</v>
      </c>
      <c r="S1251" t="s">
        <v>38</v>
      </c>
      <c r="T1251" t="s">
        <v>3153</v>
      </c>
      <c r="U1251" t="s">
        <v>49</v>
      </c>
      <c r="V1251" t="s">
        <v>3154</v>
      </c>
    </row>
    <row r="1252" spans="1:22" x14ac:dyDescent="0.2">
      <c r="A1252" t="s">
        <v>2568</v>
      </c>
      <c r="B1252" t="s">
        <v>2569</v>
      </c>
      <c r="C1252" t="s">
        <v>31</v>
      </c>
      <c r="D1252" t="s">
        <v>83</v>
      </c>
      <c r="E1252" t="s">
        <v>60</v>
      </c>
      <c r="F1252" t="s">
        <v>67</v>
      </c>
      <c r="G1252" t="s">
        <v>68</v>
      </c>
      <c r="H1252" t="s">
        <v>47</v>
      </c>
      <c r="I1252" t="s">
        <v>111</v>
      </c>
      <c r="J1252" t="s">
        <v>37</v>
      </c>
      <c r="K1252" s="4">
        <v>46080</v>
      </c>
      <c r="L1252" s="4">
        <v>46445</v>
      </c>
      <c r="M1252" t="s">
        <v>84</v>
      </c>
      <c r="N1252" t="s">
        <v>75</v>
      </c>
      <c r="O1252">
        <v>0</v>
      </c>
      <c r="P1252" t="s">
        <v>70</v>
      </c>
      <c r="Q1252" s="4">
        <v>46396</v>
      </c>
      <c r="R1252" t="s">
        <v>57</v>
      </c>
      <c r="S1252" t="s">
        <v>3155</v>
      </c>
      <c r="T1252" t="s">
        <v>3153</v>
      </c>
      <c r="U1252" t="s">
        <v>75</v>
      </c>
      <c r="V1252" t="s">
        <v>3154</v>
      </c>
    </row>
    <row r="1253" spans="1:22" x14ac:dyDescent="0.2">
      <c r="A1253" t="s">
        <v>2570</v>
      </c>
      <c r="B1253" t="s">
        <v>2571</v>
      </c>
      <c r="C1253" t="s">
        <v>31</v>
      </c>
      <c r="D1253" t="s">
        <v>83</v>
      </c>
      <c r="E1253" t="s">
        <v>44</v>
      </c>
      <c r="F1253" t="s">
        <v>34</v>
      </c>
      <c r="G1253" t="s">
        <v>35</v>
      </c>
      <c r="H1253" t="s">
        <v>47</v>
      </c>
      <c r="I1253" t="s">
        <v>54</v>
      </c>
      <c r="J1253" t="s">
        <v>63</v>
      </c>
      <c r="K1253" s="4">
        <v>46174</v>
      </c>
      <c r="L1253" s="4">
        <v>46354</v>
      </c>
      <c r="M1253" t="s">
        <v>84</v>
      </c>
      <c r="N1253" t="s">
        <v>49</v>
      </c>
      <c r="O1253">
        <v>1</v>
      </c>
      <c r="P1253" t="s">
        <v>54</v>
      </c>
      <c r="Q1253" s="4">
        <v>46129</v>
      </c>
      <c r="R1253" t="s">
        <v>64</v>
      </c>
      <c r="S1253" t="s">
        <v>3155</v>
      </c>
      <c r="T1253" t="s">
        <v>3153</v>
      </c>
      <c r="U1253" t="s">
        <v>49</v>
      </c>
      <c r="V1253" t="s">
        <v>3154</v>
      </c>
    </row>
    <row r="1254" spans="1:22" x14ac:dyDescent="0.2">
      <c r="A1254" t="s">
        <v>2572</v>
      </c>
      <c r="B1254" t="s">
        <v>2573</v>
      </c>
      <c r="C1254" t="s">
        <v>103</v>
      </c>
      <c r="D1254" t="s">
        <v>104</v>
      </c>
      <c r="E1254" t="s">
        <v>44</v>
      </c>
      <c r="F1254" t="s">
        <v>34</v>
      </c>
      <c r="G1254" t="s">
        <v>35</v>
      </c>
      <c r="H1254" t="s">
        <v>98</v>
      </c>
      <c r="I1254" t="s">
        <v>62</v>
      </c>
      <c r="J1254" t="s">
        <v>63</v>
      </c>
      <c r="K1254" s="4">
        <v>45866</v>
      </c>
      <c r="L1254" s="4">
        <v>46046</v>
      </c>
      <c r="M1254" t="s">
        <v>38</v>
      </c>
      <c r="N1254" t="s">
        <v>49</v>
      </c>
      <c r="O1254">
        <v>4</v>
      </c>
      <c r="P1254" t="s">
        <v>50</v>
      </c>
      <c r="Q1254" s="4">
        <v>46153</v>
      </c>
      <c r="R1254" t="s">
        <v>38</v>
      </c>
      <c r="S1254" t="s">
        <v>38</v>
      </c>
      <c r="T1254" t="s">
        <v>3153</v>
      </c>
      <c r="U1254" t="s">
        <v>49</v>
      </c>
      <c r="V1254" t="s">
        <v>3152</v>
      </c>
    </row>
    <row r="1255" spans="1:22" x14ac:dyDescent="0.2">
      <c r="A1255" t="s">
        <v>2574</v>
      </c>
      <c r="B1255" t="s">
        <v>2575</v>
      </c>
      <c r="C1255" t="s">
        <v>42</v>
      </c>
      <c r="D1255" t="s">
        <v>43</v>
      </c>
      <c r="E1255" t="s">
        <v>53</v>
      </c>
      <c r="F1255" t="s">
        <v>45</v>
      </c>
      <c r="G1255" t="s">
        <v>46</v>
      </c>
      <c r="H1255" t="s">
        <v>88</v>
      </c>
      <c r="I1255" t="s">
        <v>54</v>
      </c>
      <c r="J1255" t="s">
        <v>37</v>
      </c>
      <c r="K1255" s="4">
        <v>45871</v>
      </c>
      <c r="L1255" s="4">
        <v>46236</v>
      </c>
      <c r="M1255" t="s">
        <v>38</v>
      </c>
      <c r="N1255" t="s">
        <v>49</v>
      </c>
      <c r="O1255">
        <v>1</v>
      </c>
      <c r="P1255" t="s">
        <v>70</v>
      </c>
      <c r="Q1255" s="4">
        <v>46278</v>
      </c>
      <c r="R1255" t="s">
        <v>38</v>
      </c>
      <c r="S1255" t="s">
        <v>38</v>
      </c>
      <c r="T1255" t="s">
        <v>3153</v>
      </c>
      <c r="U1255" t="s">
        <v>49</v>
      </c>
      <c r="V1255" t="s">
        <v>3154</v>
      </c>
    </row>
    <row r="1256" spans="1:22" x14ac:dyDescent="0.2">
      <c r="A1256" t="s">
        <v>2576</v>
      </c>
      <c r="B1256" t="s">
        <v>2577</v>
      </c>
      <c r="C1256" t="s">
        <v>73</v>
      </c>
      <c r="D1256" t="s">
        <v>74</v>
      </c>
      <c r="E1256" t="s">
        <v>91</v>
      </c>
      <c r="F1256" t="s">
        <v>67</v>
      </c>
      <c r="G1256" t="s">
        <v>118</v>
      </c>
      <c r="H1256" t="s">
        <v>36</v>
      </c>
      <c r="I1256" t="s">
        <v>111</v>
      </c>
      <c r="J1256" t="s">
        <v>37</v>
      </c>
      <c r="K1256" s="4">
        <v>46163</v>
      </c>
      <c r="L1256" s="4">
        <v>46253</v>
      </c>
      <c r="M1256" t="s">
        <v>38</v>
      </c>
      <c r="N1256" t="s">
        <v>75</v>
      </c>
      <c r="O1256">
        <v>2</v>
      </c>
      <c r="P1256" t="s">
        <v>111</v>
      </c>
      <c r="Q1256" s="4">
        <v>46241</v>
      </c>
      <c r="R1256" t="s">
        <v>38</v>
      </c>
      <c r="S1256" t="s">
        <v>38</v>
      </c>
      <c r="T1256" t="s">
        <v>3153</v>
      </c>
      <c r="U1256" t="s">
        <v>75</v>
      </c>
      <c r="V1256" t="s">
        <v>3152</v>
      </c>
    </row>
    <row r="1257" spans="1:22" x14ac:dyDescent="0.2">
      <c r="A1257" t="s">
        <v>2578</v>
      </c>
      <c r="B1257" t="s">
        <v>2579</v>
      </c>
      <c r="C1257" t="s">
        <v>96</v>
      </c>
      <c r="D1257" t="s">
        <v>97</v>
      </c>
      <c r="E1257" t="s">
        <v>44</v>
      </c>
      <c r="F1257" t="s">
        <v>34</v>
      </c>
      <c r="G1257" t="s">
        <v>35</v>
      </c>
      <c r="H1257" t="s">
        <v>36</v>
      </c>
      <c r="I1257" t="s">
        <v>111</v>
      </c>
      <c r="J1257" t="s">
        <v>63</v>
      </c>
      <c r="K1257" s="4">
        <v>46274</v>
      </c>
      <c r="L1257" s="4">
        <v>46364</v>
      </c>
      <c r="M1257" t="s">
        <v>69</v>
      </c>
      <c r="N1257" t="s">
        <v>55</v>
      </c>
      <c r="O1257">
        <v>1</v>
      </c>
      <c r="P1257" t="s">
        <v>111</v>
      </c>
      <c r="Q1257" s="4">
        <v>46143</v>
      </c>
      <c r="R1257" t="s">
        <v>64</v>
      </c>
      <c r="S1257" t="s">
        <v>3155</v>
      </c>
      <c r="T1257" t="s">
        <v>3153</v>
      </c>
      <c r="U1257" t="s">
        <v>55</v>
      </c>
      <c r="V1257" t="s">
        <v>3152</v>
      </c>
    </row>
    <row r="1258" spans="1:22" x14ac:dyDescent="0.2">
      <c r="A1258" t="s">
        <v>2580</v>
      </c>
      <c r="B1258" t="s">
        <v>2581</v>
      </c>
      <c r="C1258" t="s">
        <v>31</v>
      </c>
      <c r="D1258" t="s">
        <v>32</v>
      </c>
      <c r="E1258" t="s">
        <v>44</v>
      </c>
      <c r="F1258" t="s">
        <v>34</v>
      </c>
      <c r="G1258" t="s">
        <v>35</v>
      </c>
      <c r="H1258" t="s">
        <v>88</v>
      </c>
      <c r="I1258" t="s">
        <v>106</v>
      </c>
      <c r="J1258" t="s">
        <v>37</v>
      </c>
      <c r="K1258" s="4">
        <v>46205</v>
      </c>
      <c r="L1258" s="4">
        <v>46570</v>
      </c>
      <c r="M1258" t="s">
        <v>84</v>
      </c>
      <c r="N1258" t="s">
        <v>55</v>
      </c>
      <c r="O1258">
        <v>1</v>
      </c>
      <c r="P1258" t="s">
        <v>62</v>
      </c>
      <c r="Q1258" s="4">
        <v>46129</v>
      </c>
      <c r="R1258" t="s">
        <v>38</v>
      </c>
      <c r="S1258" t="s">
        <v>3155</v>
      </c>
      <c r="T1258" t="s">
        <v>3153</v>
      </c>
      <c r="U1258" t="s">
        <v>55</v>
      </c>
      <c r="V1258" t="s">
        <v>3154</v>
      </c>
    </row>
    <row r="1259" spans="1:22" x14ac:dyDescent="0.2">
      <c r="A1259" t="s">
        <v>2582</v>
      </c>
      <c r="B1259" t="s">
        <v>2583</v>
      </c>
      <c r="C1259" t="s">
        <v>96</v>
      </c>
      <c r="D1259" t="s">
        <v>97</v>
      </c>
      <c r="E1259" t="s">
        <v>60</v>
      </c>
      <c r="F1259" t="s">
        <v>34</v>
      </c>
      <c r="G1259" t="s">
        <v>35</v>
      </c>
      <c r="H1259" t="s">
        <v>47</v>
      </c>
      <c r="I1259" t="s">
        <v>39</v>
      </c>
      <c r="J1259" t="s">
        <v>63</v>
      </c>
      <c r="K1259" s="4">
        <v>45823</v>
      </c>
      <c r="L1259" s="4">
        <v>45913</v>
      </c>
      <c r="M1259" t="s">
        <v>38</v>
      </c>
      <c r="N1259" t="s">
        <v>75</v>
      </c>
      <c r="O1259">
        <v>3</v>
      </c>
      <c r="P1259" t="s">
        <v>54</v>
      </c>
      <c r="Q1259" s="4">
        <v>46353</v>
      </c>
      <c r="R1259" t="s">
        <v>84</v>
      </c>
      <c r="S1259" t="s">
        <v>38</v>
      </c>
      <c r="T1259" t="s">
        <v>3153</v>
      </c>
      <c r="U1259" t="s">
        <v>75</v>
      </c>
      <c r="V1259" t="s">
        <v>3154</v>
      </c>
    </row>
    <row r="1260" spans="1:22" x14ac:dyDescent="0.2">
      <c r="A1260" t="s">
        <v>2584</v>
      </c>
      <c r="B1260" t="s">
        <v>2585</v>
      </c>
      <c r="C1260" t="s">
        <v>31</v>
      </c>
      <c r="D1260" t="s">
        <v>87</v>
      </c>
      <c r="E1260" t="s">
        <v>91</v>
      </c>
      <c r="F1260" t="s">
        <v>34</v>
      </c>
      <c r="G1260" t="s">
        <v>35</v>
      </c>
      <c r="H1260" t="s">
        <v>88</v>
      </c>
      <c r="I1260" t="s">
        <v>50</v>
      </c>
      <c r="J1260" t="s">
        <v>37</v>
      </c>
      <c r="K1260" s="4">
        <v>46154</v>
      </c>
      <c r="L1260" s="4">
        <v>46519</v>
      </c>
      <c r="M1260" t="s">
        <v>64</v>
      </c>
      <c r="N1260" t="s">
        <v>55</v>
      </c>
      <c r="O1260">
        <v>0</v>
      </c>
      <c r="P1260" t="s">
        <v>54</v>
      </c>
      <c r="Q1260" s="4">
        <v>46218</v>
      </c>
      <c r="R1260" t="s">
        <v>57</v>
      </c>
      <c r="S1260" t="s">
        <v>3155</v>
      </c>
      <c r="T1260" t="s">
        <v>3153</v>
      </c>
      <c r="U1260" t="s">
        <v>55</v>
      </c>
      <c r="V1260" t="s">
        <v>3154</v>
      </c>
    </row>
    <row r="1261" spans="1:22" x14ac:dyDescent="0.2">
      <c r="A1261" t="s">
        <v>2586</v>
      </c>
      <c r="B1261" t="s">
        <v>2587</v>
      </c>
      <c r="C1261" t="s">
        <v>31</v>
      </c>
      <c r="D1261" t="s">
        <v>32</v>
      </c>
      <c r="E1261" t="s">
        <v>60</v>
      </c>
      <c r="F1261" t="s">
        <v>67</v>
      </c>
      <c r="G1261" t="s">
        <v>68</v>
      </c>
      <c r="H1261" t="s">
        <v>36</v>
      </c>
      <c r="I1261" t="s">
        <v>106</v>
      </c>
      <c r="J1261" t="s">
        <v>48</v>
      </c>
      <c r="K1261" s="4">
        <v>46219</v>
      </c>
      <c r="L1261" s="4">
        <v>46399</v>
      </c>
      <c r="M1261" t="s">
        <v>64</v>
      </c>
      <c r="N1261" t="s">
        <v>55</v>
      </c>
      <c r="O1261">
        <v>1</v>
      </c>
      <c r="P1261" t="s">
        <v>50</v>
      </c>
      <c r="Q1261" s="4">
        <v>46407</v>
      </c>
      <c r="R1261" t="s">
        <v>84</v>
      </c>
      <c r="S1261" t="s">
        <v>3155</v>
      </c>
      <c r="T1261" t="s">
        <v>3153</v>
      </c>
      <c r="U1261" t="s">
        <v>55</v>
      </c>
      <c r="V1261" t="s">
        <v>3152</v>
      </c>
    </row>
    <row r="1262" spans="1:22" x14ac:dyDescent="0.2">
      <c r="A1262" t="s">
        <v>2588</v>
      </c>
      <c r="B1262" t="s">
        <v>2589</v>
      </c>
      <c r="C1262" t="s">
        <v>103</v>
      </c>
      <c r="D1262" t="s">
        <v>104</v>
      </c>
      <c r="E1262" t="s">
        <v>91</v>
      </c>
      <c r="F1262" t="s">
        <v>34</v>
      </c>
      <c r="G1262" t="s">
        <v>35</v>
      </c>
      <c r="H1262" t="s">
        <v>47</v>
      </c>
      <c r="I1262" t="s">
        <v>56</v>
      </c>
      <c r="J1262" t="s">
        <v>63</v>
      </c>
      <c r="K1262" s="4">
        <v>46174</v>
      </c>
      <c r="L1262" s="4">
        <v>46354</v>
      </c>
      <c r="M1262" t="s">
        <v>64</v>
      </c>
      <c r="N1262" t="s">
        <v>49</v>
      </c>
      <c r="O1262">
        <v>1</v>
      </c>
      <c r="P1262" t="s">
        <v>62</v>
      </c>
      <c r="Q1262" s="4">
        <v>46144</v>
      </c>
      <c r="R1262" t="s">
        <v>38</v>
      </c>
      <c r="S1262" t="s">
        <v>3155</v>
      </c>
      <c r="T1262" t="s">
        <v>3153</v>
      </c>
      <c r="U1262" t="s">
        <v>49</v>
      </c>
      <c r="V1262" t="s">
        <v>3154</v>
      </c>
    </row>
    <row r="1263" spans="1:22" x14ac:dyDescent="0.2">
      <c r="A1263" t="s">
        <v>2590</v>
      </c>
      <c r="B1263" t="s">
        <v>2591</v>
      </c>
      <c r="C1263" t="s">
        <v>31</v>
      </c>
      <c r="D1263" t="s">
        <v>83</v>
      </c>
      <c r="E1263" t="s">
        <v>44</v>
      </c>
      <c r="F1263" t="s">
        <v>67</v>
      </c>
      <c r="G1263" t="s">
        <v>68</v>
      </c>
      <c r="H1263" t="s">
        <v>88</v>
      </c>
      <c r="I1263" t="s">
        <v>111</v>
      </c>
      <c r="J1263" t="s">
        <v>48</v>
      </c>
      <c r="K1263" s="4">
        <v>46228</v>
      </c>
      <c r="L1263" s="4">
        <v>46593</v>
      </c>
      <c r="M1263" t="s">
        <v>84</v>
      </c>
      <c r="N1263" t="s">
        <v>75</v>
      </c>
      <c r="O1263">
        <v>0</v>
      </c>
      <c r="P1263" t="s">
        <v>50</v>
      </c>
      <c r="Q1263" s="4">
        <v>46192</v>
      </c>
      <c r="R1263" t="s">
        <v>57</v>
      </c>
      <c r="S1263" t="s">
        <v>3155</v>
      </c>
      <c r="T1263" t="s">
        <v>3153</v>
      </c>
      <c r="U1263" t="s">
        <v>75</v>
      </c>
      <c r="V1263" t="s">
        <v>3154</v>
      </c>
    </row>
    <row r="1264" spans="1:22" x14ac:dyDescent="0.2">
      <c r="A1264" t="s">
        <v>2592</v>
      </c>
      <c r="B1264" t="s">
        <v>2593</v>
      </c>
      <c r="C1264" t="s">
        <v>78</v>
      </c>
      <c r="D1264" t="s">
        <v>79</v>
      </c>
      <c r="E1264" t="s">
        <v>80</v>
      </c>
      <c r="F1264" t="s">
        <v>45</v>
      </c>
      <c r="G1264" t="s">
        <v>61</v>
      </c>
      <c r="H1264" t="s">
        <v>88</v>
      </c>
      <c r="I1264" t="s">
        <v>50</v>
      </c>
      <c r="J1264" t="s">
        <v>48</v>
      </c>
      <c r="K1264" s="4">
        <v>46248</v>
      </c>
      <c r="L1264" s="4">
        <v>46338</v>
      </c>
      <c r="M1264" t="s">
        <v>84</v>
      </c>
      <c r="N1264" t="s">
        <v>55</v>
      </c>
      <c r="O1264">
        <v>0</v>
      </c>
      <c r="P1264" t="s">
        <v>50</v>
      </c>
      <c r="Q1264" s="4">
        <v>46310</v>
      </c>
      <c r="R1264" t="s">
        <v>57</v>
      </c>
      <c r="S1264" t="s">
        <v>3155</v>
      </c>
      <c r="T1264" t="s">
        <v>3153</v>
      </c>
      <c r="U1264" t="s">
        <v>55</v>
      </c>
      <c r="V1264" t="s">
        <v>3154</v>
      </c>
    </row>
    <row r="1265" spans="1:22" x14ac:dyDescent="0.2">
      <c r="A1265" t="s">
        <v>2594</v>
      </c>
      <c r="B1265" t="s">
        <v>2595</v>
      </c>
      <c r="C1265" t="s">
        <v>103</v>
      </c>
      <c r="D1265" t="s">
        <v>104</v>
      </c>
      <c r="E1265" t="s">
        <v>60</v>
      </c>
      <c r="F1265" t="s">
        <v>45</v>
      </c>
      <c r="G1265" t="s">
        <v>46</v>
      </c>
      <c r="H1265" t="s">
        <v>36</v>
      </c>
      <c r="I1265" t="s">
        <v>111</v>
      </c>
      <c r="J1265" t="s">
        <v>63</v>
      </c>
      <c r="K1265" s="4">
        <v>46206</v>
      </c>
      <c r="L1265" s="4">
        <v>46571</v>
      </c>
      <c r="M1265" t="s">
        <v>64</v>
      </c>
      <c r="N1265" t="s">
        <v>49</v>
      </c>
      <c r="O1265">
        <v>4</v>
      </c>
      <c r="P1265" t="s">
        <v>54</v>
      </c>
      <c r="Q1265" s="4">
        <v>46339</v>
      </c>
      <c r="R1265" t="s">
        <v>84</v>
      </c>
      <c r="S1265" t="s">
        <v>3155</v>
      </c>
      <c r="T1265" t="s">
        <v>3153</v>
      </c>
      <c r="U1265" t="s">
        <v>49</v>
      </c>
      <c r="V1265" t="s">
        <v>3152</v>
      </c>
    </row>
    <row r="1266" spans="1:22" x14ac:dyDescent="0.2">
      <c r="A1266" t="s">
        <v>2596</v>
      </c>
      <c r="B1266" t="s">
        <v>2597</v>
      </c>
      <c r="C1266" t="s">
        <v>96</v>
      </c>
      <c r="D1266" t="s">
        <v>97</v>
      </c>
      <c r="E1266" t="s">
        <v>60</v>
      </c>
      <c r="F1266" t="s">
        <v>45</v>
      </c>
      <c r="G1266" t="s">
        <v>61</v>
      </c>
      <c r="H1266" t="s">
        <v>47</v>
      </c>
      <c r="I1266" t="s">
        <v>62</v>
      </c>
      <c r="J1266" t="s">
        <v>63</v>
      </c>
      <c r="K1266" s="4">
        <v>46103</v>
      </c>
      <c r="L1266" s="4">
        <v>46193</v>
      </c>
      <c r="M1266" t="s">
        <v>38</v>
      </c>
      <c r="N1266" t="s">
        <v>49</v>
      </c>
      <c r="O1266">
        <v>0</v>
      </c>
      <c r="P1266" t="s">
        <v>56</v>
      </c>
      <c r="Q1266" s="4">
        <v>46206</v>
      </c>
      <c r="R1266" t="s">
        <v>57</v>
      </c>
      <c r="S1266" t="s">
        <v>38</v>
      </c>
      <c r="T1266" t="s">
        <v>3153</v>
      </c>
      <c r="U1266" t="s">
        <v>49</v>
      </c>
      <c r="V1266" t="s">
        <v>3154</v>
      </c>
    </row>
    <row r="1267" spans="1:22" x14ac:dyDescent="0.2">
      <c r="A1267" t="s">
        <v>2598</v>
      </c>
      <c r="B1267" t="s">
        <v>2599</v>
      </c>
      <c r="C1267" t="s">
        <v>78</v>
      </c>
      <c r="D1267" t="s">
        <v>79</v>
      </c>
      <c r="E1267" t="s">
        <v>44</v>
      </c>
      <c r="F1267" t="s">
        <v>34</v>
      </c>
      <c r="G1267" t="s">
        <v>35</v>
      </c>
      <c r="H1267" t="s">
        <v>36</v>
      </c>
      <c r="I1267" t="s">
        <v>56</v>
      </c>
      <c r="J1267" t="s">
        <v>63</v>
      </c>
      <c r="K1267" s="4">
        <v>46185</v>
      </c>
      <c r="L1267" s="4">
        <v>46275</v>
      </c>
      <c r="M1267" t="s">
        <v>38</v>
      </c>
      <c r="N1267" t="s">
        <v>55</v>
      </c>
      <c r="O1267">
        <v>2</v>
      </c>
      <c r="P1267" t="s">
        <v>50</v>
      </c>
      <c r="Q1267" s="4">
        <v>46126</v>
      </c>
      <c r="R1267" t="s">
        <v>38</v>
      </c>
      <c r="S1267" t="s">
        <v>38</v>
      </c>
      <c r="T1267" t="s">
        <v>3153</v>
      </c>
      <c r="U1267" t="s">
        <v>55</v>
      </c>
      <c r="V1267" t="s">
        <v>3152</v>
      </c>
    </row>
    <row r="1268" spans="1:22" x14ac:dyDescent="0.2">
      <c r="A1268" t="s">
        <v>2600</v>
      </c>
      <c r="B1268" t="s">
        <v>2601</v>
      </c>
      <c r="C1268" t="s">
        <v>73</v>
      </c>
      <c r="D1268" t="s">
        <v>74</v>
      </c>
      <c r="E1268" t="s">
        <v>60</v>
      </c>
      <c r="F1268" t="s">
        <v>67</v>
      </c>
      <c r="G1268" t="s">
        <v>68</v>
      </c>
      <c r="H1268" t="s">
        <v>88</v>
      </c>
      <c r="I1268" t="s">
        <v>50</v>
      </c>
      <c r="J1268" t="s">
        <v>63</v>
      </c>
      <c r="K1268" s="4">
        <v>46199</v>
      </c>
      <c r="L1268" s="4">
        <v>46564</v>
      </c>
      <c r="M1268" t="s">
        <v>64</v>
      </c>
      <c r="N1268" t="s">
        <v>55</v>
      </c>
      <c r="O1268">
        <v>0</v>
      </c>
      <c r="P1268" t="s">
        <v>62</v>
      </c>
      <c r="Q1268" s="4">
        <v>46214</v>
      </c>
      <c r="R1268" t="s">
        <v>57</v>
      </c>
      <c r="S1268" t="s">
        <v>3155</v>
      </c>
      <c r="T1268" t="s">
        <v>3153</v>
      </c>
      <c r="U1268" t="s">
        <v>55</v>
      </c>
      <c r="V1268" t="s">
        <v>3154</v>
      </c>
    </row>
    <row r="1269" spans="1:22" x14ac:dyDescent="0.2">
      <c r="A1269" t="s">
        <v>2602</v>
      </c>
      <c r="B1269" t="s">
        <v>2603</v>
      </c>
      <c r="C1269" t="s">
        <v>42</v>
      </c>
      <c r="D1269" t="s">
        <v>43</v>
      </c>
      <c r="E1269" t="s">
        <v>44</v>
      </c>
      <c r="F1269" t="s">
        <v>45</v>
      </c>
      <c r="G1269" t="s">
        <v>46</v>
      </c>
      <c r="H1269" t="s">
        <v>36</v>
      </c>
      <c r="I1269" t="s">
        <v>106</v>
      </c>
      <c r="J1269" t="s">
        <v>37</v>
      </c>
      <c r="K1269" s="4">
        <v>46210</v>
      </c>
      <c r="L1269" s="4">
        <v>46575</v>
      </c>
      <c r="M1269" t="s">
        <v>84</v>
      </c>
      <c r="N1269" t="s">
        <v>55</v>
      </c>
      <c r="O1269">
        <v>1</v>
      </c>
      <c r="P1269" t="s">
        <v>106</v>
      </c>
      <c r="Q1269" s="4">
        <v>46347</v>
      </c>
      <c r="R1269" t="s">
        <v>64</v>
      </c>
      <c r="S1269" t="s">
        <v>3155</v>
      </c>
      <c r="T1269" t="s">
        <v>3153</v>
      </c>
      <c r="U1269" t="s">
        <v>55</v>
      </c>
      <c r="V1269" t="s">
        <v>3152</v>
      </c>
    </row>
    <row r="1270" spans="1:22" x14ac:dyDescent="0.2">
      <c r="A1270" t="s">
        <v>2604</v>
      </c>
      <c r="B1270" t="s">
        <v>2605</v>
      </c>
      <c r="C1270" t="s">
        <v>31</v>
      </c>
      <c r="D1270" t="s">
        <v>32</v>
      </c>
      <c r="E1270" t="s">
        <v>60</v>
      </c>
      <c r="F1270" t="s">
        <v>34</v>
      </c>
      <c r="G1270" t="s">
        <v>35</v>
      </c>
      <c r="H1270" t="s">
        <v>88</v>
      </c>
      <c r="I1270" t="s">
        <v>56</v>
      </c>
      <c r="J1270" t="s">
        <v>48</v>
      </c>
      <c r="K1270" s="4">
        <v>45885</v>
      </c>
      <c r="L1270" s="4">
        <v>45975</v>
      </c>
      <c r="M1270" t="s">
        <v>38</v>
      </c>
      <c r="N1270" t="s">
        <v>55</v>
      </c>
      <c r="O1270">
        <v>0</v>
      </c>
      <c r="P1270" t="s">
        <v>39</v>
      </c>
      <c r="Q1270" s="4">
        <v>46247</v>
      </c>
      <c r="R1270" t="s">
        <v>57</v>
      </c>
      <c r="S1270" t="s">
        <v>38</v>
      </c>
      <c r="T1270" t="s">
        <v>3153</v>
      </c>
      <c r="U1270" t="s">
        <v>55</v>
      </c>
      <c r="V1270" t="s">
        <v>3154</v>
      </c>
    </row>
    <row r="1271" spans="1:22" x14ac:dyDescent="0.2">
      <c r="A1271" t="s">
        <v>2606</v>
      </c>
      <c r="B1271" t="s">
        <v>2607</v>
      </c>
      <c r="C1271" t="s">
        <v>31</v>
      </c>
      <c r="D1271" t="s">
        <v>87</v>
      </c>
      <c r="E1271" t="s">
        <v>105</v>
      </c>
      <c r="F1271" t="s">
        <v>45</v>
      </c>
      <c r="G1271" t="s">
        <v>61</v>
      </c>
      <c r="H1271" t="s">
        <v>88</v>
      </c>
      <c r="J1271" t="s">
        <v>63</v>
      </c>
      <c r="K1271" s="4">
        <v>46090</v>
      </c>
      <c r="L1271" s="4">
        <v>46455</v>
      </c>
      <c r="M1271" t="s">
        <v>64</v>
      </c>
      <c r="N1271" t="s">
        <v>55</v>
      </c>
      <c r="O1271">
        <v>3</v>
      </c>
      <c r="P1271" t="s">
        <v>70</v>
      </c>
      <c r="Q1271" s="4">
        <v>46257</v>
      </c>
      <c r="R1271" t="s">
        <v>64</v>
      </c>
      <c r="S1271" t="s">
        <v>3155</v>
      </c>
      <c r="T1271" t="s">
        <v>3150</v>
      </c>
      <c r="U1271" t="s">
        <v>55</v>
      </c>
      <c r="V1271" t="s">
        <v>3154</v>
      </c>
    </row>
    <row r="1272" spans="1:22" x14ac:dyDescent="0.2">
      <c r="A1272" t="s">
        <v>2608</v>
      </c>
      <c r="B1272" t="s">
        <v>2609</v>
      </c>
      <c r="C1272" t="s">
        <v>31</v>
      </c>
      <c r="D1272" t="s">
        <v>83</v>
      </c>
      <c r="E1272" t="s">
        <v>60</v>
      </c>
      <c r="F1272" t="s">
        <v>67</v>
      </c>
      <c r="G1272" t="s">
        <v>118</v>
      </c>
      <c r="H1272" t="s">
        <v>47</v>
      </c>
      <c r="I1272" t="s">
        <v>54</v>
      </c>
      <c r="J1272" t="s">
        <v>63</v>
      </c>
      <c r="K1272" s="4">
        <v>46209</v>
      </c>
      <c r="L1272" s="4">
        <v>46299</v>
      </c>
      <c r="M1272" t="s">
        <v>84</v>
      </c>
      <c r="N1272" t="s">
        <v>75</v>
      </c>
      <c r="O1272">
        <v>2</v>
      </c>
      <c r="P1272" t="s">
        <v>39</v>
      </c>
      <c r="Q1272" s="4">
        <v>46248</v>
      </c>
      <c r="R1272" t="s">
        <v>38</v>
      </c>
      <c r="S1272" t="s">
        <v>3155</v>
      </c>
      <c r="T1272" t="s">
        <v>3153</v>
      </c>
      <c r="U1272" t="s">
        <v>75</v>
      </c>
      <c r="V1272" t="s">
        <v>3154</v>
      </c>
    </row>
    <row r="1273" spans="1:22" x14ac:dyDescent="0.2">
      <c r="A1273" t="s">
        <v>2610</v>
      </c>
      <c r="B1273" t="s">
        <v>2611</v>
      </c>
      <c r="C1273" t="s">
        <v>96</v>
      </c>
      <c r="D1273" t="s">
        <v>97</v>
      </c>
      <c r="E1273" t="s">
        <v>105</v>
      </c>
      <c r="F1273" t="s">
        <v>45</v>
      </c>
      <c r="G1273" t="s">
        <v>61</v>
      </c>
      <c r="H1273" t="s">
        <v>47</v>
      </c>
      <c r="I1273" t="s">
        <v>70</v>
      </c>
      <c r="J1273" t="s">
        <v>37</v>
      </c>
      <c r="K1273" s="4">
        <v>46267</v>
      </c>
      <c r="L1273" s="4">
        <v>46632</v>
      </c>
      <c r="M1273" t="s">
        <v>64</v>
      </c>
      <c r="N1273" t="s">
        <v>75</v>
      </c>
      <c r="O1273">
        <v>3</v>
      </c>
      <c r="P1273" t="s">
        <v>56</v>
      </c>
      <c r="Q1273" s="4">
        <v>46403</v>
      </c>
      <c r="R1273" t="s">
        <v>84</v>
      </c>
      <c r="S1273" t="s">
        <v>3155</v>
      </c>
      <c r="T1273" t="s">
        <v>3153</v>
      </c>
      <c r="U1273" t="s">
        <v>75</v>
      </c>
      <c r="V1273" t="s">
        <v>3154</v>
      </c>
    </row>
    <row r="1274" spans="1:22" x14ac:dyDescent="0.2">
      <c r="A1274" t="s">
        <v>2612</v>
      </c>
      <c r="B1274" t="s">
        <v>2613</v>
      </c>
      <c r="C1274" t="s">
        <v>31</v>
      </c>
      <c r="D1274" t="s">
        <v>32</v>
      </c>
      <c r="E1274" t="s">
        <v>53</v>
      </c>
      <c r="F1274" t="s">
        <v>34</v>
      </c>
      <c r="G1274" t="s">
        <v>35</v>
      </c>
      <c r="H1274" t="s">
        <v>88</v>
      </c>
      <c r="I1274" t="s">
        <v>106</v>
      </c>
      <c r="J1274" t="s">
        <v>37</v>
      </c>
      <c r="K1274" s="4">
        <v>46085</v>
      </c>
      <c r="L1274" s="4">
        <v>46265</v>
      </c>
      <c r="M1274" t="s">
        <v>38</v>
      </c>
      <c r="N1274" t="s">
        <v>75</v>
      </c>
      <c r="O1274">
        <v>1</v>
      </c>
      <c r="P1274" t="s">
        <v>111</v>
      </c>
      <c r="Q1274" s="4">
        <v>46241</v>
      </c>
      <c r="R1274" t="s">
        <v>64</v>
      </c>
      <c r="S1274" t="s">
        <v>38</v>
      </c>
      <c r="T1274" t="s">
        <v>3153</v>
      </c>
      <c r="U1274" t="s">
        <v>75</v>
      </c>
      <c r="V1274" t="s">
        <v>3154</v>
      </c>
    </row>
    <row r="1275" spans="1:22" x14ac:dyDescent="0.2">
      <c r="A1275" t="s">
        <v>2614</v>
      </c>
      <c r="B1275" t="s">
        <v>2615</v>
      </c>
      <c r="C1275" t="s">
        <v>103</v>
      </c>
      <c r="D1275" t="s">
        <v>104</v>
      </c>
      <c r="E1275" t="s">
        <v>105</v>
      </c>
      <c r="F1275" t="s">
        <v>67</v>
      </c>
      <c r="G1275" t="s">
        <v>68</v>
      </c>
      <c r="H1275" t="s">
        <v>47</v>
      </c>
      <c r="I1275" t="s">
        <v>39</v>
      </c>
      <c r="J1275" t="s">
        <v>63</v>
      </c>
      <c r="K1275" s="4">
        <v>45882</v>
      </c>
      <c r="L1275" s="4">
        <v>45972</v>
      </c>
      <c r="M1275" t="s">
        <v>38</v>
      </c>
      <c r="N1275" t="s">
        <v>49</v>
      </c>
      <c r="O1275">
        <v>0</v>
      </c>
      <c r="P1275" t="s">
        <v>62</v>
      </c>
      <c r="Q1275" s="4">
        <v>46134</v>
      </c>
      <c r="R1275" t="s">
        <v>57</v>
      </c>
      <c r="S1275" t="s">
        <v>38</v>
      </c>
      <c r="T1275" t="s">
        <v>3153</v>
      </c>
      <c r="U1275" t="s">
        <v>49</v>
      </c>
      <c r="V1275" t="s">
        <v>3154</v>
      </c>
    </row>
    <row r="1276" spans="1:22" x14ac:dyDescent="0.2">
      <c r="A1276" t="s">
        <v>2616</v>
      </c>
      <c r="B1276" t="s">
        <v>2617</v>
      </c>
      <c r="C1276" t="s">
        <v>31</v>
      </c>
      <c r="D1276" t="s">
        <v>87</v>
      </c>
      <c r="E1276" t="s">
        <v>105</v>
      </c>
      <c r="F1276" t="s">
        <v>34</v>
      </c>
      <c r="G1276" t="s">
        <v>35</v>
      </c>
      <c r="H1276" t="s">
        <v>88</v>
      </c>
      <c r="I1276" t="s">
        <v>56</v>
      </c>
      <c r="J1276" t="s">
        <v>48</v>
      </c>
      <c r="K1276" s="4">
        <v>45885</v>
      </c>
      <c r="L1276" s="4">
        <v>45975</v>
      </c>
      <c r="M1276" t="s">
        <v>38</v>
      </c>
      <c r="N1276" t="s">
        <v>75</v>
      </c>
      <c r="O1276">
        <v>1</v>
      </c>
      <c r="P1276" t="s">
        <v>106</v>
      </c>
      <c r="Q1276" s="4">
        <v>46331</v>
      </c>
      <c r="R1276" t="s">
        <v>84</v>
      </c>
      <c r="S1276" t="s">
        <v>38</v>
      </c>
      <c r="T1276" t="s">
        <v>3153</v>
      </c>
      <c r="U1276" t="s">
        <v>75</v>
      </c>
      <c r="V1276" t="s">
        <v>3154</v>
      </c>
    </row>
    <row r="1277" spans="1:22" x14ac:dyDescent="0.2">
      <c r="A1277" t="s">
        <v>2618</v>
      </c>
      <c r="B1277" t="s">
        <v>2619</v>
      </c>
      <c r="C1277" t="s">
        <v>96</v>
      </c>
      <c r="D1277" t="s">
        <v>97</v>
      </c>
      <c r="E1277" t="s">
        <v>44</v>
      </c>
      <c r="F1277" t="s">
        <v>67</v>
      </c>
      <c r="G1277" t="s">
        <v>68</v>
      </c>
      <c r="H1277" t="s">
        <v>88</v>
      </c>
      <c r="I1277" t="s">
        <v>70</v>
      </c>
      <c r="J1277" t="s">
        <v>48</v>
      </c>
      <c r="K1277" s="4">
        <v>46100</v>
      </c>
      <c r="L1277" s="4">
        <v>46465</v>
      </c>
      <c r="M1277" t="s">
        <v>64</v>
      </c>
      <c r="N1277" t="s">
        <v>55</v>
      </c>
      <c r="O1277">
        <v>1</v>
      </c>
      <c r="P1277" t="s">
        <v>39</v>
      </c>
      <c r="Q1277" s="4">
        <v>46375</v>
      </c>
      <c r="R1277" t="s">
        <v>64</v>
      </c>
      <c r="S1277" t="s">
        <v>3155</v>
      </c>
      <c r="T1277" t="s">
        <v>3153</v>
      </c>
      <c r="U1277" t="s">
        <v>55</v>
      </c>
      <c r="V1277" t="s">
        <v>3154</v>
      </c>
    </row>
    <row r="1278" spans="1:22" x14ac:dyDescent="0.2">
      <c r="A1278" t="s">
        <v>2620</v>
      </c>
      <c r="B1278" t="s">
        <v>2621</v>
      </c>
      <c r="C1278" t="s">
        <v>78</v>
      </c>
      <c r="D1278" t="s">
        <v>79</v>
      </c>
      <c r="E1278" t="s">
        <v>53</v>
      </c>
      <c r="F1278" t="s">
        <v>67</v>
      </c>
      <c r="G1278" t="s">
        <v>68</v>
      </c>
      <c r="H1278" t="s">
        <v>47</v>
      </c>
      <c r="I1278" t="s">
        <v>39</v>
      </c>
      <c r="J1278" t="s">
        <v>48</v>
      </c>
      <c r="K1278" s="4">
        <v>45859</v>
      </c>
      <c r="L1278" s="4">
        <v>46039</v>
      </c>
      <c r="M1278" t="s">
        <v>38</v>
      </c>
      <c r="N1278" t="s">
        <v>75</v>
      </c>
      <c r="O1278">
        <v>2</v>
      </c>
      <c r="P1278" t="s">
        <v>54</v>
      </c>
      <c r="Q1278" s="4">
        <v>46366</v>
      </c>
      <c r="R1278" t="s">
        <v>64</v>
      </c>
      <c r="S1278" t="s">
        <v>38</v>
      </c>
      <c r="T1278" t="s">
        <v>3153</v>
      </c>
      <c r="U1278" t="s">
        <v>75</v>
      </c>
      <c r="V1278" t="s">
        <v>3154</v>
      </c>
    </row>
    <row r="1279" spans="1:22" x14ac:dyDescent="0.2">
      <c r="A1279" t="s">
        <v>2622</v>
      </c>
      <c r="B1279" t="s">
        <v>2623</v>
      </c>
      <c r="C1279" t="s">
        <v>103</v>
      </c>
      <c r="D1279" t="s">
        <v>104</v>
      </c>
      <c r="E1279" t="s">
        <v>60</v>
      </c>
      <c r="F1279" t="s">
        <v>45</v>
      </c>
      <c r="G1279" t="s">
        <v>46</v>
      </c>
      <c r="H1279" t="s">
        <v>88</v>
      </c>
      <c r="I1279" t="s">
        <v>106</v>
      </c>
      <c r="J1279" t="s">
        <v>63</v>
      </c>
      <c r="K1279" s="4">
        <v>46003</v>
      </c>
      <c r="L1279" s="4">
        <v>46368</v>
      </c>
      <c r="M1279" t="s">
        <v>69</v>
      </c>
      <c r="N1279" t="s">
        <v>75</v>
      </c>
      <c r="O1279">
        <v>3</v>
      </c>
      <c r="P1279" t="s">
        <v>39</v>
      </c>
      <c r="Q1279" s="4">
        <v>46244</v>
      </c>
      <c r="R1279" t="s">
        <v>38</v>
      </c>
      <c r="S1279" t="s">
        <v>3155</v>
      </c>
      <c r="T1279" t="s">
        <v>3153</v>
      </c>
      <c r="U1279" t="s">
        <v>75</v>
      </c>
      <c r="V1279" t="s">
        <v>3154</v>
      </c>
    </row>
    <row r="1280" spans="1:22" x14ac:dyDescent="0.2">
      <c r="A1280" t="s">
        <v>2624</v>
      </c>
      <c r="B1280" t="s">
        <v>2625</v>
      </c>
      <c r="C1280" t="s">
        <v>78</v>
      </c>
      <c r="D1280" t="s">
        <v>79</v>
      </c>
      <c r="E1280" t="s">
        <v>91</v>
      </c>
      <c r="F1280" t="s">
        <v>67</v>
      </c>
      <c r="G1280" t="s">
        <v>68</v>
      </c>
      <c r="H1280" t="s">
        <v>36</v>
      </c>
      <c r="I1280" t="s">
        <v>54</v>
      </c>
      <c r="J1280" t="s">
        <v>48</v>
      </c>
      <c r="K1280" s="4">
        <v>45965</v>
      </c>
      <c r="L1280" s="4">
        <v>46145</v>
      </c>
      <c r="M1280" t="s">
        <v>38</v>
      </c>
      <c r="N1280" t="s">
        <v>55</v>
      </c>
      <c r="O1280">
        <v>3</v>
      </c>
      <c r="P1280" t="s">
        <v>70</v>
      </c>
      <c r="Q1280" s="4">
        <v>46245</v>
      </c>
      <c r="R1280" t="s">
        <v>38</v>
      </c>
      <c r="S1280" t="s">
        <v>38</v>
      </c>
      <c r="T1280" t="s">
        <v>3153</v>
      </c>
      <c r="U1280" t="s">
        <v>55</v>
      </c>
      <c r="V1280" t="s">
        <v>3152</v>
      </c>
    </row>
    <row r="1281" spans="1:22" x14ac:dyDescent="0.2">
      <c r="A1281" t="s">
        <v>2626</v>
      </c>
      <c r="B1281" t="s">
        <v>2627</v>
      </c>
      <c r="C1281" t="s">
        <v>42</v>
      </c>
      <c r="D1281" t="s">
        <v>43</v>
      </c>
      <c r="E1281" t="s">
        <v>60</v>
      </c>
      <c r="F1281" t="s">
        <v>67</v>
      </c>
      <c r="G1281" t="s">
        <v>68</v>
      </c>
      <c r="H1281" t="s">
        <v>47</v>
      </c>
      <c r="I1281" t="s">
        <v>50</v>
      </c>
      <c r="J1281" t="s">
        <v>37</v>
      </c>
      <c r="K1281" s="4">
        <v>45917</v>
      </c>
      <c r="L1281" s="4">
        <v>46097</v>
      </c>
      <c r="M1281" t="s">
        <v>38</v>
      </c>
      <c r="N1281" t="s">
        <v>55</v>
      </c>
      <c r="O1281">
        <v>0</v>
      </c>
      <c r="P1281" t="s">
        <v>62</v>
      </c>
      <c r="Q1281" s="4">
        <v>46144</v>
      </c>
      <c r="R1281" t="s">
        <v>57</v>
      </c>
      <c r="S1281" t="s">
        <v>38</v>
      </c>
      <c r="T1281" t="s">
        <v>3153</v>
      </c>
      <c r="U1281" t="s">
        <v>55</v>
      </c>
      <c r="V1281" t="s">
        <v>3154</v>
      </c>
    </row>
    <row r="1282" spans="1:22" x14ac:dyDescent="0.2">
      <c r="A1282" t="s">
        <v>2628</v>
      </c>
      <c r="B1282" t="s">
        <v>2629</v>
      </c>
      <c r="C1282" t="s">
        <v>96</v>
      </c>
      <c r="D1282" t="s">
        <v>97</v>
      </c>
      <c r="E1282" t="s">
        <v>53</v>
      </c>
      <c r="F1282" t="s">
        <v>45</v>
      </c>
      <c r="G1282" t="s">
        <v>61</v>
      </c>
      <c r="H1282" t="s">
        <v>88</v>
      </c>
      <c r="I1282" t="s">
        <v>39</v>
      </c>
      <c r="J1282" t="s">
        <v>37</v>
      </c>
      <c r="K1282" s="4">
        <v>45889</v>
      </c>
      <c r="L1282" s="4">
        <v>45979</v>
      </c>
      <c r="M1282" t="s">
        <v>38</v>
      </c>
      <c r="N1282" t="s">
        <v>55</v>
      </c>
      <c r="O1282">
        <v>0</v>
      </c>
      <c r="P1282" t="s">
        <v>70</v>
      </c>
      <c r="Q1282" s="4">
        <v>46343</v>
      </c>
      <c r="R1282" t="s">
        <v>57</v>
      </c>
      <c r="S1282" t="s">
        <v>38</v>
      </c>
      <c r="T1282" t="s">
        <v>3153</v>
      </c>
      <c r="U1282" t="s">
        <v>55</v>
      </c>
      <c r="V1282" t="s">
        <v>3154</v>
      </c>
    </row>
    <row r="1283" spans="1:22" x14ac:dyDescent="0.2">
      <c r="A1283" t="s">
        <v>2630</v>
      </c>
      <c r="B1283" t="s">
        <v>2631</v>
      </c>
      <c r="C1283" t="s">
        <v>42</v>
      </c>
      <c r="D1283" t="s">
        <v>43</v>
      </c>
      <c r="E1283" t="s">
        <v>105</v>
      </c>
      <c r="F1283" t="s">
        <v>67</v>
      </c>
      <c r="G1283" t="s">
        <v>68</v>
      </c>
      <c r="H1283" t="s">
        <v>36</v>
      </c>
      <c r="I1283" t="s">
        <v>56</v>
      </c>
      <c r="J1283" t="s">
        <v>48</v>
      </c>
      <c r="K1283" s="4">
        <v>45976</v>
      </c>
      <c r="L1283" s="4">
        <v>46066</v>
      </c>
      <c r="M1283" t="s">
        <v>38</v>
      </c>
      <c r="N1283" t="s">
        <v>49</v>
      </c>
      <c r="O1283">
        <v>4</v>
      </c>
      <c r="P1283" t="s">
        <v>106</v>
      </c>
      <c r="Q1283" s="4">
        <v>46149</v>
      </c>
      <c r="R1283" t="s">
        <v>38</v>
      </c>
      <c r="S1283" t="s">
        <v>38</v>
      </c>
      <c r="T1283" t="s">
        <v>3153</v>
      </c>
      <c r="U1283" t="s">
        <v>49</v>
      </c>
      <c r="V1283" t="s">
        <v>3152</v>
      </c>
    </row>
    <row r="1284" spans="1:22" x14ac:dyDescent="0.2">
      <c r="A1284" t="s">
        <v>2632</v>
      </c>
      <c r="B1284" t="s">
        <v>2633</v>
      </c>
      <c r="C1284" t="s">
        <v>78</v>
      </c>
      <c r="D1284" t="s">
        <v>79</v>
      </c>
      <c r="E1284" t="s">
        <v>53</v>
      </c>
      <c r="F1284" t="s">
        <v>45</v>
      </c>
      <c r="G1284" t="s">
        <v>46</v>
      </c>
      <c r="H1284" t="s">
        <v>36</v>
      </c>
      <c r="I1284" t="s">
        <v>39</v>
      </c>
      <c r="J1284" t="s">
        <v>63</v>
      </c>
      <c r="K1284" s="4">
        <v>46145</v>
      </c>
      <c r="L1284" s="4">
        <v>46510</v>
      </c>
      <c r="M1284" t="s">
        <v>84</v>
      </c>
      <c r="N1284" t="s">
        <v>49</v>
      </c>
      <c r="O1284">
        <v>2</v>
      </c>
      <c r="P1284" t="s">
        <v>111</v>
      </c>
      <c r="Q1284" s="4">
        <v>46369</v>
      </c>
      <c r="R1284" t="s">
        <v>84</v>
      </c>
      <c r="S1284" t="s">
        <v>3155</v>
      </c>
      <c r="T1284" t="s">
        <v>3153</v>
      </c>
      <c r="U1284" t="s">
        <v>49</v>
      </c>
      <c r="V1284" t="s">
        <v>3152</v>
      </c>
    </row>
    <row r="1285" spans="1:22" x14ac:dyDescent="0.2">
      <c r="A1285" t="s">
        <v>2634</v>
      </c>
      <c r="B1285" t="s">
        <v>2635</v>
      </c>
      <c r="C1285" t="s">
        <v>78</v>
      </c>
      <c r="D1285" t="s">
        <v>79</v>
      </c>
      <c r="E1285" t="s">
        <v>91</v>
      </c>
      <c r="F1285" t="s">
        <v>34</v>
      </c>
      <c r="G1285" t="s">
        <v>35</v>
      </c>
      <c r="H1285" t="s">
        <v>47</v>
      </c>
      <c r="I1285" t="s">
        <v>111</v>
      </c>
      <c r="J1285" t="s">
        <v>63</v>
      </c>
      <c r="K1285" s="4">
        <v>45973</v>
      </c>
      <c r="L1285" s="4">
        <v>46153</v>
      </c>
      <c r="M1285" t="s">
        <v>38</v>
      </c>
      <c r="N1285" t="s">
        <v>49</v>
      </c>
      <c r="O1285">
        <v>0</v>
      </c>
      <c r="P1285" t="s">
        <v>56</v>
      </c>
      <c r="Q1285" s="4">
        <v>46327</v>
      </c>
      <c r="R1285" t="s">
        <v>57</v>
      </c>
      <c r="S1285" t="s">
        <v>38</v>
      </c>
      <c r="T1285" t="s">
        <v>3153</v>
      </c>
      <c r="U1285" t="s">
        <v>49</v>
      </c>
      <c r="V1285" t="s">
        <v>3154</v>
      </c>
    </row>
    <row r="1286" spans="1:22" x14ac:dyDescent="0.2">
      <c r="A1286" t="s">
        <v>2636</v>
      </c>
      <c r="B1286" t="s">
        <v>2637</v>
      </c>
      <c r="C1286" t="s">
        <v>103</v>
      </c>
      <c r="D1286" t="s">
        <v>104</v>
      </c>
      <c r="E1286" t="s">
        <v>80</v>
      </c>
      <c r="F1286" t="s">
        <v>45</v>
      </c>
      <c r="G1286" t="s">
        <v>61</v>
      </c>
      <c r="H1286" t="s">
        <v>98</v>
      </c>
      <c r="I1286" t="s">
        <v>50</v>
      </c>
      <c r="J1286" t="s">
        <v>48</v>
      </c>
      <c r="K1286" s="4">
        <v>46165</v>
      </c>
      <c r="L1286" s="4">
        <v>46345</v>
      </c>
      <c r="M1286" t="s">
        <v>64</v>
      </c>
      <c r="N1286" t="s">
        <v>55</v>
      </c>
      <c r="O1286">
        <v>3</v>
      </c>
      <c r="P1286" t="s">
        <v>106</v>
      </c>
      <c r="Q1286" s="4">
        <v>46360</v>
      </c>
      <c r="R1286" t="s">
        <v>84</v>
      </c>
      <c r="S1286" t="s">
        <v>3155</v>
      </c>
      <c r="T1286" t="s">
        <v>3153</v>
      </c>
      <c r="U1286" t="s">
        <v>55</v>
      </c>
      <c r="V1286" t="s">
        <v>3152</v>
      </c>
    </row>
    <row r="1287" spans="1:22" x14ac:dyDescent="0.2">
      <c r="A1287" t="s">
        <v>2638</v>
      </c>
      <c r="B1287" t="s">
        <v>2639</v>
      </c>
      <c r="C1287" t="s">
        <v>31</v>
      </c>
      <c r="D1287" t="s">
        <v>83</v>
      </c>
      <c r="E1287" t="s">
        <v>44</v>
      </c>
      <c r="F1287" t="s">
        <v>67</v>
      </c>
      <c r="G1287" t="s">
        <v>68</v>
      </c>
      <c r="H1287" t="s">
        <v>36</v>
      </c>
      <c r="I1287" t="s">
        <v>56</v>
      </c>
      <c r="J1287" t="s">
        <v>63</v>
      </c>
      <c r="K1287" s="4">
        <v>45977</v>
      </c>
      <c r="L1287" s="4">
        <v>46342</v>
      </c>
      <c r="M1287" t="s">
        <v>69</v>
      </c>
      <c r="N1287" t="s">
        <v>55</v>
      </c>
      <c r="O1287">
        <v>0</v>
      </c>
      <c r="P1287" t="s">
        <v>50</v>
      </c>
      <c r="Q1287" s="4">
        <v>46250</v>
      </c>
      <c r="R1287" t="s">
        <v>57</v>
      </c>
      <c r="S1287" t="s">
        <v>3155</v>
      </c>
      <c r="T1287" t="s">
        <v>3153</v>
      </c>
      <c r="U1287" t="s">
        <v>55</v>
      </c>
      <c r="V1287" t="s">
        <v>3152</v>
      </c>
    </row>
    <row r="1288" spans="1:22" x14ac:dyDescent="0.2">
      <c r="A1288" t="s">
        <v>2640</v>
      </c>
      <c r="B1288" t="s">
        <v>2641</v>
      </c>
      <c r="C1288" t="s">
        <v>78</v>
      </c>
      <c r="D1288" t="s">
        <v>79</v>
      </c>
      <c r="E1288" t="s">
        <v>80</v>
      </c>
      <c r="F1288" t="s">
        <v>45</v>
      </c>
      <c r="G1288" t="s">
        <v>46</v>
      </c>
      <c r="H1288" t="s">
        <v>47</v>
      </c>
      <c r="I1288" t="s">
        <v>111</v>
      </c>
      <c r="J1288" t="s">
        <v>48</v>
      </c>
      <c r="K1288" s="4">
        <v>45856</v>
      </c>
      <c r="L1288" s="4">
        <v>46221</v>
      </c>
      <c r="M1288" t="s">
        <v>38</v>
      </c>
      <c r="N1288" t="s">
        <v>55</v>
      </c>
      <c r="O1288">
        <v>0</v>
      </c>
      <c r="P1288" t="s">
        <v>39</v>
      </c>
      <c r="Q1288" s="4">
        <v>46160</v>
      </c>
      <c r="R1288" t="s">
        <v>57</v>
      </c>
      <c r="S1288" t="s">
        <v>38</v>
      </c>
      <c r="T1288" t="s">
        <v>3153</v>
      </c>
      <c r="U1288" t="s">
        <v>55</v>
      </c>
      <c r="V1288" t="s">
        <v>3154</v>
      </c>
    </row>
    <row r="1289" spans="1:22" x14ac:dyDescent="0.2">
      <c r="A1289" t="s">
        <v>2642</v>
      </c>
      <c r="B1289" t="s">
        <v>2643</v>
      </c>
      <c r="C1289" t="s">
        <v>96</v>
      </c>
      <c r="D1289" t="s">
        <v>97</v>
      </c>
      <c r="E1289" t="s">
        <v>105</v>
      </c>
      <c r="F1289" t="s">
        <v>34</v>
      </c>
      <c r="G1289" t="s">
        <v>35</v>
      </c>
      <c r="H1289" t="s">
        <v>36</v>
      </c>
      <c r="I1289" t="s">
        <v>70</v>
      </c>
      <c r="J1289" t="s">
        <v>63</v>
      </c>
      <c r="K1289" s="4">
        <v>46155</v>
      </c>
      <c r="L1289" s="4">
        <v>46335</v>
      </c>
      <c r="M1289" t="s">
        <v>69</v>
      </c>
      <c r="N1289" t="s">
        <v>55</v>
      </c>
      <c r="O1289">
        <v>0</v>
      </c>
      <c r="P1289" t="s">
        <v>56</v>
      </c>
      <c r="Q1289" s="4">
        <v>46157</v>
      </c>
      <c r="R1289" t="s">
        <v>57</v>
      </c>
      <c r="S1289" t="s">
        <v>3155</v>
      </c>
      <c r="T1289" t="s">
        <v>3153</v>
      </c>
      <c r="U1289" t="s">
        <v>55</v>
      </c>
      <c r="V1289" t="s">
        <v>3152</v>
      </c>
    </row>
    <row r="1290" spans="1:22" x14ac:dyDescent="0.2">
      <c r="A1290" t="s">
        <v>2644</v>
      </c>
      <c r="B1290" t="s">
        <v>2645</v>
      </c>
      <c r="C1290" t="s">
        <v>31</v>
      </c>
      <c r="D1290" t="s">
        <v>32</v>
      </c>
      <c r="E1290" t="s">
        <v>105</v>
      </c>
      <c r="F1290" t="s">
        <v>34</v>
      </c>
      <c r="G1290" t="s">
        <v>35</v>
      </c>
      <c r="H1290" t="s">
        <v>98</v>
      </c>
      <c r="I1290" t="s">
        <v>62</v>
      </c>
      <c r="J1290" t="s">
        <v>37</v>
      </c>
      <c r="K1290" s="4">
        <v>45818</v>
      </c>
      <c r="L1290" s="4">
        <v>45998</v>
      </c>
      <c r="M1290" t="s">
        <v>38</v>
      </c>
      <c r="N1290" t="s">
        <v>75</v>
      </c>
      <c r="O1290">
        <v>4</v>
      </c>
      <c r="P1290" t="s">
        <v>54</v>
      </c>
      <c r="Q1290" s="4">
        <v>46185</v>
      </c>
      <c r="R1290" t="s">
        <v>64</v>
      </c>
      <c r="S1290" t="s">
        <v>38</v>
      </c>
      <c r="T1290" t="s">
        <v>3153</v>
      </c>
      <c r="U1290" t="s">
        <v>75</v>
      </c>
      <c r="V1290" t="s">
        <v>3152</v>
      </c>
    </row>
    <row r="1291" spans="1:22" x14ac:dyDescent="0.2">
      <c r="A1291" t="s">
        <v>2646</v>
      </c>
      <c r="B1291" t="s">
        <v>2647</v>
      </c>
      <c r="C1291" t="s">
        <v>31</v>
      </c>
      <c r="D1291" t="s">
        <v>87</v>
      </c>
      <c r="E1291" t="s">
        <v>60</v>
      </c>
      <c r="F1291" t="s">
        <v>34</v>
      </c>
      <c r="G1291" t="s">
        <v>35</v>
      </c>
      <c r="H1291" t="s">
        <v>88</v>
      </c>
      <c r="I1291" t="s">
        <v>39</v>
      </c>
      <c r="J1291" t="s">
        <v>37</v>
      </c>
      <c r="K1291" s="4">
        <v>45999</v>
      </c>
      <c r="L1291" s="4">
        <v>46089</v>
      </c>
      <c r="M1291" t="s">
        <v>38</v>
      </c>
      <c r="N1291" t="s">
        <v>55</v>
      </c>
      <c r="O1291">
        <v>0</v>
      </c>
      <c r="P1291" t="s">
        <v>106</v>
      </c>
      <c r="Q1291" s="4">
        <v>46247</v>
      </c>
      <c r="R1291" t="s">
        <v>57</v>
      </c>
      <c r="S1291" t="s">
        <v>38</v>
      </c>
      <c r="T1291" t="s">
        <v>3153</v>
      </c>
      <c r="U1291" t="s">
        <v>55</v>
      </c>
      <c r="V1291" t="s">
        <v>3154</v>
      </c>
    </row>
    <row r="1292" spans="1:22" x14ac:dyDescent="0.2">
      <c r="A1292" t="s">
        <v>2648</v>
      </c>
      <c r="B1292" t="s">
        <v>2649</v>
      </c>
      <c r="C1292" t="s">
        <v>31</v>
      </c>
      <c r="D1292" t="s">
        <v>32</v>
      </c>
      <c r="E1292" t="s">
        <v>44</v>
      </c>
      <c r="F1292" t="s">
        <v>67</v>
      </c>
      <c r="G1292" t="s">
        <v>68</v>
      </c>
      <c r="H1292" t="s">
        <v>36</v>
      </c>
      <c r="I1292" t="s">
        <v>62</v>
      </c>
      <c r="J1292" t="s">
        <v>63</v>
      </c>
      <c r="K1292" s="4">
        <v>45987</v>
      </c>
      <c r="L1292" s="4">
        <v>46077</v>
      </c>
      <c r="M1292" t="s">
        <v>38</v>
      </c>
      <c r="N1292" t="s">
        <v>75</v>
      </c>
      <c r="O1292">
        <v>4</v>
      </c>
      <c r="P1292" t="s">
        <v>111</v>
      </c>
      <c r="Q1292" s="4">
        <v>46321</v>
      </c>
      <c r="R1292" t="s">
        <v>64</v>
      </c>
      <c r="S1292" t="s">
        <v>38</v>
      </c>
      <c r="T1292" t="s">
        <v>3153</v>
      </c>
      <c r="U1292" t="s">
        <v>75</v>
      </c>
      <c r="V1292" t="s">
        <v>3152</v>
      </c>
    </row>
    <row r="1293" spans="1:22" x14ac:dyDescent="0.2">
      <c r="A1293" t="s">
        <v>2650</v>
      </c>
      <c r="B1293" t="s">
        <v>2651</v>
      </c>
      <c r="C1293" t="s">
        <v>96</v>
      </c>
      <c r="D1293" t="s">
        <v>97</v>
      </c>
      <c r="E1293" t="s">
        <v>44</v>
      </c>
      <c r="F1293" t="s">
        <v>34</v>
      </c>
      <c r="G1293" t="s">
        <v>35</v>
      </c>
      <c r="H1293" t="s">
        <v>88</v>
      </c>
      <c r="I1293" t="s">
        <v>62</v>
      </c>
      <c r="J1293" t="s">
        <v>63</v>
      </c>
      <c r="K1293" s="4">
        <v>45989</v>
      </c>
      <c r="L1293" s="4">
        <v>46354</v>
      </c>
      <c r="M1293" t="s">
        <v>64</v>
      </c>
      <c r="N1293" t="s">
        <v>49</v>
      </c>
      <c r="O1293">
        <v>3</v>
      </c>
      <c r="P1293" t="s">
        <v>39</v>
      </c>
      <c r="Q1293" s="4">
        <v>46411</v>
      </c>
      <c r="R1293" t="s">
        <v>84</v>
      </c>
      <c r="S1293" t="s">
        <v>3155</v>
      </c>
      <c r="T1293" t="s">
        <v>3153</v>
      </c>
      <c r="U1293" t="s">
        <v>49</v>
      </c>
      <c r="V1293" t="s">
        <v>3154</v>
      </c>
    </row>
    <row r="1294" spans="1:22" x14ac:dyDescent="0.2">
      <c r="A1294" t="s">
        <v>2652</v>
      </c>
      <c r="B1294" t="s">
        <v>2653</v>
      </c>
      <c r="C1294" t="s">
        <v>31</v>
      </c>
      <c r="D1294" t="s">
        <v>87</v>
      </c>
      <c r="E1294" t="s">
        <v>60</v>
      </c>
      <c r="F1294" t="s">
        <v>67</v>
      </c>
      <c r="G1294" t="s">
        <v>68</v>
      </c>
      <c r="H1294" t="s">
        <v>88</v>
      </c>
      <c r="I1294" t="s">
        <v>70</v>
      </c>
      <c r="J1294" t="s">
        <v>63</v>
      </c>
      <c r="K1294" s="4">
        <v>46143</v>
      </c>
      <c r="L1294" s="4">
        <v>46233</v>
      </c>
      <c r="M1294" t="s">
        <v>38</v>
      </c>
      <c r="N1294" t="s">
        <v>49</v>
      </c>
      <c r="O1294">
        <v>3</v>
      </c>
      <c r="P1294" t="s">
        <v>54</v>
      </c>
      <c r="Q1294" s="4">
        <v>46172</v>
      </c>
      <c r="R1294" t="s">
        <v>38</v>
      </c>
      <c r="S1294" t="s">
        <v>38</v>
      </c>
      <c r="T1294" t="s">
        <v>3153</v>
      </c>
      <c r="U1294" t="s">
        <v>49</v>
      </c>
      <c r="V1294" t="s">
        <v>3154</v>
      </c>
    </row>
    <row r="1295" spans="1:22" x14ac:dyDescent="0.2">
      <c r="A1295" t="s">
        <v>2654</v>
      </c>
      <c r="B1295" t="s">
        <v>2655</v>
      </c>
      <c r="C1295" t="s">
        <v>78</v>
      </c>
      <c r="D1295" t="s">
        <v>79</v>
      </c>
      <c r="E1295" t="s">
        <v>53</v>
      </c>
      <c r="F1295" t="s">
        <v>45</v>
      </c>
      <c r="G1295" t="s">
        <v>61</v>
      </c>
      <c r="H1295" t="s">
        <v>88</v>
      </c>
      <c r="I1295" t="s">
        <v>54</v>
      </c>
      <c r="J1295" t="s">
        <v>37</v>
      </c>
      <c r="K1295" s="4">
        <v>46105</v>
      </c>
      <c r="L1295" s="4">
        <v>46470</v>
      </c>
      <c r="M1295" t="s">
        <v>64</v>
      </c>
      <c r="N1295" t="s">
        <v>55</v>
      </c>
      <c r="O1295">
        <v>3</v>
      </c>
      <c r="P1295" t="s">
        <v>39</v>
      </c>
      <c r="Q1295" s="4">
        <v>46412</v>
      </c>
      <c r="R1295" t="s">
        <v>84</v>
      </c>
      <c r="S1295" t="s">
        <v>3155</v>
      </c>
      <c r="T1295" t="s">
        <v>3153</v>
      </c>
      <c r="U1295" t="s">
        <v>55</v>
      </c>
      <c r="V1295" t="s">
        <v>3154</v>
      </c>
    </row>
    <row r="1296" spans="1:22" x14ac:dyDescent="0.2">
      <c r="A1296" t="s">
        <v>2656</v>
      </c>
      <c r="B1296" t="s">
        <v>2657</v>
      </c>
      <c r="C1296" t="s">
        <v>42</v>
      </c>
      <c r="D1296" t="s">
        <v>43</v>
      </c>
      <c r="E1296" t="s">
        <v>91</v>
      </c>
      <c r="F1296" t="s">
        <v>34</v>
      </c>
      <c r="G1296" t="s">
        <v>35</v>
      </c>
      <c r="H1296" t="s">
        <v>88</v>
      </c>
      <c r="I1296" t="s">
        <v>62</v>
      </c>
      <c r="J1296" t="s">
        <v>48</v>
      </c>
      <c r="K1296" s="4">
        <v>46079</v>
      </c>
      <c r="L1296" s="4">
        <v>46444</v>
      </c>
      <c r="M1296" t="s">
        <v>64</v>
      </c>
      <c r="N1296" t="s">
        <v>75</v>
      </c>
      <c r="O1296">
        <v>3</v>
      </c>
      <c r="P1296" t="s">
        <v>111</v>
      </c>
      <c r="Q1296" s="4">
        <v>46128</v>
      </c>
      <c r="R1296" t="s">
        <v>64</v>
      </c>
      <c r="S1296" t="s">
        <v>3155</v>
      </c>
      <c r="T1296" t="s">
        <v>3153</v>
      </c>
      <c r="U1296" t="s">
        <v>75</v>
      </c>
      <c r="V1296" t="s">
        <v>3154</v>
      </c>
    </row>
    <row r="1297" spans="1:22" x14ac:dyDescent="0.2">
      <c r="A1297" t="s">
        <v>2658</v>
      </c>
      <c r="B1297" t="s">
        <v>2659</v>
      </c>
      <c r="C1297" t="s">
        <v>31</v>
      </c>
      <c r="D1297" t="s">
        <v>83</v>
      </c>
      <c r="E1297" t="s">
        <v>60</v>
      </c>
      <c r="F1297" t="s">
        <v>45</v>
      </c>
      <c r="G1297" t="s">
        <v>46</v>
      </c>
      <c r="H1297" t="s">
        <v>88</v>
      </c>
      <c r="I1297" t="s">
        <v>62</v>
      </c>
      <c r="J1297" t="s">
        <v>63</v>
      </c>
      <c r="K1297" s="4">
        <v>46203</v>
      </c>
      <c r="L1297" s="4">
        <v>46293</v>
      </c>
      <c r="M1297" t="s">
        <v>38</v>
      </c>
      <c r="N1297" t="s">
        <v>75</v>
      </c>
      <c r="O1297">
        <v>1</v>
      </c>
      <c r="P1297" t="s">
        <v>54</v>
      </c>
      <c r="Q1297" s="4">
        <v>46323</v>
      </c>
      <c r="R1297" t="s">
        <v>64</v>
      </c>
      <c r="S1297" t="s">
        <v>38</v>
      </c>
      <c r="T1297" t="s">
        <v>3153</v>
      </c>
      <c r="U1297" t="s">
        <v>75</v>
      </c>
      <c r="V1297" t="s">
        <v>3154</v>
      </c>
    </row>
    <row r="1298" spans="1:22" x14ac:dyDescent="0.2">
      <c r="A1298" t="s">
        <v>2660</v>
      </c>
      <c r="B1298" t="s">
        <v>2661</v>
      </c>
      <c r="C1298" t="s">
        <v>31</v>
      </c>
      <c r="D1298" t="s">
        <v>83</v>
      </c>
      <c r="E1298" t="s">
        <v>60</v>
      </c>
      <c r="F1298" t="s">
        <v>67</v>
      </c>
      <c r="G1298" t="s">
        <v>118</v>
      </c>
      <c r="H1298" t="s">
        <v>88</v>
      </c>
      <c r="I1298" t="s">
        <v>54</v>
      </c>
      <c r="J1298" t="s">
        <v>63</v>
      </c>
      <c r="K1298" s="4">
        <v>45961</v>
      </c>
      <c r="L1298" s="4">
        <v>46051</v>
      </c>
      <c r="M1298" t="s">
        <v>38</v>
      </c>
      <c r="N1298" t="s">
        <v>75</v>
      </c>
      <c r="O1298">
        <v>1</v>
      </c>
      <c r="P1298" t="s">
        <v>111</v>
      </c>
      <c r="Q1298" s="4">
        <v>46247</v>
      </c>
      <c r="R1298" t="s">
        <v>38</v>
      </c>
      <c r="S1298" t="s">
        <v>38</v>
      </c>
      <c r="T1298" t="s">
        <v>3153</v>
      </c>
      <c r="U1298" t="s">
        <v>75</v>
      </c>
      <c r="V1298" t="s">
        <v>3154</v>
      </c>
    </row>
    <row r="1299" spans="1:22" x14ac:dyDescent="0.2">
      <c r="A1299" t="s">
        <v>2662</v>
      </c>
      <c r="B1299" t="s">
        <v>2663</v>
      </c>
      <c r="C1299" t="s">
        <v>31</v>
      </c>
      <c r="D1299" t="s">
        <v>83</v>
      </c>
      <c r="E1299" t="s">
        <v>80</v>
      </c>
      <c r="F1299" t="s">
        <v>34</v>
      </c>
      <c r="G1299" t="s">
        <v>35</v>
      </c>
      <c r="H1299" t="s">
        <v>47</v>
      </c>
      <c r="I1299" t="s">
        <v>70</v>
      </c>
      <c r="J1299" t="s">
        <v>48</v>
      </c>
      <c r="K1299" s="4">
        <v>46230</v>
      </c>
      <c r="L1299" s="4">
        <v>46410</v>
      </c>
      <c r="M1299" t="s">
        <v>64</v>
      </c>
      <c r="N1299" t="s">
        <v>55</v>
      </c>
      <c r="O1299">
        <v>1</v>
      </c>
      <c r="P1299" t="s">
        <v>62</v>
      </c>
      <c r="Q1299" s="4">
        <v>46298</v>
      </c>
      <c r="R1299" t="s">
        <v>84</v>
      </c>
      <c r="S1299" t="s">
        <v>3155</v>
      </c>
      <c r="T1299" t="s">
        <v>3153</v>
      </c>
      <c r="U1299" t="s">
        <v>55</v>
      </c>
      <c r="V1299" t="s">
        <v>3154</v>
      </c>
    </row>
    <row r="1300" spans="1:22" x14ac:dyDescent="0.2">
      <c r="A1300" t="s">
        <v>2664</v>
      </c>
      <c r="B1300" t="s">
        <v>2665</v>
      </c>
      <c r="C1300" t="s">
        <v>42</v>
      </c>
      <c r="D1300" t="s">
        <v>43</v>
      </c>
      <c r="E1300" t="s">
        <v>44</v>
      </c>
      <c r="F1300" t="s">
        <v>45</v>
      </c>
      <c r="G1300" t="s">
        <v>46</v>
      </c>
      <c r="H1300" t="s">
        <v>88</v>
      </c>
      <c r="I1300" t="s">
        <v>62</v>
      </c>
      <c r="J1300" t="s">
        <v>63</v>
      </c>
      <c r="K1300" s="4">
        <v>45818</v>
      </c>
      <c r="L1300" s="4">
        <v>45908</v>
      </c>
      <c r="M1300" t="s">
        <v>38</v>
      </c>
      <c r="N1300" t="s">
        <v>75</v>
      </c>
      <c r="O1300">
        <v>1</v>
      </c>
      <c r="P1300" t="s">
        <v>70</v>
      </c>
      <c r="Q1300" s="4">
        <v>46242</v>
      </c>
      <c r="R1300" t="s">
        <v>64</v>
      </c>
      <c r="S1300" t="s">
        <v>38</v>
      </c>
      <c r="T1300" t="s">
        <v>3153</v>
      </c>
      <c r="U1300" t="s">
        <v>75</v>
      </c>
      <c r="V1300" t="s">
        <v>3154</v>
      </c>
    </row>
    <row r="1301" spans="1:22" x14ac:dyDescent="0.2">
      <c r="A1301" t="s">
        <v>2666</v>
      </c>
      <c r="B1301" t="s">
        <v>2667</v>
      </c>
      <c r="C1301" t="s">
        <v>31</v>
      </c>
      <c r="D1301" t="s">
        <v>32</v>
      </c>
      <c r="E1301" t="s">
        <v>91</v>
      </c>
      <c r="F1301" t="s">
        <v>67</v>
      </c>
      <c r="G1301" t="s">
        <v>118</v>
      </c>
      <c r="H1301" t="s">
        <v>47</v>
      </c>
      <c r="I1301" t="s">
        <v>50</v>
      </c>
      <c r="J1301" t="s">
        <v>37</v>
      </c>
      <c r="K1301" s="4">
        <v>46091</v>
      </c>
      <c r="L1301" s="4">
        <v>46271</v>
      </c>
      <c r="M1301" t="s">
        <v>38</v>
      </c>
      <c r="N1301" t="s">
        <v>75</v>
      </c>
      <c r="O1301">
        <v>3</v>
      </c>
      <c r="P1301" t="s">
        <v>39</v>
      </c>
      <c r="Q1301" s="4">
        <v>46189</v>
      </c>
      <c r="R1301" t="s">
        <v>64</v>
      </c>
      <c r="S1301" t="s">
        <v>38</v>
      </c>
      <c r="T1301" t="s">
        <v>3153</v>
      </c>
      <c r="U1301" t="s">
        <v>75</v>
      </c>
      <c r="V1301" t="s">
        <v>3154</v>
      </c>
    </row>
    <row r="1302" spans="1:22" x14ac:dyDescent="0.2">
      <c r="A1302" t="s">
        <v>2668</v>
      </c>
      <c r="B1302" t="s">
        <v>2669</v>
      </c>
      <c r="C1302" t="s">
        <v>31</v>
      </c>
      <c r="D1302" t="s">
        <v>83</v>
      </c>
      <c r="E1302" t="s">
        <v>53</v>
      </c>
      <c r="F1302" t="s">
        <v>45</v>
      </c>
      <c r="G1302" t="s">
        <v>61</v>
      </c>
      <c r="H1302" t="s">
        <v>47</v>
      </c>
      <c r="I1302" t="s">
        <v>62</v>
      </c>
      <c r="J1302" t="s">
        <v>37</v>
      </c>
      <c r="K1302" s="4">
        <v>46070</v>
      </c>
      <c r="L1302" s="4">
        <v>46160</v>
      </c>
      <c r="M1302" t="s">
        <v>38</v>
      </c>
      <c r="N1302" t="s">
        <v>75</v>
      </c>
      <c r="O1302">
        <v>3</v>
      </c>
      <c r="P1302" t="s">
        <v>39</v>
      </c>
      <c r="Q1302" s="4">
        <v>46148</v>
      </c>
      <c r="R1302" t="s">
        <v>38</v>
      </c>
      <c r="S1302" t="s">
        <v>38</v>
      </c>
      <c r="T1302" t="s">
        <v>3153</v>
      </c>
      <c r="U1302" t="s">
        <v>75</v>
      </c>
      <c r="V1302" t="s">
        <v>3154</v>
      </c>
    </row>
    <row r="1303" spans="1:22" x14ac:dyDescent="0.2">
      <c r="A1303" t="s">
        <v>2670</v>
      </c>
      <c r="B1303" t="s">
        <v>2671</v>
      </c>
      <c r="C1303" t="s">
        <v>31</v>
      </c>
      <c r="D1303" t="s">
        <v>32</v>
      </c>
      <c r="E1303" t="s">
        <v>80</v>
      </c>
      <c r="F1303" t="s">
        <v>34</v>
      </c>
      <c r="G1303" t="s">
        <v>35</v>
      </c>
      <c r="H1303" t="s">
        <v>88</v>
      </c>
      <c r="I1303" t="s">
        <v>50</v>
      </c>
      <c r="J1303" t="s">
        <v>48</v>
      </c>
      <c r="K1303" s="4">
        <v>46226</v>
      </c>
      <c r="L1303" s="4">
        <v>46406</v>
      </c>
      <c r="M1303" t="s">
        <v>64</v>
      </c>
      <c r="N1303" t="s">
        <v>75</v>
      </c>
      <c r="O1303">
        <v>3</v>
      </c>
      <c r="P1303" t="s">
        <v>106</v>
      </c>
      <c r="Q1303" s="4">
        <v>46379</v>
      </c>
      <c r="R1303" t="s">
        <v>84</v>
      </c>
      <c r="S1303" t="s">
        <v>3155</v>
      </c>
      <c r="T1303" t="s">
        <v>3153</v>
      </c>
      <c r="U1303" t="s">
        <v>75</v>
      </c>
      <c r="V1303" t="s">
        <v>3154</v>
      </c>
    </row>
    <row r="1304" spans="1:22" x14ac:dyDescent="0.2">
      <c r="A1304" t="s">
        <v>2672</v>
      </c>
      <c r="B1304" t="s">
        <v>2673</v>
      </c>
      <c r="C1304" t="s">
        <v>96</v>
      </c>
      <c r="D1304" t="s">
        <v>97</v>
      </c>
      <c r="E1304" t="s">
        <v>80</v>
      </c>
      <c r="F1304" t="s">
        <v>34</v>
      </c>
      <c r="G1304" t="s">
        <v>35</v>
      </c>
      <c r="H1304" t="s">
        <v>88</v>
      </c>
      <c r="I1304" t="s">
        <v>56</v>
      </c>
      <c r="J1304" t="s">
        <v>63</v>
      </c>
      <c r="K1304" s="4">
        <v>45996</v>
      </c>
      <c r="L1304" s="4">
        <v>46176</v>
      </c>
      <c r="M1304" t="s">
        <v>38</v>
      </c>
      <c r="N1304" t="s">
        <v>49</v>
      </c>
      <c r="O1304">
        <v>1</v>
      </c>
      <c r="P1304" t="s">
        <v>62</v>
      </c>
      <c r="Q1304" s="4">
        <v>46412</v>
      </c>
      <c r="R1304" t="s">
        <v>84</v>
      </c>
      <c r="S1304" t="s">
        <v>38</v>
      </c>
      <c r="T1304" t="s">
        <v>3153</v>
      </c>
      <c r="U1304" t="s">
        <v>49</v>
      </c>
      <c r="V1304" t="s">
        <v>3154</v>
      </c>
    </row>
    <row r="1305" spans="1:22" x14ac:dyDescent="0.2">
      <c r="A1305" t="s">
        <v>2674</v>
      </c>
      <c r="B1305" t="s">
        <v>2675</v>
      </c>
      <c r="C1305" t="s">
        <v>31</v>
      </c>
      <c r="D1305" t="s">
        <v>87</v>
      </c>
      <c r="E1305" t="s">
        <v>91</v>
      </c>
      <c r="F1305" t="s">
        <v>34</v>
      </c>
      <c r="G1305" t="s">
        <v>35</v>
      </c>
      <c r="H1305" t="s">
        <v>36</v>
      </c>
      <c r="I1305" t="s">
        <v>70</v>
      </c>
      <c r="J1305" t="s">
        <v>48</v>
      </c>
      <c r="K1305" s="4">
        <v>46108</v>
      </c>
      <c r="L1305" s="4">
        <v>46288</v>
      </c>
      <c r="M1305" t="s">
        <v>38</v>
      </c>
      <c r="N1305" t="s">
        <v>49</v>
      </c>
      <c r="O1305">
        <v>2</v>
      </c>
      <c r="P1305" t="s">
        <v>50</v>
      </c>
      <c r="Q1305" s="4">
        <v>46275</v>
      </c>
      <c r="R1305" t="s">
        <v>38</v>
      </c>
      <c r="S1305" t="s">
        <v>38</v>
      </c>
      <c r="T1305" t="s">
        <v>3153</v>
      </c>
      <c r="U1305" t="s">
        <v>49</v>
      </c>
      <c r="V1305" t="s">
        <v>3152</v>
      </c>
    </row>
    <row r="1306" spans="1:22" x14ac:dyDescent="0.2">
      <c r="A1306" t="s">
        <v>2676</v>
      </c>
      <c r="B1306" t="s">
        <v>2677</v>
      </c>
      <c r="C1306" t="s">
        <v>31</v>
      </c>
      <c r="D1306" t="s">
        <v>32</v>
      </c>
      <c r="E1306" t="s">
        <v>105</v>
      </c>
      <c r="F1306" t="s">
        <v>34</v>
      </c>
      <c r="G1306" t="s">
        <v>35</v>
      </c>
      <c r="H1306" t="s">
        <v>36</v>
      </c>
      <c r="I1306" t="s">
        <v>111</v>
      </c>
      <c r="J1306" t="s">
        <v>48</v>
      </c>
      <c r="K1306" s="4">
        <v>46091</v>
      </c>
      <c r="L1306" s="4">
        <v>46181</v>
      </c>
      <c r="M1306" t="s">
        <v>38</v>
      </c>
      <c r="N1306" t="s">
        <v>49</v>
      </c>
      <c r="O1306">
        <v>3</v>
      </c>
      <c r="P1306" t="s">
        <v>62</v>
      </c>
      <c r="Q1306" s="4">
        <v>46137</v>
      </c>
      <c r="R1306" t="s">
        <v>38</v>
      </c>
      <c r="S1306" t="s">
        <v>38</v>
      </c>
      <c r="T1306" t="s">
        <v>3153</v>
      </c>
      <c r="U1306" t="s">
        <v>49</v>
      </c>
      <c r="V1306" t="s">
        <v>3152</v>
      </c>
    </row>
    <row r="1307" spans="1:22" x14ac:dyDescent="0.2">
      <c r="A1307" t="s">
        <v>2678</v>
      </c>
      <c r="B1307" t="s">
        <v>2679</v>
      </c>
      <c r="C1307" t="s">
        <v>42</v>
      </c>
      <c r="D1307" t="s">
        <v>43</v>
      </c>
      <c r="E1307" t="s">
        <v>44</v>
      </c>
      <c r="F1307" t="s">
        <v>34</v>
      </c>
      <c r="G1307" t="s">
        <v>35</v>
      </c>
      <c r="H1307" t="s">
        <v>36</v>
      </c>
      <c r="I1307" t="s">
        <v>62</v>
      </c>
      <c r="J1307" t="s">
        <v>37</v>
      </c>
      <c r="K1307" s="4">
        <v>46169</v>
      </c>
      <c r="L1307" s="4">
        <v>46349</v>
      </c>
      <c r="M1307" t="s">
        <v>64</v>
      </c>
      <c r="N1307" t="s">
        <v>75</v>
      </c>
      <c r="O1307">
        <v>5</v>
      </c>
      <c r="P1307" t="s">
        <v>39</v>
      </c>
      <c r="Q1307" s="4">
        <v>46179</v>
      </c>
      <c r="R1307" t="s">
        <v>64</v>
      </c>
      <c r="S1307" t="s">
        <v>3155</v>
      </c>
      <c r="T1307" t="s">
        <v>3153</v>
      </c>
      <c r="U1307" t="s">
        <v>75</v>
      </c>
      <c r="V1307" t="s">
        <v>3152</v>
      </c>
    </row>
    <row r="1308" spans="1:22" x14ac:dyDescent="0.2">
      <c r="A1308" t="s">
        <v>2680</v>
      </c>
      <c r="B1308" t="s">
        <v>2681</v>
      </c>
      <c r="C1308" t="s">
        <v>78</v>
      </c>
      <c r="D1308" t="s">
        <v>79</v>
      </c>
      <c r="E1308" t="s">
        <v>105</v>
      </c>
      <c r="F1308" t="s">
        <v>67</v>
      </c>
      <c r="G1308" t="s">
        <v>118</v>
      </c>
      <c r="H1308" t="s">
        <v>47</v>
      </c>
      <c r="I1308" t="s">
        <v>56</v>
      </c>
      <c r="J1308" t="s">
        <v>63</v>
      </c>
      <c r="K1308" s="4">
        <v>45862</v>
      </c>
      <c r="L1308" s="4">
        <v>45952</v>
      </c>
      <c r="M1308" t="s">
        <v>38</v>
      </c>
      <c r="N1308" t="s">
        <v>75</v>
      </c>
      <c r="O1308">
        <v>2</v>
      </c>
      <c r="P1308" t="s">
        <v>56</v>
      </c>
      <c r="Q1308" s="4">
        <v>46206</v>
      </c>
      <c r="R1308" t="s">
        <v>64</v>
      </c>
      <c r="S1308" t="s">
        <v>38</v>
      </c>
      <c r="T1308" t="s">
        <v>3153</v>
      </c>
      <c r="U1308" t="s">
        <v>75</v>
      </c>
      <c r="V1308" t="s">
        <v>3154</v>
      </c>
    </row>
    <row r="1309" spans="1:22" x14ac:dyDescent="0.2">
      <c r="A1309" t="s">
        <v>2682</v>
      </c>
      <c r="B1309" t="s">
        <v>2683</v>
      </c>
      <c r="C1309" t="s">
        <v>42</v>
      </c>
      <c r="D1309" t="s">
        <v>43</v>
      </c>
      <c r="E1309" t="s">
        <v>80</v>
      </c>
      <c r="F1309" t="s">
        <v>34</v>
      </c>
      <c r="G1309" t="s">
        <v>35</v>
      </c>
      <c r="H1309" t="s">
        <v>88</v>
      </c>
      <c r="I1309" t="s">
        <v>39</v>
      </c>
      <c r="J1309" t="s">
        <v>37</v>
      </c>
      <c r="K1309" s="4">
        <v>46108</v>
      </c>
      <c r="L1309" s="4">
        <v>46288</v>
      </c>
      <c r="M1309" t="s">
        <v>38</v>
      </c>
      <c r="N1309" t="s">
        <v>75</v>
      </c>
      <c r="O1309">
        <v>1</v>
      </c>
      <c r="P1309" t="s">
        <v>106</v>
      </c>
      <c r="Q1309" s="4">
        <v>46122</v>
      </c>
      <c r="R1309" t="s">
        <v>38</v>
      </c>
      <c r="S1309" t="s">
        <v>38</v>
      </c>
      <c r="T1309" t="s">
        <v>3153</v>
      </c>
      <c r="U1309" t="s">
        <v>75</v>
      </c>
      <c r="V1309" t="s">
        <v>3154</v>
      </c>
    </row>
    <row r="1310" spans="1:22" x14ac:dyDescent="0.2">
      <c r="A1310" t="s">
        <v>2684</v>
      </c>
      <c r="B1310" t="s">
        <v>2685</v>
      </c>
      <c r="C1310" t="s">
        <v>31</v>
      </c>
      <c r="D1310" t="s">
        <v>87</v>
      </c>
      <c r="E1310" t="s">
        <v>53</v>
      </c>
      <c r="F1310" t="s">
        <v>67</v>
      </c>
      <c r="G1310" t="s">
        <v>118</v>
      </c>
      <c r="H1310" t="s">
        <v>88</v>
      </c>
      <c r="I1310" t="s">
        <v>39</v>
      </c>
      <c r="J1310" t="s">
        <v>48</v>
      </c>
      <c r="K1310" s="4">
        <v>45983</v>
      </c>
      <c r="L1310" s="4">
        <v>46163</v>
      </c>
      <c r="M1310" t="s">
        <v>38</v>
      </c>
      <c r="N1310" t="s">
        <v>75</v>
      </c>
      <c r="O1310">
        <v>2</v>
      </c>
      <c r="P1310" t="s">
        <v>54</v>
      </c>
      <c r="Q1310" s="4">
        <v>46228</v>
      </c>
      <c r="R1310" t="s">
        <v>64</v>
      </c>
      <c r="S1310" t="s">
        <v>38</v>
      </c>
      <c r="T1310" t="s">
        <v>3153</v>
      </c>
      <c r="U1310" t="s">
        <v>75</v>
      </c>
      <c r="V1310" t="s">
        <v>3154</v>
      </c>
    </row>
    <row r="1311" spans="1:22" x14ac:dyDescent="0.2">
      <c r="A1311" t="s">
        <v>2686</v>
      </c>
      <c r="B1311" t="s">
        <v>2687</v>
      </c>
      <c r="C1311" t="s">
        <v>31</v>
      </c>
      <c r="D1311" t="s">
        <v>87</v>
      </c>
      <c r="E1311" t="s">
        <v>80</v>
      </c>
      <c r="F1311" t="s">
        <v>67</v>
      </c>
      <c r="G1311" t="s">
        <v>118</v>
      </c>
      <c r="H1311" t="s">
        <v>36</v>
      </c>
      <c r="I1311" t="s">
        <v>50</v>
      </c>
      <c r="J1311" t="s">
        <v>37</v>
      </c>
      <c r="K1311" s="4">
        <v>45838</v>
      </c>
      <c r="L1311" s="4">
        <v>46203</v>
      </c>
      <c r="M1311" t="s">
        <v>38</v>
      </c>
      <c r="N1311" t="s">
        <v>55</v>
      </c>
      <c r="O1311">
        <v>3</v>
      </c>
      <c r="P1311" t="s">
        <v>106</v>
      </c>
      <c r="Q1311" s="4">
        <v>46287</v>
      </c>
      <c r="R1311" t="s">
        <v>38</v>
      </c>
      <c r="S1311" t="s">
        <v>38</v>
      </c>
      <c r="T1311" t="s">
        <v>3153</v>
      </c>
      <c r="U1311" t="s">
        <v>55</v>
      </c>
      <c r="V1311" t="s">
        <v>3152</v>
      </c>
    </row>
    <row r="1312" spans="1:22" x14ac:dyDescent="0.2">
      <c r="A1312" t="s">
        <v>2688</v>
      </c>
      <c r="B1312" t="s">
        <v>2689</v>
      </c>
      <c r="C1312" t="s">
        <v>31</v>
      </c>
      <c r="D1312" t="s">
        <v>83</v>
      </c>
      <c r="E1312" t="s">
        <v>44</v>
      </c>
      <c r="F1312" t="s">
        <v>34</v>
      </c>
      <c r="G1312" t="s">
        <v>35</v>
      </c>
      <c r="H1312" t="s">
        <v>98</v>
      </c>
      <c r="I1312" t="s">
        <v>39</v>
      </c>
      <c r="J1312" t="s">
        <v>48</v>
      </c>
      <c r="K1312" s="4">
        <v>45920</v>
      </c>
      <c r="L1312" s="4">
        <v>46285</v>
      </c>
      <c r="M1312" t="s">
        <v>38</v>
      </c>
      <c r="N1312" t="s">
        <v>75</v>
      </c>
      <c r="O1312">
        <v>1</v>
      </c>
      <c r="P1312" t="s">
        <v>111</v>
      </c>
      <c r="Q1312" s="4">
        <v>46210</v>
      </c>
      <c r="R1312" t="s">
        <v>64</v>
      </c>
      <c r="S1312" t="s">
        <v>38</v>
      </c>
      <c r="T1312" t="s">
        <v>3153</v>
      </c>
      <c r="U1312" t="s">
        <v>75</v>
      </c>
      <c r="V1312" t="s">
        <v>3152</v>
      </c>
    </row>
    <row r="1313" spans="1:22" x14ac:dyDescent="0.2">
      <c r="A1313" t="s">
        <v>2690</v>
      </c>
      <c r="B1313" t="s">
        <v>2691</v>
      </c>
      <c r="C1313" t="s">
        <v>31</v>
      </c>
      <c r="D1313" t="s">
        <v>87</v>
      </c>
      <c r="E1313" t="s">
        <v>91</v>
      </c>
      <c r="F1313" t="s">
        <v>67</v>
      </c>
      <c r="G1313" t="s">
        <v>118</v>
      </c>
      <c r="H1313" t="s">
        <v>88</v>
      </c>
      <c r="I1313" t="s">
        <v>56</v>
      </c>
      <c r="J1313" t="s">
        <v>48</v>
      </c>
      <c r="K1313" s="4">
        <v>46070</v>
      </c>
      <c r="L1313" s="4">
        <v>46160</v>
      </c>
      <c r="M1313" t="s">
        <v>38</v>
      </c>
      <c r="N1313" t="s">
        <v>75</v>
      </c>
      <c r="O1313">
        <v>0</v>
      </c>
      <c r="P1313" t="s">
        <v>50</v>
      </c>
      <c r="Q1313" s="4">
        <v>46314</v>
      </c>
      <c r="R1313" t="s">
        <v>57</v>
      </c>
      <c r="S1313" t="s">
        <v>38</v>
      </c>
      <c r="T1313" t="s">
        <v>3153</v>
      </c>
      <c r="U1313" t="s">
        <v>75</v>
      </c>
      <c r="V1313" t="s">
        <v>3154</v>
      </c>
    </row>
    <row r="1314" spans="1:22" x14ac:dyDescent="0.2">
      <c r="A1314" t="s">
        <v>2692</v>
      </c>
      <c r="B1314" t="s">
        <v>2693</v>
      </c>
      <c r="C1314" t="s">
        <v>96</v>
      </c>
      <c r="D1314" t="s">
        <v>97</v>
      </c>
      <c r="E1314" t="s">
        <v>105</v>
      </c>
      <c r="F1314" t="s">
        <v>67</v>
      </c>
      <c r="G1314" t="s">
        <v>68</v>
      </c>
      <c r="H1314" t="s">
        <v>88</v>
      </c>
      <c r="I1314" t="s">
        <v>56</v>
      </c>
      <c r="J1314" t="s">
        <v>63</v>
      </c>
      <c r="K1314" s="4">
        <v>46002</v>
      </c>
      <c r="L1314" s="4">
        <v>46367</v>
      </c>
      <c r="M1314" t="s">
        <v>84</v>
      </c>
      <c r="N1314" t="s">
        <v>55</v>
      </c>
      <c r="O1314">
        <v>0</v>
      </c>
      <c r="P1314" t="s">
        <v>62</v>
      </c>
      <c r="Q1314" s="4">
        <v>46170</v>
      </c>
      <c r="R1314" t="s">
        <v>57</v>
      </c>
      <c r="S1314" t="s">
        <v>3155</v>
      </c>
      <c r="T1314" t="s">
        <v>3153</v>
      </c>
      <c r="U1314" t="s">
        <v>55</v>
      </c>
      <c r="V1314" t="s">
        <v>3154</v>
      </c>
    </row>
    <row r="1315" spans="1:22" x14ac:dyDescent="0.2">
      <c r="A1315" t="s">
        <v>2694</v>
      </c>
      <c r="B1315" t="s">
        <v>2695</v>
      </c>
      <c r="C1315" t="s">
        <v>96</v>
      </c>
      <c r="D1315" t="s">
        <v>97</v>
      </c>
      <c r="E1315" t="s">
        <v>60</v>
      </c>
      <c r="F1315" t="s">
        <v>67</v>
      </c>
      <c r="G1315" t="s">
        <v>118</v>
      </c>
      <c r="H1315" t="s">
        <v>47</v>
      </c>
      <c r="I1315" t="s">
        <v>70</v>
      </c>
      <c r="J1315" t="s">
        <v>63</v>
      </c>
      <c r="K1315" s="4">
        <v>46187</v>
      </c>
      <c r="L1315" s="4">
        <v>46552</v>
      </c>
      <c r="M1315" t="s">
        <v>69</v>
      </c>
      <c r="N1315" t="s">
        <v>75</v>
      </c>
      <c r="O1315">
        <v>0</v>
      </c>
      <c r="P1315" t="s">
        <v>62</v>
      </c>
      <c r="Q1315" s="4">
        <v>46254</v>
      </c>
      <c r="R1315" t="s">
        <v>57</v>
      </c>
      <c r="S1315" t="s">
        <v>3155</v>
      </c>
      <c r="T1315" t="s">
        <v>3153</v>
      </c>
      <c r="U1315" t="s">
        <v>75</v>
      </c>
      <c r="V1315" t="s">
        <v>3154</v>
      </c>
    </row>
    <row r="1316" spans="1:22" x14ac:dyDescent="0.2">
      <c r="A1316" t="s">
        <v>2696</v>
      </c>
      <c r="B1316" t="s">
        <v>2697</v>
      </c>
      <c r="C1316" t="s">
        <v>42</v>
      </c>
      <c r="D1316" t="s">
        <v>43</v>
      </c>
      <c r="E1316" t="s">
        <v>91</v>
      </c>
      <c r="F1316" t="s">
        <v>67</v>
      </c>
      <c r="G1316" t="s">
        <v>68</v>
      </c>
      <c r="H1316" t="s">
        <v>36</v>
      </c>
      <c r="I1316" t="s">
        <v>70</v>
      </c>
      <c r="J1316" t="s">
        <v>63</v>
      </c>
      <c r="K1316" s="4">
        <v>46200</v>
      </c>
      <c r="L1316" s="4">
        <v>46565</v>
      </c>
      <c r="M1316" t="s">
        <v>64</v>
      </c>
      <c r="N1316" t="s">
        <v>55</v>
      </c>
      <c r="O1316">
        <v>0</v>
      </c>
      <c r="P1316" t="s">
        <v>111</v>
      </c>
      <c r="Q1316" s="4">
        <v>46219</v>
      </c>
      <c r="R1316" t="s">
        <v>57</v>
      </c>
      <c r="S1316" t="s">
        <v>3155</v>
      </c>
      <c r="T1316" t="s">
        <v>3153</v>
      </c>
      <c r="U1316" t="s">
        <v>55</v>
      </c>
      <c r="V1316" t="s">
        <v>3152</v>
      </c>
    </row>
    <row r="1317" spans="1:22" x14ac:dyDescent="0.2">
      <c r="A1317" t="s">
        <v>2698</v>
      </c>
      <c r="B1317" t="s">
        <v>2699</v>
      </c>
      <c r="C1317" t="s">
        <v>31</v>
      </c>
      <c r="D1317" t="s">
        <v>83</v>
      </c>
      <c r="E1317" t="s">
        <v>80</v>
      </c>
      <c r="F1317" t="s">
        <v>67</v>
      </c>
      <c r="G1317" t="s">
        <v>68</v>
      </c>
      <c r="H1317" t="s">
        <v>88</v>
      </c>
      <c r="I1317" t="s">
        <v>62</v>
      </c>
      <c r="J1317" t="s">
        <v>37</v>
      </c>
      <c r="K1317" s="4">
        <v>45832</v>
      </c>
      <c r="L1317" s="4">
        <v>46197</v>
      </c>
      <c r="M1317" t="s">
        <v>38</v>
      </c>
      <c r="N1317" t="s">
        <v>55</v>
      </c>
      <c r="O1317">
        <v>3</v>
      </c>
      <c r="P1317" t="s">
        <v>50</v>
      </c>
      <c r="Q1317" s="4">
        <v>46398</v>
      </c>
      <c r="R1317" t="s">
        <v>84</v>
      </c>
      <c r="S1317" t="s">
        <v>38</v>
      </c>
      <c r="T1317" t="s">
        <v>3153</v>
      </c>
      <c r="U1317" t="s">
        <v>55</v>
      </c>
      <c r="V1317" t="s">
        <v>3154</v>
      </c>
    </row>
    <row r="1318" spans="1:22" x14ac:dyDescent="0.2">
      <c r="A1318" t="s">
        <v>2700</v>
      </c>
      <c r="B1318" t="s">
        <v>2701</v>
      </c>
      <c r="C1318" t="s">
        <v>42</v>
      </c>
      <c r="D1318" t="s">
        <v>43</v>
      </c>
      <c r="E1318" t="s">
        <v>105</v>
      </c>
      <c r="F1318" t="s">
        <v>67</v>
      </c>
      <c r="G1318" t="s">
        <v>68</v>
      </c>
      <c r="H1318" t="s">
        <v>88</v>
      </c>
      <c r="J1318" t="s">
        <v>48</v>
      </c>
      <c r="K1318" s="4">
        <v>45920</v>
      </c>
      <c r="L1318" s="4">
        <v>46010</v>
      </c>
      <c r="M1318" t="s">
        <v>38</v>
      </c>
      <c r="N1318" t="s">
        <v>49</v>
      </c>
      <c r="O1318">
        <v>2</v>
      </c>
      <c r="P1318" t="s">
        <v>62</v>
      </c>
      <c r="Q1318" s="4">
        <v>46244</v>
      </c>
      <c r="R1318" t="s">
        <v>38</v>
      </c>
      <c r="S1318" t="s">
        <v>38</v>
      </c>
      <c r="T1318" t="s">
        <v>3150</v>
      </c>
      <c r="U1318" t="s">
        <v>49</v>
      </c>
      <c r="V1318" t="s">
        <v>3154</v>
      </c>
    </row>
    <row r="1319" spans="1:22" x14ac:dyDescent="0.2">
      <c r="A1319" t="s">
        <v>2702</v>
      </c>
      <c r="B1319" t="s">
        <v>2703</v>
      </c>
      <c r="C1319" t="s">
        <v>31</v>
      </c>
      <c r="D1319" t="s">
        <v>83</v>
      </c>
      <c r="E1319" t="s">
        <v>91</v>
      </c>
      <c r="F1319" t="s">
        <v>67</v>
      </c>
      <c r="G1319" t="s">
        <v>118</v>
      </c>
      <c r="H1319" t="s">
        <v>88</v>
      </c>
      <c r="I1319" t="s">
        <v>111</v>
      </c>
      <c r="J1319" t="s">
        <v>48</v>
      </c>
      <c r="K1319" s="4">
        <v>46102</v>
      </c>
      <c r="L1319" s="4">
        <v>46467</v>
      </c>
      <c r="M1319" t="s">
        <v>64</v>
      </c>
      <c r="N1319" t="s">
        <v>55</v>
      </c>
      <c r="O1319">
        <v>0</v>
      </c>
      <c r="P1319" t="s">
        <v>111</v>
      </c>
      <c r="Q1319" s="4">
        <v>46172</v>
      </c>
      <c r="R1319" t="s">
        <v>57</v>
      </c>
      <c r="S1319" t="s">
        <v>3155</v>
      </c>
      <c r="T1319" t="s">
        <v>3153</v>
      </c>
      <c r="U1319" t="s">
        <v>55</v>
      </c>
      <c r="V1319" t="s">
        <v>3154</v>
      </c>
    </row>
    <row r="1320" spans="1:22" x14ac:dyDescent="0.2">
      <c r="A1320" t="s">
        <v>2704</v>
      </c>
      <c r="B1320" t="s">
        <v>2705</v>
      </c>
      <c r="C1320" t="s">
        <v>31</v>
      </c>
      <c r="D1320" t="s">
        <v>83</v>
      </c>
      <c r="E1320" t="s">
        <v>91</v>
      </c>
      <c r="F1320" t="s">
        <v>67</v>
      </c>
      <c r="G1320" t="s">
        <v>118</v>
      </c>
      <c r="H1320" t="s">
        <v>98</v>
      </c>
      <c r="I1320" t="s">
        <v>70</v>
      </c>
      <c r="J1320" t="s">
        <v>48</v>
      </c>
      <c r="K1320" s="4">
        <v>46045</v>
      </c>
      <c r="L1320" s="4">
        <v>46225</v>
      </c>
      <c r="M1320" t="s">
        <v>38</v>
      </c>
      <c r="N1320" t="s">
        <v>75</v>
      </c>
      <c r="O1320">
        <v>1</v>
      </c>
      <c r="P1320" t="s">
        <v>39</v>
      </c>
      <c r="Q1320" s="4">
        <v>46239</v>
      </c>
      <c r="R1320" t="s">
        <v>38</v>
      </c>
      <c r="S1320" t="s">
        <v>38</v>
      </c>
      <c r="T1320" t="s">
        <v>3153</v>
      </c>
      <c r="U1320" t="s">
        <v>75</v>
      </c>
      <c r="V1320" t="s">
        <v>3152</v>
      </c>
    </row>
    <row r="1321" spans="1:22" x14ac:dyDescent="0.2">
      <c r="A1321" t="s">
        <v>2706</v>
      </c>
      <c r="B1321" t="s">
        <v>2707</v>
      </c>
      <c r="C1321" t="s">
        <v>31</v>
      </c>
      <c r="D1321" t="s">
        <v>87</v>
      </c>
      <c r="E1321" t="s">
        <v>91</v>
      </c>
      <c r="F1321" t="s">
        <v>45</v>
      </c>
      <c r="G1321" t="s">
        <v>61</v>
      </c>
      <c r="H1321" t="s">
        <v>47</v>
      </c>
      <c r="I1321" t="s">
        <v>70</v>
      </c>
      <c r="J1321" t="s">
        <v>48</v>
      </c>
      <c r="K1321" s="4">
        <v>45816</v>
      </c>
      <c r="L1321" s="4">
        <v>45996</v>
      </c>
      <c r="M1321" t="s">
        <v>38</v>
      </c>
      <c r="N1321" t="s">
        <v>75</v>
      </c>
      <c r="O1321">
        <v>0</v>
      </c>
      <c r="P1321" t="s">
        <v>62</v>
      </c>
      <c r="Q1321" s="4">
        <v>46392</v>
      </c>
      <c r="R1321" t="s">
        <v>57</v>
      </c>
      <c r="S1321" t="s">
        <v>38</v>
      </c>
      <c r="T1321" t="s">
        <v>3153</v>
      </c>
      <c r="U1321" t="s">
        <v>75</v>
      </c>
      <c r="V1321" t="s">
        <v>3154</v>
      </c>
    </row>
    <row r="1322" spans="1:22" x14ac:dyDescent="0.2">
      <c r="A1322" t="s">
        <v>2708</v>
      </c>
      <c r="B1322" t="s">
        <v>2709</v>
      </c>
      <c r="C1322" t="s">
        <v>103</v>
      </c>
      <c r="D1322" t="s">
        <v>104</v>
      </c>
      <c r="E1322" t="s">
        <v>53</v>
      </c>
      <c r="F1322" t="s">
        <v>45</v>
      </c>
      <c r="G1322" t="s">
        <v>46</v>
      </c>
      <c r="H1322" t="s">
        <v>88</v>
      </c>
      <c r="I1322" t="s">
        <v>54</v>
      </c>
      <c r="J1322" t="s">
        <v>48</v>
      </c>
      <c r="K1322" s="4">
        <v>46259</v>
      </c>
      <c r="L1322" s="4">
        <v>46439</v>
      </c>
      <c r="M1322" t="s">
        <v>84</v>
      </c>
      <c r="N1322" t="s">
        <v>75</v>
      </c>
      <c r="O1322">
        <v>1</v>
      </c>
      <c r="P1322" t="s">
        <v>56</v>
      </c>
      <c r="Q1322" s="4">
        <v>46251</v>
      </c>
      <c r="R1322" t="s">
        <v>38</v>
      </c>
      <c r="S1322" t="s">
        <v>3155</v>
      </c>
      <c r="T1322" t="s">
        <v>3153</v>
      </c>
      <c r="U1322" t="s">
        <v>75</v>
      </c>
      <c r="V1322" t="s">
        <v>3154</v>
      </c>
    </row>
    <row r="1323" spans="1:22" x14ac:dyDescent="0.2">
      <c r="A1323" t="s">
        <v>2710</v>
      </c>
      <c r="B1323" t="s">
        <v>2711</v>
      </c>
      <c r="C1323" t="s">
        <v>42</v>
      </c>
      <c r="D1323" t="s">
        <v>43</v>
      </c>
      <c r="E1323" t="s">
        <v>91</v>
      </c>
      <c r="F1323" t="s">
        <v>45</v>
      </c>
      <c r="G1323" t="s">
        <v>46</v>
      </c>
      <c r="H1323" t="s">
        <v>36</v>
      </c>
      <c r="I1323" t="s">
        <v>70</v>
      </c>
      <c r="J1323" t="s">
        <v>48</v>
      </c>
      <c r="K1323" s="4">
        <v>46012</v>
      </c>
      <c r="L1323" s="4">
        <v>46102</v>
      </c>
      <c r="M1323" t="s">
        <v>38</v>
      </c>
      <c r="N1323" t="s">
        <v>49</v>
      </c>
      <c r="O1323">
        <v>3</v>
      </c>
      <c r="P1323" t="s">
        <v>62</v>
      </c>
      <c r="Q1323" s="4">
        <v>46340</v>
      </c>
      <c r="R1323" t="s">
        <v>84</v>
      </c>
      <c r="S1323" t="s">
        <v>38</v>
      </c>
      <c r="T1323" t="s">
        <v>3153</v>
      </c>
      <c r="U1323" t="s">
        <v>49</v>
      </c>
      <c r="V1323" t="s">
        <v>3152</v>
      </c>
    </row>
    <row r="1324" spans="1:22" x14ac:dyDescent="0.2">
      <c r="A1324" t="s">
        <v>2712</v>
      </c>
      <c r="B1324" t="s">
        <v>2713</v>
      </c>
      <c r="C1324" t="s">
        <v>31</v>
      </c>
      <c r="D1324" t="s">
        <v>32</v>
      </c>
      <c r="E1324" t="s">
        <v>53</v>
      </c>
      <c r="F1324" t="s">
        <v>67</v>
      </c>
      <c r="G1324" t="s">
        <v>68</v>
      </c>
      <c r="H1324" t="s">
        <v>47</v>
      </c>
      <c r="I1324" t="s">
        <v>106</v>
      </c>
      <c r="J1324" t="s">
        <v>63</v>
      </c>
      <c r="K1324" s="4">
        <v>46142</v>
      </c>
      <c r="L1324" s="4">
        <v>46322</v>
      </c>
      <c r="M1324" t="s">
        <v>64</v>
      </c>
      <c r="N1324" t="s">
        <v>49</v>
      </c>
      <c r="O1324">
        <v>1</v>
      </c>
      <c r="P1324" t="s">
        <v>54</v>
      </c>
      <c r="Q1324" s="4">
        <v>46388</v>
      </c>
      <c r="R1324" t="s">
        <v>84</v>
      </c>
      <c r="S1324" t="s">
        <v>3155</v>
      </c>
      <c r="T1324" t="s">
        <v>3153</v>
      </c>
      <c r="U1324" t="s">
        <v>49</v>
      </c>
      <c r="V1324" t="s">
        <v>3154</v>
      </c>
    </row>
    <row r="1325" spans="1:22" x14ac:dyDescent="0.2">
      <c r="A1325" t="s">
        <v>2714</v>
      </c>
      <c r="B1325" t="s">
        <v>2715</v>
      </c>
      <c r="C1325" t="s">
        <v>42</v>
      </c>
      <c r="D1325" t="s">
        <v>43</v>
      </c>
      <c r="E1325" t="s">
        <v>105</v>
      </c>
      <c r="F1325" t="s">
        <v>67</v>
      </c>
      <c r="G1325" t="s">
        <v>68</v>
      </c>
      <c r="H1325" t="s">
        <v>88</v>
      </c>
      <c r="I1325" t="s">
        <v>106</v>
      </c>
      <c r="J1325" t="s">
        <v>63</v>
      </c>
      <c r="K1325" s="4">
        <v>46152</v>
      </c>
      <c r="L1325" s="4">
        <v>46517</v>
      </c>
      <c r="M1325" t="s">
        <v>84</v>
      </c>
      <c r="N1325" t="s">
        <v>49</v>
      </c>
      <c r="O1325">
        <v>3</v>
      </c>
      <c r="P1325" t="s">
        <v>62</v>
      </c>
      <c r="Q1325" s="4">
        <v>46372</v>
      </c>
      <c r="R1325" t="s">
        <v>84</v>
      </c>
      <c r="S1325" t="s">
        <v>3155</v>
      </c>
      <c r="T1325" t="s">
        <v>3153</v>
      </c>
      <c r="U1325" t="s">
        <v>49</v>
      </c>
      <c r="V1325" t="s">
        <v>3154</v>
      </c>
    </row>
    <row r="1326" spans="1:22" x14ac:dyDescent="0.2">
      <c r="A1326" t="s">
        <v>2716</v>
      </c>
      <c r="B1326" t="s">
        <v>2717</v>
      </c>
      <c r="C1326" t="s">
        <v>73</v>
      </c>
      <c r="D1326" t="s">
        <v>74</v>
      </c>
      <c r="E1326" t="s">
        <v>60</v>
      </c>
      <c r="F1326" t="s">
        <v>34</v>
      </c>
      <c r="G1326" t="s">
        <v>35</v>
      </c>
      <c r="H1326" t="s">
        <v>88</v>
      </c>
      <c r="I1326" t="s">
        <v>50</v>
      </c>
      <c r="J1326" t="s">
        <v>63</v>
      </c>
      <c r="K1326" s="4">
        <v>45822</v>
      </c>
      <c r="L1326" s="4">
        <v>46187</v>
      </c>
      <c r="M1326" t="s">
        <v>38</v>
      </c>
      <c r="N1326" t="s">
        <v>49</v>
      </c>
      <c r="O1326">
        <v>0</v>
      </c>
      <c r="P1326" t="s">
        <v>50</v>
      </c>
      <c r="Q1326" s="4">
        <v>46271</v>
      </c>
      <c r="R1326" t="s">
        <v>57</v>
      </c>
      <c r="S1326" t="s">
        <v>38</v>
      </c>
      <c r="T1326" t="s">
        <v>3153</v>
      </c>
      <c r="U1326" t="s">
        <v>49</v>
      </c>
      <c r="V1326" t="s">
        <v>3154</v>
      </c>
    </row>
    <row r="1327" spans="1:22" x14ac:dyDescent="0.2">
      <c r="A1327" t="s">
        <v>2718</v>
      </c>
      <c r="B1327" t="s">
        <v>2719</v>
      </c>
      <c r="C1327" t="s">
        <v>78</v>
      </c>
      <c r="D1327" t="s">
        <v>79</v>
      </c>
      <c r="E1327" t="s">
        <v>53</v>
      </c>
      <c r="F1327" t="s">
        <v>67</v>
      </c>
      <c r="G1327" t="s">
        <v>68</v>
      </c>
      <c r="H1327" t="s">
        <v>36</v>
      </c>
      <c r="I1327" t="s">
        <v>50</v>
      </c>
      <c r="J1327" t="s">
        <v>37</v>
      </c>
      <c r="K1327" s="4">
        <v>46146</v>
      </c>
      <c r="L1327" s="4">
        <v>46326</v>
      </c>
      <c r="M1327" t="s">
        <v>64</v>
      </c>
      <c r="N1327" t="s">
        <v>55</v>
      </c>
      <c r="O1327">
        <v>5</v>
      </c>
      <c r="P1327" t="s">
        <v>50</v>
      </c>
      <c r="Q1327" s="4">
        <v>46391</v>
      </c>
      <c r="R1327" t="s">
        <v>84</v>
      </c>
      <c r="S1327" t="s">
        <v>3155</v>
      </c>
      <c r="T1327" t="s">
        <v>3153</v>
      </c>
      <c r="U1327" t="s">
        <v>55</v>
      </c>
      <c r="V1327" t="s">
        <v>3152</v>
      </c>
    </row>
    <row r="1328" spans="1:22" x14ac:dyDescent="0.2">
      <c r="A1328" t="s">
        <v>2720</v>
      </c>
      <c r="B1328" t="s">
        <v>2721</v>
      </c>
      <c r="C1328" t="s">
        <v>31</v>
      </c>
      <c r="D1328" t="s">
        <v>32</v>
      </c>
      <c r="E1328" t="s">
        <v>44</v>
      </c>
      <c r="F1328" t="s">
        <v>67</v>
      </c>
      <c r="G1328" t="s">
        <v>68</v>
      </c>
      <c r="H1328" t="s">
        <v>36</v>
      </c>
      <c r="I1328" t="s">
        <v>54</v>
      </c>
      <c r="J1328" t="s">
        <v>48</v>
      </c>
      <c r="K1328" s="4">
        <v>45972</v>
      </c>
      <c r="L1328" s="4">
        <v>46152</v>
      </c>
      <c r="M1328" t="s">
        <v>38</v>
      </c>
      <c r="N1328" t="s">
        <v>55</v>
      </c>
      <c r="O1328">
        <v>4</v>
      </c>
      <c r="P1328" t="s">
        <v>111</v>
      </c>
      <c r="Q1328" s="4">
        <v>46235</v>
      </c>
      <c r="R1328" t="s">
        <v>64</v>
      </c>
      <c r="S1328" t="s">
        <v>38</v>
      </c>
      <c r="T1328" t="s">
        <v>3153</v>
      </c>
      <c r="U1328" t="s">
        <v>55</v>
      </c>
      <c r="V1328" t="s">
        <v>3152</v>
      </c>
    </row>
    <row r="1329" spans="1:22" x14ac:dyDescent="0.2">
      <c r="A1329" t="s">
        <v>2722</v>
      </c>
      <c r="B1329" t="s">
        <v>2723</v>
      </c>
      <c r="C1329" t="s">
        <v>31</v>
      </c>
      <c r="D1329" t="s">
        <v>83</v>
      </c>
      <c r="E1329" t="s">
        <v>44</v>
      </c>
      <c r="F1329" t="s">
        <v>45</v>
      </c>
      <c r="G1329" t="s">
        <v>61</v>
      </c>
      <c r="H1329" t="s">
        <v>98</v>
      </c>
      <c r="I1329" t="s">
        <v>54</v>
      </c>
      <c r="J1329" t="s">
        <v>48</v>
      </c>
      <c r="K1329" s="4">
        <v>46187</v>
      </c>
      <c r="L1329" s="4">
        <v>46552</v>
      </c>
      <c r="M1329" t="s">
        <v>84</v>
      </c>
      <c r="N1329" t="s">
        <v>49</v>
      </c>
      <c r="O1329">
        <v>4</v>
      </c>
      <c r="P1329" t="s">
        <v>39</v>
      </c>
      <c r="Q1329" s="4">
        <v>46400</v>
      </c>
      <c r="R1329" t="s">
        <v>84</v>
      </c>
      <c r="S1329" t="s">
        <v>3155</v>
      </c>
      <c r="T1329" t="s">
        <v>3153</v>
      </c>
      <c r="U1329" t="s">
        <v>49</v>
      </c>
      <c r="V1329" t="s">
        <v>3152</v>
      </c>
    </row>
    <row r="1330" spans="1:22" x14ac:dyDescent="0.2">
      <c r="A1330" t="s">
        <v>2724</v>
      </c>
      <c r="B1330" t="s">
        <v>2725</v>
      </c>
      <c r="C1330" t="s">
        <v>31</v>
      </c>
      <c r="D1330" t="s">
        <v>87</v>
      </c>
      <c r="E1330" t="s">
        <v>44</v>
      </c>
      <c r="F1330" t="s">
        <v>45</v>
      </c>
      <c r="G1330" t="s">
        <v>46</v>
      </c>
      <c r="H1330" t="s">
        <v>47</v>
      </c>
      <c r="I1330" t="s">
        <v>39</v>
      </c>
      <c r="J1330" t="s">
        <v>63</v>
      </c>
      <c r="K1330" s="4">
        <v>46267</v>
      </c>
      <c r="L1330" s="4">
        <v>46357</v>
      </c>
      <c r="M1330" t="s">
        <v>69</v>
      </c>
      <c r="O1330">
        <v>3</v>
      </c>
      <c r="P1330" t="s">
        <v>111</v>
      </c>
      <c r="Q1330" s="4">
        <v>46337</v>
      </c>
      <c r="R1330" t="s">
        <v>84</v>
      </c>
      <c r="S1330" t="s">
        <v>3155</v>
      </c>
      <c r="T1330" t="s">
        <v>3153</v>
      </c>
      <c r="U1330" t="s">
        <v>3151</v>
      </c>
      <c r="V1330" t="s">
        <v>3154</v>
      </c>
    </row>
    <row r="1331" spans="1:22" x14ac:dyDescent="0.2">
      <c r="A1331" t="s">
        <v>2726</v>
      </c>
      <c r="B1331" t="s">
        <v>2727</v>
      </c>
      <c r="C1331" t="s">
        <v>42</v>
      </c>
      <c r="D1331" t="s">
        <v>43</v>
      </c>
      <c r="E1331" t="s">
        <v>105</v>
      </c>
      <c r="F1331" t="s">
        <v>34</v>
      </c>
      <c r="G1331" t="s">
        <v>35</v>
      </c>
      <c r="H1331" t="s">
        <v>47</v>
      </c>
      <c r="I1331" t="s">
        <v>70</v>
      </c>
      <c r="J1331" t="s">
        <v>63</v>
      </c>
      <c r="K1331" s="4">
        <v>45857</v>
      </c>
      <c r="L1331" s="4">
        <v>46037</v>
      </c>
      <c r="M1331" t="s">
        <v>38</v>
      </c>
      <c r="N1331" t="s">
        <v>55</v>
      </c>
      <c r="O1331">
        <v>2</v>
      </c>
      <c r="P1331" t="s">
        <v>54</v>
      </c>
      <c r="Q1331" s="4">
        <v>46311</v>
      </c>
      <c r="R1331" t="s">
        <v>84</v>
      </c>
      <c r="S1331" t="s">
        <v>38</v>
      </c>
      <c r="T1331" t="s">
        <v>3153</v>
      </c>
      <c r="U1331" t="s">
        <v>55</v>
      </c>
      <c r="V1331" t="s">
        <v>3154</v>
      </c>
    </row>
    <row r="1332" spans="1:22" x14ac:dyDescent="0.2">
      <c r="A1332" t="s">
        <v>2728</v>
      </c>
      <c r="B1332" t="s">
        <v>2729</v>
      </c>
      <c r="C1332" t="s">
        <v>103</v>
      </c>
      <c r="D1332" t="s">
        <v>104</v>
      </c>
      <c r="E1332" t="s">
        <v>53</v>
      </c>
      <c r="F1332" t="s">
        <v>34</v>
      </c>
      <c r="G1332" t="s">
        <v>35</v>
      </c>
      <c r="H1332" t="s">
        <v>88</v>
      </c>
      <c r="I1332" t="s">
        <v>70</v>
      </c>
      <c r="J1332" t="s">
        <v>37</v>
      </c>
      <c r="K1332" s="4">
        <v>45974</v>
      </c>
      <c r="L1332" s="4">
        <v>46339</v>
      </c>
      <c r="M1332" t="s">
        <v>69</v>
      </c>
      <c r="N1332" t="s">
        <v>75</v>
      </c>
      <c r="O1332">
        <v>3</v>
      </c>
      <c r="P1332" t="s">
        <v>62</v>
      </c>
      <c r="Q1332" s="4">
        <v>46396</v>
      </c>
      <c r="R1332" t="s">
        <v>84</v>
      </c>
      <c r="S1332" t="s">
        <v>3155</v>
      </c>
      <c r="T1332" t="s">
        <v>3153</v>
      </c>
      <c r="U1332" t="s">
        <v>75</v>
      </c>
      <c r="V1332" t="s">
        <v>3154</v>
      </c>
    </row>
    <row r="1333" spans="1:22" x14ac:dyDescent="0.2">
      <c r="A1333" t="s">
        <v>2730</v>
      </c>
      <c r="B1333" t="s">
        <v>2731</v>
      </c>
      <c r="C1333" t="s">
        <v>42</v>
      </c>
      <c r="D1333" t="s">
        <v>43</v>
      </c>
      <c r="E1333" t="s">
        <v>91</v>
      </c>
      <c r="F1333" t="s">
        <v>34</v>
      </c>
      <c r="G1333" t="s">
        <v>35</v>
      </c>
      <c r="H1333" t="s">
        <v>36</v>
      </c>
      <c r="I1333" t="s">
        <v>39</v>
      </c>
      <c r="J1333" t="s">
        <v>63</v>
      </c>
      <c r="K1333" s="4">
        <v>46274</v>
      </c>
      <c r="L1333" s="4">
        <v>46364</v>
      </c>
      <c r="M1333" t="s">
        <v>84</v>
      </c>
      <c r="N1333" t="s">
        <v>75</v>
      </c>
      <c r="O1333">
        <v>3</v>
      </c>
      <c r="P1333" t="s">
        <v>62</v>
      </c>
      <c r="Q1333" s="4">
        <v>46208</v>
      </c>
      <c r="R1333" t="s">
        <v>64</v>
      </c>
      <c r="S1333" t="s">
        <v>3155</v>
      </c>
      <c r="T1333" t="s">
        <v>3153</v>
      </c>
      <c r="U1333" t="s">
        <v>75</v>
      </c>
      <c r="V1333" t="s">
        <v>3152</v>
      </c>
    </row>
    <row r="1334" spans="1:22" x14ac:dyDescent="0.2">
      <c r="A1334" t="s">
        <v>2732</v>
      </c>
      <c r="B1334" t="s">
        <v>2733</v>
      </c>
      <c r="C1334" t="s">
        <v>31</v>
      </c>
      <c r="D1334" t="s">
        <v>32</v>
      </c>
      <c r="E1334" t="s">
        <v>53</v>
      </c>
      <c r="F1334" t="s">
        <v>67</v>
      </c>
      <c r="G1334" t="s">
        <v>68</v>
      </c>
      <c r="H1334" t="s">
        <v>47</v>
      </c>
      <c r="I1334" t="s">
        <v>39</v>
      </c>
      <c r="J1334" t="s">
        <v>63</v>
      </c>
      <c r="K1334" s="4">
        <v>46052</v>
      </c>
      <c r="L1334" s="4">
        <v>46232</v>
      </c>
      <c r="M1334" t="s">
        <v>38</v>
      </c>
      <c r="N1334" t="s">
        <v>49</v>
      </c>
      <c r="O1334">
        <v>3</v>
      </c>
      <c r="P1334" t="s">
        <v>62</v>
      </c>
      <c r="Q1334" s="4">
        <v>46331</v>
      </c>
      <c r="R1334" t="s">
        <v>64</v>
      </c>
      <c r="S1334" t="s">
        <v>38</v>
      </c>
      <c r="T1334" t="s">
        <v>3153</v>
      </c>
      <c r="U1334" t="s">
        <v>49</v>
      </c>
      <c r="V1334" t="s">
        <v>3154</v>
      </c>
    </row>
    <row r="1335" spans="1:22" x14ac:dyDescent="0.2">
      <c r="A1335" t="s">
        <v>2734</v>
      </c>
      <c r="B1335" t="s">
        <v>2735</v>
      </c>
      <c r="C1335" t="s">
        <v>42</v>
      </c>
      <c r="D1335" t="s">
        <v>43</v>
      </c>
      <c r="E1335" t="s">
        <v>105</v>
      </c>
      <c r="F1335" t="s">
        <v>67</v>
      </c>
      <c r="G1335" t="s">
        <v>118</v>
      </c>
      <c r="H1335" t="s">
        <v>36</v>
      </c>
      <c r="I1335" t="s">
        <v>54</v>
      </c>
      <c r="J1335" t="s">
        <v>63</v>
      </c>
      <c r="K1335" s="4">
        <v>46131</v>
      </c>
      <c r="L1335" s="4">
        <v>46221</v>
      </c>
      <c r="M1335" t="s">
        <v>38</v>
      </c>
      <c r="N1335" t="s">
        <v>75</v>
      </c>
      <c r="O1335">
        <v>4</v>
      </c>
      <c r="P1335" t="s">
        <v>111</v>
      </c>
      <c r="Q1335" s="4">
        <v>46280</v>
      </c>
      <c r="R1335" t="s">
        <v>64</v>
      </c>
      <c r="S1335" t="s">
        <v>38</v>
      </c>
      <c r="T1335" t="s">
        <v>3153</v>
      </c>
      <c r="U1335" t="s">
        <v>75</v>
      </c>
      <c r="V1335" t="s">
        <v>3152</v>
      </c>
    </row>
    <row r="1336" spans="1:22" x14ac:dyDescent="0.2">
      <c r="A1336" t="s">
        <v>2736</v>
      </c>
      <c r="B1336" t="s">
        <v>2737</v>
      </c>
      <c r="C1336" t="s">
        <v>78</v>
      </c>
      <c r="D1336" t="s">
        <v>79</v>
      </c>
      <c r="E1336" t="s">
        <v>53</v>
      </c>
      <c r="F1336" t="s">
        <v>45</v>
      </c>
      <c r="G1336" t="s">
        <v>46</v>
      </c>
      <c r="H1336" t="s">
        <v>36</v>
      </c>
      <c r="I1336" t="s">
        <v>54</v>
      </c>
      <c r="J1336" t="s">
        <v>63</v>
      </c>
      <c r="K1336" s="4">
        <v>46055</v>
      </c>
      <c r="L1336" s="4">
        <v>46235</v>
      </c>
      <c r="M1336" t="s">
        <v>38</v>
      </c>
      <c r="N1336" t="s">
        <v>49</v>
      </c>
      <c r="O1336">
        <v>1</v>
      </c>
      <c r="P1336" t="s">
        <v>62</v>
      </c>
      <c r="Q1336" s="4">
        <v>46265</v>
      </c>
      <c r="R1336" t="s">
        <v>38</v>
      </c>
      <c r="S1336" t="s">
        <v>38</v>
      </c>
      <c r="T1336" t="s">
        <v>3153</v>
      </c>
      <c r="U1336" t="s">
        <v>49</v>
      </c>
      <c r="V1336" t="s">
        <v>3152</v>
      </c>
    </row>
    <row r="1337" spans="1:22" x14ac:dyDescent="0.2">
      <c r="A1337" t="s">
        <v>2738</v>
      </c>
      <c r="B1337" t="s">
        <v>2739</v>
      </c>
      <c r="C1337" t="s">
        <v>31</v>
      </c>
      <c r="D1337" t="s">
        <v>32</v>
      </c>
      <c r="E1337" t="s">
        <v>60</v>
      </c>
      <c r="F1337" t="s">
        <v>45</v>
      </c>
      <c r="G1337" t="s">
        <v>61</v>
      </c>
      <c r="H1337" t="s">
        <v>88</v>
      </c>
      <c r="I1337" t="s">
        <v>39</v>
      </c>
      <c r="J1337" t="s">
        <v>63</v>
      </c>
      <c r="K1337" s="4">
        <v>46005</v>
      </c>
      <c r="L1337" s="4">
        <v>46095</v>
      </c>
      <c r="M1337" t="s">
        <v>38</v>
      </c>
      <c r="N1337" t="s">
        <v>49</v>
      </c>
      <c r="O1337">
        <v>3</v>
      </c>
      <c r="P1337" t="s">
        <v>111</v>
      </c>
      <c r="Q1337" s="4">
        <v>46400</v>
      </c>
      <c r="R1337" t="s">
        <v>84</v>
      </c>
      <c r="S1337" t="s">
        <v>38</v>
      </c>
      <c r="T1337" t="s">
        <v>3153</v>
      </c>
      <c r="U1337" t="s">
        <v>49</v>
      </c>
      <c r="V1337" t="s">
        <v>3154</v>
      </c>
    </row>
    <row r="1338" spans="1:22" x14ac:dyDescent="0.2">
      <c r="A1338" t="s">
        <v>2740</v>
      </c>
      <c r="B1338" t="s">
        <v>2741</v>
      </c>
      <c r="C1338" t="s">
        <v>103</v>
      </c>
      <c r="D1338" t="s">
        <v>104</v>
      </c>
      <c r="E1338" t="s">
        <v>53</v>
      </c>
      <c r="F1338" t="s">
        <v>34</v>
      </c>
      <c r="G1338" t="s">
        <v>35</v>
      </c>
      <c r="H1338" t="s">
        <v>47</v>
      </c>
      <c r="I1338" t="s">
        <v>62</v>
      </c>
      <c r="J1338" t="s">
        <v>48</v>
      </c>
      <c r="K1338" s="4">
        <v>46183</v>
      </c>
      <c r="L1338" s="4">
        <v>46363</v>
      </c>
      <c r="M1338" t="s">
        <v>64</v>
      </c>
      <c r="N1338" t="s">
        <v>55</v>
      </c>
      <c r="O1338">
        <v>3</v>
      </c>
      <c r="P1338" t="s">
        <v>70</v>
      </c>
      <c r="Q1338" s="4">
        <v>46308</v>
      </c>
      <c r="R1338" t="s">
        <v>64</v>
      </c>
      <c r="S1338" t="s">
        <v>3155</v>
      </c>
      <c r="T1338" t="s">
        <v>3153</v>
      </c>
      <c r="U1338" t="s">
        <v>55</v>
      </c>
      <c r="V1338" t="s">
        <v>3154</v>
      </c>
    </row>
    <row r="1339" spans="1:22" x14ac:dyDescent="0.2">
      <c r="A1339" t="s">
        <v>2742</v>
      </c>
      <c r="B1339" t="s">
        <v>2743</v>
      </c>
      <c r="C1339" t="s">
        <v>31</v>
      </c>
      <c r="D1339" t="s">
        <v>32</v>
      </c>
      <c r="E1339" t="s">
        <v>91</v>
      </c>
      <c r="F1339" t="s">
        <v>45</v>
      </c>
      <c r="G1339" t="s">
        <v>61</v>
      </c>
      <c r="H1339" t="s">
        <v>36</v>
      </c>
      <c r="I1339" t="s">
        <v>106</v>
      </c>
      <c r="J1339" t="s">
        <v>48</v>
      </c>
      <c r="K1339" s="4">
        <v>46043</v>
      </c>
      <c r="L1339" s="4">
        <v>46408</v>
      </c>
      <c r="M1339" t="s">
        <v>64</v>
      </c>
      <c r="N1339" t="s">
        <v>49</v>
      </c>
      <c r="O1339">
        <v>1</v>
      </c>
      <c r="P1339" t="s">
        <v>106</v>
      </c>
      <c r="Q1339" s="4">
        <v>46309</v>
      </c>
      <c r="R1339" t="s">
        <v>64</v>
      </c>
      <c r="S1339" t="s">
        <v>3155</v>
      </c>
      <c r="T1339" t="s">
        <v>3153</v>
      </c>
      <c r="U1339" t="s">
        <v>49</v>
      </c>
      <c r="V1339" t="s">
        <v>3152</v>
      </c>
    </row>
    <row r="1340" spans="1:22" x14ac:dyDescent="0.2">
      <c r="A1340" t="s">
        <v>2744</v>
      </c>
      <c r="B1340" t="s">
        <v>2745</v>
      </c>
      <c r="C1340" t="s">
        <v>96</v>
      </c>
      <c r="D1340" t="s">
        <v>97</v>
      </c>
      <c r="E1340" t="s">
        <v>80</v>
      </c>
      <c r="F1340" t="s">
        <v>45</v>
      </c>
      <c r="G1340" t="s">
        <v>46</v>
      </c>
      <c r="H1340" t="s">
        <v>88</v>
      </c>
      <c r="I1340" t="s">
        <v>106</v>
      </c>
      <c r="J1340" t="s">
        <v>37</v>
      </c>
      <c r="K1340" s="4">
        <v>46215</v>
      </c>
      <c r="L1340" s="4">
        <v>46395</v>
      </c>
      <c r="M1340" t="s">
        <v>64</v>
      </c>
      <c r="N1340" t="s">
        <v>75</v>
      </c>
      <c r="O1340">
        <v>0</v>
      </c>
      <c r="P1340" t="s">
        <v>50</v>
      </c>
      <c r="Q1340" s="4">
        <v>46185</v>
      </c>
      <c r="R1340" t="s">
        <v>57</v>
      </c>
      <c r="S1340" t="s">
        <v>3155</v>
      </c>
      <c r="T1340" t="s">
        <v>3153</v>
      </c>
      <c r="U1340" t="s">
        <v>75</v>
      </c>
      <c r="V1340" t="s">
        <v>3154</v>
      </c>
    </row>
    <row r="1341" spans="1:22" x14ac:dyDescent="0.2">
      <c r="A1341" t="s">
        <v>2746</v>
      </c>
      <c r="B1341" t="s">
        <v>2747</v>
      </c>
      <c r="C1341" t="s">
        <v>31</v>
      </c>
      <c r="D1341" t="s">
        <v>83</v>
      </c>
      <c r="E1341" t="s">
        <v>60</v>
      </c>
      <c r="F1341" t="s">
        <v>45</v>
      </c>
      <c r="G1341" t="s">
        <v>46</v>
      </c>
      <c r="H1341" t="s">
        <v>88</v>
      </c>
      <c r="I1341" t="s">
        <v>50</v>
      </c>
      <c r="J1341" t="s">
        <v>48</v>
      </c>
      <c r="K1341" s="4">
        <v>46132</v>
      </c>
      <c r="L1341" s="4">
        <v>46222</v>
      </c>
      <c r="M1341" t="s">
        <v>38</v>
      </c>
      <c r="N1341" t="s">
        <v>49</v>
      </c>
      <c r="O1341">
        <v>3</v>
      </c>
      <c r="P1341" t="s">
        <v>111</v>
      </c>
      <c r="Q1341" s="4">
        <v>46185</v>
      </c>
      <c r="R1341" t="s">
        <v>38</v>
      </c>
      <c r="S1341" t="s">
        <v>38</v>
      </c>
      <c r="T1341" t="s">
        <v>3153</v>
      </c>
      <c r="U1341" t="s">
        <v>49</v>
      </c>
      <c r="V1341" t="s">
        <v>3154</v>
      </c>
    </row>
    <row r="1342" spans="1:22" x14ac:dyDescent="0.2">
      <c r="A1342" t="s">
        <v>2748</v>
      </c>
      <c r="B1342" t="s">
        <v>2749</v>
      </c>
      <c r="C1342" t="s">
        <v>73</v>
      </c>
      <c r="D1342" t="s">
        <v>74</v>
      </c>
      <c r="E1342" t="s">
        <v>80</v>
      </c>
      <c r="F1342" t="s">
        <v>67</v>
      </c>
      <c r="G1342" t="s">
        <v>68</v>
      </c>
      <c r="H1342" t="s">
        <v>47</v>
      </c>
      <c r="I1342" t="s">
        <v>56</v>
      </c>
      <c r="J1342" t="s">
        <v>37</v>
      </c>
      <c r="K1342" s="4">
        <v>45906</v>
      </c>
      <c r="L1342" s="4">
        <v>46271</v>
      </c>
      <c r="M1342" t="s">
        <v>38</v>
      </c>
      <c r="N1342" t="s">
        <v>75</v>
      </c>
      <c r="O1342">
        <v>2</v>
      </c>
      <c r="P1342" t="s">
        <v>106</v>
      </c>
      <c r="Q1342" s="4">
        <v>46182</v>
      </c>
      <c r="R1342" t="s">
        <v>64</v>
      </c>
      <c r="S1342" t="s">
        <v>38</v>
      </c>
      <c r="T1342" t="s">
        <v>3153</v>
      </c>
      <c r="U1342" t="s">
        <v>75</v>
      </c>
      <c r="V1342" t="s">
        <v>3154</v>
      </c>
    </row>
    <row r="1343" spans="1:22" x14ac:dyDescent="0.2">
      <c r="A1343" t="s">
        <v>2750</v>
      </c>
      <c r="B1343" t="s">
        <v>2751</v>
      </c>
      <c r="C1343" t="s">
        <v>31</v>
      </c>
      <c r="D1343" t="s">
        <v>87</v>
      </c>
      <c r="E1343" t="s">
        <v>53</v>
      </c>
      <c r="F1343" t="s">
        <v>67</v>
      </c>
      <c r="G1343" t="s">
        <v>68</v>
      </c>
      <c r="H1343" t="s">
        <v>88</v>
      </c>
      <c r="I1343" t="s">
        <v>50</v>
      </c>
      <c r="J1343" t="s">
        <v>48</v>
      </c>
      <c r="K1343" s="4">
        <v>46274</v>
      </c>
      <c r="L1343" s="4">
        <v>46639</v>
      </c>
      <c r="M1343" t="s">
        <v>64</v>
      </c>
      <c r="N1343" t="s">
        <v>75</v>
      </c>
      <c r="O1343">
        <v>3</v>
      </c>
      <c r="P1343" t="s">
        <v>70</v>
      </c>
      <c r="Q1343" s="4">
        <v>46115</v>
      </c>
      <c r="R1343" t="s">
        <v>38</v>
      </c>
      <c r="S1343" t="s">
        <v>3155</v>
      </c>
      <c r="T1343" t="s">
        <v>3153</v>
      </c>
      <c r="U1343" t="s">
        <v>75</v>
      </c>
      <c r="V1343" t="s">
        <v>3154</v>
      </c>
    </row>
    <row r="1344" spans="1:22" x14ac:dyDescent="0.2">
      <c r="A1344" t="s">
        <v>2752</v>
      </c>
      <c r="B1344" t="s">
        <v>2753</v>
      </c>
      <c r="C1344" t="s">
        <v>31</v>
      </c>
      <c r="D1344" t="s">
        <v>83</v>
      </c>
      <c r="E1344" t="s">
        <v>44</v>
      </c>
      <c r="F1344" t="s">
        <v>34</v>
      </c>
      <c r="G1344" t="s">
        <v>35</v>
      </c>
      <c r="H1344" t="s">
        <v>98</v>
      </c>
      <c r="I1344" t="s">
        <v>106</v>
      </c>
      <c r="J1344" t="s">
        <v>37</v>
      </c>
      <c r="K1344" s="4">
        <v>46066</v>
      </c>
      <c r="L1344" s="4">
        <v>46246</v>
      </c>
      <c r="M1344" t="s">
        <v>38</v>
      </c>
      <c r="N1344" t="s">
        <v>55</v>
      </c>
      <c r="O1344">
        <v>3</v>
      </c>
      <c r="P1344" t="s">
        <v>50</v>
      </c>
      <c r="Q1344" s="4">
        <v>46202</v>
      </c>
      <c r="R1344" t="s">
        <v>64</v>
      </c>
      <c r="S1344" t="s">
        <v>38</v>
      </c>
      <c r="T1344" t="s">
        <v>3153</v>
      </c>
      <c r="U1344" t="s">
        <v>55</v>
      </c>
      <c r="V1344" t="s">
        <v>3152</v>
      </c>
    </row>
    <row r="1345" spans="1:22" x14ac:dyDescent="0.2">
      <c r="A1345" t="s">
        <v>2754</v>
      </c>
      <c r="B1345" t="s">
        <v>2755</v>
      </c>
      <c r="C1345" t="s">
        <v>96</v>
      </c>
      <c r="D1345" t="s">
        <v>97</v>
      </c>
      <c r="E1345" t="s">
        <v>60</v>
      </c>
      <c r="F1345" t="s">
        <v>34</v>
      </c>
      <c r="G1345" t="s">
        <v>35</v>
      </c>
      <c r="H1345" t="s">
        <v>88</v>
      </c>
      <c r="I1345" t="s">
        <v>56</v>
      </c>
      <c r="J1345" t="s">
        <v>48</v>
      </c>
      <c r="K1345" s="4">
        <v>46273</v>
      </c>
      <c r="L1345" s="4">
        <v>46363</v>
      </c>
      <c r="M1345" t="s">
        <v>64</v>
      </c>
      <c r="N1345" t="s">
        <v>49</v>
      </c>
      <c r="O1345">
        <v>1</v>
      </c>
      <c r="P1345" t="s">
        <v>50</v>
      </c>
      <c r="Q1345" s="4">
        <v>46197</v>
      </c>
      <c r="R1345" t="s">
        <v>38</v>
      </c>
      <c r="S1345" t="s">
        <v>3155</v>
      </c>
      <c r="T1345" t="s">
        <v>3153</v>
      </c>
      <c r="U1345" t="s">
        <v>49</v>
      </c>
      <c r="V1345" t="s">
        <v>3154</v>
      </c>
    </row>
    <row r="1346" spans="1:22" x14ac:dyDescent="0.2">
      <c r="A1346" t="s">
        <v>2756</v>
      </c>
      <c r="B1346" t="s">
        <v>2757</v>
      </c>
      <c r="C1346" t="s">
        <v>73</v>
      </c>
      <c r="D1346" t="s">
        <v>74</v>
      </c>
      <c r="E1346" t="s">
        <v>80</v>
      </c>
      <c r="F1346" t="s">
        <v>67</v>
      </c>
      <c r="G1346" t="s">
        <v>68</v>
      </c>
      <c r="H1346" t="s">
        <v>98</v>
      </c>
      <c r="I1346" t="s">
        <v>106</v>
      </c>
      <c r="J1346" t="s">
        <v>63</v>
      </c>
      <c r="K1346" s="4">
        <v>46272</v>
      </c>
      <c r="L1346" s="4">
        <v>46452</v>
      </c>
      <c r="M1346" t="s">
        <v>64</v>
      </c>
      <c r="N1346" t="s">
        <v>75</v>
      </c>
      <c r="O1346">
        <v>4</v>
      </c>
      <c r="P1346" t="s">
        <v>50</v>
      </c>
      <c r="Q1346" s="4">
        <v>46145</v>
      </c>
      <c r="R1346" t="s">
        <v>64</v>
      </c>
      <c r="S1346" t="s">
        <v>3155</v>
      </c>
      <c r="T1346" t="s">
        <v>3153</v>
      </c>
      <c r="U1346" t="s">
        <v>75</v>
      </c>
      <c r="V1346" t="s">
        <v>3152</v>
      </c>
    </row>
    <row r="1347" spans="1:22" x14ac:dyDescent="0.2">
      <c r="A1347" t="s">
        <v>2758</v>
      </c>
      <c r="B1347" t="s">
        <v>2759</v>
      </c>
      <c r="C1347" t="s">
        <v>103</v>
      </c>
      <c r="D1347" t="s">
        <v>104</v>
      </c>
      <c r="E1347" t="s">
        <v>91</v>
      </c>
      <c r="F1347" t="s">
        <v>67</v>
      </c>
      <c r="G1347" t="s">
        <v>68</v>
      </c>
      <c r="H1347" t="s">
        <v>47</v>
      </c>
      <c r="I1347" t="s">
        <v>50</v>
      </c>
      <c r="J1347" t="s">
        <v>37</v>
      </c>
      <c r="K1347" s="4">
        <v>46057</v>
      </c>
      <c r="L1347" s="4">
        <v>46147</v>
      </c>
      <c r="M1347" t="s">
        <v>38</v>
      </c>
      <c r="N1347" t="s">
        <v>49</v>
      </c>
      <c r="O1347">
        <v>0</v>
      </c>
      <c r="P1347" t="s">
        <v>39</v>
      </c>
      <c r="Q1347" s="4">
        <v>46300</v>
      </c>
      <c r="R1347" t="s">
        <v>57</v>
      </c>
      <c r="S1347" t="s">
        <v>38</v>
      </c>
      <c r="T1347" t="s">
        <v>3153</v>
      </c>
      <c r="U1347" t="s">
        <v>49</v>
      </c>
      <c r="V1347" t="s">
        <v>3154</v>
      </c>
    </row>
    <row r="1348" spans="1:22" x14ac:dyDescent="0.2">
      <c r="A1348" t="s">
        <v>2760</v>
      </c>
      <c r="B1348" t="s">
        <v>2761</v>
      </c>
      <c r="C1348" t="s">
        <v>31</v>
      </c>
      <c r="D1348" t="s">
        <v>32</v>
      </c>
      <c r="E1348" t="s">
        <v>44</v>
      </c>
      <c r="F1348" t="s">
        <v>34</v>
      </c>
      <c r="G1348" t="s">
        <v>35</v>
      </c>
      <c r="H1348" t="s">
        <v>47</v>
      </c>
      <c r="I1348" t="s">
        <v>111</v>
      </c>
      <c r="J1348" t="s">
        <v>63</v>
      </c>
      <c r="K1348" s="4">
        <v>46239</v>
      </c>
      <c r="L1348" s="4">
        <v>46419</v>
      </c>
      <c r="M1348" t="s">
        <v>84</v>
      </c>
      <c r="N1348" t="s">
        <v>55</v>
      </c>
      <c r="O1348">
        <v>3</v>
      </c>
      <c r="P1348" t="s">
        <v>56</v>
      </c>
      <c r="Q1348" s="4">
        <v>46246</v>
      </c>
      <c r="R1348" t="s">
        <v>38</v>
      </c>
      <c r="S1348" t="s">
        <v>3155</v>
      </c>
      <c r="T1348" t="s">
        <v>3153</v>
      </c>
      <c r="U1348" t="s">
        <v>55</v>
      </c>
      <c r="V1348" t="s">
        <v>3154</v>
      </c>
    </row>
    <row r="1349" spans="1:22" x14ac:dyDescent="0.2">
      <c r="A1349" t="s">
        <v>2762</v>
      </c>
      <c r="B1349" t="s">
        <v>2763</v>
      </c>
      <c r="C1349" t="s">
        <v>103</v>
      </c>
      <c r="D1349" t="s">
        <v>104</v>
      </c>
      <c r="E1349" t="s">
        <v>91</v>
      </c>
      <c r="F1349" t="s">
        <v>34</v>
      </c>
      <c r="G1349" t="s">
        <v>35</v>
      </c>
      <c r="H1349" t="s">
        <v>47</v>
      </c>
      <c r="I1349" t="s">
        <v>50</v>
      </c>
      <c r="J1349" t="s">
        <v>37</v>
      </c>
      <c r="K1349" s="4">
        <v>45867</v>
      </c>
      <c r="L1349" s="4">
        <v>46232</v>
      </c>
      <c r="M1349" t="s">
        <v>38</v>
      </c>
      <c r="N1349" t="s">
        <v>49</v>
      </c>
      <c r="O1349">
        <v>3</v>
      </c>
      <c r="P1349" t="s">
        <v>106</v>
      </c>
      <c r="Q1349" s="4">
        <v>46326</v>
      </c>
      <c r="R1349" t="s">
        <v>84</v>
      </c>
      <c r="S1349" t="s">
        <v>38</v>
      </c>
      <c r="T1349" t="s">
        <v>3153</v>
      </c>
      <c r="U1349" t="s">
        <v>49</v>
      </c>
      <c r="V1349" t="s">
        <v>3154</v>
      </c>
    </row>
    <row r="1350" spans="1:22" x14ac:dyDescent="0.2">
      <c r="A1350" t="s">
        <v>2764</v>
      </c>
      <c r="B1350" t="s">
        <v>2765</v>
      </c>
      <c r="C1350" t="s">
        <v>96</v>
      </c>
      <c r="D1350" t="s">
        <v>97</v>
      </c>
      <c r="E1350" t="s">
        <v>53</v>
      </c>
      <c r="F1350" t="s">
        <v>45</v>
      </c>
      <c r="G1350" t="s">
        <v>61</v>
      </c>
      <c r="H1350" t="s">
        <v>98</v>
      </c>
      <c r="I1350" t="s">
        <v>70</v>
      </c>
      <c r="J1350" t="s">
        <v>37</v>
      </c>
      <c r="K1350" s="4">
        <v>46064</v>
      </c>
      <c r="L1350" s="4">
        <v>46429</v>
      </c>
      <c r="M1350" t="s">
        <v>64</v>
      </c>
      <c r="N1350" t="s">
        <v>49</v>
      </c>
      <c r="O1350">
        <v>5</v>
      </c>
      <c r="P1350" t="s">
        <v>70</v>
      </c>
      <c r="Q1350" s="4">
        <v>46378</v>
      </c>
      <c r="R1350" t="s">
        <v>84</v>
      </c>
      <c r="S1350" t="s">
        <v>3155</v>
      </c>
      <c r="T1350" t="s">
        <v>3153</v>
      </c>
      <c r="U1350" t="s">
        <v>49</v>
      </c>
      <c r="V1350" t="s">
        <v>3152</v>
      </c>
    </row>
    <row r="1351" spans="1:22" x14ac:dyDescent="0.2">
      <c r="A1351" t="s">
        <v>2766</v>
      </c>
      <c r="B1351" t="s">
        <v>2767</v>
      </c>
      <c r="C1351" t="s">
        <v>42</v>
      </c>
      <c r="D1351" t="s">
        <v>43</v>
      </c>
      <c r="E1351" t="s">
        <v>105</v>
      </c>
      <c r="F1351" t="s">
        <v>45</v>
      </c>
      <c r="G1351" t="s">
        <v>46</v>
      </c>
      <c r="H1351" t="s">
        <v>47</v>
      </c>
      <c r="I1351" t="s">
        <v>39</v>
      </c>
      <c r="J1351" t="s">
        <v>63</v>
      </c>
      <c r="K1351" s="4">
        <v>46197</v>
      </c>
      <c r="L1351" s="4">
        <v>46377</v>
      </c>
      <c r="M1351" t="s">
        <v>69</v>
      </c>
      <c r="N1351" t="s">
        <v>55</v>
      </c>
      <c r="O1351">
        <v>1</v>
      </c>
      <c r="P1351" t="s">
        <v>106</v>
      </c>
      <c r="Q1351" s="4">
        <v>46150</v>
      </c>
      <c r="R1351" t="s">
        <v>38</v>
      </c>
      <c r="S1351" t="s">
        <v>3155</v>
      </c>
      <c r="T1351" t="s">
        <v>3153</v>
      </c>
      <c r="U1351" t="s">
        <v>55</v>
      </c>
      <c r="V1351" t="s">
        <v>3154</v>
      </c>
    </row>
    <row r="1352" spans="1:22" x14ac:dyDescent="0.2">
      <c r="A1352" t="s">
        <v>2768</v>
      </c>
      <c r="B1352" t="s">
        <v>2769</v>
      </c>
      <c r="C1352" t="s">
        <v>42</v>
      </c>
      <c r="D1352" t="s">
        <v>43</v>
      </c>
      <c r="E1352" t="s">
        <v>60</v>
      </c>
      <c r="F1352" t="s">
        <v>67</v>
      </c>
      <c r="G1352" t="s">
        <v>118</v>
      </c>
      <c r="H1352" t="s">
        <v>36</v>
      </c>
      <c r="I1352" t="s">
        <v>54</v>
      </c>
      <c r="J1352" t="s">
        <v>37</v>
      </c>
      <c r="K1352" s="4">
        <v>46103</v>
      </c>
      <c r="L1352" s="4">
        <v>46193</v>
      </c>
      <c r="M1352" t="s">
        <v>38</v>
      </c>
      <c r="N1352" t="s">
        <v>75</v>
      </c>
      <c r="O1352">
        <v>4</v>
      </c>
      <c r="P1352" t="s">
        <v>39</v>
      </c>
      <c r="Q1352" s="4">
        <v>46145</v>
      </c>
      <c r="R1352" t="s">
        <v>38</v>
      </c>
      <c r="S1352" t="s">
        <v>38</v>
      </c>
      <c r="T1352" t="s">
        <v>3153</v>
      </c>
      <c r="U1352" t="s">
        <v>75</v>
      </c>
      <c r="V1352" t="s">
        <v>3152</v>
      </c>
    </row>
    <row r="1353" spans="1:22" x14ac:dyDescent="0.2">
      <c r="A1353" t="s">
        <v>2770</v>
      </c>
      <c r="B1353" t="s">
        <v>2771</v>
      </c>
      <c r="C1353" t="s">
        <v>31</v>
      </c>
      <c r="D1353" t="s">
        <v>83</v>
      </c>
      <c r="E1353" t="s">
        <v>80</v>
      </c>
      <c r="F1353" t="s">
        <v>34</v>
      </c>
      <c r="G1353" t="s">
        <v>35</v>
      </c>
      <c r="H1353" t="s">
        <v>47</v>
      </c>
      <c r="I1353" t="s">
        <v>54</v>
      </c>
      <c r="J1353" t="s">
        <v>48</v>
      </c>
      <c r="K1353" s="4">
        <v>45908</v>
      </c>
      <c r="L1353" s="4">
        <v>46088</v>
      </c>
      <c r="M1353" t="s">
        <v>38</v>
      </c>
      <c r="N1353" t="s">
        <v>75</v>
      </c>
      <c r="O1353">
        <v>1</v>
      </c>
      <c r="P1353" t="s">
        <v>62</v>
      </c>
      <c r="Q1353" s="4">
        <v>46395</v>
      </c>
      <c r="R1353" t="s">
        <v>64</v>
      </c>
      <c r="S1353" t="s">
        <v>38</v>
      </c>
      <c r="T1353" t="s">
        <v>3153</v>
      </c>
      <c r="U1353" t="s">
        <v>75</v>
      </c>
      <c r="V1353" t="s">
        <v>3154</v>
      </c>
    </row>
    <row r="1354" spans="1:22" x14ac:dyDescent="0.2">
      <c r="A1354" t="s">
        <v>2772</v>
      </c>
      <c r="B1354" t="s">
        <v>2773</v>
      </c>
      <c r="C1354" t="s">
        <v>31</v>
      </c>
      <c r="D1354" t="s">
        <v>87</v>
      </c>
      <c r="E1354" t="s">
        <v>80</v>
      </c>
      <c r="F1354" t="s">
        <v>34</v>
      </c>
      <c r="G1354" t="s">
        <v>35</v>
      </c>
      <c r="H1354" t="s">
        <v>36</v>
      </c>
      <c r="I1354" t="s">
        <v>39</v>
      </c>
      <c r="J1354" t="s">
        <v>37</v>
      </c>
      <c r="K1354" s="4">
        <v>46106</v>
      </c>
      <c r="L1354" s="4">
        <v>46286</v>
      </c>
      <c r="M1354" t="s">
        <v>38</v>
      </c>
      <c r="N1354" t="s">
        <v>55</v>
      </c>
      <c r="O1354">
        <v>3</v>
      </c>
      <c r="P1354" t="s">
        <v>111</v>
      </c>
      <c r="Q1354" s="4">
        <v>46342</v>
      </c>
      <c r="R1354" t="s">
        <v>84</v>
      </c>
      <c r="S1354" t="s">
        <v>38</v>
      </c>
      <c r="T1354" t="s">
        <v>3153</v>
      </c>
      <c r="U1354" t="s">
        <v>55</v>
      </c>
      <c r="V1354" t="s">
        <v>3152</v>
      </c>
    </row>
    <row r="1355" spans="1:22" x14ac:dyDescent="0.2">
      <c r="A1355" t="s">
        <v>2774</v>
      </c>
      <c r="B1355" t="s">
        <v>2775</v>
      </c>
      <c r="C1355" t="s">
        <v>73</v>
      </c>
      <c r="D1355" t="s">
        <v>74</v>
      </c>
      <c r="E1355" t="s">
        <v>53</v>
      </c>
      <c r="F1355" t="s">
        <v>34</v>
      </c>
      <c r="G1355" t="s">
        <v>35</v>
      </c>
      <c r="H1355" t="s">
        <v>47</v>
      </c>
      <c r="I1355" t="s">
        <v>62</v>
      </c>
      <c r="J1355" t="s">
        <v>37</v>
      </c>
      <c r="K1355" s="4">
        <v>46194</v>
      </c>
      <c r="L1355" s="4">
        <v>46284</v>
      </c>
      <c r="M1355" t="s">
        <v>38</v>
      </c>
      <c r="N1355" t="s">
        <v>49</v>
      </c>
      <c r="O1355">
        <v>1</v>
      </c>
      <c r="P1355" t="s">
        <v>70</v>
      </c>
      <c r="Q1355" s="4">
        <v>46119</v>
      </c>
      <c r="R1355" t="s">
        <v>38</v>
      </c>
      <c r="S1355" t="s">
        <v>38</v>
      </c>
      <c r="T1355" t="s">
        <v>3153</v>
      </c>
      <c r="U1355" t="s">
        <v>49</v>
      </c>
      <c r="V1355" t="s">
        <v>3154</v>
      </c>
    </row>
    <row r="1356" spans="1:22" x14ac:dyDescent="0.2">
      <c r="A1356" t="s">
        <v>2776</v>
      </c>
      <c r="B1356" t="s">
        <v>2777</v>
      </c>
      <c r="C1356" t="s">
        <v>31</v>
      </c>
      <c r="D1356" t="s">
        <v>32</v>
      </c>
      <c r="E1356" t="s">
        <v>91</v>
      </c>
      <c r="F1356" t="s">
        <v>45</v>
      </c>
      <c r="G1356" t="s">
        <v>61</v>
      </c>
      <c r="H1356" t="s">
        <v>88</v>
      </c>
      <c r="I1356" t="s">
        <v>39</v>
      </c>
      <c r="J1356" t="s">
        <v>63</v>
      </c>
      <c r="K1356" s="4">
        <v>45934</v>
      </c>
      <c r="L1356" s="4">
        <v>46299</v>
      </c>
      <c r="M1356" t="s">
        <v>64</v>
      </c>
      <c r="N1356" t="s">
        <v>55</v>
      </c>
      <c r="O1356">
        <v>0</v>
      </c>
      <c r="P1356" t="s">
        <v>62</v>
      </c>
      <c r="Q1356" s="4">
        <v>46157</v>
      </c>
      <c r="R1356" t="s">
        <v>57</v>
      </c>
      <c r="S1356" t="s">
        <v>3155</v>
      </c>
      <c r="T1356" t="s">
        <v>3153</v>
      </c>
      <c r="U1356" t="s">
        <v>55</v>
      </c>
      <c r="V1356" t="s">
        <v>3154</v>
      </c>
    </row>
    <row r="1357" spans="1:22" x14ac:dyDescent="0.2">
      <c r="A1357" t="s">
        <v>2778</v>
      </c>
      <c r="B1357" t="s">
        <v>2779</v>
      </c>
      <c r="C1357" t="s">
        <v>31</v>
      </c>
      <c r="D1357" t="s">
        <v>83</v>
      </c>
      <c r="E1357" t="s">
        <v>44</v>
      </c>
      <c r="F1357" t="s">
        <v>45</v>
      </c>
      <c r="G1357" t="s">
        <v>46</v>
      </c>
      <c r="H1357" t="s">
        <v>88</v>
      </c>
      <c r="I1357" t="s">
        <v>56</v>
      </c>
      <c r="J1357" t="s">
        <v>63</v>
      </c>
      <c r="K1357" s="4">
        <v>45915</v>
      </c>
      <c r="L1357" s="4">
        <v>46095</v>
      </c>
      <c r="M1357" t="s">
        <v>38</v>
      </c>
      <c r="N1357" t="s">
        <v>49</v>
      </c>
      <c r="O1357">
        <v>3</v>
      </c>
      <c r="P1357" t="s">
        <v>39</v>
      </c>
      <c r="Q1357" s="4">
        <v>46142</v>
      </c>
      <c r="R1357" t="s">
        <v>38</v>
      </c>
      <c r="S1357" t="s">
        <v>38</v>
      </c>
      <c r="T1357" t="s">
        <v>3153</v>
      </c>
      <c r="U1357" t="s">
        <v>49</v>
      </c>
      <c r="V1357" t="s">
        <v>3154</v>
      </c>
    </row>
    <row r="1358" spans="1:22" x14ac:dyDescent="0.2">
      <c r="A1358" t="s">
        <v>2780</v>
      </c>
      <c r="B1358" t="s">
        <v>2781</v>
      </c>
      <c r="C1358" t="s">
        <v>31</v>
      </c>
      <c r="D1358" t="s">
        <v>83</v>
      </c>
      <c r="E1358" t="s">
        <v>44</v>
      </c>
      <c r="F1358" t="s">
        <v>67</v>
      </c>
      <c r="G1358" t="s">
        <v>118</v>
      </c>
      <c r="H1358" t="s">
        <v>88</v>
      </c>
      <c r="I1358" t="s">
        <v>56</v>
      </c>
      <c r="J1358" t="s">
        <v>37</v>
      </c>
      <c r="K1358" s="4">
        <v>45918</v>
      </c>
      <c r="L1358" s="4">
        <v>46008</v>
      </c>
      <c r="M1358" t="s">
        <v>38</v>
      </c>
      <c r="N1358" t="s">
        <v>49</v>
      </c>
      <c r="O1358">
        <v>1</v>
      </c>
      <c r="P1358" t="s">
        <v>106</v>
      </c>
      <c r="Q1358" s="4">
        <v>46115</v>
      </c>
      <c r="R1358" t="s">
        <v>38</v>
      </c>
      <c r="S1358" t="s">
        <v>38</v>
      </c>
      <c r="T1358" t="s">
        <v>3153</v>
      </c>
      <c r="U1358" t="s">
        <v>49</v>
      </c>
      <c r="V1358" t="s">
        <v>3154</v>
      </c>
    </row>
    <row r="1359" spans="1:22" x14ac:dyDescent="0.2">
      <c r="A1359" t="s">
        <v>2782</v>
      </c>
      <c r="B1359" t="s">
        <v>2783</v>
      </c>
      <c r="C1359" t="s">
        <v>31</v>
      </c>
      <c r="D1359" t="s">
        <v>32</v>
      </c>
      <c r="E1359" t="s">
        <v>105</v>
      </c>
      <c r="F1359" t="s">
        <v>34</v>
      </c>
      <c r="G1359" t="s">
        <v>35</v>
      </c>
      <c r="H1359" t="s">
        <v>47</v>
      </c>
      <c r="I1359" t="s">
        <v>62</v>
      </c>
      <c r="J1359" t="s">
        <v>48</v>
      </c>
      <c r="K1359" s="4">
        <v>45887</v>
      </c>
      <c r="L1359" s="4">
        <v>46252</v>
      </c>
      <c r="M1359" t="s">
        <v>38</v>
      </c>
      <c r="N1359" t="s">
        <v>55</v>
      </c>
      <c r="O1359">
        <v>0</v>
      </c>
      <c r="P1359" t="s">
        <v>50</v>
      </c>
      <c r="Q1359" s="4">
        <v>46278</v>
      </c>
      <c r="R1359" t="s">
        <v>57</v>
      </c>
      <c r="S1359" t="s">
        <v>38</v>
      </c>
      <c r="T1359" t="s">
        <v>3153</v>
      </c>
      <c r="U1359" t="s">
        <v>55</v>
      </c>
      <c r="V1359" t="s">
        <v>3154</v>
      </c>
    </row>
    <row r="1360" spans="1:22" x14ac:dyDescent="0.2">
      <c r="A1360" t="s">
        <v>2784</v>
      </c>
      <c r="B1360" t="s">
        <v>2785</v>
      </c>
      <c r="C1360" t="s">
        <v>103</v>
      </c>
      <c r="D1360" t="s">
        <v>104</v>
      </c>
      <c r="E1360" t="s">
        <v>80</v>
      </c>
      <c r="F1360" t="s">
        <v>67</v>
      </c>
      <c r="G1360" t="s">
        <v>118</v>
      </c>
      <c r="H1360" t="s">
        <v>88</v>
      </c>
      <c r="I1360" t="s">
        <v>106</v>
      </c>
      <c r="J1360" t="s">
        <v>48</v>
      </c>
      <c r="K1360" s="4">
        <v>46259</v>
      </c>
      <c r="L1360" s="4">
        <v>46439</v>
      </c>
      <c r="M1360" t="s">
        <v>64</v>
      </c>
      <c r="N1360" t="s">
        <v>75</v>
      </c>
      <c r="O1360">
        <v>0</v>
      </c>
      <c r="P1360" t="s">
        <v>111</v>
      </c>
      <c r="Q1360" s="4">
        <v>46341</v>
      </c>
      <c r="R1360" t="s">
        <v>57</v>
      </c>
      <c r="S1360" t="s">
        <v>3155</v>
      </c>
      <c r="T1360" t="s">
        <v>3153</v>
      </c>
      <c r="U1360" t="s">
        <v>75</v>
      </c>
      <c r="V1360" t="s">
        <v>3154</v>
      </c>
    </row>
    <row r="1361" spans="1:22" x14ac:dyDescent="0.2">
      <c r="A1361" t="s">
        <v>2786</v>
      </c>
      <c r="B1361" t="s">
        <v>2787</v>
      </c>
      <c r="C1361" t="s">
        <v>78</v>
      </c>
      <c r="D1361" t="s">
        <v>79</v>
      </c>
      <c r="E1361" t="s">
        <v>53</v>
      </c>
      <c r="F1361" t="s">
        <v>34</v>
      </c>
      <c r="G1361" t="s">
        <v>35</v>
      </c>
      <c r="H1361" t="s">
        <v>36</v>
      </c>
      <c r="I1361" t="s">
        <v>106</v>
      </c>
      <c r="J1361" t="s">
        <v>63</v>
      </c>
      <c r="K1361" s="4">
        <v>45946</v>
      </c>
      <c r="L1361" s="4">
        <v>46036</v>
      </c>
      <c r="M1361" t="s">
        <v>38</v>
      </c>
      <c r="N1361" t="s">
        <v>55</v>
      </c>
      <c r="O1361">
        <v>5</v>
      </c>
      <c r="P1361" t="s">
        <v>54</v>
      </c>
      <c r="Q1361" s="4">
        <v>46148</v>
      </c>
      <c r="R1361" t="s">
        <v>64</v>
      </c>
      <c r="S1361" t="s">
        <v>38</v>
      </c>
      <c r="T1361" t="s">
        <v>3153</v>
      </c>
      <c r="U1361" t="s">
        <v>55</v>
      </c>
      <c r="V1361" t="s">
        <v>3152</v>
      </c>
    </row>
    <row r="1362" spans="1:22" x14ac:dyDescent="0.2">
      <c r="A1362" t="s">
        <v>2788</v>
      </c>
      <c r="B1362" t="s">
        <v>2789</v>
      </c>
      <c r="C1362" t="s">
        <v>42</v>
      </c>
      <c r="D1362" t="s">
        <v>43</v>
      </c>
      <c r="E1362" t="s">
        <v>44</v>
      </c>
      <c r="F1362" t="s">
        <v>67</v>
      </c>
      <c r="G1362" t="s">
        <v>68</v>
      </c>
      <c r="H1362" t="s">
        <v>88</v>
      </c>
      <c r="I1362" t="s">
        <v>70</v>
      </c>
      <c r="J1362" t="s">
        <v>48</v>
      </c>
      <c r="K1362" s="4">
        <v>46274</v>
      </c>
      <c r="L1362" s="4">
        <v>46454</v>
      </c>
      <c r="M1362" t="s">
        <v>64</v>
      </c>
      <c r="N1362" t="s">
        <v>55</v>
      </c>
      <c r="O1362">
        <v>1</v>
      </c>
      <c r="P1362" t="s">
        <v>56</v>
      </c>
      <c r="Q1362" s="4">
        <v>46334</v>
      </c>
      <c r="R1362" t="s">
        <v>64</v>
      </c>
      <c r="S1362" t="s">
        <v>3155</v>
      </c>
      <c r="T1362" t="s">
        <v>3153</v>
      </c>
      <c r="U1362" t="s">
        <v>55</v>
      </c>
      <c r="V1362" t="s">
        <v>3154</v>
      </c>
    </row>
    <row r="1363" spans="1:22" x14ac:dyDescent="0.2">
      <c r="A1363" t="s">
        <v>2790</v>
      </c>
      <c r="B1363" t="s">
        <v>2791</v>
      </c>
      <c r="C1363" t="s">
        <v>103</v>
      </c>
      <c r="D1363" t="s">
        <v>104</v>
      </c>
      <c r="E1363" t="s">
        <v>44</v>
      </c>
      <c r="F1363" t="s">
        <v>34</v>
      </c>
      <c r="G1363" t="s">
        <v>35</v>
      </c>
      <c r="H1363" t="s">
        <v>98</v>
      </c>
      <c r="I1363" t="s">
        <v>106</v>
      </c>
      <c r="J1363" t="s">
        <v>63</v>
      </c>
      <c r="K1363" s="4">
        <v>45825</v>
      </c>
      <c r="L1363" s="4">
        <v>46190</v>
      </c>
      <c r="M1363" t="s">
        <v>38</v>
      </c>
      <c r="N1363" t="s">
        <v>49</v>
      </c>
      <c r="O1363">
        <v>1</v>
      </c>
      <c r="P1363" t="s">
        <v>106</v>
      </c>
      <c r="Q1363" s="4">
        <v>46394</v>
      </c>
      <c r="R1363" t="s">
        <v>84</v>
      </c>
      <c r="S1363" t="s">
        <v>38</v>
      </c>
      <c r="T1363" t="s">
        <v>3153</v>
      </c>
      <c r="U1363" t="s">
        <v>49</v>
      </c>
      <c r="V1363" t="s">
        <v>3152</v>
      </c>
    </row>
    <row r="1364" spans="1:22" x14ac:dyDescent="0.2">
      <c r="A1364" t="s">
        <v>2792</v>
      </c>
      <c r="B1364" t="s">
        <v>2793</v>
      </c>
      <c r="C1364" t="s">
        <v>78</v>
      </c>
      <c r="D1364" t="s">
        <v>79</v>
      </c>
      <c r="E1364" t="s">
        <v>53</v>
      </c>
      <c r="F1364" t="s">
        <v>45</v>
      </c>
      <c r="G1364" t="s">
        <v>46</v>
      </c>
      <c r="H1364" t="s">
        <v>88</v>
      </c>
      <c r="I1364" t="s">
        <v>39</v>
      </c>
      <c r="J1364" t="s">
        <v>63</v>
      </c>
      <c r="K1364" s="4">
        <v>46245</v>
      </c>
      <c r="L1364" s="4">
        <v>46425</v>
      </c>
      <c r="M1364" t="s">
        <v>84</v>
      </c>
      <c r="N1364" t="s">
        <v>49</v>
      </c>
      <c r="O1364">
        <v>0</v>
      </c>
      <c r="P1364" t="s">
        <v>39</v>
      </c>
      <c r="Q1364" s="4">
        <v>46318</v>
      </c>
      <c r="R1364" t="s">
        <v>57</v>
      </c>
      <c r="S1364" t="s">
        <v>3155</v>
      </c>
      <c r="T1364" t="s">
        <v>3153</v>
      </c>
      <c r="U1364" t="s">
        <v>49</v>
      </c>
      <c r="V1364" t="s">
        <v>3154</v>
      </c>
    </row>
    <row r="1365" spans="1:22" x14ac:dyDescent="0.2">
      <c r="A1365" t="s">
        <v>2794</v>
      </c>
      <c r="B1365" t="s">
        <v>2795</v>
      </c>
      <c r="C1365" t="s">
        <v>31</v>
      </c>
      <c r="D1365" t="s">
        <v>83</v>
      </c>
      <c r="E1365" t="s">
        <v>91</v>
      </c>
      <c r="F1365" t="s">
        <v>45</v>
      </c>
      <c r="G1365" t="s">
        <v>61</v>
      </c>
      <c r="H1365" t="s">
        <v>88</v>
      </c>
      <c r="J1365" t="s">
        <v>48</v>
      </c>
      <c r="K1365" s="4">
        <v>46141</v>
      </c>
      <c r="L1365" s="4">
        <v>46231</v>
      </c>
      <c r="M1365" t="s">
        <v>38</v>
      </c>
      <c r="N1365" t="s">
        <v>49</v>
      </c>
      <c r="O1365">
        <v>1</v>
      </c>
      <c r="P1365" t="s">
        <v>54</v>
      </c>
      <c r="Q1365" s="4">
        <v>46360</v>
      </c>
      <c r="R1365" t="s">
        <v>84</v>
      </c>
      <c r="S1365" t="s">
        <v>38</v>
      </c>
      <c r="T1365" t="s">
        <v>3150</v>
      </c>
      <c r="U1365" t="s">
        <v>49</v>
      </c>
      <c r="V1365" t="s">
        <v>3154</v>
      </c>
    </row>
    <row r="1366" spans="1:22" x14ac:dyDescent="0.2">
      <c r="A1366" t="s">
        <v>2796</v>
      </c>
      <c r="B1366" t="s">
        <v>2797</v>
      </c>
      <c r="C1366" t="s">
        <v>96</v>
      </c>
      <c r="D1366" t="s">
        <v>97</v>
      </c>
      <c r="E1366" t="s">
        <v>53</v>
      </c>
      <c r="F1366" t="s">
        <v>34</v>
      </c>
      <c r="G1366" t="s">
        <v>35</v>
      </c>
      <c r="H1366" t="s">
        <v>88</v>
      </c>
      <c r="I1366" t="s">
        <v>106</v>
      </c>
      <c r="J1366" t="s">
        <v>37</v>
      </c>
      <c r="K1366" s="4">
        <v>45834</v>
      </c>
      <c r="L1366" s="4">
        <v>45924</v>
      </c>
      <c r="M1366" t="s">
        <v>38</v>
      </c>
      <c r="N1366" t="s">
        <v>55</v>
      </c>
      <c r="O1366">
        <v>0</v>
      </c>
      <c r="P1366" t="s">
        <v>50</v>
      </c>
      <c r="Q1366" s="4">
        <v>46316</v>
      </c>
      <c r="R1366" t="s">
        <v>57</v>
      </c>
      <c r="S1366" t="s">
        <v>38</v>
      </c>
      <c r="T1366" t="s">
        <v>3153</v>
      </c>
      <c r="U1366" t="s">
        <v>55</v>
      </c>
      <c r="V1366" t="s">
        <v>3154</v>
      </c>
    </row>
    <row r="1367" spans="1:22" x14ac:dyDescent="0.2">
      <c r="A1367" t="s">
        <v>2798</v>
      </c>
      <c r="B1367" t="s">
        <v>2799</v>
      </c>
      <c r="C1367" t="s">
        <v>73</v>
      </c>
      <c r="D1367" t="s">
        <v>74</v>
      </c>
      <c r="E1367" t="s">
        <v>105</v>
      </c>
      <c r="F1367" t="s">
        <v>67</v>
      </c>
      <c r="G1367" t="s">
        <v>118</v>
      </c>
      <c r="H1367" t="s">
        <v>47</v>
      </c>
      <c r="I1367" t="s">
        <v>106</v>
      </c>
      <c r="J1367" t="s">
        <v>48</v>
      </c>
      <c r="K1367" s="4">
        <v>45851</v>
      </c>
      <c r="L1367" s="4">
        <v>45941</v>
      </c>
      <c r="M1367" t="s">
        <v>38</v>
      </c>
      <c r="N1367" t="s">
        <v>55</v>
      </c>
      <c r="O1367">
        <v>3</v>
      </c>
      <c r="P1367" t="s">
        <v>62</v>
      </c>
      <c r="Q1367" s="4">
        <v>46223</v>
      </c>
      <c r="R1367" t="s">
        <v>38</v>
      </c>
      <c r="S1367" t="s">
        <v>38</v>
      </c>
      <c r="T1367" t="s">
        <v>3153</v>
      </c>
      <c r="U1367" t="s">
        <v>55</v>
      </c>
      <c r="V1367" t="s">
        <v>3154</v>
      </c>
    </row>
    <row r="1368" spans="1:22" x14ac:dyDescent="0.2">
      <c r="A1368" t="s">
        <v>2800</v>
      </c>
      <c r="B1368" t="s">
        <v>2801</v>
      </c>
      <c r="C1368" t="s">
        <v>42</v>
      </c>
      <c r="D1368" t="s">
        <v>43</v>
      </c>
      <c r="E1368" t="s">
        <v>105</v>
      </c>
      <c r="F1368" t="s">
        <v>45</v>
      </c>
      <c r="G1368" t="s">
        <v>61</v>
      </c>
      <c r="H1368" t="s">
        <v>88</v>
      </c>
      <c r="I1368" t="s">
        <v>56</v>
      </c>
      <c r="J1368" t="s">
        <v>48</v>
      </c>
      <c r="K1368" s="4">
        <v>46181</v>
      </c>
      <c r="L1368" s="4">
        <v>46546</v>
      </c>
      <c r="M1368" t="s">
        <v>64</v>
      </c>
      <c r="N1368" t="s">
        <v>55</v>
      </c>
      <c r="O1368">
        <v>1</v>
      </c>
      <c r="P1368" t="s">
        <v>70</v>
      </c>
      <c r="Q1368" s="4">
        <v>46227</v>
      </c>
      <c r="R1368" t="s">
        <v>38</v>
      </c>
      <c r="S1368" t="s">
        <v>3155</v>
      </c>
      <c r="T1368" t="s">
        <v>3153</v>
      </c>
      <c r="U1368" t="s">
        <v>55</v>
      </c>
      <c r="V1368" t="s">
        <v>3154</v>
      </c>
    </row>
    <row r="1369" spans="1:22" x14ac:dyDescent="0.2">
      <c r="A1369" t="s">
        <v>2802</v>
      </c>
      <c r="B1369" t="s">
        <v>2803</v>
      </c>
      <c r="C1369" t="s">
        <v>78</v>
      </c>
      <c r="D1369" t="s">
        <v>79</v>
      </c>
      <c r="E1369" t="s">
        <v>60</v>
      </c>
      <c r="F1369" t="s">
        <v>45</v>
      </c>
      <c r="G1369" t="s">
        <v>46</v>
      </c>
      <c r="H1369" t="s">
        <v>47</v>
      </c>
      <c r="I1369" t="s">
        <v>62</v>
      </c>
      <c r="J1369" t="s">
        <v>37</v>
      </c>
      <c r="K1369" s="4">
        <v>45846</v>
      </c>
      <c r="L1369" s="4">
        <v>46211</v>
      </c>
      <c r="M1369" t="s">
        <v>38</v>
      </c>
      <c r="N1369" t="s">
        <v>55</v>
      </c>
      <c r="O1369">
        <v>2</v>
      </c>
      <c r="P1369" t="s">
        <v>54</v>
      </c>
      <c r="Q1369" s="4">
        <v>46240</v>
      </c>
      <c r="R1369" t="s">
        <v>64</v>
      </c>
      <c r="S1369" t="s">
        <v>38</v>
      </c>
      <c r="T1369" t="s">
        <v>3153</v>
      </c>
      <c r="U1369" t="s">
        <v>55</v>
      </c>
      <c r="V1369" t="s">
        <v>3154</v>
      </c>
    </row>
    <row r="1370" spans="1:22" x14ac:dyDescent="0.2">
      <c r="A1370" t="s">
        <v>2804</v>
      </c>
      <c r="B1370" t="s">
        <v>2805</v>
      </c>
      <c r="C1370" t="s">
        <v>73</v>
      </c>
      <c r="D1370" t="s">
        <v>74</v>
      </c>
      <c r="E1370" t="s">
        <v>105</v>
      </c>
      <c r="F1370" t="s">
        <v>45</v>
      </c>
      <c r="G1370" t="s">
        <v>46</v>
      </c>
      <c r="H1370" t="s">
        <v>47</v>
      </c>
      <c r="I1370" t="s">
        <v>62</v>
      </c>
      <c r="J1370" t="s">
        <v>37</v>
      </c>
      <c r="K1370" s="4">
        <v>46048</v>
      </c>
      <c r="L1370" s="4">
        <v>46138</v>
      </c>
      <c r="M1370" t="s">
        <v>38</v>
      </c>
      <c r="N1370" t="s">
        <v>55</v>
      </c>
      <c r="O1370">
        <v>0</v>
      </c>
      <c r="P1370" t="s">
        <v>111</v>
      </c>
      <c r="Q1370" s="4">
        <v>46259</v>
      </c>
      <c r="R1370" t="s">
        <v>57</v>
      </c>
      <c r="S1370" t="s">
        <v>38</v>
      </c>
      <c r="T1370" t="s">
        <v>3153</v>
      </c>
      <c r="U1370" t="s">
        <v>55</v>
      </c>
      <c r="V1370" t="s">
        <v>3154</v>
      </c>
    </row>
    <row r="1371" spans="1:22" x14ac:dyDescent="0.2">
      <c r="A1371" t="s">
        <v>2806</v>
      </c>
      <c r="B1371" t="s">
        <v>2807</v>
      </c>
      <c r="C1371" t="s">
        <v>103</v>
      </c>
      <c r="D1371" t="s">
        <v>104</v>
      </c>
      <c r="E1371" t="s">
        <v>105</v>
      </c>
      <c r="F1371" t="s">
        <v>67</v>
      </c>
      <c r="G1371" t="s">
        <v>68</v>
      </c>
      <c r="H1371" t="s">
        <v>47</v>
      </c>
      <c r="I1371" t="s">
        <v>62</v>
      </c>
      <c r="J1371" t="s">
        <v>63</v>
      </c>
      <c r="K1371" s="4">
        <v>46116</v>
      </c>
      <c r="L1371" s="4">
        <v>46206</v>
      </c>
      <c r="M1371" t="s">
        <v>38</v>
      </c>
      <c r="N1371" t="s">
        <v>75</v>
      </c>
      <c r="O1371">
        <v>0</v>
      </c>
      <c r="P1371" t="s">
        <v>50</v>
      </c>
      <c r="Q1371" s="4">
        <v>46233</v>
      </c>
      <c r="R1371" t="s">
        <v>57</v>
      </c>
      <c r="S1371" t="s">
        <v>38</v>
      </c>
      <c r="T1371" t="s">
        <v>3153</v>
      </c>
      <c r="U1371" t="s">
        <v>75</v>
      </c>
      <c r="V1371" t="s">
        <v>3154</v>
      </c>
    </row>
    <row r="1372" spans="1:22" x14ac:dyDescent="0.2">
      <c r="A1372" t="s">
        <v>2808</v>
      </c>
      <c r="B1372" t="s">
        <v>2809</v>
      </c>
      <c r="C1372" t="s">
        <v>31</v>
      </c>
      <c r="D1372" t="s">
        <v>87</v>
      </c>
      <c r="E1372" t="s">
        <v>80</v>
      </c>
      <c r="F1372" t="s">
        <v>45</v>
      </c>
      <c r="G1372" t="s">
        <v>46</v>
      </c>
      <c r="H1372" t="s">
        <v>88</v>
      </c>
      <c r="I1372" t="s">
        <v>50</v>
      </c>
      <c r="J1372" t="s">
        <v>48</v>
      </c>
      <c r="K1372" s="4">
        <v>46236</v>
      </c>
      <c r="L1372" s="4">
        <v>46416</v>
      </c>
      <c r="M1372" t="s">
        <v>64</v>
      </c>
      <c r="N1372" t="s">
        <v>75</v>
      </c>
      <c r="O1372">
        <v>0</v>
      </c>
      <c r="P1372" t="s">
        <v>70</v>
      </c>
      <c r="Q1372" s="4">
        <v>46179</v>
      </c>
      <c r="R1372" t="s">
        <v>57</v>
      </c>
      <c r="S1372" t="s">
        <v>3155</v>
      </c>
      <c r="T1372" t="s">
        <v>3153</v>
      </c>
      <c r="U1372" t="s">
        <v>75</v>
      </c>
      <c r="V1372" t="s">
        <v>3154</v>
      </c>
    </row>
    <row r="1373" spans="1:22" x14ac:dyDescent="0.2">
      <c r="A1373" t="s">
        <v>2810</v>
      </c>
      <c r="B1373" t="s">
        <v>2811</v>
      </c>
      <c r="C1373" t="s">
        <v>31</v>
      </c>
      <c r="D1373" t="s">
        <v>83</v>
      </c>
      <c r="E1373" t="s">
        <v>44</v>
      </c>
      <c r="F1373" t="s">
        <v>67</v>
      </c>
      <c r="G1373" t="s">
        <v>68</v>
      </c>
      <c r="H1373" t="s">
        <v>36</v>
      </c>
      <c r="I1373" t="s">
        <v>39</v>
      </c>
      <c r="J1373" t="s">
        <v>37</v>
      </c>
      <c r="K1373" s="4">
        <v>46183</v>
      </c>
      <c r="L1373" s="4">
        <v>46273</v>
      </c>
      <c r="M1373" t="s">
        <v>38</v>
      </c>
      <c r="N1373" t="s">
        <v>75</v>
      </c>
      <c r="O1373">
        <v>5</v>
      </c>
      <c r="P1373" t="s">
        <v>70</v>
      </c>
      <c r="Q1373" s="4">
        <v>46201</v>
      </c>
      <c r="R1373" t="s">
        <v>64</v>
      </c>
      <c r="S1373" t="s">
        <v>38</v>
      </c>
      <c r="T1373" t="s">
        <v>3153</v>
      </c>
      <c r="U1373" t="s">
        <v>75</v>
      </c>
      <c r="V1373" t="s">
        <v>3152</v>
      </c>
    </row>
    <row r="1374" spans="1:22" x14ac:dyDescent="0.2">
      <c r="A1374" t="s">
        <v>2812</v>
      </c>
      <c r="B1374" t="s">
        <v>2813</v>
      </c>
      <c r="C1374" t="s">
        <v>78</v>
      </c>
      <c r="D1374" t="s">
        <v>79</v>
      </c>
      <c r="E1374" t="s">
        <v>91</v>
      </c>
      <c r="F1374" t="s">
        <v>34</v>
      </c>
      <c r="G1374" t="s">
        <v>35</v>
      </c>
      <c r="H1374" t="s">
        <v>47</v>
      </c>
      <c r="I1374" t="s">
        <v>106</v>
      </c>
      <c r="J1374" t="s">
        <v>63</v>
      </c>
      <c r="K1374" s="4">
        <v>45986</v>
      </c>
      <c r="L1374" s="4">
        <v>46076</v>
      </c>
      <c r="M1374" t="s">
        <v>38</v>
      </c>
      <c r="N1374" t="s">
        <v>75</v>
      </c>
      <c r="O1374">
        <v>0</v>
      </c>
      <c r="P1374" t="s">
        <v>106</v>
      </c>
      <c r="Q1374" s="4">
        <v>46172</v>
      </c>
      <c r="R1374" t="s">
        <v>57</v>
      </c>
      <c r="S1374" t="s">
        <v>38</v>
      </c>
      <c r="T1374" t="s">
        <v>3153</v>
      </c>
      <c r="U1374" t="s">
        <v>75</v>
      </c>
      <c r="V1374" t="s">
        <v>3154</v>
      </c>
    </row>
    <row r="1375" spans="1:22" x14ac:dyDescent="0.2">
      <c r="A1375" t="s">
        <v>2814</v>
      </c>
      <c r="B1375" t="s">
        <v>2815</v>
      </c>
      <c r="C1375" t="s">
        <v>31</v>
      </c>
      <c r="D1375" t="s">
        <v>87</v>
      </c>
      <c r="E1375" t="s">
        <v>91</v>
      </c>
      <c r="F1375" t="s">
        <v>67</v>
      </c>
      <c r="G1375" t="s">
        <v>68</v>
      </c>
      <c r="H1375" t="s">
        <v>88</v>
      </c>
      <c r="I1375" t="s">
        <v>106</v>
      </c>
      <c r="J1375" t="s">
        <v>48</v>
      </c>
      <c r="K1375" s="4">
        <v>45984</v>
      </c>
      <c r="L1375" s="4">
        <v>46349</v>
      </c>
      <c r="M1375" t="s">
        <v>64</v>
      </c>
      <c r="N1375" t="s">
        <v>75</v>
      </c>
      <c r="O1375">
        <v>1</v>
      </c>
      <c r="P1375" t="s">
        <v>106</v>
      </c>
      <c r="Q1375" s="4">
        <v>46163</v>
      </c>
      <c r="R1375" t="s">
        <v>38</v>
      </c>
      <c r="S1375" t="s">
        <v>3155</v>
      </c>
      <c r="T1375" t="s">
        <v>3153</v>
      </c>
      <c r="U1375" t="s">
        <v>75</v>
      </c>
      <c r="V1375" t="s">
        <v>3154</v>
      </c>
    </row>
    <row r="1376" spans="1:22" x14ac:dyDescent="0.2">
      <c r="A1376" t="s">
        <v>2816</v>
      </c>
      <c r="B1376" t="s">
        <v>2817</v>
      </c>
      <c r="C1376" t="s">
        <v>42</v>
      </c>
      <c r="D1376" t="s">
        <v>43</v>
      </c>
      <c r="E1376" t="s">
        <v>60</v>
      </c>
      <c r="F1376" t="s">
        <v>45</v>
      </c>
      <c r="G1376" t="s">
        <v>61</v>
      </c>
      <c r="H1376" t="s">
        <v>36</v>
      </c>
      <c r="I1376" t="s">
        <v>54</v>
      </c>
      <c r="J1376" t="s">
        <v>37</v>
      </c>
      <c r="K1376" s="4">
        <v>46241</v>
      </c>
      <c r="L1376" s="4">
        <v>46606</v>
      </c>
      <c r="M1376" t="s">
        <v>84</v>
      </c>
      <c r="N1376" t="s">
        <v>49</v>
      </c>
      <c r="O1376">
        <v>4</v>
      </c>
      <c r="P1376" t="s">
        <v>39</v>
      </c>
      <c r="Q1376" s="4">
        <v>46360</v>
      </c>
      <c r="R1376" t="s">
        <v>84</v>
      </c>
      <c r="S1376" t="s">
        <v>3155</v>
      </c>
      <c r="T1376" t="s">
        <v>3153</v>
      </c>
      <c r="U1376" t="s">
        <v>49</v>
      </c>
      <c r="V1376" t="s">
        <v>3152</v>
      </c>
    </row>
    <row r="1377" spans="1:22" x14ac:dyDescent="0.2">
      <c r="A1377" t="s">
        <v>2818</v>
      </c>
      <c r="B1377" t="s">
        <v>2819</v>
      </c>
      <c r="C1377" t="s">
        <v>42</v>
      </c>
      <c r="D1377" t="s">
        <v>43</v>
      </c>
      <c r="E1377" t="s">
        <v>60</v>
      </c>
      <c r="F1377" t="s">
        <v>34</v>
      </c>
      <c r="G1377" t="s">
        <v>35</v>
      </c>
      <c r="H1377" t="s">
        <v>47</v>
      </c>
      <c r="I1377" t="s">
        <v>111</v>
      </c>
      <c r="J1377" t="s">
        <v>48</v>
      </c>
      <c r="K1377" s="4">
        <v>46192</v>
      </c>
      <c r="L1377" s="4">
        <v>46282</v>
      </c>
      <c r="M1377" t="s">
        <v>38</v>
      </c>
      <c r="N1377" t="s">
        <v>55</v>
      </c>
      <c r="O1377">
        <v>1</v>
      </c>
      <c r="P1377" t="s">
        <v>54</v>
      </c>
      <c r="Q1377" s="4">
        <v>46397</v>
      </c>
      <c r="R1377" t="s">
        <v>64</v>
      </c>
      <c r="S1377" t="s">
        <v>38</v>
      </c>
      <c r="T1377" t="s">
        <v>3153</v>
      </c>
      <c r="U1377" t="s">
        <v>55</v>
      </c>
      <c r="V1377" t="s">
        <v>3154</v>
      </c>
    </row>
    <row r="1378" spans="1:22" x14ac:dyDescent="0.2">
      <c r="A1378" t="s">
        <v>2820</v>
      </c>
      <c r="B1378" t="s">
        <v>2821</v>
      </c>
      <c r="C1378" t="s">
        <v>31</v>
      </c>
      <c r="D1378" t="s">
        <v>32</v>
      </c>
      <c r="E1378" t="s">
        <v>105</v>
      </c>
      <c r="F1378" t="s">
        <v>45</v>
      </c>
      <c r="G1378" t="s">
        <v>46</v>
      </c>
      <c r="H1378" t="s">
        <v>47</v>
      </c>
      <c r="I1378" t="s">
        <v>56</v>
      </c>
      <c r="J1378" t="s">
        <v>37</v>
      </c>
      <c r="K1378" s="4">
        <v>46133</v>
      </c>
      <c r="L1378" s="4">
        <v>46313</v>
      </c>
      <c r="M1378" t="s">
        <v>84</v>
      </c>
      <c r="N1378" t="s">
        <v>49</v>
      </c>
      <c r="O1378">
        <v>1</v>
      </c>
      <c r="P1378" t="s">
        <v>54</v>
      </c>
      <c r="Q1378" s="4">
        <v>46383</v>
      </c>
      <c r="R1378" t="s">
        <v>84</v>
      </c>
      <c r="S1378" t="s">
        <v>3155</v>
      </c>
      <c r="T1378" t="s">
        <v>3153</v>
      </c>
      <c r="U1378" t="s">
        <v>49</v>
      </c>
      <c r="V1378" t="s">
        <v>3154</v>
      </c>
    </row>
    <row r="1379" spans="1:22" x14ac:dyDescent="0.2">
      <c r="A1379" t="s">
        <v>2822</v>
      </c>
      <c r="B1379" t="s">
        <v>2823</v>
      </c>
      <c r="C1379" t="s">
        <v>31</v>
      </c>
      <c r="D1379" t="s">
        <v>83</v>
      </c>
      <c r="E1379" t="s">
        <v>91</v>
      </c>
      <c r="F1379" t="s">
        <v>34</v>
      </c>
      <c r="G1379" t="s">
        <v>35</v>
      </c>
      <c r="H1379" t="s">
        <v>47</v>
      </c>
      <c r="I1379" t="s">
        <v>39</v>
      </c>
      <c r="J1379" t="s">
        <v>37</v>
      </c>
      <c r="K1379" s="4">
        <v>46210</v>
      </c>
      <c r="L1379" s="4">
        <v>46300</v>
      </c>
      <c r="M1379" t="s">
        <v>84</v>
      </c>
      <c r="N1379" t="s">
        <v>75</v>
      </c>
      <c r="O1379">
        <v>1</v>
      </c>
      <c r="P1379" t="s">
        <v>111</v>
      </c>
      <c r="Q1379" s="4">
        <v>46227</v>
      </c>
      <c r="R1379" t="s">
        <v>38</v>
      </c>
      <c r="S1379" t="s">
        <v>3155</v>
      </c>
      <c r="T1379" t="s">
        <v>3153</v>
      </c>
      <c r="U1379" t="s">
        <v>75</v>
      </c>
      <c r="V1379" t="s">
        <v>3154</v>
      </c>
    </row>
    <row r="1380" spans="1:22" x14ac:dyDescent="0.2">
      <c r="A1380" t="s">
        <v>2824</v>
      </c>
      <c r="B1380" t="s">
        <v>2825</v>
      </c>
      <c r="C1380" t="s">
        <v>31</v>
      </c>
      <c r="D1380" t="s">
        <v>87</v>
      </c>
      <c r="E1380" t="s">
        <v>91</v>
      </c>
      <c r="F1380" t="s">
        <v>67</v>
      </c>
      <c r="G1380" t="s">
        <v>68</v>
      </c>
      <c r="H1380" t="s">
        <v>36</v>
      </c>
      <c r="I1380" t="s">
        <v>54</v>
      </c>
      <c r="J1380" t="s">
        <v>37</v>
      </c>
      <c r="K1380" s="4">
        <v>46085</v>
      </c>
      <c r="L1380" s="4">
        <v>46450</v>
      </c>
      <c r="M1380" t="s">
        <v>64</v>
      </c>
      <c r="N1380" t="s">
        <v>55</v>
      </c>
      <c r="O1380">
        <v>4</v>
      </c>
      <c r="P1380" t="s">
        <v>62</v>
      </c>
      <c r="Q1380" s="4">
        <v>46162</v>
      </c>
      <c r="R1380" t="s">
        <v>38</v>
      </c>
      <c r="S1380" t="s">
        <v>3155</v>
      </c>
      <c r="T1380" t="s">
        <v>3153</v>
      </c>
      <c r="U1380" t="s">
        <v>55</v>
      </c>
      <c r="V1380" t="s">
        <v>3152</v>
      </c>
    </row>
    <row r="1381" spans="1:22" x14ac:dyDescent="0.2">
      <c r="A1381" t="s">
        <v>2826</v>
      </c>
      <c r="B1381" t="s">
        <v>2827</v>
      </c>
      <c r="C1381" t="s">
        <v>31</v>
      </c>
      <c r="D1381" t="s">
        <v>32</v>
      </c>
      <c r="E1381" t="s">
        <v>91</v>
      </c>
      <c r="F1381" t="s">
        <v>45</v>
      </c>
      <c r="G1381" t="s">
        <v>46</v>
      </c>
      <c r="H1381" t="s">
        <v>98</v>
      </c>
      <c r="I1381" t="s">
        <v>39</v>
      </c>
      <c r="J1381" t="s">
        <v>63</v>
      </c>
      <c r="K1381" s="4">
        <v>46099</v>
      </c>
      <c r="L1381" s="4">
        <v>46464</v>
      </c>
      <c r="M1381" t="s">
        <v>84</v>
      </c>
      <c r="N1381" t="s">
        <v>75</v>
      </c>
      <c r="O1381">
        <v>3</v>
      </c>
      <c r="P1381" t="s">
        <v>54</v>
      </c>
      <c r="Q1381" s="4">
        <v>46350</v>
      </c>
      <c r="R1381" t="s">
        <v>84</v>
      </c>
      <c r="S1381" t="s">
        <v>3155</v>
      </c>
      <c r="T1381" t="s">
        <v>3153</v>
      </c>
      <c r="U1381" t="s">
        <v>75</v>
      </c>
      <c r="V1381" t="s">
        <v>3152</v>
      </c>
    </row>
    <row r="1382" spans="1:22" x14ac:dyDescent="0.2">
      <c r="A1382" t="s">
        <v>2828</v>
      </c>
      <c r="B1382" t="s">
        <v>2829</v>
      </c>
      <c r="C1382" t="s">
        <v>42</v>
      </c>
      <c r="D1382" t="s">
        <v>43</v>
      </c>
      <c r="E1382" t="s">
        <v>91</v>
      </c>
      <c r="F1382" t="s">
        <v>45</v>
      </c>
      <c r="G1382" t="s">
        <v>46</v>
      </c>
      <c r="H1382" t="s">
        <v>47</v>
      </c>
      <c r="I1382" t="s">
        <v>50</v>
      </c>
      <c r="J1382" t="s">
        <v>63</v>
      </c>
      <c r="K1382" s="4">
        <v>45969</v>
      </c>
      <c r="L1382" s="4">
        <v>46059</v>
      </c>
      <c r="M1382" t="s">
        <v>38</v>
      </c>
      <c r="N1382" t="s">
        <v>75</v>
      </c>
      <c r="O1382">
        <v>0</v>
      </c>
      <c r="P1382" t="s">
        <v>39</v>
      </c>
      <c r="Q1382" s="4">
        <v>46355</v>
      </c>
      <c r="R1382" t="s">
        <v>57</v>
      </c>
      <c r="S1382" t="s">
        <v>38</v>
      </c>
      <c r="T1382" t="s">
        <v>3153</v>
      </c>
      <c r="U1382" t="s">
        <v>75</v>
      </c>
      <c r="V1382" t="s">
        <v>3154</v>
      </c>
    </row>
    <row r="1383" spans="1:22" x14ac:dyDescent="0.2">
      <c r="A1383" t="s">
        <v>2830</v>
      </c>
      <c r="B1383" t="s">
        <v>2831</v>
      </c>
      <c r="C1383" t="s">
        <v>78</v>
      </c>
      <c r="D1383" t="s">
        <v>79</v>
      </c>
      <c r="E1383" t="s">
        <v>105</v>
      </c>
      <c r="F1383" t="s">
        <v>45</v>
      </c>
      <c r="G1383" t="s">
        <v>46</v>
      </c>
      <c r="H1383" t="s">
        <v>98</v>
      </c>
      <c r="I1383" t="s">
        <v>39</v>
      </c>
      <c r="J1383" t="s">
        <v>48</v>
      </c>
      <c r="K1383" s="4">
        <v>46141</v>
      </c>
      <c r="L1383" s="4">
        <v>46231</v>
      </c>
      <c r="M1383" t="s">
        <v>38</v>
      </c>
      <c r="N1383" t="s">
        <v>49</v>
      </c>
      <c r="O1383">
        <v>4</v>
      </c>
      <c r="P1383" t="s">
        <v>50</v>
      </c>
      <c r="Q1383" s="4">
        <v>46256</v>
      </c>
      <c r="R1383" t="s">
        <v>64</v>
      </c>
      <c r="S1383" t="s">
        <v>38</v>
      </c>
      <c r="T1383" t="s">
        <v>3153</v>
      </c>
      <c r="U1383" t="s">
        <v>49</v>
      </c>
      <c r="V1383" t="s">
        <v>3152</v>
      </c>
    </row>
    <row r="1384" spans="1:22" x14ac:dyDescent="0.2">
      <c r="A1384" t="s">
        <v>2832</v>
      </c>
      <c r="B1384" t="s">
        <v>2833</v>
      </c>
      <c r="C1384" t="s">
        <v>78</v>
      </c>
      <c r="D1384" t="s">
        <v>79</v>
      </c>
      <c r="E1384" t="s">
        <v>44</v>
      </c>
      <c r="F1384" t="s">
        <v>34</v>
      </c>
      <c r="G1384" t="s">
        <v>35</v>
      </c>
      <c r="H1384" t="s">
        <v>98</v>
      </c>
      <c r="I1384" t="s">
        <v>62</v>
      </c>
      <c r="J1384" t="s">
        <v>37</v>
      </c>
      <c r="K1384" s="4">
        <v>46026</v>
      </c>
      <c r="L1384" s="4">
        <v>46116</v>
      </c>
      <c r="M1384" t="s">
        <v>38</v>
      </c>
      <c r="N1384" t="s">
        <v>49</v>
      </c>
      <c r="O1384">
        <v>0</v>
      </c>
      <c r="P1384" t="s">
        <v>62</v>
      </c>
      <c r="Q1384" s="4">
        <v>46302</v>
      </c>
      <c r="R1384" t="s">
        <v>57</v>
      </c>
      <c r="S1384" t="s">
        <v>38</v>
      </c>
      <c r="T1384" t="s">
        <v>3153</v>
      </c>
      <c r="U1384" t="s">
        <v>49</v>
      </c>
      <c r="V1384" t="s">
        <v>3152</v>
      </c>
    </row>
    <row r="1385" spans="1:22" x14ac:dyDescent="0.2">
      <c r="A1385" t="s">
        <v>2834</v>
      </c>
      <c r="B1385" t="s">
        <v>2835</v>
      </c>
      <c r="C1385" t="s">
        <v>42</v>
      </c>
      <c r="D1385" t="s">
        <v>43</v>
      </c>
      <c r="E1385" t="s">
        <v>105</v>
      </c>
      <c r="F1385" t="s">
        <v>67</v>
      </c>
      <c r="G1385" t="s">
        <v>118</v>
      </c>
      <c r="H1385" t="s">
        <v>88</v>
      </c>
      <c r="I1385" t="s">
        <v>62</v>
      </c>
      <c r="J1385" t="s">
        <v>37</v>
      </c>
      <c r="K1385" s="4">
        <v>45799</v>
      </c>
      <c r="L1385" s="4">
        <v>45889</v>
      </c>
      <c r="M1385" t="s">
        <v>38</v>
      </c>
      <c r="N1385" t="s">
        <v>55</v>
      </c>
      <c r="O1385">
        <v>3</v>
      </c>
      <c r="P1385" t="s">
        <v>56</v>
      </c>
      <c r="Q1385" s="4">
        <v>46300</v>
      </c>
      <c r="R1385" t="s">
        <v>84</v>
      </c>
      <c r="S1385" t="s">
        <v>38</v>
      </c>
      <c r="T1385" t="s">
        <v>3153</v>
      </c>
      <c r="U1385" t="s">
        <v>55</v>
      </c>
      <c r="V1385" t="s">
        <v>3154</v>
      </c>
    </row>
    <row r="1386" spans="1:22" x14ac:dyDescent="0.2">
      <c r="A1386" t="s">
        <v>2836</v>
      </c>
      <c r="B1386" t="s">
        <v>2837</v>
      </c>
      <c r="C1386" t="s">
        <v>73</v>
      </c>
      <c r="D1386" t="s">
        <v>74</v>
      </c>
      <c r="E1386" t="s">
        <v>80</v>
      </c>
      <c r="F1386" t="s">
        <v>67</v>
      </c>
      <c r="G1386" t="s">
        <v>68</v>
      </c>
      <c r="H1386" t="s">
        <v>98</v>
      </c>
      <c r="I1386" t="s">
        <v>62</v>
      </c>
      <c r="J1386" t="s">
        <v>37</v>
      </c>
      <c r="K1386" s="4">
        <v>46175</v>
      </c>
      <c r="L1386" s="4">
        <v>46540</v>
      </c>
      <c r="M1386" t="s">
        <v>64</v>
      </c>
      <c r="N1386" t="s">
        <v>55</v>
      </c>
      <c r="O1386">
        <v>5</v>
      </c>
      <c r="P1386" t="s">
        <v>62</v>
      </c>
      <c r="Q1386" s="4">
        <v>46230</v>
      </c>
      <c r="R1386" t="s">
        <v>38</v>
      </c>
      <c r="S1386" t="s">
        <v>3155</v>
      </c>
      <c r="T1386" t="s">
        <v>3153</v>
      </c>
      <c r="U1386" t="s">
        <v>55</v>
      </c>
      <c r="V1386" t="s">
        <v>3152</v>
      </c>
    </row>
    <row r="1387" spans="1:22" x14ac:dyDescent="0.2">
      <c r="A1387" t="s">
        <v>2838</v>
      </c>
      <c r="B1387" t="s">
        <v>2839</v>
      </c>
      <c r="C1387" t="s">
        <v>42</v>
      </c>
      <c r="D1387" t="s">
        <v>43</v>
      </c>
      <c r="E1387" t="s">
        <v>44</v>
      </c>
      <c r="F1387" t="s">
        <v>45</v>
      </c>
      <c r="G1387" t="s">
        <v>61</v>
      </c>
      <c r="H1387" t="s">
        <v>47</v>
      </c>
      <c r="I1387" t="s">
        <v>50</v>
      </c>
      <c r="J1387" t="s">
        <v>37</v>
      </c>
      <c r="K1387" s="4">
        <v>46078</v>
      </c>
      <c r="L1387" s="4">
        <v>46168</v>
      </c>
      <c r="M1387" t="s">
        <v>38</v>
      </c>
      <c r="N1387" t="s">
        <v>75</v>
      </c>
      <c r="O1387">
        <v>0</v>
      </c>
      <c r="P1387" t="s">
        <v>54</v>
      </c>
      <c r="Q1387" s="4">
        <v>46160</v>
      </c>
      <c r="R1387" t="s">
        <v>57</v>
      </c>
      <c r="S1387" t="s">
        <v>38</v>
      </c>
      <c r="T1387" t="s">
        <v>3153</v>
      </c>
      <c r="U1387" t="s">
        <v>75</v>
      </c>
      <c r="V1387" t="s">
        <v>3154</v>
      </c>
    </row>
    <row r="1388" spans="1:22" x14ac:dyDescent="0.2">
      <c r="A1388" t="s">
        <v>2840</v>
      </c>
      <c r="B1388" t="s">
        <v>2841</v>
      </c>
      <c r="C1388" t="s">
        <v>96</v>
      </c>
      <c r="D1388" t="s">
        <v>97</v>
      </c>
      <c r="E1388" t="s">
        <v>91</v>
      </c>
      <c r="F1388" t="s">
        <v>67</v>
      </c>
      <c r="G1388" t="s">
        <v>68</v>
      </c>
      <c r="H1388" t="s">
        <v>88</v>
      </c>
      <c r="I1388" t="s">
        <v>106</v>
      </c>
      <c r="J1388" t="s">
        <v>63</v>
      </c>
      <c r="K1388" s="4">
        <v>46139</v>
      </c>
      <c r="L1388" s="4">
        <v>46504</v>
      </c>
      <c r="M1388" t="s">
        <v>64</v>
      </c>
      <c r="N1388" t="s">
        <v>49</v>
      </c>
      <c r="O1388">
        <v>0</v>
      </c>
      <c r="P1388" t="s">
        <v>70</v>
      </c>
      <c r="Q1388" s="4">
        <v>46388</v>
      </c>
      <c r="R1388" t="s">
        <v>57</v>
      </c>
      <c r="S1388" t="s">
        <v>3155</v>
      </c>
      <c r="T1388" t="s">
        <v>3153</v>
      </c>
      <c r="U1388" t="s">
        <v>49</v>
      </c>
      <c r="V1388" t="s">
        <v>3154</v>
      </c>
    </row>
    <row r="1389" spans="1:22" x14ac:dyDescent="0.2">
      <c r="A1389" t="s">
        <v>2842</v>
      </c>
      <c r="B1389" t="s">
        <v>2843</v>
      </c>
      <c r="C1389" t="s">
        <v>73</v>
      </c>
      <c r="D1389" t="s">
        <v>74</v>
      </c>
      <c r="E1389" t="s">
        <v>44</v>
      </c>
      <c r="F1389" t="s">
        <v>34</v>
      </c>
      <c r="G1389" t="s">
        <v>35</v>
      </c>
      <c r="H1389" t="s">
        <v>88</v>
      </c>
      <c r="I1389" t="s">
        <v>56</v>
      </c>
      <c r="J1389" t="s">
        <v>48</v>
      </c>
      <c r="K1389" s="4">
        <v>45811</v>
      </c>
      <c r="L1389" s="4">
        <v>46176</v>
      </c>
      <c r="M1389" t="s">
        <v>38</v>
      </c>
      <c r="N1389" t="s">
        <v>55</v>
      </c>
      <c r="O1389">
        <v>3</v>
      </c>
      <c r="P1389" t="s">
        <v>50</v>
      </c>
      <c r="Q1389" s="4">
        <v>46249</v>
      </c>
      <c r="R1389" t="s">
        <v>64</v>
      </c>
      <c r="S1389" t="s">
        <v>38</v>
      </c>
      <c r="T1389" t="s">
        <v>3153</v>
      </c>
      <c r="U1389" t="s">
        <v>55</v>
      </c>
      <c r="V1389" t="s">
        <v>3154</v>
      </c>
    </row>
    <row r="1390" spans="1:22" x14ac:dyDescent="0.2">
      <c r="A1390" t="s">
        <v>2844</v>
      </c>
      <c r="B1390" t="s">
        <v>2845</v>
      </c>
      <c r="C1390" t="s">
        <v>103</v>
      </c>
      <c r="D1390" t="s">
        <v>104</v>
      </c>
      <c r="E1390" t="s">
        <v>80</v>
      </c>
      <c r="F1390" t="s">
        <v>34</v>
      </c>
      <c r="G1390" t="s">
        <v>35</v>
      </c>
      <c r="H1390" t="s">
        <v>98</v>
      </c>
      <c r="I1390" t="s">
        <v>50</v>
      </c>
      <c r="J1390" t="s">
        <v>48</v>
      </c>
      <c r="K1390" s="4">
        <v>45820</v>
      </c>
      <c r="L1390" s="4">
        <v>46000</v>
      </c>
      <c r="M1390" t="s">
        <v>38</v>
      </c>
      <c r="N1390" t="s">
        <v>49</v>
      </c>
      <c r="O1390">
        <v>0</v>
      </c>
      <c r="P1390" t="s">
        <v>56</v>
      </c>
      <c r="Q1390" s="4">
        <v>46301</v>
      </c>
      <c r="R1390" t="s">
        <v>57</v>
      </c>
      <c r="S1390" t="s">
        <v>38</v>
      </c>
      <c r="T1390" t="s">
        <v>3153</v>
      </c>
      <c r="U1390" t="s">
        <v>49</v>
      </c>
      <c r="V1390" t="s">
        <v>3152</v>
      </c>
    </row>
    <row r="1391" spans="1:22" x14ac:dyDescent="0.2">
      <c r="A1391" t="s">
        <v>2846</v>
      </c>
      <c r="B1391" t="s">
        <v>2847</v>
      </c>
      <c r="C1391" t="s">
        <v>42</v>
      </c>
      <c r="D1391" t="s">
        <v>43</v>
      </c>
      <c r="E1391" t="s">
        <v>91</v>
      </c>
      <c r="F1391" t="s">
        <v>45</v>
      </c>
      <c r="G1391" t="s">
        <v>46</v>
      </c>
      <c r="H1391" t="s">
        <v>47</v>
      </c>
      <c r="I1391" t="s">
        <v>70</v>
      </c>
      <c r="J1391" t="s">
        <v>37</v>
      </c>
      <c r="K1391" s="4">
        <v>45914</v>
      </c>
      <c r="L1391" s="4">
        <v>46094</v>
      </c>
      <c r="M1391" t="s">
        <v>38</v>
      </c>
      <c r="N1391" t="s">
        <v>49</v>
      </c>
      <c r="O1391">
        <v>3</v>
      </c>
      <c r="P1391" t="s">
        <v>62</v>
      </c>
      <c r="Q1391" s="4">
        <v>46322</v>
      </c>
      <c r="R1391" t="s">
        <v>64</v>
      </c>
      <c r="S1391" t="s">
        <v>38</v>
      </c>
      <c r="T1391" t="s">
        <v>3153</v>
      </c>
      <c r="U1391" t="s">
        <v>49</v>
      </c>
      <c r="V1391" t="s">
        <v>3154</v>
      </c>
    </row>
    <row r="1392" spans="1:22" x14ac:dyDescent="0.2">
      <c r="A1392" t="s">
        <v>2848</v>
      </c>
      <c r="B1392" t="s">
        <v>2849</v>
      </c>
      <c r="C1392" t="s">
        <v>103</v>
      </c>
      <c r="D1392" t="s">
        <v>104</v>
      </c>
      <c r="E1392" t="s">
        <v>80</v>
      </c>
      <c r="F1392" t="s">
        <v>34</v>
      </c>
      <c r="G1392" t="s">
        <v>35</v>
      </c>
      <c r="H1392" t="s">
        <v>88</v>
      </c>
      <c r="I1392" t="s">
        <v>111</v>
      </c>
      <c r="J1392" t="s">
        <v>37</v>
      </c>
      <c r="K1392" s="4">
        <v>46070</v>
      </c>
      <c r="L1392" s="4">
        <v>46435</v>
      </c>
      <c r="M1392" t="s">
        <v>69</v>
      </c>
      <c r="N1392" t="s">
        <v>49</v>
      </c>
      <c r="O1392">
        <v>2</v>
      </c>
      <c r="P1392" t="s">
        <v>111</v>
      </c>
      <c r="Q1392" s="4">
        <v>46217</v>
      </c>
      <c r="R1392" t="s">
        <v>38</v>
      </c>
      <c r="S1392" t="s">
        <v>3155</v>
      </c>
      <c r="T1392" t="s">
        <v>3153</v>
      </c>
      <c r="U1392" t="s">
        <v>49</v>
      </c>
      <c r="V1392" t="s">
        <v>3154</v>
      </c>
    </row>
    <row r="1393" spans="1:22" x14ac:dyDescent="0.2">
      <c r="A1393" t="s">
        <v>2850</v>
      </c>
      <c r="B1393" t="s">
        <v>2851</v>
      </c>
      <c r="C1393" t="s">
        <v>31</v>
      </c>
      <c r="D1393" t="s">
        <v>83</v>
      </c>
      <c r="E1393" t="s">
        <v>80</v>
      </c>
      <c r="F1393" t="s">
        <v>67</v>
      </c>
      <c r="G1393" t="s">
        <v>118</v>
      </c>
      <c r="H1393" t="s">
        <v>98</v>
      </c>
      <c r="I1393" t="s">
        <v>62</v>
      </c>
      <c r="J1393" t="s">
        <v>37</v>
      </c>
      <c r="K1393" s="4">
        <v>45862</v>
      </c>
      <c r="L1393" s="4">
        <v>45952</v>
      </c>
      <c r="M1393" t="s">
        <v>38</v>
      </c>
      <c r="N1393" t="s">
        <v>75</v>
      </c>
      <c r="O1393">
        <v>1</v>
      </c>
      <c r="P1393" t="s">
        <v>106</v>
      </c>
      <c r="Q1393" s="4">
        <v>46258</v>
      </c>
      <c r="R1393" t="s">
        <v>64</v>
      </c>
      <c r="S1393" t="s">
        <v>38</v>
      </c>
      <c r="T1393" t="s">
        <v>3153</v>
      </c>
      <c r="U1393" t="s">
        <v>75</v>
      </c>
      <c r="V1393" t="s">
        <v>3152</v>
      </c>
    </row>
    <row r="1394" spans="1:22" x14ac:dyDescent="0.2">
      <c r="A1394" t="s">
        <v>2852</v>
      </c>
      <c r="B1394" t="s">
        <v>2853</v>
      </c>
      <c r="C1394" t="s">
        <v>73</v>
      </c>
      <c r="D1394" t="s">
        <v>74</v>
      </c>
      <c r="E1394" t="s">
        <v>60</v>
      </c>
      <c r="F1394" t="s">
        <v>45</v>
      </c>
      <c r="G1394" t="s">
        <v>46</v>
      </c>
      <c r="H1394" t="s">
        <v>88</v>
      </c>
      <c r="I1394" t="s">
        <v>56</v>
      </c>
      <c r="J1394" t="s">
        <v>37</v>
      </c>
      <c r="K1394" s="4">
        <v>46015</v>
      </c>
      <c r="L1394" s="4">
        <v>46105</v>
      </c>
      <c r="M1394" t="s">
        <v>38</v>
      </c>
      <c r="N1394" t="s">
        <v>75</v>
      </c>
      <c r="O1394">
        <v>1</v>
      </c>
      <c r="P1394" t="s">
        <v>62</v>
      </c>
      <c r="Q1394" s="4">
        <v>46319</v>
      </c>
      <c r="R1394" t="s">
        <v>84</v>
      </c>
      <c r="S1394" t="s">
        <v>38</v>
      </c>
      <c r="T1394" t="s">
        <v>3153</v>
      </c>
      <c r="U1394" t="s">
        <v>75</v>
      </c>
      <c r="V1394" t="s">
        <v>3154</v>
      </c>
    </row>
    <row r="1395" spans="1:22" x14ac:dyDescent="0.2">
      <c r="A1395" t="s">
        <v>2854</v>
      </c>
      <c r="B1395" t="s">
        <v>2855</v>
      </c>
      <c r="C1395" t="s">
        <v>31</v>
      </c>
      <c r="D1395" t="s">
        <v>32</v>
      </c>
      <c r="E1395" t="s">
        <v>80</v>
      </c>
      <c r="F1395" t="s">
        <v>67</v>
      </c>
      <c r="G1395" t="s">
        <v>118</v>
      </c>
      <c r="H1395" t="s">
        <v>47</v>
      </c>
      <c r="I1395" t="s">
        <v>54</v>
      </c>
      <c r="J1395" t="s">
        <v>48</v>
      </c>
      <c r="K1395" s="4">
        <v>46269</v>
      </c>
      <c r="L1395" s="4">
        <v>46449</v>
      </c>
      <c r="M1395" t="s">
        <v>69</v>
      </c>
      <c r="N1395" t="s">
        <v>55</v>
      </c>
      <c r="O1395">
        <v>1</v>
      </c>
      <c r="P1395" t="s">
        <v>62</v>
      </c>
      <c r="Q1395" s="4">
        <v>46303</v>
      </c>
      <c r="R1395" t="s">
        <v>84</v>
      </c>
      <c r="S1395" t="s">
        <v>3155</v>
      </c>
      <c r="T1395" t="s">
        <v>3153</v>
      </c>
      <c r="U1395" t="s">
        <v>55</v>
      </c>
      <c r="V1395" t="s">
        <v>3154</v>
      </c>
    </row>
    <row r="1396" spans="1:22" x14ac:dyDescent="0.2">
      <c r="A1396" t="s">
        <v>2856</v>
      </c>
      <c r="B1396" t="s">
        <v>2857</v>
      </c>
      <c r="C1396" t="s">
        <v>73</v>
      </c>
      <c r="D1396" t="s">
        <v>74</v>
      </c>
      <c r="E1396" t="s">
        <v>105</v>
      </c>
      <c r="F1396" t="s">
        <v>45</v>
      </c>
      <c r="G1396" t="s">
        <v>61</v>
      </c>
      <c r="H1396" t="s">
        <v>98</v>
      </c>
      <c r="I1396" t="s">
        <v>56</v>
      </c>
      <c r="J1396" t="s">
        <v>48</v>
      </c>
      <c r="K1396" s="4">
        <v>45942</v>
      </c>
      <c r="L1396" s="4">
        <v>46307</v>
      </c>
      <c r="M1396" t="s">
        <v>84</v>
      </c>
      <c r="N1396" t="s">
        <v>55</v>
      </c>
      <c r="O1396">
        <v>3</v>
      </c>
      <c r="P1396" t="s">
        <v>39</v>
      </c>
      <c r="Q1396" s="4">
        <v>46174</v>
      </c>
      <c r="R1396" t="s">
        <v>64</v>
      </c>
      <c r="S1396" t="s">
        <v>3155</v>
      </c>
      <c r="T1396" t="s">
        <v>3153</v>
      </c>
      <c r="U1396" t="s">
        <v>55</v>
      </c>
      <c r="V1396" t="s">
        <v>3152</v>
      </c>
    </row>
    <row r="1397" spans="1:22" x14ac:dyDescent="0.2">
      <c r="A1397" t="s">
        <v>2858</v>
      </c>
      <c r="B1397" t="s">
        <v>2859</v>
      </c>
      <c r="C1397" t="s">
        <v>31</v>
      </c>
      <c r="D1397" t="s">
        <v>32</v>
      </c>
      <c r="E1397" t="s">
        <v>44</v>
      </c>
      <c r="F1397" t="s">
        <v>67</v>
      </c>
      <c r="G1397" t="s">
        <v>118</v>
      </c>
      <c r="H1397" t="s">
        <v>88</v>
      </c>
      <c r="I1397" t="s">
        <v>111</v>
      </c>
      <c r="J1397" t="s">
        <v>63</v>
      </c>
      <c r="K1397" s="4">
        <v>46160</v>
      </c>
      <c r="L1397" s="4">
        <v>46250</v>
      </c>
      <c r="M1397" t="s">
        <v>38</v>
      </c>
      <c r="N1397" t="s">
        <v>49</v>
      </c>
      <c r="O1397">
        <v>0</v>
      </c>
      <c r="P1397" t="s">
        <v>106</v>
      </c>
      <c r="Q1397" s="4">
        <v>46130</v>
      </c>
      <c r="R1397" t="s">
        <v>57</v>
      </c>
      <c r="S1397" t="s">
        <v>38</v>
      </c>
      <c r="T1397" t="s">
        <v>3153</v>
      </c>
      <c r="U1397" t="s">
        <v>49</v>
      </c>
      <c r="V1397" t="s">
        <v>3154</v>
      </c>
    </row>
    <row r="1398" spans="1:22" x14ac:dyDescent="0.2">
      <c r="A1398" t="s">
        <v>2860</v>
      </c>
      <c r="B1398" t="s">
        <v>2861</v>
      </c>
      <c r="C1398" t="s">
        <v>42</v>
      </c>
      <c r="D1398" t="s">
        <v>43</v>
      </c>
      <c r="E1398" t="s">
        <v>105</v>
      </c>
      <c r="F1398" t="s">
        <v>45</v>
      </c>
      <c r="G1398" t="s">
        <v>46</v>
      </c>
      <c r="H1398" t="s">
        <v>47</v>
      </c>
      <c r="I1398" t="s">
        <v>111</v>
      </c>
      <c r="J1398" t="s">
        <v>48</v>
      </c>
      <c r="K1398" s="4">
        <v>46228</v>
      </c>
      <c r="L1398" s="4">
        <v>46593</v>
      </c>
      <c r="M1398" t="s">
        <v>64</v>
      </c>
      <c r="N1398" t="s">
        <v>55</v>
      </c>
      <c r="O1398">
        <v>1</v>
      </c>
      <c r="P1398" t="s">
        <v>62</v>
      </c>
      <c r="Q1398" s="4">
        <v>46300</v>
      </c>
      <c r="R1398" t="s">
        <v>84</v>
      </c>
      <c r="S1398" t="s">
        <v>3155</v>
      </c>
      <c r="T1398" t="s">
        <v>3153</v>
      </c>
      <c r="U1398" t="s">
        <v>55</v>
      </c>
      <c r="V1398" t="s">
        <v>3154</v>
      </c>
    </row>
    <row r="1399" spans="1:22" x14ac:dyDescent="0.2">
      <c r="A1399" t="s">
        <v>2862</v>
      </c>
      <c r="B1399" t="s">
        <v>2863</v>
      </c>
      <c r="C1399" t="s">
        <v>78</v>
      </c>
      <c r="D1399" t="s">
        <v>79</v>
      </c>
      <c r="E1399" t="s">
        <v>53</v>
      </c>
      <c r="F1399" t="s">
        <v>34</v>
      </c>
      <c r="G1399" t="s">
        <v>35</v>
      </c>
      <c r="H1399" t="s">
        <v>47</v>
      </c>
      <c r="I1399" t="s">
        <v>111</v>
      </c>
      <c r="J1399" t="s">
        <v>37</v>
      </c>
      <c r="K1399" s="4">
        <v>46251</v>
      </c>
      <c r="L1399" s="4">
        <v>46341</v>
      </c>
      <c r="M1399" t="s">
        <v>64</v>
      </c>
      <c r="N1399" t="s">
        <v>49</v>
      </c>
      <c r="O1399">
        <v>1</v>
      </c>
      <c r="P1399" t="s">
        <v>50</v>
      </c>
      <c r="Q1399" s="4">
        <v>46127</v>
      </c>
      <c r="R1399" t="s">
        <v>38</v>
      </c>
      <c r="S1399" t="s">
        <v>3155</v>
      </c>
      <c r="T1399" t="s">
        <v>3153</v>
      </c>
      <c r="U1399" t="s">
        <v>49</v>
      </c>
      <c r="V1399" t="s">
        <v>3154</v>
      </c>
    </row>
    <row r="1400" spans="1:22" x14ac:dyDescent="0.2">
      <c r="A1400" t="s">
        <v>2864</v>
      </c>
      <c r="B1400" t="s">
        <v>2865</v>
      </c>
      <c r="C1400" t="s">
        <v>42</v>
      </c>
      <c r="D1400" t="s">
        <v>43</v>
      </c>
      <c r="E1400" t="s">
        <v>80</v>
      </c>
      <c r="F1400" t="s">
        <v>45</v>
      </c>
      <c r="G1400" t="s">
        <v>61</v>
      </c>
      <c r="H1400" t="s">
        <v>88</v>
      </c>
      <c r="I1400" t="s">
        <v>62</v>
      </c>
      <c r="J1400" t="s">
        <v>63</v>
      </c>
      <c r="K1400" s="4">
        <v>46071</v>
      </c>
      <c r="L1400" s="4">
        <v>46436</v>
      </c>
      <c r="M1400" t="s">
        <v>64</v>
      </c>
      <c r="N1400" t="s">
        <v>55</v>
      </c>
      <c r="O1400">
        <v>1</v>
      </c>
      <c r="P1400" t="s">
        <v>39</v>
      </c>
      <c r="Q1400" s="4">
        <v>46354</v>
      </c>
      <c r="R1400" t="s">
        <v>64</v>
      </c>
      <c r="S1400" t="s">
        <v>3155</v>
      </c>
      <c r="T1400" t="s">
        <v>3153</v>
      </c>
      <c r="U1400" t="s">
        <v>55</v>
      </c>
      <c r="V1400" t="s">
        <v>3154</v>
      </c>
    </row>
    <row r="1401" spans="1:22" x14ac:dyDescent="0.2">
      <c r="A1401" t="s">
        <v>2866</v>
      </c>
      <c r="B1401" t="s">
        <v>2867</v>
      </c>
      <c r="C1401" t="s">
        <v>31</v>
      </c>
      <c r="D1401" t="s">
        <v>83</v>
      </c>
      <c r="E1401" t="s">
        <v>44</v>
      </c>
      <c r="F1401" t="s">
        <v>34</v>
      </c>
      <c r="G1401" t="s">
        <v>35</v>
      </c>
      <c r="H1401" t="s">
        <v>36</v>
      </c>
      <c r="I1401" t="s">
        <v>70</v>
      </c>
      <c r="J1401" t="s">
        <v>63</v>
      </c>
      <c r="K1401" s="4">
        <v>46263</v>
      </c>
      <c r="L1401" s="4">
        <v>46443</v>
      </c>
      <c r="M1401" t="s">
        <v>64</v>
      </c>
      <c r="N1401" t="s">
        <v>49</v>
      </c>
      <c r="O1401">
        <v>5</v>
      </c>
      <c r="P1401" t="s">
        <v>50</v>
      </c>
      <c r="Q1401" s="4">
        <v>46138</v>
      </c>
      <c r="R1401" t="s">
        <v>64</v>
      </c>
      <c r="S1401" t="s">
        <v>3155</v>
      </c>
      <c r="T1401" t="s">
        <v>3153</v>
      </c>
      <c r="U1401" t="s">
        <v>49</v>
      </c>
      <c r="V1401" t="s">
        <v>3152</v>
      </c>
    </row>
    <row r="1402" spans="1:22" x14ac:dyDescent="0.2">
      <c r="A1402" t="s">
        <v>2868</v>
      </c>
      <c r="B1402" t="s">
        <v>2869</v>
      </c>
      <c r="C1402" t="s">
        <v>103</v>
      </c>
      <c r="D1402" t="s">
        <v>104</v>
      </c>
      <c r="E1402" t="s">
        <v>105</v>
      </c>
      <c r="F1402" t="s">
        <v>34</v>
      </c>
      <c r="G1402" t="s">
        <v>35</v>
      </c>
      <c r="H1402" t="s">
        <v>88</v>
      </c>
      <c r="I1402" t="s">
        <v>106</v>
      </c>
      <c r="J1402" t="s">
        <v>63</v>
      </c>
      <c r="K1402" s="4">
        <v>46038</v>
      </c>
      <c r="L1402" s="4">
        <v>46403</v>
      </c>
      <c r="M1402" t="s">
        <v>84</v>
      </c>
      <c r="N1402" t="s">
        <v>55</v>
      </c>
      <c r="O1402">
        <v>3</v>
      </c>
      <c r="P1402" t="s">
        <v>70</v>
      </c>
      <c r="Q1402" s="4">
        <v>46128</v>
      </c>
      <c r="R1402" t="s">
        <v>38</v>
      </c>
      <c r="S1402" t="s">
        <v>3155</v>
      </c>
      <c r="T1402" t="s">
        <v>3153</v>
      </c>
      <c r="U1402" t="s">
        <v>55</v>
      </c>
      <c r="V1402" t="s">
        <v>3154</v>
      </c>
    </row>
    <row r="1403" spans="1:22" x14ac:dyDescent="0.2">
      <c r="A1403" t="s">
        <v>2870</v>
      </c>
      <c r="B1403" t="s">
        <v>2871</v>
      </c>
      <c r="C1403" t="s">
        <v>73</v>
      </c>
      <c r="D1403" t="s">
        <v>74</v>
      </c>
      <c r="E1403" t="s">
        <v>60</v>
      </c>
      <c r="F1403" t="s">
        <v>45</v>
      </c>
      <c r="G1403" t="s">
        <v>61</v>
      </c>
      <c r="H1403" t="s">
        <v>36</v>
      </c>
      <c r="I1403" t="s">
        <v>70</v>
      </c>
      <c r="J1403" t="s">
        <v>63</v>
      </c>
      <c r="K1403" s="4">
        <v>46022</v>
      </c>
      <c r="L1403" s="4">
        <v>46112</v>
      </c>
      <c r="M1403" t="s">
        <v>38</v>
      </c>
      <c r="N1403" t="s">
        <v>55</v>
      </c>
      <c r="O1403">
        <v>1</v>
      </c>
      <c r="P1403" t="s">
        <v>50</v>
      </c>
      <c r="Q1403" s="4">
        <v>46177</v>
      </c>
      <c r="R1403" t="s">
        <v>64</v>
      </c>
      <c r="S1403" t="s">
        <v>38</v>
      </c>
      <c r="T1403" t="s">
        <v>3153</v>
      </c>
      <c r="U1403" t="s">
        <v>55</v>
      </c>
      <c r="V1403" t="s">
        <v>3152</v>
      </c>
    </row>
    <row r="1404" spans="1:22" x14ac:dyDescent="0.2">
      <c r="A1404" t="s">
        <v>2872</v>
      </c>
      <c r="B1404" t="s">
        <v>2873</v>
      </c>
      <c r="C1404" t="s">
        <v>73</v>
      </c>
      <c r="D1404" t="s">
        <v>74</v>
      </c>
      <c r="E1404" t="s">
        <v>44</v>
      </c>
      <c r="F1404" t="s">
        <v>34</v>
      </c>
      <c r="G1404" t="s">
        <v>35</v>
      </c>
      <c r="H1404" t="s">
        <v>36</v>
      </c>
      <c r="I1404" t="s">
        <v>39</v>
      </c>
      <c r="J1404" t="s">
        <v>63</v>
      </c>
      <c r="K1404" s="4">
        <v>45968</v>
      </c>
      <c r="L1404" s="4">
        <v>46333</v>
      </c>
      <c r="M1404" t="s">
        <v>64</v>
      </c>
      <c r="N1404" t="s">
        <v>49</v>
      </c>
      <c r="O1404">
        <v>5</v>
      </c>
      <c r="P1404" t="s">
        <v>106</v>
      </c>
      <c r="Q1404" s="4">
        <v>46363</v>
      </c>
      <c r="R1404" t="s">
        <v>84</v>
      </c>
      <c r="S1404" t="s">
        <v>3155</v>
      </c>
      <c r="T1404" t="s">
        <v>3153</v>
      </c>
      <c r="U1404" t="s">
        <v>49</v>
      </c>
      <c r="V1404" t="s">
        <v>3152</v>
      </c>
    </row>
    <row r="1405" spans="1:22" x14ac:dyDescent="0.2">
      <c r="A1405" t="s">
        <v>2874</v>
      </c>
      <c r="B1405" t="s">
        <v>2875</v>
      </c>
      <c r="C1405" t="s">
        <v>103</v>
      </c>
      <c r="D1405" t="s">
        <v>104</v>
      </c>
      <c r="E1405" t="s">
        <v>91</v>
      </c>
      <c r="F1405" t="s">
        <v>34</v>
      </c>
      <c r="G1405" t="s">
        <v>35</v>
      </c>
      <c r="H1405" t="s">
        <v>88</v>
      </c>
      <c r="I1405" t="s">
        <v>54</v>
      </c>
      <c r="J1405" t="s">
        <v>63</v>
      </c>
      <c r="K1405" s="4">
        <v>46200</v>
      </c>
      <c r="L1405" s="4">
        <v>46290</v>
      </c>
      <c r="M1405" t="s">
        <v>38</v>
      </c>
      <c r="N1405" t="s">
        <v>55</v>
      </c>
      <c r="O1405">
        <v>3</v>
      </c>
      <c r="P1405" t="s">
        <v>50</v>
      </c>
      <c r="Q1405" s="4">
        <v>46231</v>
      </c>
      <c r="R1405" t="s">
        <v>38</v>
      </c>
      <c r="S1405" t="s">
        <v>38</v>
      </c>
      <c r="T1405" t="s">
        <v>3153</v>
      </c>
      <c r="U1405" t="s">
        <v>55</v>
      </c>
      <c r="V1405" t="s">
        <v>3154</v>
      </c>
    </row>
    <row r="1406" spans="1:22" x14ac:dyDescent="0.2">
      <c r="A1406" t="s">
        <v>2876</v>
      </c>
      <c r="B1406" t="s">
        <v>2877</v>
      </c>
      <c r="C1406" t="s">
        <v>31</v>
      </c>
      <c r="D1406" t="s">
        <v>32</v>
      </c>
      <c r="E1406" t="s">
        <v>53</v>
      </c>
      <c r="F1406" t="s">
        <v>45</v>
      </c>
      <c r="G1406" t="s">
        <v>61</v>
      </c>
      <c r="H1406" t="s">
        <v>36</v>
      </c>
      <c r="I1406" t="s">
        <v>54</v>
      </c>
      <c r="J1406" t="s">
        <v>37</v>
      </c>
      <c r="K1406" s="4">
        <v>45875</v>
      </c>
      <c r="L1406" s="4">
        <v>46055</v>
      </c>
      <c r="M1406" t="s">
        <v>38</v>
      </c>
      <c r="N1406" t="s">
        <v>55</v>
      </c>
      <c r="O1406">
        <v>1</v>
      </c>
      <c r="P1406" t="s">
        <v>39</v>
      </c>
      <c r="Q1406" s="4">
        <v>46231</v>
      </c>
      <c r="R1406" t="s">
        <v>38</v>
      </c>
      <c r="S1406" t="s">
        <v>38</v>
      </c>
      <c r="T1406" t="s">
        <v>3153</v>
      </c>
      <c r="U1406" t="s">
        <v>55</v>
      </c>
      <c r="V1406" t="s">
        <v>3152</v>
      </c>
    </row>
    <row r="1407" spans="1:22" x14ac:dyDescent="0.2">
      <c r="A1407" t="s">
        <v>2878</v>
      </c>
      <c r="B1407" t="s">
        <v>2879</v>
      </c>
      <c r="C1407" t="s">
        <v>31</v>
      </c>
      <c r="D1407" t="s">
        <v>83</v>
      </c>
      <c r="E1407" t="s">
        <v>105</v>
      </c>
      <c r="F1407" t="s">
        <v>67</v>
      </c>
      <c r="G1407" t="s">
        <v>118</v>
      </c>
      <c r="H1407" t="s">
        <v>36</v>
      </c>
      <c r="I1407" t="s">
        <v>111</v>
      </c>
      <c r="J1407" t="s">
        <v>48</v>
      </c>
      <c r="K1407" s="4">
        <v>46252</v>
      </c>
      <c r="L1407" s="4">
        <v>46617</v>
      </c>
      <c r="M1407" t="s">
        <v>64</v>
      </c>
      <c r="N1407" t="s">
        <v>49</v>
      </c>
      <c r="O1407">
        <v>3</v>
      </c>
      <c r="P1407" t="s">
        <v>62</v>
      </c>
      <c r="Q1407" s="4">
        <v>46176</v>
      </c>
      <c r="R1407" t="s">
        <v>38</v>
      </c>
      <c r="S1407" t="s">
        <v>3155</v>
      </c>
      <c r="T1407" t="s">
        <v>3153</v>
      </c>
      <c r="U1407" t="s">
        <v>49</v>
      </c>
      <c r="V1407" t="s">
        <v>3152</v>
      </c>
    </row>
    <row r="1408" spans="1:22" x14ac:dyDescent="0.2">
      <c r="A1408" t="s">
        <v>2880</v>
      </c>
      <c r="B1408" t="s">
        <v>2881</v>
      </c>
      <c r="C1408" t="s">
        <v>31</v>
      </c>
      <c r="D1408" t="s">
        <v>83</v>
      </c>
      <c r="E1408" t="s">
        <v>105</v>
      </c>
      <c r="F1408" t="s">
        <v>45</v>
      </c>
      <c r="G1408" t="s">
        <v>46</v>
      </c>
      <c r="H1408" t="s">
        <v>88</v>
      </c>
      <c r="I1408" t="s">
        <v>50</v>
      </c>
      <c r="J1408" t="s">
        <v>48</v>
      </c>
      <c r="K1408" s="4">
        <v>46073</v>
      </c>
      <c r="L1408" s="4">
        <v>46163</v>
      </c>
      <c r="M1408" t="s">
        <v>38</v>
      </c>
      <c r="N1408" t="s">
        <v>75</v>
      </c>
      <c r="O1408">
        <v>1</v>
      </c>
      <c r="P1408" t="s">
        <v>111</v>
      </c>
      <c r="Q1408" s="4">
        <v>46400</v>
      </c>
      <c r="R1408" t="s">
        <v>84</v>
      </c>
      <c r="S1408" t="s">
        <v>38</v>
      </c>
      <c r="T1408" t="s">
        <v>3153</v>
      </c>
      <c r="U1408" t="s">
        <v>75</v>
      </c>
      <c r="V1408" t="s">
        <v>3154</v>
      </c>
    </row>
    <row r="1409" spans="1:22" x14ac:dyDescent="0.2">
      <c r="A1409" t="s">
        <v>2882</v>
      </c>
      <c r="B1409" t="s">
        <v>2883</v>
      </c>
      <c r="C1409" t="s">
        <v>42</v>
      </c>
      <c r="D1409" t="s">
        <v>43</v>
      </c>
      <c r="E1409" t="s">
        <v>91</v>
      </c>
      <c r="F1409" t="s">
        <v>34</v>
      </c>
      <c r="G1409" t="s">
        <v>35</v>
      </c>
      <c r="H1409" t="s">
        <v>36</v>
      </c>
      <c r="I1409" t="s">
        <v>56</v>
      </c>
      <c r="J1409" t="s">
        <v>48</v>
      </c>
      <c r="K1409" s="4">
        <v>45876</v>
      </c>
      <c r="L1409" s="4">
        <v>46056</v>
      </c>
      <c r="M1409" t="s">
        <v>38</v>
      </c>
      <c r="N1409" t="s">
        <v>75</v>
      </c>
      <c r="O1409">
        <v>1</v>
      </c>
      <c r="P1409" t="s">
        <v>54</v>
      </c>
      <c r="Q1409" s="4">
        <v>46281</v>
      </c>
      <c r="R1409" t="s">
        <v>38</v>
      </c>
      <c r="S1409" t="s">
        <v>38</v>
      </c>
      <c r="T1409" t="s">
        <v>3153</v>
      </c>
      <c r="U1409" t="s">
        <v>75</v>
      </c>
      <c r="V1409" t="s">
        <v>3152</v>
      </c>
    </row>
    <row r="1410" spans="1:22" x14ac:dyDescent="0.2">
      <c r="A1410" t="s">
        <v>2884</v>
      </c>
      <c r="B1410" t="s">
        <v>2885</v>
      </c>
      <c r="C1410" t="s">
        <v>73</v>
      </c>
      <c r="D1410" t="s">
        <v>74</v>
      </c>
      <c r="E1410" t="s">
        <v>44</v>
      </c>
      <c r="F1410" t="s">
        <v>45</v>
      </c>
      <c r="G1410" t="s">
        <v>46</v>
      </c>
      <c r="H1410" t="s">
        <v>98</v>
      </c>
      <c r="I1410" t="s">
        <v>39</v>
      </c>
      <c r="J1410" t="s">
        <v>63</v>
      </c>
      <c r="K1410" s="4">
        <v>45951</v>
      </c>
      <c r="L1410" s="4">
        <v>46041</v>
      </c>
      <c r="M1410" t="s">
        <v>38</v>
      </c>
      <c r="N1410" t="s">
        <v>49</v>
      </c>
      <c r="O1410">
        <v>2</v>
      </c>
      <c r="P1410" t="s">
        <v>50</v>
      </c>
      <c r="Q1410" s="4">
        <v>46244</v>
      </c>
      <c r="R1410" t="s">
        <v>38</v>
      </c>
      <c r="S1410" t="s">
        <v>38</v>
      </c>
      <c r="T1410" t="s">
        <v>3153</v>
      </c>
      <c r="U1410" t="s">
        <v>49</v>
      </c>
      <c r="V1410" t="s">
        <v>3152</v>
      </c>
    </row>
    <row r="1411" spans="1:22" x14ac:dyDescent="0.2">
      <c r="A1411" t="s">
        <v>2886</v>
      </c>
      <c r="B1411" t="s">
        <v>2887</v>
      </c>
      <c r="C1411" t="s">
        <v>31</v>
      </c>
      <c r="D1411" t="s">
        <v>87</v>
      </c>
      <c r="E1411" t="s">
        <v>44</v>
      </c>
      <c r="F1411" t="s">
        <v>34</v>
      </c>
      <c r="G1411" t="s">
        <v>35</v>
      </c>
      <c r="H1411" t="s">
        <v>36</v>
      </c>
      <c r="I1411" t="s">
        <v>106</v>
      </c>
      <c r="J1411" t="s">
        <v>48</v>
      </c>
      <c r="K1411" s="4">
        <v>46068</v>
      </c>
      <c r="L1411" s="4">
        <v>46158</v>
      </c>
      <c r="M1411" t="s">
        <v>38</v>
      </c>
      <c r="N1411" t="s">
        <v>75</v>
      </c>
      <c r="O1411">
        <v>1</v>
      </c>
      <c r="P1411" t="s">
        <v>111</v>
      </c>
      <c r="Q1411" s="4">
        <v>46287</v>
      </c>
      <c r="R1411" t="s">
        <v>64</v>
      </c>
      <c r="S1411" t="s">
        <v>38</v>
      </c>
      <c r="T1411" t="s">
        <v>3153</v>
      </c>
      <c r="U1411" t="s">
        <v>75</v>
      </c>
      <c r="V1411" t="s">
        <v>3152</v>
      </c>
    </row>
    <row r="1412" spans="1:22" x14ac:dyDescent="0.2">
      <c r="A1412" t="s">
        <v>2888</v>
      </c>
      <c r="B1412" t="s">
        <v>2889</v>
      </c>
      <c r="C1412" t="s">
        <v>31</v>
      </c>
      <c r="D1412" t="s">
        <v>87</v>
      </c>
      <c r="E1412" t="s">
        <v>91</v>
      </c>
      <c r="F1412" t="s">
        <v>45</v>
      </c>
      <c r="G1412" t="s">
        <v>46</v>
      </c>
      <c r="H1412" t="s">
        <v>47</v>
      </c>
      <c r="J1412" t="s">
        <v>63</v>
      </c>
      <c r="K1412" s="4">
        <v>46247</v>
      </c>
      <c r="L1412" s="4">
        <v>46427</v>
      </c>
      <c r="M1412" t="s">
        <v>64</v>
      </c>
      <c r="N1412" t="s">
        <v>75</v>
      </c>
      <c r="O1412">
        <v>2</v>
      </c>
      <c r="P1412" t="s">
        <v>106</v>
      </c>
      <c r="Q1412" s="4">
        <v>46168</v>
      </c>
      <c r="R1412" t="s">
        <v>38</v>
      </c>
      <c r="S1412" t="s">
        <v>3155</v>
      </c>
      <c r="T1412" t="s">
        <v>3150</v>
      </c>
      <c r="U1412" t="s">
        <v>75</v>
      </c>
      <c r="V1412" t="s">
        <v>3154</v>
      </c>
    </row>
    <row r="1413" spans="1:22" x14ac:dyDescent="0.2">
      <c r="A1413" t="s">
        <v>2890</v>
      </c>
      <c r="B1413" t="s">
        <v>2891</v>
      </c>
      <c r="C1413" t="s">
        <v>78</v>
      </c>
      <c r="D1413" t="s">
        <v>79</v>
      </c>
      <c r="E1413" t="s">
        <v>105</v>
      </c>
      <c r="F1413" t="s">
        <v>45</v>
      </c>
      <c r="G1413" t="s">
        <v>61</v>
      </c>
      <c r="H1413" t="s">
        <v>88</v>
      </c>
      <c r="I1413" t="s">
        <v>106</v>
      </c>
      <c r="J1413" t="s">
        <v>37</v>
      </c>
      <c r="K1413" s="4">
        <v>46199</v>
      </c>
      <c r="L1413" s="4">
        <v>46289</v>
      </c>
      <c r="M1413" t="s">
        <v>38</v>
      </c>
      <c r="O1413">
        <v>0</v>
      </c>
      <c r="P1413" t="s">
        <v>39</v>
      </c>
      <c r="Q1413" s="4">
        <v>46227</v>
      </c>
      <c r="R1413" t="s">
        <v>57</v>
      </c>
      <c r="S1413" t="s">
        <v>38</v>
      </c>
      <c r="T1413" t="s">
        <v>3153</v>
      </c>
      <c r="U1413" t="s">
        <v>3151</v>
      </c>
      <c r="V1413" t="s">
        <v>3154</v>
      </c>
    </row>
    <row r="1414" spans="1:22" x14ac:dyDescent="0.2">
      <c r="A1414" t="s">
        <v>2892</v>
      </c>
      <c r="B1414" t="s">
        <v>2893</v>
      </c>
      <c r="C1414" t="s">
        <v>42</v>
      </c>
      <c r="D1414" t="s">
        <v>43</v>
      </c>
      <c r="E1414" t="s">
        <v>91</v>
      </c>
      <c r="F1414" t="s">
        <v>34</v>
      </c>
      <c r="G1414" t="s">
        <v>35</v>
      </c>
      <c r="H1414" t="s">
        <v>88</v>
      </c>
      <c r="I1414" t="s">
        <v>111</v>
      </c>
      <c r="J1414" t="s">
        <v>37</v>
      </c>
      <c r="K1414" s="4">
        <v>45939</v>
      </c>
      <c r="L1414" s="4">
        <v>46119</v>
      </c>
      <c r="M1414" t="s">
        <v>38</v>
      </c>
      <c r="N1414" t="s">
        <v>75</v>
      </c>
      <c r="O1414">
        <v>0</v>
      </c>
      <c r="P1414" t="s">
        <v>39</v>
      </c>
      <c r="Q1414" s="4">
        <v>46275</v>
      </c>
      <c r="R1414" t="s">
        <v>57</v>
      </c>
      <c r="S1414" t="s">
        <v>38</v>
      </c>
      <c r="T1414" t="s">
        <v>3153</v>
      </c>
      <c r="U1414" t="s">
        <v>75</v>
      </c>
      <c r="V1414" t="s">
        <v>3154</v>
      </c>
    </row>
    <row r="1415" spans="1:22" x14ac:dyDescent="0.2">
      <c r="A1415" t="s">
        <v>2894</v>
      </c>
      <c r="B1415" t="s">
        <v>2895</v>
      </c>
      <c r="C1415" t="s">
        <v>31</v>
      </c>
      <c r="D1415" t="s">
        <v>32</v>
      </c>
      <c r="E1415" t="s">
        <v>53</v>
      </c>
      <c r="F1415" t="s">
        <v>67</v>
      </c>
      <c r="G1415" t="s">
        <v>118</v>
      </c>
      <c r="H1415" t="s">
        <v>88</v>
      </c>
      <c r="I1415" t="s">
        <v>50</v>
      </c>
      <c r="J1415" t="s">
        <v>63</v>
      </c>
      <c r="K1415" s="4">
        <v>45796</v>
      </c>
      <c r="L1415" s="4">
        <v>46161</v>
      </c>
      <c r="M1415" t="s">
        <v>38</v>
      </c>
      <c r="N1415" t="s">
        <v>49</v>
      </c>
      <c r="O1415">
        <v>0</v>
      </c>
      <c r="P1415" t="s">
        <v>56</v>
      </c>
      <c r="Q1415" s="4">
        <v>46303</v>
      </c>
      <c r="R1415" t="s">
        <v>57</v>
      </c>
      <c r="S1415" t="s">
        <v>38</v>
      </c>
      <c r="T1415" t="s">
        <v>3153</v>
      </c>
      <c r="U1415" t="s">
        <v>49</v>
      </c>
      <c r="V1415" t="s">
        <v>3154</v>
      </c>
    </row>
    <row r="1416" spans="1:22" x14ac:dyDescent="0.2">
      <c r="A1416" t="s">
        <v>2896</v>
      </c>
      <c r="B1416" t="s">
        <v>2897</v>
      </c>
      <c r="C1416" t="s">
        <v>31</v>
      </c>
      <c r="D1416" t="s">
        <v>32</v>
      </c>
      <c r="E1416" t="s">
        <v>60</v>
      </c>
      <c r="F1416" t="s">
        <v>45</v>
      </c>
      <c r="G1416" t="s">
        <v>46</v>
      </c>
      <c r="H1416" t="s">
        <v>36</v>
      </c>
      <c r="I1416" t="s">
        <v>106</v>
      </c>
      <c r="J1416" t="s">
        <v>63</v>
      </c>
      <c r="K1416" s="4">
        <v>46107</v>
      </c>
      <c r="L1416" s="4">
        <v>46287</v>
      </c>
      <c r="M1416" t="s">
        <v>38</v>
      </c>
      <c r="N1416" t="s">
        <v>75</v>
      </c>
      <c r="O1416">
        <v>0</v>
      </c>
      <c r="P1416" t="s">
        <v>62</v>
      </c>
      <c r="Q1416" s="4">
        <v>46406</v>
      </c>
      <c r="R1416" t="s">
        <v>57</v>
      </c>
      <c r="S1416" t="s">
        <v>38</v>
      </c>
      <c r="T1416" t="s">
        <v>3153</v>
      </c>
      <c r="U1416" t="s">
        <v>75</v>
      </c>
      <c r="V1416" t="s">
        <v>3152</v>
      </c>
    </row>
    <row r="1417" spans="1:22" x14ac:dyDescent="0.2">
      <c r="A1417" t="s">
        <v>2898</v>
      </c>
      <c r="B1417" t="s">
        <v>2899</v>
      </c>
      <c r="C1417" t="s">
        <v>31</v>
      </c>
      <c r="D1417" t="s">
        <v>87</v>
      </c>
      <c r="E1417" t="s">
        <v>60</v>
      </c>
      <c r="F1417" t="s">
        <v>34</v>
      </c>
      <c r="G1417" t="s">
        <v>35</v>
      </c>
      <c r="H1417" t="s">
        <v>88</v>
      </c>
      <c r="I1417" t="s">
        <v>111</v>
      </c>
      <c r="J1417" t="s">
        <v>48</v>
      </c>
      <c r="K1417" s="4">
        <v>46092</v>
      </c>
      <c r="L1417" s="4">
        <v>46182</v>
      </c>
      <c r="M1417" t="s">
        <v>38</v>
      </c>
      <c r="N1417" t="s">
        <v>55</v>
      </c>
      <c r="O1417">
        <v>3</v>
      </c>
      <c r="P1417" t="s">
        <v>62</v>
      </c>
      <c r="Q1417" s="4">
        <v>46115</v>
      </c>
      <c r="R1417" t="s">
        <v>38</v>
      </c>
      <c r="S1417" t="s">
        <v>38</v>
      </c>
      <c r="T1417" t="s">
        <v>3153</v>
      </c>
      <c r="U1417" t="s">
        <v>55</v>
      </c>
      <c r="V1417" t="s">
        <v>3154</v>
      </c>
    </row>
    <row r="1418" spans="1:22" x14ac:dyDescent="0.2">
      <c r="A1418" t="s">
        <v>2900</v>
      </c>
      <c r="B1418" t="s">
        <v>2901</v>
      </c>
      <c r="C1418" t="s">
        <v>103</v>
      </c>
      <c r="D1418" t="s">
        <v>104</v>
      </c>
      <c r="E1418" t="s">
        <v>105</v>
      </c>
      <c r="F1418" t="s">
        <v>45</v>
      </c>
      <c r="G1418" t="s">
        <v>46</v>
      </c>
      <c r="H1418" t="s">
        <v>88</v>
      </c>
      <c r="I1418" t="s">
        <v>111</v>
      </c>
      <c r="J1418" t="s">
        <v>63</v>
      </c>
      <c r="K1418" s="4">
        <v>46226</v>
      </c>
      <c r="L1418" s="4">
        <v>46316</v>
      </c>
      <c r="M1418" t="s">
        <v>84</v>
      </c>
      <c r="N1418" t="s">
        <v>55</v>
      </c>
      <c r="O1418">
        <v>2</v>
      </c>
      <c r="P1418" t="s">
        <v>62</v>
      </c>
      <c r="Q1418" s="4">
        <v>46152</v>
      </c>
      <c r="R1418" t="s">
        <v>38</v>
      </c>
      <c r="S1418" t="s">
        <v>3155</v>
      </c>
      <c r="T1418" t="s">
        <v>3153</v>
      </c>
      <c r="U1418" t="s">
        <v>55</v>
      </c>
      <c r="V1418" t="s">
        <v>3154</v>
      </c>
    </row>
    <row r="1419" spans="1:22" x14ac:dyDescent="0.2">
      <c r="A1419" t="s">
        <v>2902</v>
      </c>
      <c r="B1419" t="s">
        <v>2903</v>
      </c>
      <c r="C1419" t="s">
        <v>78</v>
      </c>
      <c r="D1419" t="s">
        <v>79</v>
      </c>
      <c r="E1419" t="s">
        <v>80</v>
      </c>
      <c r="F1419" t="s">
        <v>34</v>
      </c>
      <c r="G1419" t="s">
        <v>35</v>
      </c>
      <c r="H1419" t="s">
        <v>88</v>
      </c>
      <c r="I1419" t="s">
        <v>111</v>
      </c>
      <c r="J1419" t="s">
        <v>37</v>
      </c>
      <c r="K1419" s="4">
        <v>46068</v>
      </c>
      <c r="L1419" s="4">
        <v>46158</v>
      </c>
      <c r="M1419" t="s">
        <v>38</v>
      </c>
      <c r="N1419" t="s">
        <v>49</v>
      </c>
      <c r="O1419">
        <v>3</v>
      </c>
      <c r="P1419" t="s">
        <v>54</v>
      </c>
      <c r="Q1419" s="4">
        <v>46225</v>
      </c>
      <c r="R1419" t="s">
        <v>64</v>
      </c>
      <c r="S1419" t="s">
        <v>38</v>
      </c>
      <c r="T1419" t="s">
        <v>3153</v>
      </c>
      <c r="U1419" t="s">
        <v>49</v>
      </c>
      <c r="V1419" t="s">
        <v>3154</v>
      </c>
    </row>
    <row r="1420" spans="1:22" x14ac:dyDescent="0.2">
      <c r="A1420" t="s">
        <v>2904</v>
      </c>
      <c r="B1420" t="s">
        <v>2905</v>
      </c>
      <c r="C1420" t="s">
        <v>96</v>
      </c>
      <c r="D1420" t="s">
        <v>97</v>
      </c>
      <c r="E1420" t="s">
        <v>44</v>
      </c>
      <c r="F1420" t="s">
        <v>45</v>
      </c>
      <c r="G1420" t="s">
        <v>46</v>
      </c>
      <c r="H1420" t="s">
        <v>88</v>
      </c>
      <c r="I1420" t="s">
        <v>62</v>
      </c>
      <c r="J1420" t="s">
        <v>63</v>
      </c>
      <c r="K1420" s="4">
        <v>45930</v>
      </c>
      <c r="L1420" s="4">
        <v>46020</v>
      </c>
      <c r="M1420" t="s">
        <v>38</v>
      </c>
      <c r="N1420" t="s">
        <v>75</v>
      </c>
      <c r="O1420">
        <v>2</v>
      </c>
      <c r="P1420" t="s">
        <v>62</v>
      </c>
      <c r="Q1420" s="4">
        <v>46410</v>
      </c>
      <c r="R1420" t="s">
        <v>84</v>
      </c>
      <c r="S1420" t="s">
        <v>38</v>
      </c>
      <c r="T1420" t="s">
        <v>3153</v>
      </c>
      <c r="U1420" t="s">
        <v>75</v>
      </c>
      <c r="V1420" t="s">
        <v>3154</v>
      </c>
    </row>
    <row r="1421" spans="1:22" x14ac:dyDescent="0.2">
      <c r="A1421" t="s">
        <v>2906</v>
      </c>
      <c r="B1421" t="s">
        <v>2907</v>
      </c>
      <c r="C1421" t="s">
        <v>73</v>
      </c>
      <c r="D1421" t="s">
        <v>74</v>
      </c>
      <c r="E1421" t="s">
        <v>91</v>
      </c>
      <c r="F1421" t="s">
        <v>67</v>
      </c>
      <c r="G1421" t="s">
        <v>68</v>
      </c>
      <c r="H1421" t="s">
        <v>98</v>
      </c>
      <c r="I1421" t="s">
        <v>56</v>
      </c>
      <c r="J1421" t="s">
        <v>48</v>
      </c>
      <c r="K1421" s="4">
        <v>46172</v>
      </c>
      <c r="L1421" s="4">
        <v>46262</v>
      </c>
      <c r="M1421" t="s">
        <v>38</v>
      </c>
      <c r="N1421" t="s">
        <v>49</v>
      </c>
      <c r="O1421">
        <v>0</v>
      </c>
      <c r="P1421" t="s">
        <v>39</v>
      </c>
      <c r="Q1421" s="4">
        <v>46310</v>
      </c>
      <c r="R1421" t="s">
        <v>57</v>
      </c>
      <c r="S1421" t="s">
        <v>38</v>
      </c>
      <c r="T1421" t="s">
        <v>3153</v>
      </c>
      <c r="U1421" t="s">
        <v>49</v>
      </c>
      <c r="V1421" t="s">
        <v>3152</v>
      </c>
    </row>
    <row r="1422" spans="1:22" x14ac:dyDescent="0.2">
      <c r="A1422" t="s">
        <v>2908</v>
      </c>
      <c r="B1422" t="s">
        <v>2909</v>
      </c>
      <c r="C1422" t="s">
        <v>96</v>
      </c>
      <c r="D1422" t="s">
        <v>97</v>
      </c>
      <c r="E1422" t="s">
        <v>44</v>
      </c>
      <c r="F1422" t="s">
        <v>34</v>
      </c>
      <c r="G1422" t="s">
        <v>35</v>
      </c>
      <c r="H1422" t="s">
        <v>47</v>
      </c>
      <c r="I1422" t="s">
        <v>50</v>
      </c>
      <c r="J1422" t="s">
        <v>37</v>
      </c>
      <c r="K1422" s="4">
        <v>46252</v>
      </c>
      <c r="L1422" s="4">
        <v>46342</v>
      </c>
      <c r="M1422" t="s">
        <v>64</v>
      </c>
      <c r="N1422" t="s">
        <v>55</v>
      </c>
      <c r="O1422">
        <v>2</v>
      </c>
      <c r="P1422" t="s">
        <v>56</v>
      </c>
      <c r="Q1422" s="4">
        <v>46127</v>
      </c>
      <c r="R1422" t="s">
        <v>38</v>
      </c>
      <c r="S1422" t="s">
        <v>3155</v>
      </c>
      <c r="T1422" t="s">
        <v>3153</v>
      </c>
      <c r="U1422" t="s">
        <v>55</v>
      </c>
      <c r="V1422" t="s">
        <v>3154</v>
      </c>
    </row>
    <row r="1423" spans="1:22" x14ac:dyDescent="0.2">
      <c r="A1423" t="s">
        <v>2910</v>
      </c>
      <c r="B1423" t="s">
        <v>2911</v>
      </c>
      <c r="C1423" t="s">
        <v>78</v>
      </c>
      <c r="D1423" t="s">
        <v>79</v>
      </c>
      <c r="E1423" t="s">
        <v>53</v>
      </c>
      <c r="F1423" t="s">
        <v>67</v>
      </c>
      <c r="G1423" t="s">
        <v>118</v>
      </c>
      <c r="H1423" t="s">
        <v>88</v>
      </c>
      <c r="I1423" t="s">
        <v>39</v>
      </c>
      <c r="J1423" t="s">
        <v>37</v>
      </c>
      <c r="K1423" s="4">
        <v>46275</v>
      </c>
      <c r="L1423" s="4">
        <v>46365</v>
      </c>
      <c r="M1423" t="s">
        <v>64</v>
      </c>
      <c r="N1423" t="s">
        <v>49</v>
      </c>
      <c r="O1423">
        <v>3</v>
      </c>
      <c r="P1423" t="s">
        <v>56</v>
      </c>
      <c r="Q1423" s="4">
        <v>46317</v>
      </c>
      <c r="R1423" t="s">
        <v>64</v>
      </c>
      <c r="S1423" t="s">
        <v>3155</v>
      </c>
      <c r="T1423" t="s">
        <v>3153</v>
      </c>
      <c r="U1423" t="s">
        <v>49</v>
      </c>
      <c r="V1423" t="s">
        <v>3154</v>
      </c>
    </row>
    <row r="1424" spans="1:22" x14ac:dyDescent="0.2">
      <c r="A1424" t="s">
        <v>2912</v>
      </c>
      <c r="B1424" t="s">
        <v>2913</v>
      </c>
      <c r="C1424" t="s">
        <v>78</v>
      </c>
      <c r="D1424" t="s">
        <v>79</v>
      </c>
      <c r="E1424" t="s">
        <v>60</v>
      </c>
      <c r="F1424" t="s">
        <v>34</v>
      </c>
      <c r="G1424" t="s">
        <v>35</v>
      </c>
      <c r="H1424" t="s">
        <v>88</v>
      </c>
      <c r="I1424" t="s">
        <v>56</v>
      </c>
      <c r="J1424" t="s">
        <v>48</v>
      </c>
      <c r="K1424" s="4">
        <v>45822</v>
      </c>
      <c r="L1424" s="4">
        <v>45912</v>
      </c>
      <c r="M1424" t="s">
        <v>38</v>
      </c>
      <c r="N1424" t="s">
        <v>75</v>
      </c>
      <c r="O1424">
        <v>1</v>
      </c>
      <c r="P1424" t="s">
        <v>56</v>
      </c>
      <c r="Q1424" s="4">
        <v>46312</v>
      </c>
      <c r="R1424" t="s">
        <v>84</v>
      </c>
      <c r="S1424" t="s">
        <v>38</v>
      </c>
      <c r="T1424" t="s">
        <v>3153</v>
      </c>
      <c r="U1424" t="s">
        <v>75</v>
      </c>
      <c r="V1424" t="s">
        <v>3154</v>
      </c>
    </row>
    <row r="1425" spans="1:22" x14ac:dyDescent="0.2">
      <c r="A1425" t="s">
        <v>2914</v>
      </c>
      <c r="B1425" t="s">
        <v>2915</v>
      </c>
      <c r="C1425" t="s">
        <v>42</v>
      </c>
      <c r="D1425" t="s">
        <v>43</v>
      </c>
      <c r="E1425" t="s">
        <v>105</v>
      </c>
      <c r="F1425" t="s">
        <v>67</v>
      </c>
      <c r="G1425" t="s">
        <v>68</v>
      </c>
      <c r="H1425" t="s">
        <v>88</v>
      </c>
      <c r="I1425" t="s">
        <v>106</v>
      </c>
      <c r="J1425" t="s">
        <v>37</v>
      </c>
      <c r="K1425" s="4">
        <v>46114</v>
      </c>
      <c r="L1425" s="4">
        <v>46479</v>
      </c>
      <c r="M1425" t="s">
        <v>64</v>
      </c>
      <c r="N1425" t="s">
        <v>55</v>
      </c>
      <c r="O1425">
        <v>0</v>
      </c>
      <c r="P1425" t="s">
        <v>50</v>
      </c>
      <c r="Q1425" s="4">
        <v>46312</v>
      </c>
      <c r="R1425" t="s">
        <v>57</v>
      </c>
      <c r="S1425" t="s">
        <v>3155</v>
      </c>
      <c r="T1425" t="s">
        <v>3153</v>
      </c>
      <c r="U1425" t="s">
        <v>55</v>
      </c>
      <c r="V1425" t="s">
        <v>3154</v>
      </c>
    </row>
    <row r="1426" spans="1:22" x14ac:dyDescent="0.2">
      <c r="A1426" t="s">
        <v>2916</v>
      </c>
      <c r="B1426" t="s">
        <v>2917</v>
      </c>
      <c r="C1426" t="s">
        <v>96</v>
      </c>
      <c r="D1426" t="s">
        <v>97</v>
      </c>
      <c r="E1426" t="s">
        <v>105</v>
      </c>
      <c r="F1426" t="s">
        <v>67</v>
      </c>
      <c r="G1426" t="s">
        <v>118</v>
      </c>
      <c r="H1426" t="s">
        <v>47</v>
      </c>
      <c r="I1426" t="s">
        <v>106</v>
      </c>
      <c r="J1426" t="s">
        <v>48</v>
      </c>
      <c r="K1426" s="4">
        <v>46205</v>
      </c>
      <c r="L1426" s="4">
        <v>46570</v>
      </c>
      <c r="M1426" t="s">
        <v>84</v>
      </c>
      <c r="N1426" t="s">
        <v>75</v>
      </c>
      <c r="O1426">
        <v>1</v>
      </c>
      <c r="P1426" t="s">
        <v>50</v>
      </c>
      <c r="Q1426" s="4">
        <v>46140</v>
      </c>
      <c r="R1426" t="s">
        <v>38</v>
      </c>
      <c r="S1426" t="s">
        <v>3155</v>
      </c>
      <c r="T1426" t="s">
        <v>3153</v>
      </c>
      <c r="U1426" t="s">
        <v>75</v>
      </c>
      <c r="V1426" t="s">
        <v>3154</v>
      </c>
    </row>
    <row r="1427" spans="1:22" x14ac:dyDescent="0.2">
      <c r="A1427" t="s">
        <v>2918</v>
      </c>
      <c r="B1427" t="s">
        <v>2919</v>
      </c>
      <c r="C1427" t="s">
        <v>31</v>
      </c>
      <c r="D1427" t="s">
        <v>32</v>
      </c>
      <c r="E1427" t="s">
        <v>105</v>
      </c>
      <c r="F1427" t="s">
        <v>67</v>
      </c>
      <c r="G1427" t="s">
        <v>118</v>
      </c>
      <c r="H1427" t="s">
        <v>47</v>
      </c>
      <c r="I1427" t="s">
        <v>50</v>
      </c>
      <c r="J1427" t="s">
        <v>37</v>
      </c>
      <c r="K1427" s="4">
        <v>46039</v>
      </c>
      <c r="L1427" s="4">
        <v>46219</v>
      </c>
      <c r="M1427" t="s">
        <v>38</v>
      </c>
      <c r="N1427" t="s">
        <v>49</v>
      </c>
      <c r="O1427">
        <v>1</v>
      </c>
      <c r="P1427" t="s">
        <v>56</v>
      </c>
      <c r="Q1427" s="4">
        <v>46333</v>
      </c>
      <c r="R1427" t="s">
        <v>64</v>
      </c>
      <c r="S1427" t="s">
        <v>38</v>
      </c>
      <c r="T1427" t="s">
        <v>3153</v>
      </c>
      <c r="U1427" t="s">
        <v>49</v>
      </c>
      <c r="V1427" t="s">
        <v>3154</v>
      </c>
    </row>
    <row r="1428" spans="1:22" x14ac:dyDescent="0.2">
      <c r="A1428" t="s">
        <v>2920</v>
      </c>
      <c r="B1428" t="s">
        <v>2921</v>
      </c>
      <c r="C1428" t="s">
        <v>42</v>
      </c>
      <c r="D1428" t="s">
        <v>43</v>
      </c>
      <c r="E1428" t="s">
        <v>60</v>
      </c>
      <c r="F1428" t="s">
        <v>34</v>
      </c>
      <c r="G1428" t="s">
        <v>35</v>
      </c>
      <c r="H1428" t="s">
        <v>88</v>
      </c>
      <c r="I1428" t="s">
        <v>56</v>
      </c>
      <c r="J1428" t="s">
        <v>48</v>
      </c>
      <c r="K1428" s="4">
        <v>46064</v>
      </c>
      <c r="L1428" s="4">
        <v>46429</v>
      </c>
      <c r="M1428" t="s">
        <v>64</v>
      </c>
      <c r="N1428" t="s">
        <v>75</v>
      </c>
      <c r="O1428">
        <v>2</v>
      </c>
      <c r="P1428" t="s">
        <v>56</v>
      </c>
      <c r="Q1428" s="4">
        <v>46249</v>
      </c>
      <c r="R1428" t="s">
        <v>38</v>
      </c>
      <c r="S1428" t="s">
        <v>3155</v>
      </c>
      <c r="T1428" t="s">
        <v>3153</v>
      </c>
      <c r="U1428" t="s">
        <v>75</v>
      </c>
      <c r="V1428" t="s">
        <v>3154</v>
      </c>
    </row>
    <row r="1429" spans="1:22" x14ac:dyDescent="0.2">
      <c r="A1429" t="s">
        <v>2922</v>
      </c>
      <c r="B1429" t="s">
        <v>2923</v>
      </c>
      <c r="C1429" t="s">
        <v>103</v>
      </c>
      <c r="D1429" t="s">
        <v>104</v>
      </c>
      <c r="E1429" t="s">
        <v>105</v>
      </c>
      <c r="F1429" t="s">
        <v>34</v>
      </c>
      <c r="G1429" t="s">
        <v>35</v>
      </c>
      <c r="H1429" t="s">
        <v>36</v>
      </c>
      <c r="I1429" t="s">
        <v>56</v>
      </c>
      <c r="J1429" t="s">
        <v>63</v>
      </c>
      <c r="K1429" s="4">
        <v>45962</v>
      </c>
      <c r="L1429" s="4">
        <v>46052</v>
      </c>
      <c r="M1429" t="s">
        <v>38</v>
      </c>
      <c r="N1429" t="s">
        <v>75</v>
      </c>
      <c r="O1429">
        <v>4</v>
      </c>
      <c r="P1429" t="s">
        <v>56</v>
      </c>
      <c r="Q1429" s="4">
        <v>46240</v>
      </c>
      <c r="R1429" t="s">
        <v>38</v>
      </c>
      <c r="S1429" t="s">
        <v>38</v>
      </c>
      <c r="T1429" t="s">
        <v>3153</v>
      </c>
      <c r="U1429" t="s">
        <v>75</v>
      </c>
      <c r="V1429" t="s">
        <v>3152</v>
      </c>
    </row>
    <row r="1430" spans="1:22" x14ac:dyDescent="0.2">
      <c r="A1430" t="s">
        <v>2924</v>
      </c>
      <c r="B1430" t="s">
        <v>2925</v>
      </c>
      <c r="C1430" t="s">
        <v>31</v>
      </c>
      <c r="D1430" t="s">
        <v>83</v>
      </c>
      <c r="E1430" t="s">
        <v>53</v>
      </c>
      <c r="F1430" t="s">
        <v>67</v>
      </c>
      <c r="G1430" t="s">
        <v>118</v>
      </c>
      <c r="H1430" t="s">
        <v>47</v>
      </c>
      <c r="I1430" t="s">
        <v>56</v>
      </c>
      <c r="J1430" t="s">
        <v>48</v>
      </c>
      <c r="K1430" s="4">
        <v>45826</v>
      </c>
      <c r="L1430" s="4">
        <v>46006</v>
      </c>
      <c r="M1430" t="s">
        <v>38</v>
      </c>
      <c r="N1430" t="s">
        <v>75</v>
      </c>
      <c r="O1430">
        <v>0</v>
      </c>
      <c r="P1430" t="s">
        <v>39</v>
      </c>
      <c r="Q1430" s="4">
        <v>46384</v>
      </c>
      <c r="R1430" t="s">
        <v>57</v>
      </c>
      <c r="S1430" t="s">
        <v>38</v>
      </c>
      <c r="T1430" t="s">
        <v>3153</v>
      </c>
      <c r="U1430" t="s">
        <v>75</v>
      </c>
      <c r="V1430" t="s">
        <v>3154</v>
      </c>
    </row>
    <row r="1431" spans="1:22" x14ac:dyDescent="0.2">
      <c r="A1431" t="s">
        <v>2926</v>
      </c>
      <c r="B1431" t="s">
        <v>2927</v>
      </c>
      <c r="C1431" t="s">
        <v>31</v>
      </c>
      <c r="D1431" t="s">
        <v>32</v>
      </c>
      <c r="E1431" t="s">
        <v>60</v>
      </c>
      <c r="F1431" t="s">
        <v>34</v>
      </c>
      <c r="G1431" t="s">
        <v>35</v>
      </c>
      <c r="H1431" t="s">
        <v>88</v>
      </c>
      <c r="I1431" t="s">
        <v>111</v>
      </c>
      <c r="J1431" t="s">
        <v>63</v>
      </c>
      <c r="K1431" s="4">
        <v>45905</v>
      </c>
      <c r="L1431" s="4">
        <v>45995</v>
      </c>
      <c r="M1431" t="s">
        <v>38</v>
      </c>
      <c r="N1431" t="s">
        <v>49</v>
      </c>
      <c r="O1431">
        <v>2</v>
      </c>
      <c r="P1431" t="s">
        <v>111</v>
      </c>
      <c r="Q1431" s="4">
        <v>46166</v>
      </c>
      <c r="R1431" t="s">
        <v>64</v>
      </c>
      <c r="S1431" t="s">
        <v>38</v>
      </c>
      <c r="T1431" t="s">
        <v>3153</v>
      </c>
      <c r="U1431" t="s">
        <v>49</v>
      </c>
      <c r="V1431" t="s">
        <v>3154</v>
      </c>
    </row>
    <row r="1432" spans="1:22" x14ac:dyDescent="0.2">
      <c r="A1432" t="s">
        <v>2928</v>
      </c>
      <c r="B1432" t="s">
        <v>2929</v>
      </c>
      <c r="C1432" t="s">
        <v>73</v>
      </c>
      <c r="D1432" t="s">
        <v>74</v>
      </c>
      <c r="E1432" t="s">
        <v>91</v>
      </c>
      <c r="F1432" t="s">
        <v>45</v>
      </c>
      <c r="G1432" t="s">
        <v>46</v>
      </c>
      <c r="H1432" t="s">
        <v>47</v>
      </c>
      <c r="I1432" t="s">
        <v>111</v>
      </c>
      <c r="J1432" t="s">
        <v>37</v>
      </c>
      <c r="K1432" s="4">
        <v>45886</v>
      </c>
      <c r="L1432" s="4">
        <v>45976</v>
      </c>
      <c r="M1432" t="s">
        <v>38</v>
      </c>
      <c r="N1432" t="s">
        <v>75</v>
      </c>
      <c r="O1432">
        <v>2</v>
      </c>
      <c r="P1432" t="s">
        <v>62</v>
      </c>
      <c r="Q1432" s="4">
        <v>46269</v>
      </c>
      <c r="R1432" t="s">
        <v>38</v>
      </c>
      <c r="S1432" t="s">
        <v>38</v>
      </c>
      <c r="T1432" t="s">
        <v>3153</v>
      </c>
      <c r="U1432" t="s">
        <v>75</v>
      </c>
      <c r="V1432" t="s">
        <v>3154</v>
      </c>
    </row>
    <row r="1433" spans="1:22" x14ac:dyDescent="0.2">
      <c r="A1433" t="s">
        <v>2930</v>
      </c>
      <c r="B1433" t="s">
        <v>2931</v>
      </c>
      <c r="C1433" t="s">
        <v>42</v>
      </c>
      <c r="D1433" t="s">
        <v>43</v>
      </c>
      <c r="E1433" t="s">
        <v>80</v>
      </c>
      <c r="F1433" t="s">
        <v>67</v>
      </c>
      <c r="G1433" t="s">
        <v>118</v>
      </c>
      <c r="H1433" t="s">
        <v>36</v>
      </c>
      <c r="I1433" t="s">
        <v>50</v>
      </c>
      <c r="J1433" t="s">
        <v>37</v>
      </c>
      <c r="K1433" s="4">
        <v>45836</v>
      </c>
      <c r="L1433" s="4">
        <v>45926</v>
      </c>
      <c r="M1433" t="s">
        <v>38</v>
      </c>
      <c r="N1433" t="s">
        <v>55</v>
      </c>
      <c r="O1433">
        <v>1</v>
      </c>
      <c r="P1433" t="s">
        <v>56</v>
      </c>
      <c r="Q1433" s="4">
        <v>46120</v>
      </c>
      <c r="R1433" t="s">
        <v>64</v>
      </c>
      <c r="S1433" t="s">
        <v>38</v>
      </c>
      <c r="T1433" t="s">
        <v>3153</v>
      </c>
      <c r="U1433" t="s">
        <v>55</v>
      </c>
      <c r="V1433" t="s">
        <v>3152</v>
      </c>
    </row>
    <row r="1434" spans="1:22" x14ac:dyDescent="0.2">
      <c r="A1434" t="s">
        <v>2932</v>
      </c>
      <c r="B1434" t="s">
        <v>2933</v>
      </c>
      <c r="C1434" t="s">
        <v>31</v>
      </c>
      <c r="D1434" t="s">
        <v>32</v>
      </c>
      <c r="E1434" t="s">
        <v>44</v>
      </c>
      <c r="F1434" t="s">
        <v>67</v>
      </c>
      <c r="G1434" t="s">
        <v>68</v>
      </c>
      <c r="H1434" t="s">
        <v>36</v>
      </c>
      <c r="I1434" t="s">
        <v>54</v>
      </c>
      <c r="J1434" t="s">
        <v>63</v>
      </c>
      <c r="K1434" s="4">
        <v>45985</v>
      </c>
      <c r="L1434" s="4">
        <v>46075</v>
      </c>
      <c r="M1434" t="s">
        <v>38</v>
      </c>
      <c r="N1434" t="s">
        <v>55</v>
      </c>
      <c r="O1434">
        <v>1</v>
      </c>
      <c r="P1434" t="s">
        <v>111</v>
      </c>
      <c r="Q1434" s="4">
        <v>46297</v>
      </c>
      <c r="R1434" t="s">
        <v>64</v>
      </c>
      <c r="S1434" t="s">
        <v>38</v>
      </c>
      <c r="T1434" t="s">
        <v>3153</v>
      </c>
      <c r="U1434" t="s">
        <v>55</v>
      </c>
      <c r="V1434" t="s">
        <v>3152</v>
      </c>
    </row>
    <row r="1435" spans="1:22" x14ac:dyDescent="0.2">
      <c r="A1435" t="s">
        <v>2934</v>
      </c>
      <c r="B1435" t="s">
        <v>2935</v>
      </c>
      <c r="C1435" t="s">
        <v>103</v>
      </c>
      <c r="D1435" t="s">
        <v>104</v>
      </c>
      <c r="E1435" t="s">
        <v>53</v>
      </c>
      <c r="F1435" t="s">
        <v>67</v>
      </c>
      <c r="G1435" t="s">
        <v>118</v>
      </c>
      <c r="H1435" t="s">
        <v>88</v>
      </c>
      <c r="I1435" t="s">
        <v>62</v>
      </c>
      <c r="J1435" t="s">
        <v>37</v>
      </c>
      <c r="K1435" s="4">
        <v>46178</v>
      </c>
      <c r="L1435" s="4">
        <v>46358</v>
      </c>
      <c r="M1435" t="s">
        <v>69</v>
      </c>
      <c r="N1435" t="s">
        <v>55</v>
      </c>
      <c r="O1435">
        <v>3</v>
      </c>
      <c r="P1435" t="s">
        <v>106</v>
      </c>
      <c r="Q1435" s="4">
        <v>46155</v>
      </c>
      <c r="R1435" t="s">
        <v>38</v>
      </c>
      <c r="S1435" t="s">
        <v>3155</v>
      </c>
      <c r="T1435" t="s">
        <v>3153</v>
      </c>
      <c r="U1435" t="s">
        <v>55</v>
      </c>
      <c r="V1435" t="s">
        <v>3154</v>
      </c>
    </row>
    <row r="1436" spans="1:22" x14ac:dyDescent="0.2">
      <c r="A1436" t="s">
        <v>2936</v>
      </c>
      <c r="B1436" t="s">
        <v>2937</v>
      </c>
      <c r="C1436" t="s">
        <v>103</v>
      </c>
      <c r="D1436" t="s">
        <v>104</v>
      </c>
      <c r="E1436" t="s">
        <v>44</v>
      </c>
      <c r="F1436" t="s">
        <v>34</v>
      </c>
      <c r="G1436" t="s">
        <v>35</v>
      </c>
      <c r="H1436" t="s">
        <v>47</v>
      </c>
      <c r="I1436" t="s">
        <v>106</v>
      </c>
      <c r="J1436" t="s">
        <v>63</v>
      </c>
      <c r="K1436" s="4">
        <v>46072</v>
      </c>
      <c r="L1436" s="4">
        <v>46252</v>
      </c>
      <c r="M1436" t="s">
        <v>38</v>
      </c>
      <c r="N1436" t="s">
        <v>55</v>
      </c>
      <c r="O1436">
        <v>0</v>
      </c>
      <c r="P1436" t="s">
        <v>106</v>
      </c>
      <c r="Q1436" s="4">
        <v>46152</v>
      </c>
      <c r="R1436" t="s">
        <v>57</v>
      </c>
      <c r="S1436" t="s">
        <v>38</v>
      </c>
      <c r="T1436" t="s">
        <v>3153</v>
      </c>
      <c r="U1436" t="s">
        <v>55</v>
      </c>
      <c r="V1436" t="s">
        <v>3154</v>
      </c>
    </row>
    <row r="1437" spans="1:22" x14ac:dyDescent="0.2">
      <c r="A1437" t="s">
        <v>2938</v>
      </c>
      <c r="B1437" t="s">
        <v>2939</v>
      </c>
      <c r="C1437" t="s">
        <v>103</v>
      </c>
      <c r="D1437" t="s">
        <v>104</v>
      </c>
      <c r="E1437" t="s">
        <v>53</v>
      </c>
      <c r="F1437" t="s">
        <v>45</v>
      </c>
      <c r="G1437" t="s">
        <v>3156</v>
      </c>
      <c r="H1437" t="s">
        <v>36</v>
      </c>
      <c r="I1437" t="s">
        <v>54</v>
      </c>
      <c r="J1437" t="s">
        <v>37</v>
      </c>
      <c r="K1437" s="4">
        <v>45851</v>
      </c>
      <c r="L1437" s="4">
        <v>46031</v>
      </c>
      <c r="M1437" t="s">
        <v>38</v>
      </c>
      <c r="N1437" t="s">
        <v>55</v>
      </c>
      <c r="O1437">
        <v>5</v>
      </c>
      <c r="P1437" t="s">
        <v>111</v>
      </c>
      <c r="Q1437" s="4">
        <v>46184</v>
      </c>
      <c r="R1437" t="s">
        <v>64</v>
      </c>
      <c r="S1437" t="s">
        <v>38</v>
      </c>
      <c r="T1437" t="s">
        <v>3153</v>
      </c>
      <c r="U1437" t="s">
        <v>55</v>
      </c>
      <c r="V1437" t="s">
        <v>3152</v>
      </c>
    </row>
    <row r="1438" spans="1:22" x14ac:dyDescent="0.2">
      <c r="A1438" t="s">
        <v>2940</v>
      </c>
      <c r="B1438" t="s">
        <v>2941</v>
      </c>
      <c r="C1438" t="s">
        <v>78</v>
      </c>
      <c r="D1438" t="s">
        <v>79</v>
      </c>
      <c r="E1438" t="s">
        <v>53</v>
      </c>
      <c r="F1438" t="s">
        <v>67</v>
      </c>
      <c r="G1438" t="s">
        <v>68</v>
      </c>
      <c r="H1438" t="s">
        <v>88</v>
      </c>
      <c r="I1438" t="s">
        <v>70</v>
      </c>
      <c r="J1438" t="s">
        <v>63</v>
      </c>
      <c r="K1438" s="4">
        <v>46266</v>
      </c>
      <c r="L1438" s="4">
        <v>46446</v>
      </c>
      <c r="M1438" t="s">
        <v>64</v>
      </c>
      <c r="N1438" t="s">
        <v>75</v>
      </c>
      <c r="O1438">
        <v>3</v>
      </c>
      <c r="P1438" t="s">
        <v>39</v>
      </c>
      <c r="Q1438" s="4">
        <v>46373</v>
      </c>
      <c r="R1438" t="s">
        <v>84</v>
      </c>
      <c r="S1438" t="s">
        <v>3155</v>
      </c>
      <c r="T1438" t="s">
        <v>3153</v>
      </c>
      <c r="U1438" t="s">
        <v>75</v>
      </c>
      <c r="V1438" t="s">
        <v>3154</v>
      </c>
    </row>
    <row r="1439" spans="1:22" x14ac:dyDescent="0.2">
      <c r="A1439" t="s">
        <v>2942</v>
      </c>
      <c r="B1439" t="s">
        <v>2943</v>
      </c>
      <c r="C1439" t="s">
        <v>31</v>
      </c>
      <c r="D1439" t="s">
        <v>32</v>
      </c>
      <c r="E1439" t="s">
        <v>91</v>
      </c>
      <c r="F1439" t="s">
        <v>45</v>
      </c>
      <c r="G1439" t="s">
        <v>61</v>
      </c>
      <c r="H1439" t="s">
        <v>36</v>
      </c>
      <c r="I1439" t="s">
        <v>50</v>
      </c>
      <c r="J1439" t="s">
        <v>63</v>
      </c>
      <c r="K1439" s="4">
        <v>45984</v>
      </c>
      <c r="L1439" s="4">
        <v>46164</v>
      </c>
      <c r="M1439" t="s">
        <v>38</v>
      </c>
      <c r="N1439" t="s">
        <v>75</v>
      </c>
      <c r="O1439">
        <v>4</v>
      </c>
      <c r="P1439" t="s">
        <v>111</v>
      </c>
      <c r="Q1439" s="4">
        <v>46140</v>
      </c>
      <c r="R1439" t="s">
        <v>64</v>
      </c>
      <c r="S1439" t="s">
        <v>38</v>
      </c>
      <c r="T1439" t="s">
        <v>3153</v>
      </c>
      <c r="U1439" t="s">
        <v>75</v>
      </c>
      <c r="V1439" t="s">
        <v>3152</v>
      </c>
    </row>
    <row r="1440" spans="1:22" x14ac:dyDescent="0.2">
      <c r="A1440" t="s">
        <v>2944</v>
      </c>
      <c r="B1440" t="s">
        <v>2945</v>
      </c>
      <c r="C1440" t="s">
        <v>103</v>
      </c>
      <c r="D1440" t="s">
        <v>104</v>
      </c>
      <c r="E1440" t="s">
        <v>105</v>
      </c>
      <c r="F1440" t="s">
        <v>67</v>
      </c>
      <c r="G1440" t="s">
        <v>118</v>
      </c>
      <c r="H1440" t="s">
        <v>88</v>
      </c>
      <c r="I1440" t="s">
        <v>54</v>
      </c>
      <c r="J1440" t="s">
        <v>37</v>
      </c>
      <c r="K1440" s="4">
        <v>46256</v>
      </c>
      <c r="L1440" s="4">
        <v>46436</v>
      </c>
      <c r="M1440" t="s">
        <v>64</v>
      </c>
      <c r="N1440" t="s">
        <v>75</v>
      </c>
      <c r="O1440">
        <v>0</v>
      </c>
      <c r="P1440" t="s">
        <v>39</v>
      </c>
      <c r="Q1440" s="4">
        <v>46194</v>
      </c>
      <c r="R1440" t="s">
        <v>57</v>
      </c>
      <c r="S1440" t="s">
        <v>3155</v>
      </c>
      <c r="T1440" t="s">
        <v>3153</v>
      </c>
      <c r="U1440" t="s">
        <v>75</v>
      </c>
      <c r="V1440" t="s">
        <v>3154</v>
      </c>
    </row>
    <row r="1441" spans="1:22" x14ac:dyDescent="0.2">
      <c r="A1441" t="s">
        <v>2946</v>
      </c>
      <c r="B1441" t="s">
        <v>2947</v>
      </c>
      <c r="C1441" t="s">
        <v>31</v>
      </c>
      <c r="D1441" t="s">
        <v>83</v>
      </c>
      <c r="E1441" t="s">
        <v>60</v>
      </c>
      <c r="F1441" t="s">
        <v>45</v>
      </c>
      <c r="G1441" t="s">
        <v>46</v>
      </c>
      <c r="H1441" t="s">
        <v>88</v>
      </c>
      <c r="I1441" t="s">
        <v>56</v>
      </c>
      <c r="J1441" t="s">
        <v>48</v>
      </c>
      <c r="K1441" s="4">
        <v>46059</v>
      </c>
      <c r="L1441" s="4">
        <v>46239</v>
      </c>
      <c r="M1441" t="s">
        <v>38</v>
      </c>
      <c r="N1441" t="s">
        <v>75</v>
      </c>
      <c r="O1441">
        <v>1</v>
      </c>
      <c r="P1441" t="s">
        <v>50</v>
      </c>
      <c r="Q1441" s="4">
        <v>46344</v>
      </c>
      <c r="R1441" t="s">
        <v>84</v>
      </c>
      <c r="S1441" t="s">
        <v>38</v>
      </c>
      <c r="T1441" t="s">
        <v>3153</v>
      </c>
      <c r="U1441" t="s">
        <v>75</v>
      </c>
      <c r="V1441" t="s">
        <v>3154</v>
      </c>
    </row>
    <row r="1442" spans="1:22" x14ac:dyDescent="0.2">
      <c r="A1442" t="s">
        <v>2948</v>
      </c>
      <c r="B1442" t="s">
        <v>2949</v>
      </c>
      <c r="C1442" t="s">
        <v>31</v>
      </c>
      <c r="D1442" t="s">
        <v>87</v>
      </c>
      <c r="E1442" t="s">
        <v>60</v>
      </c>
      <c r="F1442" t="s">
        <v>34</v>
      </c>
      <c r="G1442" t="s">
        <v>35</v>
      </c>
      <c r="H1442" t="s">
        <v>36</v>
      </c>
      <c r="I1442" t="s">
        <v>39</v>
      </c>
      <c r="J1442" t="s">
        <v>48</v>
      </c>
      <c r="K1442" s="4">
        <v>46206</v>
      </c>
      <c r="L1442" s="4">
        <v>46296</v>
      </c>
      <c r="M1442" t="s">
        <v>64</v>
      </c>
      <c r="N1442" t="s">
        <v>75</v>
      </c>
      <c r="O1442">
        <v>4</v>
      </c>
      <c r="P1442" t="s">
        <v>54</v>
      </c>
      <c r="Q1442" s="4">
        <v>46170</v>
      </c>
      <c r="R1442" t="s">
        <v>64</v>
      </c>
      <c r="S1442" t="s">
        <v>3155</v>
      </c>
      <c r="T1442" t="s">
        <v>3153</v>
      </c>
      <c r="U1442" t="s">
        <v>75</v>
      </c>
      <c r="V1442" t="s">
        <v>3152</v>
      </c>
    </row>
    <row r="1443" spans="1:22" x14ac:dyDescent="0.2">
      <c r="A1443" t="s">
        <v>2950</v>
      </c>
      <c r="B1443" t="s">
        <v>2951</v>
      </c>
      <c r="C1443" t="s">
        <v>31</v>
      </c>
      <c r="D1443" t="s">
        <v>87</v>
      </c>
      <c r="E1443" t="s">
        <v>80</v>
      </c>
      <c r="F1443" t="s">
        <v>45</v>
      </c>
      <c r="G1443" t="s">
        <v>61</v>
      </c>
      <c r="H1443" t="s">
        <v>88</v>
      </c>
      <c r="I1443" t="s">
        <v>70</v>
      </c>
      <c r="J1443" t="s">
        <v>37</v>
      </c>
      <c r="K1443" s="4">
        <v>45900</v>
      </c>
      <c r="L1443" s="4">
        <v>46265</v>
      </c>
      <c r="M1443" t="s">
        <v>38</v>
      </c>
      <c r="N1443" t="s">
        <v>55</v>
      </c>
      <c r="O1443">
        <v>3</v>
      </c>
      <c r="P1443" t="s">
        <v>50</v>
      </c>
      <c r="Q1443" s="4">
        <v>46348</v>
      </c>
      <c r="R1443" t="s">
        <v>84</v>
      </c>
      <c r="S1443" t="s">
        <v>38</v>
      </c>
      <c r="T1443" t="s">
        <v>3153</v>
      </c>
      <c r="U1443" t="s">
        <v>55</v>
      </c>
      <c r="V1443" t="s">
        <v>3154</v>
      </c>
    </row>
    <row r="1444" spans="1:22" x14ac:dyDescent="0.2">
      <c r="A1444" t="s">
        <v>2952</v>
      </c>
      <c r="B1444" t="s">
        <v>2953</v>
      </c>
      <c r="C1444" t="s">
        <v>103</v>
      </c>
      <c r="D1444" t="s">
        <v>104</v>
      </c>
      <c r="E1444" t="s">
        <v>53</v>
      </c>
      <c r="F1444" t="s">
        <v>67</v>
      </c>
      <c r="G1444" t="s">
        <v>118</v>
      </c>
      <c r="H1444" t="s">
        <v>47</v>
      </c>
      <c r="I1444" t="s">
        <v>39</v>
      </c>
      <c r="J1444" t="s">
        <v>63</v>
      </c>
      <c r="K1444" s="4">
        <v>46187</v>
      </c>
      <c r="L1444" s="4">
        <v>46367</v>
      </c>
      <c r="M1444" t="s">
        <v>84</v>
      </c>
      <c r="N1444" t="s">
        <v>55</v>
      </c>
      <c r="O1444">
        <v>0</v>
      </c>
      <c r="P1444" t="s">
        <v>56</v>
      </c>
      <c r="Q1444" s="4">
        <v>46203</v>
      </c>
      <c r="R1444" t="s">
        <v>57</v>
      </c>
      <c r="S1444" t="s">
        <v>3155</v>
      </c>
      <c r="T1444" t="s">
        <v>3153</v>
      </c>
      <c r="U1444" t="s">
        <v>55</v>
      </c>
      <c r="V1444" t="s">
        <v>3154</v>
      </c>
    </row>
    <row r="1445" spans="1:22" x14ac:dyDescent="0.2">
      <c r="A1445" t="s">
        <v>2954</v>
      </c>
      <c r="B1445" t="s">
        <v>2955</v>
      </c>
      <c r="C1445" t="s">
        <v>31</v>
      </c>
      <c r="D1445" t="s">
        <v>32</v>
      </c>
      <c r="E1445" t="s">
        <v>44</v>
      </c>
      <c r="F1445" t="s">
        <v>67</v>
      </c>
      <c r="G1445" t="s">
        <v>68</v>
      </c>
      <c r="H1445" t="s">
        <v>47</v>
      </c>
      <c r="I1445" t="s">
        <v>56</v>
      </c>
      <c r="J1445" t="s">
        <v>63</v>
      </c>
      <c r="K1445" s="4">
        <v>45909</v>
      </c>
      <c r="L1445" s="4">
        <v>45999</v>
      </c>
      <c r="M1445" t="s">
        <v>38</v>
      </c>
      <c r="N1445" t="s">
        <v>55</v>
      </c>
      <c r="O1445">
        <v>1</v>
      </c>
      <c r="P1445" t="s">
        <v>39</v>
      </c>
      <c r="Q1445" s="4">
        <v>46391</v>
      </c>
      <c r="R1445" t="s">
        <v>64</v>
      </c>
      <c r="S1445" t="s">
        <v>38</v>
      </c>
      <c r="T1445" t="s">
        <v>3153</v>
      </c>
      <c r="U1445" t="s">
        <v>55</v>
      </c>
      <c r="V1445" t="s">
        <v>3154</v>
      </c>
    </row>
    <row r="1446" spans="1:22" x14ac:dyDescent="0.2">
      <c r="A1446" t="s">
        <v>2956</v>
      </c>
      <c r="B1446" t="s">
        <v>2957</v>
      </c>
      <c r="C1446" t="s">
        <v>31</v>
      </c>
      <c r="D1446" t="s">
        <v>87</v>
      </c>
      <c r="E1446" t="s">
        <v>91</v>
      </c>
      <c r="F1446" t="s">
        <v>45</v>
      </c>
      <c r="G1446" t="s">
        <v>61</v>
      </c>
      <c r="H1446" t="s">
        <v>47</v>
      </c>
      <c r="I1446" t="s">
        <v>50</v>
      </c>
      <c r="J1446" t="s">
        <v>63</v>
      </c>
      <c r="K1446" s="4">
        <v>45937</v>
      </c>
      <c r="L1446" s="4">
        <v>46027</v>
      </c>
      <c r="M1446" t="s">
        <v>38</v>
      </c>
      <c r="N1446" t="s">
        <v>75</v>
      </c>
      <c r="O1446">
        <v>0</v>
      </c>
      <c r="P1446" t="s">
        <v>62</v>
      </c>
      <c r="Q1446" s="4">
        <v>46306</v>
      </c>
      <c r="R1446" t="s">
        <v>57</v>
      </c>
      <c r="S1446" t="s">
        <v>38</v>
      </c>
      <c r="T1446" t="s">
        <v>3153</v>
      </c>
      <c r="U1446" t="s">
        <v>75</v>
      </c>
      <c r="V1446" t="s">
        <v>3154</v>
      </c>
    </row>
    <row r="1447" spans="1:22" x14ac:dyDescent="0.2">
      <c r="A1447" t="s">
        <v>2958</v>
      </c>
      <c r="B1447" t="s">
        <v>2959</v>
      </c>
      <c r="C1447" t="s">
        <v>42</v>
      </c>
      <c r="D1447" t="s">
        <v>43</v>
      </c>
      <c r="E1447" t="s">
        <v>91</v>
      </c>
      <c r="F1447" t="s">
        <v>67</v>
      </c>
      <c r="G1447" t="s">
        <v>118</v>
      </c>
      <c r="H1447" t="s">
        <v>36</v>
      </c>
      <c r="I1447" t="s">
        <v>70</v>
      </c>
      <c r="J1447" t="s">
        <v>48</v>
      </c>
      <c r="K1447" s="4">
        <v>45850</v>
      </c>
      <c r="L1447" s="4">
        <v>46030</v>
      </c>
      <c r="M1447" t="s">
        <v>38</v>
      </c>
      <c r="N1447" t="s">
        <v>49</v>
      </c>
      <c r="O1447">
        <v>5</v>
      </c>
      <c r="P1447" t="s">
        <v>50</v>
      </c>
      <c r="Q1447" s="4">
        <v>46368</v>
      </c>
      <c r="R1447" t="s">
        <v>64</v>
      </c>
      <c r="S1447" t="s">
        <v>38</v>
      </c>
      <c r="T1447" t="s">
        <v>3153</v>
      </c>
      <c r="U1447" t="s">
        <v>49</v>
      </c>
      <c r="V1447" t="s">
        <v>3152</v>
      </c>
    </row>
    <row r="1448" spans="1:22" x14ac:dyDescent="0.2">
      <c r="A1448" t="s">
        <v>2960</v>
      </c>
      <c r="B1448" t="s">
        <v>2961</v>
      </c>
      <c r="C1448" t="s">
        <v>31</v>
      </c>
      <c r="D1448" t="s">
        <v>32</v>
      </c>
      <c r="E1448" t="s">
        <v>80</v>
      </c>
      <c r="F1448" t="s">
        <v>67</v>
      </c>
      <c r="G1448" t="s">
        <v>68</v>
      </c>
      <c r="H1448" t="s">
        <v>88</v>
      </c>
      <c r="I1448" t="s">
        <v>54</v>
      </c>
      <c r="J1448" t="s">
        <v>48</v>
      </c>
      <c r="K1448" s="4">
        <v>46001</v>
      </c>
      <c r="L1448" s="4">
        <v>46181</v>
      </c>
      <c r="M1448" t="s">
        <v>38</v>
      </c>
      <c r="N1448" t="s">
        <v>55</v>
      </c>
      <c r="O1448">
        <v>3</v>
      </c>
      <c r="P1448" t="s">
        <v>106</v>
      </c>
      <c r="Q1448" s="4">
        <v>46190</v>
      </c>
      <c r="R1448" t="s">
        <v>64</v>
      </c>
      <c r="S1448" t="s">
        <v>38</v>
      </c>
      <c r="T1448" t="s">
        <v>3153</v>
      </c>
      <c r="U1448" t="s">
        <v>55</v>
      </c>
      <c r="V1448" t="s">
        <v>3154</v>
      </c>
    </row>
    <row r="1449" spans="1:22" x14ac:dyDescent="0.2">
      <c r="A1449" t="s">
        <v>2962</v>
      </c>
      <c r="B1449" t="s">
        <v>2963</v>
      </c>
      <c r="C1449" t="s">
        <v>31</v>
      </c>
      <c r="D1449" t="s">
        <v>83</v>
      </c>
      <c r="E1449" t="s">
        <v>60</v>
      </c>
      <c r="F1449" t="s">
        <v>34</v>
      </c>
      <c r="G1449" t="s">
        <v>35</v>
      </c>
      <c r="H1449" t="s">
        <v>36</v>
      </c>
      <c r="I1449" t="s">
        <v>106</v>
      </c>
      <c r="J1449" t="s">
        <v>37</v>
      </c>
      <c r="K1449" s="4">
        <v>46078</v>
      </c>
      <c r="L1449" s="4">
        <v>46258</v>
      </c>
      <c r="M1449" t="s">
        <v>38</v>
      </c>
      <c r="N1449" t="s">
        <v>49</v>
      </c>
      <c r="O1449">
        <v>2</v>
      </c>
      <c r="P1449" t="s">
        <v>54</v>
      </c>
      <c r="Q1449" s="4">
        <v>46245</v>
      </c>
      <c r="R1449" t="s">
        <v>38</v>
      </c>
      <c r="S1449" t="s">
        <v>38</v>
      </c>
      <c r="T1449" t="s">
        <v>3153</v>
      </c>
      <c r="U1449" t="s">
        <v>49</v>
      </c>
      <c r="V1449" t="s">
        <v>3152</v>
      </c>
    </row>
    <row r="1450" spans="1:22" x14ac:dyDescent="0.2">
      <c r="A1450" t="s">
        <v>2964</v>
      </c>
      <c r="B1450" t="s">
        <v>2965</v>
      </c>
      <c r="C1450" t="s">
        <v>31</v>
      </c>
      <c r="D1450" t="s">
        <v>87</v>
      </c>
      <c r="E1450" t="s">
        <v>80</v>
      </c>
      <c r="F1450" t="s">
        <v>34</v>
      </c>
      <c r="G1450" t="s">
        <v>35</v>
      </c>
      <c r="H1450" t="s">
        <v>88</v>
      </c>
      <c r="I1450" t="s">
        <v>70</v>
      </c>
      <c r="J1450" t="s">
        <v>63</v>
      </c>
      <c r="K1450" s="4">
        <v>45869</v>
      </c>
      <c r="L1450" s="4">
        <v>45959</v>
      </c>
      <c r="M1450" t="s">
        <v>38</v>
      </c>
      <c r="N1450" t="s">
        <v>55</v>
      </c>
      <c r="O1450">
        <v>1</v>
      </c>
      <c r="P1450" t="s">
        <v>111</v>
      </c>
      <c r="Q1450" s="4">
        <v>46158</v>
      </c>
      <c r="R1450" t="s">
        <v>64</v>
      </c>
      <c r="S1450" t="s">
        <v>38</v>
      </c>
      <c r="T1450" t="s">
        <v>3153</v>
      </c>
      <c r="U1450" t="s">
        <v>55</v>
      </c>
      <c r="V1450" t="s">
        <v>3154</v>
      </c>
    </row>
    <row r="1451" spans="1:22" x14ac:dyDescent="0.2">
      <c r="A1451" t="s">
        <v>2966</v>
      </c>
      <c r="B1451" t="s">
        <v>2967</v>
      </c>
      <c r="C1451" t="s">
        <v>96</v>
      </c>
      <c r="D1451" t="s">
        <v>97</v>
      </c>
      <c r="E1451" t="s">
        <v>44</v>
      </c>
      <c r="F1451" t="s">
        <v>34</v>
      </c>
      <c r="G1451" t="s">
        <v>35</v>
      </c>
      <c r="H1451" t="s">
        <v>88</v>
      </c>
      <c r="I1451" t="s">
        <v>62</v>
      </c>
      <c r="J1451" t="s">
        <v>48</v>
      </c>
      <c r="K1451" s="4">
        <v>45862</v>
      </c>
      <c r="L1451" s="4">
        <v>46227</v>
      </c>
      <c r="M1451" t="s">
        <v>38</v>
      </c>
      <c r="N1451" t="s">
        <v>49</v>
      </c>
      <c r="O1451">
        <v>0</v>
      </c>
      <c r="P1451" t="s">
        <v>111</v>
      </c>
      <c r="Q1451" s="4">
        <v>46152</v>
      </c>
      <c r="R1451" t="s">
        <v>57</v>
      </c>
      <c r="S1451" t="s">
        <v>38</v>
      </c>
      <c r="T1451" t="s">
        <v>3153</v>
      </c>
      <c r="U1451" t="s">
        <v>49</v>
      </c>
      <c r="V1451" t="s">
        <v>3154</v>
      </c>
    </row>
    <row r="1452" spans="1:22" x14ac:dyDescent="0.2">
      <c r="A1452" t="s">
        <v>2968</v>
      </c>
      <c r="B1452" t="s">
        <v>2969</v>
      </c>
      <c r="C1452" t="s">
        <v>31</v>
      </c>
      <c r="D1452" t="s">
        <v>83</v>
      </c>
      <c r="E1452" t="s">
        <v>91</v>
      </c>
      <c r="F1452" t="s">
        <v>67</v>
      </c>
      <c r="G1452" t="s">
        <v>68</v>
      </c>
      <c r="H1452" t="s">
        <v>98</v>
      </c>
      <c r="I1452" t="s">
        <v>50</v>
      </c>
      <c r="J1452" t="s">
        <v>37</v>
      </c>
      <c r="K1452" s="4">
        <v>46095</v>
      </c>
      <c r="L1452" s="4">
        <v>46185</v>
      </c>
      <c r="M1452" t="s">
        <v>38</v>
      </c>
      <c r="N1452" t="s">
        <v>49</v>
      </c>
      <c r="O1452">
        <v>4</v>
      </c>
      <c r="P1452" t="s">
        <v>70</v>
      </c>
      <c r="Q1452" s="4">
        <v>46243</v>
      </c>
      <c r="R1452" t="s">
        <v>38</v>
      </c>
      <c r="S1452" t="s">
        <v>38</v>
      </c>
      <c r="T1452" t="s">
        <v>3153</v>
      </c>
      <c r="U1452" t="s">
        <v>49</v>
      </c>
      <c r="V1452" t="s">
        <v>3152</v>
      </c>
    </row>
    <row r="1453" spans="1:22" x14ac:dyDescent="0.2">
      <c r="A1453" t="s">
        <v>2970</v>
      </c>
      <c r="B1453" t="s">
        <v>2971</v>
      </c>
      <c r="C1453" t="s">
        <v>73</v>
      </c>
      <c r="D1453" t="s">
        <v>74</v>
      </c>
      <c r="E1453" t="s">
        <v>44</v>
      </c>
      <c r="F1453" t="s">
        <v>67</v>
      </c>
      <c r="G1453" t="s">
        <v>68</v>
      </c>
      <c r="H1453" t="s">
        <v>47</v>
      </c>
      <c r="I1453" t="s">
        <v>111</v>
      </c>
      <c r="J1453" t="s">
        <v>37</v>
      </c>
      <c r="K1453" s="4">
        <v>46077</v>
      </c>
      <c r="L1453" s="4">
        <v>46442</v>
      </c>
      <c r="M1453" t="s">
        <v>64</v>
      </c>
      <c r="N1453" t="s">
        <v>55</v>
      </c>
      <c r="O1453">
        <v>3</v>
      </c>
      <c r="P1453" t="s">
        <v>50</v>
      </c>
      <c r="Q1453" s="4">
        <v>46208</v>
      </c>
      <c r="R1453" t="s">
        <v>64</v>
      </c>
      <c r="S1453" t="s">
        <v>3155</v>
      </c>
      <c r="T1453" t="s">
        <v>3153</v>
      </c>
      <c r="U1453" t="s">
        <v>55</v>
      </c>
      <c r="V1453" t="s">
        <v>3154</v>
      </c>
    </row>
    <row r="1454" spans="1:22" x14ac:dyDescent="0.2">
      <c r="A1454" t="s">
        <v>2972</v>
      </c>
      <c r="B1454" t="s">
        <v>2973</v>
      </c>
      <c r="C1454" t="s">
        <v>31</v>
      </c>
      <c r="D1454" t="s">
        <v>87</v>
      </c>
      <c r="E1454" t="s">
        <v>80</v>
      </c>
      <c r="F1454" t="s">
        <v>45</v>
      </c>
      <c r="G1454" t="s">
        <v>46</v>
      </c>
      <c r="H1454" t="s">
        <v>47</v>
      </c>
      <c r="I1454" t="s">
        <v>106</v>
      </c>
      <c r="J1454" t="s">
        <v>63</v>
      </c>
      <c r="K1454" s="4">
        <v>45925</v>
      </c>
      <c r="L1454" s="4">
        <v>46105</v>
      </c>
      <c r="M1454" t="s">
        <v>38</v>
      </c>
      <c r="N1454" t="s">
        <v>49</v>
      </c>
      <c r="O1454">
        <v>3</v>
      </c>
      <c r="P1454" t="s">
        <v>54</v>
      </c>
      <c r="Q1454" s="4">
        <v>46213</v>
      </c>
      <c r="R1454" t="s">
        <v>38</v>
      </c>
      <c r="S1454" t="s">
        <v>38</v>
      </c>
      <c r="T1454" t="s">
        <v>3153</v>
      </c>
      <c r="U1454" t="s">
        <v>49</v>
      </c>
      <c r="V1454" t="s">
        <v>3154</v>
      </c>
    </row>
    <row r="1455" spans="1:22" x14ac:dyDescent="0.2">
      <c r="A1455" t="s">
        <v>2974</v>
      </c>
      <c r="B1455" t="s">
        <v>2975</v>
      </c>
      <c r="C1455" t="s">
        <v>31</v>
      </c>
      <c r="D1455" t="s">
        <v>87</v>
      </c>
      <c r="E1455" t="s">
        <v>53</v>
      </c>
      <c r="F1455" t="s">
        <v>45</v>
      </c>
      <c r="G1455" t="s">
        <v>61</v>
      </c>
      <c r="H1455" t="s">
        <v>88</v>
      </c>
      <c r="I1455" t="s">
        <v>39</v>
      </c>
      <c r="J1455" t="s">
        <v>48</v>
      </c>
      <c r="K1455" s="4">
        <v>46119</v>
      </c>
      <c r="L1455" s="4">
        <v>46484</v>
      </c>
      <c r="M1455" t="s">
        <v>69</v>
      </c>
      <c r="N1455" t="s">
        <v>49</v>
      </c>
      <c r="O1455">
        <v>2</v>
      </c>
      <c r="P1455" t="s">
        <v>39</v>
      </c>
      <c r="Q1455" s="4">
        <v>46121</v>
      </c>
      <c r="R1455" t="s">
        <v>64</v>
      </c>
      <c r="S1455" t="s">
        <v>3155</v>
      </c>
      <c r="T1455" t="s">
        <v>3153</v>
      </c>
      <c r="U1455" t="s">
        <v>49</v>
      </c>
      <c r="V1455" t="s">
        <v>3154</v>
      </c>
    </row>
    <row r="1456" spans="1:22" x14ac:dyDescent="0.2">
      <c r="A1456" t="s">
        <v>2976</v>
      </c>
      <c r="B1456" t="s">
        <v>2977</v>
      </c>
      <c r="C1456" t="s">
        <v>31</v>
      </c>
      <c r="D1456" t="s">
        <v>83</v>
      </c>
      <c r="E1456" t="s">
        <v>60</v>
      </c>
      <c r="F1456" t="s">
        <v>67</v>
      </c>
      <c r="G1456" t="s">
        <v>118</v>
      </c>
      <c r="H1456" t="s">
        <v>88</v>
      </c>
      <c r="I1456" t="s">
        <v>70</v>
      </c>
      <c r="J1456" t="s">
        <v>37</v>
      </c>
      <c r="K1456" s="4">
        <v>45962</v>
      </c>
      <c r="L1456" s="4">
        <v>46142</v>
      </c>
      <c r="M1456" t="s">
        <v>38</v>
      </c>
      <c r="N1456" t="s">
        <v>55</v>
      </c>
      <c r="O1456">
        <v>3</v>
      </c>
      <c r="P1456" t="s">
        <v>54</v>
      </c>
      <c r="Q1456" s="4">
        <v>46369</v>
      </c>
      <c r="R1456" t="s">
        <v>64</v>
      </c>
      <c r="S1456" t="s">
        <v>38</v>
      </c>
      <c r="T1456" t="s">
        <v>3153</v>
      </c>
      <c r="U1456" t="s">
        <v>55</v>
      </c>
      <c r="V1456" t="s">
        <v>3154</v>
      </c>
    </row>
    <row r="1457" spans="1:22" x14ac:dyDescent="0.2">
      <c r="A1457" t="s">
        <v>2978</v>
      </c>
      <c r="B1457" t="s">
        <v>2979</v>
      </c>
      <c r="C1457" t="s">
        <v>73</v>
      </c>
      <c r="D1457" t="s">
        <v>74</v>
      </c>
      <c r="E1457" t="s">
        <v>80</v>
      </c>
      <c r="F1457" t="s">
        <v>45</v>
      </c>
      <c r="G1457" t="s">
        <v>61</v>
      </c>
      <c r="H1457" t="s">
        <v>47</v>
      </c>
      <c r="I1457" t="s">
        <v>50</v>
      </c>
      <c r="J1457" t="s">
        <v>48</v>
      </c>
      <c r="K1457" s="4">
        <v>46044</v>
      </c>
      <c r="L1457" s="4">
        <v>46224</v>
      </c>
      <c r="M1457" t="s">
        <v>38</v>
      </c>
      <c r="N1457" t="s">
        <v>75</v>
      </c>
      <c r="O1457">
        <v>2</v>
      </c>
      <c r="P1457" t="s">
        <v>39</v>
      </c>
      <c r="Q1457" s="4">
        <v>46202</v>
      </c>
      <c r="R1457" t="s">
        <v>64</v>
      </c>
      <c r="S1457" t="s">
        <v>38</v>
      </c>
      <c r="T1457" t="s">
        <v>3153</v>
      </c>
      <c r="U1457" t="s">
        <v>75</v>
      </c>
      <c r="V1457" t="s">
        <v>3154</v>
      </c>
    </row>
    <row r="1458" spans="1:22" x14ac:dyDescent="0.2">
      <c r="A1458" t="s">
        <v>2980</v>
      </c>
      <c r="B1458" t="s">
        <v>2981</v>
      </c>
      <c r="C1458" t="s">
        <v>31</v>
      </c>
      <c r="D1458" t="s">
        <v>83</v>
      </c>
      <c r="E1458" t="s">
        <v>80</v>
      </c>
      <c r="F1458" t="s">
        <v>67</v>
      </c>
      <c r="G1458" t="s">
        <v>68</v>
      </c>
      <c r="H1458" t="s">
        <v>88</v>
      </c>
      <c r="I1458" t="s">
        <v>70</v>
      </c>
      <c r="J1458" t="s">
        <v>63</v>
      </c>
      <c r="K1458" s="4">
        <v>46203</v>
      </c>
      <c r="L1458" s="4">
        <v>46568</v>
      </c>
      <c r="M1458" t="s">
        <v>64</v>
      </c>
      <c r="N1458" t="s">
        <v>49</v>
      </c>
      <c r="O1458">
        <v>2</v>
      </c>
      <c r="P1458" t="s">
        <v>56</v>
      </c>
      <c r="Q1458" s="4">
        <v>46408</v>
      </c>
      <c r="R1458" t="s">
        <v>84</v>
      </c>
      <c r="S1458" t="s">
        <v>3155</v>
      </c>
      <c r="T1458" t="s">
        <v>3153</v>
      </c>
      <c r="U1458" t="s">
        <v>49</v>
      </c>
      <c r="V1458" t="s">
        <v>3154</v>
      </c>
    </row>
    <row r="1459" spans="1:22" x14ac:dyDescent="0.2">
      <c r="A1459" t="s">
        <v>2982</v>
      </c>
      <c r="B1459" t="s">
        <v>2983</v>
      </c>
      <c r="C1459" t="s">
        <v>73</v>
      </c>
      <c r="D1459" t="s">
        <v>74</v>
      </c>
      <c r="E1459" t="s">
        <v>53</v>
      </c>
      <c r="F1459" t="s">
        <v>45</v>
      </c>
      <c r="G1459" t="s">
        <v>46</v>
      </c>
      <c r="H1459" t="s">
        <v>98</v>
      </c>
      <c r="J1459" t="s">
        <v>63</v>
      </c>
      <c r="K1459" s="4">
        <v>45800</v>
      </c>
      <c r="L1459" s="4">
        <v>45980</v>
      </c>
      <c r="M1459" t="s">
        <v>38</v>
      </c>
      <c r="N1459" t="s">
        <v>55</v>
      </c>
      <c r="O1459">
        <v>0</v>
      </c>
      <c r="P1459" t="s">
        <v>62</v>
      </c>
      <c r="Q1459" s="4">
        <v>46192</v>
      </c>
      <c r="R1459" t="s">
        <v>57</v>
      </c>
      <c r="S1459" t="s">
        <v>38</v>
      </c>
      <c r="T1459" t="s">
        <v>3150</v>
      </c>
      <c r="U1459" t="s">
        <v>55</v>
      </c>
      <c r="V1459" t="s">
        <v>3152</v>
      </c>
    </row>
    <row r="1460" spans="1:22" x14ac:dyDescent="0.2">
      <c r="A1460" t="s">
        <v>2984</v>
      </c>
      <c r="B1460" t="s">
        <v>2985</v>
      </c>
      <c r="C1460" t="s">
        <v>78</v>
      </c>
      <c r="D1460" t="s">
        <v>79</v>
      </c>
      <c r="E1460" t="s">
        <v>44</v>
      </c>
      <c r="F1460" t="s">
        <v>45</v>
      </c>
      <c r="G1460" t="s">
        <v>61</v>
      </c>
      <c r="H1460" t="s">
        <v>88</v>
      </c>
      <c r="I1460" t="s">
        <v>50</v>
      </c>
      <c r="J1460" t="s">
        <v>37</v>
      </c>
      <c r="K1460" s="4">
        <v>45945</v>
      </c>
      <c r="L1460" s="4">
        <v>46125</v>
      </c>
      <c r="M1460" t="s">
        <v>38</v>
      </c>
      <c r="N1460" t="s">
        <v>55</v>
      </c>
      <c r="O1460">
        <v>2</v>
      </c>
      <c r="P1460" t="s">
        <v>56</v>
      </c>
      <c r="Q1460" s="4">
        <v>46207</v>
      </c>
      <c r="R1460" t="s">
        <v>64</v>
      </c>
      <c r="S1460" t="s">
        <v>38</v>
      </c>
      <c r="T1460" t="s">
        <v>3153</v>
      </c>
      <c r="U1460" t="s">
        <v>55</v>
      </c>
      <c r="V1460" t="s">
        <v>3154</v>
      </c>
    </row>
    <row r="1461" spans="1:22" x14ac:dyDescent="0.2">
      <c r="A1461" t="s">
        <v>2986</v>
      </c>
      <c r="B1461" t="s">
        <v>2987</v>
      </c>
      <c r="C1461" t="s">
        <v>31</v>
      </c>
      <c r="D1461" t="s">
        <v>87</v>
      </c>
      <c r="E1461" t="s">
        <v>91</v>
      </c>
      <c r="F1461" t="s">
        <v>34</v>
      </c>
      <c r="G1461" t="s">
        <v>35</v>
      </c>
      <c r="H1461" t="s">
        <v>88</v>
      </c>
      <c r="I1461" t="s">
        <v>106</v>
      </c>
      <c r="J1461" t="s">
        <v>37</v>
      </c>
      <c r="K1461" s="4">
        <v>46226</v>
      </c>
      <c r="L1461" s="4">
        <v>46316</v>
      </c>
      <c r="M1461" t="s">
        <v>64</v>
      </c>
      <c r="N1461" t="s">
        <v>55</v>
      </c>
      <c r="O1461">
        <v>1</v>
      </c>
      <c r="P1461" t="s">
        <v>54</v>
      </c>
      <c r="Q1461" s="4">
        <v>46390</v>
      </c>
      <c r="R1461" t="s">
        <v>84</v>
      </c>
      <c r="S1461" t="s">
        <v>3155</v>
      </c>
      <c r="T1461" t="s">
        <v>3153</v>
      </c>
      <c r="U1461" t="s">
        <v>55</v>
      </c>
      <c r="V1461" t="s">
        <v>3154</v>
      </c>
    </row>
    <row r="1462" spans="1:22" x14ac:dyDescent="0.2">
      <c r="A1462" t="s">
        <v>2988</v>
      </c>
      <c r="B1462" t="s">
        <v>2989</v>
      </c>
      <c r="C1462" t="s">
        <v>42</v>
      </c>
      <c r="D1462" t="s">
        <v>43</v>
      </c>
      <c r="E1462" t="s">
        <v>105</v>
      </c>
      <c r="F1462" t="s">
        <v>34</v>
      </c>
      <c r="G1462" t="s">
        <v>35</v>
      </c>
      <c r="H1462" t="s">
        <v>36</v>
      </c>
      <c r="I1462" t="s">
        <v>70</v>
      </c>
      <c r="J1462" t="s">
        <v>63</v>
      </c>
      <c r="K1462" s="4">
        <v>46185</v>
      </c>
      <c r="L1462" s="4">
        <v>46275</v>
      </c>
      <c r="M1462" t="s">
        <v>38</v>
      </c>
      <c r="N1462" t="s">
        <v>55</v>
      </c>
      <c r="O1462">
        <v>1</v>
      </c>
      <c r="P1462" t="s">
        <v>70</v>
      </c>
      <c r="Q1462" s="4">
        <v>46154</v>
      </c>
      <c r="R1462" t="s">
        <v>38</v>
      </c>
      <c r="S1462" t="s">
        <v>38</v>
      </c>
      <c r="T1462" t="s">
        <v>3153</v>
      </c>
      <c r="U1462" t="s">
        <v>55</v>
      </c>
      <c r="V1462" t="s">
        <v>3152</v>
      </c>
    </row>
    <row r="1463" spans="1:22" x14ac:dyDescent="0.2">
      <c r="A1463" t="s">
        <v>2990</v>
      </c>
      <c r="B1463" t="s">
        <v>2991</v>
      </c>
      <c r="C1463" t="s">
        <v>31</v>
      </c>
      <c r="D1463" t="s">
        <v>87</v>
      </c>
      <c r="E1463" t="s">
        <v>60</v>
      </c>
      <c r="F1463" t="s">
        <v>34</v>
      </c>
      <c r="G1463" t="s">
        <v>35</v>
      </c>
      <c r="H1463" t="s">
        <v>47</v>
      </c>
      <c r="I1463" t="s">
        <v>62</v>
      </c>
      <c r="J1463" t="s">
        <v>63</v>
      </c>
      <c r="K1463" s="4">
        <v>45997</v>
      </c>
      <c r="L1463" s="4">
        <v>46177</v>
      </c>
      <c r="M1463" t="s">
        <v>38</v>
      </c>
      <c r="N1463" t="s">
        <v>49</v>
      </c>
      <c r="O1463">
        <v>3</v>
      </c>
      <c r="P1463" t="s">
        <v>70</v>
      </c>
      <c r="Q1463" s="4">
        <v>46320</v>
      </c>
      <c r="R1463" t="s">
        <v>64</v>
      </c>
      <c r="S1463" t="s">
        <v>38</v>
      </c>
      <c r="T1463" t="s">
        <v>3153</v>
      </c>
      <c r="U1463" t="s">
        <v>49</v>
      </c>
      <c r="V1463" t="s">
        <v>3154</v>
      </c>
    </row>
    <row r="1464" spans="1:22" x14ac:dyDescent="0.2">
      <c r="A1464" t="s">
        <v>2992</v>
      </c>
      <c r="B1464" t="s">
        <v>2993</v>
      </c>
      <c r="C1464" t="s">
        <v>78</v>
      </c>
      <c r="D1464" t="s">
        <v>79</v>
      </c>
      <c r="E1464" t="s">
        <v>53</v>
      </c>
      <c r="F1464" t="s">
        <v>34</v>
      </c>
      <c r="G1464" t="s">
        <v>35</v>
      </c>
      <c r="H1464" t="s">
        <v>88</v>
      </c>
      <c r="I1464" t="s">
        <v>39</v>
      </c>
      <c r="J1464" t="s">
        <v>63</v>
      </c>
      <c r="K1464" s="4">
        <v>46076</v>
      </c>
      <c r="L1464" s="4">
        <v>46256</v>
      </c>
      <c r="M1464" t="s">
        <v>38</v>
      </c>
      <c r="N1464" t="s">
        <v>75</v>
      </c>
      <c r="O1464">
        <v>1</v>
      </c>
      <c r="P1464" t="s">
        <v>111</v>
      </c>
      <c r="Q1464" s="4">
        <v>46115</v>
      </c>
      <c r="R1464" t="s">
        <v>64</v>
      </c>
      <c r="S1464" t="s">
        <v>38</v>
      </c>
      <c r="T1464" t="s">
        <v>3153</v>
      </c>
      <c r="U1464" t="s">
        <v>75</v>
      </c>
      <c r="V1464" t="s">
        <v>3154</v>
      </c>
    </row>
    <row r="1465" spans="1:22" x14ac:dyDescent="0.2">
      <c r="A1465" t="s">
        <v>2994</v>
      </c>
      <c r="B1465" t="s">
        <v>2995</v>
      </c>
      <c r="C1465" t="s">
        <v>78</v>
      </c>
      <c r="D1465" t="s">
        <v>79</v>
      </c>
      <c r="E1465" t="s">
        <v>44</v>
      </c>
      <c r="F1465" t="s">
        <v>67</v>
      </c>
      <c r="G1465" t="s">
        <v>118</v>
      </c>
      <c r="H1465" t="s">
        <v>36</v>
      </c>
      <c r="I1465" t="s">
        <v>106</v>
      </c>
      <c r="J1465" t="s">
        <v>37</v>
      </c>
      <c r="K1465" s="4">
        <v>45878</v>
      </c>
      <c r="L1465" s="4">
        <v>46243</v>
      </c>
      <c r="M1465" t="s">
        <v>38</v>
      </c>
      <c r="N1465" t="s">
        <v>75</v>
      </c>
      <c r="O1465">
        <v>5</v>
      </c>
      <c r="P1465" t="s">
        <v>70</v>
      </c>
      <c r="Q1465" s="4">
        <v>46320</v>
      </c>
      <c r="R1465" t="s">
        <v>64</v>
      </c>
      <c r="S1465" t="s">
        <v>38</v>
      </c>
      <c r="T1465" t="s">
        <v>3153</v>
      </c>
      <c r="U1465" t="s">
        <v>75</v>
      </c>
      <c r="V1465" t="s">
        <v>3152</v>
      </c>
    </row>
    <row r="1466" spans="1:22" x14ac:dyDescent="0.2">
      <c r="A1466" t="s">
        <v>2996</v>
      </c>
      <c r="B1466" t="s">
        <v>2997</v>
      </c>
      <c r="C1466" t="s">
        <v>31</v>
      </c>
      <c r="D1466" t="s">
        <v>83</v>
      </c>
      <c r="E1466" t="s">
        <v>91</v>
      </c>
      <c r="F1466" t="s">
        <v>34</v>
      </c>
      <c r="G1466" t="s">
        <v>35</v>
      </c>
      <c r="H1466" t="s">
        <v>47</v>
      </c>
      <c r="I1466" t="s">
        <v>56</v>
      </c>
      <c r="J1466" t="s">
        <v>48</v>
      </c>
      <c r="K1466" s="4">
        <v>45938</v>
      </c>
      <c r="L1466" s="4">
        <v>46028</v>
      </c>
      <c r="M1466" t="s">
        <v>38</v>
      </c>
      <c r="N1466" t="s">
        <v>55</v>
      </c>
      <c r="O1466">
        <v>1</v>
      </c>
      <c r="P1466" t="s">
        <v>50</v>
      </c>
      <c r="Q1466" s="4">
        <v>46338</v>
      </c>
      <c r="R1466" t="s">
        <v>84</v>
      </c>
      <c r="S1466" t="s">
        <v>38</v>
      </c>
      <c r="T1466" t="s">
        <v>3153</v>
      </c>
      <c r="U1466" t="s">
        <v>55</v>
      </c>
      <c r="V1466" t="s">
        <v>3154</v>
      </c>
    </row>
    <row r="1467" spans="1:22" x14ac:dyDescent="0.2">
      <c r="A1467" t="s">
        <v>2998</v>
      </c>
      <c r="B1467" t="s">
        <v>2999</v>
      </c>
      <c r="C1467" t="s">
        <v>96</v>
      </c>
      <c r="D1467" t="s">
        <v>97</v>
      </c>
      <c r="E1467" t="s">
        <v>91</v>
      </c>
      <c r="F1467" t="s">
        <v>45</v>
      </c>
      <c r="G1467" t="s">
        <v>61</v>
      </c>
      <c r="H1467" t="s">
        <v>47</v>
      </c>
      <c r="I1467" t="s">
        <v>56</v>
      </c>
      <c r="J1467" t="s">
        <v>63</v>
      </c>
      <c r="K1467" s="4">
        <v>46192</v>
      </c>
      <c r="L1467" s="4">
        <v>46557</v>
      </c>
      <c r="M1467" t="s">
        <v>64</v>
      </c>
      <c r="N1467" t="s">
        <v>55</v>
      </c>
      <c r="O1467">
        <v>0</v>
      </c>
      <c r="P1467" t="s">
        <v>70</v>
      </c>
      <c r="Q1467" s="4">
        <v>46259</v>
      </c>
      <c r="R1467" t="s">
        <v>57</v>
      </c>
      <c r="S1467" t="s">
        <v>3155</v>
      </c>
      <c r="T1467" t="s">
        <v>3153</v>
      </c>
      <c r="U1467" t="s">
        <v>55</v>
      </c>
      <c r="V1467" t="s">
        <v>3154</v>
      </c>
    </row>
    <row r="1468" spans="1:22" x14ac:dyDescent="0.2">
      <c r="A1468" t="s">
        <v>3000</v>
      </c>
      <c r="B1468" t="s">
        <v>3001</v>
      </c>
      <c r="C1468" t="s">
        <v>103</v>
      </c>
      <c r="D1468" t="s">
        <v>104</v>
      </c>
      <c r="E1468" t="s">
        <v>60</v>
      </c>
      <c r="F1468" t="s">
        <v>45</v>
      </c>
      <c r="G1468" t="s">
        <v>61</v>
      </c>
      <c r="H1468" t="s">
        <v>88</v>
      </c>
      <c r="I1468" t="s">
        <v>62</v>
      </c>
      <c r="J1468" t="s">
        <v>63</v>
      </c>
      <c r="K1468" s="4">
        <v>45974</v>
      </c>
      <c r="L1468" s="4">
        <v>46339</v>
      </c>
      <c r="M1468" t="s">
        <v>69</v>
      </c>
      <c r="N1468" t="s">
        <v>49</v>
      </c>
      <c r="O1468">
        <v>0</v>
      </c>
      <c r="P1468" t="s">
        <v>39</v>
      </c>
      <c r="Q1468" s="4">
        <v>46197</v>
      </c>
      <c r="R1468" t="s">
        <v>57</v>
      </c>
      <c r="S1468" t="s">
        <v>3155</v>
      </c>
      <c r="T1468" t="s">
        <v>3153</v>
      </c>
      <c r="U1468" t="s">
        <v>49</v>
      </c>
      <c r="V1468" t="s">
        <v>3154</v>
      </c>
    </row>
    <row r="1469" spans="1:22" x14ac:dyDescent="0.2">
      <c r="A1469" t="s">
        <v>3002</v>
      </c>
      <c r="B1469" t="s">
        <v>3003</v>
      </c>
      <c r="C1469" t="s">
        <v>73</v>
      </c>
      <c r="D1469" t="s">
        <v>74</v>
      </c>
      <c r="E1469" t="s">
        <v>80</v>
      </c>
      <c r="F1469" t="s">
        <v>45</v>
      </c>
      <c r="G1469" t="s">
        <v>46</v>
      </c>
      <c r="H1469" t="s">
        <v>88</v>
      </c>
      <c r="I1469" t="s">
        <v>39</v>
      </c>
      <c r="J1469" t="s">
        <v>63</v>
      </c>
      <c r="K1469" s="4">
        <v>45898</v>
      </c>
      <c r="L1469" s="4">
        <v>46263</v>
      </c>
      <c r="M1469" t="s">
        <v>38</v>
      </c>
      <c r="N1469" t="s">
        <v>49</v>
      </c>
      <c r="O1469">
        <v>1</v>
      </c>
      <c r="P1469" t="s">
        <v>50</v>
      </c>
      <c r="Q1469" s="4">
        <v>46116</v>
      </c>
      <c r="R1469" t="s">
        <v>64</v>
      </c>
      <c r="S1469" t="s">
        <v>38</v>
      </c>
      <c r="T1469" t="s">
        <v>3153</v>
      </c>
      <c r="U1469" t="s">
        <v>49</v>
      </c>
      <c r="V1469" t="s">
        <v>3154</v>
      </c>
    </row>
    <row r="1470" spans="1:22" x14ac:dyDescent="0.2">
      <c r="A1470" t="s">
        <v>3004</v>
      </c>
      <c r="B1470" t="s">
        <v>3005</v>
      </c>
      <c r="C1470" t="s">
        <v>31</v>
      </c>
      <c r="D1470" t="s">
        <v>83</v>
      </c>
      <c r="E1470" t="s">
        <v>44</v>
      </c>
      <c r="F1470" t="s">
        <v>34</v>
      </c>
      <c r="G1470" t="s">
        <v>35</v>
      </c>
      <c r="H1470" t="s">
        <v>88</v>
      </c>
      <c r="I1470" t="s">
        <v>54</v>
      </c>
      <c r="J1470" t="s">
        <v>48</v>
      </c>
      <c r="K1470" s="4">
        <v>45829</v>
      </c>
      <c r="L1470" s="4">
        <v>45919</v>
      </c>
      <c r="M1470" t="s">
        <v>38</v>
      </c>
      <c r="N1470" t="s">
        <v>55</v>
      </c>
      <c r="O1470">
        <v>2</v>
      </c>
      <c r="P1470" t="s">
        <v>54</v>
      </c>
      <c r="Q1470" s="4">
        <v>46138</v>
      </c>
      <c r="R1470" t="s">
        <v>64</v>
      </c>
      <c r="S1470" t="s">
        <v>38</v>
      </c>
      <c r="T1470" t="s">
        <v>3153</v>
      </c>
      <c r="U1470" t="s">
        <v>55</v>
      </c>
      <c r="V1470" t="s">
        <v>3154</v>
      </c>
    </row>
    <row r="1471" spans="1:22" x14ac:dyDescent="0.2">
      <c r="A1471" t="s">
        <v>3006</v>
      </c>
      <c r="B1471" t="s">
        <v>3007</v>
      </c>
      <c r="C1471" t="s">
        <v>31</v>
      </c>
      <c r="D1471" t="s">
        <v>87</v>
      </c>
      <c r="E1471" t="s">
        <v>53</v>
      </c>
      <c r="F1471" t="s">
        <v>34</v>
      </c>
      <c r="G1471" t="s">
        <v>35</v>
      </c>
      <c r="H1471" t="s">
        <v>88</v>
      </c>
      <c r="I1471" t="s">
        <v>50</v>
      </c>
      <c r="J1471" t="s">
        <v>37</v>
      </c>
      <c r="K1471" s="4">
        <v>45802</v>
      </c>
      <c r="L1471" s="4">
        <v>45982</v>
      </c>
      <c r="M1471" t="s">
        <v>38</v>
      </c>
      <c r="N1471" t="s">
        <v>49</v>
      </c>
      <c r="O1471">
        <v>1</v>
      </c>
      <c r="P1471" t="s">
        <v>62</v>
      </c>
      <c r="Q1471" s="4">
        <v>46404</v>
      </c>
      <c r="R1471" t="s">
        <v>84</v>
      </c>
      <c r="S1471" t="s">
        <v>38</v>
      </c>
      <c r="T1471" t="s">
        <v>3153</v>
      </c>
      <c r="U1471" t="s">
        <v>49</v>
      </c>
      <c r="V1471" t="s">
        <v>3154</v>
      </c>
    </row>
    <row r="1472" spans="1:22" x14ac:dyDescent="0.2">
      <c r="A1472" t="s">
        <v>3008</v>
      </c>
      <c r="B1472" t="s">
        <v>3009</v>
      </c>
      <c r="C1472" t="s">
        <v>103</v>
      </c>
      <c r="D1472" t="s">
        <v>104</v>
      </c>
      <c r="E1472" t="s">
        <v>44</v>
      </c>
      <c r="F1472" t="s">
        <v>34</v>
      </c>
      <c r="G1472" t="s">
        <v>35</v>
      </c>
      <c r="H1472" t="s">
        <v>36</v>
      </c>
      <c r="I1472" t="s">
        <v>62</v>
      </c>
      <c r="J1472" t="s">
        <v>63</v>
      </c>
      <c r="K1472" s="4">
        <v>45798</v>
      </c>
      <c r="L1472" s="4">
        <v>45888</v>
      </c>
      <c r="M1472" t="s">
        <v>38</v>
      </c>
      <c r="N1472" t="s">
        <v>55</v>
      </c>
      <c r="O1472">
        <v>1</v>
      </c>
      <c r="P1472" t="s">
        <v>62</v>
      </c>
      <c r="Q1472" s="4">
        <v>46399</v>
      </c>
      <c r="R1472" t="s">
        <v>84</v>
      </c>
      <c r="S1472" t="s">
        <v>38</v>
      </c>
      <c r="T1472" t="s">
        <v>3153</v>
      </c>
      <c r="U1472" t="s">
        <v>55</v>
      </c>
      <c r="V1472" t="s">
        <v>3152</v>
      </c>
    </row>
    <row r="1473" spans="1:22" x14ac:dyDescent="0.2">
      <c r="A1473" t="s">
        <v>3010</v>
      </c>
      <c r="B1473" t="s">
        <v>3011</v>
      </c>
      <c r="C1473" t="s">
        <v>78</v>
      </c>
      <c r="D1473" t="s">
        <v>79</v>
      </c>
      <c r="E1473" t="s">
        <v>44</v>
      </c>
      <c r="F1473" t="s">
        <v>34</v>
      </c>
      <c r="G1473" t="s">
        <v>35</v>
      </c>
      <c r="H1473" t="s">
        <v>36</v>
      </c>
      <c r="I1473" t="s">
        <v>62</v>
      </c>
      <c r="J1473" t="s">
        <v>37</v>
      </c>
      <c r="K1473" s="4">
        <v>45815</v>
      </c>
      <c r="L1473" s="4">
        <v>46180</v>
      </c>
      <c r="M1473" t="s">
        <v>38</v>
      </c>
      <c r="N1473" t="s">
        <v>55</v>
      </c>
      <c r="O1473">
        <v>4</v>
      </c>
      <c r="P1473" t="s">
        <v>111</v>
      </c>
      <c r="Q1473" s="4">
        <v>46287</v>
      </c>
      <c r="R1473" t="s">
        <v>38</v>
      </c>
      <c r="S1473" t="s">
        <v>38</v>
      </c>
      <c r="T1473" t="s">
        <v>3153</v>
      </c>
      <c r="U1473" t="s">
        <v>55</v>
      </c>
      <c r="V1473" t="s">
        <v>3152</v>
      </c>
    </row>
    <row r="1474" spans="1:22" x14ac:dyDescent="0.2">
      <c r="A1474" t="s">
        <v>3012</v>
      </c>
      <c r="B1474" t="s">
        <v>3013</v>
      </c>
      <c r="C1474" t="s">
        <v>31</v>
      </c>
      <c r="D1474" t="s">
        <v>83</v>
      </c>
      <c r="E1474" t="s">
        <v>80</v>
      </c>
      <c r="F1474" t="s">
        <v>45</v>
      </c>
      <c r="G1474" t="s">
        <v>46</v>
      </c>
      <c r="H1474" t="s">
        <v>88</v>
      </c>
      <c r="I1474" t="s">
        <v>70</v>
      </c>
      <c r="J1474" t="s">
        <v>63</v>
      </c>
      <c r="K1474" s="4">
        <v>46275</v>
      </c>
      <c r="L1474" s="4">
        <v>46365</v>
      </c>
      <c r="M1474" t="s">
        <v>64</v>
      </c>
      <c r="N1474" t="s">
        <v>49</v>
      </c>
      <c r="O1474">
        <v>1</v>
      </c>
      <c r="P1474" t="s">
        <v>54</v>
      </c>
      <c r="Q1474" s="4">
        <v>46217</v>
      </c>
      <c r="R1474" t="s">
        <v>38</v>
      </c>
      <c r="S1474" t="s">
        <v>3155</v>
      </c>
      <c r="T1474" t="s">
        <v>3153</v>
      </c>
      <c r="U1474" t="s">
        <v>49</v>
      </c>
      <c r="V1474" t="s">
        <v>3154</v>
      </c>
    </row>
    <row r="1475" spans="1:22" x14ac:dyDescent="0.2">
      <c r="A1475" t="s">
        <v>3014</v>
      </c>
      <c r="B1475" t="s">
        <v>3015</v>
      </c>
      <c r="C1475" t="s">
        <v>96</v>
      </c>
      <c r="D1475" t="s">
        <v>97</v>
      </c>
      <c r="E1475" t="s">
        <v>80</v>
      </c>
      <c r="F1475" t="s">
        <v>67</v>
      </c>
      <c r="G1475" t="s">
        <v>68</v>
      </c>
      <c r="H1475" t="s">
        <v>36</v>
      </c>
      <c r="I1475" t="s">
        <v>70</v>
      </c>
      <c r="J1475" t="s">
        <v>37</v>
      </c>
      <c r="K1475" s="4">
        <v>46005</v>
      </c>
      <c r="L1475" s="4">
        <v>46185</v>
      </c>
      <c r="M1475" t="s">
        <v>38</v>
      </c>
      <c r="N1475" t="s">
        <v>75</v>
      </c>
      <c r="O1475">
        <v>5</v>
      </c>
      <c r="P1475" t="s">
        <v>70</v>
      </c>
      <c r="Q1475" s="4">
        <v>46125</v>
      </c>
      <c r="R1475" t="s">
        <v>38</v>
      </c>
      <c r="S1475" t="s">
        <v>38</v>
      </c>
      <c r="T1475" t="s">
        <v>3153</v>
      </c>
      <c r="U1475" t="s">
        <v>75</v>
      </c>
      <c r="V1475" t="s">
        <v>3152</v>
      </c>
    </row>
    <row r="1476" spans="1:22" x14ac:dyDescent="0.2">
      <c r="A1476" t="s">
        <v>3016</v>
      </c>
      <c r="B1476" t="s">
        <v>3017</v>
      </c>
      <c r="C1476" t="s">
        <v>31</v>
      </c>
      <c r="D1476" t="s">
        <v>32</v>
      </c>
      <c r="E1476" t="s">
        <v>80</v>
      </c>
      <c r="F1476" t="s">
        <v>34</v>
      </c>
      <c r="G1476" t="s">
        <v>35</v>
      </c>
      <c r="H1476" t="s">
        <v>36</v>
      </c>
      <c r="I1476" t="s">
        <v>106</v>
      </c>
      <c r="J1476" t="s">
        <v>63</v>
      </c>
      <c r="K1476" s="4">
        <v>45853</v>
      </c>
      <c r="L1476" s="4">
        <v>46218</v>
      </c>
      <c r="M1476" t="s">
        <v>38</v>
      </c>
      <c r="N1476" t="s">
        <v>55</v>
      </c>
      <c r="O1476">
        <v>0</v>
      </c>
      <c r="P1476" t="s">
        <v>56</v>
      </c>
      <c r="Q1476" s="4">
        <v>46390</v>
      </c>
      <c r="R1476" t="s">
        <v>57</v>
      </c>
      <c r="S1476" t="s">
        <v>38</v>
      </c>
      <c r="T1476" t="s">
        <v>3153</v>
      </c>
      <c r="U1476" t="s">
        <v>55</v>
      </c>
      <c r="V1476" t="s">
        <v>3152</v>
      </c>
    </row>
    <row r="1477" spans="1:22" x14ac:dyDescent="0.2">
      <c r="A1477" t="s">
        <v>3018</v>
      </c>
      <c r="B1477" t="s">
        <v>3019</v>
      </c>
      <c r="C1477" t="s">
        <v>78</v>
      </c>
      <c r="D1477" t="s">
        <v>79</v>
      </c>
      <c r="E1477" t="s">
        <v>60</v>
      </c>
      <c r="F1477" t="s">
        <v>45</v>
      </c>
      <c r="G1477" t="s">
        <v>46</v>
      </c>
      <c r="H1477" t="s">
        <v>47</v>
      </c>
      <c r="I1477" t="s">
        <v>111</v>
      </c>
      <c r="J1477" t="s">
        <v>63</v>
      </c>
      <c r="K1477" s="4">
        <v>46066</v>
      </c>
      <c r="L1477" s="4">
        <v>46156</v>
      </c>
      <c r="M1477" t="s">
        <v>38</v>
      </c>
      <c r="N1477" t="s">
        <v>75</v>
      </c>
      <c r="O1477">
        <v>0</v>
      </c>
      <c r="P1477" t="s">
        <v>54</v>
      </c>
      <c r="Q1477" s="4">
        <v>46295</v>
      </c>
      <c r="R1477" t="s">
        <v>57</v>
      </c>
      <c r="S1477" t="s">
        <v>38</v>
      </c>
      <c r="T1477" t="s">
        <v>3153</v>
      </c>
      <c r="U1477" t="s">
        <v>75</v>
      </c>
      <c r="V1477" t="s">
        <v>3154</v>
      </c>
    </row>
    <row r="1478" spans="1:22" x14ac:dyDescent="0.2">
      <c r="A1478" t="s">
        <v>3020</v>
      </c>
      <c r="B1478" t="s">
        <v>3021</v>
      </c>
      <c r="C1478" t="s">
        <v>78</v>
      </c>
      <c r="D1478" t="s">
        <v>79</v>
      </c>
      <c r="E1478" t="s">
        <v>53</v>
      </c>
      <c r="F1478" t="s">
        <v>34</v>
      </c>
      <c r="G1478" t="s">
        <v>35</v>
      </c>
      <c r="H1478" t="s">
        <v>88</v>
      </c>
      <c r="I1478" t="s">
        <v>50</v>
      </c>
      <c r="J1478" t="s">
        <v>37</v>
      </c>
      <c r="K1478" s="4">
        <v>45899</v>
      </c>
      <c r="L1478" s="4">
        <v>46264</v>
      </c>
      <c r="M1478" t="s">
        <v>38</v>
      </c>
      <c r="N1478" t="s">
        <v>55</v>
      </c>
      <c r="O1478">
        <v>1</v>
      </c>
      <c r="P1478" t="s">
        <v>50</v>
      </c>
      <c r="Q1478" s="4">
        <v>46315</v>
      </c>
      <c r="R1478" t="s">
        <v>84</v>
      </c>
      <c r="S1478" t="s">
        <v>38</v>
      </c>
      <c r="T1478" t="s">
        <v>3153</v>
      </c>
      <c r="U1478" t="s">
        <v>55</v>
      </c>
      <c r="V1478" t="s">
        <v>3154</v>
      </c>
    </row>
    <row r="1479" spans="1:22" x14ac:dyDescent="0.2">
      <c r="A1479" t="s">
        <v>3022</v>
      </c>
      <c r="B1479" t="s">
        <v>3023</v>
      </c>
      <c r="C1479" t="s">
        <v>31</v>
      </c>
      <c r="D1479" t="s">
        <v>83</v>
      </c>
      <c r="E1479" t="s">
        <v>60</v>
      </c>
      <c r="F1479" t="s">
        <v>34</v>
      </c>
      <c r="G1479" t="s">
        <v>35</v>
      </c>
      <c r="H1479" t="s">
        <v>36</v>
      </c>
      <c r="I1479" t="s">
        <v>50</v>
      </c>
      <c r="J1479" t="s">
        <v>37</v>
      </c>
      <c r="K1479" s="4">
        <v>46110</v>
      </c>
      <c r="L1479" s="4">
        <v>46290</v>
      </c>
      <c r="M1479" t="s">
        <v>38</v>
      </c>
      <c r="N1479" t="s">
        <v>55</v>
      </c>
      <c r="O1479">
        <v>2</v>
      </c>
      <c r="P1479" t="s">
        <v>54</v>
      </c>
      <c r="Q1479" s="4">
        <v>46374</v>
      </c>
      <c r="R1479" t="s">
        <v>84</v>
      </c>
      <c r="S1479" t="s">
        <v>38</v>
      </c>
      <c r="T1479" t="s">
        <v>3153</v>
      </c>
      <c r="U1479" t="s">
        <v>55</v>
      </c>
      <c r="V1479" t="s">
        <v>3152</v>
      </c>
    </row>
    <row r="1480" spans="1:22" x14ac:dyDescent="0.2">
      <c r="A1480" t="s">
        <v>3024</v>
      </c>
      <c r="B1480" t="s">
        <v>3025</v>
      </c>
      <c r="C1480" t="s">
        <v>31</v>
      </c>
      <c r="D1480" t="s">
        <v>87</v>
      </c>
      <c r="E1480" t="s">
        <v>91</v>
      </c>
      <c r="F1480" t="s">
        <v>34</v>
      </c>
      <c r="G1480" t="s">
        <v>35</v>
      </c>
      <c r="H1480" t="s">
        <v>88</v>
      </c>
      <c r="I1480" t="s">
        <v>39</v>
      </c>
      <c r="J1480" t="s">
        <v>37</v>
      </c>
      <c r="K1480" s="4">
        <v>45884</v>
      </c>
      <c r="L1480" s="4">
        <v>46064</v>
      </c>
      <c r="M1480" t="s">
        <v>38</v>
      </c>
      <c r="N1480" t="s">
        <v>49</v>
      </c>
      <c r="O1480">
        <v>2</v>
      </c>
      <c r="P1480" t="s">
        <v>111</v>
      </c>
      <c r="Q1480" s="4">
        <v>46184</v>
      </c>
      <c r="R1480" t="s">
        <v>38</v>
      </c>
      <c r="S1480" t="s">
        <v>38</v>
      </c>
      <c r="T1480" t="s">
        <v>3153</v>
      </c>
      <c r="U1480" t="s">
        <v>49</v>
      </c>
      <c r="V1480" t="s">
        <v>3154</v>
      </c>
    </row>
    <row r="1481" spans="1:22" x14ac:dyDescent="0.2">
      <c r="A1481" t="s">
        <v>3026</v>
      </c>
      <c r="B1481" t="s">
        <v>3027</v>
      </c>
      <c r="C1481" t="s">
        <v>31</v>
      </c>
      <c r="D1481" t="s">
        <v>87</v>
      </c>
      <c r="E1481" t="s">
        <v>80</v>
      </c>
      <c r="F1481" t="s">
        <v>45</v>
      </c>
      <c r="G1481" t="s">
        <v>61</v>
      </c>
      <c r="H1481" t="s">
        <v>88</v>
      </c>
      <c r="I1481" t="s">
        <v>56</v>
      </c>
      <c r="J1481" t="s">
        <v>63</v>
      </c>
      <c r="K1481" s="4">
        <v>46243</v>
      </c>
      <c r="L1481" s="4">
        <v>46423</v>
      </c>
      <c r="M1481" t="s">
        <v>69</v>
      </c>
      <c r="N1481" t="s">
        <v>75</v>
      </c>
      <c r="O1481">
        <v>0</v>
      </c>
      <c r="P1481" t="s">
        <v>111</v>
      </c>
      <c r="Q1481" s="4">
        <v>46402</v>
      </c>
      <c r="R1481" t="s">
        <v>57</v>
      </c>
      <c r="S1481" t="s">
        <v>3155</v>
      </c>
      <c r="T1481" t="s">
        <v>3153</v>
      </c>
      <c r="U1481" t="s">
        <v>75</v>
      </c>
      <c r="V1481" t="s">
        <v>3154</v>
      </c>
    </row>
    <row r="1482" spans="1:22" x14ac:dyDescent="0.2">
      <c r="A1482" t="s">
        <v>3028</v>
      </c>
      <c r="B1482" t="s">
        <v>3029</v>
      </c>
      <c r="C1482" t="s">
        <v>31</v>
      </c>
      <c r="D1482" t="s">
        <v>32</v>
      </c>
      <c r="E1482" t="s">
        <v>53</v>
      </c>
      <c r="F1482" t="s">
        <v>67</v>
      </c>
      <c r="G1482" t="s">
        <v>118</v>
      </c>
      <c r="H1482" t="s">
        <v>88</v>
      </c>
      <c r="I1482" t="s">
        <v>56</v>
      </c>
      <c r="J1482" t="s">
        <v>37</v>
      </c>
      <c r="K1482" s="4">
        <v>46068</v>
      </c>
      <c r="L1482" s="4">
        <v>46248</v>
      </c>
      <c r="M1482" t="s">
        <v>38</v>
      </c>
      <c r="N1482" t="s">
        <v>55</v>
      </c>
      <c r="O1482">
        <v>1</v>
      </c>
      <c r="P1482" t="s">
        <v>54</v>
      </c>
      <c r="Q1482" s="4">
        <v>46373</v>
      </c>
      <c r="R1482" t="s">
        <v>84</v>
      </c>
      <c r="S1482" t="s">
        <v>38</v>
      </c>
      <c r="T1482" t="s">
        <v>3153</v>
      </c>
      <c r="U1482" t="s">
        <v>55</v>
      </c>
      <c r="V1482" t="s">
        <v>3154</v>
      </c>
    </row>
    <row r="1483" spans="1:22" x14ac:dyDescent="0.2">
      <c r="A1483" t="s">
        <v>3030</v>
      </c>
      <c r="B1483" t="s">
        <v>3031</v>
      </c>
      <c r="C1483" t="s">
        <v>42</v>
      </c>
      <c r="D1483" t="s">
        <v>43</v>
      </c>
      <c r="E1483" t="s">
        <v>60</v>
      </c>
      <c r="F1483" t="s">
        <v>67</v>
      </c>
      <c r="G1483" t="s">
        <v>118</v>
      </c>
      <c r="H1483" t="s">
        <v>98</v>
      </c>
      <c r="I1483" t="s">
        <v>106</v>
      </c>
      <c r="J1483" t="s">
        <v>37</v>
      </c>
      <c r="K1483" s="4">
        <v>46170</v>
      </c>
      <c r="L1483" s="4">
        <v>46350</v>
      </c>
      <c r="M1483" t="s">
        <v>84</v>
      </c>
      <c r="N1483" t="s">
        <v>75</v>
      </c>
      <c r="O1483">
        <v>2</v>
      </c>
      <c r="P1483" t="s">
        <v>39</v>
      </c>
      <c r="Q1483" s="4">
        <v>46414</v>
      </c>
      <c r="R1483" t="s">
        <v>84</v>
      </c>
      <c r="S1483" t="s">
        <v>3155</v>
      </c>
      <c r="T1483" t="s">
        <v>3153</v>
      </c>
      <c r="U1483" t="s">
        <v>75</v>
      </c>
      <c r="V1483" t="s">
        <v>3152</v>
      </c>
    </row>
    <row r="1484" spans="1:22" x14ac:dyDescent="0.2">
      <c r="A1484" t="s">
        <v>3032</v>
      </c>
      <c r="B1484" t="s">
        <v>3033</v>
      </c>
      <c r="C1484" t="s">
        <v>31</v>
      </c>
      <c r="D1484" t="s">
        <v>87</v>
      </c>
      <c r="E1484" t="s">
        <v>91</v>
      </c>
      <c r="F1484" t="s">
        <v>34</v>
      </c>
      <c r="G1484" t="s">
        <v>35</v>
      </c>
      <c r="H1484" t="s">
        <v>88</v>
      </c>
      <c r="I1484" t="s">
        <v>62</v>
      </c>
      <c r="J1484" t="s">
        <v>37</v>
      </c>
      <c r="K1484" s="4">
        <v>45827</v>
      </c>
      <c r="L1484" s="4">
        <v>45917</v>
      </c>
      <c r="M1484" t="s">
        <v>38</v>
      </c>
      <c r="N1484" t="s">
        <v>75</v>
      </c>
      <c r="O1484">
        <v>1</v>
      </c>
      <c r="P1484" t="s">
        <v>50</v>
      </c>
      <c r="Q1484" s="4">
        <v>46175</v>
      </c>
      <c r="R1484" t="s">
        <v>38</v>
      </c>
      <c r="S1484" t="s">
        <v>38</v>
      </c>
      <c r="T1484" t="s">
        <v>3153</v>
      </c>
      <c r="U1484" t="s">
        <v>75</v>
      </c>
      <c r="V1484" t="s">
        <v>3154</v>
      </c>
    </row>
    <row r="1485" spans="1:22" x14ac:dyDescent="0.2">
      <c r="A1485" t="s">
        <v>3034</v>
      </c>
      <c r="B1485" t="s">
        <v>3035</v>
      </c>
      <c r="C1485" t="s">
        <v>103</v>
      </c>
      <c r="D1485" t="s">
        <v>104</v>
      </c>
      <c r="E1485" t="s">
        <v>80</v>
      </c>
      <c r="F1485" t="s">
        <v>67</v>
      </c>
      <c r="G1485" t="s">
        <v>68</v>
      </c>
      <c r="H1485" t="s">
        <v>88</v>
      </c>
      <c r="I1485" t="s">
        <v>39</v>
      </c>
      <c r="J1485" t="s">
        <v>63</v>
      </c>
      <c r="K1485" s="4">
        <v>46266</v>
      </c>
      <c r="L1485" s="4">
        <v>46631</v>
      </c>
      <c r="M1485" t="s">
        <v>64</v>
      </c>
      <c r="N1485" t="s">
        <v>49</v>
      </c>
      <c r="O1485">
        <v>2</v>
      </c>
      <c r="P1485" t="s">
        <v>54</v>
      </c>
      <c r="Q1485" s="4">
        <v>46298</v>
      </c>
      <c r="R1485" t="s">
        <v>84</v>
      </c>
      <c r="S1485" t="s">
        <v>3155</v>
      </c>
      <c r="T1485" t="s">
        <v>3153</v>
      </c>
      <c r="U1485" t="s">
        <v>49</v>
      </c>
      <c r="V1485" t="s">
        <v>3154</v>
      </c>
    </row>
    <row r="1486" spans="1:22" x14ac:dyDescent="0.2">
      <c r="A1486" t="s">
        <v>3036</v>
      </c>
      <c r="B1486" t="s">
        <v>3037</v>
      </c>
      <c r="C1486" t="s">
        <v>73</v>
      </c>
      <c r="D1486" t="s">
        <v>74</v>
      </c>
      <c r="E1486" t="s">
        <v>53</v>
      </c>
      <c r="F1486" t="s">
        <v>34</v>
      </c>
      <c r="G1486" t="s">
        <v>35</v>
      </c>
      <c r="H1486" t="s">
        <v>88</v>
      </c>
      <c r="I1486" t="s">
        <v>54</v>
      </c>
      <c r="J1486" t="s">
        <v>48</v>
      </c>
      <c r="K1486" s="4">
        <v>45959</v>
      </c>
      <c r="L1486" s="4">
        <v>46324</v>
      </c>
      <c r="M1486" t="s">
        <v>69</v>
      </c>
      <c r="N1486" t="s">
        <v>49</v>
      </c>
      <c r="O1486">
        <v>0</v>
      </c>
      <c r="P1486" t="s">
        <v>39</v>
      </c>
      <c r="Q1486" s="4">
        <v>46398</v>
      </c>
      <c r="R1486" t="s">
        <v>57</v>
      </c>
      <c r="S1486" t="s">
        <v>3155</v>
      </c>
      <c r="T1486" t="s">
        <v>3153</v>
      </c>
      <c r="U1486" t="s">
        <v>49</v>
      </c>
      <c r="V1486" t="s">
        <v>3154</v>
      </c>
    </row>
    <row r="1487" spans="1:22" x14ac:dyDescent="0.2">
      <c r="A1487" t="s">
        <v>3038</v>
      </c>
      <c r="B1487" t="s">
        <v>3039</v>
      </c>
      <c r="C1487" t="s">
        <v>78</v>
      </c>
      <c r="D1487" t="s">
        <v>79</v>
      </c>
      <c r="E1487" t="s">
        <v>53</v>
      </c>
      <c r="F1487" t="s">
        <v>45</v>
      </c>
      <c r="G1487" t="s">
        <v>61</v>
      </c>
      <c r="H1487" t="s">
        <v>36</v>
      </c>
      <c r="I1487" t="s">
        <v>39</v>
      </c>
      <c r="J1487" t="s">
        <v>63</v>
      </c>
      <c r="K1487" s="4">
        <v>46275</v>
      </c>
      <c r="L1487" s="4">
        <v>46365</v>
      </c>
      <c r="M1487" t="s">
        <v>64</v>
      </c>
      <c r="N1487" t="s">
        <v>75</v>
      </c>
      <c r="O1487">
        <v>5</v>
      </c>
      <c r="P1487" t="s">
        <v>106</v>
      </c>
      <c r="Q1487" s="4">
        <v>46314</v>
      </c>
      <c r="R1487" t="s">
        <v>84</v>
      </c>
      <c r="S1487" t="s">
        <v>3155</v>
      </c>
      <c r="T1487" t="s">
        <v>3153</v>
      </c>
      <c r="U1487" t="s">
        <v>75</v>
      </c>
      <c r="V1487" t="s">
        <v>3152</v>
      </c>
    </row>
    <row r="1488" spans="1:22" x14ac:dyDescent="0.2">
      <c r="A1488" t="s">
        <v>3040</v>
      </c>
      <c r="B1488" t="s">
        <v>3041</v>
      </c>
      <c r="C1488" t="s">
        <v>103</v>
      </c>
      <c r="D1488" t="s">
        <v>104</v>
      </c>
      <c r="E1488" t="s">
        <v>105</v>
      </c>
      <c r="F1488" t="s">
        <v>34</v>
      </c>
      <c r="G1488" t="s">
        <v>35</v>
      </c>
      <c r="H1488" t="s">
        <v>36</v>
      </c>
      <c r="I1488" t="s">
        <v>106</v>
      </c>
      <c r="J1488" t="s">
        <v>37</v>
      </c>
      <c r="K1488" s="4">
        <v>46077</v>
      </c>
      <c r="L1488" s="4">
        <v>46257</v>
      </c>
      <c r="M1488" t="s">
        <v>38</v>
      </c>
      <c r="N1488" t="s">
        <v>55</v>
      </c>
      <c r="O1488">
        <v>4</v>
      </c>
      <c r="P1488" t="s">
        <v>56</v>
      </c>
      <c r="Q1488" s="4">
        <v>46248</v>
      </c>
      <c r="R1488" t="s">
        <v>38</v>
      </c>
      <c r="S1488" t="s">
        <v>38</v>
      </c>
      <c r="T1488" t="s">
        <v>3153</v>
      </c>
      <c r="U1488" t="s">
        <v>55</v>
      </c>
      <c r="V1488" t="s">
        <v>3152</v>
      </c>
    </row>
    <row r="1489" spans="1:22" x14ac:dyDescent="0.2">
      <c r="A1489" t="s">
        <v>3042</v>
      </c>
      <c r="B1489" t="s">
        <v>3043</v>
      </c>
      <c r="C1489" t="s">
        <v>96</v>
      </c>
      <c r="D1489" t="s">
        <v>97</v>
      </c>
      <c r="E1489" t="s">
        <v>60</v>
      </c>
      <c r="F1489" t="s">
        <v>67</v>
      </c>
      <c r="G1489" t="s">
        <v>118</v>
      </c>
      <c r="H1489" t="s">
        <v>47</v>
      </c>
      <c r="I1489" t="s">
        <v>111</v>
      </c>
      <c r="J1489" t="s">
        <v>37</v>
      </c>
      <c r="K1489" s="4">
        <v>45808</v>
      </c>
      <c r="L1489" s="4">
        <v>46173</v>
      </c>
      <c r="M1489" t="s">
        <v>38</v>
      </c>
      <c r="N1489" t="s">
        <v>55</v>
      </c>
      <c r="O1489">
        <v>0</v>
      </c>
      <c r="P1489" t="s">
        <v>39</v>
      </c>
      <c r="Q1489" s="4">
        <v>46386</v>
      </c>
      <c r="R1489" t="s">
        <v>57</v>
      </c>
      <c r="S1489" t="s">
        <v>38</v>
      </c>
      <c r="T1489" t="s">
        <v>3153</v>
      </c>
      <c r="U1489" t="s">
        <v>55</v>
      </c>
      <c r="V1489" t="s">
        <v>3154</v>
      </c>
    </row>
    <row r="1490" spans="1:22" x14ac:dyDescent="0.2">
      <c r="A1490" t="s">
        <v>3044</v>
      </c>
      <c r="B1490" t="s">
        <v>3045</v>
      </c>
      <c r="C1490" t="s">
        <v>42</v>
      </c>
      <c r="D1490" t="s">
        <v>43</v>
      </c>
      <c r="E1490" t="s">
        <v>91</v>
      </c>
      <c r="F1490" t="s">
        <v>45</v>
      </c>
      <c r="G1490" t="s">
        <v>46</v>
      </c>
      <c r="H1490" t="s">
        <v>36</v>
      </c>
      <c r="I1490" t="s">
        <v>62</v>
      </c>
      <c r="J1490" t="s">
        <v>63</v>
      </c>
      <c r="K1490" s="4">
        <v>46085</v>
      </c>
      <c r="L1490" s="4">
        <v>46450</v>
      </c>
      <c r="M1490" t="s">
        <v>64</v>
      </c>
      <c r="N1490" t="s">
        <v>55</v>
      </c>
      <c r="O1490">
        <v>2</v>
      </c>
      <c r="P1490" t="s">
        <v>39</v>
      </c>
      <c r="Q1490" s="4">
        <v>46266</v>
      </c>
      <c r="R1490" t="s">
        <v>64</v>
      </c>
      <c r="S1490" t="s">
        <v>3155</v>
      </c>
      <c r="T1490" t="s">
        <v>3153</v>
      </c>
      <c r="U1490" t="s">
        <v>55</v>
      </c>
      <c r="V1490" t="s">
        <v>3152</v>
      </c>
    </row>
    <row r="1491" spans="1:22" x14ac:dyDescent="0.2">
      <c r="A1491" t="s">
        <v>3046</v>
      </c>
      <c r="B1491" t="s">
        <v>3047</v>
      </c>
      <c r="C1491" t="s">
        <v>78</v>
      </c>
      <c r="D1491" t="s">
        <v>79</v>
      </c>
      <c r="E1491" t="s">
        <v>53</v>
      </c>
      <c r="F1491" t="s">
        <v>67</v>
      </c>
      <c r="G1491" t="s">
        <v>118</v>
      </c>
      <c r="H1491" t="s">
        <v>88</v>
      </c>
      <c r="I1491" t="s">
        <v>62</v>
      </c>
      <c r="J1491" t="s">
        <v>48</v>
      </c>
      <c r="K1491" s="4">
        <v>45989</v>
      </c>
      <c r="L1491" s="4">
        <v>46169</v>
      </c>
      <c r="M1491" t="s">
        <v>38</v>
      </c>
      <c r="N1491" t="s">
        <v>75</v>
      </c>
      <c r="O1491">
        <v>1</v>
      </c>
      <c r="P1491" t="s">
        <v>70</v>
      </c>
      <c r="Q1491" s="4">
        <v>46269</v>
      </c>
      <c r="R1491" t="s">
        <v>38</v>
      </c>
      <c r="S1491" t="s">
        <v>38</v>
      </c>
      <c r="T1491" t="s">
        <v>3153</v>
      </c>
      <c r="U1491" t="s">
        <v>75</v>
      </c>
      <c r="V1491" t="s">
        <v>3154</v>
      </c>
    </row>
    <row r="1492" spans="1:22" x14ac:dyDescent="0.2">
      <c r="A1492" t="s">
        <v>3048</v>
      </c>
      <c r="B1492" t="s">
        <v>3049</v>
      </c>
      <c r="C1492" t="s">
        <v>73</v>
      </c>
      <c r="D1492" t="s">
        <v>74</v>
      </c>
      <c r="E1492" t="s">
        <v>60</v>
      </c>
      <c r="F1492" t="s">
        <v>67</v>
      </c>
      <c r="G1492" t="s">
        <v>118</v>
      </c>
      <c r="H1492" t="s">
        <v>88</v>
      </c>
      <c r="I1492" t="s">
        <v>111</v>
      </c>
      <c r="J1492" t="s">
        <v>48</v>
      </c>
      <c r="K1492" s="4">
        <v>46205</v>
      </c>
      <c r="L1492" s="4">
        <v>46385</v>
      </c>
      <c r="M1492" t="s">
        <v>84</v>
      </c>
      <c r="N1492" t="s">
        <v>55</v>
      </c>
      <c r="O1492">
        <v>1</v>
      </c>
      <c r="P1492" t="s">
        <v>56</v>
      </c>
      <c r="Q1492" s="4">
        <v>46178</v>
      </c>
      <c r="R1492" t="s">
        <v>38</v>
      </c>
      <c r="S1492" t="s">
        <v>3155</v>
      </c>
      <c r="T1492" t="s">
        <v>3153</v>
      </c>
      <c r="U1492" t="s">
        <v>55</v>
      </c>
      <c r="V1492" t="s">
        <v>3154</v>
      </c>
    </row>
    <row r="1493" spans="1:22" x14ac:dyDescent="0.2">
      <c r="A1493" t="s">
        <v>3050</v>
      </c>
      <c r="B1493" t="s">
        <v>3051</v>
      </c>
      <c r="C1493" t="s">
        <v>103</v>
      </c>
      <c r="D1493" t="s">
        <v>104</v>
      </c>
      <c r="E1493" t="s">
        <v>53</v>
      </c>
      <c r="F1493" t="s">
        <v>67</v>
      </c>
      <c r="G1493" t="s">
        <v>68</v>
      </c>
      <c r="H1493" t="s">
        <v>88</v>
      </c>
      <c r="I1493" t="s">
        <v>111</v>
      </c>
      <c r="J1493" t="s">
        <v>37</v>
      </c>
      <c r="K1493" s="4">
        <v>45814</v>
      </c>
      <c r="L1493" s="4">
        <v>45994</v>
      </c>
      <c r="M1493" t="s">
        <v>38</v>
      </c>
      <c r="N1493" t="s">
        <v>75</v>
      </c>
      <c r="O1493">
        <v>2</v>
      </c>
      <c r="P1493" t="s">
        <v>106</v>
      </c>
      <c r="Q1493" s="4">
        <v>46281</v>
      </c>
      <c r="R1493" t="s">
        <v>38</v>
      </c>
      <c r="S1493" t="s">
        <v>38</v>
      </c>
      <c r="T1493" t="s">
        <v>3153</v>
      </c>
      <c r="U1493" t="s">
        <v>75</v>
      </c>
      <c r="V1493" t="s">
        <v>3154</v>
      </c>
    </row>
    <row r="1494" spans="1:22" x14ac:dyDescent="0.2">
      <c r="A1494" t="s">
        <v>3052</v>
      </c>
      <c r="B1494" t="s">
        <v>3053</v>
      </c>
      <c r="C1494" t="s">
        <v>31</v>
      </c>
      <c r="D1494" t="s">
        <v>83</v>
      </c>
      <c r="E1494" t="s">
        <v>44</v>
      </c>
      <c r="F1494" t="s">
        <v>45</v>
      </c>
      <c r="G1494" t="s">
        <v>46</v>
      </c>
      <c r="H1494" t="s">
        <v>88</v>
      </c>
      <c r="I1494" t="s">
        <v>106</v>
      </c>
      <c r="J1494" t="s">
        <v>63</v>
      </c>
      <c r="K1494" s="4">
        <v>46272</v>
      </c>
      <c r="L1494" s="4">
        <v>46452</v>
      </c>
      <c r="M1494" t="s">
        <v>84</v>
      </c>
      <c r="N1494" t="s">
        <v>75</v>
      </c>
      <c r="O1494">
        <v>2</v>
      </c>
      <c r="P1494" t="s">
        <v>39</v>
      </c>
      <c r="Q1494" s="4">
        <v>46293</v>
      </c>
      <c r="R1494" t="s">
        <v>64</v>
      </c>
      <c r="S1494" t="s">
        <v>3155</v>
      </c>
      <c r="T1494" t="s">
        <v>3153</v>
      </c>
      <c r="U1494" t="s">
        <v>75</v>
      </c>
      <c r="V1494" t="s">
        <v>3154</v>
      </c>
    </row>
    <row r="1495" spans="1:22" x14ac:dyDescent="0.2">
      <c r="A1495" t="s">
        <v>3054</v>
      </c>
      <c r="B1495" t="s">
        <v>3055</v>
      </c>
      <c r="C1495" t="s">
        <v>78</v>
      </c>
      <c r="D1495" t="s">
        <v>79</v>
      </c>
      <c r="E1495" t="s">
        <v>80</v>
      </c>
      <c r="F1495" t="s">
        <v>45</v>
      </c>
      <c r="G1495" t="s">
        <v>46</v>
      </c>
      <c r="H1495" t="s">
        <v>47</v>
      </c>
      <c r="I1495" t="s">
        <v>50</v>
      </c>
      <c r="J1495" t="s">
        <v>37</v>
      </c>
      <c r="K1495" s="4">
        <v>46229</v>
      </c>
      <c r="L1495" s="4">
        <v>46319</v>
      </c>
      <c r="M1495" t="s">
        <v>69</v>
      </c>
      <c r="N1495" t="s">
        <v>55</v>
      </c>
      <c r="O1495">
        <v>1</v>
      </c>
      <c r="P1495" t="s">
        <v>54</v>
      </c>
      <c r="Q1495" s="4">
        <v>46352</v>
      </c>
      <c r="R1495" t="s">
        <v>84</v>
      </c>
      <c r="S1495" t="s">
        <v>3155</v>
      </c>
      <c r="T1495" t="s">
        <v>3153</v>
      </c>
      <c r="U1495" t="s">
        <v>55</v>
      </c>
      <c r="V1495" t="s">
        <v>3154</v>
      </c>
    </row>
    <row r="1496" spans="1:22" x14ac:dyDescent="0.2">
      <c r="A1496" t="s">
        <v>3056</v>
      </c>
      <c r="B1496" t="s">
        <v>3057</v>
      </c>
      <c r="C1496" t="s">
        <v>42</v>
      </c>
      <c r="D1496" t="s">
        <v>43</v>
      </c>
      <c r="E1496" t="s">
        <v>60</v>
      </c>
      <c r="F1496" t="s">
        <v>34</v>
      </c>
      <c r="G1496" t="s">
        <v>35</v>
      </c>
      <c r="H1496" t="s">
        <v>88</v>
      </c>
      <c r="I1496" t="s">
        <v>106</v>
      </c>
      <c r="J1496" t="s">
        <v>63</v>
      </c>
      <c r="K1496" s="4">
        <v>45992</v>
      </c>
      <c r="L1496" s="4">
        <v>46172</v>
      </c>
      <c r="M1496" t="s">
        <v>38</v>
      </c>
      <c r="O1496">
        <v>1</v>
      </c>
      <c r="P1496" t="s">
        <v>106</v>
      </c>
      <c r="Q1496" s="4">
        <v>46207</v>
      </c>
      <c r="R1496" t="s">
        <v>38</v>
      </c>
      <c r="S1496" t="s">
        <v>38</v>
      </c>
      <c r="T1496" t="s">
        <v>3153</v>
      </c>
      <c r="U1496" t="s">
        <v>3151</v>
      </c>
      <c r="V1496" t="s">
        <v>3154</v>
      </c>
    </row>
    <row r="1497" spans="1:22" x14ac:dyDescent="0.2">
      <c r="A1497" t="s">
        <v>3058</v>
      </c>
      <c r="B1497" t="s">
        <v>3059</v>
      </c>
      <c r="C1497" t="s">
        <v>31</v>
      </c>
      <c r="D1497" t="s">
        <v>32</v>
      </c>
      <c r="E1497" t="s">
        <v>105</v>
      </c>
      <c r="F1497" t="s">
        <v>45</v>
      </c>
      <c r="G1497" t="s">
        <v>61</v>
      </c>
      <c r="H1497" t="s">
        <v>88</v>
      </c>
      <c r="I1497" t="s">
        <v>106</v>
      </c>
      <c r="J1497" t="s">
        <v>37</v>
      </c>
      <c r="K1497" s="4">
        <v>46025</v>
      </c>
      <c r="L1497" s="4">
        <v>46205</v>
      </c>
      <c r="M1497" t="s">
        <v>38</v>
      </c>
      <c r="N1497" t="s">
        <v>49</v>
      </c>
      <c r="O1497">
        <v>0</v>
      </c>
      <c r="P1497" t="s">
        <v>39</v>
      </c>
      <c r="Q1497" s="4">
        <v>46344</v>
      </c>
      <c r="R1497" t="s">
        <v>57</v>
      </c>
      <c r="S1497" t="s">
        <v>38</v>
      </c>
      <c r="T1497" t="s">
        <v>3153</v>
      </c>
      <c r="U1497" t="s">
        <v>49</v>
      </c>
      <c r="V1497" t="s">
        <v>3154</v>
      </c>
    </row>
    <row r="1498" spans="1:22" x14ac:dyDescent="0.2">
      <c r="A1498" t="s">
        <v>3060</v>
      </c>
      <c r="B1498" t="s">
        <v>3061</v>
      </c>
      <c r="C1498" t="s">
        <v>103</v>
      </c>
      <c r="D1498" t="s">
        <v>104</v>
      </c>
      <c r="E1498" t="s">
        <v>53</v>
      </c>
      <c r="F1498" t="s">
        <v>34</v>
      </c>
      <c r="G1498" t="s">
        <v>35</v>
      </c>
      <c r="H1498" t="s">
        <v>88</v>
      </c>
      <c r="I1498" t="s">
        <v>70</v>
      </c>
      <c r="J1498" t="s">
        <v>48</v>
      </c>
      <c r="K1498" s="4">
        <v>46143</v>
      </c>
      <c r="L1498" s="4">
        <v>46323</v>
      </c>
      <c r="M1498" t="s">
        <v>64</v>
      </c>
      <c r="N1498" t="s">
        <v>75</v>
      </c>
      <c r="O1498">
        <v>3</v>
      </c>
      <c r="P1498" t="s">
        <v>56</v>
      </c>
      <c r="Q1498" s="4">
        <v>46232</v>
      </c>
      <c r="R1498" t="s">
        <v>38</v>
      </c>
      <c r="S1498" t="s">
        <v>3155</v>
      </c>
      <c r="T1498" t="s">
        <v>3153</v>
      </c>
      <c r="U1498" t="s">
        <v>75</v>
      </c>
      <c r="V1498" t="s">
        <v>3154</v>
      </c>
    </row>
    <row r="1499" spans="1:22" x14ac:dyDescent="0.2">
      <c r="A1499" t="s">
        <v>3062</v>
      </c>
      <c r="B1499" t="s">
        <v>3063</v>
      </c>
      <c r="C1499" t="s">
        <v>103</v>
      </c>
      <c r="D1499" t="s">
        <v>104</v>
      </c>
      <c r="E1499" t="s">
        <v>105</v>
      </c>
      <c r="F1499" t="s">
        <v>67</v>
      </c>
      <c r="G1499" t="s">
        <v>118</v>
      </c>
      <c r="H1499" t="s">
        <v>36</v>
      </c>
      <c r="I1499" t="s">
        <v>111</v>
      </c>
      <c r="J1499" t="s">
        <v>37</v>
      </c>
      <c r="K1499" s="4">
        <v>46215</v>
      </c>
      <c r="L1499" s="4">
        <v>46395</v>
      </c>
      <c r="M1499" t="s">
        <v>69</v>
      </c>
      <c r="N1499" t="s">
        <v>55</v>
      </c>
      <c r="O1499">
        <v>2</v>
      </c>
      <c r="P1499" t="s">
        <v>54</v>
      </c>
      <c r="Q1499" s="4">
        <v>46263</v>
      </c>
      <c r="R1499" t="s">
        <v>38</v>
      </c>
      <c r="S1499" t="s">
        <v>3155</v>
      </c>
      <c r="T1499" t="s">
        <v>3153</v>
      </c>
      <c r="U1499" t="s">
        <v>55</v>
      </c>
      <c r="V1499" t="s">
        <v>3152</v>
      </c>
    </row>
    <row r="1500" spans="1:22" x14ac:dyDescent="0.2">
      <c r="A1500" t="s">
        <v>3064</v>
      </c>
      <c r="B1500" t="s">
        <v>3065</v>
      </c>
      <c r="C1500" t="s">
        <v>31</v>
      </c>
      <c r="D1500" t="s">
        <v>83</v>
      </c>
      <c r="E1500" t="s">
        <v>44</v>
      </c>
      <c r="F1500" t="s">
        <v>67</v>
      </c>
      <c r="G1500" t="s">
        <v>68</v>
      </c>
      <c r="H1500" t="s">
        <v>47</v>
      </c>
      <c r="I1500" t="s">
        <v>54</v>
      </c>
      <c r="J1500" t="s">
        <v>48</v>
      </c>
      <c r="K1500" s="4">
        <v>46060</v>
      </c>
      <c r="L1500" s="4">
        <v>46150</v>
      </c>
      <c r="M1500" t="s">
        <v>38</v>
      </c>
      <c r="N1500" t="s">
        <v>55</v>
      </c>
      <c r="O1500">
        <v>1</v>
      </c>
      <c r="P1500" t="s">
        <v>111</v>
      </c>
      <c r="Q1500" s="4">
        <v>46237</v>
      </c>
      <c r="R1500" t="s">
        <v>38</v>
      </c>
      <c r="S1500" t="s">
        <v>38</v>
      </c>
      <c r="T1500" t="s">
        <v>3153</v>
      </c>
      <c r="U1500" t="s">
        <v>55</v>
      </c>
      <c r="V1500" t="s">
        <v>3154</v>
      </c>
    </row>
    <row r="1501" spans="1:22" x14ac:dyDescent="0.2">
      <c r="A1501" t="s">
        <v>3066</v>
      </c>
      <c r="B1501" t="s">
        <v>3067</v>
      </c>
      <c r="C1501" t="s">
        <v>73</v>
      </c>
      <c r="D1501" t="s">
        <v>74</v>
      </c>
      <c r="E1501" t="s">
        <v>60</v>
      </c>
      <c r="F1501" t="s">
        <v>34</v>
      </c>
      <c r="G1501" t="s">
        <v>35</v>
      </c>
      <c r="H1501" t="s">
        <v>47</v>
      </c>
      <c r="I1501" t="s">
        <v>50</v>
      </c>
      <c r="J1501" t="s">
        <v>48</v>
      </c>
      <c r="K1501" s="4">
        <v>46030</v>
      </c>
      <c r="L1501" s="4">
        <v>46395</v>
      </c>
      <c r="M1501" t="s">
        <v>64</v>
      </c>
      <c r="N1501" t="s">
        <v>55</v>
      </c>
      <c r="O1501">
        <v>2</v>
      </c>
      <c r="P1501" t="s">
        <v>106</v>
      </c>
      <c r="Q1501" s="4">
        <v>46399</v>
      </c>
      <c r="R1501" t="s">
        <v>84</v>
      </c>
      <c r="S1501" t="s">
        <v>3155</v>
      </c>
      <c r="T1501" t="s">
        <v>3153</v>
      </c>
      <c r="U1501" t="s">
        <v>55</v>
      </c>
      <c r="V1501" t="s">
        <v>3154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52FE7-092C-D743-89BA-A8A8757B6CDA}">
  <dimension ref="A1:A3"/>
  <sheetViews>
    <sheetView showGridLines="0" tabSelected="1" zoomScale="103" zoomScaleNormal="103" workbookViewId="0">
      <selection activeCell="P38" sqref="P38"/>
    </sheetView>
  </sheetViews>
  <sheetFormatPr baseColWidth="10" defaultRowHeight="15" x14ac:dyDescent="0.2"/>
  <sheetData>
    <row r="1" spans="1:1" ht="24" x14ac:dyDescent="0.3">
      <c r="A1" s="18" t="s">
        <v>3163</v>
      </c>
    </row>
    <row r="2" spans="1:1" ht="19" x14ac:dyDescent="0.25">
      <c r="A2" s="19" t="s">
        <v>3164</v>
      </c>
    </row>
    <row r="3" spans="1:1" ht="18" x14ac:dyDescent="0.25">
      <c r="A3" s="20" t="s">
        <v>3165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504"/>
  <sheetViews>
    <sheetView workbookViewId="0">
      <pane ySplit="4" topLeftCell="A5" activePane="bottomLeft" state="frozen"/>
      <selection pane="bottomLeft" activeCell="E14" sqref="E14"/>
    </sheetView>
  </sheetViews>
  <sheetFormatPr baseColWidth="10" defaultColWidth="8.83203125" defaultRowHeight="15" x14ac:dyDescent="0.2"/>
  <cols>
    <col min="1" max="1" width="16" customWidth="1"/>
    <col min="2" max="2" width="32" customWidth="1"/>
    <col min="3" max="18" width="16" customWidth="1"/>
  </cols>
  <sheetData>
    <row r="1" spans="1:18" ht="28" customHeight="1" x14ac:dyDescent="0.2">
      <c r="A1" s="5" t="s">
        <v>10</v>
      </c>
      <c r="B1" s="6"/>
      <c r="C1" s="6"/>
      <c r="D1" s="6"/>
      <c r="E1" s="6"/>
      <c r="F1" s="6"/>
      <c r="G1" s="6"/>
      <c r="H1" s="6"/>
      <c r="I1" s="6"/>
      <c r="J1" s="6"/>
      <c r="K1" s="6"/>
      <c r="L1" s="6"/>
      <c r="M1" s="6"/>
      <c r="N1" s="6"/>
      <c r="O1" s="6"/>
      <c r="P1" s="6"/>
      <c r="Q1" s="6"/>
      <c r="R1" s="6"/>
    </row>
    <row r="4" spans="1:18" ht="32" x14ac:dyDescent="0.2">
      <c r="A4" s="3" t="s">
        <v>11</v>
      </c>
      <c r="B4" s="3" t="s">
        <v>12</v>
      </c>
      <c r="C4" s="3" t="s">
        <v>13</v>
      </c>
      <c r="D4" s="3" t="s">
        <v>14</v>
      </c>
      <c r="E4" s="3" t="s">
        <v>15</v>
      </c>
      <c r="F4" s="3" t="s">
        <v>16</v>
      </c>
      <c r="G4" s="3" t="s">
        <v>17</v>
      </c>
      <c r="H4" s="3" t="s">
        <v>18</v>
      </c>
      <c r="I4" s="3" t="s">
        <v>19</v>
      </c>
      <c r="J4" s="3" t="s">
        <v>20</v>
      </c>
      <c r="K4" s="3" t="s">
        <v>21</v>
      </c>
      <c r="L4" s="3" t="s">
        <v>22</v>
      </c>
      <c r="M4" s="3" t="s">
        <v>23</v>
      </c>
      <c r="N4" s="3" t="s">
        <v>24</v>
      </c>
      <c r="O4" s="3" t="s">
        <v>25</v>
      </c>
      <c r="P4" s="3" t="s">
        <v>26</v>
      </c>
      <c r="Q4" s="3" t="s">
        <v>27</v>
      </c>
      <c r="R4" s="3" t="s">
        <v>28</v>
      </c>
    </row>
    <row r="5" spans="1:18" x14ac:dyDescent="0.2">
      <c r="A5" t="s">
        <v>29</v>
      </c>
      <c r="B5" t="s">
        <v>30</v>
      </c>
      <c r="C5" t="s">
        <v>31</v>
      </c>
      <c r="D5" t="s">
        <v>32</v>
      </c>
      <c r="E5" t="s">
        <v>33</v>
      </c>
      <c r="F5" t="s">
        <v>34</v>
      </c>
      <c r="G5" t="s">
        <v>35</v>
      </c>
      <c r="H5" t="s">
        <v>36</v>
      </c>
      <c r="J5" t="s">
        <v>37</v>
      </c>
      <c r="K5" s="2">
        <v>46150</v>
      </c>
      <c r="L5" s="2">
        <v>46240</v>
      </c>
      <c r="M5" t="s">
        <v>38</v>
      </c>
      <c r="O5">
        <v>1</v>
      </c>
      <c r="P5" t="s">
        <v>39</v>
      </c>
      <c r="Q5" s="2">
        <v>46167</v>
      </c>
      <c r="R5" t="s">
        <v>38</v>
      </c>
    </row>
    <row r="6" spans="1:18" x14ac:dyDescent="0.2">
      <c r="A6" t="s">
        <v>40</v>
      </c>
      <c r="B6" t="s">
        <v>41</v>
      </c>
      <c r="C6" t="s">
        <v>42</v>
      </c>
      <c r="D6" t="s">
        <v>43</v>
      </c>
      <c r="E6" t="s">
        <v>44</v>
      </c>
      <c r="F6" t="s">
        <v>45</v>
      </c>
      <c r="G6" t="s">
        <v>46</v>
      </c>
      <c r="H6" t="s">
        <v>47</v>
      </c>
      <c r="I6" t="s">
        <v>39</v>
      </c>
      <c r="J6" t="s">
        <v>48</v>
      </c>
      <c r="K6" s="2">
        <v>45988</v>
      </c>
      <c r="L6" s="2">
        <v>46078</v>
      </c>
      <c r="M6" t="s">
        <v>38</v>
      </c>
      <c r="N6" t="s">
        <v>49</v>
      </c>
      <c r="O6">
        <v>3</v>
      </c>
      <c r="P6" t="s">
        <v>50</v>
      </c>
      <c r="Q6" s="2">
        <v>46227</v>
      </c>
      <c r="R6" t="s">
        <v>38</v>
      </c>
    </row>
    <row r="7" spans="1:18" x14ac:dyDescent="0.2">
      <c r="A7" t="s">
        <v>51</v>
      </c>
      <c r="B7" t="s">
        <v>52</v>
      </c>
      <c r="C7" t="s">
        <v>31</v>
      </c>
      <c r="D7" t="s">
        <v>32</v>
      </c>
      <c r="E7" t="s">
        <v>53</v>
      </c>
      <c r="F7" t="s">
        <v>34</v>
      </c>
      <c r="G7" t="s">
        <v>35</v>
      </c>
      <c r="H7" t="s">
        <v>47</v>
      </c>
      <c r="I7" t="s">
        <v>54</v>
      </c>
      <c r="J7" t="s">
        <v>37</v>
      </c>
      <c r="K7" s="2">
        <v>45885</v>
      </c>
      <c r="L7" s="2">
        <v>46065</v>
      </c>
      <c r="M7" t="s">
        <v>38</v>
      </c>
      <c r="N7" t="s">
        <v>55</v>
      </c>
      <c r="O7">
        <v>0</v>
      </c>
      <c r="P7" t="s">
        <v>56</v>
      </c>
      <c r="Q7" s="2">
        <v>46309</v>
      </c>
      <c r="R7" t="s">
        <v>57</v>
      </c>
    </row>
    <row r="8" spans="1:18" x14ac:dyDescent="0.2">
      <c r="A8" t="s">
        <v>58</v>
      </c>
      <c r="B8" t="s">
        <v>59</v>
      </c>
      <c r="C8" t="s">
        <v>31</v>
      </c>
      <c r="D8" t="s">
        <v>32</v>
      </c>
      <c r="E8" t="s">
        <v>60</v>
      </c>
      <c r="F8" t="s">
        <v>45</v>
      </c>
      <c r="G8" t="s">
        <v>61</v>
      </c>
      <c r="H8" t="s">
        <v>47</v>
      </c>
      <c r="I8" t="s">
        <v>62</v>
      </c>
      <c r="J8" t="s">
        <v>63</v>
      </c>
      <c r="K8" s="2">
        <v>46235</v>
      </c>
      <c r="L8" s="2">
        <v>46600</v>
      </c>
      <c r="M8" t="s">
        <v>64</v>
      </c>
      <c r="N8" t="s">
        <v>49</v>
      </c>
      <c r="O8">
        <v>2</v>
      </c>
      <c r="P8" t="s">
        <v>54</v>
      </c>
      <c r="Q8" s="2">
        <v>46410</v>
      </c>
      <c r="R8" t="s">
        <v>64</v>
      </c>
    </row>
    <row r="9" spans="1:18" x14ac:dyDescent="0.2">
      <c r="A9" t="s">
        <v>65</v>
      </c>
      <c r="B9" t="s">
        <v>66</v>
      </c>
      <c r="C9" t="s">
        <v>42</v>
      </c>
      <c r="D9" t="s">
        <v>43</v>
      </c>
      <c r="E9" t="s">
        <v>44</v>
      </c>
      <c r="F9" t="s">
        <v>67</v>
      </c>
      <c r="G9" t="s">
        <v>68</v>
      </c>
      <c r="H9" t="s">
        <v>36</v>
      </c>
      <c r="I9" t="s">
        <v>62</v>
      </c>
      <c r="J9" t="s">
        <v>63</v>
      </c>
      <c r="K9" s="2">
        <v>46133</v>
      </c>
      <c r="L9" s="2">
        <v>46313</v>
      </c>
      <c r="M9" t="s">
        <v>69</v>
      </c>
      <c r="N9" t="s">
        <v>55</v>
      </c>
      <c r="O9">
        <v>2</v>
      </c>
      <c r="P9" t="s">
        <v>70</v>
      </c>
      <c r="Q9" s="2">
        <v>46296</v>
      </c>
      <c r="R9" t="s">
        <v>64</v>
      </c>
    </row>
    <row r="10" spans="1:18" x14ac:dyDescent="0.2">
      <c r="A10" t="s">
        <v>71</v>
      </c>
      <c r="B10" t="s">
        <v>72</v>
      </c>
      <c r="C10" t="s">
        <v>73</v>
      </c>
      <c r="D10" t="s">
        <v>74</v>
      </c>
      <c r="E10" t="s">
        <v>60</v>
      </c>
      <c r="F10" t="s">
        <v>34</v>
      </c>
      <c r="G10" t="s">
        <v>35</v>
      </c>
      <c r="H10" t="s">
        <v>36</v>
      </c>
      <c r="I10" t="s">
        <v>50</v>
      </c>
      <c r="J10" t="s">
        <v>48</v>
      </c>
      <c r="K10" s="2">
        <v>46039</v>
      </c>
      <c r="L10" s="2">
        <v>46219</v>
      </c>
      <c r="M10" t="s">
        <v>38</v>
      </c>
      <c r="N10" t="s">
        <v>75</v>
      </c>
      <c r="O10">
        <v>5</v>
      </c>
      <c r="P10" t="s">
        <v>54</v>
      </c>
      <c r="Q10" s="2">
        <v>46400</v>
      </c>
      <c r="R10" t="s">
        <v>64</v>
      </c>
    </row>
    <row r="11" spans="1:18" x14ac:dyDescent="0.2">
      <c r="A11" t="s">
        <v>76</v>
      </c>
      <c r="B11" t="s">
        <v>77</v>
      </c>
      <c r="C11" t="s">
        <v>78</v>
      </c>
      <c r="D11" t="s">
        <v>79</v>
      </c>
      <c r="E11" t="s">
        <v>80</v>
      </c>
      <c r="F11" t="s">
        <v>45</v>
      </c>
      <c r="G11" t="s">
        <v>61</v>
      </c>
      <c r="H11" t="s">
        <v>47</v>
      </c>
      <c r="I11" t="s">
        <v>54</v>
      </c>
      <c r="J11" t="s">
        <v>37</v>
      </c>
      <c r="K11" s="2">
        <v>45808</v>
      </c>
      <c r="L11" s="2">
        <v>46173</v>
      </c>
      <c r="M11" t="s">
        <v>38</v>
      </c>
      <c r="N11" t="s">
        <v>49</v>
      </c>
      <c r="O11">
        <v>2</v>
      </c>
      <c r="P11" t="s">
        <v>50</v>
      </c>
      <c r="Q11" s="2">
        <v>46223</v>
      </c>
      <c r="R11" t="s">
        <v>38</v>
      </c>
    </row>
    <row r="12" spans="1:18" x14ac:dyDescent="0.2">
      <c r="A12" t="s">
        <v>81</v>
      </c>
      <c r="B12" t="s">
        <v>82</v>
      </c>
      <c r="C12" t="s">
        <v>31</v>
      </c>
      <c r="D12" t="s">
        <v>83</v>
      </c>
      <c r="E12" t="s">
        <v>44</v>
      </c>
      <c r="F12" t="s">
        <v>67</v>
      </c>
      <c r="G12" t="s">
        <v>68</v>
      </c>
      <c r="H12" t="s">
        <v>36</v>
      </c>
      <c r="I12" t="s">
        <v>56</v>
      </c>
      <c r="J12" t="s">
        <v>37</v>
      </c>
      <c r="K12" s="2">
        <v>45893</v>
      </c>
      <c r="L12" s="2">
        <v>46258</v>
      </c>
      <c r="M12" t="s">
        <v>38</v>
      </c>
      <c r="N12" t="s">
        <v>75</v>
      </c>
      <c r="O12">
        <v>4</v>
      </c>
      <c r="P12" t="s">
        <v>70</v>
      </c>
      <c r="Q12" s="2">
        <v>46319</v>
      </c>
      <c r="R12" t="s">
        <v>84</v>
      </c>
    </row>
    <row r="13" spans="1:18" x14ac:dyDescent="0.2">
      <c r="A13" t="s">
        <v>85</v>
      </c>
      <c r="B13" t="s">
        <v>86</v>
      </c>
      <c r="C13" t="s">
        <v>31</v>
      </c>
      <c r="D13" t="s">
        <v>87</v>
      </c>
      <c r="E13" t="s">
        <v>44</v>
      </c>
      <c r="F13" t="s">
        <v>45</v>
      </c>
      <c r="G13" t="s">
        <v>46</v>
      </c>
      <c r="H13" t="s">
        <v>88</v>
      </c>
      <c r="I13" t="s">
        <v>62</v>
      </c>
      <c r="J13" t="s">
        <v>63</v>
      </c>
      <c r="K13" s="2">
        <v>45970</v>
      </c>
      <c r="L13" s="2">
        <v>46060</v>
      </c>
      <c r="M13" t="s">
        <v>38</v>
      </c>
      <c r="N13" t="s">
        <v>75</v>
      </c>
      <c r="O13">
        <v>3</v>
      </c>
      <c r="P13" t="s">
        <v>70</v>
      </c>
      <c r="Q13" s="2">
        <v>46354</v>
      </c>
      <c r="R13" t="s">
        <v>84</v>
      </c>
    </row>
    <row r="14" spans="1:18" x14ac:dyDescent="0.2">
      <c r="A14" t="s">
        <v>89</v>
      </c>
      <c r="B14" t="s">
        <v>90</v>
      </c>
      <c r="C14" t="s">
        <v>31</v>
      </c>
      <c r="D14" t="s">
        <v>83</v>
      </c>
      <c r="E14" t="s">
        <v>91</v>
      </c>
      <c r="F14" t="s">
        <v>34</v>
      </c>
      <c r="G14" t="s">
        <v>35</v>
      </c>
      <c r="H14" t="s">
        <v>88</v>
      </c>
      <c r="I14" t="s">
        <v>56</v>
      </c>
      <c r="J14" t="s">
        <v>48</v>
      </c>
      <c r="K14" s="2">
        <v>46053</v>
      </c>
      <c r="L14" s="2">
        <v>46143</v>
      </c>
      <c r="M14" t="s">
        <v>38</v>
      </c>
      <c r="N14" t="s">
        <v>75</v>
      </c>
      <c r="O14">
        <v>0</v>
      </c>
      <c r="P14" t="s">
        <v>56</v>
      </c>
      <c r="Q14" s="2">
        <v>46249</v>
      </c>
      <c r="R14" t="s">
        <v>57</v>
      </c>
    </row>
    <row r="15" spans="1:18" x14ac:dyDescent="0.2">
      <c r="A15" t="s">
        <v>92</v>
      </c>
      <c r="B15" t="s">
        <v>93</v>
      </c>
      <c r="C15" t="s">
        <v>73</v>
      </c>
      <c r="D15" t="s">
        <v>74</v>
      </c>
      <c r="E15" t="s">
        <v>44</v>
      </c>
      <c r="F15" t="s">
        <v>34</v>
      </c>
      <c r="G15" t="s">
        <v>35</v>
      </c>
      <c r="H15" t="s">
        <v>88</v>
      </c>
      <c r="I15" t="s">
        <v>50</v>
      </c>
      <c r="J15" t="s">
        <v>37</v>
      </c>
      <c r="K15" s="2">
        <v>45999</v>
      </c>
      <c r="L15" s="2">
        <v>46364</v>
      </c>
      <c r="M15" t="s">
        <v>69</v>
      </c>
      <c r="N15" t="s">
        <v>75</v>
      </c>
      <c r="O15">
        <v>0</v>
      </c>
      <c r="P15" t="s">
        <v>54</v>
      </c>
      <c r="Q15" s="2">
        <v>46172</v>
      </c>
      <c r="R15" t="s">
        <v>57</v>
      </c>
    </row>
    <row r="16" spans="1:18" x14ac:dyDescent="0.2">
      <c r="A16" t="s">
        <v>94</v>
      </c>
      <c r="B16" t="s">
        <v>95</v>
      </c>
      <c r="C16" t="s">
        <v>96</v>
      </c>
      <c r="D16" t="s">
        <v>97</v>
      </c>
      <c r="E16" t="s">
        <v>60</v>
      </c>
      <c r="F16" t="s">
        <v>45</v>
      </c>
      <c r="G16" t="s">
        <v>46</v>
      </c>
      <c r="H16" t="s">
        <v>98</v>
      </c>
      <c r="I16" t="s">
        <v>70</v>
      </c>
      <c r="J16" t="s">
        <v>48</v>
      </c>
      <c r="K16" s="2">
        <v>45901</v>
      </c>
      <c r="L16" s="2">
        <v>46081</v>
      </c>
      <c r="M16" t="s">
        <v>38</v>
      </c>
      <c r="N16" t="s">
        <v>55</v>
      </c>
      <c r="O16">
        <v>4</v>
      </c>
      <c r="P16" t="s">
        <v>56</v>
      </c>
      <c r="Q16" s="2">
        <v>46179</v>
      </c>
      <c r="R16" t="s">
        <v>64</v>
      </c>
    </row>
    <row r="17" spans="1:18" x14ac:dyDescent="0.2">
      <c r="A17" t="s">
        <v>99</v>
      </c>
      <c r="B17" t="s">
        <v>100</v>
      </c>
      <c r="C17" t="s">
        <v>96</v>
      </c>
      <c r="D17" t="s">
        <v>97</v>
      </c>
      <c r="E17" t="s">
        <v>44</v>
      </c>
      <c r="F17" t="s">
        <v>34</v>
      </c>
      <c r="G17" t="s">
        <v>35</v>
      </c>
      <c r="H17" t="s">
        <v>98</v>
      </c>
      <c r="I17" t="s">
        <v>54</v>
      </c>
      <c r="J17" t="s">
        <v>48</v>
      </c>
      <c r="K17" s="2">
        <v>45910</v>
      </c>
      <c r="L17" s="2">
        <v>46090</v>
      </c>
      <c r="M17" t="s">
        <v>38</v>
      </c>
      <c r="N17" t="s">
        <v>75</v>
      </c>
      <c r="O17">
        <v>5</v>
      </c>
      <c r="P17" t="s">
        <v>54</v>
      </c>
      <c r="Q17" s="2">
        <v>46306</v>
      </c>
      <c r="R17" t="s">
        <v>84</v>
      </c>
    </row>
    <row r="18" spans="1:18" x14ac:dyDescent="0.2">
      <c r="A18" t="s">
        <v>101</v>
      </c>
      <c r="B18" t="s">
        <v>102</v>
      </c>
      <c r="C18" t="s">
        <v>103</v>
      </c>
      <c r="D18" t="s">
        <v>104</v>
      </c>
      <c r="E18" t="s">
        <v>105</v>
      </c>
      <c r="F18" t="s">
        <v>45</v>
      </c>
      <c r="G18" t="s">
        <v>61</v>
      </c>
      <c r="H18" t="s">
        <v>88</v>
      </c>
      <c r="I18" t="s">
        <v>54</v>
      </c>
      <c r="J18" t="s">
        <v>48</v>
      </c>
      <c r="K18" s="2">
        <v>45974</v>
      </c>
      <c r="L18" s="2">
        <v>46064</v>
      </c>
      <c r="M18" t="s">
        <v>38</v>
      </c>
      <c r="N18" t="s">
        <v>55</v>
      </c>
      <c r="O18">
        <v>0</v>
      </c>
      <c r="P18" t="s">
        <v>106</v>
      </c>
      <c r="Q18" s="2">
        <v>46145</v>
      </c>
      <c r="R18" t="s">
        <v>57</v>
      </c>
    </row>
    <row r="19" spans="1:18" x14ac:dyDescent="0.2">
      <c r="A19" t="s">
        <v>107</v>
      </c>
      <c r="B19" t="s">
        <v>108</v>
      </c>
      <c r="C19" t="s">
        <v>78</v>
      </c>
      <c r="D19" t="s">
        <v>79</v>
      </c>
      <c r="E19" t="s">
        <v>53</v>
      </c>
      <c r="F19" t="s">
        <v>45</v>
      </c>
      <c r="G19" t="s">
        <v>46</v>
      </c>
      <c r="H19" t="s">
        <v>88</v>
      </c>
      <c r="I19" t="s">
        <v>54</v>
      </c>
      <c r="J19" t="s">
        <v>48</v>
      </c>
      <c r="K19" s="2">
        <v>45999</v>
      </c>
      <c r="L19" s="2">
        <v>46089</v>
      </c>
      <c r="M19" t="s">
        <v>38</v>
      </c>
      <c r="N19" t="s">
        <v>49</v>
      </c>
      <c r="O19">
        <v>3</v>
      </c>
      <c r="P19" t="s">
        <v>70</v>
      </c>
      <c r="Q19" s="2">
        <v>46239</v>
      </c>
      <c r="R19" t="s">
        <v>38</v>
      </c>
    </row>
    <row r="20" spans="1:18" x14ac:dyDescent="0.2">
      <c r="A20" t="s">
        <v>109</v>
      </c>
      <c r="B20" t="s">
        <v>110</v>
      </c>
      <c r="C20" t="s">
        <v>78</v>
      </c>
      <c r="D20" t="s">
        <v>79</v>
      </c>
      <c r="E20" t="s">
        <v>53</v>
      </c>
      <c r="F20" t="s">
        <v>34</v>
      </c>
      <c r="G20" t="s">
        <v>35</v>
      </c>
      <c r="H20" t="s">
        <v>88</v>
      </c>
      <c r="I20" t="s">
        <v>111</v>
      </c>
      <c r="J20" t="s">
        <v>37</v>
      </c>
      <c r="K20" s="2">
        <v>45833</v>
      </c>
      <c r="L20" s="2">
        <v>46198</v>
      </c>
      <c r="M20" t="s">
        <v>38</v>
      </c>
      <c r="N20" t="s">
        <v>55</v>
      </c>
      <c r="O20">
        <v>0</v>
      </c>
      <c r="P20" t="s">
        <v>70</v>
      </c>
      <c r="Q20" s="2">
        <v>46146</v>
      </c>
      <c r="R20" t="s">
        <v>57</v>
      </c>
    </row>
    <row r="21" spans="1:18" x14ac:dyDescent="0.2">
      <c r="A21" t="s">
        <v>112</v>
      </c>
      <c r="B21" t="s">
        <v>113</v>
      </c>
      <c r="C21" t="s">
        <v>31</v>
      </c>
      <c r="D21" t="s">
        <v>32</v>
      </c>
      <c r="E21" t="s">
        <v>44</v>
      </c>
      <c r="F21" t="s">
        <v>45</v>
      </c>
      <c r="G21" t="s">
        <v>46</v>
      </c>
      <c r="H21" t="s">
        <v>88</v>
      </c>
      <c r="I21" t="s">
        <v>50</v>
      </c>
      <c r="J21" t="s">
        <v>63</v>
      </c>
      <c r="K21" s="2">
        <v>46059</v>
      </c>
      <c r="L21" s="2">
        <v>46149</v>
      </c>
      <c r="M21" t="s">
        <v>38</v>
      </c>
      <c r="N21" t="s">
        <v>75</v>
      </c>
      <c r="O21">
        <v>3</v>
      </c>
      <c r="P21" t="s">
        <v>70</v>
      </c>
      <c r="Q21" s="2">
        <v>46242</v>
      </c>
      <c r="R21" t="s">
        <v>38</v>
      </c>
    </row>
    <row r="22" spans="1:18" x14ac:dyDescent="0.2">
      <c r="A22" t="s">
        <v>114</v>
      </c>
      <c r="B22" t="s">
        <v>115</v>
      </c>
      <c r="C22" t="s">
        <v>31</v>
      </c>
      <c r="D22" t="s">
        <v>87</v>
      </c>
      <c r="E22" t="s">
        <v>105</v>
      </c>
      <c r="F22" t="s">
        <v>45</v>
      </c>
      <c r="G22" t="s">
        <v>46</v>
      </c>
      <c r="H22" t="s">
        <v>98</v>
      </c>
      <c r="I22" t="s">
        <v>54</v>
      </c>
      <c r="J22" t="s">
        <v>37</v>
      </c>
      <c r="K22" s="2">
        <v>46190</v>
      </c>
      <c r="L22" s="2">
        <v>46370</v>
      </c>
      <c r="M22" t="s">
        <v>64</v>
      </c>
      <c r="N22" t="s">
        <v>55</v>
      </c>
      <c r="O22">
        <v>3</v>
      </c>
      <c r="P22" t="s">
        <v>111</v>
      </c>
      <c r="Q22" s="2">
        <v>46145</v>
      </c>
      <c r="R22" t="s">
        <v>64</v>
      </c>
    </row>
    <row r="23" spans="1:18" x14ac:dyDescent="0.2">
      <c r="A23" t="s">
        <v>116</v>
      </c>
      <c r="B23" t="s">
        <v>117</v>
      </c>
      <c r="C23" t="s">
        <v>31</v>
      </c>
      <c r="D23" t="s">
        <v>87</v>
      </c>
      <c r="E23" t="s">
        <v>91</v>
      </c>
      <c r="F23" t="s">
        <v>67</v>
      </c>
      <c r="G23" t="s">
        <v>118</v>
      </c>
      <c r="H23" t="s">
        <v>98</v>
      </c>
      <c r="I23" t="s">
        <v>111</v>
      </c>
      <c r="J23" t="s">
        <v>37</v>
      </c>
      <c r="K23" s="2">
        <v>46196</v>
      </c>
      <c r="L23" s="2">
        <v>46286</v>
      </c>
      <c r="M23" t="s">
        <v>38</v>
      </c>
      <c r="N23" t="s">
        <v>75</v>
      </c>
      <c r="O23">
        <v>1</v>
      </c>
      <c r="P23" t="s">
        <v>39</v>
      </c>
      <c r="Q23" s="2">
        <v>46144</v>
      </c>
      <c r="R23" t="s">
        <v>38</v>
      </c>
    </row>
    <row r="24" spans="1:18" x14ac:dyDescent="0.2">
      <c r="A24" t="s">
        <v>119</v>
      </c>
      <c r="B24" t="s">
        <v>120</v>
      </c>
      <c r="C24" t="s">
        <v>103</v>
      </c>
      <c r="D24" t="s">
        <v>104</v>
      </c>
      <c r="E24" t="s">
        <v>60</v>
      </c>
      <c r="F24" t="s">
        <v>45</v>
      </c>
      <c r="G24" t="s">
        <v>61</v>
      </c>
      <c r="H24" t="s">
        <v>36</v>
      </c>
      <c r="I24" t="s">
        <v>50</v>
      </c>
      <c r="J24" t="s">
        <v>48</v>
      </c>
      <c r="K24" s="2">
        <v>46246</v>
      </c>
      <c r="L24" s="2">
        <v>46611</v>
      </c>
      <c r="M24" t="s">
        <v>64</v>
      </c>
      <c r="N24" t="s">
        <v>55</v>
      </c>
      <c r="O24">
        <v>0</v>
      </c>
      <c r="P24" t="s">
        <v>54</v>
      </c>
      <c r="Q24" s="2">
        <v>46149</v>
      </c>
      <c r="R24" t="s">
        <v>57</v>
      </c>
    </row>
    <row r="25" spans="1:18" x14ac:dyDescent="0.2">
      <c r="A25" t="s">
        <v>121</v>
      </c>
      <c r="B25" t="s">
        <v>122</v>
      </c>
      <c r="C25" t="s">
        <v>31</v>
      </c>
      <c r="D25" t="s">
        <v>83</v>
      </c>
      <c r="E25" t="s">
        <v>60</v>
      </c>
      <c r="F25" t="s">
        <v>34</v>
      </c>
      <c r="G25" t="s">
        <v>35</v>
      </c>
      <c r="H25" t="s">
        <v>47</v>
      </c>
      <c r="I25" t="s">
        <v>106</v>
      </c>
      <c r="J25" t="s">
        <v>63</v>
      </c>
      <c r="K25" s="2">
        <v>45797</v>
      </c>
      <c r="L25" s="2">
        <v>45977</v>
      </c>
      <c r="M25" t="s">
        <v>38</v>
      </c>
      <c r="N25" t="s">
        <v>55</v>
      </c>
      <c r="O25">
        <v>2</v>
      </c>
      <c r="P25" t="s">
        <v>56</v>
      </c>
      <c r="Q25" s="2">
        <v>46237</v>
      </c>
      <c r="R25" t="s">
        <v>64</v>
      </c>
    </row>
    <row r="26" spans="1:18" x14ac:dyDescent="0.2">
      <c r="A26" t="s">
        <v>123</v>
      </c>
      <c r="B26" t="s">
        <v>124</v>
      </c>
      <c r="C26" t="s">
        <v>103</v>
      </c>
      <c r="D26" t="s">
        <v>104</v>
      </c>
      <c r="E26" t="s">
        <v>105</v>
      </c>
      <c r="F26" t="s">
        <v>67</v>
      </c>
      <c r="G26" t="s">
        <v>118</v>
      </c>
      <c r="H26" t="s">
        <v>47</v>
      </c>
      <c r="I26" t="s">
        <v>70</v>
      </c>
      <c r="J26" t="s">
        <v>37</v>
      </c>
      <c r="K26" s="2">
        <v>46238</v>
      </c>
      <c r="L26" s="2">
        <v>46603</v>
      </c>
      <c r="M26" t="s">
        <v>64</v>
      </c>
      <c r="N26" t="s">
        <v>75</v>
      </c>
      <c r="O26">
        <v>1</v>
      </c>
      <c r="P26" t="s">
        <v>50</v>
      </c>
      <c r="Q26" s="2">
        <v>46293</v>
      </c>
      <c r="R26" t="s">
        <v>38</v>
      </c>
    </row>
    <row r="27" spans="1:18" x14ac:dyDescent="0.2">
      <c r="A27" t="s">
        <v>125</v>
      </c>
      <c r="B27" t="s">
        <v>126</v>
      </c>
      <c r="C27" t="s">
        <v>42</v>
      </c>
      <c r="D27" t="s">
        <v>43</v>
      </c>
      <c r="E27" t="s">
        <v>60</v>
      </c>
      <c r="F27" t="s">
        <v>67</v>
      </c>
      <c r="G27" t="s">
        <v>118</v>
      </c>
      <c r="H27" t="s">
        <v>98</v>
      </c>
      <c r="I27" t="s">
        <v>39</v>
      </c>
      <c r="J27" t="s">
        <v>48</v>
      </c>
      <c r="K27" s="2">
        <v>45934</v>
      </c>
      <c r="L27" s="2">
        <v>46299</v>
      </c>
      <c r="M27" t="s">
        <v>64</v>
      </c>
      <c r="N27" t="s">
        <v>49</v>
      </c>
      <c r="O27">
        <v>0</v>
      </c>
      <c r="P27" t="s">
        <v>50</v>
      </c>
      <c r="Q27" s="2">
        <v>46183</v>
      </c>
      <c r="R27" t="s">
        <v>57</v>
      </c>
    </row>
    <row r="28" spans="1:18" x14ac:dyDescent="0.2">
      <c r="A28" t="s">
        <v>127</v>
      </c>
      <c r="B28" t="s">
        <v>128</v>
      </c>
      <c r="C28" t="s">
        <v>31</v>
      </c>
      <c r="D28" t="s">
        <v>87</v>
      </c>
      <c r="E28" t="s">
        <v>60</v>
      </c>
      <c r="F28" t="s">
        <v>67</v>
      </c>
      <c r="G28" t="s">
        <v>118</v>
      </c>
      <c r="H28" t="s">
        <v>47</v>
      </c>
      <c r="I28" t="s">
        <v>106</v>
      </c>
      <c r="J28" t="s">
        <v>63</v>
      </c>
      <c r="K28" s="2">
        <v>46171</v>
      </c>
      <c r="L28" s="2">
        <v>46536</v>
      </c>
      <c r="M28" t="s">
        <v>69</v>
      </c>
      <c r="N28" t="s">
        <v>49</v>
      </c>
      <c r="O28">
        <v>3</v>
      </c>
      <c r="P28" t="s">
        <v>62</v>
      </c>
      <c r="Q28" s="2">
        <v>46243</v>
      </c>
      <c r="R28" t="s">
        <v>38</v>
      </c>
    </row>
    <row r="29" spans="1:18" x14ac:dyDescent="0.2">
      <c r="A29" t="s">
        <v>129</v>
      </c>
      <c r="B29" t="s">
        <v>130</v>
      </c>
      <c r="C29" t="s">
        <v>31</v>
      </c>
      <c r="D29" t="s">
        <v>87</v>
      </c>
      <c r="E29" t="s">
        <v>105</v>
      </c>
      <c r="F29" t="s">
        <v>67</v>
      </c>
      <c r="G29" t="s">
        <v>68</v>
      </c>
      <c r="H29" t="s">
        <v>88</v>
      </c>
      <c r="I29" t="s">
        <v>50</v>
      </c>
      <c r="J29" t="s">
        <v>48</v>
      </c>
      <c r="K29" s="2">
        <v>45949</v>
      </c>
      <c r="L29" s="2">
        <v>46129</v>
      </c>
      <c r="M29" t="s">
        <v>38</v>
      </c>
      <c r="N29" t="s">
        <v>55</v>
      </c>
      <c r="O29">
        <v>3</v>
      </c>
      <c r="P29" t="s">
        <v>50</v>
      </c>
      <c r="Q29" s="2">
        <v>46397</v>
      </c>
      <c r="R29" t="s">
        <v>84</v>
      </c>
    </row>
    <row r="30" spans="1:18" x14ac:dyDescent="0.2">
      <c r="A30" t="s">
        <v>131</v>
      </c>
      <c r="B30" t="s">
        <v>132</v>
      </c>
      <c r="C30" t="s">
        <v>31</v>
      </c>
      <c r="D30" t="s">
        <v>87</v>
      </c>
      <c r="E30" t="s">
        <v>53</v>
      </c>
      <c r="F30" t="s">
        <v>34</v>
      </c>
      <c r="G30" t="s">
        <v>35</v>
      </c>
      <c r="H30" t="s">
        <v>88</v>
      </c>
      <c r="I30" t="s">
        <v>50</v>
      </c>
      <c r="J30" t="s">
        <v>48</v>
      </c>
      <c r="K30" s="2">
        <v>46055</v>
      </c>
      <c r="L30" s="2">
        <v>46145</v>
      </c>
      <c r="M30" t="s">
        <v>38</v>
      </c>
      <c r="N30" t="s">
        <v>55</v>
      </c>
      <c r="O30">
        <v>2</v>
      </c>
      <c r="P30" t="s">
        <v>54</v>
      </c>
      <c r="Q30" s="2">
        <v>46301</v>
      </c>
      <c r="R30" t="s">
        <v>84</v>
      </c>
    </row>
    <row r="31" spans="1:18" x14ac:dyDescent="0.2">
      <c r="A31" t="s">
        <v>133</v>
      </c>
      <c r="B31" t="s">
        <v>134</v>
      </c>
      <c r="C31" t="s">
        <v>31</v>
      </c>
      <c r="D31" t="s">
        <v>87</v>
      </c>
      <c r="E31" t="s">
        <v>53</v>
      </c>
      <c r="F31" t="s">
        <v>34</v>
      </c>
      <c r="G31" t="s">
        <v>35</v>
      </c>
      <c r="H31" t="s">
        <v>36</v>
      </c>
      <c r="I31" t="s">
        <v>62</v>
      </c>
      <c r="J31" t="s">
        <v>63</v>
      </c>
      <c r="K31" s="2">
        <v>45958</v>
      </c>
      <c r="L31" s="2">
        <v>46323</v>
      </c>
      <c r="M31" t="s">
        <v>64</v>
      </c>
      <c r="N31" t="s">
        <v>55</v>
      </c>
      <c r="O31">
        <v>1</v>
      </c>
      <c r="P31" t="s">
        <v>106</v>
      </c>
      <c r="Q31" s="2">
        <v>46205</v>
      </c>
      <c r="R31" t="s">
        <v>38</v>
      </c>
    </row>
    <row r="32" spans="1:18" x14ac:dyDescent="0.2">
      <c r="A32" t="s">
        <v>135</v>
      </c>
      <c r="B32" t="s">
        <v>136</v>
      </c>
      <c r="C32" t="s">
        <v>96</v>
      </c>
      <c r="D32" t="s">
        <v>97</v>
      </c>
      <c r="E32" t="s">
        <v>53</v>
      </c>
      <c r="F32" t="s">
        <v>67</v>
      </c>
      <c r="G32" t="s">
        <v>68</v>
      </c>
      <c r="H32" t="s">
        <v>47</v>
      </c>
      <c r="I32" t="s">
        <v>70</v>
      </c>
      <c r="J32" t="s">
        <v>37</v>
      </c>
      <c r="K32" s="2">
        <v>46080</v>
      </c>
      <c r="L32" s="2">
        <v>46170</v>
      </c>
      <c r="M32" t="s">
        <v>38</v>
      </c>
      <c r="N32" t="s">
        <v>75</v>
      </c>
      <c r="O32">
        <v>1</v>
      </c>
      <c r="P32" t="s">
        <v>54</v>
      </c>
      <c r="Q32" s="2">
        <v>46217</v>
      </c>
      <c r="R32" t="s">
        <v>38</v>
      </c>
    </row>
    <row r="33" spans="1:18" x14ac:dyDescent="0.2">
      <c r="A33" t="s">
        <v>137</v>
      </c>
      <c r="B33" t="s">
        <v>138</v>
      </c>
      <c r="C33" t="s">
        <v>73</v>
      </c>
      <c r="D33" t="s">
        <v>74</v>
      </c>
      <c r="E33" t="s">
        <v>91</v>
      </c>
      <c r="F33" t="s">
        <v>45</v>
      </c>
      <c r="G33" t="s">
        <v>46</v>
      </c>
      <c r="H33" t="s">
        <v>47</v>
      </c>
      <c r="I33" t="s">
        <v>106</v>
      </c>
      <c r="J33" t="s">
        <v>48</v>
      </c>
      <c r="K33" s="2">
        <v>46133</v>
      </c>
      <c r="L33" s="2">
        <v>46223</v>
      </c>
      <c r="M33" t="s">
        <v>38</v>
      </c>
      <c r="N33" t="s">
        <v>75</v>
      </c>
      <c r="O33">
        <v>2</v>
      </c>
      <c r="P33" t="s">
        <v>56</v>
      </c>
      <c r="Q33" s="2">
        <v>46375</v>
      </c>
      <c r="R33" t="s">
        <v>84</v>
      </c>
    </row>
    <row r="34" spans="1:18" x14ac:dyDescent="0.2">
      <c r="A34" t="s">
        <v>139</v>
      </c>
      <c r="B34" t="s">
        <v>140</v>
      </c>
      <c r="C34" t="s">
        <v>103</v>
      </c>
      <c r="D34" t="s">
        <v>104</v>
      </c>
      <c r="E34" t="s">
        <v>105</v>
      </c>
      <c r="F34" t="s">
        <v>45</v>
      </c>
      <c r="G34" t="s">
        <v>61</v>
      </c>
      <c r="H34" t="s">
        <v>47</v>
      </c>
      <c r="I34" t="s">
        <v>62</v>
      </c>
      <c r="J34" t="s">
        <v>48</v>
      </c>
      <c r="K34" s="2">
        <v>46099</v>
      </c>
      <c r="L34" s="2">
        <v>46464</v>
      </c>
      <c r="M34" t="s">
        <v>69</v>
      </c>
      <c r="N34" t="s">
        <v>49</v>
      </c>
      <c r="O34">
        <v>0</v>
      </c>
      <c r="P34" t="s">
        <v>62</v>
      </c>
      <c r="Q34" s="2">
        <v>46312</v>
      </c>
      <c r="R34" t="s">
        <v>57</v>
      </c>
    </row>
    <row r="35" spans="1:18" x14ac:dyDescent="0.2">
      <c r="A35" t="s">
        <v>141</v>
      </c>
      <c r="B35" t="s">
        <v>142</v>
      </c>
      <c r="C35" t="s">
        <v>42</v>
      </c>
      <c r="D35" t="s">
        <v>43</v>
      </c>
      <c r="E35" t="s">
        <v>53</v>
      </c>
      <c r="F35" t="s">
        <v>45</v>
      </c>
      <c r="G35" t="s">
        <v>46</v>
      </c>
      <c r="H35" t="s">
        <v>88</v>
      </c>
      <c r="I35" t="s">
        <v>106</v>
      </c>
      <c r="J35" t="s">
        <v>37</v>
      </c>
      <c r="K35" s="2">
        <v>45956</v>
      </c>
      <c r="L35" s="2">
        <v>46136</v>
      </c>
      <c r="M35" t="s">
        <v>38</v>
      </c>
      <c r="N35" t="s">
        <v>49</v>
      </c>
      <c r="O35">
        <v>0</v>
      </c>
      <c r="P35" t="s">
        <v>106</v>
      </c>
      <c r="Q35" s="2">
        <v>46268</v>
      </c>
      <c r="R35" t="s">
        <v>57</v>
      </c>
    </row>
    <row r="36" spans="1:18" x14ac:dyDescent="0.2">
      <c r="A36" t="s">
        <v>143</v>
      </c>
      <c r="B36" t="s">
        <v>144</v>
      </c>
      <c r="C36" t="s">
        <v>31</v>
      </c>
      <c r="D36" t="s">
        <v>87</v>
      </c>
      <c r="E36" t="s">
        <v>60</v>
      </c>
      <c r="F36" t="s">
        <v>67</v>
      </c>
      <c r="G36" t="s">
        <v>118</v>
      </c>
      <c r="H36" t="s">
        <v>47</v>
      </c>
      <c r="I36" t="s">
        <v>62</v>
      </c>
      <c r="J36" t="s">
        <v>37</v>
      </c>
      <c r="K36" s="2">
        <v>45935</v>
      </c>
      <c r="L36" s="2">
        <v>46115</v>
      </c>
      <c r="M36" t="s">
        <v>38</v>
      </c>
      <c r="N36" t="s">
        <v>49</v>
      </c>
      <c r="O36">
        <v>1</v>
      </c>
      <c r="P36" t="s">
        <v>54</v>
      </c>
      <c r="Q36" s="2">
        <v>46406</v>
      </c>
      <c r="R36" t="s">
        <v>64</v>
      </c>
    </row>
    <row r="37" spans="1:18" x14ac:dyDescent="0.2">
      <c r="A37" t="s">
        <v>145</v>
      </c>
      <c r="B37" t="s">
        <v>146</v>
      </c>
      <c r="C37" t="s">
        <v>73</v>
      </c>
      <c r="D37" t="s">
        <v>74</v>
      </c>
      <c r="E37" t="s">
        <v>80</v>
      </c>
      <c r="F37" t="s">
        <v>67</v>
      </c>
      <c r="G37" t="s">
        <v>118</v>
      </c>
      <c r="H37" t="s">
        <v>88</v>
      </c>
      <c r="I37" t="s">
        <v>54</v>
      </c>
      <c r="J37" t="s">
        <v>48</v>
      </c>
      <c r="K37" s="2">
        <v>46014</v>
      </c>
      <c r="L37" s="2">
        <v>46194</v>
      </c>
      <c r="M37" t="s">
        <v>38</v>
      </c>
      <c r="N37" t="s">
        <v>49</v>
      </c>
      <c r="O37">
        <v>1</v>
      </c>
      <c r="P37" t="s">
        <v>56</v>
      </c>
      <c r="Q37" s="2">
        <v>46158</v>
      </c>
      <c r="R37" t="s">
        <v>64</v>
      </c>
    </row>
    <row r="38" spans="1:18" x14ac:dyDescent="0.2">
      <c r="A38" t="s">
        <v>147</v>
      </c>
      <c r="B38" t="s">
        <v>148</v>
      </c>
      <c r="C38" t="s">
        <v>78</v>
      </c>
      <c r="D38" t="s">
        <v>79</v>
      </c>
      <c r="E38" t="s">
        <v>44</v>
      </c>
      <c r="F38" t="s">
        <v>45</v>
      </c>
      <c r="G38" t="s">
        <v>46</v>
      </c>
      <c r="H38" t="s">
        <v>47</v>
      </c>
      <c r="I38" t="s">
        <v>54</v>
      </c>
      <c r="J38" t="s">
        <v>37</v>
      </c>
      <c r="K38" s="2">
        <v>46032</v>
      </c>
      <c r="L38" s="2">
        <v>46397</v>
      </c>
      <c r="M38" t="s">
        <v>84</v>
      </c>
      <c r="N38" t="s">
        <v>75</v>
      </c>
      <c r="O38">
        <v>3</v>
      </c>
      <c r="P38" t="s">
        <v>54</v>
      </c>
      <c r="Q38" s="2">
        <v>46409</v>
      </c>
      <c r="R38" t="s">
        <v>64</v>
      </c>
    </row>
    <row r="39" spans="1:18" x14ac:dyDescent="0.2">
      <c r="A39" t="s">
        <v>149</v>
      </c>
      <c r="B39" t="s">
        <v>150</v>
      </c>
      <c r="C39" t="s">
        <v>31</v>
      </c>
      <c r="D39" t="s">
        <v>32</v>
      </c>
      <c r="E39" t="s">
        <v>105</v>
      </c>
      <c r="F39" t="s">
        <v>45</v>
      </c>
      <c r="G39" t="s">
        <v>46</v>
      </c>
      <c r="H39" t="s">
        <v>36</v>
      </c>
      <c r="I39" t="s">
        <v>54</v>
      </c>
      <c r="J39" t="s">
        <v>48</v>
      </c>
      <c r="K39" s="2">
        <v>46185</v>
      </c>
      <c r="L39" s="2">
        <v>46550</v>
      </c>
      <c r="M39" t="s">
        <v>64</v>
      </c>
      <c r="N39" t="s">
        <v>55</v>
      </c>
      <c r="O39">
        <v>4</v>
      </c>
      <c r="P39" t="s">
        <v>111</v>
      </c>
      <c r="Q39" s="2">
        <v>46242</v>
      </c>
      <c r="R39" t="s">
        <v>38</v>
      </c>
    </row>
    <row r="40" spans="1:18" x14ac:dyDescent="0.2">
      <c r="A40" t="s">
        <v>29</v>
      </c>
      <c r="B40" t="s">
        <v>151</v>
      </c>
      <c r="C40" t="s">
        <v>103</v>
      </c>
      <c r="D40" t="s">
        <v>104</v>
      </c>
      <c r="E40" t="s">
        <v>80</v>
      </c>
      <c r="F40" t="s">
        <v>34</v>
      </c>
      <c r="G40" t="s">
        <v>35</v>
      </c>
      <c r="H40" t="s">
        <v>88</v>
      </c>
      <c r="I40" t="s">
        <v>62</v>
      </c>
      <c r="J40" t="s">
        <v>63</v>
      </c>
      <c r="K40" s="2">
        <v>45850</v>
      </c>
      <c r="L40" s="2">
        <v>46215</v>
      </c>
      <c r="M40" t="s">
        <v>38</v>
      </c>
      <c r="N40" t="s">
        <v>75</v>
      </c>
      <c r="O40">
        <v>1</v>
      </c>
      <c r="P40" t="s">
        <v>56</v>
      </c>
      <c r="Q40" s="2">
        <v>46358</v>
      </c>
      <c r="R40" t="s">
        <v>84</v>
      </c>
    </row>
    <row r="41" spans="1:18" x14ac:dyDescent="0.2">
      <c r="A41" t="s">
        <v>40</v>
      </c>
      <c r="B41" t="s">
        <v>152</v>
      </c>
      <c r="C41" t="s">
        <v>31</v>
      </c>
      <c r="D41" t="s">
        <v>32</v>
      </c>
      <c r="E41" t="s">
        <v>91</v>
      </c>
      <c r="F41" t="s">
        <v>34</v>
      </c>
      <c r="G41" t="s">
        <v>35</v>
      </c>
      <c r="H41" t="s">
        <v>47</v>
      </c>
      <c r="I41" t="s">
        <v>111</v>
      </c>
      <c r="J41" t="s">
        <v>48</v>
      </c>
      <c r="K41" s="2">
        <v>46236</v>
      </c>
      <c r="L41" s="2">
        <v>46601</v>
      </c>
      <c r="M41" t="s">
        <v>64</v>
      </c>
      <c r="N41" t="s">
        <v>75</v>
      </c>
      <c r="O41">
        <v>2</v>
      </c>
      <c r="P41" t="s">
        <v>54</v>
      </c>
      <c r="Q41" s="2">
        <v>46278</v>
      </c>
      <c r="R41" t="s">
        <v>38</v>
      </c>
    </row>
    <row r="42" spans="1:18" x14ac:dyDescent="0.2">
      <c r="A42" t="s">
        <v>51</v>
      </c>
      <c r="B42" t="s">
        <v>153</v>
      </c>
      <c r="C42" t="s">
        <v>78</v>
      </c>
      <c r="D42" t="s">
        <v>79</v>
      </c>
      <c r="E42" t="s">
        <v>91</v>
      </c>
      <c r="F42" t="s">
        <v>67</v>
      </c>
      <c r="G42" t="s">
        <v>68</v>
      </c>
      <c r="H42" t="s">
        <v>47</v>
      </c>
      <c r="I42" t="s">
        <v>62</v>
      </c>
      <c r="J42" t="s">
        <v>63</v>
      </c>
      <c r="K42" s="2">
        <v>46067</v>
      </c>
      <c r="L42" s="2">
        <v>46247</v>
      </c>
      <c r="M42" t="s">
        <v>38</v>
      </c>
      <c r="N42" t="s">
        <v>49</v>
      </c>
      <c r="O42">
        <v>3</v>
      </c>
      <c r="P42" t="s">
        <v>39</v>
      </c>
      <c r="Q42" s="2">
        <v>46327</v>
      </c>
      <c r="R42" t="s">
        <v>64</v>
      </c>
    </row>
    <row r="43" spans="1:18" x14ac:dyDescent="0.2">
      <c r="A43" t="s">
        <v>58</v>
      </c>
      <c r="B43" t="s">
        <v>154</v>
      </c>
      <c r="C43" t="s">
        <v>78</v>
      </c>
      <c r="D43" t="s">
        <v>79</v>
      </c>
      <c r="E43" t="s">
        <v>80</v>
      </c>
      <c r="F43" t="s">
        <v>34</v>
      </c>
      <c r="G43" t="s">
        <v>35</v>
      </c>
      <c r="H43" t="s">
        <v>47</v>
      </c>
      <c r="I43" t="s">
        <v>106</v>
      </c>
      <c r="J43" t="s">
        <v>48</v>
      </c>
      <c r="K43" s="2">
        <v>46123</v>
      </c>
      <c r="L43" s="2">
        <v>46303</v>
      </c>
      <c r="M43" t="s">
        <v>69</v>
      </c>
      <c r="N43" t="s">
        <v>49</v>
      </c>
      <c r="O43">
        <v>1</v>
      </c>
      <c r="P43" t="s">
        <v>62</v>
      </c>
      <c r="Q43" s="2">
        <v>46364</v>
      </c>
      <c r="R43" t="s">
        <v>64</v>
      </c>
    </row>
    <row r="44" spans="1:18" x14ac:dyDescent="0.2">
      <c r="A44" t="s">
        <v>65</v>
      </c>
      <c r="B44" t="s">
        <v>155</v>
      </c>
      <c r="C44" t="s">
        <v>31</v>
      </c>
      <c r="D44" t="s">
        <v>87</v>
      </c>
      <c r="E44" t="s">
        <v>91</v>
      </c>
      <c r="F44" t="s">
        <v>67</v>
      </c>
      <c r="G44" t="s">
        <v>118</v>
      </c>
      <c r="H44" t="s">
        <v>47</v>
      </c>
      <c r="I44" t="s">
        <v>111</v>
      </c>
      <c r="J44" t="s">
        <v>63</v>
      </c>
      <c r="K44" s="2">
        <v>45805</v>
      </c>
      <c r="L44" s="2">
        <v>45895</v>
      </c>
      <c r="M44" t="s">
        <v>38</v>
      </c>
      <c r="N44" t="s">
        <v>49</v>
      </c>
      <c r="O44">
        <v>0</v>
      </c>
      <c r="P44" t="s">
        <v>62</v>
      </c>
      <c r="Q44" s="2">
        <v>46316</v>
      </c>
      <c r="R44" t="s">
        <v>57</v>
      </c>
    </row>
    <row r="45" spans="1:18" x14ac:dyDescent="0.2">
      <c r="A45" t="s">
        <v>71</v>
      </c>
      <c r="B45" t="s">
        <v>156</v>
      </c>
      <c r="C45" t="s">
        <v>78</v>
      </c>
      <c r="D45" t="s">
        <v>79</v>
      </c>
      <c r="E45" t="s">
        <v>44</v>
      </c>
      <c r="F45" t="s">
        <v>45</v>
      </c>
      <c r="G45" t="s">
        <v>61</v>
      </c>
      <c r="H45" t="s">
        <v>47</v>
      </c>
      <c r="I45" t="s">
        <v>62</v>
      </c>
      <c r="J45" t="s">
        <v>37</v>
      </c>
      <c r="K45" s="2">
        <v>46108</v>
      </c>
      <c r="L45" s="2">
        <v>46198</v>
      </c>
      <c r="M45" t="s">
        <v>38</v>
      </c>
      <c r="N45" t="s">
        <v>75</v>
      </c>
      <c r="O45">
        <v>2</v>
      </c>
      <c r="P45" t="s">
        <v>56</v>
      </c>
      <c r="Q45" s="2">
        <v>46287</v>
      </c>
      <c r="R45" t="s">
        <v>38</v>
      </c>
    </row>
    <row r="46" spans="1:18" x14ac:dyDescent="0.2">
      <c r="A46" t="s">
        <v>76</v>
      </c>
      <c r="B46" t="s">
        <v>157</v>
      </c>
      <c r="C46" t="s">
        <v>31</v>
      </c>
      <c r="D46" t="s">
        <v>87</v>
      </c>
      <c r="E46" t="s">
        <v>105</v>
      </c>
      <c r="F46" t="s">
        <v>45</v>
      </c>
      <c r="G46" t="s">
        <v>61</v>
      </c>
      <c r="H46" t="s">
        <v>36</v>
      </c>
      <c r="I46" t="s">
        <v>39</v>
      </c>
      <c r="J46" t="s">
        <v>48</v>
      </c>
      <c r="K46" s="2">
        <v>46096</v>
      </c>
      <c r="L46" s="2">
        <v>46186</v>
      </c>
      <c r="M46" t="s">
        <v>38</v>
      </c>
      <c r="N46" t="s">
        <v>49</v>
      </c>
      <c r="O46">
        <v>0</v>
      </c>
      <c r="P46" t="s">
        <v>39</v>
      </c>
      <c r="Q46" s="2">
        <v>46135</v>
      </c>
      <c r="R46" t="s">
        <v>57</v>
      </c>
    </row>
    <row r="47" spans="1:18" x14ac:dyDescent="0.2">
      <c r="A47" t="s">
        <v>81</v>
      </c>
      <c r="B47" t="s">
        <v>158</v>
      </c>
      <c r="C47" t="s">
        <v>31</v>
      </c>
      <c r="D47" t="s">
        <v>32</v>
      </c>
      <c r="E47" t="s">
        <v>44</v>
      </c>
      <c r="F47" t="s">
        <v>34</v>
      </c>
      <c r="G47" t="s">
        <v>35</v>
      </c>
      <c r="H47" t="s">
        <v>47</v>
      </c>
      <c r="I47" t="s">
        <v>70</v>
      </c>
      <c r="J47" t="s">
        <v>48</v>
      </c>
      <c r="K47" s="2">
        <v>45987</v>
      </c>
      <c r="L47" s="2">
        <v>46077</v>
      </c>
      <c r="M47" t="s">
        <v>38</v>
      </c>
      <c r="N47" t="s">
        <v>75</v>
      </c>
      <c r="O47">
        <v>2</v>
      </c>
      <c r="P47" t="s">
        <v>56</v>
      </c>
      <c r="Q47" s="2">
        <v>46303</v>
      </c>
      <c r="R47" t="s">
        <v>64</v>
      </c>
    </row>
    <row r="48" spans="1:18" x14ac:dyDescent="0.2">
      <c r="A48" t="s">
        <v>85</v>
      </c>
      <c r="B48" t="s">
        <v>159</v>
      </c>
      <c r="C48" t="s">
        <v>42</v>
      </c>
      <c r="D48" t="s">
        <v>43</v>
      </c>
      <c r="E48" t="s">
        <v>53</v>
      </c>
      <c r="F48" t="s">
        <v>45</v>
      </c>
      <c r="G48" t="s">
        <v>46</v>
      </c>
      <c r="H48" t="s">
        <v>88</v>
      </c>
      <c r="I48" t="s">
        <v>62</v>
      </c>
      <c r="J48" t="s">
        <v>63</v>
      </c>
      <c r="K48" s="2">
        <v>46072</v>
      </c>
      <c r="L48" s="2">
        <v>46437</v>
      </c>
      <c r="M48" t="s">
        <v>64</v>
      </c>
      <c r="N48" t="s">
        <v>49</v>
      </c>
      <c r="O48">
        <v>1</v>
      </c>
      <c r="P48" t="s">
        <v>70</v>
      </c>
      <c r="Q48" s="2">
        <v>46167</v>
      </c>
      <c r="R48" t="s">
        <v>38</v>
      </c>
    </row>
    <row r="49" spans="1:18" x14ac:dyDescent="0.2">
      <c r="A49" t="s">
        <v>89</v>
      </c>
      <c r="B49" t="s">
        <v>160</v>
      </c>
      <c r="C49" t="s">
        <v>73</v>
      </c>
      <c r="D49" t="s">
        <v>74</v>
      </c>
      <c r="E49" t="s">
        <v>53</v>
      </c>
      <c r="F49" t="s">
        <v>34</v>
      </c>
      <c r="G49" t="s">
        <v>35</v>
      </c>
      <c r="H49" t="s">
        <v>88</v>
      </c>
      <c r="I49" t="s">
        <v>106</v>
      </c>
      <c r="J49" t="s">
        <v>37</v>
      </c>
      <c r="K49" s="2">
        <v>46240</v>
      </c>
      <c r="L49" s="2">
        <v>46605</v>
      </c>
      <c r="M49" t="s">
        <v>84</v>
      </c>
      <c r="N49" t="s">
        <v>75</v>
      </c>
      <c r="O49">
        <v>3</v>
      </c>
      <c r="P49" t="s">
        <v>50</v>
      </c>
      <c r="Q49" s="2">
        <v>46169</v>
      </c>
      <c r="R49" t="s">
        <v>38</v>
      </c>
    </row>
    <row r="50" spans="1:18" x14ac:dyDescent="0.2">
      <c r="A50" t="s">
        <v>92</v>
      </c>
      <c r="B50" t="s">
        <v>161</v>
      </c>
      <c r="C50" t="s">
        <v>31</v>
      </c>
      <c r="D50" t="s">
        <v>32</v>
      </c>
      <c r="E50" t="s">
        <v>91</v>
      </c>
      <c r="F50" t="s">
        <v>67</v>
      </c>
      <c r="G50" t="s">
        <v>68</v>
      </c>
      <c r="H50" t="s">
        <v>88</v>
      </c>
      <c r="I50" t="s">
        <v>56</v>
      </c>
      <c r="J50" t="s">
        <v>37</v>
      </c>
      <c r="K50" s="2">
        <v>45960</v>
      </c>
      <c r="L50" s="2">
        <v>46325</v>
      </c>
      <c r="M50" t="s">
        <v>69</v>
      </c>
      <c r="N50" t="s">
        <v>75</v>
      </c>
      <c r="O50">
        <v>2</v>
      </c>
      <c r="P50" t="s">
        <v>54</v>
      </c>
      <c r="Q50" s="2">
        <v>46280</v>
      </c>
      <c r="R50" t="s">
        <v>38</v>
      </c>
    </row>
    <row r="51" spans="1:18" x14ac:dyDescent="0.2">
      <c r="A51" t="s">
        <v>94</v>
      </c>
      <c r="B51" t="s">
        <v>162</v>
      </c>
      <c r="C51" t="s">
        <v>42</v>
      </c>
      <c r="D51" t="s">
        <v>43</v>
      </c>
      <c r="E51" t="s">
        <v>53</v>
      </c>
      <c r="F51" t="s">
        <v>67</v>
      </c>
      <c r="G51" t="s">
        <v>118</v>
      </c>
      <c r="H51" t="s">
        <v>47</v>
      </c>
      <c r="I51" t="s">
        <v>106</v>
      </c>
      <c r="J51" t="s">
        <v>48</v>
      </c>
      <c r="K51" s="2">
        <v>46182</v>
      </c>
      <c r="L51" s="2">
        <v>46362</v>
      </c>
      <c r="M51" t="s">
        <v>64</v>
      </c>
      <c r="N51" t="s">
        <v>75</v>
      </c>
      <c r="O51">
        <v>2</v>
      </c>
      <c r="P51" t="s">
        <v>54</v>
      </c>
      <c r="Q51" s="2">
        <v>46258</v>
      </c>
      <c r="R51" t="s">
        <v>38</v>
      </c>
    </row>
    <row r="52" spans="1:18" x14ac:dyDescent="0.2">
      <c r="A52" t="s">
        <v>99</v>
      </c>
      <c r="B52" t="s">
        <v>163</v>
      </c>
      <c r="C52" t="s">
        <v>31</v>
      </c>
      <c r="D52" t="s">
        <v>87</v>
      </c>
      <c r="E52" t="s">
        <v>91</v>
      </c>
      <c r="F52" t="s">
        <v>45</v>
      </c>
      <c r="G52" t="s">
        <v>46</v>
      </c>
      <c r="H52" t="s">
        <v>88</v>
      </c>
      <c r="J52" t="s">
        <v>37</v>
      </c>
      <c r="K52" s="2">
        <v>45991</v>
      </c>
      <c r="L52" s="2">
        <v>46081</v>
      </c>
      <c r="M52" t="s">
        <v>38</v>
      </c>
      <c r="N52" t="s">
        <v>49</v>
      </c>
      <c r="O52">
        <v>3</v>
      </c>
      <c r="P52" t="s">
        <v>54</v>
      </c>
      <c r="Q52" s="2">
        <v>46366</v>
      </c>
      <c r="R52" t="s">
        <v>84</v>
      </c>
    </row>
    <row r="53" spans="1:18" x14ac:dyDescent="0.2">
      <c r="A53" t="s">
        <v>101</v>
      </c>
      <c r="B53" t="s">
        <v>164</v>
      </c>
      <c r="C53" t="s">
        <v>42</v>
      </c>
      <c r="D53" t="s">
        <v>43</v>
      </c>
      <c r="E53" t="s">
        <v>53</v>
      </c>
      <c r="F53" t="s">
        <v>67</v>
      </c>
      <c r="G53" t="s">
        <v>68</v>
      </c>
      <c r="H53" t="s">
        <v>88</v>
      </c>
      <c r="I53" t="s">
        <v>106</v>
      </c>
      <c r="J53" t="s">
        <v>37</v>
      </c>
      <c r="K53" s="2">
        <v>46033</v>
      </c>
      <c r="L53" s="2">
        <v>46398</v>
      </c>
      <c r="M53" t="s">
        <v>64</v>
      </c>
      <c r="N53" t="s">
        <v>75</v>
      </c>
      <c r="O53">
        <v>2</v>
      </c>
      <c r="P53" t="s">
        <v>54</v>
      </c>
      <c r="Q53" s="2">
        <v>46295</v>
      </c>
      <c r="R53" t="s">
        <v>84</v>
      </c>
    </row>
    <row r="54" spans="1:18" x14ac:dyDescent="0.2">
      <c r="A54" t="s">
        <v>107</v>
      </c>
      <c r="B54" t="s">
        <v>165</v>
      </c>
      <c r="C54" t="s">
        <v>42</v>
      </c>
      <c r="D54" t="s">
        <v>43</v>
      </c>
      <c r="E54" t="s">
        <v>53</v>
      </c>
      <c r="F54" t="s">
        <v>45</v>
      </c>
      <c r="G54" t="s">
        <v>46</v>
      </c>
      <c r="H54" t="s">
        <v>47</v>
      </c>
      <c r="I54" t="s">
        <v>50</v>
      </c>
      <c r="J54" t="s">
        <v>48</v>
      </c>
      <c r="K54" s="2">
        <v>46177</v>
      </c>
      <c r="L54" s="2">
        <v>46267</v>
      </c>
      <c r="M54" t="s">
        <v>38</v>
      </c>
      <c r="N54" t="s">
        <v>49</v>
      </c>
      <c r="O54">
        <v>3</v>
      </c>
      <c r="P54" t="s">
        <v>56</v>
      </c>
      <c r="Q54" s="2">
        <v>46256</v>
      </c>
      <c r="R54" t="s">
        <v>38</v>
      </c>
    </row>
    <row r="55" spans="1:18" x14ac:dyDescent="0.2">
      <c r="A55" t="s">
        <v>109</v>
      </c>
      <c r="B55" t="s">
        <v>166</v>
      </c>
      <c r="C55" t="s">
        <v>96</v>
      </c>
      <c r="D55" t="s">
        <v>97</v>
      </c>
      <c r="E55" t="s">
        <v>44</v>
      </c>
      <c r="F55" t="s">
        <v>45</v>
      </c>
      <c r="G55" t="s">
        <v>61</v>
      </c>
      <c r="H55" t="s">
        <v>88</v>
      </c>
      <c r="I55" t="s">
        <v>50</v>
      </c>
      <c r="J55" t="s">
        <v>48</v>
      </c>
      <c r="K55" s="2">
        <v>46135</v>
      </c>
      <c r="L55" s="2">
        <v>46225</v>
      </c>
      <c r="M55" t="s">
        <v>38</v>
      </c>
      <c r="N55" t="s">
        <v>55</v>
      </c>
      <c r="O55">
        <v>2</v>
      </c>
      <c r="P55" t="s">
        <v>56</v>
      </c>
      <c r="Q55" s="2">
        <v>46179</v>
      </c>
      <c r="R55" t="s">
        <v>38</v>
      </c>
    </row>
    <row r="56" spans="1:18" x14ac:dyDescent="0.2">
      <c r="A56" t="s">
        <v>112</v>
      </c>
      <c r="B56" t="s">
        <v>167</v>
      </c>
      <c r="C56" t="s">
        <v>31</v>
      </c>
      <c r="D56" t="s">
        <v>87</v>
      </c>
      <c r="E56" t="s">
        <v>80</v>
      </c>
      <c r="F56" t="s">
        <v>67</v>
      </c>
      <c r="G56" t="s">
        <v>118</v>
      </c>
      <c r="H56" t="s">
        <v>88</v>
      </c>
      <c r="I56" t="s">
        <v>39</v>
      </c>
      <c r="J56" t="s">
        <v>48</v>
      </c>
      <c r="K56" s="2">
        <v>46146</v>
      </c>
      <c r="L56" s="2">
        <v>46326</v>
      </c>
      <c r="M56" t="s">
        <v>64</v>
      </c>
      <c r="N56" t="s">
        <v>55</v>
      </c>
      <c r="O56">
        <v>3</v>
      </c>
      <c r="P56" t="s">
        <v>56</v>
      </c>
      <c r="Q56" s="2">
        <v>46366</v>
      </c>
      <c r="R56" t="s">
        <v>64</v>
      </c>
    </row>
    <row r="57" spans="1:18" x14ac:dyDescent="0.2">
      <c r="A57" t="s">
        <v>114</v>
      </c>
      <c r="B57" t="s">
        <v>168</v>
      </c>
      <c r="C57" t="s">
        <v>42</v>
      </c>
      <c r="D57" t="s">
        <v>43</v>
      </c>
      <c r="E57" t="s">
        <v>105</v>
      </c>
      <c r="F57" t="s">
        <v>45</v>
      </c>
      <c r="G57" t="s">
        <v>46</v>
      </c>
      <c r="H57" t="s">
        <v>88</v>
      </c>
      <c r="I57" t="s">
        <v>62</v>
      </c>
      <c r="J57" t="s">
        <v>63</v>
      </c>
      <c r="K57" s="2">
        <v>45965</v>
      </c>
      <c r="L57" s="2">
        <v>46330</v>
      </c>
      <c r="M57" t="s">
        <v>84</v>
      </c>
      <c r="N57" t="s">
        <v>49</v>
      </c>
      <c r="O57">
        <v>3</v>
      </c>
      <c r="P57" t="s">
        <v>62</v>
      </c>
      <c r="Q57" s="2">
        <v>46345</v>
      </c>
      <c r="R57" t="s">
        <v>84</v>
      </c>
    </row>
    <row r="58" spans="1:18" x14ac:dyDescent="0.2">
      <c r="A58" t="s">
        <v>116</v>
      </c>
      <c r="B58" t="s">
        <v>169</v>
      </c>
      <c r="C58" t="s">
        <v>31</v>
      </c>
      <c r="D58" t="s">
        <v>83</v>
      </c>
      <c r="E58" t="s">
        <v>60</v>
      </c>
      <c r="F58" t="s">
        <v>67</v>
      </c>
      <c r="G58" t="s">
        <v>170</v>
      </c>
      <c r="H58" t="s">
        <v>98</v>
      </c>
      <c r="I58" t="s">
        <v>70</v>
      </c>
      <c r="J58" t="s">
        <v>48</v>
      </c>
      <c r="K58" s="2">
        <v>45885</v>
      </c>
      <c r="L58" s="2">
        <v>45975</v>
      </c>
      <c r="M58" t="s">
        <v>38</v>
      </c>
      <c r="N58" t="s">
        <v>49</v>
      </c>
      <c r="O58">
        <v>1</v>
      </c>
      <c r="P58" t="s">
        <v>70</v>
      </c>
      <c r="Q58" s="2">
        <v>46250</v>
      </c>
      <c r="R58" t="s">
        <v>38</v>
      </c>
    </row>
    <row r="59" spans="1:18" x14ac:dyDescent="0.2">
      <c r="A59" t="s">
        <v>119</v>
      </c>
      <c r="B59" t="s">
        <v>171</v>
      </c>
      <c r="C59" t="s">
        <v>96</v>
      </c>
      <c r="D59" t="s">
        <v>97</v>
      </c>
      <c r="E59" t="s">
        <v>80</v>
      </c>
      <c r="F59" t="s">
        <v>45</v>
      </c>
      <c r="G59" t="s">
        <v>46</v>
      </c>
      <c r="H59" t="s">
        <v>88</v>
      </c>
      <c r="I59" t="s">
        <v>111</v>
      </c>
      <c r="J59" t="s">
        <v>63</v>
      </c>
      <c r="K59" s="2">
        <v>46126</v>
      </c>
      <c r="L59" s="2">
        <v>46216</v>
      </c>
      <c r="M59" t="s">
        <v>38</v>
      </c>
      <c r="N59" t="s">
        <v>55</v>
      </c>
      <c r="O59">
        <v>2</v>
      </c>
      <c r="P59" t="s">
        <v>54</v>
      </c>
      <c r="Q59" s="2">
        <v>46259</v>
      </c>
      <c r="R59" t="s">
        <v>38</v>
      </c>
    </row>
    <row r="60" spans="1:18" x14ac:dyDescent="0.2">
      <c r="A60" t="s">
        <v>172</v>
      </c>
      <c r="B60" t="s">
        <v>173</v>
      </c>
      <c r="C60" t="s">
        <v>42</v>
      </c>
      <c r="D60" t="s">
        <v>43</v>
      </c>
      <c r="E60" t="s">
        <v>80</v>
      </c>
      <c r="F60" t="s">
        <v>67</v>
      </c>
      <c r="G60" t="s">
        <v>68</v>
      </c>
      <c r="H60" t="s">
        <v>47</v>
      </c>
      <c r="I60" t="s">
        <v>54</v>
      </c>
      <c r="J60" t="s">
        <v>63</v>
      </c>
      <c r="K60" s="2">
        <v>45944</v>
      </c>
      <c r="L60" s="2">
        <v>46034</v>
      </c>
      <c r="M60" t="s">
        <v>38</v>
      </c>
      <c r="N60" t="s">
        <v>75</v>
      </c>
      <c r="O60">
        <v>1</v>
      </c>
      <c r="P60" t="s">
        <v>56</v>
      </c>
      <c r="Q60" s="2">
        <v>46151</v>
      </c>
      <c r="R60" t="s">
        <v>64</v>
      </c>
    </row>
    <row r="61" spans="1:18" x14ac:dyDescent="0.2">
      <c r="A61" t="s">
        <v>174</v>
      </c>
      <c r="B61" t="s">
        <v>175</v>
      </c>
      <c r="C61" t="s">
        <v>78</v>
      </c>
      <c r="D61" t="s">
        <v>79</v>
      </c>
      <c r="E61" t="s">
        <v>80</v>
      </c>
      <c r="F61" t="s">
        <v>67</v>
      </c>
      <c r="G61" t="s">
        <v>68</v>
      </c>
      <c r="H61" t="s">
        <v>88</v>
      </c>
      <c r="I61" t="s">
        <v>62</v>
      </c>
      <c r="J61" t="s">
        <v>37</v>
      </c>
      <c r="K61" s="2">
        <v>46136</v>
      </c>
      <c r="L61" s="2">
        <v>46501</v>
      </c>
      <c r="M61" t="s">
        <v>64</v>
      </c>
      <c r="N61" t="s">
        <v>75</v>
      </c>
      <c r="O61">
        <v>0</v>
      </c>
      <c r="P61" t="s">
        <v>56</v>
      </c>
      <c r="Q61" s="2">
        <v>46135</v>
      </c>
      <c r="R61" t="s">
        <v>57</v>
      </c>
    </row>
    <row r="62" spans="1:18" x14ac:dyDescent="0.2">
      <c r="A62" t="s">
        <v>176</v>
      </c>
      <c r="B62" t="s">
        <v>177</v>
      </c>
      <c r="C62" t="s">
        <v>31</v>
      </c>
      <c r="D62" t="s">
        <v>83</v>
      </c>
      <c r="E62" t="s">
        <v>44</v>
      </c>
      <c r="F62" t="s">
        <v>45</v>
      </c>
      <c r="G62" t="s">
        <v>46</v>
      </c>
      <c r="H62" t="s">
        <v>98</v>
      </c>
      <c r="I62" t="s">
        <v>39</v>
      </c>
      <c r="J62" t="s">
        <v>63</v>
      </c>
      <c r="K62" s="2">
        <v>45884</v>
      </c>
      <c r="L62" s="2">
        <v>46249</v>
      </c>
      <c r="M62" t="s">
        <v>38</v>
      </c>
      <c r="N62" t="s">
        <v>75</v>
      </c>
      <c r="O62">
        <v>4</v>
      </c>
      <c r="P62" t="s">
        <v>111</v>
      </c>
      <c r="Q62" s="2">
        <v>46135</v>
      </c>
      <c r="R62" t="s">
        <v>38</v>
      </c>
    </row>
    <row r="63" spans="1:18" x14ac:dyDescent="0.2">
      <c r="A63" t="s">
        <v>178</v>
      </c>
      <c r="B63" t="s">
        <v>179</v>
      </c>
      <c r="C63" t="s">
        <v>73</v>
      </c>
      <c r="D63" t="s">
        <v>74</v>
      </c>
      <c r="E63" t="s">
        <v>60</v>
      </c>
      <c r="F63" t="s">
        <v>67</v>
      </c>
      <c r="G63" t="s">
        <v>68</v>
      </c>
      <c r="H63" t="s">
        <v>88</v>
      </c>
      <c r="I63" t="s">
        <v>111</v>
      </c>
      <c r="J63" t="s">
        <v>63</v>
      </c>
      <c r="K63" s="2">
        <v>46229</v>
      </c>
      <c r="L63" s="2">
        <v>46409</v>
      </c>
      <c r="M63" t="s">
        <v>64</v>
      </c>
      <c r="N63" t="s">
        <v>75</v>
      </c>
      <c r="O63">
        <v>2</v>
      </c>
      <c r="P63" t="s">
        <v>111</v>
      </c>
      <c r="Q63" s="2">
        <v>46168</v>
      </c>
      <c r="R63" t="s">
        <v>38</v>
      </c>
    </row>
    <row r="64" spans="1:18" x14ac:dyDescent="0.2">
      <c r="A64" t="s">
        <v>180</v>
      </c>
      <c r="B64" t="s">
        <v>181</v>
      </c>
      <c r="C64" t="s">
        <v>31</v>
      </c>
      <c r="D64" t="s">
        <v>87</v>
      </c>
      <c r="E64" t="s">
        <v>60</v>
      </c>
      <c r="F64" t="s">
        <v>67</v>
      </c>
      <c r="G64" t="s">
        <v>118</v>
      </c>
      <c r="H64" t="s">
        <v>47</v>
      </c>
      <c r="I64" t="s">
        <v>70</v>
      </c>
      <c r="J64" t="s">
        <v>63</v>
      </c>
      <c r="K64" s="2">
        <v>46114</v>
      </c>
      <c r="L64" s="2">
        <v>46294</v>
      </c>
      <c r="M64" t="s">
        <v>38</v>
      </c>
      <c r="N64" t="s">
        <v>75</v>
      </c>
      <c r="O64">
        <v>0</v>
      </c>
      <c r="P64" t="s">
        <v>111</v>
      </c>
      <c r="Q64" s="2">
        <v>46321</v>
      </c>
      <c r="R64" t="s">
        <v>57</v>
      </c>
    </row>
    <row r="65" spans="1:18" x14ac:dyDescent="0.2">
      <c r="A65" t="s">
        <v>182</v>
      </c>
      <c r="B65" t="s">
        <v>183</v>
      </c>
      <c r="C65" t="s">
        <v>42</v>
      </c>
      <c r="D65" t="s">
        <v>43</v>
      </c>
      <c r="E65" t="s">
        <v>44</v>
      </c>
      <c r="F65" t="s">
        <v>67</v>
      </c>
      <c r="G65" t="s">
        <v>68</v>
      </c>
      <c r="H65" t="s">
        <v>88</v>
      </c>
      <c r="I65" t="s">
        <v>111</v>
      </c>
      <c r="J65" t="s">
        <v>63</v>
      </c>
      <c r="K65" s="2">
        <v>45955</v>
      </c>
      <c r="L65" s="2">
        <v>46135</v>
      </c>
      <c r="M65" t="s">
        <v>38</v>
      </c>
      <c r="N65" t="s">
        <v>55</v>
      </c>
      <c r="O65">
        <v>1</v>
      </c>
      <c r="P65" t="s">
        <v>111</v>
      </c>
      <c r="Q65" s="2">
        <v>46251</v>
      </c>
      <c r="R65" t="s">
        <v>38</v>
      </c>
    </row>
    <row r="66" spans="1:18" x14ac:dyDescent="0.2">
      <c r="A66" t="s">
        <v>184</v>
      </c>
      <c r="B66" t="s">
        <v>185</v>
      </c>
      <c r="C66" t="s">
        <v>78</v>
      </c>
      <c r="D66" t="s">
        <v>79</v>
      </c>
      <c r="E66" t="s">
        <v>91</v>
      </c>
      <c r="F66" t="s">
        <v>45</v>
      </c>
      <c r="G66" t="s">
        <v>46</v>
      </c>
      <c r="H66" t="s">
        <v>88</v>
      </c>
      <c r="I66" t="s">
        <v>54</v>
      </c>
      <c r="J66" t="s">
        <v>48</v>
      </c>
      <c r="K66" s="2">
        <v>45912</v>
      </c>
      <c r="L66" s="2">
        <v>46002</v>
      </c>
      <c r="M66" t="s">
        <v>38</v>
      </c>
      <c r="N66" t="s">
        <v>75</v>
      </c>
      <c r="O66">
        <v>0</v>
      </c>
      <c r="P66" t="s">
        <v>70</v>
      </c>
      <c r="Q66" s="2">
        <v>46397</v>
      </c>
      <c r="R66" t="s">
        <v>57</v>
      </c>
    </row>
    <row r="67" spans="1:18" x14ac:dyDescent="0.2">
      <c r="A67" t="s">
        <v>186</v>
      </c>
      <c r="B67" t="s">
        <v>187</v>
      </c>
      <c r="C67" t="s">
        <v>96</v>
      </c>
      <c r="D67" t="s">
        <v>97</v>
      </c>
      <c r="E67" t="s">
        <v>91</v>
      </c>
      <c r="F67" t="s">
        <v>67</v>
      </c>
      <c r="G67" t="s">
        <v>68</v>
      </c>
      <c r="H67" t="s">
        <v>36</v>
      </c>
      <c r="I67" t="s">
        <v>111</v>
      </c>
      <c r="J67" t="s">
        <v>48</v>
      </c>
      <c r="K67" s="2">
        <v>45798</v>
      </c>
      <c r="L67" s="2">
        <v>46163</v>
      </c>
      <c r="M67" t="s">
        <v>38</v>
      </c>
      <c r="N67" t="s">
        <v>75</v>
      </c>
      <c r="O67">
        <v>4</v>
      </c>
      <c r="P67" t="s">
        <v>111</v>
      </c>
      <c r="Q67" s="2">
        <v>46254</v>
      </c>
      <c r="R67" t="s">
        <v>38</v>
      </c>
    </row>
    <row r="68" spans="1:18" x14ac:dyDescent="0.2">
      <c r="A68" t="s">
        <v>188</v>
      </c>
      <c r="B68" t="s">
        <v>189</v>
      </c>
      <c r="C68" t="s">
        <v>42</v>
      </c>
      <c r="D68" t="s">
        <v>43</v>
      </c>
      <c r="E68" t="s">
        <v>80</v>
      </c>
      <c r="F68" t="s">
        <v>34</v>
      </c>
      <c r="G68" t="s">
        <v>35</v>
      </c>
      <c r="H68" t="s">
        <v>47</v>
      </c>
      <c r="I68" t="s">
        <v>50</v>
      </c>
      <c r="J68" t="s">
        <v>48</v>
      </c>
      <c r="K68" s="2">
        <v>45833</v>
      </c>
      <c r="L68" s="2">
        <v>45923</v>
      </c>
      <c r="M68" t="s">
        <v>38</v>
      </c>
      <c r="N68" t="s">
        <v>75</v>
      </c>
      <c r="O68">
        <v>3</v>
      </c>
      <c r="P68" t="s">
        <v>56</v>
      </c>
      <c r="Q68" s="2">
        <v>46289</v>
      </c>
      <c r="R68" t="s">
        <v>38</v>
      </c>
    </row>
    <row r="69" spans="1:18" x14ac:dyDescent="0.2">
      <c r="A69" t="s">
        <v>190</v>
      </c>
      <c r="B69" t="s">
        <v>191</v>
      </c>
      <c r="C69" t="s">
        <v>78</v>
      </c>
      <c r="D69" t="s">
        <v>79</v>
      </c>
      <c r="E69" t="s">
        <v>60</v>
      </c>
      <c r="F69" t="s">
        <v>34</v>
      </c>
      <c r="G69" t="s">
        <v>35</v>
      </c>
      <c r="H69" t="s">
        <v>88</v>
      </c>
      <c r="I69" t="s">
        <v>111</v>
      </c>
      <c r="J69" t="s">
        <v>37</v>
      </c>
      <c r="K69" s="2">
        <v>45832</v>
      </c>
      <c r="L69" s="2">
        <v>45922</v>
      </c>
      <c r="M69" t="s">
        <v>38</v>
      </c>
      <c r="N69" t="s">
        <v>75</v>
      </c>
      <c r="O69">
        <v>3</v>
      </c>
      <c r="P69" t="s">
        <v>54</v>
      </c>
      <c r="Q69" s="2">
        <v>46291</v>
      </c>
      <c r="R69" t="s">
        <v>64</v>
      </c>
    </row>
    <row r="70" spans="1:18" x14ac:dyDescent="0.2">
      <c r="A70" t="s">
        <v>192</v>
      </c>
      <c r="B70" t="s">
        <v>193</v>
      </c>
      <c r="C70" t="s">
        <v>31</v>
      </c>
      <c r="D70" t="s">
        <v>83</v>
      </c>
      <c r="E70" t="s">
        <v>60</v>
      </c>
      <c r="F70" t="s">
        <v>34</v>
      </c>
      <c r="G70" t="s">
        <v>35</v>
      </c>
      <c r="H70" t="s">
        <v>88</v>
      </c>
      <c r="I70" t="s">
        <v>62</v>
      </c>
      <c r="J70" t="s">
        <v>63</v>
      </c>
      <c r="K70" s="2">
        <v>46253</v>
      </c>
      <c r="L70" s="2">
        <v>46433</v>
      </c>
      <c r="M70" t="s">
        <v>69</v>
      </c>
      <c r="N70" t="s">
        <v>75</v>
      </c>
      <c r="O70">
        <v>1</v>
      </c>
      <c r="P70" t="s">
        <v>106</v>
      </c>
      <c r="Q70" s="2">
        <v>46368</v>
      </c>
      <c r="R70" t="s">
        <v>84</v>
      </c>
    </row>
    <row r="71" spans="1:18" x14ac:dyDescent="0.2">
      <c r="A71" t="s">
        <v>194</v>
      </c>
      <c r="B71" t="s">
        <v>195</v>
      </c>
      <c r="C71" t="s">
        <v>42</v>
      </c>
      <c r="D71" t="s">
        <v>43</v>
      </c>
      <c r="E71" t="s">
        <v>105</v>
      </c>
      <c r="F71" t="s">
        <v>45</v>
      </c>
      <c r="G71" t="s">
        <v>61</v>
      </c>
      <c r="H71" t="s">
        <v>88</v>
      </c>
      <c r="I71" t="s">
        <v>111</v>
      </c>
      <c r="J71" t="s">
        <v>63</v>
      </c>
      <c r="K71" s="2">
        <v>46268</v>
      </c>
      <c r="L71" s="2">
        <v>46633</v>
      </c>
      <c r="M71" t="s">
        <v>64</v>
      </c>
      <c r="N71" t="s">
        <v>49</v>
      </c>
      <c r="O71">
        <v>1</v>
      </c>
      <c r="P71" t="s">
        <v>62</v>
      </c>
      <c r="Q71" s="2">
        <v>46153</v>
      </c>
      <c r="R71" t="s">
        <v>38</v>
      </c>
    </row>
    <row r="72" spans="1:18" x14ac:dyDescent="0.2">
      <c r="A72" t="s">
        <v>196</v>
      </c>
      <c r="B72" t="s">
        <v>197</v>
      </c>
      <c r="C72" t="s">
        <v>103</v>
      </c>
      <c r="D72" t="s">
        <v>104</v>
      </c>
      <c r="E72" t="s">
        <v>53</v>
      </c>
      <c r="F72" t="s">
        <v>34</v>
      </c>
      <c r="G72" t="s">
        <v>35</v>
      </c>
      <c r="H72" t="s">
        <v>36</v>
      </c>
      <c r="I72" t="s">
        <v>62</v>
      </c>
      <c r="J72" t="s">
        <v>63</v>
      </c>
      <c r="K72" s="2">
        <v>46113</v>
      </c>
      <c r="L72" s="2">
        <v>46478</v>
      </c>
      <c r="M72" t="s">
        <v>69</v>
      </c>
      <c r="N72" t="s">
        <v>49</v>
      </c>
      <c r="O72">
        <v>0</v>
      </c>
      <c r="P72" t="s">
        <v>56</v>
      </c>
      <c r="Q72" s="2">
        <v>46150</v>
      </c>
      <c r="R72" t="s">
        <v>57</v>
      </c>
    </row>
    <row r="73" spans="1:18" x14ac:dyDescent="0.2">
      <c r="A73" t="s">
        <v>198</v>
      </c>
      <c r="B73" t="s">
        <v>199</v>
      </c>
      <c r="C73" t="s">
        <v>31</v>
      </c>
      <c r="D73" t="s">
        <v>87</v>
      </c>
      <c r="E73" t="s">
        <v>80</v>
      </c>
      <c r="F73" t="s">
        <v>45</v>
      </c>
      <c r="G73" t="s">
        <v>46</v>
      </c>
      <c r="H73" t="s">
        <v>98</v>
      </c>
      <c r="I73" t="s">
        <v>70</v>
      </c>
      <c r="J73" t="s">
        <v>37</v>
      </c>
      <c r="K73" s="2">
        <v>46048</v>
      </c>
      <c r="L73" s="2">
        <v>46138</v>
      </c>
      <c r="M73" t="s">
        <v>38</v>
      </c>
      <c r="N73" t="s">
        <v>49</v>
      </c>
      <c r="O73">
        <v>2</v>
      </c>
      <c r="P73" t="s">
        <v>106</v>
      </c>
      <c r="Q73" s="2">
        <v>46129</v>
      </c>
      <c r="R73" t="s">
        <v>64</v>
      </c>
    </row>
    <row r="74" spans="1:18" x14ac:dyDescent="0.2">
      <c r="A74" t="s">
        <v>200</v>
      </c>
      <c r="B74" t="s">
        <v>201</v>
      </c>
      <c r="C74" t="s">
        <v>31</v>
      </c>
      <c r="D74" t="s">
        <v>83</v>
      </c>
      <c r="E74" t="s">
        <v>44</v>
      </c>
      <c r="F74" t="s">
        <v>67</v>
      </c>
      <c r="G74" t="s">
        <v>68</v>
      </c>
      <c r="H74" t="s">
        <v>88</v>
      </c>
      <c r="I74" t="s">
        <v>50</v>
      </c>
      <c r="J74" t="s">
        <v>37</v>
      </c>
      <c r="K74" s="2">
        <v>46188</v>
      </c>
      <c r="L74" s="2">
        <v>46278</v>
      </c>
      <c r="M74" t="s">
        <v>38</v>
      </c>
      <c r="N74" t="s">
        <v>55</v>
      </c>
      <c r="O74">
        <v>3</v>
      </c>
      <c r="P74" t="s">
        <v>56</v>
      </c>
      <c r="Q74" s="2">
        <v>46238</v>
      </c>
      <c r="R74" t="s">
        <v>38</v>
      </c>
    </row>
    <row r="75" spans="1:18" x14ac:dyDescent="0.2">
      <c r="A75" t="s">
        <v>202</v>
      </c>
      <c r="B75" t="s">
        <v>203</v>
      </c>
      <c r="C75" t="s">
        <v>73</v>
      </c>
      <c r="D75" t="s">
        <v>74</v>
      </c>
      <c r="E75" t="s">
        <v>91</v>
      </c>
      <c r="F75" t="s">
        <v>67</v>
      </c>
      <c r="G75" t="s">
        <v>118</v>
      </c>
      <c r="H75" t="s">
        <v>47</v>
      </c>
      <c r="I75" t="s">
        <v>111</v>
      </c>
      <c r="J75" t="s">
        <v>37</v>
      </c>
      <c r="K75" s="2">
        <v>45814</v>
      </c>
      <c r="L75" s="2">
        <v>45994</v>
      </c>
      <c r="M75" t="s">
        <v>38</v>
      </c>
      <c r="N75" t="s">
        <v>49</v>
      </c>
      <c r="O75">
        <v>1</v>
      </c>
      <c r="P75" t="s">
        <v>62</v>
      </c>
      <c r="Q75" s="2">
        <v>46152</v>
      </c>
      <c r="R75" t="s">
        <v>38</v>
      </c>
    </row>
    <row r="76" spans="1:18" x14ac:dyDescent="0.2">
      <c r="A76" t="s">
        <v>204</v>
      </c>
      <c r="B76" t="s">
        <v>205</v>
      </c>
      <c r="C76" t="s">
        <v>42</v>
      </c>
      <c r="D76" t="s">
        <v>43</v>
      </c>
      <c r="E76" t="s">
        <v>80</v>
      </c>
      <c r="F76" t="s">
        <v>34</v>
      </c>
      <c r="G76" t="s">
        <v>35</v>
      </c>
      <c r="H76" t="s">
        <v>36</v>
      </c>
      <c r="I76" t="s">
        <v>54</v>
      </c>
      <c r="J76" t="s">
        <v>37</v>
      </c>
      <c r="K76" s="2">
        <v>46079</v>
      </c>
      <c r="L76" s="2">
        <v>46259</v>
      </c>
      <c r="M76" t="s">
        <v>38</v>
      </c>
      <c r="N76" t="s">
        <v>55</v>
      </c>
      <c r="O76">
        <v>1</v>
      </c>
      <c r="P76" t="s">
        <v>39</v>
      </c>
      <c r="Q76" s="2">
        <v>46310</v>
      </c>
      <c r="R76" t="s">
        <v>84</v>
      </c>
    </row>
    <row r="77" spans="1:18" x14ac:dyDescent="0.2">
      <c r="A77" t="s">
        <v>206</v>
      </c>
      <c r="B77" t="s">
        <v>207</v>
      </c>
      <c r="C77" t="s">
        <v>103</v>
      </c>
      <c r="D77" t="s">
        <v>104</v>
      </c>
      <c r="E77" t="s">
        <v>53</v>
      </c>
      <c r="F77" t="s">
        <v>34</v>
      </c>
      <c r="G77" t="s">
        <v>35</v>
      </c>
      <c r="H77" t="s">
        <v>47</v>
      </c>
      <c r="I77" t="s">
        <v>39</v>
      </c>
      <c r="J77" t="s">
        <v>37</v>
      </c>
      <c r="K77" s="2">
        <v>45809</v>
      </c>
      <c r="L77" s="2">
        <v>46174</v>
      </c>
      <c r="M77" t="s">
        <v>38</v>
      </c>
      <c r="N77" t="s">
        <v>49</v>
      </c>
      <c r="O77">
        <v>3</v>
      </c>
      <c r="P77" t="s">
        <v>54</v>
      </c>
      <c r="Q77" s="2">
        <v>46261</v>
      </c>
      <c r="R77" t="s">
        <v>38</v>
      </c>
    </row>
    <row r="78" spans="1:18" x14ac:dyDescent="0.2">
      <c r="A78" t="s">
        <v>208</v>
      </c>
      <c r="B78" t="s">
        <v>209</v>
      </c>
      <c r="C78" t="s">
        <v>96</v>
      </c>
      <c r="D78" t="s">
        <v>97</v>
      </c>
      <c r="E78" t="s">
        <v>210</v>
      </c>
      <c r="F78" t="s">
        <v>34</v>
      </c>
      <c r="G78" t="s">
        <v>35</v>
      </c>
      <c r="H78" t="s">
        <v>47</v>
      </c>
      <c r="I78" t="s">
        <v>50</v>
      </c>
      <c r="J78" t="s">
        <v>63</v>
      </c>
      <c r="K78" s="2">
        <v>45954</v>
      </c>
      <c r="L78" s="2">
        <v>46044</v>
      </c>
      <c r="M78" t="s">
        <v>38</v>
      </c>
      <c r="N78" t="s">
        <v>49</v>
      </c>
      <c r="O78">
        <v>0</v>
      </c>
      <c r="P78" t="s">
        <v>106</v>
      </c>
      <c r="Q78" s="2">
        <v>46273</v>
      </c>
      <c r="R78" t="s">
        <v>57</v>
      </c>
    </row>
    <row r="79" spans="1:18" x14ac:dyDescent="0.2">
      <c r="A79" t="s">
        <v>211</v>
      </c>
      <c r="B79" t="s">
        <v>212</v>
      </c>
      <c r="C79" t="s">
        <v>73</v>
      </c>
      <c r="D79" t="s">
        <v>74</v>
      </c>
      <c r="E79" t="s">
        <v>105</v>
      </c>
      <c r="F79" t="s">
        <v>34</v>
      </c>
      <c r="G79" t="s">
        <v>35</v>
      </c>
      <c r="H79" t="s">
        <v>36</v>
      </c>
      <c r="I79" t="s">
        <v>106</v>
      </c>
      <c r="J79" t="s">
        <v>63</v>
      </c>
      <c r="K79" s="2">
        <v>45893</v>
      </c>
      <c r="L79" s="2">
        <v>46073</v>
      </c>
      <c r="M79" t="s">
        <v>38</v>
      </c>
      <c r="N79" t="s">
        <v>55</v>
      </c>
      <c r="O79">
        <v>1</v>
      </c>
      <c r="P79" t="s">
        <v>56</v>
      </c>
      <c r="Q79" s="2">
        <v>46182</v>
      </c>
      <c r="R79" t="s">
        <v>38</v>
      </c>
    </row>
    <row r="80" spans="1:18" x14ac:dyDescent="0.2">
      <c r="A80" t="s">
        <v>213</v>
      </c>
      <c r="B80" t="s">
        <v>214</v>
      </c>
      <c r="C80" t="s">
        <v>103</v>
      </c>
      <c r="D80" t="s">
        <v>104</v>
      </c>
      <c r="E80" t="s">
        <v>80</v>
      </c>
      <c r="F80" t="s">
        <v>45</v>
      </c>
      <c r="G80" t="s">
        <v>61</v>
      </c>
      <c r="H80" t="s">
        <v>98</v>
      </c>
      <c r="I80" t="s">
        <v>56</v>
      </c>
      <c r="J80" t="s">
        <v>63</v>
      </c>
      <c r="K80" s="2">
        <v>45893</v>
      </c>
      <c r="L80" s="2">
        <v>46073</v>
      </c>
      <c r="M80" t="s">
        <v>38</v>
      </c>
      <c r="N80" t="s">
        <v>55</v>
      </c>
      <c r="O80">
        <v>3</v>
      </c>
      <c r="P80" t="s">
        <v>62</v>
      </c>
      <c r="Q80" s="2">
        <v>46153</v>
      </c>
      <c r="R80" t="s">
        <v>64</v>
      </c>
    </row>
    <row r="81" spans="1:18" x14ac:dyDescent="0.2">
      <c r="A81" t="s">
        <v>215</v>
      </c>
      <c r="B81" t="s">
        <v>216</v>
      </c>
      <c r="C81" t="s">
        <v>73</v>
      </c>
      <c r="D81" t="s">
        <v>74</v>
      </c>
      <c r="E81" t="s">
        <v>105</v>
      </c>
      <c r="F81" t="s">
        <v>34</v>
      </c>
      <c r="G81" t="s">
        <v>35</v>
      </c>
      <c r="H81" t="s">
        <v>36</v>
      </c>
      <c r="I81" t="s">
        <v>39</v>
      </c>
      <c r="J81" t="s">
        <v>63</v>
      </c>
      <c r="K81" s="2">
        <v>46140</v>
      </c>
      <c r="L81" s="2">
        <v>46505</v>
      </c>
      <c r="M81" t="s">
        <v>64</v>
      </c>
      <c r="N81" t="s">
        <v>75</v>
      </c>
      <c r="O81">
        <v>5</v>
      </c>
      <c r="P81" t="s">
        <v>54</v>
      </c>
      <c r="Q81" s="2">
        <v>46249</v>
      </c>
      <c r="R81" t="s">
        <v>38</v>
      </c>
    </row>
    <row r="82" spans="1:18" x14ac:dyDescent="0.2">
      <c r="A82" t="s">
        <v>217</v>
      </c>
      <c r="B82" t="s">
        <v>218</v>
      </c>
      <c r="C82" t="s">
        <v>96</v>
      </c>
      <c r="D82" t="s">
        <v>97</v>
      </c>
      <c r="E82" t="s">
        <v>60</v>
      </c>
      <c r="F82" t="s">
        <v>67</v>
      </c>
      <c r="G82" t="s">
        <v>68</v>
      </c>
      <c r="H82" t="s">
        <v>36</v>
      </c>
      <c r="I82" t="s">
        <v>106</v>
      </c>
      <c r="J82" t="s">
        <v>37</v>
      </c>
      <c r="K82" s="2">
        <v>45807</v>
      </c>
      <c r="L82" s="2">
        <v>46172</v>
      </c>
      <c r="M82" t="s">
        <v>38</v>
      </c>
      <c r="N82" t="s">
        <v>55</v>
      </c>
      <c r="O82">
        <v>5</v>
      </c>
      <c r="P82" t="s">
        <v>62</v>
      </c>
      <c r="Q82" s="2">
        <v>46147</v>
      </c>
      <c r="R82" t="s">
        <v>38</v>
      </c>
    </row>
    <row r="83" spans="1:18" x14ac:dyDescent="0.2">
      <c r="A83" t="s">
        <v>219</v>
      </c>
      <c r="B83" t="s">
        <v>220</v>
      </c>
      <c r="C83" t="s">
        <v>96</v>
      </c>
      <c r="D83" t="s">
        <v>97</v>
      </c>
      <c r="E83" t="s">
        <v>105</v>
      </c>
      <c r="F83" t="s">
        <v>45</v>
      </c>
      <c r="G83" t="s">
        <v>46</v>
      </c>
      <c r="H83" t="s">
        <v>98</v>
      </c>
      <c r="I83" t="s">
        <v>56</v>
      </c>
      <c r="J83" t="s">
        <v>63</v>
      </c>
      <c r="K83" s="2">
        <v>46023</v>
      </c>
      <c r="L83" s="2">
        <v>46113</v>
      </c>
      <c r="M83" t="s">
        <v>38</v>
      </c>
      <c r="N83" t="s">
        <v>55</v>
      </c>
      <c r="O83">
        <v>1</v>
      </c>
      <c r="P83" t="s">
        <v>62</v>
      </c>
      <c r="Q83" s="2">
        <v>46390</v>
      </c>
      <c r="R83" t="s">
        <v>64</v>
      </c>
    </row>
    <row r="84" spans="1:18" x14ac:dyDescent="0.2">
      <c r="A84" t="s">
        <v>221</v>
      </c>
      <c r="B84" t="s">
        <v>222</v>
      </c>
      <c r="C84" t="s">
        <v>103</v>
      </c>
      <c r="D84" t="s">
        <v>104</v>
      </c>
      <c r="E84" t="s">
        <v>80</v>
      </c>
      <c r="F84" t="s">
        <v>34</v>
      </c>
      <c r="G84" t="s">
        <v>35</v>
      </c>
      <c r="H84" t="s">
        <v>88</v>
      </c>
      <c r="I84" t="s">
        <v>111</v>
      </c>
      <c r="J84" t="s">
        <v>37</v>
      </c>
      <c r="K84" s="2">
        <v>45960</v>
      </c>
      <c r="L84" s="2">
        <v>46140</v>
      </c>
      <c r="M84" t="s">
        <v>38</v>
      </c>
      <c r="N84" t="s">
        <v>75</v>
      </c>
      <c r="O84">
        <v>0</v>
      </c>
      <c r="P84" t="s">
        <v>54</v>
      </c>
      <c r="Q84" s="2">
        <v>46304</v>
      </c>
      <c r="R84" t="s">
        <v>57</v>
      </c>
    </row>
    <row r="85" spans="1:18" x14ac:dyDescent="0.2">
      <c r="A85" t="s">
        <v>223</v>
      </c>
      <c r="B85" t="s">
        <v>224</v>
      </c>
      <c r="C85" t="s">
        <v>31</v>
      </c>
      <c r="D85" t="s">
        <v>87</v>
      </c>
      <c r="E85" t="s">
        <v>91</v>
      </c>
      <c r="F85" t="s">
        <v>67</v>
      </c>
      <c r="G85" t="s">
        <v>68</v>
      </c>
      <c r="H85" t="s">
        <v>88</v>
      </c>
      <c r="I85" t="s">
        <v>106</v>
      </c>
      <c r="J85" t="s">
        <v>37</v>
      </c>
      <c r="K85" s="2">
        <v>46244</v>
      </c>
      <c r="L85" s="2">
        <v>46424</v>
      </c>
      <c r="M85" t="s">
        <v>64</v>
      </c>
      <c r="N85" t="s">
        <v>55</v>
      </c>
      <c r="O85">
        <v>3</v>
      </c>
      <c r="P85" t="s">
        <v>54</v>
      </c>
      <c r="Q85" s="2">
        <v>46161</v>
      </c>
      <c r="R85" t="s">
        <v>38</v>
      </c>
    </row>
    <row r="86" spans="1:18" x14ac:dyDescent="0.2">
      <c r="A86" t="s">
        <v>225</v>
      </c>
      <c r="B86" t="s">
        <v>226</v>
      </c>
      <c r="C86" t="s">
        <v>31</v>
      </c>
      <c r="D86" t="s">
        <v>87</v>
      </c>
      <c r="E86" t="s">
        <v>105</v>
      </c>
      <c r="F86" t="s">
        <v>45</v>
      </c>
      <c r="G86" t="s">
        <v>46</v>
      </c>
      <c r="H86" t="s">
        <v>36</v>
      </c>
      <c r="I86" t="s">
        <v>54</v>
      </c>
      <c r="J86" t="s">
        <v>48</v>
      </c>
      <c r="K86" s="2">
        <v>45975</v>
      </c>
      <c r="L86" s="2">
        <v>46065</v>
      </c>
      <c r="M86" t="s">
        <v>38</v>
      </c>
      <c r="N86" t="s">
        <v>55</v>
      </c>
      <c r="O86">
        <v>2</v>
      </c>
      <c r="P86" t="s">
        <v>50</v>
      </c>
      <c r="Q86" s="2">
        <v>46190</v>
      </c>
      <c r="R86" t="s">
        <v>38</v>
      </c>
    </row>
    <row r="87" spans="1:18" x14ac:dyDescent="0.2">
      <c r="A87" t="s">
        <v>227</v>
      </c>
      <c r="B87" t="s">
        <v>228</v>
      </c>
      <c r="C87" t="s">
        <v>31</v>
      </c>
      <c r="D87" t="s">
        <v>87</v>
      </c>
      <c r="E87" t="s">
        <v>44</v>
      </c>
      <c r="F87" t="s">
        <v>34</v>
      </c>
      <c r="G87" t="s">
        <v>35</v>
      </c>
      <c r="H87" t="s">
        <v>47</v>
      </c>
      <c r="I87" t="s">
        <v>39</v>
      </c>
      <c r="J87" t="s">
        <v>63</v>
      </c>
      <c r="K87" s="2">
        <v>46208</v>
      </c>
      <c r="L87" s="2">
        <v>46298</v>
      </c>
      <c r="M87" t="s">
        <v>64</v>
      </c>
      <c r="N87" t="s">
        <v>55</v>
      </c>
      <c r="O87">
        <v>2</v>
      </c>
      <c r="P87" t="s">
        <v>62</v>
      </c>
      <c r="Q87" s="2">
        <v>46123</v>
      </c>
      <c r="R87" t="s">
        <v>64</v>
      </c>
    </row>
    <row r="88" spans="1:18" x14ac:dyDescent="0.2">
      <c r="A88" t="s">
        <v>229</v>
      </c>
      <c r="B88" t="s">
        <v>230</v>
      </c>
      <c r="C88" t="s">
        <v>103</v>
      </c>
      <c r="D88" t="s">
        <v>104</v>
      </c>
      <c r="E88" t="s">
        <v>91</v>
      </c>
      <c r="F88" t="s">
        <v>34</v>
      </c>
      <c r="G88" t="s">
        <v>35</v>
      </c>
      <c r="H88" t="s">
        <v>47</v>
      </c>
      <c r="I88" t="s">
        <v>111</v>
      </c>
      <c r="J88" t="s">
        <v>48</v>
      </c>
      <c r="K88" s="2">
        <v>45877</v>
      </c>
      <c r="L88" s="2">
        <v>46057</v>
      </c>
      <c r="M88" t="s">
        <v>38</v>
      </c>
      <c r="O88">
        <v>0</v>
      </c>
      <c r="P88" t="s">
        <v>56</v>
      </c>
      <c r="Q88" s="2">
        <v>46346</v>
      </c>
      <c r="R88" t="s">
        <v>57</v>
      </c>
    </row>
    <row r="89" spans="1:18" x14ac:dyDescent="0.2">
      <c r="A89" t="s">
        <v>231</v>
      </c>
      <c r="B89" t="s">
        <v>232</v>
      </c>
      <c r="C89" t="s">
        <v>73</v>
      </c>
      <c r="D89" t="s">
        <v>74</v>
      </c>
      <c r="E89" t="s">
        <v>105</v>
      </c>
      <c r="F89" t="s">
        <v>67</v>
      </c>
      <c r="G89" t="s">
        <v>68</v>
      </c>
      <c r="H89" t="s">
        <v>98</v>
      </c>
      <c r="I89" t="s">
        <v>62</v>
      </c>
      <c r="J89" t="s">
        <v>48</v>
      </c>
      <c r="K89" s="2">
        <v>46057</v>
      </c>
      <c r="L89" s="2">
        <v>46422</v>
      </c>
      <c r="M89" t="s">
        <v>64</v>
      </c>
      <c r="N89" t="s">
        <v>49</v>
      </c>
      <c r="O89">
        <v>3</v>
      </c>
      <c r="P89" t="s">
        <v>70</v>
      </c>
      <c r="Q89" s="2">
        <v>46152</v>
      </c>
      <c r="R89" t="s">
        <v>38</v>
      </c>
    </row>
    <row r="90" spans="1:18" x14ac:dyDescent="0.2">
      <c r="A90" t="s">
        <v>233</v>
      </c>
      <c r="B90" t="s">
        <v>234</v>
      </c>
      <c r="C90" t="s">
        <v>31</v>
      </c>
      <c r="D90" t="s">
        <v>32</v>
      </c>
      <c r="E90" t="s">
        <v>60</v>
      </c>
      <c r="F90" t="s">
        <v>45</v>
      </c>
      <c r="G90" t="s">
        <v>61</v>
      </c>
      <c r="H90" t="s">
        <v>88</v>
      </c>
      <c r="I90" t="s">
        <v>106</v>
      </c>
      <c r="J90" t="s">
        <v>63</v>
      </c>
      <c r="K90" s="2">
        <v>46080</v>
      </c>
      <c r="L90" s="2">
        <v>46445</v>
      </c>
      <c r="M90" t="s">
        <v>64</v>
      </c>
      <c r="N90" t="s">
        <v>75</v>
      </c>
      <c r="O90">
        <v>3</v>
      </c>
      <c r="P90" t="s">
        <v>54</v>
      </c>
      <c r="Q90" s="2">
        <v>46165</v>
      </c>
      <c r="R90" t="s">
        <v>38</v>
      </c>
    </row>
    <row r="91" spans="1:18" x14ac:dyDescent="0.2">
      <c r="A91" t="s">
        <v>235</v>
      </c>
      <c r="B91" t="s">
        <v>236</v>
      </c>
      <c r="C91" t="s">
        <v>78</v>
      </c>
      <c r="D91" t="s">
        <v>79</v>
      </c>
      <c r="E91" t="s">
        <v>44</v>
      </c>
      <c r="F91" t="s">
        <v>67</v>
      </c>
      <c r="G91" t="s">
        <v>118</v>
      </c>
      <c r="H91" t="s">
        <v>88</v>
      </c>
      <c r="I91" t="s">
        <v>111</v>
      </c>
      <c r="J91" t="s">
        <v>63</v>
      </c>
      <c r="K91" s="2">
        <v>46071</v>
      </c>
      <c r="L91" s="2">
        <v>46251</v>
      </c>
      <c r="M91" t="s">
        <v>38</v>
      </c>
      <c r="N91" t="s">
        <v>49</v>
      </c>
      <c r="O91">
        <v>0</v>
      </c>
      <c r="P91" t="s">
        <v>56</v>
      </c>
      <c r="Q91" s="2">
        <v>46275</v>
      </c>
      <c r="R91" t="s">
        <v>57</v>
      </c>
    </row>
    <row r="92" spans="1:18" x14ac:dyDescent="0.2">
      <c r="A92" t="s">
        <v>237</v>
      </c>
      <c r="B92" t="s">
        <v>238</v>
      </c>
      <c r="C92" t="s">
        <v>31</v>
      </c>
      <c r="D92" t="s">
        <v>87</v>
      </c>
      <c r="E92" t="s">
        <v>91</v>
      </c>
      <c r="F92" t="s">
        <v>67</v>
      </c>
      <c r="G92" t="s">
        <v>68</v>
      </c>
      <c r="H92" t="s">
        <v>98</v>
      </c>
      <c r="I92" t="s">
        <v>70</v>
      </c>
      <c r="J92" t="s">
        <v>63</v>
      </c>
      <c r="K92" s="2">
        <v>46229</v>
      </c>
      <c r="L92" s="2">
        <v>46319</v>
      </c>
      <c r="M92" t="s">
        <v>64</v>
      </c>
      <c r="N92" t="s">
        <v>55</v>
      </c>
      <c r="O92">
        <v>5</v>
      </c>
      <c r="P92" t="s">
        <v>106</v>
      </c>
      <c r="Q92" s="2">
        <v>46305</v>
      </c>
      <c r="R92" t="s">
        <v>84</v>
      </c>
    </row>
    <row r="93" spans="1:18" x14ac:dyDescent="0.2">
      <c r="A93" t="s">
        <v>239</v>
      </c>
      <c r="B93" t="s">
        <v>240</v>
      </c>
      <c r="C93" t="s">
        <v>103</v>
      </c>
      <c r="D93" t="s">
        <v>104</v>
      </c>
      <c r="E93" t="s">
        <v>80</v>
      </c>
      <c r="F93" t="s">
        <v>34</v>
      </c>
      <c r="G93" t="s">
        <v>35</v>
      </c>
      <c r="H93" t="s">
        <v>88</v>
      </c>
      <c r="I93" t="s">
        <v>62</v>
      </c>
      <c r="J93" t="s">
        <v>63</v>
      </c>
      <c r="K93" s="2">
        <v>45831</v>
      </c>
      <c r="L93" s="2">
        <v>46196</v>
      </c>
      <c r="M93" t="s">
        <v>38</v>
      </c>
      <c r="N93" t="s">
        <v>55</v>
      </c>
      <c r="O93">
        <v>2</v>
      </c>
      <c r="P93" t="s">
        <v>111</v>
      </c>
      <c r="Q93" s="2">
        <v>46274</v>
      </c>
      <c r="R93" t="s">
        <v>38</v>
      </c>
    </row>
    <row r="94" spans="1:18" x14ac:dyDescent="0.2">
      <c r="A94" t="s">
        <v>241</v>
      </c>
      <c r="B94" t="s">
        <v>242</v>
      </c>
      <c r="C94" t="s">
        <v>42</v>
      </c>
      <c r="D94" t="s">
        <v>43</v>
      </c>
      <c r="E94" t="s">
        <v>53</v>
      </c>
      <c r="F94" t="s">
        <v>45</v>
      </c>
      <c r="G94" t="s">
        <v>46</v>
      </c>
      <c r="H94" t="s">
        <v>36</v>
      </c>
      <c r="I94" t="s">
        <v>106</v>
      </c>
      <c r="J94" t="s">
        <v>48</v>
      </c>
      <c r="K94" s="2">
        <v>46217</v>
      </c>
      <c r="L94" s="2">
        <v>46397</v>
      </c>
      <c r="M94" t="s">
        <v>69</v>
      </c>
      <c r="N94" t="s">
        <v>49</v>
      </c>
      <c r="O94">
        <v>4</v>
      </c>
      <c r="P94" t="s">
        <v>56</v>
      </c>
      <c r="Q94" s="2">
        <v>46400</v>
      </c>
      <c r="R94" t="s">
        <v>64</v>
      </c>
    </row>
    <row r="95" spans="1:18" x14ac:dyDescent="0.2">
      <c r="A95" t="s">
        <v>243</v>
      </c>
      <c r="B95" t="s">
        <v>244</v>
      </c>
      <c r="C95" t="s">
        <v>31</v>
      </c>
      <c r="D95" t="s">
        <v>87</v>
      </c>
      <c r="E95" t="s">
        <v>53</v>
      </c>
      <c r="F95" t="s">
        <v>34</v>
      </c>
      <c r="G95" t="s">
        <v>35</v>
      </c>
      <c r="H95" t="s">
        <v>88</v>
      </c>
      <c r="I95" t="s">
        <v>50</v>
      </c>
      <c r="J95" t="s">
        <v>63</v>
      </c>
      <c r="K95" s="2">
        <v>45830</v>
      </c>
      <c r="L95" s="2">
        <v>45920</v>
      </c>
      <c r="M95" t="s">
        <v>38</v>
      </c>
      <c r="N95" t="s">
        <v>49</v>
      </c>
      <c r="O95">
        <v>3</v>
      </c>
      <c r="P95" t="s">
        <v>54</v>
      </c>
      <c r="Q95" s="2">
        <v>46150</v>
      </c>
      <c r="R95" t="s">
        <v>64</v>
      </c>
    </row>
    <row r="96" spans="1:18" x14ac:dyDescent="0.2">
      <c r="A96" t="s">
        <v>245</v>
      </c>
      <c r="B96" t="s">
        <v>246</v>
      </c>
      <c r="C96" t="s">
        <v>31</v>
      </c>
      <c r="D96" t="s">
        <v>83</v>
      </c>
      <c r="E96" t="s">
        <v>80</v>
      </c>
      <c r="F96" t="s">
        <v>67</v>
      </c>
      <c r="G96" t="s">
        <v>118</v>
      </c>
      <c r="H96" t="s">
        <v>88</v>
      </c>
      <c r="I96" t="s">
        <v>106</v>
      </c>
      <c r="J96" t="s">
        <v>63</v>
      </c>
      <c r="K96" s="2">
        <v>46116</v>
      </c>
      <c r="L96" s="2">
        <v>46481</v>
      </c>
      <c r="M96" t="s">
        <v>64</v>
      </c>
      <c r="N96" t="s">
        <v>49</v>
      </c>
      <c r="O96">
        <v>0</v>
      </c>
      <c r="P96" t="s">
        <v>39</v>
      </c>
      <c r="Q96" s="2">
        <v>46141</v>
      </c>
      <c r="R96" t="s">
        <v>57</v>
      </c>
    </row>
    <row r="97" spans="1:18" x14ac:dyDescent="0.2">
      <c r="A97" t="s">
        <v>247</v>
      </c>
      <c r="B97" t="s">
        <v>248</v>
      </c>
      <c r="C97" t="s">
        <v>78</v>
      </c>
      <c r="D97" t="s">
        <v>79</v>
      </c>
      <c r="E97" t="s">
        <v>53</v>
      </c>
      <c r="F97" t="s">
        <v>34</v>
      </c>
      <c r="G97" t="s">
        <v>35</v>
      </c>
      <c r="H97" t="s">
        <v>88</v>
      </c>
      <c r="I97" t="s">
        <v>62</v>
      </c>
      <c r="J97" t="s">
        <v>37</v>
      </c>
      <c r="K97" s="2">
        <v>46027</v>
      </c>
      <c r="L97" s="2">
        <v>46392</v>
      </c>
      <c r="M97" t="s">
        <v>64</v>
      </c>
      <c r="N97" t="s">
        <v>75</v>
      </c>
      <c r="O97">
        <v>1</v>
      </c>
      <c r="P97" t="s">
        <v>111</v>
      </c>
      <c r="Q97" s="2">
        <v>46377</v>
      </c>
      <c r="R97" t="s">
        <v>64</v>
      </c>
    </row>
    <row r="98" spans="1:18" x14ac:dyDescent="0.2">
      <c r="A98" t="s">
        <v>249</v>
      </c>
      <c r="B98" t="s">
        <v>250</v>
      </c>
      <c r="C98" t="s">
        <v>31</v>
      </c>
      <c r="D98" t="s">
        <v>32</v>
      </c>
      <c r="E98" t="s">
        <v>105</v>
      </c>
      <c r="F98" t="s">
        <v>34</v>
      </c>
      <c r="G98" t="s">
        <v>35</v>
      </c>
      <c r="H98" t="s">
        <v>47</v>
      </c>
      <c r="I98" t="s">
        <v>39</v>
      </c>
      <c r="J98" t="s">
        <v>37</v>
      </c>
      <c r="K98" s="2">
        <v>46272</v>
      </c>
      <c r="L98" s="2">
        <v>46362</v>
      </c>
      <c r="M98" t="s">
        <v>64</v>
      </c>
      <c r="N98" t="s">
        <v>55</v>
      </c>
      <c r="O98">
        <v>1</v>
      </c>
      <c r="P98" t="s">
        <v>62</v>
      </c>
      <c r="Q98" s="2">
        <v>46245</v>
      </c>
      <c r="R98" t="s">
        <v>64</v>
      </c>
    </row>
    <row r="99" spans="1:18" x14ac:dyDescent="0.2">
      <c r="A99" t="s">
        <v>251</v>
      </c>
      <c r="B99" t="s">
        <v>252</v>
      </c>
      <c r="C99" t="s">
        <v>96</v>
      </c>
      <c r="D99" t="s">
        <v>97</v>
      </c>
      <c r="E99" t="s">
        <v>80</v>
      </c>
      <c r="F99" t="s">
        <v>45</v>
      </c>
      <c r="G99" t="s">
        <v>46</v>
      </c>
      <c r="H99" t="s">
        <v>88</v>
      </c>
      <c r="J99" t="s">
        <v>37</v>
      </c>
      <c r="K99" s="2">
        <v>46158</v>
      </c>
      <c r="L99" s="2">
        <v>46523</v>
      </c>
      <c r="M99" t="s">
        <v>69</v>
      </c>
      <c r="N99" t="s">
        <v>55</v>
      </c>
      <c r="O99">
        <v>3</v>
      </c>
      <c r="P99" t="s">
        <v>62</v>
      </c>
      <c r="Q99" s="2">
        <v>46136</v>
      </c>
      <c r="R99" t="s">
        <v>38</v>
      </c>
    </row>
    <row r="100" spans="1:18" x14ac:dyDescent="0.2">
      <c r="A100" t="s">
        <v>253</v>
      </c>
      <c r="B100" t="s">
        <v>254</v>
      </c>
      <c r="C100" t="s">
        <v>73</v>
      </c>
      <c r="D100" t="s">
        <v>74</v>
      </c>
      <c r="E100" t="s">
        <v>91</v>
      </c>
      <c r="F100" t="s">
        <v>34</v>
      </c>
      <c r="G100" t="s">
        <v>35</v>
      </c>
      <c r="H100" t="s">
        <v>88</v>
      </c>
      <c r="I100" t="s">
        <v>56</v>
      </c>
      <c r="J100" t="s">
        <v>37</v>
      </c>
      <c r="K100" s="2">
        <v>46217</v>
      </c>
      <c r="L100" s="2">
        <v>46397</v>
      </c>
      <c r="M100" t="s">
        <v>64</v>
      </c>
      <c r="N100" t="s">
        <v>75</v>
      </c>
      <c r="O100">
        <v>1</v>
      </c>
      <c r="P100" t="s">
        <v>70</v>
      </c>
      <c r="Q100" s="2">
        <v>46350</v>
      </c>
      <c r="R100" t="s">
        <v>84</v>
      </c>
    </row>
    <row r="101" spans="1:18" x14ac:dyDescent="0.2">
      <c r="A101" t="s">
        <v>255</v>
      </c>
      <c r="B101" t="s">
        <v>256</v>
      </c>
      <c r="C101" t="s">
        <v>31</v>
      </c>
      <c r="D101" t="s">
        <v>83</v>
      </c>
      <c r="E101" t="s">
        <v>60</v>
      </c>
      <c r="F101" t="s">
        <v>45</v>
      </c>
      <c r="G101" t="s">
        <v>61</v>
      </c>
      <c r="H101" t="s">
        <v>88</v>
      </c>
      <c r="I101" t="s">
        <v>70</v>
      </c>
      <c r="J101" t="s">
        <v>63</v>
      </c>
      <c r="K101" s="2">
        <v>46073</v>
      </c>
      <c r="L101" s="2">
        <v>46253</v>
      </c>
      <c r="M101" t="s">
        <v>38</v>
      </c>
      <c r="N101" t="s">
        <v>49</v>
      </c>
      <c r="O101">
        <v>2</v>
      </c>
      <c r="P101" t="s">
        <v>70</v>
      </c>
      <c r="Q101" s="2">
        <v>46228</v>
      </c>
      <c r="R101" t="s">
        <v>64</v>
      </c>
    </row>
    <row r="102" spans="1:18" x14ac:dyDescent="0.2">
      <c r="A102" t="s">
        <v>257</v>
      </c>
      <c r="B102" t="s">
        <v>258</v>
      </c>
      <c r="C102" t="s">
        <v>31</v>
      </c>
      <c r="D102" t="s">
        <v>83</v>
      </c>
      <c r="E102" t="s">
        <v>53</v>
      </c>
      <c r="F102" t="s">
        <v>34</v>
      </c>
      <c r="G102" t="s">
        <v>35</v>
      </c>
      <c r="H102" t="s">
        <v>88</v>
      </c>
      <c r="I102" t="s">
        <v>50</v>
      </c>
      <c r="J102" t="s">
        <v>63</v>
      </c>
      <c r="K102" s="2">
        <v>46155</v>
      </c>
      <c r="L102" s="2">
        <v>46245</v>
      </c>
      <c r="M102" t="s">
        <v>38</v>
      </c>
      <c r="N102" t="s">
        <v>55</v>
      </c>
      <c r="O102">
        <v>2</v>
      </c>
      <c r="P102" t="s">
        <v>70</v>
      </c>
      <c r="Q102" s="2">
        <v>46216</v>
      </c>
      <c r="R102" t="s">
        <v>64</v>
      </c>
    </row>
    <row r="103" spans="1:18" x14ac:dyDescent="0.2">
      <c r="A103" t="s">
        <v>259</v>
      </c>
      <c r="B103" t="s">
        <v>260</v>
      </c>
      <c r="C103" t="s">
        <v>73</v>
      </c>
      <c r="D103" t="s">
        <v>74</v>
      </c>
      <c r="E103" t="s">
        <v>80</v>
      </c>
      <c r="F103" t="s">
        <v>45</v>
      </c>
      <c r="G103" t="s">
        <v>61</v>
      </c>
      <c r="H103" t="s">
        <v>36</v>
      </c>
      <c r="I103" t="s">
        <v>111</v>
      </c>
      <c r="J103" t="s">
        <v>37</v>
      </c>
      <c r="K103" s="2">
        <v>45927</v>
      </c>
      <c r="L103" s="2">
        <v>46292</v>
      </c>
      <c r="M103" t="s">
        <v>38</v>
      </c>
      <c r="N103" t="s">
        <v>49</v>
      </c>
      <c r="O103">
        <v>5</v>
      </c>
      <c r="P103" t="s">
        <v>70</v>
      </c>
      <c r="Q103" s="2">
        <v>46280</v>
      </c>
      <c r="R103" t="s">
        <v>38</v>
      </c>
    </row>
    <row r="104" spans="1:18" x14ac:dyDescent="0.2">
      <c r="A104" t="s">
        <v>261</v>
      </c>
      <c r="B104" t="s">
        <v>262</v>
      </c>
      <c r="C104" t="s">
        <v>96</v>
      </c>
      <c r="D104" t="s">
        <v>97</v>
      </c>
      <c r="E104" t="s">
        <v>91</v>
      </c>
      <c r="F104" t="s">
        <v>67</v>
      </c>
      <c r="G104" t="s">
        <v>118</v>
      </c>
      <c r="H104" t="s">
        <v>88</v>
      </c>
      <c r="I104" t="s">
        <v>56</v>
      </c>
      <c r="J104" t="s">
        <v>48</v>
      </c>
      <c r="K104" s="2">
        <v>45973</v>
      </c>
      <c r="L104" s="2">
        <v>46063</v>
      </c>
      <c r="M104" t="s">
        <v>38</v>
      </c>
      <c r="N104" t="s">
        <v>75</v>
      </c>
      <c r="O104">
        <v>0</v>
      </c>
      <c r="P104" t="s">
        <v>39</v>
      </c>
      <c r="Q104" s="2">
        <v>46273</v>
      </c>
      <c r="R104" t="s">
        <v>57</v>
      </c>
    </row>
    <row r="105" spans="1:18" x14ac:dyDescent="0.2">
      <c r="A105" t="s">
        <v>263</v>
      </c>
      <c r="B105" t="s">
        <v>264</v>
      </c>
      <c r="C105" t="s">
        <v>103</v>
      </c>
      <c r="D105" t="s">
        <v>104</v>
      </c>
      <c r="E105" t="s">
        <v>105</v>
      </c>
      <c r="F105" t="s">
        <v>67</v>
      </c>
      <c r="G105" t="s">
        <v>118</v>
      </c>
      <c r="H105" t="s">
        <v>88</v>
      </c>
      <c r="I105" t="s">
        <v>70</v>
      </c>
      <c r="J105" t="s">
        <v>63</v>
      </c>
      <c r="K105" s="2">
        <v>45961</v>
      </c>
      <c r="L105" s="2">
        <v>46326</v>
      </c>
      <c r="M105" t="s">
        <v>64</v>
      </c>
      <c r="N105" t="s">
        <v>75</v>
      </c>
      <c r="O105">
        <v>0</v>
      </c>
      <c r="P105" t="s">
        <v>111</v>
      </c>
      <c r="Q105" s="2">
        <v>46345</v>
      </c>
      <c r="R105" t="s">
        <v>57</v>
      </c>
    </row>
    <row r="106" spans="1:18" x14ac:dyDescent="0.2">
      <c r="A106" t="s">
        <v>265</v>
      </c>
      <c r="B106" t="s">
        <v>266</v>
      </c>
      <c r="C106" t="s">
        <v>96</v>
      </c>
      <c r="D106" t="s">
        <v>97</v>
      </c>
      <c r="E106" t="s">
        <v>105</v>
      </c>
      <c r="F106" t="s">
        <v>34</v>
      </c>
      <c r="G106" t="s">
        <v>35</v>
      </c>
      <c r="H106" t="s">
        <v>88</v>
      </c>
      <c r="I106" t="s">
        <v>106</v>
      </c>
      <c r="J106" t="s">
        <v>63</v>
      </c>
      <c r="K106" s="2">
        <v>45910</v>
      </c>
      <c r="L106" s="2">
        <v>46000</v>
      </c>
      <c r="M106" t="s">
        <v>38</v>
      </c>
      <c r="N106" t="s">
        <v>49</v>
      </c>
      <c r="O106">
        <v>1</v>
      </c>
      <c r="P106" t="s">
        <v>50</v>
      </c>
      <c r="Q106" s="2">
        <v>46135</v>
      </c>
      <c r="R106" t="s">
        <v>64</v>
      </c>
    </row>
    <row r="107" spans="1:18" x14ac:dyDescent="0.2">
      <c r="A107" t="s">
        <v>267</v>
      </c>
      <c r="B107" t="s">
        <v>268</v>
      </c>
      <c r="C107" t="s">
        <v>78</v>
      </c>
      <c r="D107" t="s">
        <v>79</v>
      </c>
      <c r="E107" t="s">
        <v>53</v>
      </c>
      <c r="F107" t="s">
        <v>67</v>
      </c>
      <c r="G107" t="s">
        <v>118</v>
      </c>
      <c r="H107" t="s">
        <v>88</v>
      </c>
      <c r="I107" t="s">
        <v>106</v>
      </c>
      <c r="J107" t="s">
        <v>37</v>
      </c>
      <c r="K107" s="2">
        <v>45928</v>
      </c>
      <c r="L107" s="2">
        <v>46293</v>
      </c>
      <c r="M107" t="s">
        <v>38</v>
      </c>
      <c r="N107" t="s">
        <v>55</v>
      </c>
      <c r="O107">
        <v>2</v>
      </c>
      <c r="P107" t="s">
        <v>50</v>
      </c>
      <c r="Q107" s="2">
        <v>46148</v>
      </c>
      <c r="R107" t="s">
        <v>64</v>
      </c>
    </row>
    <row r="108" spans="1:18" x14ac:dyDescent="0.2">
      <c r="A108" t="s">
        <v>269</v>
      </c>
      <c r="B108" t="s">
        <v>270</v>
      </c>
      <c r="C108" t="s">
        <v>78</v>
      </c>
      <c r="D108" t="s">
        <v>79</v>
      </c>
      <c r="E108" t="s">
        <v>60</v>
      </c>
      <c r="F108" t="s">
        <v>67</v>
      </c>
      <c r="G108" t="s">
        <v>68</v>
      </c>
      <c r="H108" t="s">
        <v>88</v>
      </c>
      <c r="I108" t="s">
        <v>106</v>
      </c>
      <c r="J108" t="s">
        <v>37</v>
      </c>
      <c r="K108" s="2">
        <v>46117</v>
      </c>
      <c r="L108" s="2">
        <v>46482</v>
      </c>
      <c r="M108" t="s">
        <v>69</v>
      </c>
      <c r="N108" t="s">
        <v>55</v>
      </c>
      <c r="O108">
        <v>0</v>
      </c>
      <c r="P108" t="s">
        <v>50</v>
      </c>
      <c r="Q108" s="2">
        <v>46273</v>
      </c>
      <c r="R108" t="s">
        <v>57</v>
      </c>
    </row>
    <row r="109" spans="1:18" x14ac:dyDescent="0.2">
      <c r="A109" t="s">
        <v>271</v>
      </c>
      <c r="B109" t="s">
        <v>272</v>
      </c>
      <c r="C109" t="s">
        <v>31</v>
      </c>
      <c r="D109" t="s">
        <v>83</v>
      </c>
      <c r="E109" t="s">
        <v>91</v>
      </c>
      <c r="F109" t="s">
        <v>34</v>
      </c>
      <c r="G109" t="s">
        <v>35</v>
      </c>
      <c r="H109" t="s">
        <v>88</v>
      </c>
      <c r="I109" t="s">
        <v>106</v>
      </c>
      <c r="J109" t="s">
        <v>48</v>
      </c>
      <c r="K109" s="2">
        <v>46266</v>
      </c>
      <c r="L109" s="2">
        <v>46446</v>
      </c>
      <c r="M109" t="s">
        <v>64</v>
      </c>
      <c r="N109" t="s">
        <v>55</v>
      </c>
      <c r="O109">
        <v>2</v>
      </c>
      <c r="P109" t="s">
        <v>56</v>
      </c>
      <c r="Q109" s="2">
        <v>46363</v>
      </c>
      <c r="R109" t="s">
        <v>64</v>
      </c>
    </row>
    <row r="110" spans="1:18" x14ac:dyDescent="0.2">
      <c r="A110" t="s">
        <v>273</v>
      </c>
      <c r="B110" t="s">
        <v>274</v>
      </c>
      <c r="C110" t="s">
        <v>31</v>
      </c>
      <c r="D110" t="s">
        <v>83</v>
      </c>
      <c r="E110" t="s">
        <v>91</v>
      </c>
      <c r="F110" t="s">
        <v>45</v>
      </c>
      <c r="G110" t="s">
        <v>46</v>
      </c>
      <c r="H110" t="s">
        <v>88</v>
      </c>
      <c r="I110" t="s">
        <v>50</v>
      </c>
      <c r="J110" t="s">
        <v>37</v>
      </c>
      <c r="K110" s="2">
        <v>45970</v>
      </c>
      <c r="L110" s="2">
        <v>46150</v>
      </c>
      <c r="M110" t="s">
        <v>38</v>
      </c>
      <c r="N110" t="s">
        <v>55</v>
      </c>
      <c r="O110">
        <v>1</v>
      </c>
      <c r="P110" t="s">
        <v>39</v>
      </c>
      <c r="Q110" s="2">
        <v>46207</v>
      </c>
      <c r="R110" t="s">
        <v>38</v>
      </c>
    </row>
    <row r="111" spans="1:18" x14ac:dyDescent="0.2">
      <c r="A111" t="s">
        <v>275</v>
      </c>
      <c r="B111" t="s">
        <v>276</v>
      </c>
      <c r="C111" t="s">
        <v>42</v>
      </c>
      <c r="D111" t="s">
        <v>43</v>
      </c>
      <c r="E111" t="s">
        <v>91</v>
      </c>
      <c r="F111" t="s">
        <v>67</v>
      </c>
      <c r="G111" t="s">
        <v>118</v>
      </c>
      <c r="H111" t="s">
        <v>36</v>
      </c>
      <c r="I111" t="s">
        <v>111</v>
      </c>
      <c r="J111" t="s">
        <v>37</v>
      </c>
      <c r="K111" s="2">
        <v>45963</v>
      </c>
      <c r="L111" s="2">
        <v>46143</v>
      </c>
      <c r="M111" t="s">
        <v>38</v>
      </c>
      <c r="N111" t="s">
        <v>49</v>
      </c>
      <c r="O111">
        <v>3</v>
      </c>
      <c r="P111" t="s">
        <v>54</v>
      </c>
      <c r="Q111" s="2">
        <v>46234</v>
      </c>
      <c r="R111" t="s">
        <v>38</v>
      </c>
    </row>
    <row r="112" spans="1:18" x14ac:dyDescent="0.2">
      <c r="A112" t="s">
        <v>277</v>
      </c>
      <c r="B112" t="s">
        <v>278</v>
      </c>
      <c r="C112" t="s">
        <v>31</v>
      </c>
      <c r="D112" t="s">
        <v>87</v>
      </c>
      <c r="E112" t="s">
        <v>80</v>
      </c>
      <c r="F112" t="s">
        <v>67</v>
      </c>
      <c r="G112" t="s">
        <v>118</v>
      </c>
      <c r="H112" t="s">
        <v>36</v>
      </c>
      <c r="I112" t="s">
        <v>62</v>
      </c>
      <c r="J112" t="s">
        <v>37</v>
      </c>
      <c r="K112" s="2">
        <v>46018</v>
      </c>
      <c r="L112" s="2">
        <v>46383</v>
      </c>
      <c r="M112" t="s">
        <v>64</v>
      </c>
      <c r="N112" t="s">
        <v>55</v>
      </c>
      <c r="O112">
        <v>1</v>
      </c>
      <c r="P112" t="s">
        <v>106</v>
      </c>
      <c r="Q112" s="2">
        <v>46185</v>
      </c>
      <c r="R112" t="s">
        <v>38</v>
      </c>
    </row>
    <row r="113" spans="1:18" x14ac:dyDescent="0.2">
      <c r="A113" t="s">
        <v>279</v>
      </c>
      <c r="B113" t="s">
        <v>280</v>
      </c>
      <c r="C113" t="s">
        <v>31</v>
      </c>
      <c r="D113" t="s">
        <v>83</v>
      </c>
      <c r="E113" t="s">
        <v>91</v>
      </c>
      <c r="F113" t="s">
        <v>34</v>
      </c>
      <c r="G113" t="s">
        <v>35</v>
      </c>
      <c r="H113" t="s">
        <v>36</v>
      </c>
      <c r="I113" t="s">
        <v>70</v>
      </c>
      <c r="J113" t="s">
        <v>37</v>
      </c>
      <c r="K113" s="2">
        <v>46130</v>
      </c>
      <c r="L113" s="2">
        <v>46220</v>
      </c>
      <c r="M113" t="s">
        <v>38</v>
      </c>
      <c r="N113" t="s">
        <v>55</v>
      </c>
      <c r="O113">
        <v>2</v>
      </c>
      <c r="P113" t="s">
        <v>70</v>
      </c>
      <c r="Q113" s="2">
        <v>46345</v>
      </c>
      <c r="R113" t="s">
        <v>84</v>
      </c>
    </row>
    <row r="114" spans="1:18" x14ac:dyDescent="0.2">
      <c r="A114" t="s">
        <v>281</v>
      </c>
      <c r="B114" t="s">
        <v>282</v>
      </c>
      <c r="C114" t="s">
        <v>31</v>
      </c>
      <c r="D114" t="s">
        <v>87</v>
      </c>
      <c r="E114" t="s">
        <v>53</v>
      </c>
      <c r="F114" t="s">
        <v>45</v>
      </c>
      <c r="G114" t="s">
        <v>61</v>
      </c>
      <c r="H114" t="s">
        <v>98</v>
      </c>
      <c r="I114" t="s">
        <v>62</v>
      </c>
      <c r="J114" t="s">
        <v>48</v>
      </c>
      <c r="K114" s="2">
        <v>46248</v>
      </c>
      <c r="L114" s="2">
        <v>46428</v>
      </c>
      <c r="M114" t="s">
        <v>64</v>
      </c>
      <c r="N114" t="s">
        <v>55</v>
      </c>
      <c r="O114">
        <v>3</v>
      </c>
      <c r="P114" t="s">
        <v>106</v>
      </c>
      <c r="Q114" s="2">
        <v>46156</v>
      </c>
      <c r="R114" t="s">
        <v>38</v>
      </c>
    </row>
    <row r="115" spans="1:18" x14ac:dyDescent="0.2">
      <c r="A115" t="s">
        <v>283</v>
      </c>
      <c r="B115" t="s">
        <v>284</v>
      </c>
      <c r="C115" t="s">
        <v>31</v>
      </c>
      <c r="D115" t="s">
        <v>32</v>
      </c>
      <c r="E115" t="s">
        <v>105</v>
      </c>
      <c r="F115" t="s">
        <v>45</v>
      </c>
      <c r="G115" t="s">
        <v>46</v>
      </c>
      <c r="H115" t="s">
        <v>47</v>
      </c>
      <c r="I115" t="s">
        <v>111</v>
      </c>
      <c r="J115" t="s">
        <v>37</v>
      </c>
      <c r="K115" s="2">
        <v>45919</v>
      </c>
      <c r="L115" s="2">
        <v>46009</v>
      </c>
      <c r="M115" t="s">
        <v>38</v>
      </c>
      <c r="N115" t="s">
        <v>49</v>
      </c>
      <c r="O115">
        <v>3</v>
      </c>
      <c r="P115" t="s">
        <v>54</v>
      </c>
      <c r="Q115" s="2">
        <v>46344</v>
      </c>
      <c r="R115" t="s">
        <v>84</v>
      </c>
    </row>
    <row r="116" spans="1:18" x14ac:dyDescent="0.2">
      <c r="A116" t="s">
        <v>285</v>
      </c>
      <c r="B116" t="s">
        <v>286</v>
      </c>
      <c r="C116" t="s">
        <v>96</v>
      </c>
      <c r="D116" t="s">
        <v>97</v>
      </c>
      <c r="E116" t="s">
        <v>105</v>
      </c>
      <c r="F116" t="s">
        <v>45</v>
      </c>
      <c r="G116" t="s">
        <v>61</v>
      </c>
      <c r="H116" t="s">
        <v>36</v>
      </c>
      <c r="I116" t="s">
        <v>54</v>
      </c>
      <c r="J116" t="s">
        <v>48</v>
      </c>
      <c r="K116" s="2">
        <v>46121</v>
      </c>
      <c r="L116" s="2">
        <v>46211</v>
      </c>
      <c r="M116" t="s">
        <v>38</v>
      </c>
      <c r="N116" t="s">
        <v>55</v>
      </c>
      <c r="O116">
        <v>1</v>
      </c>
      <c r="P116" t="s">
        <v>111</v>
      </c>
      <c r="Q116" s="2">
        <v>46329</v>
      </c>
      <c r="R116" t="s">
        <v>84</v>
      </c>
    </row>
    <row r="117" spans="1:18" x14ac:dyDescent="0.2">
      <c r="A117" t="s">
        <v>287</v>
      </c>
      <c r="B117" t="s">
        <v>288</v>
      </c>
      <c r="C117" t="s">
        <v>103</v>
      </c>
      <c r="D117" t="s">
        <v>104</v>
      </c>
      <c r="E117" t="s">
        <v>91</v>
      </c>
      <c r="F117" t="s">
        <v>34</v>
      </c>
      <c r="G117" t="s">
        <v>35</v>
      </c>
      <c r="H117" t="s">
        <v>88</v>
      </c>
      <c r="I117" t="s">
        <v>54</v>
      </c>
      <c r="J117" t="s">
        <v>37</v>
      </c>
      <c r="K117" s="2">
        <v>45908</v>
      </c>
      <c r="L117" s="2">
        <v>45998</v>
      </c>
      <c r="M117" t="s">
        <v>38</v>
      </c>
      <c r="N117" t="s">
        <v>75</v>
      </c>
      <c r="O117">
        <v>3</v>
      </c>
      <c r="P117" t="s">
        <v>50</v>
      </c>
      <c r="Q117" s="2">
        <v>46115</v>
      </c>
      <c r="R117" t="s">
        <v>38</v>
      </c>
    </row>
    <row r="118" spans="1:18" x14ac:dyDescent="0.2">
      <c r="A118" t="s">
        <v>289</v>
      </c>
      <c r="B118" t="s">
        <v>290</v>
      </c>
      <c r="C118" t="s">
        <v>96</v>
      </c>
      <c r="D118" t="s">
        <v>97</v>
      </c>
      <c r="E118" t="s">
        <v>60</v>
      </c>
      <c r="F118" t="s">
        <v>34</v>
      </c>
      <c r="G118" t="s">
        <v>35</v>
      </c>
      <c r="H118" t="s">
        <v>98</v>
      </c>
      <c r="I118" t="s">
        <v>70</v>
      </c>
      <c r="J118" t="s">
        <v>63</v>
      </c>
      <c r="K118" s="2">
        <v>46006</v>
      </c>
      <c r="L118" s="2">
        <v>46371</v>
      </c>
      <c r="M118" t="s">
        <v>64</v>
      </c>
      <c r="N118" t="s">
        <v>49</v>
      </c>
      <c r="O118">
        <v>4</v>
      </c>
      <c r="P118" t="s">
        <v>62</v>
      </c>
      <c r="Q118" s="2">
        <v>46125</v>
      </c>
      <c r="R118" t="s">
        <v>38</v>
      </c>
    </row>
    <row r="119" spans="1:18" x14ac:dyDescent="0.2">
      <c r="A119" t="s">
        <v>291</v>
      </c>
      <c r="B119" t="s">
        <v>292</v>
      </c>
      <c r="C119" t="s">
        <v>73</v>
      </c>
      <c r="D119" t="s">
        <v>74</v>
      </c>
      <c r="E119" t="s">
        <v>91</v>
      </c>
      <c r="F119" t="s">
        <v>67</v>
      </c>
      <c r="G119" t="s">
        <v>118</v>
      </c>
      <c r="H119" t="s">
        <v>47</v>
      </c>
      <c r="I119" t="s">
        <v>70</v>
      </c>
      <c r="J119" t="s">
        <v>48</v>
      </c>
      <c r="K119" s="2">
        <v>46099</v>
      </c>
      <c r="L119" s="2">
        <v>46189</v>
      </c>
      <c r="M119" t="s">
        <v>38</v>
      </c>
      <c r="N119" t="s">
        <v>49</v>
      </c>
      <c r="O119">
        <v>0</v>
      </c>
      <c r="P119" t="s">
        <v>106</v>
      </c>
      <c r="Q119" s="2">
        <v>46412</v>
      </c>
      <c r="R119" t="s">
        <v>57</v>
      </c>
    </row>
    <row r="120" spans="1:18" x14ac:dyDescent="0.2">
      <c r="A120" t="s">
        <v>293</v>
      </c>
      <c r="B120" t="s">
        <v>294</v>
      </c>
      <c r="C120" t="s">
        <v>96</v>
      </c>
      <c r="D120" t="s">
        <v>97</v>
      </c>
      <c r="E120" t="s">
        <v>91</v>
      </c>
      <c r="F120" t="s">
        <v>34</v>
      </c>
      <c r="G120" t="s">
        <v>35</v>
      </c>
      <c r="H120" t="s">
        <v>47</v>
      </c>
      <c r="I120" t="s">
        <v>111</v>
      </c>
      <c r="J120" t="s">
        <v>37</v>
      </c>
      <c r="K120" s="2">
        <v>45919</v>
      </c>
      <c r="L120" s="2">
        <v>46099</v>
      </c>
      <c r="M120" t="s">
        <v>38</v>
      </c>
      <c r="N120" t="s">
        <v>49</v>
      </c>
      <c r="O120">
        <v>1</v>
      </c>
      <c r="P120" t="s">
        <v>54</v>
      </c>
      <c r="Q120" s="2">
        <v>46184</v>
      </c>
      <c r="R120" t="s">
        <v>64</v>
      </c>
    </row>
    <row r="121" spans="1:18" x14ac:dyDescent="0.2">
      <c r="A121" t="s">
        <v>295</v>
      </c>
      <c r="B121" t="s">
        <v>296</v>
      </c>
      <c r="C121" t="s">
        <v>103</v>
      </c>
      <c r="D121" t="s">
        <v>104</v>
      </c>
      <c r="E121" t="s">
        <v>105</v>
      </c>
      <c r="F121" t="s">
        <v>45</v>
      </c>
      <c r="G121" t="s">
        <v>46</v>
      </c>
      <c r="H121" t="s">
        <v>88</v>
      </c>
      <c r="I121" t="s">
        <v>56</v>
      </c>
      <c r="J121" t="s">
        <v>37</v>
      </c>
      <c r="K121" s="2">
        <v>46012</v>
      </c>
      <c r="L121" s="2">
        <v>46192</v>
      </c>
      <c r="M121" t="s">
        <v>38</v>
      </c>
      <c r="N121" t="s">
        <v>49</v>
      </c>
      <c r="O121">
        <v>3</v>
      </c>
      <c r="P121" t="s">
        <v>39</v>
      </c>
      <c r="Q121" s="2">
        <v>46244</v>
      </c>
      <c r="R121" t="s">
        <v>64</v>
      </c>
    </row>
    <row r="122" spans="1:18" x14ac:dyDescent="0.2">
      <c r="A122" t="s">
        <v>297</v>
      </c>
      <c r="B122" t="s">
        <v>298</v>
      </c>
      <c r="C122" t="s">
        <v>31</v>
      </c>
      <c r="D122" t="s">
        <v>83</v>
      </c>
      <c r="E122" t="s">
        <v>53</v>
      </c>
      <c r="F122" t="s">
        <v>34</v>
      </c>
      <c r="G122" t="s">
        <v>35</v>
      </c>
      <c r="H122" t="s">
        <v>47</v>
      </c>
      <c r="I122" t="s">
        <v>106</v>
      </c>
      <c r="J122" t="s">
        <v>63</v>
      </c>
      <c r="K122" s="2">
        <v>46052</v>
      </c>
      <c r="L122" s="2">
        <v>46232</v>
      </c>
      <c r="M122" t="s">
        <v>38</v>
      </c>
      <c r="N122" t="s">
        <v>49</v>
      </c>
      <c r="O122">
        <v>3</v>
      </c>
      <c r="P122" t="s">
        <v>111</v>
      </c>
      <c r="Q122" s="2">
        <v>46312</v>
      </c>
      <c r="R122" t="s">
        <v>64</v>
      </c>
    </row>
    <row r="123" spans="1:18" x14ac:dyDescent="0.2">
      <c r="A123" t="s">
        <v>299</v>
      </c>
      <c r="B123" t="s">
        <v>300</v>
      </c>
      <c r="C123" t="s">
        <v>73</v>
      </c>
      <c r="D123" t="s">
        <v>74</v>
      </c>
      <c r="E123" t="s">
        <v>105</v>
      </c>
      <c r="F123" t="s">
        <v>67</v>
      </c>
      <c r="G123" t="s">
        <v>118</v>
      </c>
      <c r="H123" t="s">
        <v>36</v>
      </c>
      <c r="I123" t="s">
        <v>70</v>
      </c>
      <c r="J123" t="s">
        <v>37</v>
      </c>
      <c r="K123" s="2">
        <v>46055</v>
      </c>
      <c r="L123" s="2">
        <v>46420</v>
      </c>
      <c r="M123" t="s">
        <v>84</v>
      </c>
      <c r="N123" t="s">
        <v>49</v>
      </c>
      <c r="O123">
        <v>2</v>
      </c>
      <c r="P123" t="s">
        <v>56</v>
      </c>
      <c r="Q123" s="2">
        <v>46279</v>
      </c>
      <c r="R123" t="s">
        <v>64</v>
      </c>
    </row>
    <row r="124" spans="1:18" x14ac:dyDescent="0.2">
      <c r="A124" t="s">
        <v>301</v>
      </c>
      <c r="B124" t="s">
        <v>302</v>
      </c>
      <c r="C124" t="s">
        <v>31</v>
      </c>
      <c r="D124" t="s">
        <v>87</v>
      </c>
      <c r="E124" t="s">
        <v>44</v>
      </c>
      <c r="F124" t="s">
        <v>67</v>
      </c>
      <c r="G124" t="s">
        <v>118</v>
      </c>
      <c r="H124" t="s">
        <v>88</v>
      </c>
      <c r="I124" t="s">
        <v>106</v>
      </c>
      <c r="J124" t="s">
        <v>63</v>
      </c>
      <c r="K124" s="2">
        <v>46047</v>
      </c>
      <c r="L124" s="2">
        <v>46137</v>
      </c>
      <c r="M124" t="s">
        <v>38</v>
      </c>
      <c r="N124" t="s">
        <v>49</v>
      </c>
      <c r="O124">
        <v>2</v>
      </c>
      <c r="P124" t="s">
        <v>62</v>
      </c>
      <c r="Q124" s="2">
        <v>46337</v>
      </c>
      <c r="R124" t="s">
        <v>64</v>
      </c>
    </row>
    <row r="125" spans="1:18" x14ac:dyDescent="0.2">
      <c r="A125" t="s">
        <v>303</v>
      </c>
      <c r="B125" t="s">
        <v>304</v>
      </c>
      <c r="C125" t="s">
        <v>31</v>
      </c>
      <c r="D125" t="s">
        <v>87</v>
      </c>
      <c r="E125" t="s">
        <v>105</v>
      </c>
      <c r="F125" t="s">
        <v>67</v>
      </c>
      <c r="G125" t="s">
        <v>68</v>
      </c>
      <c r="H125" t="s">
        <v>47</v>
      </c>
      <c r="I125" t="s">
        <v>111</v>
      </c>
      <c r="J125" t="s">
        <v>48</v>
      </c>
      <c r="K125" s="2">
        <v>46258</v>
      </c>
      <c r="L125" s="2">
        <v>46348</v>
      </c>
      <c r="M125" t="s">
        <v>64</v>
      </c>
      <c r="N125" t="s">
        <v>49</v>
      </c>
      <c r="O125">
        <v>2</v>
      </c>
      <c r="P125" t="s">
        <v>111</v>
      </c>
      <c r="Q125" s="2">
        <v>46300</v>
      </c>
      <c r="R125" t="s">
        <v>84</v>
      </c>
    </row>
    <row r="126" spans="1:18" x14ac:dyDescent="0.2">
      <c r="A126" t="s">
        <v>305</v>
      </c>
      <c r="B126" t="s">
        <v>306</v>
      </c>
      <c r="C126" t="s">
        <v>31</v>
      </c>
      <c r="D126" t="s">
        <v>32</v>
      </c>
      <c r="E126" t="s">
        <v>80</v>
      </c>
      <c r="F126" t="s">
        <v>67</v>
      </c>
      <c r="G126" t="s">
        <v>118</v>
      </c>
      <c r="H126" t="s">
        <v>36</v>
      </c>
      <c r="I126" t="s">
        <v>50</v>
      </c>
      <c r="J126" t="s">
        <v>63</v>
      </c>
      <c r="K126" s="2">
        <v>46004</v>
      </c>
      <c r="L126" s="2">
        <v>46184</v>
      </c>
      <c r="M126" t="s">
        <v>38</v>
      </c>
      <c r="N126" t="s">
        <v>75</v>
      </c>
      <c r="O126">
        <v>2</v>
      </c>
      <c r="P126" t="s">
        <v>50</v>
      </c>
      <c r="Q126" s="2">
        <v>46257</v>
      </c>
      <c r="R126" t="s">
        <v>64</v>
      </c>
    </row>
    <row r="127" spans="1:18" x14ac:dyDescent="0.2">
      <c r="A127" t="s">
        <v>307</v>
      </c>
      <c r="B127" t="s">
        <v>308</v>
      </c>
      <c r="C127" t="s">
        <v>31</v>
      </c>
      <c r="D127" t="s">
        <v>83</v>
      </c>
      <c r="E127" t="s">
        <v>60</v>
      </c>
      <c r="F127" t="s">
        <v>67</v>
      </c>
      <c r="G127" t="s">
        <v>118</v>
      </c>
      <c r="H127" t="s">
        <v>47</v>
      </c>
      <c r="I127" t="s">
        <v>56</v>
      </c>
      <c r="J127" t="s">
        <v>48</v>
      </c>
      <c r="K127" s="2">
        <v>45915</v>
      </c>
      <c r="L127" s="2">
        <v>46095</v>
      </c>
      <c r="M127" t="s">
        <v>38</v>
      </c>
      <c r="N127" t="s">
        <v>55</v>
      </c>
      <c r="O127">
        <v>2</v>
      </c>
      <c r="P127" t="s">
        <v>111</v>
      </c>
      <c r="Q127" s="2">
        <v>46366</v>
      </c>
      <c r="R127" t="s">
        <v>64</v>
      </c>
    </row>
    <row r="128" spans="1:18" x14ac:dyDescent="0.2">
      <c r="A128" t="s">
        <v>309</v>
      </c>
      <c r="B128" t="s">
        <v>310</v>
      </c>
      <c r="C128" t="s">
        <v>42</v>
      </c>
      <c r="D128" t="s">
        <v>43</v>
      </c>
      <c r="E128" t="s">
        <v>105</v>
      </c>
      <c r="F128" t="s">
        <v>45</v>
      </c>
      <c r="G128" t="s">
        <v>61</v>
      </c>
      <c r="H128" t="s">
        <v>36</v>
      </c>
      <c r="I128" t="s">
        <v>106</v>
      </c>
      <c r="J128" t="s">
        <v>48</v>
      </c>
      <c r="K128" s="2">
        <v>45934</v>
      </c>
      <c r="L128" s="2">
        <v>46114</v>
      </c>
      <c r="M128" t="s">
        <v>38</v>
      </c>
      <c r="N128" t="s">
        <v>49</v>
      </c>
      <c r="O128">
        <v>0</v>
      </c>
      <c r="P128" t="s">
        <v>50</v>
      </c>
      <c r="Q128" s="2">
        <v>46396</v>
      </c>
      <c r="R128" t="s">
        <v>57</v>
      </c>
    </row>
    <row r="129" spans="1:18" x14ac:dyDescent="0.2">
      <c r="A129" t="s">
        <v>311</v>
      </c>
      <c r="B129" t="s">
        <v>312</v>
      </c>
      <c r="C129" t="s">
        <v>31</v>
      </c>
      <c r="D129" t="s">
        <v>83</v>
      </c>
      <c r="E129" t="s">
        <v>105</v>
      </c>
      <c r="F129" t="s">
        <v>67</v>
      </c>
      <c r="G129" t="s">
        <v>68</v>
      </c>
      <c r="H129" t="s">
        <v>98</v>
      </c>
      <c r="I129" t="s">
        <v>50</v>
      </c>
      <c r="J129" t="s">
        <v>48</v>
      </c>
      <c r="K129" s="2">
        <v>46154</v>
      </c>
      <c r="L129" s="2">
        <v>46334</v>
      </c>
      <c r="M129" t="s">
        <v>64</v>
      </c>
      <c r="N129" t="s">
        <v>49</v>
      </c>
      <c r="O129">
        <v>4</v>
      </c>
      <c r="P129" t="s">
        <v>70</v>
      </c>
      <c r="Q129" s="2">
        <v>46303</v>
      </c>
      <c r="R129" t="s">
        <v>84</v>
      </c>
    </row>
    <row r="130" spans="1:18" x14ac:dyDescent="0.2">
      <c r="A130" t="s">
        <v>313</v>
      </c>
      <c r="B130" t="s">
        <v>314</v>
      </c>
      <c r="C130" t="s">
        <v>73</v>
      </c>
      <c r="D130" t="s">
        <v>74</v>
      </c>
      <c r="E130" t="s">
        <v>91</v>
      </c>
      <c r="F130" t="s">
        <v>67</v>
      </c>
      <c r="G130" t="s">
        <v>118</v>
      </c>
      <c r="H130" t="s">
        <v>36</v>
      </c>
      <c r="I130" t="s">
        <v>62</v>
      </c>
      <c r="J130" t="s">
        <v>48</v>
      </c>
      <c r="K130" s="2">
        <v>45882</v>
      </c>
      <c r="L130" s="2">
        <v>46062</v>
      </c>
      <c r="M130" t="s">
        <v>38</v>
      </c>
      <c r="N130" t="s">
        <v>49</v>
      </c>
      <c r="O130">
        <v>0</v>
      </c>
      <c r="P130" t="s">
        <v>111</v>
      </c>
      <c r="Q130" s="2">
        <v>46179</v>
      </c>
      <c r="R130" t="s">
        <v>57</v>
      </c>
    </row>
    <row r="131" spans="1:18" x14ac:dyDescent="0.2">
      <c r="A131" t="s">
        <v>315</v>
      </c>
      <c r="B131" t="s">
        <v>316</v>
      </c>
      <c r="C131" t="s">
        <v>31</v>
      </c>
      <c r="D131" t="s">
        <v>83</v>
      </c>
      <c r="E131" t="s">
        <v>44</v>
      </c>
      <c r="F131" t="s">
        <v>67</v>
      </c>
      <c r="G131" t="s">
        <v>118</v>
      </c>
      <c r="H131" t="s">
        <v>36</v>
      </c>
      <c r="I131" t="s">
        <v>50</v>
      </c>
      <c r="J131" t="s">
        <v>48</v>
      </c>
      <c r="K131" s="2">
        <v>45882</v>
      </c>
      <c r="L131" s="2">
        <v>45972</v>
      </c>
      <c r="M131" t="s">
        <v>38</v>
      </c>
      <c r="N131" t="s">
        <v>75</v>
      </c>
      <c r="O131">
        <v>4</v>
      </c>
      <c r="P131" t="s">
        <v>50</v>
      </c>
      <c r="Q131" s="2">
        <v>46143</v>
      </c>
      <c r="R131" t="s">
        <v>38</v>
      </c>
    </row>
    <row r="132" spans="1:18" x14ac:dyDescent="0.2">
      <c r="A132" t="s">
        <v>317</v>
      </c>
      <c r="B132" t="s">
        <v>318</v>
      </c>
      <c r="C132" t="s">
        <v>42</v>
      </c>
      <c r="D132" t="s">
        <v>43</v>
      </c>
      <c r="E132" t="s">
        <v>53</v>
      </c>
      <c r="F132" t="s">
        <v>67</v>
      </c>
      <c r="G132" t="s">
        <v>68</v>
      </c>
      <c r="H132" t="s">
        <v>98</v>
      </c>
      <c r="I132" t="s">
        <v>56</v>
      </c>
      <c r="J132" t="s">
        <v>63</v>
      </c>
      <c r="K132" s="2">
        <v>45842</v>
      </c>
      <c r="L132" s="2">
        <v>45932</v>
      </c>
      <c r="M132" t="s">
        <v>38</v>
      </c>
      <c r="N132" t="s">
        <v>75</v>
      </c>
      <c r="O132">
        <v>1</v>
      </c>
      <c r="P132" t="s">
        <v>70</v>
      </c>
      <c r="Q132" s="2">
        <v>46397</v>
      </c>
      <c r="R132" t="s">
        <v>64</v>
      </c>
    </row>
    <row r="133" spans="1:18" x14ac:dyDescent="0.2">
      <c r="A133" t="s">
        <v>319</v>
      </c>
      <c r="B133" t="s">
        <v>320</v>
      </c>
      <c r="C133" t="s">
        <v>31</v>
      </c>
      <c r="D133" t="s">
        <v>32</v>
      </c>
      <c r="E133" t="s">
        <v>60</v>
      </c>
      <c r="F133" t="s">
        <v>34</v>
      </c>
      <c r="G133" t="s">
        <v>35</v>
      </c>
      <c r="H133" t="s">
        <v>98</v>
      </c>
      <c r="I133" t="s">
        <v>50</v>
      </c>
      <c r="J133" t="s">
        <v>63</v>
      </c>
      <c r="K133" s="2">
        <v>46188</v>
      </c>
      <c r="L133" s="2">
        <v>46553</v>
      </c>
      <c r="M133" t="s">
        <v>69</v>
      </c>
      <c r="N133" t="s">
        <v>49</v>
      </c>
      <c r="O133">
        <v>0</v>
      </c>
      <c r="P133" t="s">
        <v>56</v>
      </c>
      <c r="Q133" s="2">
        <v>46129</v>
      </c>
      <c r="R133" t="s">
        <v>57</v>
      </c>
    </row>
    <row r="134" spans="1:18" x14ac:dyDescent="0.2">
      <c r="A134" t="s">
        <v>321</v>
      </c>
      <c r="B134" t="s">
        <v>322</v>
      </c>
      <c r="C134" t="s">
        <v>78</v>
      </c>
      <c r="D134" t="s">
        <v>79</v>
      </c>
      <c r="E134" t="s">
        <v>60</v>
      </c>
      <c r="F134" t="s">
        <v>34</v>
      </c>
      <c r="G134" t="s">
        <v>35</v>
      </c>
      <c r="H134" t="s">
        <v>88</v>
      </c>
      <c r="I134" t="s">
        <v>39</v>
      </c>
      <c r="J134" t="s">
        <v>37</v>
      </c>
      <c r="K134" s="2">
        <v>46021</v>
      </c>
      <c r="L134" s="2">
        <v>46386</v>
      </c>
      <c r="M134" t="s">
        <v>64</v>
      </c>
      <c r="N134" t="s">
        <v>49</v>
      </c>
      <c r="O134">
        <v>2</v>
      </c>
      <c r="P134" t="s">
        <v>70</v>
      </c>
      <c r="Q134" s="2">
        <v>46362</v>
      </c>
      <c r="R134" t="s">
        <v>64</v>
      </c>
    </row>
    <row r="135" spans="1:18" x14ac:dyDescent="0.2">
      <c r="A135" t="s">
        <v>323</v>
      </c>
      <c r="B135" t="s">
        <v>324</v>
      </c>
      <c r="C135" t="s">
        <v>73</v>
      </c>
      <c r="D135" t="s">
        <v>74</v>
      </c>
      <c r="E135" t="s">
        <v>44</v>
      </c>
      <c r="F135" t="s">
        <v>34</v>
      </c>
      <c r="G135" t="s">
        <v>35</v>
      </c>
      <c r="H135" t="s">
        <v>88</v>
      </c>
      <c r="I135" t="s">
        <v>111</v>
      </c>
      <c r="J135" t="s">
        <v>37</v>
      </c>
      <c r="K135" s="2">
        <v>46038</v>
      </c>
      <c r="L135" s="2">
        <v>46128</v>
      </c>
      <c r="M135" t="s">
        <v>38</v>
      </c>
      <c r="N135" t="s">
        <v>75</v>
      </c>
      <c r="O135">
        <v>1</v>
      </c>
      <c r="P135" t="s">
        <v>62</v>
      </c>
      <c r="Q135" s="2">
        <v>46275</v>
      </c>
      <c r="R135" t="s">
        <v>38</v>
      </c>
    </row>
    <row r="136" spans="1:18" x14ac:dyDescent="0.2">
      <c r="A136" t="s">
        <v>325</v>
      </c>
      <c r="B136" t="s">
        <v>326</v>
      </c>
      <c r="C136" t="s">
        <v>42</v>
      </c>
      <c r="D136" t="s">
        <v>43</v>
      </c>
      <c r="E136" t="s">
        <v>60</v>
      </c>
      <c r="F136" t="s">
        <v>45</v>
      </c>
      <c r="G136" t="s">
        <v>61</v>
      </c>
      <c r="H136" t="s">
        <v>88</v>
      </c>
      <c r="I136" t="s">
        <v>106</v>
      </c>
      <c r="J136" t="s">
        <v>63</v>
      </c>
      <c r="K136" s="2">
        <v>46152</v>
      </c>
      <c r="L136" s="2">
        <v>46332</v>
      </c>
      <c r="M136" t="s">
        <v>64</v>
      </c>
      <c r="N136" t="s">
        <v>75</v>
      </c>
      <c r="O136">
        <v>1</v>
      </c>
      <c r="P136" t="s">
        <v>62</v>
      </c>
      <c r="Q136" s="2">
        <v>46187</v>
      </c>
      <c r="R136" t="s">
        <v>64</v>
      </c>
    </row>
    <row r="137" spans="1:18" x14ac:dyDescent="0.2">
      <c r="A137" t="s">
        <v>327</v>
      </c>
      <c r="B137" t="s">
        <v>328</v>
      </c>
      <c r="C137" t="s">
        <v>42</v>
      </c>
      <c r="D137" t="s">
        <v>43</v>
      </c>
      <c r="E137" t="s">
        <v>53</v>
      </c>
      <c r="F137" t="s">
        <v>45</v>
      </c>
      <c r="G137" t="s">
        <v>46</v>
      </c>
      <c r="H137" t="s">
        <v>98</v>
      </c>
      <c r="I137" t="s">
        <v>106</v>
      </c>
      <c r="J137" t="s">
        <v>48</v>
      </c>
      <c r="K137" s="2">
        <v>46178</v>
      </c>
      <c r="L137" s="2">
        <v>46268</v>
      </c>
      <c r="M137" t="s">
        <v>38</v>
      </c>
      <c r="N137" t="s">
        <v>75</v>
      </c>
      <c r="O137">
        <v>4</v>
      </c>
      <c r="P137" t="s">
        <v>70</v>
      </c>
      <c r="Q137" s="2">
        <v>46354</v>
      </c>
      <c r="R137" t="s">
        <v>84</v>
      </c>
    </row>
    <row r="138" spans="1:18" x14ac:dyDescent="0.2">
      <c r="A138" t="s">
        <v>329</v>
      </c>
      <c r="B138" t="s">
        <v>330</v>
      </c>
      <c r="C138" t="s">
        <v>31</v>
      </c>
      <c r="D138" t="s">
        <v>32</v>
      </c>
      <c r="E138" t="s">
        <v>44</v>
      </c>
      <c r="F138" t="s">
        <v>67</v>
      </c>
      <c r="G138" t="s">
        <v>118</v>
      </c>
      <c r="H138" t="s">
        <v>47</v>
      </c>
      <c r="I138" t="s">
        <v>106</v>
      </c>
      <c r="J138" t="s">
        <v>48</v>
      </c>
      <c r="K138" s="2">
        <v>46251</v>
      </c>
      <c r="L138" s="2">
        <v>46341</v>
      </c>
      <c r="M138" t="s">
        <v>64</v>
      </c>
      <c r="N138" t="s">
        <v>49</v>
      </c>
      <c r="O138">
        <v>3</v>
      </c>
      <c r="P138" t="s">
        <v>56</v>
      </c>
      <c r="Q138" s="2">
        <v>46261</v>
      </c>
      <c r="R138" t="s">
        <v>38</v>
      </c>
    </row>
    <row r="139" spans="1:18" x14ac:dyDescent="0.2">
      <c r="A139" t="s">
        <v>331</v>
      </c>
      <c r="B139" t="s">
        <v>332</v>
      </c>
      <c r="C139" t="s">
        <v>96</v>
      </c>
      <c r="D139" t="s">
        <v>97</v>
      </c>
      <c r="E139" t="s">
        <v>80</v>
      </c>
      <c r="F139" t="s">
        <v>34</v>
      </c>
      <c r="G139" t="s">
        <v>35</v>
      </c>
      <c r="H139" t="s">
        <v>88</v>
      </c>
      <c r="I139" t="s">
        <v>62</v>
      </c>
      <c r="J139" t="s">
        <v>63</v>
      </c>
      <c r="K139" s="2">
        <v>46249</v>
      </c>
      <c r="L139" s="2">
        <v>46614</v>
      </c>
      <c r="M139" t="s">
        <v>69</v>
      </c>
      <c r="N139" t="s">
        <v>49</v>
      </c>
      <c r="O139">
        <v>2</v>
      </c>
      <c r="P139" t="s">
        <v>56</v>
      </c>
      <c r="Q139" s="2">
        <v>46152</v>
      </c>
      <c r="R139" t="s">
        <v>38</v>
      </c>
    </row>
    <row r="140" spans="1:18" x14ac:dyDescent="0.2">
      <c r="A140" t="s">
        <v>333</v>
      </c>
      <c r="B140" t="s">
        <v>334</v>
      </c>
      <c r="C140" t="s">
        <v>78</v>
      </c>
      <c r="D140" t="s">
        <v>79</v>
      </c>
      <c r="E140" t="s">
        <v>44</v>
      </c>
      <c r="F140" t="s">
        <v>34</v>
      </c>
      <c r="G140" t="s">
        <v>35</v>
      </c>
      <c r="H140" t="s">
        <v>98</v>
      </c>
      <c r="I140" t="s">
        <v>62</v>
      </c>
      <c r="J140" t="s">
        <v>48</v>
      </c>
      <c r="K140" s="2">
        <v>46084</v>
      </c>
      <c r="L140" s="2">
        <v>46264</v>
      </c>
      <c r="M140" t="s">
        <v>38</v>
      </c>
      <c r="N140" t="s">
        <v>49</v>
      </c>
      <c r="O140">
        <v>2</v>
      </c>
      <c r="P140" t="s">
        <v>39</v>
      </c>
      <c r="Q140" s="2">
        <v>46188</v>
      </c>
      <c r="R140" t="s">
        <v>64</v>
      </c>
    </row>
    <row r="141" spans="1:18" x14ac:dyDescent="0.2">
      <c r="A141" t="s">
        <v>335</v>
      </c>
      <c r="B141" t="s">
        <v>336</v>
      </c>
      <c r="C141" t="s">
        <v>73</v>
      </c>
      <c r="D141" t="s">
        <v>74</v>
      </c>
      <c r="E141" t="s">
        <v>91</v>
      </c>
      <c r="F141" t="s">
        <v>45</v>
      </c>
      <c r="G141" t="s">
        <v>46</v>
      </c>
      <c r="H141" t="s">
        <v>88</v>
      </c>
      <c r="I141" t="s">
        <v>111</v>
      </c>
      <c r="J141" t="s">
        <v>37</v>
      </c>
      <c r="K141" s="2">
        <v>46010</v>
      </c>
      <c r="L141" s="2">
        <v>46190</v>
      </c>
      <c r="M141" t="s">
        <v>38</v>
      </c>
      <c r="N141" t="s">
        <v>55</v>
      </c>
      <c r="O141">
        <v>1</v>
      </c>
      <c r="P141" t="s">
        <v>56</v>
      </c>
      <c r="Q141" s="2">
        <v>46282</v>
      </c>
      <c r="R141" t="s">
        <v>38</v>
      </c>
    </row>
    <row r="142" spans="1:18" x14ac:dyDescent="0.2">
      <c r="A142" t="s">
        <v>337</v>
      </c>
      <c r="B142" t="s">
        <v>338</v>
      </c>
      <c r="C142" t="s">
        <v>31</v>
      </c>
      <c r="D142" t="s">
        <v>32</v>
      </c>
      <c r="E142" t="s">
        <v>60</v>
      </c>
      <c r="F142" t="s">
        <v>34</v>
      </c>
      <c r="G142" t="s">
        <v>35</v>
      </c>
      <c r="H142" t="s">
        <v>36</v>
      </c>
      <c r="I142" t="s">
        <v>111</v>
      </c>
      <c r="J142" t="s">
        <v>63</v>
      </c>
      <c r="K142" s="2">
        <v>45913</v>
      </c>
      <c r="L142" s="2">
        <v>46278</v>
      </c>
      <c r="M142" t="s">
        <v>38</v>
      </c>
      <c r="N142" t="s">
        <v>75</v>
      </c>
      <c r="O142">
        <v>3</v>
      </c>
      <c r="P142" t="s">
        <v>56</v>
      </c>
      <c r="Q142" s="2">
        <v>46123</v>
      </c>
      <c r="R142" t="s">
        <v>38</v>
      </c>
    </row>
    <row r="143" spans="1:18" x14ac:dyDescent="0.2">
      <c r="A143" t="s">
        <v>339</v>
      </c>
      <c r="B143" t="s">
        <v>340</v>
      </c>
      <c r="C143" t="s">
        <v>78</v>
      </c>
      <c r="D143" t="s">
        <v>79</v>
      </c>
      <c r="E143" t="s">
        <v>60</v>
      </c>
      <c r="F143" t="s">
        <v>34</v>
      </c>
      <c r="G143" t="s">
        <v>35</v>
      </c>
      <c r="H143" t="s">
        <v>88</v>
      </c>
      <c r="I143" t="s">
        <v>54</v>
      </c>
      <c r="J143" t="s">
        <v>63</v>
      </c>
      <c r="K143" s="2">
        <v>45906</v>
      </c>
      <c r="L143" s="2">
        <v>45996</v>
      </c>
      <c r="M143" t="s">
        <v>38</v>
      </c>
      <c r="N143" t="s">
        <v>49</v>
      </c>
      <c r="O143">
        <v>3</v>
      </c>
      <c r="P143" t="s">
        <v>54</v>
      </c>
      <c r="Q143" s="2">
        <v>46202</v>
      </c>
      <c r="R143" t="s">
        <v>38</v>
      </c>
    </row>
    <row r="144" spans="1:18" x14ac:dyDescent="0.2">
      <c r="A144" t="s">
        <v>341</v>
      </c>
      <c r="B144" t="s">
        <v>342</v>
      </c>
      <c r="C144" t="s">
        <v>96</v>
      </c>
      <c r="D144" t="s">
        <v>97</v>
      </c>
      <c r="E144" t="s">
        <v>44</v>
      </c>
      <c r="F144" t="s">
        <v>45</v>
      </c>
      <c r="G144" t="s">
        <v>46</v>
      </c>
      <c r="H144" t="s">
        <v>47</v>
      </c>
      <c r="I144" t="s">
        <v>106</v>
      </c>
      <c r="J144" t="s">
        <v>63</v>
      </c>
      <c r="K144" s="2">
        <v>46061</v>
      </c>
      <c r="L144" s="2">
        <v>46151</v>
      </c>
      <c r="M144" t="s">
        <v>38</v>
      </c>
      <c r="N144" t="s">
        <v>75</v>
      </c>
      <c r="O144">
        <v>1</v>
      </c>
      <c r="P144" t="s">
        <v>39</v>
      </c>
      <c r="Q144" s="2">
        <v>46325</v>
      </c>
      <c r="R144" t="s">
        <v>84</v>
      </c>
    </row>
    <row r="145" spans="1:18" x14ac:dyDescent="0.2">
      <c r="A145" t="s">
        <v>343</v>
      </c>
      <c r="B145" t="s">
        <v>344</v>
      </c>
      <c r="C145" t="s">
        <v>96</v>
      </c>
      <c r="D145" t="s">
        <v>97</v>
      </c>
      <c r="E145" t="s">
        <v>60</v>
      </c>
      <c r="F145" t="s">
        <v>34</v>
      </c>
      <c r="G145" t="s">
        <v>35</v>
      </c>
      <c r="H145" t="s">
        <v>47</v>
      </c>
      <c r="I145" t="s">
        <v>106</v>
      </c>
      <c r="J145" t="s">
        <v>37</v>
      </c>
      <c r="K145" s="2">
        <v>45936</v>
      </c>
      <c r="L145" s="2">
        <v>46116</v>
      </c>
      <c r="M145" t="s">
        <v>38</v>
      </c>
      <c r="N145" t="s">
        <v>49</v>
      </c>
      <c r="O145">
        <v>3</v>
      </c>
      <c r="P145" t="s">
        <v>106</v>
      </c>
      <c r="Q145" s="2">
        <v>46275</v>
      </c>
      <c r="R145" t="s">
        <v>38</v>
      </c>
    </row>
    <row r="146" spans="1:18" x14ac:dyDescent="0.2">
      <c r="A146" t="s">
        <v>345</v>
      </c>
      <c r="B146" t="s">
        <v>346</v>
      </c>
      <c r="C146" t="s">
        <v>96</v>
      </c>
      <c r="D146" t="s">
        <v>97</v>
      </c>
      <c r="E146" t="s">
        <v>60</v>
      </c>
      <c r="F146" t="s">
        <v>34</v>
      </c>
      <c r="G146" t="s">
        <v>35</v>
      </c>
      <c r="H146" t="s">
        <v>88</v>
      </c>
      <c r="J146" t="s">
        <v>37</v>
      </c>
      <c r="K146" s="2">
        <v>46149</v>
      </c>
      <c r="L146" s="2">
        <v>46329</v>
      </c>
      <c r="M146" t="s">
        <v>84</v>
      </c>
      <c r="N146" t="s">
        <v>75</v>
      </c>
      <c r="O146">
        <v>2</v>
      </c>
      <c r="P146" t="s">
        <v>106</v>
      </c>
      <c r="Q146" s="2">
        <v>46221</v>
      </c>
      <c r="R146" t="s">
        <v>38</v>
      </c>
    </row>
    <row r="147" spans="1:18" x14ac:dyDescent="0.2">
      <c r="A147" t="s">
        <v>347</v>
      </c>
      <c r="B147" t="s">
        <v>348</v>
      </c>
      <c r="C147" t="s">
        <v>31</v>
      </c>
      <c r="D147" t="s">
        <v>32</v>
      </c>
      <c r="E147" t="s">
        <v>53</v>
      </c>
      <c r="F147" t="s">
        <v>34</v>
      </c>
      <c r="G147" t="s">
        <v>35</v>
      </c>
      <c r="H147" t="s">
        <v>47</v>
      </c>
      <c r="I147" t="s">
        <v>62</v>
      </c>
      <c r="J147" t="s">
        <v>37</v>
      </c>
      <c r="K147" s="2">
        <v>45817</v>
      </c>
      <c r="L147" s="2">
        <v>45997</v>
      </c>
      <c r="M147" t="s">
        <v>38</v>
      </c>
      <c r="N147" t="s">
        <v>75</v>
      </c>
      <c r="O147">
        <v>1</v>
      </c>
      <c r="P147" t="s">
        <v>56</v>
      </c>
      <c r="Q147" s="2">
        <v>46263</v>
      </c>
      <c r="R147" t="s">
        <v>64</v>
      </c>
    </row>
    <row r="148" spans="1:18" x14ac:dyDescent="0.2">
      <c r="A148" t="s">
        <v>349</v>
      </c>
      <c r="B148" t="s">
        <v>350</v>
      </c>
      <c r="C148" t="s">
        <v>103</v>
      </c>
      <c r="D148" t="s">
        <v>104</v>
      </c>
      <c r="E148" t="s">
        <v>44</v>
      </c>
      <c r="F148" t="s">
        <v>34</v>
      </c>
      <c r="G148" t="s">
        <v>35</v>
      </c>
      <c r="H148" t="s">
        <v>47</v>
      </c>
      <c r="I148" t="s">
        <v>56</v>
      </c>
      <c r="J148" t="s">
        <v>48</v>
      </c>
      <c r="K148" s="2">
        <v>45798</v>
      </c>
      <c r="L148" s="2">
        <v>46163</v>
      </c>
      <c r="M148" t="s">
        <v>38</v>
      </c>
      <c r="N148" t="s">
        <v>49</v>
      </c>
      <c r="O148">
        <v>2</v>
      </c>
      <c r="P148" t="s">
        <v>54</v>
      </c>
      <c r="Q148" s="2">
        <v>46185</v>
      </c>
      <c r="R148" t="s">
        <v>64</v>
      </c>
    </row>
    <row r="149" spans="1:18" x14ac:dyDescent="0.2">
      <c r="A149" t="s">
        <v>351</v>
      </c>
      <c r="B149" t="s">
        <v>352</v>
      </c>
      <c r="C149" t="s">
        <v>31</v>
      </c>
      <c r="D149" t="s">
        <v>83</v>
      </c>
      <c r="E149" t="s">
        <v>105</v>
      </c>
      <c r="F149" t="s">
        <v>34</v>
      </c>
      <c r="G149" t="s">
        <v>35</v>
      </c>
      <c r="H149" t="s">
        <v>47</v>
      </c>
      <c r="I149" t="s">
        <v>106</v>
      </c>
      <c r="J149" t="s">
        <v>63</v>
      </c>
      <c r="K149" s="2">
        <v>45908</v>
      </c>
      <c r="L149" s="2">
        <v>46088</v>
      </c>
      <c r="M149" t="s">
        <v>38</v>
      </c>
      <c r="N149" t="s">
        <v>55</v>
      </c>
      <c r="O149">
        <v>1</v>
      </c>
      <c r="P149" t="s">
        <v>111</v>
      </c>
      <c r="Q149" s="2">
        <v>46117</v>
      </c>
      <c r="R149" t="s">
        <v>38</v>
      </c>
    </row>
    <row r="150" spans="1:18" x14ac:dyDescent="0.2">
      <c r="A150" t="s">
        <v>353</v>
      </c>
      <c r="B150" t="s">
        <v>354</v>
      </c>
      <c r="C150" t="s">
        <v>31</v>
      </c>
      <c r="D150" t="s">
        <v>87</v>
      </c>
      <c r="E150" t="s">
        <v>53</v>
      </c>
      <c r="F150" t="s">
        <v>67</v>
      </c>
      <c r="G150" t="s">
        <v>68</v>
      </c>
      <c r="H150" t="s">
        <v>88</v>
      </c>
      <c r="I150" t="s">
        <v>39</v>
      </c>
      <c r="J150" t="s">
        <v>37</v>
      </c>
      <c r="K150" s="2">
        <v>45811</v>
      </c>
      <c r="L150" s="2">
        <v>45901</v>
      </c>
      <c r="M150" t="s">
        <v>38</v>
      </c>
      <c r="N150" t="s">
        <v>49</v>
      </c>
      <c r="O150">
        <v>1</v>
      </c>
      <c r="P150" t="s">
        <v>50</v>
      </c>
      <c r="Q150" s="2">
        <v>46388</v>
      </c>
      <c r="R150" t="s">
        <v>84</v>
      </c>
    </row>
    <row r="151" spans="1:18" x14ac:dyDescent="0.2">
      <c r="A151" t="s">
        <v>355</v>
      </c>
      <c r="B151" t="s">
        <v>356</v>
      </c>
      <c r="C151" t="s">
        <v>73</v>
      </c>
      <c r="D151" t="s">
        <v>74</v>
      </c>
      <c r="E151" t="s">
        <v>357</v>
      </c>
      <c r="F151" t="s">
        <v>45</v>
      </c>
      <c r="G151" t="s">
        <v>61</v>
      </c>
      <c r="H151" t="s">
        <v>47</v>
      </c>
      <c r="I151" t="s">
        <v>56</v>
      </c>
      <c r="J151" t="s">
        <v>37</v>
      </c>
      <c r="K151" s="2">
        <v>45827</v>
      </c>
      <c r="L151" s="2">
        <v>45917</v>
      </c>
      <c r="M151" t="s">
        <v>38</v>
      </c>
      <c r="N151" t="s">
        <v>55</v>
      </c>
      <c r="O151">
        <v>2</v>
      </c>
      <c r="P151" t="s">
        <v>111</v>
      </c>
      <c r="Q151" s="2">
        <v>46405</v>
      </c>
      <c r="R151" t="s">
        <v>84</v>
      </c>
    </row>
    <row r="152" spans="1:18" x14ac:dyDescent="0.2">
      <c r="A152" t="s">
        <v>358</v>
      </c>
      <c r="B152" t="s">
        <v>359</v>
      </c>
      <c r="C152" t="s">
        <v>31</v>
      </c>
      <c r="D152" t="s">
        <v>87</v>
      </c>
      <c r="E152" t="s">
        <v>53</v>
      </c>
      <c r="F152" t="s">
        <v>45</v>
      </c>
      <c r="G152" t="s">
        <v>61</v>
      </c>
      <c r="H152" t="s">
        <v>47</v>
      </c>
      <c r="I152" t="s">
        <v>70</v>
      </c>
      <c r="J152" t="s">
        <v>37</v>
      </c>
      <c r="K152" s="2">
        <v>46106</v>
      </c>
      <c r="L152" s="2">
        <v>46196</v>
      </c>
      <c r="M152" t="s">
        <v>38</v>
      </c>
      <c r="N152" t="s">
        <v>49</v>
      </c>
      <c r="O152">
        <v>3</v>
      </c>
      <c r="P152" t="s">
        <v>56</v>
      </c>
      <c r="Q152" s="2">
        <v>46246</v>
      </c>
      <c r="R152" t="s">
        <v>38</v>
      </c>
    </row>
    <row r="153" spans="1:18" x14ac:dyDescent="0.2">
      <c r="A153" t="s">
        <v>360</v>
      </c>
      <c r="B153" t="s">
        <v>361</v>
      </c>
      <c r="C153" t="s">
        <v>31</v>
      </c>
      <c r="D153" t="s">
        <v>32</v>
      </c>
      <c r="E153" t="s">
        <v>44</v>
      </c>
      <c r="F153" t="s">
        <v>34</v>
      </c>
      <c r="G153" t="s">
        <v>35</v>
      </c>
      <c r="H153" t="s">
        <v>88</v>
      </c>
      <c r="I153" t="s">
        <v>62</v>
      </c>
      <c r="J153" t="s">
        <v>48</v>
      </c>
      <c r="K153" s="2">
        <v>45852</v>
      </c>
      <c r="L153" s="2">
        <v>46032</v>
      </c>
      <c r="M153" t="s">
        <v>38</v>
      </c>
      <c r="N153" t="s">
        <v>49</v>
      </c>
      <c r="O153">
        <v>2</v>
      </c>
      <c r="P153" t="s">
        <v>111</v>
      </c>
      <c r="Q153" s="2">
        <v>46159</v>
      </c>
      <c r="R153" t="s">
        <v>38</v>
      </c>
    </row>
    <row r="154" spans="1:18" x14ac:dyDescent="0.2">
      <c r="A154" t="s">
        <v>362</v>
      </c>
      <c r="B154" t="s">
        <v>363</v>
      </c>
      <c r="C154" t="s">
        <v>31</v>
      </c>
      <c r="D154" t="s">
        <v>87</v>
      </c>
      <c r="E154" t="s">
        <v>105</v>
      </c>
      <c r="F154" t="s">
        <v>67</v>
      </c>
      <c r="G154" t="s">
        <v>68</v>
      </c>
      <c r="H154" t="s">
        <v>47</v>
      </c>
      <c r="I154" t="s">
        <v>54</v>
      </c>
      <c r="J154" t="s">
        <v>63</v>
      </c>
      <c r="K154" s="2">
        <v>46047</v>
      </c>
      <c r="L154" s="2">
        <v>46227</v>
      </c>
      <c r="M154" t="s">
        <v>38</v>
      </c>
      <c r="N154" t="s">
        <v>75</v>
      </c>
      <c r="O154">
        <v>2</v>
      </c>
      <c r="P154" t="s">
        <v>106</v>
      </c>
      <c r="Q154" s="2">
        <v>46413</v>
      </c>
      <c r="R154" t="s">
        <v>84</v>
      </c>
    </row>
    <row r="155" spans="1:18" x14ac:dyDescent="0.2">
      <c r="A155" t="s">
        <v>364</v>
      </c>
      <c r="B155" t="s">
        <v>365</v>
      </c>
      <c r="C155" t="s">
        <v>42</v>
      </c>
      <c r="D155" t="s">
        <v>43</v>
      </c>
      <c r="E155" t="s">
        <v>105</v>
      </c>
      <c r="F155" t="s">
        <v>34</v>
      </c>
      <c r="G155" t="s">
        <v>35</v>
      </c>
      <c r="H155" t="s">
        <v>88</v>
      </c>
      <c r="I155" t="s">
        <v>111</v>
      </c>
      <c r="J155" t="s">
        <v>63</v>
      </c>
      <c r="K155" s="2">
        <v>46118</v>
      </c>
      <c r="L155" s="2">
        <v>46208</v>
      </c>
      <c r="M155" t="s">
        <v>38</v>
      </c>
      <c r="N155" t="s">
        <v>75</v>
      </c>
      <c r="O155">
        <v>2</v>
      </c>
      <c r="P155" t="s">
        <v>54</v>
      </c>
      <c r="Q155" s="2">
        <v>46175</v>
      </c>
      <c r="R155" t="s">
        <v>38</v>
      </c>
    </row>
    <row r="156" spans="1:18" x14ac:dyDescent="0.2">
      <c r="A156" t="s">
        <v>366</v>
      </c>
      <c r="B156" t="s">
        <v>367</v>
      </c>
      <c r="C156" t="s">
        <v>31</v>
      </c>
      <c r="D156" t="s">
        <v>32</v>
      </c>
      <c r="E156" t="s">
        <v>80</v>
      </c>
      <c r="F156" t="s">
        <v>45</v>
      </c>
      <c r="G156" t="s">
        <v>46</v>
      </c>
      <c r="H156" t="s">
        <v>47</v>
      </c>
      <c r="I156" t="s">
        <v>106</v>
      </c>
      <c r="J156" t="s">
        <v>37</v>
      </c>
      <c r="K156" s="2">
        <v>46063</v>
      </c>
      <c r="L156" s="2">
        <v>46428</v>
      </c>
      <c r="M156" t="s">
        <v>64</v>
      </c>
      <c r="N156" t="s">
        <v>75</v>
      </c>
      <c r="O156">
        <v>1</v>
      </c>
      <c r="P156" t="s">
        <v>106</v>
      </c>
      <c r="Q156" s="2">
        <v>46241</v>
      </c>
      <c r="R156" t="s">
        <v>38</v>
      </c>
    </row>
    <row r="157" spans="1:18" x14ac:dyDescent="0.2">
      <c r="A157" t="s">
        <v>368</v>
      </c>
      <c r="B157" t="s">
        <v>369</v>
      </c>
      <c r="C157" t="s">
        <v>103</v>
      </c>
      <c r="D157" t="s">
        <v>104</v>
      </c>
      <c r="E157" t="s">
        <v>105</v>
      </c>
      <c r="F157" t="s">
        <v>45</v>
      </c>
      <c r="G157" t="s">
        <v>46</v>
      </c>
      <c r="H157" t="s">
        <v>36</v>
      </c>
      <c r="I157" t="s">
        <v>54</v>
      </c>
      <c r="J157" t="s">
        <v>63</v>
      </c>
      <c r="K157" s="2">
        <v>45982</v>
      </c>
      <c r="L157" s="2">
        <v>46347</v>
      </c>
      <c r="M157" t="s">
        <v>64</v>
      </c>
      <c r="N157" t="s">
        <v>75</v>
      </c>
      <c r="O157">
        <v>4</v>
      </c>
      <c r="P157" t="s">
        <v>111</v>
      </c>
      <c r="Q157" s="2">
        <v>46341</v>
      </c>
      <c r="R157" t="s">
        <v>64</v>
      </c>
    </row>
    <row r="158" spans="1:18" x14ac:dyDescent="0.2">
      <c r="A158" t="s">
        <v>370</v>
      </c>
      <c r="B158" t="s">
        <v>371</v>
      </c>
      <c r="C158" t="s">
        <v>31</v>
      </c>
      <c r="D158" t="s">
        <v>87</v>
      </c>
      <c r="E158" t="s">
        <v>105</v>
      </c>
      <c r="F158" t="s">
        <v>45</v>
      </c>
      <c r="G158" t="s">
        <v>61</v>
      </c>
      <c r="H158" t="s">
        <v>88</v>
      </c>
      <c r="I158" t="s">
        <v>62</v>
      </c>
      <c r="J158" t="s">
        <v>48</v>
      </c>
      <c r="K158" s="2">
        <v>46042</v>
      </c>
      <c r="L158" s="2">
        <v>46407</v>
      </c>
      <c r="M158" t="s">
        <v>64</v>
      </c>
      <c r="N158" t="s">
        <v>75</v>
      </c>
      <c r="O158">
        <v>2</v>
      </c>
      <c r="P158" t="s">
        <v>70</v>
      </c>
      <c r="Q158" s="2">
        <v>46126</v>
      </c>
      <c r="R158" t="s">
        <v>38</v>
      </c>
    </row>
    <row r="159" spans="1:18" x14ac:dyDescent="0.2">
      <c r="A159" t="s">
        <v>372</v>
      </c>
      <c r="B159" t="s">
        <v>373</v>
      </c>
      <c r="C159" t="s">
        <v>78</v>
      </c>
      <c r="D159" t="s">
        <v>79</v>
      </c>
      <c r="E159" t="s">
        <v>53</v>
      </c>
      <c r="F159" t="s">
        <v>45</v>
      </c>
      <c r="G159" t="s">
        <v>61</v>
      </c>
      <c r="H159" t="s">
        <v>36</v>
      </c>
      <c r="I159" t="s">
        <v>39</v>
      </c>
      <c r="J159" t="s">
        <v>48</v>
      </c>
      <c r="K159" s="2">
        <v>45797</v>
      </c>
      <c r="L159" s="2">
        <v>45887</v>
      </c>
      <c r="M159" t="s">
        <v>38</v>
      </c>
      <c r="N159" t="s">
        <v>75</v>
      </c>
      <c r="O159">
        <v>0</v>
      </c>
      <c r="P159" t="s">
        <v>62</v>
      </c>
      <c r="Q159" s="2">
        <v>46261</v>
      </c>
      <c r="R159" t="s">
        <v>57</v>
      </c>
    </row>
    <row r="160" spans="1:18" x14ac:dyDescent="0.2">
      <c r="A160" t="s">
        <v>374</v>
      </c>
      <c r="B160" t="s">
        <v>375</v>
      </c>
      <c r="C160" t="s">
        <v>73</v>
      </c>
      <c r="D160" t="s">
        <v>74</v>
      </c>
      <c r="E160" t="s">
        <v>80</v>
      </c>
      <c r="F160" t="s">
        <v>67</v>
      </c>
      <c r="G160" t="s">
        <v>118</v>
      </c>
      <c r="H160" t="s">
        <v>36</v>
      </c>
      <c r="I160" t="s">
        <v>62</v>
      </c>
      <c r="J160" t="s">
        <v>48</v>
      </c>
      <c r="K160" s="2">
        <v>46083</v>
      </c>
      <c r="L160" s="2">
        <v>46173</v>
      </c>
      <c r="M160" t="s">
        <v>38</v>
      </c>
      <c r="N160" t="s">
        <v>49</v>
      </c>
      <c r="O160">
        <v>5</v>
      </c>
      <c r="P160" t="s">
        <v>62</v>
      </c>
      <c r="Q160" s="2">
        <v>46391</v>
      </c>
      <c r="R160" t="s">
        <v>64</v>
      </c>
    </row>
    <row r="161" spans="1:18" x14ac:dyDescent="0.2">
      <c r="A161" t="s">
        <v>376</v>
      </c>
      <c r="B161" t="s">
        <v>377</v>
      </c>
      <c r="C161" t="s">
        <v>78</v>
      </c>
      <c r="D161" t="s">
        <v>79</v>
      </c>
      <c r="E161" t="s">
        <v>91</v>
      </c>
      <c r="F161" t="s">
        <v>34</v>
      </c>
      <c r="G161" t="s">
        <v>35</v>
      </c>
      <c r="H161" t="s">
        <v>98</v>
      </c>
      <c r="I161" t="s">
        <v>39</v>
      </c>
      <c r="J161" t="s">
        <v>48</v>
      </c>
      <c r="K161" s="2">
        <v>45888</v>
      </c>
      <c r="L161" s="2">
        <v>45978</v>
      </c>
      <c r="M161" t="s">
        <v>38</v>
      </c>
      <c r="N161" t="s">
        <v>75</v>
      </c>
      <c r="O161">
        <v>3</v>
      </c>
      <c r="P161" t="s">
        <v>54</v>
      </c>
      <c r="Q161" s="2">
        <v>46393</v>
      </c>
      <c r="R161" t="s">
        <v>84</v>
      </c>
    </row>
    <row r="162" spans="1:18" x14ac:dyDescent="0.2">
      <c r="A162" t="s">
        <v>378</v>
      </c>
      <c r="B162" t="s">
        <v>379</v>
      </c>
      <c r="C162" t="s">
        <v>31</v>
      </c>
      <c r="D162" t="s">
        <v>87</v>
      </c>
      <c r="E162" t="s">
        <v>44</v>
      </c>
      <c r="F162" t="s">
        <v>67</v>
      </c>
      <c r="G162" t="s">
        <v>118</v>
      </c>
      <c r="H162" t="s">
        <v>47</v>
      </c>
      <c r="I162" t="s">
        <v>70</v>
      </c>
      <c r="J162" t="s">
        <v>63</v>
      </c>
      <c r="K162" s="2">
        <v>46259</v>
      </c>
      <c r="L162" s="2">
        <v>46624</v>
      </c>
      <c r="M162" t="s">
        <v>64</v>
      </c>
      <c r="N162" t="s">
        <v>55</v>
      </c>
      <c r="O162">
        <v>1</v>
      </c>
      <c r="P162" t="s">
        <v>39</v>
      </c>
      <c r="Q162" s="2">
        <v>46220</v>
      </c>
      <c r="R162" t="s">
        <v>64</v>
      </c>
    </row>
    <row r="163" spans="1:18" x14ac:dyDescent="0.2">
      <c r="A163" t="s">
        <v>380</v>
      </c>
      <c r="B163" t="s">
        <v>381</v>
      </c>
      <c r="C163" t="s">
        <v>73</v>
      </c>
      <c r="D163" t="s">
        <v>74</v>
      </c>
      <c r="E163" t="s">
        <v>80</v>
      </c>
      <c r="F163" t="s">
        <v>45</v>
      </c>
      <c r="G163" t="s">
        <v>46</v>
      </c>
      <c r="H163" t="s">
        <v>88</v>
      </c>
      <c r="I163" t="s">
        <v>54</v>
      </c>
      <c r="J163" t="s">
        <v>63</v>
      </c>
      <c r="K163" s="2">
        <v>45889</v>
      </c>
      <c r="L163" s="2">
        <v>45979</v>
      </c>
      <c r="M163" t="s">
        <v>38</v>
      </c>
      <c r="N163" t="s">
        <v>55</v>
      </c>
      <c r="O163">
        <v>2</v>
      </c>
      <c r="P163" t="s">
        <v>106</v>
      </c>
      <c r="Q163" s="2">
        <v>46234</v>
      </c>
      <c r="R163" t="s">
        <v>38</v>
      </c>
    </row>
    <row r="164" spans="1:18" x14ac:dyDescent="0.2">
      <c r="A164" t="s">
        <v>382</v>
      </c>
      <c r="B164" t="s">
        <v>383</v>
      </c>
      <c r="C164" t="s">
        <v>31</v>
      </c>
      <c r="D164" t="s">
        <v>83</v>
      </c>
      <c r="E164" t="s">
        <v>44</v>
      </c>
      <c r="F164" t="s">
        <v>45</v>
      </c>
      <c r="G164" t="s">
        <v>61</v>
      </c>
      <c r="H164" t="s">
        <v>98</v>
      </c>
      <c r="I164" t="s">
        <v>54</v>
      </c>
      <c r="J164" t="s">
        <v>63</v>
      </c>
      <c r="K164" s="2">
        <v>46064</v>
      </c>
      <c r="L164" s="2">
        <v>46244</v>
      </c>
      <c r="M164" t="s">
        <v>38</v>
      </c>
      <c r="N164" t="s">
        <v>75</v>
      </c>
      <c r="O164">
        <v>0</v>
      </c>
      <c r="P164" t="s">
        <v>62</v>
      </c>
      <c r="Q164" s="2">
        <v>46400</v>
      </c>
      <c r="R164" t="s">
        <v>57</v>
      </c>
    </row>
    <row r="165" spans="1:18" x14ac:dyDescent="0.2">
      <c r="A165" t="s">
        <v>384</v>
      </c>
      <c r="B165" t="s">
        <v>385</v>
      </c>
      <c r="C165" t="s">
        <v>42</v>
      </c>
      <c r="D165" t="s">
        <v>43</v>
      </c>
      <c r="E165" t="s">
        <v>105</v>
      </c>
      <c r="F165" t="s">
        <v>34</v>
      </c>
      <c r="G165" t="s">
        <v>35</v>
      </c>
      <c r="H165" t="s">
        <v>98</v>
      </c>
      <c r="I165" t="s">
        <v>62</v>
      </c>
      <c r="J165" t="s">
        <v>48</v>
      </c>
      <c r="K165" s="2">
        <v>45873</v>
      </c>
      <c r="L165" s="2">
        <v>46238</v>
      </c>
      <c r="M165" t="s">
        <v>38</v>
      </c>
      <c r="N165" t="s">
        <v>75</v>
      </c>
      <c r="O165">
        <v>5</v>
      </c>
      <c r="P165" t="s">
        <v>111</v>
      </c>
      <c r="Q165" s="2">
        <v>46328</v>
      </c>
      <c r="R165" t="s">
        <v>84</v>
      </c>
    </row>
    <row r="166" spans="1:18" x14ac:dyDescent="0.2">
      <c r="A166" t="s">
        <v>386</v>
      </c>
      <c r="B166" t="s">
        <v>387</v>
      </c>
      <c r="C166" t="s">
        <v>31</v>
      </c>
      <c r="D166" t="s">
        <v>83</v>
      </c>
      <c r="E166" t="s">
        <v>53</v>
      </c>
      <c r="F166" t="s">
        <v>45</v>
      </c>
      <c r="G166" t="s">
        <v>46</v>
      </c>
      <c r="H166" t="s">
        <v>36</v>
      </c>
      <c r="I166" t="s">
        <v>50</v>
      </c>
      <c r="J166" t="s">
        <v>48</v>
      </c>
      <c r="K166" s="2">
        <v>45863</v>
      </c>
      <c r="L166" s="2">
        <v>46043</v>
      </c>
      <c r="M166" t="s">
        <v>38</v>
      </c>
      <c r="N166" t="s">
        <v>55</v>
      </c>
      <c r="O166">
        <v>4</v>
      </c>
      <c r="P166" t="s">
        <v>56</v>
      </c>
      <c r="Q166" s="2">
        <v>46326</v>
      </c>
      <c r="R166" t="s">
        <v>84</v>
      </c>
    </row>
    <row r="167" spans="1:18" x14ac:dyDescent="0.2">
      <c r="A167" t="s">
        <v>388</v>
      </c>
      <c r="B167" t="s">
        <v>389</v>
      </c>
      <c r="C167" t="s">
        <v>31</v>
      </c>
      <c r="D167" t="s">
        <v>87</v>
      </c>
      <c r="E167" t="s">
        <v>91</v>
      </c>
      <c r="F167" t="s">
        <v>45</v>
      </c>
      <c r="G167" t="s">
        <v>61</v>
      </c>
      <c r="H167" t="s">
        <v>47</v>
      </c>
      <c r="I167" t="s">
        <v>111</v>
      </c>
      <c r="J167" t="s">
        <v>48</v>
      </c>
      <c r="K167" s="2">
        <v>45842</v>
      </c>
      <c r="L167" s="2">
        <v>46022</v>
      </c>
      <c r="M167" t="s">
        <v>38</v>
      </c>
      <c r="N167" t="s">
        <v>55</v>
      </c>
      <c r="O167">
        <v>1</v>
      </c>
      <c r="P167" t="s">
        <v>54</v>
      </c>
      <c r="Q167" s="2">
        <v>46141</v>
      </c>
      <c r="R167" t="s">
        <v>64</v>
      </c>
    </row>
    <row r="168" spans="1:18" x14ac:dyDescent="0.2">
      <c r="A168" t="s">
        <v>390</v>
      </c>
      <c r="B168" t="s">
        <v>391</v>
      </c>
      <c r="C168" t="s">
        <v>96</v>
      </c>
      <c r="D168" t="s">
        <v>97</v>
      </c>
      <c r="E168" t="s">
        <v>80</v>
      </c>
      <c r="F168" t="s">
        <v>34</v>
      </c>
      <c r="G168" t="s">
        <v>35</v>
      </c>
      <c r="H168" t="s">
        <v>47</v>
      </c>
      <c r="I168" t="s">
        <v>106</v>
      </c>
      <c r="J168" t="s">
        <v>63</v>
      </c>
      <c r="K168" s="2">
        <v>46120</v>
      </c>
      <c r="L168" s="2">
        <v>46210</v>
      </c>
      <c r="M168" t="s">
        <v>38</v>
      </c>
      <c r="N168" t="s">
        <v>55</v>
      </c>
      <c r="O168">
        <v>1</v>
      </c>
      <c r="P168" t="s">
        <v>54</v>
      </c>
      <c r="Q168" s="2">
        <v>46175</v>
      </c>
      <c r="R168" t="s">
        <v>38</v>
      </c>
    </row>
    <row r="169" spans="1:18" x14ac:dyDescent="0.2">
      <c r="A169" t="s">
        <v>392</v>
      </c>
      <c r="B169" t="s">
        <v>393</v>
      </c>
      <c r="C169" t="s">
        <v>96</v>
      </c>
      <c r="D169" t="s">
        <v>97</v>
      </c>
      <c r="E169" t="s">
        <v>60</v>
      </c>
      <c r="F169" t="s">
        <v>67</v>
      </c>
      <c r="G169" t="s">
        <v>68</v>
      </c>
      <c r="H169" t="s">
        <v>88</v>
      </c>
      <c r="I169" t="s">
        <v>56</v>
      </c>
      <c r="J169" t="s">
        <v>48</v>
      </c>
      <c r="K169" s="2">
        <v>46081</v>
      </c>
      <c r="L169" s="2">
        <v>46261</v>
      </c>
      <c r="M169" t="s">
        <v>38</v>
      </c>
      <c r="N169" t="s">
        <v>49</v>
      </c>
      <c r="O169">
        <v>2</v>
      </c>
      <c r="P169" t="s">
        <v>111</v>
      </c>
      <c r="Q169" s="2">
        <v>46272</v>
      </c>
      <c r="R169" t="s">
        <v>64</v>
      </c>
    </row>
    <row r="170" spans="1:18" x14ac:dyDescent="0.2">
      <c r="A170" t="s">
        <v>394</v>
      </c>
      <c r="B170" t="s">
        <v>395</v>
      </c>
      <c r="C170" t="s">
        <v>78</v>
      </c>
      <c r="D170" t="s">
        <v>79</v>
      </c>
      <c r="E170" t="s">
        <v>53</v>
      </c>
      <c r="F170" t="s">
        <v>67</v>
      </c>
      <c r="G170" t="s">
        <v>68</v>
      </c>
      <c r="H170" t="s">
        <v>88</v>
      </c>
      <c r="I170" t="s">
        <v>39</v>
      </c>
      <c r="J170" t="s">
        <v>48</v>
      </c>
      <c r="K170" s="2">
        <v>45987</v>
      </c>
      <c r="L170" s="2">
        <v>46077</v>
      </c>
      <c r="M170" t="s">
        <v>38</v>
      </c>
      <c r="N170" t="s">
        <v>49</v>
      </c>
      <c r="O170">
        <v>1</v>
      </c>
      <c r="P170" t="s">
        <v>54</v>
      </c>
      <c r="Q170" s="2">
        <v>46123</v>
      </c>
      <c r="R170" t="s">
        <v>64</v>
      </c>
    </row>
    <row r="171" spans="1:18" x14ac:dyDescent="0.2">
      <c r="A171" t="s">
        <v>396</v>
      </c>
      <c r="B171" t="s">
        <v>397</v>
      </c>
      <c r="C171" t="s">
        <v>96</v>
      </c>
      <c r="D171" t="s">
        <v>97</v>
      </c>
      <c r="E171" t="s">
        <v>80</v>
      </c>
      <c r="F171" t="s">
        <v>67</v>
      </c>
      <c r="G171" t="s">
        <v>68</v>
      </c>
      <c r="H171" t="s">
        <v>88</v>
      </c>
      <c r="I171" t="s">
        <v>54</v>
      </c>
      <c r="J171" t="s">
        <v>48</v>
      </c>
      <c r="K171" s="2">
        <v>46020</v>
      </c>
      <c r="L171" s="2">
        <v>46385</v>
      </c>
      <c r="M171" t="s">
        <v>69</v>
      </c>
      <c r="O171">
        <v>2</v>
      </c>
      <c r="P171" t="s">
        <v>106</v>
      </c>
      <c r="Q171" s="2">
        <v>46365</v>
      </c>
      <c r="R171" t="s">
        <v>84</v>
      </c>
    </row>
    <row r="172" spans="1:18" x14ac:dyDescent="0.2">
      <c r="A172" t="s">
        <v>398</v>
      </c>
      <c r="B172" t="s">
        <v>399</v>
      </c>
      <c r="C172" t="s">
        <v>31</v>
      </c>
      <c r="D172" t="s">
        <v>87</v>
      </c>
      <c r="E172" t="s">
        <v>91</v>
      </c>
      <c r="F172" t="s">
        <v>45</v>
      </c>
      <c r="G172" t="s">
        <v>46</v>
      </c>
      <c r="H172" t="s">
        <v>88</v>
      </c>
      <c r="I172" t="s">
        <v>50</v>
      </c>
      <c r="J172" t="s">
        <v>48</v>
      </c>
      <c r="K172" s="2">
        <v>45806</v>
      </c>
      <c r="L172" s="2">
        <v>46171</v>
      </c>
      <c r="M172" t="s">
        <v>38</v>
      </c>
      <c r="N172" t="s">
        <v>49</v>
      </c>
      <c r="O172">
        <v>0</v>
      </c>
      <c r="P172" t="s">
        <v>39</v>
      </c>
      <c r="Q172" s="2">
        <v>46383</v>
      </c>
      <c r="R172" t="s">
        <v>57</v>
      </c>
    </row>
    <row r="173" spans="1:18" x14ac:dyDescent="0.2">
      <c r="A173" t="s">
        <v>400</v>
      </c>
      <c r="B173" t="s">
        <v>401</v>
      </c>
      <c r="C173" t="s">
        <v>96</v>
      </c>
      <c r="D173" t="s">
        <v>97</v>
      </c>
      <c r="E173" t="s">
        <v>44</v>
      </c>
      <c r="F173" t="s">
        <v>45</v>
      </c>
      <c r="G173" t="s">
        <v>61</v>
      </c>
      <c r="H173" t="s">
        <v>36</v>
      </c>
      <c r="I173" t="s">
        <v>54</v>
      </c>
      <c r="J173" t="s">
        <v>37</v>
      </c>
      <c r="K173" s="2">
        <v>46241</v>
      </c>
      <c r="L173" s="2">
        <v>46606</v>
      </c>
      <c r="M173" t="s">
        <v>64</v>
      </c>
      <c r="N173" t="s">
        <v>55</v>
      </c>
      <c r="O173">
        <v>4</v>
      </c>
      <c r="P173" t="s">
        <v>39</v>
      </c>
      <c r="Q173" s="2">
        <v>46348</v>
      </c>
      <c r="R173" t="s">
        <v>84</v>
      </c>
    </row>
    <row r="174" spans="1:18" x14ac:dyDescent="0.2">
      <c r="A174" t="s">
        <v>402</v>
      </c>
      <c r="B174" t="s">
        <v>403</v>
      </c>
      <c r="C174" t="s">
        <v>31</v>
      </c>
      <c r="D174" t="s">
        <v>32</v>
      </c>
      <c r="E174" t="s">
        <v>105</v>
      </c>
      <c r="F174" t="s">
        <v>45</v>
      </c>
      <c r="G174" t="s">
        <v>61</v>
      </c>
      <c r="H174" t="s">
        <v>47</v>
      </c>
      <c r="I174" t="s">
        <v>56</v>
      </c>
      <c r="J174" t="s">
        <v>48</v>
      </c>
      <c r="K174" s="2">
        <v>46001</v>
      </c>
      <c r="L174" s="2">
        <v>46181</v>
      </c>
      <c r="M174" t="s">
        <v>38</v>
      </c>
      <c r="N174" t="s">
        <v>55</v>
      </c>
      <c r="O174">
        <v>3</v>
      </c>
      <c r="P174" t="s">
        <v>54</v>
      </c>
      <c r="Q174" s="2">
        <v>46206</v>
      </c>
      <c r="R174" t="s">
        <v>64</v>
      </c>
    </row>
    <row r="175" spans="1:18" x14ac:dyDescent="0.2">
      <c r="A175" t="s">
        <v>404</v>
      </c>
      <c r="B175" t="s">
        <v>405</v>
      </c>
      <c r="C175" t="s">
        <v>31</v>
      </c>
      <c r="D175" t="s">
        <v>32</v>
      </c>
      <c r="E175" t="s">
        <v>53</v>
      </c>
      <c r="F175" t="s">
        <v>45</v>
      </c>
      <c r="G175" t="s">
        <v>61</v>
      </c>
      <c r="H175" t="s">
        <v>47</v>
      </c>
      <c r="I175" t="s">
        <v>62</v>
      </c>
      <c r="J175" t="s">
        <v>63</v>
      </c>
      <c r="K175" s="2">
        <v>46235</v>
      </c>
      <c r="L175" s="2">
        <v>46415</v>
      </c>
      <c r="M175" t="s">
        <v>69</v>
      </c>
      <c r="N175" t="s">
        <v>49</v>
      </c>
      <c r="O175">
        <v>1</v>
      </c>
      <c r="P175" t="s">
        <v>39</v>
      </c>
      <c r="Q175" s="2">
        <v>46230</v>
      </c>
      <c r="R175" t="s">
        <v>64</v>
      </c>
    </row>
    <row r="176" spans="1:18" x14ac:dyDescent="0.2">
      <c r="A176" t="s">
        <v>406</v>
      </c>
      <c r="B176" t="s">
        <v>407</v>
      </c>
      <c r="C176" t="s">
        <v>78</v>
      </c>
      <c r="D176" t="s">
        <v>79</v>
      </c>
      <c r="E176" t="s">
        <v>80</v>
      </c>
      <c r="F176" t="s">
        <v>45</v>
      </c>
      <c r="G176" t="s">
        <v>61</v>
      </c>
      <c r="H176" t="s">
        <v>88</v>
      </c>
      <c r="I176" t="s">
        <v>111</v>
      </c>
      <c r="J176" t="s">
        <v>37</v>
      </c>
      <c r="K176" s="2">
        <v>46247</v>
      </c>
      <c r="L176" s="2">
        <v>46612</v>
      </c>
      <c r="M176" t="s">
        <v>64</v>
      </c>
      <c r="N176" t="s">
        <v>55</v>
      </c>
      <c r="O176">
        <v>0</v>
      </c>
      <c r="P176" t="s">
        <v>70</v>
      </c>
      <c r="Q176" s="2">
        <v>46370</v>
      </c>
      <c r="R176" t="s">
        <v>57</v>
      </c>
    </row>
    <row r="177" spans="1:18" x14ac:dyDescent="0.2">
      <c r="A177" t="s">
        <v>408</v>
      </c>
      <c r="B177" t="s">
        <v>409</v>
      </c>
      <c r="C177" t="s">
        <v>31</v>
      </c>
      <c r="D177" t="s">
        <v>87</v>
      </c>
      <c r="E177" t="s">
        <v>44</v>
      </c>
      <c r="F177" t="s">
        <v>34</v>
      </c>
      <c r="G177" t="s">
        <v>35</v>
      </c>
      <c r="H177" t="s">
        <v>47</v>
      </c>
      <c r="I177" t="s">
        <v>111</v>
      </c>
      <c r="J177" t="s">
        <v>37</v>
      </c>
      <c r="K177" s="2">
        <v>46137</v>
      </c>
      <c r="L177" s="2">
        <v>46227</v>
      </c>
      <c r="M177" t="s">
        <v>38</v>
      </c>
      <c r="N177" t="s">
        <v>55</v>
      </c>
      <c r="O177">
        <v>2</v>
      </c>
      <c r="P177" t="s">
        <v>39</v>
      </c>
      <c r="Q177" s="2">
        <v>46393</v>
      </c>
      <c r="R177" t="s">
        <v>84</v>
      </c>
    </row>
    <row r="178" spans="1:18" x14ac:dyDescent="0.2">
      <c r="A178" t="s">
        <v>410</v>
      </c>
      <c r="B178" t="s">
        <v>411</v>
      </c>
      <c r="C178" t="s">
        <v>78</v>
      </c>
      <c r="D178" t="s">
        <v>79</v>
      </c>
      <c r="E178" t="s">
        <v>91</v>
      </c>
      <c r="F178" t="s">
        <v>45</v>
      </c>
      <c r="G178" t="s">
        <v>46</v>
      </c>
      <c r="H178" t="s">
        <v>36</v>
      </c>
      <c r="I178" t="s">
        <v>70</v>
      </c>
      <c r="J178" t="s">
        <v>63</v>
      </c>
      <c r="K178" s="2">
        <v>46122</v>
      </c>
      <c r="L178" s="2">
        <v>46212</v>
      </c>
      <c r="M178" t="s">
        <v>38</v>
      </c>
      <c r="N178" t="s">
        <v>49</v>
      </c>
      <c r="O178">
        <v>1</v>
      </c>
      <c r="P178" t="s">
        <v>106</v>
      </c>
      <c r="Q178" s="2">
        <v>46405</v>
      </c>
      <c r="R178" t="s">
        <v>84</v>
      </c>
    </row>
    <row r="179" spans="1:18" x14ac:dyDescent="0.2">
      <c r="A179" t="s">
        <v>412</v>
      </c>
      <c r="B179" t="s">
        <v>413</v>
      </c>
      <c r="C179" t="s">
        <v>73</v>
      </c>
      <c r="D179" t="s">
        <v>74</v>
      </c>
      <c r="E179" t="s">
        <v>91</v>
      </c>
      <c r="F179" t="s">
        <v>67</v>
      </c>
      <c r="G179" t="s">
        <v>68</v>
      </c>
      <c r="H179" t="s">
        <v>36</v>
      </c>
      <c r="I179" t="s">
        <v>106</v>
      </c>
      <c r="J179" t="s">
        <v>63</v>
      </c>
      <c r="K179" s="2">
        <v>46248</v>
      </c>
      <c r="L179" s="2">
        <v>46338</v>
      </c>
      <c r="M179" t="s">
        <v>64</v>
      </c>
      <c r="N179" t="s">
        <v>55</v>
      </c>
      <c r="O179">
        <v>2</v>
      </c>
      <c r="P179" t="s">
        <v>56</v>
      </c>
      <c r="Q179" s="2">
        <v>46318</v>
      </c>
      <c r="R179" t="s">
        <v>84</v>
      </c>
    </row>
    <row r="180" spans="1:18" x14ac:dyDescent="0.2">
      <c r="A180" t="s">
        <v>414</v>
      </c>
      <c r="B180" t="s">
        <v>415</v>
      </c>
      <c r="C180" t="s">
        <v>42</v>
      </c>
      <c r="D180" t="s">
        <v>43</v>
      </c>
      <c r="E180" t="s">
        <v>44</v>
      </c>
      <c r="F180" t="s">
        <v>67</v>
      </c>
      <c r="G180" t="s">
        <v>118</v>
      </c>
      <c r="H180" t="s">
        <v>88</v>
      </c>
      <c r="I180" t="s">
        <v>62</v>
      </c>
      <c r="J180" t="s">
        <v>48</v>
      </c>
      <c r="K180" s="2">
        <v>46054</v>
      </c>
      <c r="L180" s="2">
        <v>46144</v>
      </c>
      <c r="M180" t="s">
        <v>38</v>
      </c>
      <c r="N180" t="s">
        <v>49</v>
      </c>
      <c r="O180">
        <v>3</v>
      </c>
      <c r="P180" t="s">
        <v>70</v>
      </c>
      <c r="Q180" s="2">
        <v>46158</v>
      </c>
      <c r="R180" t="s">
        <v>38</v>
      </c>
    </row>
    <row r="181" spans="1:18" x14ac:dyDescent="0.2">
      <c r="A181" t="s">
        <v>416</v>
      </c>
      <c r="B181" t="s">
        <v>417</v>
      </c>
      <c r="C181" t="s">
        <v>42</v>
      </c>
      <c r="D181" t="s">
        <v>43</v>
      </c>
      <c r="E181" t="s">
        <v>44</v>
      </c>
      <c r="F181" t="s">
        <v>45</v>
      </c>
      <c r="G181" t="s">
        <v>61</v>
      </c>
      <c r="H181" t="s">
        <v>88</v>
      </c>
      <c r="I181" t="s">
        <v>50</v>
      </c>
      <c r="J181" t="s">
        <v>37</v>
      </c>
      <c r="K181" s="2">
        <v>45897</v>
      </c>
      <c r="L181" s="2">
        <v>46077</v>
      </c>
      <c r="M181" t="s">
        <v>38</v>
      </c>
      <c r="N181" t="s">
        <v>75</v>
      </c>
      <c r="O181">
        <v>2</v>
      </c>
      <c r="P181" t="s">
        <v>56</v>
      </c>
      <c r="Q181" s="2">
        <v>46169</v>
      </c>
      <c r="R181" t="s">
        <v>64</v>
      </c>
    </row>
    <row r="182" spans="1:18" x14ac:dyDescent="0.2">
      <c r="A182" t="s">
        <v>418</v>
      </c>
      <c r="B182" t="s">
        <v>419</v>
      </c>
      <c r="C182" t="s">
        <v>73</v>
      </c>
      <c r="D182" t="s">
        <v>74</v>
      </c>
      <c r="E182" t="s">
        <v>105</v>
      </c>
      <c r="F182" t="s">
        <v>45</v>
      </c>
      <c r="G182" t="s">
        <v>46</v>
      </c>
      <c r="H182" t="s">
        <v>47</v>
      </c>
      <c r="I182" t="s">
        <v>111</v>
      </c>
      <c r="J182" t="s">
        <v>48</v>
      </c>
      <c r="K182" s="2">
        <v>45990</v>
      </c>
      <c r="L182" s="2">
        <v>46355</v>
      </c>
      <c r="M182" t="s">
        <v>64</v>
      </c>
      <c r="N182" t="s">
        <v>55</v>
      </c>
      <c r="O182">
        <v>0</v>
      </c>
      <c r="P182" t="s">
        <v>106</v>
      </c>
      <c r="Q182" s="2">
        <v>46160</v>
      </c>
      <c r="R182" t="s">
        <v>57</v>
      </c>
    </row>
    <row r="183" spans="1:18" x14ac:dyDescent="0.2">
      <c r="A183" t="s">
        <v>420</v>
      </c>
      <c r="B183" t="s">
        <v>421</v>
      </c>
      <c r="C183" t="s">
        <v>42</v>
      </c>
      <c r="D183" t="s">
        <v>43</v>
      </c>
      <c r="E183" t="s">
        <v>53</v>
      </c>
      <c r="F183" t="s">
        <v>67</v>
      </c>
      <c r="G183" t="s">
        <v>68</v>
      </c>
      <c r="H183" t="s">
        <v>88</v>
      </c>
      <c r="I183" t="s">
        <v>70</v>
      </c>
      <c r="J183" t="s">
        <v>37</v>
      </c>
      <c r="K183" s="2">
        <v>45904</v>
      </c>
      <c r="L183" s="2">
        <v>46269</v>
      </c>
      <c r="M183" t="s">
        <v>38</v>
      </c>
      <c r="N183" t="s">
        <v>55</v>
      </c>
      <c r="O183">
        <v>1</v>
      </c>
      <c r="P183" t="s">
        <v>111</v>
      </c>
      <c r="Q183" s="2">
        <v>46309</v>
      </c>
      <c r="R183" t="s">
        <v>64</v>
      </c>
    </row>
    <row r="184" spans="1:18" x14ac:dyDescent="0.2">
      <c r="A184" t="s">
        <v>422</v>
      </c>
      <c r="B184" t="s">
        <v>423</v>
      </c>
      <c r="C184" t="s">
        <v>103</v>
      </c>
      <c r="D184" t="s">
        <v>104</v>
      </c>
      <c r="E184" t="s">
        <v>44</v>
      </c>
      <c r="F184" t="s">
        <v>45</v>
      </c>
      <c r="G184" t="s">
        <v>46</v>
      </c>
      <c r="H184" t="s">
        <v>88</v>
      </c>
      <c r="I184" t="s">
        <v>62</v>
      </c>
      <c r="J184" t="s">
        <v>48</v>
      </c>
      <c r="K184" s="2">
        <v>46122</v>
      </c>
      <c r="L184" s="2">
        <v>46302</v>
      </c>
      <c r="M184" t="s">
        <v>69</v>
      </c>
      <c r="N184" t="s">
        <v>75</v>
      </c>
      <c r="O184">
        <v>1</v>
      </c>
      <c r="P184" t="s">
        <v>50</v>
      </c>
      <c r="Q184" s="2">
        <v>46368</v>
      </c>
      <c r="R184" t="s">
        <v>84</v>
      </c>
    </row>
    <row r="185" spans="1:18" x14ac:dyDescent="0.2">
      <c r="A185" t="s">
        <v>424</v>
      </c>
      <c r="B185" t="s">
        <v>425</v>
      </c>
      <c r="C185" t="s">
        <v>31</v>
      </c>
      <c r="D185" t="s">
        <v>83</v>
      </c>
      <c r="E185" t="s">
        <v>80</v>
      </c>
      <c r="F185" t="s">
        <v>67</v>
      </c>
      <c r="G185" t="s">
        <v>68</v>
      </c>
      <c r="H185" t="s">
        <v>88</v>
      </c>
      <c r="I185" t="s">
        <v>62</v>
      </c>
      <c r="J185" t="s">
        <v>37</v>
      </c>
      <c r="K185" s="2">
        <v>45864</v>
      </c>
      <c r="L185" s="2">
        <v>46044</v>
      </c>
      <c r="M185" t="s">
        <v>38</v>
      </c>
      <c r="N185" t="s">
        <v>75</v>
      </c>
      <c r="O185">
        <v>2</v>
      </c>
      <c r="P185" t="s">
        <v>54</v>
      </c>
      <c r="Q185" s="2">
        <v>46335</v>
      </c>
      <c r="R185" t="s">
        <v>84</v>
      </c>
    </row>
    <row r="186" spans="1:18" x14ac:dyDescent="0.2">
      <c r="A186" t="s">
        <v>426</v>
      </c>
      <c r="B186" t="s">
        <v>427</v>
      </c>
      <c r="C186" t="s">
        <v>78</v>
      </c>
      <c r="D186" t="s">
        <v>79</v>
      </c>
      <c r="E186" t="s">
        <v>44</v>
      </c>
      <c r="F186" t="s">
        <v>67</v>
      </c>
      <c r="G186" t="s">
        <v>118</v>
      </c>
      <c r="H186" t="s">
        <v>98</v>
      </c>
      <c r="I186" t="s">
        <v>106</v>
      </c>
      <c r="J186" t="s">
        <v>48</v>
      </c>
      <c r="K186" s="2">
        <v>46126</v>
      </c>
      <c r="L186" s="2">
        <v>46491</v>
      </c>
      <c r="M186" t="s">
        <v>69</v>
      </c>
      <c r="N186" t="s">
        <v>49</v>
      </c>
      <c r="O186">
        <v>1</v>
      </c>
      <c r="P186" t="s">
        <v>54</v>
      </c>
      <c r="Q186" s="2">
        <v>46281</v>
      </c>
      <c r="R186" t="s">
        <v>38</v>
      </c>
    </row>
    <row r="187" spans="1:18" x14ac:dyDescent="0.2">
      <c r="A187" t="s">
        <v>428</v>
      </c>
      <c r="B187" t="s">
        <v>429</v>
      </c>
      <c r="C187" t="s">
        <v>31</v>
      </c>
      <c r="D187" t="s">
        <v>32</v>
      </c>
      <c r="E187" t="s">
        <v>91</v>
      </c>
      <c r="F187" t="s">
        <v>34</v>
      </c>
      <c r="G187" t="s">
        <v>35</v>
      </c>
      <c r="H187" t="s">
        <v>36</v>
      </c>
      <c r="I187" t="s">
        <v>39</v>
      </c>
      <c r="J187" t="s">
        <v>37</v>
      </c>
      <c r="K187" s="2">
        <v>45903</v>
      </c>
      <c r="L187" s="2">
        <v>46083</v>
      </c>
      <c r="M187" t="s">
        <v>38</v>
      </c>
      <c r="N187" t="s">
        <v>49</v>
      </c>
      <c r="O187">
        <v>1</v>
      </c>
      <c r="P187" t="s">
        <v>111</v>
      </c>
      <c r="Q187" s="2">
        <v>46339</v>
      </c>
      <c r="R187" t="s">
        <v>84</v>
      </c>
    </row>
    <row r="188" spans="1:18" x14ac:dyDescent="0.2">
      <c r="A188" t="s">
        <v>430</v>
      </c>
      <c r="B188" t="s">
        <v>431</v>
      </c>
      <c r="C188" t="s">
        <v>96</v>
      </c>
      <c r="D188" t="s">
        <v>97</v>
      </c>
      <c r="E188" t="s">
        <v>44</v>
      </c>
      <c r="F188" t="s">
        <v>45</v>
      </c>
      <c r="G188" t="s">
        <v>61</v>
      </c>
      <c r="H188" t="s">
        <v>47</v>
      </c>
      <c r="I188" t="s">
        <v>50</v>
      </c>
      <c r="J188" t="s">
        <v>37</v>
      </c>
      <c r="K188" s="2">
        <v>45909</v>
      </c>
      <c r="L188" s="2">
        <v>46089</v>
      </c>
      <c r="M188" t="s">
        <v>38</v>
      </c>
      <c r="N188" t="s">
        <v>75</v>
      </c>
      <c r="O188">
        <v>0</v>
      </c>
      <c r="P188" t="s">
        <v>62</v>
      </c>
      <c r="Q188" s="2">
        <v>46344</v>
      </c>
      <c r="R188" t="s">
        <v>57</v>
      </c>
    </row>
    <row r="189" spans="1:18" x14ac:dyDescent="0.2">
      <c r="A189" t="s">
        <v>432</v>
      </c>
      <c r="B189" t="s">
        <v>433</v>
      </c>
      <c r="C189" t="s">
        <v>78</v>
      </c>
      <c r="D189" t="s">
        <v>79</v>
      </c>
      <c r="E189" t="s">
        <v>53</v>
      </c>
      <c r="F189" t="s">
        <v>34</v>
      </c>
      <c r="G189" t="s">
        <v>35</v>
      </c>
      <c r="H189" t="s">
        <v>36</v>
      </c>
      <c r="I189" t="s">
        <v>70</v>
      </c>
      <c r="J189" t="s">
        <v>37</v>
      </c>
      <c r="K189" s="2">
        <v>46220</v>
      </c>
      <c r="L189" s="2">
        <v>46310</v>
      </c>
      <c r="M189" t="s">
        <v>69</v>
      </c>
      <c r="N189" t="s">
        <v>55</v>
      </c>
      <c r="O189">
        <v>5</v>
      </c>
      <c r="P189" t="s">
        <v>62</v>
      </c>
      <c r="Q189" s="2">
        <v>46137</v>
      </c>
      <c r="R189" t="s">
        <v>38</v>
      </c>
    </row>
    <row r="190" spans="1:18" x14ac:dyDescent="0.2">
      <c r="A190" t="s">
        <v>434</v>
      </c>
      <c r="B190" t="s">
        <v>435</v>
      </c>
      <c r="C190" t="s">
        <v>31</v>
      </c>
      <c r="D190" t="s">
        <v>87</v>
      </c>
      <c r="E190" t="s">
        <v>105</v>
      </c>
      <c r="F190" t="s">
        <v>45</v>
      </c>
      <c r="G190" t="s">
        <v>46</v>
      </c>
      <c r="H190" t="s">
        <v>47</v>
      </c>
      <c r="I190" t="s">
        <v>54</v>
      </c>
      <c r="J190" t="s">
        <v>48</v>
      </c>
      <c r="K190" s="2">
        <v>46047</v>
      </c>
      <c r="L190" s="2">
        <v>46227</v>
      </c>
      <c r="M190" t="s">
        <v>38</v>
      </c>
      <c r="N190" t="s">
        <v>75</v>
      </c>
      <c r="O190">
        <v>3</v>
      </c>
      <c r="P190" t="s">
        <v>56</v>
      </c>
      <c r="Q190" s="2">
        <v>46371</v>
      </c>
      <c r="R190" t="s">
        <v>64</v>
      </c>
    </row>
    <row r="191" spans="1:18" x14ac:dyDescent="0.2">
      <c r="A191" t="s">
        <v>436</v>
      </c>
      <c r="B191" t="s">
        <v>437</v>
      </c>
      <c r="C191" t="s">
        <v>73</v>
      </c>
      <c r="D191" t="s">
        <v>74</v>
      </c>
      <c r="E191" t="s">
        <v>105</v>
      </c>
      <c r="F191" t="s">
        <v>67</v>
      </c>
      <c r="G191" t="s">
        <v>68</v>
      </c>
      <c r="H191" t="s">
        <v>36</v>
      </c>
      <c r="I191" t="s">
        <v>50</v>
      </c>
      <c r="J191" t="s">
        <v>48</v>
      </c>
      <c r="K191" s="2">
        <v>46097</v>
      </c>
      <c r="L191" s="2">
        <v>46277</v>
      </c>
      <c r="M191" t="s">
        <v>38</v>
      </c>
      <c r="N191" t="s">
        <v>75</v>
      </c>
      <c r="O191">
        <v>3</v>
      </c>
      <c r="P191" t="s">
        <v>111</v>
      </c>
      <c r="Q191" s="2">
        <v>46220</v>
      </c>
      <c r="R191" t="s">
        <v>38</v>
      </c>
    </row>
    <row r="192" spans="1:18" x14ac:dyDescent="0.2">
      <c r="A192" t="s">
        <v>438</v>
      </c>
      <c r="B192" t="s">
        <v>439</v>
      </c>
      <c r="C192" t="s">
        <v>31</v>
      </c>
      <c r="D192" t="s">
        <v>32</v>
      </c>
      <c r="E192" t="s">
        <v>53</v>
      </c>
      <c r="F192" t="s">
        <v>34</v>
      </c>
      <c r="G192" t="s">
        <v>35</v>
      </c>
      <c r="H192" t="s">
        <v>47</v>
      </c>
      <c r="I192" t="s">
        <v>39</v>
      </c>
      <c r="J192" t="s">
        <v>48</v>
      </c>
      <c r="K192" s="2">
        <v>45861</v>
      </c>
      <c r="L192" s="2">
        <v>46226</v>
      </c>
      <c r="M192" t="s">
        <v>38</v>
      </c>
      <c r="N192" t="s">
        <v>55</v>
      </c>
      <c r="O192">
        <v>0</v>
      </c>
      <c r="P192" t="s">
        <v>54</v>
      </c>
      <c r="Q192" s="2">
        <v>46290</v>
      </c>
      <c r="R192" t="s">
        <v>57</v>
      </c>
    </row>
    <row r="193" spans="1:18" x14ac:dyDescent="0.2">
      <c r="A193" t="s">
        <v>440</v>
      </c>
      <c r="B193" t="s">
        <v>441</v>
      </c>
      <c r="C193" t="s">
        <v>31</v>
      </c>
      <c r="D193" t="s">
        <v>83</v>
      </c>
      <c r="E193" t="s">
        <v>60</v>
      </c>
      <c r="F193" t="s">
        <v>34</v>
      </c>
      <c r="G193" t="s">
        <v>35</v>
      </c>
      <c r="H193" t="s">
        <v>47</v>
      </c>
      <c r="J193" t="s">
        <v>63</v>
      </c>
      <c r="K193" s="2">
        <v>45989</v>
      </c>
      <c r="L193" s="2">
        <v>46169</v>
      </c>
      <c r="M193" t="s">
        <v>38</v>
      </c>
      <c r="N193" t="s">
        <v>75</v>
      </c>
      <c r="O193">
        <v>1</v>
      </c>
      <c r="P193" t="s">
        <v>62</v>
      </c>
      <c r="Q193" s="2">
        <v>46322</v>
      </c>
      <c r="R193" t="s">
        <v>84</v>
      </c>
    </row>
    <row r="194" spans="1:18" x14ac:dyDescent="0.2">
      <c r="A194" t="s">
        <v>442</v>
      </c>
      <c r="B194" t="s">
        <v>443</v>
      </c>
      <c r="C194" t="s">
        <v>31</v>
      </c>
      <c r="D194" t="s">
        <v>32</v>
      </c>
      <c r="E194" t="s">
        <v>91</v>
      </c>
      <c r="F194" t="s">
        <v>67</v>
      </c>
      <c r="G194" t="s">
        <v>68</v>
      </c>
      <c r="H194" t="s">
        <v>88</v>
      </c>
      <c r="I194" t="s">
        <v>54</v>
      </c>
      <c r="J194" t="s">
        <v>48</v>
      </c>
      <c r="K194" s="2">
        <v>46045</v>
      </c>
      <c r="L194" s="2">
        <v>46410</v>
      </c>
      <c r="M194" t="s">
        <v>64</v>
      </c>
      <c r="N194" t="s">
        <v>55</v>
      </c>
      <c r="O194">
        <v>1</v>
      </c>
      <c r="P194" t="s">
        <v>50</v>
      </c>
      <c r="Q194" s="2">
        <v>46220</v>
      </c>
      <c r="R194" t="s">
        <v>64</v>
      </c>
    </row>
    <row r="195" spans="1:18" x14ac:dyDescent="0.2">
      <c r="A195" t="s">
        <v>444</v>
      </c>
      <c r="B195" t="s">
        <v>445</v>
      </c>
      <c r="C195" t="s">
        <v>31</v>
      </c>
      <c r="D195" t="s">
        <v>32</v>
      </c>
      <c r="E195" t="s">
        <v>44</v>
      </c>
      <c r="F195" t="s">
        <v>67</v>
      </c>
      <c r="G195" t="s">
        <v>118</v>
      </c>
      <c r="H195" t="s">
        <v>88</v>
      </c>
      <c r="I195" t="s">
        <v>56</v>
      </c>
      <c r="J195" t="s">
        <v>37</v>
      </c>
      <c r="K195" s="2">
        <v>45932</v>
      </c>
      <c r="L195" s="2">
        <v>46112</v>
      </c>
      <c r="M195" t="s">
        <v>38</v>
      </c>
      <c r="N195" t="s">
        <v>49</v>
      </c>
      <c r="O195">
        <v>2</v>
      </c>
      <c r="P195" t="s">
        <v>111</v>
      </c>
      <c r="Q195" s="2">
        <v>46313</v>
      </c>
      <c r="R195" t="s">
        <v>84</v>
      </c>
    </row>
    <row r="196" spans="1:18" x14ac:dyDescent="0.2">
      <c r="A196" t="s">
        <v>446</v>
      </c>
      <c r="B196" t="s">
        <v>447</v>
      </c>
      <c r="C196" t="s">
        <v>73</v>
      </c>
      <c r="D196" t="s">
        <v>74</v>
      </c>
      <c r="E196" t="s">
        <v>91</v>
      </c>
      <c r="F196" t="s">
        <v>34</v>
      </c>
      <c r="G196" t="s">
        <v>35</v>
      </c>
      <c r="H196" t="s">
        <v>36</v>
      </c>
      <c r="I196" t="s">
        <v>56</v>
      </c>
      <c r="J196" t="s">
        <v>48</v>
      </c>
      <c r="K196" s="2">
        <v>45805</v>
      </c>
      <c r="L196" s="2">
        <v>46170</v>
      </c>
      <c r="M196" t="s">
        <v>38</v>
      </c>
      <c r="N196" t="s">
        <v>49</v>
      </c>
      <c r="O196">
        <v>0</v>
      </c>
      <c r="P196" t="s">
        <v>56</v>
      </c>
      <c r="Q196" s="2">
        <v>46183</v>
      </c>
      <c r="R196" t="s">
        <v>57</v>
      </c>
    </row>
    <row r="197" spans="1:18" x14ac:dyDescent="0.2">
      <c r="A197" t="s">
        <v>448</v>
      </c>
      <c r="B197" t="s">
        <v>449</v>
      </c>
      <c r="C197" t="s">
        <v>31</v>
      </c>
      <c r="D197" t="s">
        <v>83</v>
      </c>
      <c r="E197" t="s">
        <v>53</v>
      </c>
      <c r="F197" t="s">
        <v>45</v>
      </c>
      <c r="G197" t="s">
        <v>46</v>
      </c>
      <c r="H197" t="s">
        <v>88</v>
      </c>
      <c r="I197" t="s">
        <v>62</v>
      </c>
      <c r="J197" t="s">
        <v>48</v>
      </c>
      <c r="K197" s="2">
        <v>46061</v>
      </c>
      <c r="L197" s="2">
        <v>46426</v>
      </c>
      <c r="M197" t="s">
        <v>64</v>
      </c>
      <c r="N197" t="s">
        <v>75</v>
      </c>
      <c r="O197">
        <v>3</v>
      </c>
      <c r="P197" t="s">
        <v>111</v>
      </c>
      <c r="Q197" s="2">
        <v>46210</v>
      </c>
      <c r="R197" t="s">
        <v>38</v>
      </c>
    </row>
    <row r="198" spans="1:18" x14ac:dyDescent="0.2">
      <c r="A198" t="s">
        <v>450</v>
      </c>
      <c r="B198" t="s">
        <v>451</v>
      </c>
      <c r="C198" t="s">
        <v>31</v>
      </c>
      <c r="D198" t="s">
        <v>83</v>
      </c>
      <c r="E198" t="s">
        <v>44</v>
      </c>
      <c r="F198" t="s">
        <v>67</v>
      </c>
      <c r="G198" t="s">
        <v>68</v>
      </c>
      <c r="H198" t="s">
        <v>88</v>
      </c>
      <c r="I198" t="s">
        <v>111</v>
      </c>
      <c r="J198" t="s">
        <v>37</v>
      </c>
      <c r="K198" s="2">
        <v>45958</v>
      </c>
      <c r="L198" s="2">
        <v>46048</v>
      </c>
      <c r="M198" t="s">
        <v>38</v>
      </c>
      <c r="N198" t="s">
        <v>75</v>
      </c>
      <c r="O198">
        <v>0</v>
      </c>
      <c r="P198" t="s">
        <v>111</v>
      </c>
      <c r="Q198" s="2">
        <v>46363</v>
      </c>
      <c r="R198" t="s">
        <v>57</v>
      </c>
    </row>
    <row r="199" spans="1:18" x14ac:dyDescent="0.2">
      <c r="A199" t="s">
        <v>452</v>
      </c>
      <c r="B199" t="s">
        <v>453</v>
      </c>
      <c r="C199" t="s">
        <v>103</v>
      </c>
      <c r="D199" t="s">
        <v>104</v>
      </c>
      <c r="E199" t="s">
        <v>80</v>
      </c>
      <c r="F199" t="s">
        <v>67</v>
      </c>
      <c r="G199" t="s">
        <v>118</v>
      </c>
      <c r="H199" t="s">
        <v>36</v>
      </c>
      <c r="I199" t="s">
        <v>111</v>
      </c>
      <c r="J199" t="s">
        <v>48</v>
      </c>
      <c r="K199" s="2">
        <v>46025</v>
      </c>
      <c r="L199" s="2">
        <v>46115</v>
      </c>
      <c r="M199" t="s">
        <v>38</v>
      </c>
      <c r="N199" t="s">
        <v>55</v>
      </c>
      <c r="O199">
        <v>4</v>
      </c>
      <c r="P199" t="s">
        <v>56</v>
      </c>
      <c r="Q199" s="2">
        <v>46130</v>
      </c>
      <c r="R199" t="s">
        <v>38</v>
      </c>
    </row>
    <row r="200" spans="1:18" x14ac:dyDescent="0.2">
      <c r="A200" t="s">
        <v>454</v>
      </c>
      <c r="B200" t="s">
        <v>455</v>
      </c>
      <c r="C200" t="s">
        <v>73</v>
      </c>
      <c r="D200" t="s">
        <v>74</v>
      </c>
      <c r="E200" t="s">
        <v>44</v>
      </c>
      <c r="F200" t="s">
        <v>45</v>
      </c>
      <c r="G200" t="s">
        <v>61</v>
      </c>
      <c r="H200" t="s">
        <v>36</v>
      </c>
      <c r="I200" t="s">
        <v>111</v>
      </c>
      <c r="J200" t="s">
        <v>48</v>
      </c>
      <c r="K200" s="2">
        <v>45994</v>
      </c>
      <c r="L200" s="2">
        <v>46359</v>
      </c>
      <c r="M200" t="s">
        <v>64</v>
      </c>
      <c r="N200" t="s">
        <v>55</v>
      </c>
      <c r="O200">
        <v>2</v>
      </c>
      <c r="P200" t="s">
        <v>111</v>
      </c>
      <c r="Q200" s="2">
        <v>46393</v>
      </c>
      <c r="R200" t="s">
        <v>84</v>
      </c>
    </row>
    <row r="201" spans="1:18" x14ac:dyDescent="0.2">
      <c r="A201" t="s">
        <v>456</v>
      </c>
      <c r="B201" t="s">
        <v>457</v>
      </c>
      <c r="C201" t="s">
        <v>31</v>
      </c>
      <c r="D201" t="s">
        <v>32</v>
      </c>
      <c r="E201" t="s">
        <v>80</v>
      </c>
      <c r="F201" t="s">
        <v>34</v>
      </c>
      <c r="G201" t="s">
        <v>35</v>
      </c>
      <c r="H201" t="s">
        <v>47</v>
      </c>
      <c r="I201" t="s">
        <v>54</v>
      </c>
      <c r="J201" t="s">
        <v>48</v>
      </c>
      <c r="K201" s="2">
        <v>46123</v>
      </c>
      <c r="L201" s="2">
        <v>46213</v>
      </c>
      <c r="M201" t="s">
        <v>38</v>
      </c>
      <c r="N201" t="s">
        <v>75</v>
      </c>
      <c r="O201">
        <v>2</v>
      </c>
      <c r="P201" t="s">
        <v>54</v>
      </c>
      <c r="Q201" s="2">
        <v>46293</v>
      </c>
      <c r="R201" t="s">
        <v>38</v>
      </c>
    </row>
    <row r="202" spans="1:18" x14ac:dyDescent="0.2">
      <c r="A202" t="s">
        <v>458</v>
      </c>
      <c r="B202" t="s">
        <v>459</v>
      </c>
      <c r="C202" t="s">
        <v>42</v>
      </c>
      <c r="D202" t="s">
        <v>43</v>
      </c>
      <c r="E202" t="s">
        <v>91</v>
      </c>
      <c r="F202" t="s">
        <v>45</v>
      </c>
      <c r="G202" t="s">
        <v>61</v>
      </c>
      <c r="H202" t="s">
        <v>88</v>
      </c>
      <c r="I202" t="s">
        <v>62</v>
      </c>
      <c r="J202" t="s">
        <v>63</v>
      </c>
      <c r="K202" s="2">
        <v>46191</v>
      </c>
      <c r="L202" s="2">
        <v>46556</v>
      </c>
      <c r="M202" t="s">
        <v>64</v>
      </c>
      <c r="N202" t="s">
        <v>55</v>
      </c>
      <c r="O202">
        <v>1</v>
      </c>
      <c r="P202" t="s">
        <v>50</v>
      </c>
      <c r="Q202" s="2">
        <v>46145</v>
      </c>
      <c r="R202" t="s">
        <v>38</v>
      </c>
    </row>
    <row r="203" spans="1:18" x14ac:dyDescent="0.2">
      <c r="A203" t="s">
        <v>460</v>
      </c>
      <c r="B203" t="s">
        <v>461</v>
      </c>
      <c r="C203" t="s">
        <v>73</v>
      </c>
      <c r="D203" t="s">
        <v>74</v>
      </c>
      <c r="E203" t="s">
        <v>53</v>
      </c>
      <c r="F203" t="s">
        <v>67</v>
      </c>
      <c r="G203" t="s">
        <v>118</v>
      </c>
      <c r="H203" t="s">
        <v>88</v>
      </c>
      <c r="I203" t="s">
        <v>70</v>
      </c>
      <c r="J203" t="s">
        <v>48</v>
      </c>
      <c r="K203" s="2">
        <v>46206</v>
      </c>
      <c r="L203" s="2">
        <v>46386</v>
      </c>
      <c r="M203" t="s">
        <v>69</v>
      </c>
      <c r="N203" t="s">
        <v>49</v>
      </c>
      <c r="O203">
        <v>1</v>
      </c>
      <c r="P203" t="s">
        <v>62</v>
      </c>
      <c r="Q203" s="2">
        <v>46182</v>
      </c>
      <c r="R203" t="s">
        <v>64</v>
      </c>
    </row>
    <row r="204" spans="1:18" x14ac:dyDescent="0.2">
      <c r="A204" t="s">
        <v>462</v>
      </c>
      <c r="B204" t="s">
        <v>463</v>
      </c>
      <c r="C204" t="s">
        <v>42</v>
      </c>
      <c r="D204" t="s">
        <v>43</v>
      </c>
      <c r="E204" t="s">
        <v>60</v>
      </c>
      <c r="F204" t="s">
        <v>67</v>
      </c>
      <c r="G204" t="s">
        <v>68</v>
      </c>
      <c r="H204" t="s">
        <v>88</v>
      </c>
      <c r="I204" t="s">
        <v>62</v>
      </c>
      <c r="J204" t="s">
        <v>37</v>
      </c>
      <c r="K204" s="2">
        <v>46083</v>
      </c>
      <c r="L204" s="2">
        <v>46263</v>
      </c>
      <c r="M204" t="s">
        <v>38</v>
      </c>
      <c r="N204" t="s">
        <v>55</v>
      </c>
      <c r="O204">
        <v>0</v>
      </c>
      <c r="P204" t="s">
        <v>111</v>
      </c>
      <c r="Q204" s="2">
        <v>46321</v>
      </c>
      <c r="R204" t="s">
        <v>57</v>
      </c>
    </row>
    <row r="205" spans="1:18" x14ac:dyDescent="0.2">
      <c r="A205" t="s">
        <v>464</v>
      </c>
      <c r="B205" t="s">
        <v>465</v>
      </c>
      <c r="C205" t="s">
        <v>78</v>
      </c>
      <c r="D205" t="s">
        <v>79</v>
      </c>
      <c r="E205" t="s">
        <v>60</v>
      </c>
      <c r="F205" t="s">
        <v>67</v>
      </c>
      <c r="G205" t="s">
        <v>118</v>
      </c>
      <c r="H205" t="s">
        <v>47</v>
      </c>
      <c r="I205" t="s">
        <v>70</v>
      </c>
      <c r="J205" t="s">
        <v>37</v>
      </c>
      <c r="K205" s="2">
        <v>45901</v>
      </c>
      <c r="L205" s="2">
        <v>46081</v>
      </c>
      <c r="M205" t="s">
        <v>38</v>
      </c>
      <c r="N205" t="s">
        <v>49</v>
      </c>
      <c r="O205">
        <v>2</v>
      </c>
      <c r="P205" t="s">
        <v>54</v>
      </c>
      <c r="Q205" s="2">
        <v>46147</v>
      </c>
      <c r="R205" t="s">
        <v>38</v>
      </c>
    </row>
    <row r="206" spans="1:18" x14ac:dyDescent="0.2">
      <c r="A206" t="s">
        <v>466</v>
      </c>
      <c r="B206" t="s">
        <v>467</v>
      </c>
      <c r="C206" t="s">
        <v>96</v>
      </c>
      <c r="D206" t="s">
        <v>97</v>
      </c>
      <c r="E206" t="s">
        <v>53</v>
      </c>
      <c r="F206" t="s">
        <v>67</v>
      </c>
      <c r="G206" t="s">
        <v>118</v>
      </c>
      <c r="H206" t="s">
        <v>36</v>
      </c>
      <c r="I206" t="s">
        <v>106</v>
      </c>
      <c r="J206" t="s">
        <v>48</v>
      </c>
      <c r="K206" s="2">
        <v>45995</v>
      </c>
      <c r="L206" s="2">
        <v>46360</v>
      </c>
      <c r="M206" t="s">
        <v>64</v>
      </c>
      <c r="N206" t="s">
        <v>75</v>
      </c>
      <c r="O206">
        <v>2</v>
      </c>
      <c r="P206" t="s">
        <v>50</v>
      </c>
      <c r="Q206" s="2">
        <v>46139</v>
      </c>
      <c r="R206" t="s">
        <v>64</v>
      </c>
    </row>
    <row r="207" spans="1:18" x14ac:dyDescent="0.2">
      <c r="A207" t="s">
        <v>468</v>
      </c>
      <c r="B207" t="s">
        <v>469</v>
      </c>
      <c r="C207" t="s">
        <v>42</v>
      </c>
      <c r="D207" t="s">
        <v>43</v>
      </c>
      <c r="E207" t="s">
        <v>105</v>
      </c>
      <c r="F207" t="s">
        <v>67</v>
      </c>
      <c r="G207" t="s">
        <v>118</v>
      </c>
      <c r="H207" t="s">
        <v>98</v>
      </c>
      <c r="I207" t="s">
        <v>62</v>
      </c>
      <c r="J207" t="s">
        <v>37</v>
      </c>
      <c r="K207" s="2">
        <v>46172</v>
      </c>
      <c r="L207" s="2">
        <v>46537</v>
      </c>
      <c r="M207" t="s">
        <v>69</v>
      </c>
      <c r="N207" t="s">
        <v>55</v>
      </c>
      <c r="O207">
        <v>2</v>
      </c>
      <c r="P207" t="s">
        <v>50</v>
      </c>
      <c r="Q207" s="2">
        <v>46162</v>
      </c>
      <c r="R207" t="s">
        <v>38</v>
      </c>
    </row>
    <row r="208" spans="1:18" x14ac:dyDescent="0.2">
      <c r="A208" t="s">
        <v>470</v>
      </c>
      <c r="B208" t="s">
        <v>471</v>
      </c>
      <c r="C208" t="s">
        <v>96</v>
      </c>
      <c r="D208" t="s">
        <v>97</v>
      </c>
      <c r="E208" t="s">
        <v>91</v>
      </c>
      <c r="F208" t="s">
        <v>45</v>
      </c>
      <c r="G208" t="s">
        <v>61</v>
      </c>
      <c r="H208" t="s">
        <v>88</v>
      </c>
      <c r="I208" t="s">
        <v>54</v>
      </c>
      <c r="J208" t="s">
        <v>48</v>
      </c>
      <c r="K208" s="2">
        <v>46056</v>
      </c>
      <c r="L208" s="2">
        <v>46421</v>
      </c>
      <c r="M208" t="s">
        <v>64</v>
      </c>
      <c r="N208" t="s">
        <v>55</v>
      </c>
      <c r="O208">
        <v>0</v>
      </c>
      <c r="P208" t="s">
        <v>54</v>
      </c>
      <c r="Q208" s="2">
        <v>46224</v>
      </c>
      <c r="R208" t="s">
        <v>57</v>
      </c>
    </row>
    <row r="209" spans="1:18" x14ac:dyDescent="0.2">
      <c r="A209" t="s">
        <v>472</v>
      </c>
      <c r="B209" t="s">
        <v>473</v>
      </c>
      <c r="C209" t="s">
        <v>78</v>
      </c>
      <c r="D209" t="s">
        <v>79</v>
      </c>
      <c r="E209" t="s">
        <v>105</v>
      </c>
      <c r="F209" t="s">
        <v>34</v>
      </c>
      <c r="G209" t="s">
        <v>35</v>
      </c>
      <c r="H209" t="s">
        <v>47</v>
      </c>
      <c r="I209" t="s">
        <v>106</v>
      </c>
      <c r="J209" t="s">
        <v>63</v>
      </c>
      <c r="K209" s="2">
        <v>45857</v>
      </c>
      <c r="L209" s="2">
        <v>45947</v>
      </c>
      <c r="M209" t="s">
        <v>38</v>
      </c>
      <c r="N209" t="s">
        <v>75</v>
      </c>
      <c r="O209">
        <v>1</v>
      </c>
      <c r="P209" t="s">
        <v>70</v>
      </c>
      <c r="Q209" s="2">
        <v>46359</v>
      </c>
      <c r="R209" t="s">
        <v>64</v>
      </c>
    </row>
    <row r="210" spans="1:18" x14ac:dyDescent="0.2">
      <c r="A210" t="s">
        <v>474</v>
      </c>
      <c r="B210" t="s">
        <v>475</v>
      </c>
      <c r="C210" t="s">
        <v>31</v>
      </c>
      <c r="D210" t="s">
        <v>87</v>
      </c>
      <c r="E210" t="s">
        <v>53</v>
      </c>
      <c r="F210" t="s">
        <v>45</v>
      </c>
      <c r="G210" t="s">
        <v>61</v>
      </c>
      <c r="H210" t="s">
        <v>36</v>
      </c>
      <c r="I210" t="s">
        <v>50</v>
      </c>
      <c r="J210" t="s">
        <v>63</v>
      </c>
      <c r="K210" s="2">
        <v>46080</v>
      </c>
      <c r="L210" s="2">
        <v>46170</v>
      </c>
      <c r="M210" t="s">
        <v>38</v>
      </c>
      <c r="N210" t="s">
        <v>49</v>
      </c>
      <c r="O210">
        <v>5</v>
      </c>
      <c r="P210" t="s">
        <v>50</v>
      </c>
      <c r="Q210" s="2">
        <v>46188</v>
      </c>
      <c r="R210" t="s">
        <v>64</v>
      </c>
    </row>
    <row r="211" spans="1:18" x14ac:dyDescent="0.2">
      <c r="A211" t="s">
        <v>476</v>
      </c>
      <c r="B211" t="s">
        <v>477</v>
      </c>
      <c r="C211" t="s">
        <v>31</v>
      </c>
      <c r="D211" t="s">
        <v>32</v>
      </c>
      <c r="E211" t="s">
        <v>91</v>
      </c>
      <c r="F211" t="s">
        <v>67</v>
      </c>
      <c r="G211" t="s">
        <v>118</v>
      </c>
      <c r="H211" t="s">
        <v>47</v>
      </c>
      <c r="I211" t="s">
        <v>50</v>
      </c>
      <c r="J211" t="s">
        <v>48</v>
      </c>
      <c r="K211" s="2">
        <v>45805</v>
      </c>
      <c r="L211" s="2">
        <v>45985</v>
      </c>
      <c r="M211" t="s">
        <v>38</v>
      </c>
      <c r="N211" t="s">
        <v>49</v>
      </c>
      <c r="O211">
        <v>3</v>
      </c>
      <c r="P211" t="s">
        <v>62</v>
      </c>
      <c r="Q211" s="2">
        <v>46226</v>
      </c>
      <c r="R211" t="s">
        <v>64</v>
      </c>
    </row>
    <row r="212" spans="1:18" x14ac:dyDescent="0.2">
      <c r="A212" t="s">
        <v>478</v>
      </c>
      <c r="B212" t="s">
        <v>479</v>
      </c>
      <c r="C212" t="s">
        <v>31</v>
      </c>
      <c r="D212" t="s">
        <v>87</v>
      </c>
      <c r="E212" t="s">
        <v>53</v>
      </c>
      <c r="F212" t="s">
        <v>67</v>
      </c>
      <c r="G212" t="s">
        <v>118</v>
      </c>
      <c r="H212" t="s">
        <v>36</v>
      </c>
      <c r="I212" t="s">
        <v>54</v>
      </c>
      <c r="J212" t="s">
        <v>63</v>
      </c>
      <c r="K212" s="2">
        <v>46134</v>
      </c>
      <c r="L212" s="2">
        <v>46499</v>
      </c>
      <c r="M212" t="s">
        <v>64</v>
      </c>
      <c r="N212" t="s">
        <v>49</v>
      </c>
      <c r="O212">
        <v>4</v>
      </c>
      <c r="P212" t="s">
        <v>56</v>
      </c>
      <c r="Q212" s="2">
        <v>46260</v>
      </c>
      <c r="R212" t="s">
        <v>38</v>
      </c>
    </row>
    <row r="213" spans="1:18" x14ac:dyDescent="0.2">
      <c r="A213" t="s">
        <v>480</v>
      </c>
      <c r="B213" t="s">
        <v>481</v>
      </c>
      <c r="C213" t="s">
        <v>31</v>
      </c>
      <c r="D213" t="s">
        <v>32</v>
      </c>
      <c r="E213" t="s">
        <v>91</v>
      </c>
      <c r="F213" t="s">
        <v>45</v>
      </c>
      <c r="G213" t="s">
        <v>46</v>
      </c>
      <c r="H213" t="s">
        <v>88</v>
      </c>
      <c r="I213" t="s">
        <v>39</v>
      </c>
      <c r="J213" t="s">
        <v>48</v>
      </c>
      <c r="K213" s="2">
        <v>45874</v>
      </c>
      <c r="L213" s="2">
        <v>45964</v>
      </c>
      <c r="M213" t="s">
        <v>38</v>
      </c>
      <c r="N213" t="s">
        <v>75</v>
      </c>
      <c r="O213">
        <v>3</v>
      </c>
      <c r="P213" t="s">
        <v>106</v>
      </c>
      <c r="Q213" s="2">
        <v>46172</v>
      </c>
      <c r="R213" t="s">
        <v>64</v>
      </c>
    </row>
    <row r="214" spans="1:18" x14ac:dyDescent="0.2">
      <c r="A214" t="s">
        <v>482</v>
      </c>
      <c r="B214" t="s">
        <v>483</v>
      </c>
      <c r="C214" t="s">
        <v>31</v>
      </c>
      <c r="D214" t="s">
        <v>32</v>
      </c>
      <c r="E214" t="s">
        <v>80</v>
      </c>
      <c r="F214" t="s">
        <v>67</v>
      </c>
      <c r="G214" t="s">
        <v>68</v>
      </c>
      <c r="H214" t="s">
        <v>36</v>
      </c>
      <c r="I214" t="s">
        <v>62</v>
      </c>
      <c r="J214" t="s">
        <v>37</v>
      </c>
      <c r="K214" s="2">
        <v>46088</v>
      </c>
      <c r="L214" s="2">
        <v>46453</v>
      </c>
      <c r="M214" t="s">
        <v>69</v>
      </c>
      <c r="N214" t="s">
        <v>55</v>
      </c>
      <c r="O214">
        <v>0</v>
      </c>
      <c r="P214" t="s">
        <v>54</v>
      </c>
      <c r="Q214" s="2">
        <v>46415</v>
      </c>
      <c r="R214" t="s">
        <v>57</v>
      </c>
    </row>
    <row r="215" spans="1:18" x14ac:dyDescent="0.2">
      <c r="A215" t="s">
        <v>484</v>
      </c>
      <c r="B215" t="s">
        <v>485</v>
      </c>
      <c r="C215" t="s">
        <v>31</v>
      </c>
      <c r="D215" t="s">
        <v>32</v>
      </c>
      <c r="E215" t="s">
        <v>80</v>
      </c>
      <c r="F215" t="s">
        <v>45</v>
      </c>
      <c r="G215" t="s">
        <v>46</v>
      </c>
      <c r="H215" t="s">
        <v>88</v>
      </c>
      <c r="I215" t="s">
        <v>62</v>
      </c>
      <c r="J215" t="s">
        <v>48</v>
      </c>
      <c r="K215" s="2">
        <v>46059</v>
      </c>
      <c r="L215" s="2">
        <v>46424</v>
      </c>
      <c r="M215" t="s">
        <v>64</v>
      </c>
      <c r="N215" t="s">
        <v>49</v>
      </c>
      <c r="O215">
        <v>1</v>
      </c>
      <c r="P215" t="s">
        <v>50</v>
      </c>
      <c r="Q215" s="2">
        <v>46257</v>
      </c>
      <c r="R215" t="s">
        <v>64</v>
      </c>
    </row>
    <row r="216" spans="1:18" x14ac:dyDescent="0.2">
      <c r="A216" t="s">
        <v>486</v>
      </c>
      <c r="B216" t="s">
        <v>487</v>
      </c>
      <c r="C216" t="s">
        <v>31</v>
      </c>
      <c r="D216" t="s">
        <v>32</v>
      </c>
      <c r="E216" t="s">
        <v>80</v>
      </c>
      <c r="F216" t="s">
        <v>34</v>
      </c>
      <c r="G216" t="s">
        <v>35</v>
      </c>
      <c r="H216" t="s">
        <v>88</v>
      </c>
      <c r="I216" t="s">
        <v>70</v>
      </c>
      <c r="J216" t="s">
        <v>48</v>
      </c>
      <c r="K216" s="2">
        <v>46117</v>
      </c>
      <c r="L216" s="2">
        <v>46482</v>
      </c>
      <c r="M216" t="s">
        <v>64</v>
      </c>
      <c r="N216" t="s">
        <v>55</v>
      </c>
      <c r="O216">
        <v>0</v>
      </c>
      <c r="P216" t="s">
        <v>111</v>
      </c>
      <c r="Q216" s="2">
        <v>46240</v>
      </c>
      <c r="R216" t="s">
        <v>57</v>
      </c>
    </row>
    <row r="217" spans="1:18" x14ac:dyDescent="0.2">
      <c r="A217" t="s">
        <v>488</v>
      </c>
      <c r="B217" t="s">
        <v>489</v>
      </c>
      <c r="C217" t="s">
        <v>42</v>
      </c>
      <c r="D217" t="s">
        <v>43</v>
      </c>
      <c r="E217" t="s">
        <v>53</v>
      </c>
      <c r="F217" t="s">
        <v>34</v>
      </c>
      <c r="G217" t="s">
        <v>35</v>
      </c>
      <c r="H217" t="s">
        <v>88</v>
      </c>
      <c r="I217" t="s">
        <v>50</v>
      </c>
      <c r="J217" t="s">
        <v>37</v>
      </c>
      <c r="K217" s="2">
        <v>46214</v>
      </c>
      <c r="L217" s="2">
        <v>46304</v>
      </c>
      <c r="M217" t="s">
        <v>84</v>
      </c>
      <c r="N217" t="s">
        <v>55</v>
      </c>
      <c r="O217">
        <v>3</v>
      </c>
      <c r="P217" t="s">
        <v>50</v>
      </c>
      <c r="Q217" s="2">
        <v>46292</v>
      </c>
      <c r="R217" t="s">
        <v>38</v>
      </c>
    </row>
    <row r="218" spans="1:18" x14ac:dyDescent="0.2">
      <c r="A218" t="s">
        <v>490</v>
      </c>
      <c r="B218" t="s">
        <v>491</v>
      </c>
      <c r="C218" t="s">
        <v>31</v>
      </c>
      <c r="D218" t="s">
        <v>32</v>
      </c>
      <c r="E218" t="s">
        <v>91</v>
      </c>
      <c r="F218" t="s">
        <v>34</v>
      </c>
      <c r="G218" t="s">
        <v>35</v>
      </c>
      <c r="H218" t="s">
        <v>36</v>
      </c>
      <c r="I218" t="s">
        <v>39</v>
      </c>
      <c r="J218" t="s">
        <v>37</v>
      </c>
      <c r="K218" s="2">
        <v>46104</v>
      </c>
      <c r="L218" s="2">
        <v>46284</v>
      </c>
      <c r="M218" t="s">
        <v>38</v>
      </c>
      <c r="N218" t="s">
        <v>75</v>
      </c>
      <c r="O218">
        <v>4</v>
      </c>
      <c r="P218" t="s">
        <v>106</v>
      </c>
      <c r="Q218" s="2">
        <v>46147</v>
      </c>
      <c r="R218" t="s">
        <v>64</v>
      </c>
    </row>
    <row r="219" spans="1:18" x14ac:dyDescent="0.2">
      <c r="A219" t="s">
        <v>492</v>
      </c>
      <c r="B219" t="s">
        <v>493</v>
      </c>
      <c r="C219" t="s">
        <v>31</v>
      </c>
      <c r="D219" t="s">
        <v>87</v>
      </c>
      <c r="E219" t="s">
        <v>60</v>
      </c>
      <c r="F219" t="s">
        <v>45</v>
      </c>
      <c r="G219" t="s">
        <v>61</v>
      </c>
      <c r="H219" t="s">
        <v>47</v>
      </c>
      <c r="I219" t="s">
        <v>50</v>
      </c>
      <c r="J219" t="s">
        <v>48</v>
      </c>
      <c r="K219" s="2">
        <v>46145</v>
      </c>
      <c r="L219" s="2">
        <v>46235</v>
      </c>
      <c r="M219" t="s">
        <v>38</v>
      </c>
      <c r="N219" t="s">
        <v>49</v>
      </c>
      <c r="O219">
        <v>0</v>
      </c>
      <c r="P219" t="s">
        <v>54</v>
      </c>
      <c r="Q219" s="2">
        <v>46231</v>
      </c>
      <c r="R219" t="s">
        <v>57</v>
      </c>
    </row>
    <row r="220" spans="1:18" x14ac:dyDescent="0.2">
      <c r="A220" t="s">
        <v>494</v>
      </c>
      <c r="B220" t="s">
        <v>495</v>
      </c>
      <c r="C220" t="s">
        <v>78</v>
      </c>
      <c r="D220" t="s">
        <v>79</v>
      </c>
      <c r="E220" t="s">
        <v>53</v>
      </c>
      <c r="F220" t="s">
        <v>45</v>
      </c>
      <c r="G220" t="s">
        <v>61</v>
      </c>
      <c r="H220" t="s">
        <v>88</v>
      </c>
      <c r="I220" t="s">
        <v>50</v>
      </c>
      <c r="J220" t="s">
        <v>37</v>
      </c>
      <c r="K220" s="2">
        <v>46184</v>
      </c>
      <c r="L220" s="2">
        <v>46274</v>
      </c>
      <c r="M220" t="s">
        <v>38</v>
      </c>
      <c r="N220" t="s">
        <v>49</v>
      </c>
      <c r="O220">
        <v>3</v>
      </c>
      <c r="P220" t="s">
        <v>56</v>
      </c>
      <c r="Q220" s="2">
        <v>46229</v>
      </c>
      <c r="R220" t="s">
        <v>64</v>
      </c>
    </row>
    <row r="221" spans="1:18" x14ac:dyDescent="0.2">
      <c r="A221" t="s">
        <v>496</v>
      </c>
      <c r="B221" t="s">
        <v>497</v>
      </c>
      <c r="C221" t="s">
        <v>31</v>
      </c>
      <c r="D221" t="s">
        <v>32</v>
      </c>
      <c r="E221" t="s">
        <v>105</v>
      </c>
      <c r="F221" t="s">
        <v>45</v>
      </c>
      <c r="G221" t="s">
        <v>61</v>
      </c>
      <c r="H221" t="s">
        <v>88</v>
      </c>
      <c r="I221" t="s">
        <v>39</v>
      </c>
      <c r="J221" t="s">
        <v>37</v>
      </c>
      <c r="K221" s="2">
        <v>46184</v>
      </c>
      <c r="L221" s="2">
        <v>46274</v>
      </c>
      <c r="M221" t="s">
        <v>38</v>
      </c>
      <c r="N221" t="s">
        <v>49</v>
      </c>
      <c r="O221">
        <v>0</v>
      </c>
      <c r="P221" t="s">
        <v>56</v>
      </c>
      <c r="Q221" s="2">
        <v>46320</v>
      </c>
      <c r="R221" t="s">
        <v>57</v>
      </c>
    </row>
    <row r="222" spans="1:18" x14ac:dyDescent="0.2">
      <c r="A222" t="s">
        <v>498</v>
      </c>
      <c r="B222" t="s">
        <v>499</v>
      </c>
      <c r="C222" t="s">
        <v>96</v>
      </c>
      <c r="D222" t="s">
        <v>97</v>
      </c>
      <c r="E222" t="s">
        <v>60</v>
      </c>
      <c r="F222" t="s">
        <v>67</v>
      </c>
      <c r="G222" t="s">
        <v>68</v>
      </c>
      <c r="H222" t="s">
        <v>88</v>
      </c>
      <c r="I222" t="s">
        <v>106</v>
      </c>
      <c r="J222" t="s">
        <v>48</v>
      </c>
      <c r="K222" s="2">
        <v>46173</v>
      </c>
      <c r="L222" s="2">
        <v>46353</v>
      </c>
      <c r="M222" t="s">
        <v>69</v>
      </c>
      <c r="N222" t="s">
        <v>49</v>
      </c>
      <c r="O222">
        <v>1</v>
      </c>
      <c r="P222" t="s">
        <v>54</v>
      </c>
      <c r="Q222" s="2">
        <v>46352</v>
      </c>
      <c r="R222" t="s">
        <v>84</v>
      </c>
    </row>
    <row r="223" spans="1:18" x14ac:dyDescent="0.2">
      <c r="A223" t="s">
        <v>500</v>
      </c>
      <c r="B223" t="s">
        <v>501</v>
      </c>
      <c r="C223" t="s">
        <v>103</v>
      </c>
      <c r="D223" t="s">
        <v>104</v>
      </c>
      <c r="E223" t="s">
        <v>80</v>
      </c>
      <c r="F223" t="s">
        <v>45</v>
      </c>
      <c r="G223" t="s">
        <v>46</v>
      </c>
      <c r="H223" t="s">
        <v>47</v>
      </c>
      <c r="I223" t="s">
        <v>106</v>
      </c>
      <c r="J223" t="s">
        <v>37</v>
      </c>
      <c r="K223" s="2">
        <v>45950</v>
      </c>
      <c r="L223" s="2">
        <v>46315</v>
      </c>
      <c r="M223" t="s">
        <v>69</v>
      </c>
      <c r="N223" t="s">
        <v>55</v>
      </c>
      <c r="O223">
        <v>3</v>
      </c>
      <c r="P223" t="s">
        <v>39</v>
      </c>
      <c r="Q223" s="2">
        <v>46272</v>
      </c>
      <c r="R223" t="s">
        <v>64</v>
      </c>
    </row>
    <row r="224" spans="1:18" x14ac:dyDescent="0.2">
      <c r="A224" t="s">
        <v>502</v>
      </c>
      <c r="B224" t="s">
        <v>503</v>
      </c>
      <c r="C224" t="s">
        <v>31</v>
      </c>
      <c r="D224" t="s">
        <v>32</v>
      </c>
      <c r="E224" t="s">
        <v>33</v>
      </c>
      <c r="F224" t="s">
        <v>45</v>
      </c>
      <c r="G224" t="s">
        <v>61</v>
      </c>
      <c r="H224" t="s">
        <v>47</v>
      </c>
      <c r="I224" t="s">
        <v>54</v>
      </c>
      <c r="J224" t="s">
        <v>48</v>
      </c>
      <c r="K224" s="2">
        <v>45816</v>
      </c>
      <c r="L224" s="2">
        <v>46181</v>
      </c>
      <c r="M224" t="s">
        <v>38</v>
      </c>
      <c r="N224" t="s">
        <v>75</v>
      </c>
      <c r="O224">
        <v>2</v>
      </c>
      <c r="P224" t="s">
        <v>50</v>
      </c>
      <c r="Q224" s="2">
        <v>46349</v>
      </c>
      <c r="R224" t="s">
        <v>84</v>
      </c>
    </row>
    <row r="225" spans="1:18" x14ac:dyDescent="0.2">
      <c r="A225" t="s">
        <v>504</v>
      </c>
      <c r="B225" t="s">
        <v>505</v>
      </c>
      <c r="C225" t="s">
        <v>78</v>
      </c>
      <c r="D225" t="s">
        <v>79</v>
      </c>
      <c r="E225" t="s">
        <v>105</v>
      </c>
      <c r="F225" t="s">
        <v>34</v>
      </c>
      <c r="G225" t="s">
        <v>35</v>
      </c>
      <c r="H225" t="s">
        <v>88</v>
      </c>
      <c r="I225" t="s">
        <v>39</v>
      </c>
      <c r="J225" t="s">
        <v>63</v>
      </c>
      <c r="K225" s="2">
        <v>46053</v>
      </c>
      <c r="L225" s="2">
        <v>46418</v>
      </c>
      <c r="M225" t="s">
        <v>84</v>
      </c>
      <c r="N225" t="s">
        <v>75</v>
      </c>
      <c r="O225">
        <v>2</v>
      </c>
      <c r="P225" t="s">
        <v>106</v>
      </c>
      <c r="Q225" s="2">
        <v>46276</v>
      </c>
      <c r="R225" t="s">
        <v>38</v>
      </c>
    </row>
    <row r="226" spans="1:18" x14ac:dyDescent="0.2">
      <c r="A226" t="s">
        <v>506</v>
      </c>
      <c r="B226" t="s">
        <v>507</v>
      </c>
      <c r="C226" t="s">
        <v>78</v>
      </c>
      <c r="D226" t="s">
        <v>79</v>
      </c>
      <c r="E226" t="s">
        <v>53</v>
      </c>
      <c r="F226" t="s">
        <v>67</v>
      </c>
      <c r="G226" t="s">
        <v>118</v>
      </c>
      <c r="H226" t="s">
        <v>47</v>
      </c>
      <c r="I226" t="s">
        <v>54</v>
      </c>
      <c r="J226" t="s">
        <v>63</v>
      </c>
      <c r="K226" s="2">
        <v>46206</v>
      </c>
      <c r="L226" s="2">
        <v>46571</v>
      </c>
      <c r="M226" t="s">
        <v>64</v>
      </c>
      <c r="N226" t="s">
        <v>55</v>
      </c>
      <c r="O226">
        <v>1</v>
      </c>
      <c r="P226" t="s">
        <v>106</v>
      </c>
      <c r="Q226" s="2">
        <v>46345</v>
      </c>
      <c r="R226" t="s">
        <v>84</v>
      </c>
    </row>
    <row r="227" spans="1:18" x14ac:dyDescent="0.2">
      <c r="A227" t="s">
        <v>508</v>
      </c>
      <c r="B227" t="s">
        <v>509</v>
      </c>
      <c r="C227" t="s">
        <v>73</v>
      </c>
      <c r="D227" t="s">
        <v>74</v>
      </c>
      <c r="E227" t="s">
        <v>53</v>
      </c>
      <c r="F227" t="s">
        <v>45</v>
      </c>
      <c r="G227" t="s">
        <v>61</v>
      </c>
      <c r="H227" t="s">
        <v>88</v>
      </c>
      <c r="I227" t="s">
        <v>70</v>
      </c>
      <c r="J227" t="s">
        <v>48</v>
      </c>
      <c r="K227" s="2">
        <v>46229</v>
      </c>
      <c r="L227" s="2">
        <v>46319</v>
      </c>
      <c r="M227" t="s">
        <v>69</v>
      </c>
      <c r="N227" t="s">
        <v>49</v>
      </c>
      <c r="O227">
        <v>0</v>
      </c>
      <c r="P227" t="s">
        <v>54</v>
      </c>
      <c r="Q227" s="2">
        <v>46225</v>
      </c>
      <c r="R227" t="s">
        <v>57</v>
      </c>
    </row>
    <row r="228" spans="1:18" x14ac:dyDescent="0.2">
      <c r="A228" t="s">
        <v>510</v>
      </c>
      <c r="B228" t="s">
        <v>511</v>
      </c>
      <c r="C228" t="s">
        <v>103</v>
      </c>
      <c r="D228" t="s">
        <v>104</v>
      </c>
      <c r="E228" t="s">
        <v>60</v>
      </c>
      <c r="F228" t="s">
        <v>67</v>
      </c>
      <c r="G228" t="s">
        <v>118</v>
      </c>
      <c r="H228" t="s">
        <v>47</v>
      </c>
      <c r="I228" t="s">
        <v>56</v>
      </c>
      <c r="J228" t="s">
        <v>37</v>
      </c>
      <c r="K228" s="2">
        <v>46142</v>
      </c>
      <c r="L228" s="2">
        <v>46232</v>
      </c>
      <c r="M228" t="s">
        <v>38</v>
      </c>
      <c r="N228" t="s">
        <v>55</v>
      </c>
      <c r="O228">
        <v>3</v>
      </c>
      <c r="P228" t="s">
        <v>70</v>
      </c>
      <c r="Q228" s="2">
        <v>46346</v>
      </c>
      <c r="R228" t="s">
        <v>84</v>
      </c>
    </row>
    <row r="229" spans="1:18" x14ac:dyDescent="0.2">
      <c r="A229" t="s">
        <v>512</v>
      </c>
      <c r="B229" t="s">
        <v>513</v>
      </c>
      <c r="C229" t="s">
        <v>42</v>
      </c>
      <c r="D229" t="s">
        <v>43</v>
      </c>
      <c r="E229" t="s">
        <v>105</v>
      </c>
      <c r="F229" t="s">
        <v>45</v>
      </c>
      <c r="G229" t="s">
        <v>46</v>
      </c>
      <c r="H229" t="s">
        <v>47</v>
      </c>
      <c r="I229" t="s">
        <v>54</v>
      </c>
      <c r="J229" t="s">
        <v>48</v>
      </c>
      <c r="K229" s="2">
        <v>46209</v>
      </c>
      <c r="L229" s="2">
        <v>46299</v>
      </c>
      <c r="M229" t="s">
        <v>69</v>
      </c>
      <c r="N229" t="s">
        <v>49</v>
      </c>
      <c r="O229">
        <v>0</v>
      </c>
      <c r="P229" t="s">
        <v>39</v>
      </c>
      <c r="Q229" s="2">
        <v>46413</v>
      </c>
      <c r="R229" t="s">
        <v>57</v>
      </c>
    </row>
    <row r="230" spans="1:18" x14ac:dyDescent="0.2">
      <c r="A230" t="s">
        <v>514</v>
      </c>
      <c r="B230" t="s">
        <v>515</v>
      </c>
      <c r="C230" t="s">
        <v>78</v>
      </c>
      <c r="D230" t="s">
        <v>79</v>
      </c>
      <c r="E230" t="s">
        <v>91</v>
      </c>
      <c r="F230" t="s">
        <v>45</v>
      </c>
      <c r="G230" t="s">
        <v>46</v>
      </c>
      <c r="H230" t="s">
        <v>88</v>
      </c>
      <c r="I230" t="s">
        <v>50</v>
      </c>
      <c r="J230" t="s">
        <v>63</v>
      </c>
      <c r="K230" s="2">
        <v>46228</v>
      </c>
      <c r="L230" s="2">
        <v>46408</v>
      </c>
      <c r="M230" t="s">
        <v>64</v>
      </c>
      <c r="N230" t="s">
        <v>75</v>
      </c>
      <c r="O230">
        <v>0</v>
      </c>
      <c r="P230" t="s">
        <v>62</v>
      </c>
      <c r="Q230" s="2">
        <v>46201</v>
      </c>
      <c r="R230" t="s">
        <v>57</v>
      </c>
    </row>
    <row r="231" spans="1:18" x14ac:dyDescent="0.2">
      <c r="A231" t="s">
        <v>516</v>
      </c>
      <c r="B231" t="s">
        <v>517</v>
      </c>
      <c r="C231" t="s">
        <v>31</v>
      </c>
      <c r="D231" t="s">
        <v>83</v>
      </c>
      <c r="E231" t="s">
        <v>80</v>
      </c>
      <c r="F231" t="s">
        <v>67</v>
      </c>
      <c r="G231" t="s">
        <v>68</v>
      </c>
      <c r="H231" t="s">
        <v>88</v>
      </c>
      <c r="I231" t="s">
        <v>50</v>
      </c>
      <c r="J231" t="s">
        <v>63</v>
      </c>
      <c r="K231" s="2">
        <v>46094</v>
      </c>
      <c r="L231" s="2">
        <v>46184</v>
      </c>
      <c r="M231" t="s">
        <v>38</v>
      </c>
      <c r="N231" t="s">
        <v>55</v>
      </c>
      <c r="O231">
        <v>2</v>
      </c>
      <c r="P231" t="s">
        <v>54</v>
      </c>
      <c r="Q231" s="2">
        <v>46258</v>
      </c>
      <c r="R231" t="s">
        <v>38</v>
      </c>
    </row>
    <row r="232" spans="1:18" x14ac:dyDescent="0.2">
      <c r="A232" t="s">
        <v>518</v>
      </c>
      <c r="B232" t="s">
        <v>519</v>
      </c>
      <c r="C232" t="s">
        <v>103</v>
      </c>
      <c r="D232" t="s">
        <v>104</v>
      </c>
      <c r="E232" t="s">
        <v>80</v>
      </c>
      <c r="F232" t="s">
        <v>34</v>
      </c>
      <c r="G232" t="s">
        <v>35</v>
      </c>
      <c r="H232" t="s">
        <v>88</v>
      </c>
      <c r="I232" t="s">
        <v>111</v>
      </c>
      <c r="J232" t="s">
        <v>63</v>
      </c>
      <c r="K232" s="2">
        <v>46244</v>
      </c>
      <c r="L232" s="2">
        <v>46334</v>
      </c>
      <c r="M232" t="s">
        <v>64</v>
      </c>
      <c r="N232" t="s">
        <v>55</v>
      </c>
      <c r="O232">
        <v>3</v>
      </c>
      <c r="P232" t="s">
        <v>39</v>
      </c>
      <c r="Q232" s="2">
        <v>46217</v>
      </c>
      <c r="R232" t="s">
        <v>38</v>
      </c>
    </row>
    <row r="233" spans="1:18" x14ac:dyDescent="0.2">
      <c r="A233" t="s">
        <v>520</v>
      </c>
      <c r="B233" t="s">
        <v>521</v>
      </c>
      <c r="C233" t="s">
        <v>103</v>
      </c>
      <c r="D233" t="s">
        <v>104</v>
      </c>
      <c r="E233" t="s">
        <v>80</v>
      </c>
      <c r="F233" t="s">
        <v>67</v>
      </c>
      <c r="G233" t="s">
        <v>118</v>
      </c>
      <c r="H233" t="s">
        <v>88</v>
      </c>
      <c r="I233" t="s">
        <v>111</v>
      </c>
      <c r="J233" t="s">
        <v>37</v>
      </c>
      <c r="K233" s="2">
        <v>46099</v>
      </c>
      <c r="L233" s="2">
        <v>46464</v>
      </c>
      <c r="M233" t="s">
        <v>64</v>
      </c>
      <c r="N233" t="s">
        <v>75</v>
      </c>
      <c r="O233">
        <v>2</v>
      </c>
      <c r="P233" t="s">
        <v>39</v>
      </c>
      <c r="Q233" s="2">
        <v>46207</v>
      </c>
      <c r="R233" t="s">
        <v>64</v>
      </c>
    </row>
    <row r="234" spans="1:18" x14ac:dyDescent="0.2">
      <c r="A234" t="s">
        <v>522</v>
      </c>
      <c r="B234" t="s">
        <v>523</v>
      </c>
      <c r="C234" t="s">
        <v>103</v>
      </c>
      <c r="D234" t="s">
        <v>104</v>
      </c>
      <c r="E234" t="s">
        <v>60</v>
      </c>
      <c r="F234" t="s">
        <v>67</v>
      </c>
      <c r="G234" t="s">
        <v>118</v>
      </c>
      <c r="H234" t="s">
        <v>98</v>
      </c>
      <c r="I234" t="s">
        <v>50</v>
      </c>
      <c r="J234" t="s">
        <v>37</v>
      </c>
      <c r="K234" s="2">
        <v>46224</v>
      </c>
      <c r="L234" s="2">
        <v>46314</v>
      </c>
      <c r="M234" t="s">
        <v>69</v>
      </c>
      <c r="N234" t="s">
        <v>49</v>
      </c>
      <c r="O234">
        <v>5</v>
      </c>
      <c r="P234" t="s">
        <v>106</v>
      </c>
      <c r="Q234" s="2">
        <v>46143</v>
      </c>
      <c r="R234" t="s">
        <v>38</v>
      </c>
    </row>
    <row r="235" spans="1:18" x14ac:dyDescent="0.2">
      <c r="A235" t="s">
        <v>524</v>
      </c>
      <c r="B235" t="s">
        <v>525</v>
      </c>
      <c r="C235" t="s">
        <v>103</v>
      </c>
      <c r="D235" t="s">
        <v>104</v>
      </c>
      <c r="E235" t="s">
        <v>44</v>
      </c>
      <c r="F235" t="s">
        <v>45</v>
      </c>
      <c r="G235" t="s">
        <v>46</v>
      </c>
      <c r="H235" t="s">
        <v>88</v>
      </c>
      <c r="I235" t="s">
        <v>106</v>
      </c>
      <c r="J235" t="s">
        <v>37</v>
      </c>
      <c r="K235" s="2">
        <v>45808</v>
      </c>
      <c r="L235" s="2">
        <v>46173</v>
      </c>
      <c r="M235" t="s">
        <v>38</v>
      </c>
      <c r="N235" t="s">
        <v>55</v>
      </c>
      <c r="O235">
        <v>2</v>
      </c>
      <c r="P235" t="s">
        <v>56</v>
      </c>
      <c r="Q235" s="2">
        <v>46405</v>
      </c>
      <c r="R235" t="s">
        <v>84</v>
      </c>
    </row>
    <row r="236" spans="1:18" x14ac:dyDescent="0.2">
      <c r="A236" t="s">
        <v>526</v>
      </c>
      <c r="B236" t="s">
        <v>527</v>
      </c>
      <c r="C236" t="s">
        <v>103</v>
      </c>
      <c r="D236" t="s">
        <v>104</v>
      </c>
      <c r="E236" t="s">
        <v>105</v>
      </c>
      <c r="F236" t="s">
        <v>45</v>
      </c>
      <c r="G236" t="s">
        <v>61</v>
      </c>
      <c r="H236" t="s">
        <v>47</v>
      </c>
      <c r="I236" t="s">
        <v>54</v>
      </c>
      <c r="J236" t="s">
        <v>48</v>
      </c>
      <c r="K236" s="2">
        <v>45967</v>
      </c>
      <c r="L236" s="2">
        <v>46057</v>
      </c>
      <c r="M236" t="s">
        <v>38</v>
      </c>
      <c r="N236" t="s">
        <v>55</v>
      </c>
      <c r="O236">
        <v>3</v>
      </c>
      <c r="P236" t="s">
        <v>106</v>
      </c>
      <c r="Q236" s="2">
        <v>46115</v>
      </c>
      <c r="R236" t="s">
        <v>64</v>
      </c>
    </row>
    <row r="237" spans="1:18" x14ac:dyDescent="0.2">
      <c r="A237" t="s">
        <v>528</v>
      </c>
      <c r="B237" t="s">
        <v>529</v>
      </c>
      <c r="C237" t="s">
        <v>78</v>
      </c>
      <c r="D237" t="s">
        <v>79</v>
      </c>
      <c r="E237" t="s">
        <v>53</v>
      </c>
      <c r="F237" t="s">
        <v>34</v>
      </c>
      <c r="G237" t="s">
        <v>35</v>
      </c>
      <c r="H237" t="s">
        <v>47</v>
      </c>
      <c r="I237" t="s">
        <v>50</v>
      </c>
      <c r="J237" t="s">
        <v>48</v>
      </c>
      <c r="K237" s="2">
        <v>45975</v>
      </c>
      <c r="L237" s="2">
        <v>46340</v>
      </c>
      <c r="M237" t="s">
        <v>84</v>
      </c>
      <c r="N237" t="s">
        <v>49</v>
      </c>
      <c r="O237">
        <v>2</v>
      </c>
      <c r="P237" t="s">
        <v>106</v>
      </c>
      <c r="Q237" s="2">
        <v>46152</v>
      </c>
      <c r="R237" t="s">
        <v>38</v>
      </c>
    </row>
    <row r="238" spans="1:18" x14ac:dyDescent="0.2">
      <c r="A238" t="s">
        <v>530</v>
      </c>
      <c r="B238" t="s">
        <v>531</v>
      </c>
      <c r="C238" t="s">
        <v>73</v>
      </c>
      <c r="D238" t="s">
        <v>74</v>
      </c>
      <c r="E238" t="s">
        <v>44</v>
      </c>
      <c r="F238" t="s">
        <v>67</v>
      </c>
      <c r="G238" t="s">
        <v>118</v>
      </c>
      <c r="H238" t="s">
        <v>98</v>
      </c>
      <c r="I238" t="s">
        <v>62</v>
      </c>
      <c r="J238" t="s">
        <v>63</v>
      </c>
      <c r="K238" s="2">
        <v>45870</v>
      </c>
      <c r="L238" s="2">
        <v>46235</v>
      </c>
      <c r="M238" t="s">
        <v>38</v>
      </c>
      <c r="N238" t="s">
        <v>75</v>
      </c>
      <c r="O238">
        <v>5</v>
      </c>
      <c r="P238" t="s">
        <v>50</v>
      </c>
      <c r="Q238" s="2">
        <v>46277</v>
      </c>
      <c r="R238" t="s">
        <v>64</v>
      </c>
    </row>
    <row r="239" spans="1:18" x14ac:dyDescent="0.2">
      <c r="A239" t="s">
        <v>532</v>
      </c>
      <c r="B239" t="s">
        <v>533</v>
      </c>
      <c r="C239" t="s">
        <v>73</v>
      </c>
      <c r="D239" t="s">
        <v>74</v>
      </c>
      <c r="E239" t="s">
        <v>91</v>
      </c>
      <c r="F239" t="s">
        <v>67</v>
      </c>
      <c r="G239" t="s">
        <v>118</v>
      </c>
      <c r="H239" t="s">
        <v>88</v>
      </c>
      <c r="I239" t="s">
        <v>50</v>
      </c>
      <c r="J239" t="s">
        <v>63</v>
      </c>
      <c r="K239" s="2">
        <v>46185</v>
      </c>
      <c r="L239" s="2">
        <v>46550</v>
      </c>
      <c r="M239" t="s">
        <v>64</v>
      </c>
      <c r="N239" t="s">
        <v>49</v>
      </c>
      <c r="O239">
        <v>3</v>
      </c>
      <c r="P239" t="s">
        <v>54</v>
      </c>
      <c r="Q239" s="2">
        <v>46405</v>
      </c>
      <c r="R239" t="s">
        <v>64</v>
      </c>
    </row>
    <row r="240" spans="1:18" x14ac:dyDescent="0.2">
      <c r="A240" t="s">
        <v>534</v>
      </c>
      <c r="B240" t="s">
        <v>535</v>
      </c>
      <c r="C240" t="s">
        <v>31</v>
      </c>
      <c r="D240" t="s">
        <v>32</v>
      </c>
      <c r="E240" t="s">
        <v>80</v>
      </c>
      <c r="F240" t="s">
        <v>34</v>
      </c>
      <c r="G240" t="s">
        <v>35</v>
      </c>
      <c r="H240" t="s">
        <v>47</v>
      </c>
      <c r="J240" t="s">
        <v>63</v>
      </c>
      <c r="K240" s="2">
        <v>45894</v>
      </c>
      <c r="L240" s="2">
        <v>45984</v>
      </c>
      <c r="M240" t="s">
        <v>38</v>
      </c>
      <c r="N240" t="s">
        <v>55</v>
      </c>
      <c r="O240">
        <v>2</v>
      </c>
      <c r="P240" t="s">
        <v>106</v>
      </c>
      <c r="Q240" s="2">
        <v>46278</v>
      </c>
      <c r="R240" t="s">
        <v>64</v>
      </c>
    </row>
    <row r="241" spans="1:18" x14ac:dyDescent="0.2">
      <c r="A241" t="s">
        <v>536</v>
      </c>
      <c r="B241" t="s">
        <v>537</v>
      </c>
      <c r="C241" t="s">
        <v>78</v>
      </c>
      <c r="D241" t="s">
        <v>79</v>
      </c>
      <c r="E241" t="s">
        <v>53</v>
      </c>
      <c r="F241" t="s">
        <v>67</v>
      </c>
      <c r="G241" t="s">
        <v>68</v>
      </c>
      <c r="H241" t="s">
        <v>47</v>
      </c>
      <c r="I241" t="s">
        <v>70</v>
      </c>
      <c r="J241" t="s">
        <v>63</v>
      </c>
      <c r="K241" s="2">
        <v>46096</v>
      </c>
      <c r="L241" s="2">
        <v>46276</v>
      </c>
      <c r="M241" t="s">
        <v>38</v>
      </c>
      <c r="N241" t="s">
        <v>55</v>
      </c>
      <c r="O241">
        <v>0</v>
      </c>
      <c r="P241" t="s">
        <v>62</v>
      </c>
      <c r="Q241" s="2">
        <v>46139</v>
      </c>
      <c r="R241" t="s">
        <v>57</v>
      </c>
    </row>
    <row r="242" spans="1:18" x14ac:dyDescent="0.2">
      <c r="A242" t="s">
        <v>538</v>
      </c>
      <c r="B242" t="s">
        <v>539</v>
      </c>
      <c r="C242" t="s">
        <v>103</v>
      </c>
      <c r="D242" t="s">
        <v>104</v>
      </c>
      <c r="E242" t="s">
        <v>80</v>
      </c>
      <c r="F242" t="s">
        <v>45</v>
      </c>
      <c r="G242" t="s">
        <v>61</v>
      </c>
      <c r="H242" t="s">
        <v>36</v>
      </c>
      <c r="I242" t="s">
        <v>106</v>
      </c>
      <c r="J242" t="s">
        <v>37</v>
      </c>
      <c r="K242" s="2">
        <v>45996</v>
      </c>
      <c r="L242" s="2">
        <v>46176</v>
      </c>
      <c r="M242" t="s">
        <v>38</v>
      </c>
      <c r="N242" t="s">
        <v>55</v>
      </c>
      <c r="O242">
        <v>3</v>
      </c>
      <c r="P242" t="s">
        <v>70</v>
      </c>
      <c r="Q242" s="2">
        <v>46410</v>
      </c>
      <c r="R242" t="s">
        <v>84</v>
      </c>
    </row>
    <row r="243" spans="1:18" x14ac:dyDescent="0.2">
      <c r="A243" t="s">
        <v>540</v>
      </c>
      <c r="B243" t="s">
        <v>541</v>
      </c>
      <c r="C243" t="s">
        <v>31</v>
      </c>
      <c r="D243" t="s">
        <v>32</v>
      </c>
      <c r="E243" t="s">
        <v>105</v>
      </c>
      <c r="F243" t="s">
        <v>45</v>
      </c>
      <c r="G243" t="s">
        <v>61</v>
      </c>
      <c r="H243" t="s">
        <v>88</v>
      </c>
      <c r="I243" t="s">
        <v>70</v>
      </c>
      <c r="J243" t="s">
        <v>63</v>
      </c>
      <c r="K243" s="2">
        <v>46238</v>
      </c>
      <c r="L243" s="2">
        <v>46418</v>
      </c>
      <c r="M243" t="s">
        <v>64</v>
      </c>
      <c r="N243" t="s">
        <v>75</v>
      </c>
      <c r="O243">
        <v>1</v>
      </c>
      <c r="P243" t="s">
        <v>111</v>
      </c>
      <c r="Q243" s="2">
        <v>46153</v>
      </c>
      <c r="R243" t="s">
        <v>38</v>
      </c>
    </row>
    <row r="244" spans="1:18" x14ac:dyDescent="0.2">
      <c r="A244" t="s">
        <v>542</v>
      </c>
      <c r="B244" t="s">
        <v>543</v>
      </c>
      <c r="C244" t="s">
        <v>73</v>
      </c>
      <c r="D244" t="s">
        <v>74</v>
      </c>
      <c r="E244" t="s">
        <v>80</v>
      </c>
      <c r="F244" t="s">
        <v>34</v>
      </c>
      <c r="G244" t="s">
        <v>35</v>
      </c>
      <c r="H244" t="s">
        <v>98</v>
      </c>
      <c r="I244" t="s">
        <v>50</v>
      </c>
      <c r="J244" t="s">
        <v>48</v>
      </c>
      <c r="K244" s="2">
        <v>45965</v>
      </c>
      <c r="L244" s="2">
        <v>46145</v>
      </c>
      <c r="M244" t="s">
        <v>38</v>
      </c>
      <c r="N244" t="s">
        <v>55</v>
      </c>
      <c r="O244">
        <v>0</v>
      </c>
      <c r="P244" t="s">
        <v>62</v>
      </c>
      <c r="Q244" s="2">
        <v>46166</v>
      </c>
      <c r="R244" t="s">
        <v>57</v>
      </c>
    </row>
    <row r="245" spans="1:18" x14ac:dyDescent="0.2">
      <c r="A245" t="s">
        <v>544</v>
      </c>
      <c r="B245" t="s">
        <v>545</v>
      </c>
      <c r="C245" t="s">
        <v>31</v>
      </c>
      <c r="D245" t="s">
        <v>87</v>
      </c>
      <c r="E245" t="s">
        <v>91</v>
      </c>
      <c r="F245" t="s">
        <v>34</v>
      </c>
      <c r="G245" t="s">
        <v>35</v>
      </c>
      <c r="H245" t="s">
        <v>47</v>
      </c>
      <c r="I245" t="s">
        <v>54</v>
      </c>
      <c r="J245" t="s">
        <v>48</v>
      </c>
      <c r="K245" s="2">
        <v>46226</v>
      </c>
      <c r="L245" s="2">
        <v>46316</v>
      </c>
      <c r="M245" t="s">
        <v>64</v>
      </c>
      <c r="N245" t="s">
        <v>49</v>
      </c>
      <c r="O245">
        <v>3</v>
      </c>
      <c r="P245" t="s">
        <v>56</v>
      </c>
      <c r="Q245" s="2">
        <v>46193</v>
      </c>
      <c r="R245" t="s">
        <v>64</v>
      </c>
    </row>
    <row r="246" spans="1:18" x14ac:dyDescent="0.2">
      <c r="A246" t="s">
        <v>546</v>
      </c>
      <c r="B246" t="s">
        <v>547</v>
      </c>
      <c r="C246" t="s">
        <v>78</v>
      </c>
      <c r="D246" t="s">
        <v>79</v>
      </c>
      <c r="E246" t="s">
        <v>44</v>
      </c>
      <c r="F246" t="s">
        <v>34</v>
      </c>
      <c r="G246" t="s">
        <v>35</v>
      </c>
      <c r="H246" t="s">
        <v>47</v>
      </c>
      <c r="I246" t="s">
        <v>54</v>
      </c>
      <c r="J246" t="s">
        <v>37</v>
      </c>
      <c r="K246" s="2">
        <v>46188</v>
      </c>
      <c r="L246" s="2">
        <v>46553</v>
      </c>
      <c r="M246" t="s">
        <v>64</v>
      </c>
      <c r="N246" t="s">
        <v>55</v>
      </c>
      <c r="O246">
        <v>3</v>
      </c>
      <c r="P246" t="s">
        <v>56</v>
      </c>
      <c r="Q246" s="2">
        <v>46174</v>
      </c>
      <c r="R246" t="s">
        <v>64</v>
      </c>
    </row>
    <row r="247" spans="1:18" x14ac:dyDescent="0.2">
      <c r="A247" t="s">
        <v>548</v>
      </c>
      <c r="B247" t="s">
        <v>549</v>
      </c>
      <c r="C247" t="s">
        <v>96</v>
      </c>
      <c r="D247" t="s">
        <v>97</v>
      </c>
      <c r="E247" t="s">
        <v>44</v>
      </c>
      <c r="F247" t="s">
        <v>45</v>
      </c>
      <c r="G247" t="s">
        <v>61</v>
      </c>
      <c r="H247" t="s">
        <v>88</v>
      </c>
      <c r="I247" t="s">
        <v>62</v>
      </c>
      <c r="J247" t="s">
        <v>37</v>
      </c>
      <c r="K247" s="2">
        <v>46086</v>
      </c>
      <c r="L247" s="2">
        <v>46176</v>
      </c>
      <c r="M247" t="s">
        <v>38</v>
      </c>
      <c r="N247" t="s">
        <v>75</v>
      </c>
      <c r="O247">
        <v>0</v>
      </c>
      <c r="P247" t="s">
        <v>54</v>
      </c>
      <c r="Q247" s="2">
        <v>46249</v>
      </c>
      <c r="R247" t="s">
        <v>57</v>
      </c>
    </row>
    <row r="248" spans="1:18" x14ac:dyDescent="0.2">
      <c r="A248" t="s">
        <v>550</v>
      </c>
      <c r="B248" t="s">
        <v>551</v>
      </c>
      <c r="C248" t="s">
        <v>78</v>
      </c>
      <c r="D248" t="s">
        <v>79</v>
      </c>
      <c r="E248" t="s">
        <v>44</v>
      </c>
      <c r="F248" t="s">
        <v>67</v>
      </c>
      <c r="G248" t="s">
        <v>68</v>
      </c>
      <c r="H248" t="s">
        <v>36</v>
      </c>
      <c r="I248" t="s">
        <v>70</v>
      </c>
      <c r="J248" t="s">
        <v>63</v>
      </c>
      <c r="K248" s="2">
        <v>46232</v>
      </c>
      <c r="L248" s="2">
        <v>46597</v>
      </c>
      <c r="M248" t="s">
        <v>64</v>
      </c>
      <c r="N248" t="s">
        <v>49</v>
      </c>
      <c r="O248">
        <v>3</v>
      </c>
      <c r="P248" t="s">
        <v>62</v>
      </c>
      <c r="Q248" s="2">
        <v>46231</v>
      </c>
      <c r="R248" t="s">
        <v>38</v>
      </c>
    </row>
    <row r="249" spans="1:18" x14ac:dyDescent="0.2">
      <c r="A249" t="s">
        <v>552</v>
      </c>
      <c r="B249" t="s">
        <v>553</v>
      </c>
      <c r="C249" t="s">
        <v>31</v>
      </c>
      <c r="D249" t="s">
        <v>83</v>
      </c>
      <c r="E249" t="s">
        <v>60</v>
      </c>
      <c r="F249" t="s">
        <v>34</v>
      </c>
      <c r="G249" t="s">
        <v>35</v>
      </c>
      <c r="H249" t="s">
        <v>36</v>
      </c>
      <c r="I249" t="s">
        <v>111</v>
      </c>
      <c r="J249" t="s">
        <v>37</v>
      </c>
      <c r="K249" s="2">
        <v>46122</v>
      </c>
      <c r="L249" s="2">
        <v>46212</v>
      </c>
      <c r="M249" t="s">
        <v>38</v>
      </c>
      <c r="N249" t="s">
        <v>75</v>
      </c>
      <c r="O249">
        <v>5</v>
      </c>
      <c r="P249" t="s">
        <v>50</v>
      </c>
      <c r="Q249" s="2">
        <v>46132</v>
      </c>
      <c r="R249" t="s">
        <v>38</v>
      </c>
    </row>
    <row r="250" spans="1:18" x14ac:dyDescent="0.2">
      <c r="A250" t="s">
        <v>554</v>
      </c>
      <c r="B250" t="s">
        <v>555</v>
      </c>
      <c r="C250" t="s">
        <v>31</v>
      </c>
      <c r="D250" t="s">
        <v>32</v>
      </c>
      <c r="E250" t="s">
        <v>44</v>
      </c>
      <c r="F250" t="s">
        <v>45</v>
      </c>
      <c r="G250" t="s">
        <v>46</v>
      </c>
      <c r="H250" t="s">
        <v>47</v>
      </c>
      <c r="I250" t="s">
        <v>62</v>
      </c>
      <c r="J250" t="s">
        <v>37</v>
      </c>
      <c r="K250" s="2">
        <v>46235</v>
      </c>
      <c r="L250" s="2">
        <v>46600</v>
      </c>
      <c r="M250" t="s">
        <v>64</v>
      </c>
      <c r="N250" t="s">
        <v>49</v>
      </c>
      <c r="O250">
        <v>1</v>
      </c>
      <c r="P250" t="s">
        <v>62</v>
      </c>
      <c r="Q250" s="2">
        <v>46247</v>
      </c>
      <c r="R250" t="s">
        <v>64</v>
      </c>
    </row>
    <row r="251" spans="1:18" x14ac:dyDescent="0.2">
      <c r="A251" t="s">
        <v>556</v>
      </c>
      <c r="B251" t="s">
        <v>557</v>
      </c>
      <c r="C251" t="s">
        <v>31</v>
      </c>
      <c r="D251" t="s">
        <v>83</v>
      </c>
      <c r="E251" t="s">
        <v>53</v>
      </c>
      <c r="F251" t="s">
        <v>34</v>
      </c>
      <c r="G251" t="s">
        <v>35</v>
      </c>
      <c r="H251" t="s">
        <v>88</v>
      </c>
      <c r="I251" t="s">
        <v>39</v>
      </c>
      <c r="J251" t="s">
        <v>63</v>
      </c>
      <c r="K251" s="2">
        <v>45873</v>
      </c>
      <c r="L251" s="2">
        <v>46238</v>
      </c>
      <c r="M251" t="s">
        <v>38</v>
      </c>
      <c r="N251" t="s">
        <v>49</v>
      </c>
      <c r="O251">
        <v>3</v>
      </c>
      <c r="P251" t="s">
        <v>70</v>
      </c>
      <c r="Q251" s="2">
        <v>46172</v>
      </c>
      <c r="R251" t="s">
        <v>38</v>
      </c>
    </row>
    <row r="252" spans="1:18" x14ac:dyDescent="0.2">
      <c r="A252" t="s">
        <v>558</v>
      </c>
      <c r="B252" t="s">
        <v>559</v>
      </c>
      <c r="C252" t="s">
        <v>96</v>
      </c>
      <c r="D252" t="s">
        <v>97</v>
      </c>
      <c r="E252" t="s">
        <v>53</v>
      </c>
      <c r="F252" t="s">
        <v>45</v>
      </c>
      <c r="G252" t="s">
        <v>46</v>
      </c>
      <c r="H252" t="s">
        <v>36</v>
      </c>
      <c r="I252" t="s">
        <v>106</v>
      </c>
      <c r="J252" t="s">
        <v>48</v>
      </c>
      <c r="K252" s="2">
        <v>45826</v>
      </c>
      <c r="L252" s="2">
        <v>46006</v>
      </c>
      <c r="M252" t="s">
        <v>38</v>
      </c>
      <c r="N252" t="s">
        <v>75</v>
      </c>
      <c r="O252">
        <v>3</v>
      </c>
      <c r="P252" t="s">
        <v>56</v>
      </c>
      <c r="Q252" s="2">
        <v>46363</v>
      </c>
      <c r="R252" t="s">
        <v>84</v>
      </c>
    </row>
    <row r="253" spans="1:18" x14ac:dyDescent="0.2">
      <c r="A253" t="s">
        <v>560</v>
      </c>
      <c r="B253" t="s">
        <v>561</v>
      </c>
      <c r="C253" t="s">
        <v>42</v>
      </c>
      <c r="D253" t="s">
        <v>43</v>
      </c>
      <c r="E253" t="s">
        <v>60</v>
      </c>
      <c r="F253" t="s">
        <v>67</v>
      </c>
      <c r="G253" t="s">
        <v>68</v>
      </c>
      <c r="H253" t="s">
        <v>88</v>
      </c>
      <c r="I253" t="s">
        <v>62</v>
      </c>
      <c r="J253" t="s">
        <v>48</v>
      </c>
      <c r="K253" s="2">
        <v>46256</v>
      </c>
      <c r="L253" s="2">
        <v>46436</v>
      </c>
      <c r="M253" t="s">
        <v>69</v>
      </c>
      <c r="N253" t="s">
        <v>49</v>
      </c>
      <c r="O253">
        <v>1</v>
      </c>
      <c r="P253" t="s">
        <v>106</v>
      </c>
      <c r="Q253" s="2">
        <v>46140</v>
      </c>
      <c r="R253" t="s">
        <v>38</v>
      </c>
    </row>
    <row r="254" spans="1:18" x14ac:dyDescent="0.2">
      <c r="A254" t="s">
        <v>562</v>
      </c>
      <c r="B254" t="s">
        <v>563</v>
      </c>
      <c r="C254" t="s">
        <v>96</v>
      </c>
      <c r="D254" t="s">
        <v>97</v>
      </c>
      <c r="E254" t="s">
        <v>53</v>
      </c>
      <c r="F254" t="s">
        <v>67</v>
      </c>
      <c r="G254" t="s">
        <v>118</v>
      </c>
      <c r="H254" t="s">
        <v>36</v>
      </c>
      <c r="I254" t="s">
        <v>70</v>
      </c>
      <c r="J254" t="s">
        <v>37</v>
      </c>
      <c r="K254" s="2">
        <v>45831</v>
      </c>
      <c r="L254" s="2">
        <v>45921</v>
      </c>
      <c r="M254" t="s">
        <v>38</v>
      </c>
      <c r="O254">
        <v>1</v>
      </c>
      <c r="P254" t="s">
        <v>56</v>
      </c>
      <c r="Q254" s="2">
        <v>46268</v>
      </c>
      <c r="R254" t="s">
        <v>38</v>
      </c>
    </row>
    <row r="255" spans="1:18" x14ac:dyDescent="0.2">
      <c r="A255" t="s">
        <v>564</v>
      </c>
      <c r="B255" t="s">
        <v>565</v>
      </c>
      <c r="C255" t="s">
        <v>31</v>
      </c>
      <c r="D255" t="s">
        <v>87</v>
      </c>
      <c r="E255" t="s">
        <v>60</v>
      </c>
      <c r="F255" t="s">
        <v>34</v>
      </c>
      <c r="G255" t="s">
        <v>35</v>
      </c>
      <c r="H255" t="s">
        <v>88</v>
      </c>
      <c r="I255" t="s">
        <v>54</v>
      </c>
      <c r="J255" t="s">
        <v>48</v>
      </c>
      <c r="K255" s="2">
        <v>46049</v>
      </c>
      <c r="L255" s="2">
        <v>46139</v>
      </c>
      <c r="M255" t="s">
        <v>38</v>
      </c>
      <c r="N255" t="s">
        <v>75</v>
      </c>
      <c r="O255">
        <v>3</v>
      </c>
      <c r="P255" t="s">
        <v>70</v>
      </c>
      <c r="Q255" s="2">
        <v>46379</v>
      </c>
      <c r="R255" t="s">
        <v>84</v>
      </c>
    </row>
    <row r="256" spans="1:18" x14ac:dyDescent="0.2">
      <c r="A256" t="s">
        <v>566</v>
      </c>
      <c r="B256" t="s">
        <v>567</v>
      </c>
      <c r="C256" t="s">
        <v>31</v>
      </c>
      <c r="D256" t="s">
        <v>87</v>
      </c>
      <c r="E256" t="s">
        <v>44</v>
      </c>
      <c r="F256" t="s">
        <v>67</v>
      </c>
      <c r="G256" t="s">
        <v>118</v>
      </c>
      <c r="H256" t="s">
        <v>36</v>
      </c>
      <c r="I256" t="s">
        <v>39</v>
      </c>
      <c r="J256" t="s">
        <v>48</v>
      </c>
      <c r="K256" s="2">
        <v>46187</v>
      </c>
      <c r="L256" s="2">
        <v>46277</v>
      </c>
      <c r="M256" t="s">
        <v>38</v>
      </c>
      <c r="N256" t="s">
        <v>55</v>
      </c>
      <c r="O256">
        <v>0</v>
      </c>
      <c r="P256" t="s">
        <v>106</v>
      </c>
      <c r="Q256" s="2">
        <v>46242</v>
      </c>
      <c r="R256" t="s">
        <v>57</v>
      </c>
    </row>
    <row r="257" spans="1:18" x14ac:dyDescent="0.2">
      <c r="A257" t="s">
        <v>568</v>
      </c>
      <c r="B257" t="s">
        <v>569</v>
      </c>
      <c r="C257" t="s">
        <v>103</v>
      </c>
      <c r="D257" t="s">
        <v>104</v>
      </c>
      <c r="E257" t="s">
        <v>53</v>
      </c>
      <c r="F257" t="s">
        <v>34</v>
      </c>
      <c r="G257" t="s">
        <v>35</v>
      </c>
      <c r="H257" t="s">
        <v>88</v>
      </c>
      <c r="I257" t="s">
        <v>111</v>
      </c>
      <c r="J257" t="s">
        <v>37</v>
      </c>
      <c r="K257" s="2">
        <v>46017</v>
      </c>
      <c r="L257" s="2">
        <v>46197</v>
      </c>
      <c r="M257" t="s">
        <v>38</v>
      </c>
      <c r="N257" t="s">
        <v>49</v>
      </c>
      <c r="O257">
        <v>0</v>
      </c>
      <c r="P257" t="s">
        <v>111</v>
      </c>
      <c r="Q257" s="2">
        <v>46130</v>
      </c>
      <c r="R257" t="s">
        <v>57</v>
      </c>
    </row>
    <row r="258" spans="1:18" x14ac:dyDescent="0.2">
      <c r="A258" t="s">
        <v>570</v>
      </c>
      <c r="B258" t="s">
        <v>571</v>
      </c>
      <c r="C258" t="s">
        <v>31</v>
      </c>
      <c r="D258" t="s">
        <v>87</v>
      </c>
      <c r="E258" t="s">
        <v>60</v>
      </c>
      <c r="F258" t="s">
        <v>45</v>
      </c>
      <c r="G258" t="s">
        <v>61</v>
      </c>
      <c r="H258" t="s">
        <v>88</v>
      </c>
      <c r="I258" t="s">
        <v>106</v>
      </c>
      <c r="J258" t="s">
        <v>63</v>
      </c>
      <c r="K258" s="2">
        <v>46192</v>
      </c>
      <c r="L258" s="2">
        <v>46372</v>
      </c>
      <c r="M258" t="s">
        <v>84</v>
      </c>
      <c r="N258" t="s">
        <v>75</v>
      </c>
      <c r="O258">
        <v>0</v>
      </c>
      <c r="P258" t="s">
        <v>54</v>
      </c>
      <c r="Q258" s="2">
        <v>46312</v>
      </c>
      <c r="R258" t="s">
        <v>57</v>
      </c>
    </row>
    <row r="259" spans="1:18" x14ac:dyDescent="0.2">
      <c r="A259" t="s">
        <v>572</v>
      </c>
      <c r="B259" t="s">
        <v>573</v>
      </c>
      <c r="C259" t="s">
        <v>31</v>
      </c>
      <c r="D259" t="s">
        <v>83</v>
      </c>
      <c r="E259" t="s">
        <v>91</v>
      </c>
      <c r="F259" t="s">
        <v>45</v>
      </c>
      <c r="G259" t="s">
        <v>46</v>
      </c>
      <c r="H259" t="s">
        <v>47</v>
      </c>
      <c r="I259" t="s">
        <v>62</v>
      </c>
      <c r="J259" t="s">
        <v>48</v>
      </c>
      <c r="K259" s="2">
        <v>46013</v>
      </c>
      <c r="L259" s="2">
        <v>46103</v>
      </c>
      <c r="M259" t="s">
        <v>38</v>
      </c>
      <c r="N259" t="s">
        <v>49</v>
      </c>
      <c r="O259">
        <v>0</v>
      </c>
      <c r="P259" t="s">
        <v>39</v>
      </c>
      <c r="Q259" s="2">
        <v>46357</v>
      </c>
      <c r="R259" t="s">
        <v>57</v>
      </c>
    </row>
    <row r="260" spans="1:18" x14ac:dyDescent="0.2">
      <c r="A260" t="s">
        <v>574</v>
      </c>
      <c r="B260" t="s">
        <v>575</v>
      </c>
      <c r="C260" t="s">
        <v>73</v>
      </c>
      <c r="D260" t="s">
        <v>74</v>
      </c>
      <c r="E260" t="s">
        <v>60</v>
      </c>
      <c r="F260" t="s">
        <v>45</v>
      </c>
      <c r="G260" t="s">
        <v>61</v>
      </c>
      <c r="H260" t="s">
        <v>36</v>
      </c>
      <c r="I260" t="s">
        <v>56</v>
      </c>
      <c r="J260" t="s">
        <v>37</v>
      </c>
      <c r="K260" s="2">
        <v>45911</v>
      </c>
      <c r="L260" s="2">
        <v>46276</v>
      </c>
      <c r="M260" t="s">
        <v>38</v>
      </c>
      <c r="N260" t="s">
        <v>49</v>
      </c>
      <c r="O260">
        <v>2</v>
      </c>
      <c r="P260" t="s">
        <v>54</v>
      </c>
      <c r="Q260" s="2">
        <v>46331</v>
      </c>
      <c r="R260" t="s">
        <v>84</v>
      </c>
    </row>
    <row r="261" spans="1:18" x14ac:dyDescent="0.2">
      <c r="A261" t="s">
        <v>576</v>
      </c>
      <c r="B261" t="s">
        <v>577</v>
      </c>
      <c r="C261" t="s">
        <v>42</v>
      </c>
      <c r="D261" t="s">
        <v>43</v>
      </c>
      <c r="E261" t="s">
        <v>91</v>
      </c>
      <c r="F261" t="s">
        <v>67</v>
      </c>
      <c r="G261" t="s">
        <v>118</v>
      </c>
      <c r="H261" t="s">
        <v>88</v>
      </c>
      <c r="I261" t="s">
        <v>62</v>
      </c>
      <c r="J261" t="s">
        <v>63</v>
      </c>
      <c r="K261" s="2">
        <v>45976</v>
      </c>
      <c r="L261" s="2">
        <v>46066</v>
      </c>
      <c r="M261" t="s">
        <v>38</v>
      </c>
      <c r="N261" t="s">
        <v>55</v>
      </c>
      <c r="O261">
        <v>2</v>
      </c>
      <c r="P261" t="s">
        <v>70</v>
      </c>
      <c r="Q261" s="2">
        <v>46402</v>
      </c>
      <c r="R261" t="s">
        <v>84</v>
      </c>
    </row>
    <row r="262" spans="1:18" x14ac:dyDescent="0.2">
      <c r="A262" t="s">
        <v>578</v>
      </c>
      <c r="B262" t="s">
        <v>579</v>
      </c>
      <c r="C262" t="s">
        <v>103</v>
      </c>
      <c r="D262" t="s">
        <v>104</v>
      </c>
      <c r="E262" t="s">
        <v>53</v>
      </c>
      <c r="F262" t="s">
        <v>67</v>
      </c>
      <c r="G262" t="s">
        <v>68</v>
      </c>
      <c r="H262" t="s">
        <v>98</v>
      </c>
      <c r="I262" t="s">
        <v>106</v>
      </c>
      <c r="J262" t="s">
        <v>63</v>
      </c>
      <c r="K262" s="2">
        <v>45834</v>
      </c>
      <c r="L262" s="2">
        <v>46014</v>
      </c>
      <c r="M262" t="s">
        <v>38</v>
      </c>
      <c r="N262" t="s">
        <v>75</v>
      </c>
      <c r="O262">
        <v>5</v>
      </c>
      <c r="P262" t="s">
        <v>62</v>
      </c>
      <c r="Q262" s="2">
        <v>46267</v>
      </c>
      <c r="R262" t="s">
        <v>64</v>
      </c>
    </row>
    <row r="263" spans="1:18" x14ac:dyDescent="0.2">
      <c r="A263" t="s">
        <v>580</v>
      </c>
      <c r="B263" t="s">
        <v>581</v>
      </c>
      <c r="C263" t="s">
        <v>31</v>
      </c>
      <c r="D263" t="s">
        <v>87</v>
      </c>
      <c r="E263" t="s">
        <v>91</v>
      </c>
      <c r="F263" t="s">
        <v>34</v>
      </c>
      <c r="G263" t="s">
        <v>35</v>
      </c>
      <c r="H263" t="s">
        <v>47</v>
      </c>
      <c r="I263" t="s">
        <v>39</v>
      </c>
      <c r="J263" t="s">
        <v>63</v>
      </c>
      <c r="K263" s="2">
        <v>45940</v>
      </c>
      <c r="L263" s="2">
        <v>46120</v>
      </c>
      <c r="M263" t="s">
        <v>38</v>
      </c>
      <c r="N263" t="s">
        <v>75</v>
      </c>
      <c r="O263">
        <v>2</v>
      </c>
      <c r="P263" t="s">
        <v>54</v>
      </c>
      <c r="Q263" s="2">
        <v>46329</v>
      </c>
      <c r="R263" t="s">
        <v>84</v>
      </c>
    </row>
    <row r="264" spans="1:18" x14ac:dyDescent="0.2">
      <c r="A264" t="s">
        <v>582</v>
      </c>
      <c r="B264" t="s">
        <v>583</v>
      </c>
      <c r="C264" t="s">
        <v>31</v>
      </c>
      <c r="D264" t="s">
        <v>83</v>
      </c>
      <c r="E264" t="s">
        <v>91</v>
      </c>
      <c r="F264" t="s">
        <v>67</v>
      </c>
      <c r="G264" t="s">
        <v>68</v>
      </c>
      <c r="H264" t="s">
        <v>88</v>
      </c>
      <c r="I264" t="s">
        <v>111</v>
      </c>
      <c r="J264" t="s">
        <v>48</v>
      </c>
      <c r="K264" s="2">
        <v>45811</v>
      </c>
      <c r="L264" s="2">
        <v>46176</v>
      </c>
      <c r="M264" t="s">
        <v>38</v>
      </c>
      <c r="N264" t="s">
        <v>75</v>
      </c>
      <c r="O264">
        <v>2</v>
      </c>
      <c r="P264" t="s">
        <v>111</v>
      </c>
      <c r="Q264" s="2">
        <v>46202</v>
      </c>
      <c r="R264" t="s">
        <v>38</v>
      </c>
    </row>
    <row r="265" spans="1:18" x14ac:dyDescent="0.2">
      <c r="A265" t="s">
        <v>584</v>
      </c>
      <c r="B265" t="s">
        <v>585</v>
      </c>
      <c r="C265" t="s">
        <v>73</v>
      </c>
      <c r="D265" t="s">
        <v>74</v>
      </c>
      <c r="E265" t="s">
        <v>91</v>
      </c>
      <c r="F265" t="s">
        <v>45</v>
      </c>
      <c r="G265" t="s">
        <v>61</v>
      </c>
      <c r="H265" t="s">
        <v>36</v>
      </c>
      <c r="I265" t="s">
        <v>50</v>
      </c>
      <c r="J265" t="s">
        <v>63</v>
      </c>
      <c r="K265" s="2">
        <v>45927</v>
      </c>
      <c r="L265" s="2">
        <v>46107</v>
      </c>
      <c r="M265" t="s">
        <v>38</v>
      </c>
      <c r="N265" t="s">
        <v>49</v>
      </c>
      <c r="O265">
        <v>0</v>
      </c>
      <c r="P265" t="s">
        <v>56</v>
      </c>
      <c r="Q265" s="2">
        <v>46228</v>
      </c>
      <c r="R265" t="s">
        <v>57</v>
      </c>
    </row>
    <row r="266" spans="1:18" x14ac:dyDescent="0.2">
      <c r="A266" t="s">
        <v>586</v>
      </c>
      <c r="B266" t="s">
        <v>587</v>
      </c>
      <c r="C266" t="s">
        <v>31</v>
      </c>
      <c r="D266" t="s">
        <v>32</v>
      </c>
      <c r="E266" t="s">
        <v>53</v>
      </c>
      <c r="F266" t="s">
        <v>67</v>
      </c>
      <c r="G266" t="s">
        <v>118</v>
      </c>
      <c r="H266" t="s">
        <v>47</v>
      </c>
      <c r="I266" t="s">
        <v>56</v>
      </c>
      <c r="J266" t="s">
        <v>48</v>
      </c>
      <c r="K266" s="2">
        <v>46038</v>
      </c>
      <c r="L266" s="2">
        <v>46128</v>
      </c>
      <c r="M266" t="s">
        <v>38</v>
      </c>
      <c r="N266" t="s">
        <v>75</v>
      </c>
      <c r="O266">
        <v>0</v>
      </c>
      <c r="P266" t="s">
        <v>70</v>
      </c>
      <c r="Q266" s="2">
        <v>46413</v>
      </c>
      <c r="R266" t="s">
        <v>57</v>
      </c>
    </row>
    <row r="267" spans="1:18" x14ac:dyDescent="0.2">
      <c r="A267" t="s">
        <v>588</v>
      </c>
      <c r="B267" t="s">
        <v>589</v>
      </c>
      <c r="C267" t="s">
        <v>96</v>
      </c>
      <c r="D267" t="s">
        <v>97</v>
      </c>
      <c r="E267" t="s">
        <v>60</v>
      </c>
      <c r="F267" t="s">
        <v>34</v>
      </c>
      <c r="G267" t="s">
        <v>35</v>
      </c>
      <c r="H267" t="s">
        <v>47</v>
      </c>
      <c r="I267" t="s">
        <v>39</v>
      </c>
      <c r="J267" t="s">
        <v>37</v>
      </c>
      <c r="K267" s="2">
        <v>45830</v>
      </c>
      <c r="L267" s="2">
        <v>45920</v>
      </c>
      <c r="M267" t="s">
        <v>38</v>
      </c>
      <c r="N267" t="s">
        <v>55</v>
      </c>
      <c r="O267">
        <v>1</v>
      </c>
      <c r="P267" t="s">
        <v>50</v>
      </c>
      <c r="Q267" s="2">
        <v>46290</v>
      </c>
      <c r="R267" t="s">
        <v>38</v>
      </c>
    </row>
    <row r="268" spans="1:18" x14ac:dyDescent="0.2">
      <c r="A268" t="s">
        <v>590</v>
      </c>
      <c r="B268" t="s">
        <v>591</v>
      </c>
      <c r="C268" t="s">
        <v>31</v>
      </c>
      <c r="D268" t="s">
        <v>83</v>
      </c>
      <c r="E268" t="s">
        <v>53</v>
      </c>
      <c r="F268" t="s">
        <v>45</v>
      </c>
      <c r="G268" t="s">
        <v>61</v>
      </c>
      <c r="H268" t="s">
        <v>88</v>
      </c>
      <c r="I268" t="s">
        <v>50</v>
      </c>
      <c r="J268" t="s">
        <v>48</v>
      </c>
      <c r="K268" s="2">
        <v>46115</v>
      </c>
      <c r="L268" s="2">
        <v>46480</v>
      </c>
      <c r="M268" t="s">
        <v>64</v>
      </c>
      <c r="N268" t="s">
        <v>75</v>
      </c>
      <c r="O268">
        <v>2</v>
      </c>
      <c r="P268" t="s">
        <v>111</v>
      </c>
      <c r="Q268" s="2">
        <v>46222</v>
      </c>
      <c r="R268" t="s">
        <v>38</v>
      </c>
    </row>
    <row r="269" spans="1:18" x14ac:dyDescent="0.2">
      <c r="A269" t="s">
        <v>592</v>
      </c>
      <c r="B269" t="s">
        <v>593</v>
      </c>
      <c r="C269" t="s">
        <v>103</v>
      </c>
      <c r="D269" t="s">
        <v>104</v>
      </c>
      <c r="E269" t="s">
        <v>60</v>
      </c>
      <c r="F269" t="s">
        <v>45</v>
      </c>
      <c r="G269" t="s">
        <v>46</v>
      </c>
      <c r="H269" t="s">
        <v>88</v>
      </c>
      <c r="I269" t="s">
        <v>62</v>
      </c>
      <c r="J269" t="s">
        <v>37</v>
      </c>
      <c r="K269" s="2">
        <v>46069</v>
      </c>
      <c r="L269" s="2">
        <v>46249</v>
      </c>
      <c r="M269" t="s">
        <v>38</v>
      </c>
      <c r="N269" t="s">
        <v>75</v>
      </c>
      <c r="O269">
        <v>3</v>
      </c>
      <c r="P269" t="s">
        <v>39</v>
      </c>
      <c r="Q269" s="2">
        <v>46117</v>
      </c>
      <c r="R269" t="s">
        <v>64</v>
      </c>
    </row>
    <row r="270" spans="1:18" x14ac:dyDescent="0.2">
      <c r="A270" t="s">
        <v>594</v>
      </c>
      <c r="B270" t="s">
        <v>595</v>
      </c>
      <c r="C270" t="s">
        <v>42</v>
      </c>
      <c r="D270" t="s">
        <v>43</v>
      </c>
      <c r="E270" t="s">
        <v>105</v>
      </c>
      <c r="F270" t="s">
        <v>67</v>
      </c>
      <c r="G270" t="s">
        <v>170</v>
      </c>
      <c r="H270" t="s">
        <v>88</v>
      </c>
      <c r="I270" t="s">
        <v>54</v>
      </c>
      <c r="J270" t="s">
        <v>48</v>
      </c>
      <c r="K270" s="2">
        <v>46160</v>
      </c>
      <c r="L270" s="2">
        <v>46525</v>
      </c>
      <c r="M270" t="s">
        <v>69</v>
      </c>
      <c r="N270" t="s">
        <v>55</v>
      </c>
      <c r="O270">
        <v>0</v>
      </c>
      <c r="P270" t="s">
        <v>39</v>
      </c>
      <c r="Q270" s="2">
        <v>46311</v>
      </c>
      <c r="R270" t="s">
        <v>57</v>
      </c>
    </row>
    <row r="271" spans="1:18" x14ac:dyDescent="0.2">
      <c r="A271" t="s">
        <v>596</v>
      </c>
      <c r="B271" t="s">
        <v>597</v>
      </c>
      <c r="C271" t="s">
        <v>78</v>
      </c>
      <c r="D271" t="s">
        <v>79</v>
      </c>
      <c r="E271" t="s">
        <v>80</v>
      </c>
      <c r="F271" t="s">
        <v>67</v>
      </c>
      <c r="G271" t="s">
        <v>118</v>
      </c>
      <c r="H271" t="s">
        <v>36</v>
      </c>
      <c r="I271" t="s">
        <v>106</v>
      </c>
      <c r="J271" t="s">
        <v>48</v>
      </c>
      <c r="K271" s="2">
        <v>46053</v>
      </c>
      <c r="L271" s="2">
        <v>46418</v>
      </c>
      <c r="M271" t="s">
        <v>69</v>
      </c>
      <c r="N271" t="s">
        <v>75</v>
      </c>
      <c r="O271">
        <v>2</v>
      </c>
      <c r="P271" t="s">
        <v>54</v>
      </c>
      <c r="Q271" s="2">
        <v>46211</v>
      </c>
      <c r="R271" t="s">
        <v>64</v>
      </c>
    </row>
    <row r="272" spans="1:18" x14ac:dyDescent="0.2">
      <c r="A272" t="s">
        <v>598</v>
      </c>
      <c r="B272" t="s">
        <v>599</v>
      </c>
      <c r="C272" t="s">
        <v>31</v>
      </c>
      <c r="D272" t="s">
        <v>87</v>
      </c>
      <c r="E272" t="s">
        <v>44</v>
      </c>
      <c r="F272" t="s">
        <v>34</v>
      </c>
      <c r="G272" t="s">
        <v>35</v>
      </c>
      <c r="H272" t="s">
        <v>36</v>
      </c>
      <c r="I272" t="s">
        <v>50</v>
      </c>
      <c r="J272" t="s">
        <v>48</v>
      </c>
      <c r="K272" s="2">
        <v>46212</v>
      </c>
      <c r="L272" s="2">
        <v>46392</v>
      </c>
      <c r="M272" t="s">
        <v>84</v>
      </c>
      <c r="N272" t="s">
        <v>75</v>
      </c>
      <c r="O272">
        <v>5</v>
      </c>
      <c r="P272" t="s">
        <v>70</v>
      </c>
      <c r="Q272" s="2">
        <v>46245</v>
      </c>
      <c r="R272" t="s">
        <v>38</v>
      </c>
    </row>
    <row r="273" spans="1:18" x14ac:dyDescent="0.2">
      <c r="A273" t="s">
        <v>600</v>
      </c>
      <c r="B273" t="s">
        <v>601</v>
      </c>
      <c r="C273" t="s">
        <v>103</v>
      </c>
      <c r="D273" t="s">
        <v>104</v>
      </c>
      <c r="E273" t="s">
        <v>105</v>
      </c>
      <c r="F273" t="s">
        <v>34</v>
      </c>
      <c r="G273" t="s">
        <v>35</v>
      </c>
      <c r="H273" t="s">
        <v>88</v>
      </c>
      <c r="I273" t="s">
        <v>62</v>
      </c>
      <c r="J273" t="s">
        <v>63</v>
      </c>
      <c r="K273" s="2">
        <v>46048</v>
      </c>
      <c r="L273" s="2">
        <v>46228</v>
      </c>
      <c r="M273" t="s">
        <v>38</v>
      </c>
      <c r="N273" t="s">
        <v>55</v>
      </c>
      <c r="O273">
        <v>2</v>
      </c>
      <c r="P273" t="s">
        <v>39</v>
      </c>
      <c r="Q273" s="2">
        <v>46357</v>
      </c>
      <c r="R273" t="s">
        <v>84</v>
      </c>
    </row>
    <row r="274" spans="1:18" x14ac:dyDescent="0.2">
      <c r="A274" t="s">
        <v>602</v>
      </c>
      <c r="B274" t="s">
        <v>603</v>
      </c>
      <c r="C274" t="s">
        <v>31</v>
      </c>
      <c r="D274" t="s">
        <v>32</v>
      </c>
      <c r="E274" t="s">
        <v>91</v>
      </c>
      <c r="F274" t="s">
        <v>67</v>
      </c>
      <c r="G274" t="s">
        <v>118</v>
      </c>
      <c r="H274" t="s">
        <v>47</v>
      </c>
      <c r="I274" t="s">
        <v>56</v>
      </c>
      <c r="J274" t="s">
        <v>48</v>
      </c>
      <c r="K274" s="2">
        <v>45957</v>
      </c>
      <c r="L274" s="2">
        <v>46322</v>
      </c>
      <c r="M274" t="s">
        <v>69</v>
      </c>
      <c r="N274" t="s">
        <v>55</v>
      </c>
      <c r="O274">
        <v>0</v>
      </c>
      <c r="P274" t="s">
        <v>111</v>
      </c>
      <c r="Q274" s="2">
        <v>46259</v>
      </c>
      <c r="R274" t="s">
        <v>57</v>
      </c>
    </row>
    <row r="275" spans="1:18" x14ac:dyDescent="0.2">
      <c r="A275" t="s">
        <v>604</v>
      </c>
      <c r="B275" t="s">
        <v>605</v>
      </c>
      <c r="C275" t="s">
        <v>96</v>
      </c>
      <c r="D275" t="s">
        <v>97</v>
      </c>
      <c r="E275" t="s">
        <v>53</v>
      </c>
      <c r="F275" t="s">
        <v>45</v>
      </c>
      <c r="G275" t="s">
        <v>46</v>
      </c>
      <c r="H275" t="s">
        <v>36</v>
      </c>
      <c r="I275" t="s">
        <v>54</v>
      </c>
      <c r="J275" t="s">
        <v>63</v>
      </c>
      <c r="K275" s="2">
        <v>46092</v>
      </c>
      <c r="L275" s="2">
        <v>46457</v>
      </c>
      <c r="M275" t="s">
        <v>64</v>
      </c>
      <c r="N275" t="s">
        <v>55</v>
      </c>
      <c r="O275">
        <v>0</v>
      </c>
      <c r="P275" t="s">
        <v>111</v>
      </c>
      <c r="Q275" s="2">
        <v>46395</v>
      </c>
      <c r="R275" t="s">
        <v>57</v>
      </c>
    </row>
    <row r="276" spans="1:18" x14ac:dyDescent="0.2">
      <c r="A276" t="s">
        <v>606</v>
      </c>
      <c r="B276" t="s">
        <v>607</v>
      </c>
      <c r="C276" t="s">
        <v>31</v>
      </c>
      <c r="D276" t="s">
        <v>32</v>
      </c>
      <c r="E276" t="s">
        <v>105</v>
      </c>
      <c r="F276" t="s">
        <v>67</v>
      </c>
      <c r="G276" t="s">
        <v>68</v>
      </c>
      <c r="H276" t="s">
        <v>47</v>
      </c>
      <c r="I276" t="s">
        <v>70</v>
      </c>
      <c r="J276" t="s">
        <v>63</v>
      </c>
      <c r="K276" s="2">
        <v>45811</v>
      </c>
      <c r="L276" s="2">
        <v>45901</v>
      </c>
      <c r="M276" t="s">
        <v>38</v>
      </c>
      <c r="N276" t="s">
        <v>49</v>
      </c>
      <c r="O276">
        <v>3</v>
      </c>
      <c r="P276" t="s">
        <v>70</v>
      </c>
      <c r="Q276" s="2">
        <v>46191</v>
      </c>
      <c r="R276" t="s">
        <v>38</v>
      </c>
    </row>
    <row r="277" spans="1:18" x14ac:dyDescent="0.2">
      <c r="A277" t="s">
        <v>608</v>
      </c>
      <c r="B277" t="s">
        <v>609</v>
      </c>
      <c r="C277" t="s">
        <v>73</v>
      </c>
      <c r="D277" t="s">
        <v>74</v>
      </c>
      <c r="E277" t="s">
        <v>80</v>
      </c>
      <c r="F277" t="s">
        <v>67</v>
      </c>
      <c r="G277" t="s">
        <v>68</v>
      </c>
      <c r="H277" t="s">
        <v>98</v>
      </c>
      <c r="I277" t="s">
        <v>56</v>
      </c>
      <c r="J277" t="s">
        <v>63</v>
      </c>
      <c r="K277" s="2">
        <v>46140</v>
      </c>
      <c r="L277" s="2">
        <v>46320</v>
      </c>
      <c r="M277" t="s">
        <v>64</v>
      </c>
      <c r="N277" t="s">
        <v>55</v>
      </c>
      <c r="O277">
        <v>0</v>
      </c>
      <c r="P277" t="s">
        <v>106</v>
      </c>
      <c r="Q277" s="2">
        <v>46263</v>
      </c>
      <c r="R277" t="s">
        <v>57</v>
      </c>
    </row>
    <row r="278" spans="1:18" x14ac:dyDescent="0.2">
      <c r="A278" t="s">
        <v>610</v>
      </c>
      <c r="B278" t="s">
        <v>611</v>
      </c>
      <c r="C278" t="s">
        <v>42</v>
      </c>
      <c r="D278" t="s">
        <v>43</v>
      </c>
      <c r="E278" t="s">
        <v>105</v>
      </c>
      <c r="F278" t="s">
        <v>67</v>
      </c>
      <c r="G278" t="s">
        <v>68</v>
      </c>
      <c r="H278" t="s">
        <v>36</v>
      </c>
      <c r="I278" t="s">
        <v>39</v>
      </c>
      <c r="J278" t="s">
        <v>48</v>
      </c>
      <c r="K278" s="2">
        <v>46271</v>
      </c>
      <c r="L278" s="2">
        <v>46361</v>
      </c>
      <c r="M278" t="s">
        <v>84</v>
      </c>
      <c r="N278" t="s">
        <v>75</v>
      </c>
      <c r="O278">
        <v>2</v>
      </c>
      <c r="P278" t="s">
        <v>106</v>
      </c>
      <c r="Q278" s="2">
        <v>46339</v>
      </c>
      <c r="R278" t="s">
        <v>84</v>
      </c>
    </row>
    <row r="279" spans="1:18" x14ac:dyDescent="0.2">
      <c r="A279" t="s">
        <v>612</v>
      </c>
      <c r="B279" t="s">
        <v>613</v>
      </c>
      <c r="C279" t="s">
        <v>31</v>
      </c>
      <c r="D279" t="s">
        <v>87</v>
      </c>
      <c r="E279" t="s">
        <v>105</v>
      </c>
      <c r="F279" t="s">
        <v>67</v>
      </c>
      <c r="G279" t="s">
        <v>68</v>
      </c>
      <c r="H279" t="s">
        <v>88</v>
      </c>
      <c r="I279" t="s">
        <v>111</v>
      </c>
      <c r="J279" t="s">
        <v>48</v>
      </c>
      <c r="K279" s="2">
        <v>46136</v>
      </c>
      <c r="L279" s="2">
        <v>46316</v>
      </c>
      <c r="M279" t="s">
        <v>69</v>
      </c>
      <c r="N279" t="s">
        <v>75</v>
      </c>
      <c r="O279">
        <v>1</v>
      </c>
      <c r="P279" t="s">
        <v>70</v>
      </c>
      <c r="Q279" s="2">
        <v>46172</v>
      </c>
      <c r="R279" t="s">
        <v>64</v>
      </c>
    </row>
    <row r="280" spans="1:18" x14ac:dyDescent="0.2">
      <c r="A280" t="s">
        <v>614</v>
      </c>
      <c r="B280" t="s">
        <v>615</v>
      </c>
      <c r="C280" t="s">
        <v>96</v>
      </c>
      <c r="D280" t="s">
        <v>97</v>
      </c>
      <c r="E280" t="s">
        <v>60</v>
      </c>
      <c r="F280" t="s">
        <v>67</v>
      </c>
      <c r="G280" t="s">
        <v>118</v>
      </c>
      <c r="H280" t="s">
        <v>88</v>
      </c>
      <c r="I280" t="s">
        <v>50</v>
      </c>
      <c r="J280" t="s">
        <v>48</v>
      </c>
      <c r="K280" s="2">
        <v>45963</v>
      </c>
      <c r="L280" s="2">
        <v>46143</v>
      </c>
      <c r="M280" t="s">
        <v>38</v>
      </c>
      <c r="N280" t="s">
        <v>75</v>
      </c>
      <c r="O280">
        <v>0</v>
      </c>
      <c r="P280" t="s">
        <v>62</v>
      </c>
      <c r="Q280" s="2">
        <v>46181</v>
      </c>
      <c r="R280" t="s">
        <v>57</v>
      </c>
    </row>
    <row r="281" spans="1:18" x14ac:dyDescent="0.2">
      <c r="A281" t="s">
        <v>616</v>
      </c>
      <c r="B281" t="s">
        <v>617</v>
      </c>
      <c r="C281" t="s">
        <v>31</v>
      </c>
      <c r="D281" t="s">
        <v>32</v>
      </c>
      <c r="E281" t="s">
        <v>105</v>
      </c>
      <c r="F281" t="s">
        <v>67</v>
      </c>
      <c r="G281" t="s">
        <v>68</v>
      </c>
      <c r="H281" t="s">
        <v>47</v>
      </c>
      <c r="I281" t="s">
        <v>106</v>
      </c>
      <c r="J281" t="s">
        <v>63</v>
      </c>
      <c r="K281" s="2">
        <v>46269</v>
      </c>
      <c r="L281" s="2">
        <v>46634</v>
      </c>
      <c r="M281" t="s">
        <v>84</v>
      </c>
      <c r="N281" t="s">
        <v>49</v>
      </c>
      <c r="O281">
        <v>2</v>
      </c>
      <c r="P281" t="s">
        <v>54</v>
      </c>
      <c r="Q281" s="2">
        <v>46380</v>
      </c>
      <c r="R281" t="s">
        <v>84</v>
      </c>
    </row>
    <row r="282" spans="1:18" x14ac:dyDescent="0.2">
      <c r="A282" t="s">
        <v>618</v>
      </c>
      <c r="B282" t="s">
        <v>619</v>
      </c>
      <c r="C282" t="s">
        <v>96</v>
      </c>
      <c r="D282" t="s">
        <v>97</v>
      </c>
      <c r="E282" t="s">
        <v>91</v>
      </c>
      <c r="F282" t="s">
        <v>67</v>
      </c>
      <c r="G282" t="s">
        <v>118</v>
      </c>
      <c r="H282" t="s">
        <v>88</v>
      </c>
      <c r="I282" t="s">
        <v>62</v>
      </c>
      <c r="J282" t="s">
        <v>48</v>
      </c>
      <c r="K282" s="2">
        <v>46199</v>
      </c>
      <c r="L282" s="2">
        <v>46564</v>
      </c>
      <c r="M282" t="s">
        <v>84</v>
      </c>
      <c r="N282" t="s">
        <v>55</v>
      </c>
      <c r="O282">
        <v>1</v>
      </c>
      <c r="P282" t="s">
        <v>70</v>
      </c>
      <c r="Q282" s="2">
        <v>46373</v>
      </c>
      <c r="R282" t="s">
        <v>84</v>
      </c>
    </row>
    <row r="283" spans="1:18" x14ac:dyDescent="0.2">
      <c r="A283" t="s">
        <v>620</v>
      </c>
      <c r="B283" t="s">
        <v>621</v>
      </c>
      <c r="C283" t="s">
        <v>31</v>
      </c>
      <c r="D283" t="s">
        <v>32</v>
      </c>
      <c r="E283" t="s">
        <v>44</v>
      </c>
      <c r="F283" t="s">
        <v>67</v>
      </c>
      <c r="G283" t="s">
        <v>118</v>
      </c>
      <c r="H283" t="s">
        <v>88</v>
      </c>
      <c r="I283" t="s">
        <v>56</v>
      </c>
      <c r="J283" t="s">
        <v>37</v>
      </c>
      <c r="K283" s="2">
        <v>46250</v>
      </c>
      <c r="L283" s="2">
        <v>46615</v>
      </c>
      <c r="M283" t="s">
        <v>64</v>
      </c>
      <c r="N283" t="s">
        <v>49</v>
      </c>
      <c r="O283">
        <v>3</v>
      </c>
      <c r="P283" t="s">
        <v>111</v>
      </c>
      <c r="Q283" s="2">
        <v>46321</v>
      </c>
      <c r="R283" t="s">
        <v>84</v>
      </c>
    </row>
    <row r="284" spans="1:18" x14ac:dyDescent="0.2">
      <c r="A284" t="s">
        <v>622</v>
      </c>
      <c r="B284" t="s">
        <v>623</v>
      </c>
      <c r="C284" t="s">
        <v>78</v>
      </c>
      <c r="D284" t="s">
        <v>79</v>
      </c>
      <c r="E284" t="s">
        <v>80</v>
      </c>
      <c r="F284" t="s">
        <v>45</v>
      </c>
      <c r="G284" t="s">
        <v>61</v>
      </c>
      <c r="H284" t="s">
        <v>88</v>
      </c>
      <c r="I284" t="s">
        <v>111</v>
      </c>
      <c r="J284" t="s">
        <v>63</v>
      </c>
      <c r="K284" s="2">
        <v>45894</v>
      </c>
      <c r="L284" s="2">
        <v>46259</v>
      </c>
      <c r="M284" t="s">
        <v>38</v>
      </c>
      <c r="N284" t="s">
        <v>55</v>
      </c>
      <c r="O284">
        <v>0</v>
      </c>
      <c r="P284" t="s">
        <v>39</v>
      </c>
      <c r="Q284" s="2">
        <v>46321</v>
      </c>
      <c r="R284" t="s">
        <v>57</v>
      </c>
    </row>
    <row r="285" spans="1:18" x14ac:dyDescent="0.2">
      <c r="A285" t="s">
        <v>624</v>
      </c>
      <c r="B285" t="s">
        <v>625</v>
      </c>
      <c r="C285" t="s">
        <v>96</v>
      </c>
      <c r="D285" t="s">
        <v>97</v>
      </c>
      <c r="E285" t="s">
        <v>60</v>
      </c>
      <c r="F285" t="s">
        <v>45</v>
      </c>
      <c r="G285" t="s">
        <v>61</v>
      </c>
      <c r="H285" t="s">
        <v>88</v>
      </c>
      <c r="I285" t="s">
        <v>111</v>
      </c>
      <c r="J285" t="s">
        <v>63</v>
      </c>
      <c r="K285" s="2">
        <v>46101</v>
      </c>
      <c r="L285" s="2">
        <v>46281</v>
      </c>
      <c r="M285" t="s">
        <v>38</v>
      </c>
      <c r="N285" t="s">
        <v>55</v>
      </c>
      <c r="O285">
        <v>1</v>
      </c>
      <c r="P285" t="s">
        <v>106</v>
      </c>
      <c r="Q285" s="2">
        <v>46347</v>
      </c>
      <c r="R285" t="s">
        <v>64</v>
      </c>
    </row>
    <row r="286" spans="1:18" x14ac:dyDescent="0.2">
      <c r="A286" t="s">
        <v>626</v>
      </c>
      <c r="B286" t="s">
        <v>627</v>
      </c>
      <c r="C286" t="s">
        <v>31</v>
      </c>
      <c r="D286" t="s">
        <v>32</v>
      </c>
      <c r="E286" t="s">
        <v>105</v>
      </c>
      <c r="F286" t="s">
        <v>34</v>
      </c>
      <c r="G286" t="s">
        <v>35</v>
      </c>
      <c r="H286" t="s">
        <v>47</v>
      </c>
      <c r="I286" t="s">
        <v>54</v>
      </c>
      <c r="J286" t="s">
        <v>48</v>
      </c>
      <c r="K286" s="2">
        <v>46274</v>
      </c>
      <c r="L286" s="2">
        <v>46454</v>
      </c>
      <c r="M286" t="s">
        <v>64</v>
      </c>
      <c r="N286" t="s">
        <v>49</v>
      </c>
      <c r="O286">
        <v>2</v>
      </c>
      <c r="P286" t="s">
        <v>111</v>
      </c>
      <c r="Q286" s="2">
        <v>46395</v>
      </c>
      <c r="R286" t="s">
        <v>84</v>
      </c>
    </row>
    <row r="287" spans="1:18" x14ac:dyDescent="0.2">
      <c r="A287" t="s">
        <v>628</v>
      </c>
      <c r="B287" t="s">
        <v>629</v>
      </c>
      <c r="C287" t="s">
        <v>103</v>
      </c>
      <c r="D287" t="s">
        <v>104</v>
      </c>
      <c r="E287" t="s">
        <v>105</v>
      </c>
      <c r="F287" t="s">
        <v>45</v>
      </c>
      <c r="G287" t="s">
        <v>61</v>
      </c>
      <c r="H287" t="s">
        <v>47</v>
      </c>
      <c r="J287" t="s">
        <v>37</v>
      </c>
      <c r="K287" s="2">
        <v>46175</v>
      </c>
      <c r="L287" s="2">
        <v>46265</v>
      </c>
      <c r="M287" t="s">
        <v>38</v>
      </c>
      <c r="N287" t="s">
        <v>55</v>
      </c>
      <c r="O287">
        <v>3</v>
      </c>
      <c r="P287" t="s">
        <v>70</v>
      </c>
      <c r="Q287" s="2">
        <v>46225</v>
      </c>
      <c r="R287" t="s">
        <v>38</v>
      </c>
    </row>
    <row r="288" spans="1:18" x14ac:dyDescent="0.2">
      <c r="A288" t="s">
        <v>630</v>
      </c>
      <c r="B288" t="s">
        <v>631</v>
      </c>
      <c r="C288" t="s">
        <v>96</v>
      </c>
      <c r="D288" t="s">
        <v>97</v>
      </c>
      <c r="E288" t="s">
        <v>91</v>
      </c>
      <c r="F288" t="s">
        <v>67</v>
      </c>
      <c r="G288" t="s">
        <v>68</v>
      </c>
      <c r="H288" t="s">
        <v>36</v>
      </c>
      <c r="I288" t="s">
        <v>70</v>
      </c>
      <c r="J288" t="s">
        <v>63</v>
      </c>
      <c r="K288" s="2">
        <v>45880</v>
      </c>
      <c r="L288" s="2">
        <v>46060</v>
      </c>
      <c r="M288" t="s">
        <v>38</v>
      </c>
      <c r="N288" t="s">
        <v>75</v>
      </c>
      <c r="O288">
        <v>5</v>
      </c>
      <c r="P288" t="s">
        <v>39</v>
      </c>
      <c r="Q288" s="2">
        <v>46373</v>
      </c>
      <c r="R288" t="s">
        <v>64</v>
      </c>
    </row>
    <row r="289" spans="1:18" x14ac:dyDescent="0.2">
      <c r="A289" t="s">
        <v>632</v>
      </c>
      <c r="B289" t="s">
        <v>633</v>
      </c>
      <c r="C289" t="s">
        <v>73</v>
      </c>
      <c r="D289" t="s">
        <v>74</v>
      </c>
      <c r="E289" t="s">
        <v>60</v>
      </c>
      <c r="F289" t="s">
        <v>34</v>
      </c>
      <c r="G289" t="s">
        <v>35</v>
      </c>
      <c r="H289" t="s">
        <v>88</v>
      </c>
      <c r="I289" t="s">
        <v>50</v>
      </c>
      <c r="J289" t="s">
        <v>37</v>
      </c>
      <c r="K289" s="2">
        <v>45921</v>
      </c>
      <c r="L289" s="2">
        <v>46286</v>
      </c>
      <c r="M289" t="s">
        <v>38</v>
      </c>
      <c r="N289" t="s">
        <v>55</v>
      </c>
      <c r="O289">
        <v>1</v>
      </c>
      <c r="P289" t="s">
        <v>62</v>
      </c>
      <c r="Q289" s="2">
        <v>46168</v>
      </c>
      <c r="R289" t="s">
        <v>38</v>
      </c>
    </row>
    <row r="290" spans="1:18" x14ac:dyDescent="0.2">
      <c r="A290" t="s">
        <v>634</v>
      </c>
      <c r="B290" t="s">
        <v>635</v>
      </c>
      <c r="C290" t="s">
        <v>103</v>
      </c>
      <c r="D290" t="s">
        <v>104</v>
      </c>
      <c r="E290" t="s">
        <v>53</v>
      </c>
      <c r="F290" t="s">
        <v>34</v>
      </c>
      <c r="G290" t="s">
        <v>35</v>
      </c>
      <c r="H290" t="s">
        <v>88</v>
      </c>
      <c r="I290" t="s">
        <v>106</v>
      </c>
      <c r="J290" t="s">
        <v>48</v>
      </c>
      <c r="K290" s="2">
        <v>46125</v>
      </c>
      <c r="L290" s="2">
        <v>46305</v>
      </c>
      <c r="M290" t="s">
        <v>84</v>
      </c>
      <c r="N290" t="s">
        <v>75</v>
      </c>
      <c r="O290">
        <v>2</v>
      </c>
      <c r="P290" t="s">
        <v>56</v>
      </c>
      <c r="Q290" s="2">
        <v>46395</v>
      </c>
      <c r="R290" t="s">
        <v>84</v>
      </c>
    </row>
    <row r="291" spans="1:18" x14ac:dyDescent="0.2">
      <c r="A291" t="s">
        <v>636</v>
      </c>
      <c r="B291" t="s">
        <v>637</v>
      </c>
      <c r="C291" t="s">
        <v>96</v>
      </c>
      <c r="D291" t="s">
        <v>97</v>
      </c>
      <c r="E291" t="s">
        <v>91</v>
      </c>
      <c r="F291" t="s">
        <v>34</v>
      </c>
      <c r="G291" t="s">
        <v>35</v>
      </c>
      <c r="H291" t="s">
        <v>47</v>
      </c>
      <c r="I291" t="s">
        <v>50</v>
      </c>
      <c r="J291" t="s">
        <v>63</v>
      </c>
      <c r="K291" s="2">
        <v>46018</v>
      </c>
      <c r="L291" s="2">
        <v>46383</v>
      </c>
      <c r="M291" t="s">
        <v>69</v>
      </c>
      <c r="N291" t="s">
        <v>49</v>
      </c>
      <c r="O291">
        <v>0</v>
      </c>
      <c r="P291" t="s">
        <v>62</v>
      </c>
      <c r="Q291" s="2">
        <v>46295</v>
      </c>
      <c r="R291" t="s">
        <v>57</v>
      </c>
    </row>
    <row r="292" spans="1:18" x14ac:dyDescent="0.2">
      <c r="A292" t="s">
        <v>638</v>
      </c>
      <c r="B292" t="s">
        <v>639</v>
      </c>
      <c r="C292" t="s">
        <v>42</v>
      </c>
      <c r="D292" t="s">
        <v>43</v>
      </c>
      <c r="E292" t="s">
        <v>80</v>
      </c>
      <c r="F292" t="s">
        <v>34</v>
      </c>
      <c r="G292" t="s">
        <v>35</v>
      </c>
      <c r="H292" t="s">
        <v>36</v>
      </c>
      <c r="I292" t="s">
        <v>70</v>
      </c>
      <c r="J292" t="s">
        <v>48</v>
      </c>
      <c r="K292" s="2">
        <v>46263</v>
      </c>
      <c r="L292" s="2">
        <v>46443</v>
      </c>
      <c r="M292" t="s">
        <v>64</v>
      </c>
      <c r="N292" t="s">
        <v>49</v>
      </c>
      <c r="O292">
        <v>0</v>
      </c>
      <c r="P292" t="s">
        <v>56</v>
      </c>
      <c r="Q292" s="2">
        <v>46217</v>
      </c>
      <c r="R292" t="s">
        <v>57</v>
      </c>
    </row>
    <row r="293" spans="1:18" x14ac:dyDescent="0.2">
      <c r="A293" t="s">
        <v>640</v>
      </c>
      <c r="B293" t="s">
        <v>641</v>
      </c>
      <c r="C293" t="s">
        <v>103</v>
      </c>
      <c r="D293" t="s">
        <v>104</v>
      </c>
      <c r="E293" t="s">
        <v>44</v>
      </c>
      <c r="F293" t="s">
        <v>34</v>
      </c>
      <c r="G293" t="s">
        <v>35</v>
      </c>
      <c r="H293" t="s">
        <v>36</v>
      </c>
      <c r="I293" t="s">
        <v>56</v>
      </c>
      <c r="J293" t="s">
        <v>63</v>
      </c>
      <c r="K293" s="2">
        <v>46171</v>
      </c>
      <c r="L293" s="2">
        <v>46536</v>
      </c>
      <c r="M293" t="s">
        <v>64</v>
      </c>
      <c r="N293" t="s">
        <v>75</v>
      </c>
      <c r="O293">
        <v>0</v>
      </c>
      <c r="P293" t="s">
        <v>62</v>
      </c>
      <c r="Q293" s="2">
        <v>46402</v>
      </c>
      <c r="R293" t="s">
        <v>57</v>
      </c>
    </row>
    <row r="294" spans="1:18" x14ac:dyDescent="0.2">
      <c r="A294" t="s">
        <v>642</v>
      </c>
      <c r="B294" t="s">
        <v>643</v>
      </c>
      <c r="C294" t="s">
        <v>42</v>
      </c>
      <c r="D294" t="s">
        <v>43</v>
      </c>
      <c r="E294" t="s">
        <v>91</v>
      </c>
      <c r="F294" t="s">
        <v>45</v>
      </c>
      <c r="G294" t="s">
        <v>61</v>
      </c>
      <c r="H294" t="s">
        <v>88</v>
      </c>
      <c r="I294" t="s">
        <v>62</v>
      </c>
      <c r="J294" t="s">
        <v>63</v>
      </c>
      <c r="K294" s="2">
        <v>46077</v>
      </c>
      <c r="L294" s="2">
        <v>46257</v>
      </c>
      <c r="M294" t="s">
        <v>38</v>
      </c>
      <c r="N294" t="s">
        <v>49</v>
      </c>
      <c r="O294">
        <v>2</v>
      </c>
      <c r="P294" t="s">
        <v>111</v>
      </c>
      <c r="Q294" s="2">
        <v>46397</v>
      </c>
      <c r="R294" t="s">
        <v>64</v>
      </c>
    </row>
    <row r="295" spans="1:18" x14ac:dyDescent="0.2">
      <c r="A295" t="s">
        <v>644</v>
      </c>
      <c r="B295" t="s">
        <v>645</v>
      </c>
      <c r="C295" t="s">
        <v>31</v>
      </c>
      <c r="D295" t="s">
        <v>32</v>
      </c>
      <c r="E295" t="s">
        <v>60</v>
      </c>
      <c r="F295" t="s">
        <v>45</v>
      </c>
      <c r="G295" t="s">
        <v>61</v>
      </c>
      <c r="H295" t="s">
        <v>88</v>
      </c>
      <c r="I295" t="s">
        <v>54</v>
      </c>
      <c r="J295" t="s">
        <v>48</v>
      </c>
      <c r="K295" s="2">
        <v>45878</v>
      </c>
      <c r="L295" s="2">
        <v>46243</v>
      </c>
      <c r="M295" t="s">
        <v>38</v>
      </c>
      <c r="N295" t="s">
        <v>55</v>
      </c>
      <c r="O295">
        <v>2</v>
      </c>
      <c r="P295" t="s">
        <v>70</v>
      </c>
      <c r="Q295" s="2">
        <v>46344</v>
      </c>
      <c r="R295" t="s">
        <v>64</v>
      </c>
    </row>
    <row r="296" spans="1:18" x14ac:dyDescent="0.2">
      <c r="A296" t="s">
        <v>646</v>
      </c>
      <c r="B296" t="s">
        <v>647</v>
      </c>
      <c r="C296" t="s">
        <v>31</v>
      </c>
      <c r="D296" t="s">
        <v>83</v>
      </c>
      <c r="E296" t="s">
        <v>80</v>
      </c>
      <c r="F296" t="s">
        <v>67</v>
      </c>
      <c r="G296" t="s">
        <v>68</v>
      </c>
      <c r="H296" t="s">
        <v>47</v>
      </c>
      <c r="I296" t="s">
        <v>56</v>
      </c>
      <c r="J296" t="s">
        <v>48</v>
      </c>
      <c r="K296" s="2">
        <v>46209</v>
      </c>
      <c r="L296" s="2">
        <v>46299</v>
      </c>
      <c r="M296" t="s">
        <v>69</v>
      </c>
      <c r="N296" t="s">
        <v>55</v>
      </c>
      <c r="O296">
        <v>2</v>
      </c>
      <c r="P296" t="s">
        <v>106</v>
      </c>
      <c r="Q296" s="2">
        <v>46353</v>
      </c>
      <c r="R296" t="s">
        <v>84</v>
      </c>
    </row>
    <row r="297" spans="1:18" x14ac:dyDescent="0.2">
      <c r="A297" t="s">
        <v>648</v>
      </c>
      <c r="B297" t="s">
        <v>649</v>
      </c>
      <c r="C297" t="s">
        <v>31</v>
      </c>
      <c r="D297" t="s">
        <v>83</v>
      </c>
      <c r="E297" t="s">
        <v>650</v>
      </c>
      <c r="F297" t="s">
        <v>34</v>
      </c>
      <c r="G297" t="s">
        <v>35</v>
      </c>
      <c r="H297" t="s">
        <v>88</v>
      </c>
      <c r="I297" t="s">
        <v>56</v>
      </c>
      <c r="J297" t="s">
        <v>48</v>
      </c>
      <c r="K297" s="2">
        <v>46024</v>
      </c>
      <c r="L297" s="2">
        <v>46389</v>
      </c>
      <c r="M297" t="s">
        <v>84</v>
      </c>
      <c r="N297" t="s">
        <v>49</v>
      </c>
      <c r="O297">
        <v>2</v>
      </c>
      <c r="P297" t="s">
        <v>50</v>
      </c>
      <c r="Q297" s="2">
        <v>46384</v>
      </c>
      <c r="R297" t="s">
        <v>64</v>
      </c>
    </row>
    <row r="298" spans="1:18" x14ac:dyDescent="0.2">
      <c r="A298" t="s">
        <v>651</v>
      </c>
      <c r="B298" t="s">
        <v>652</v>
      </c>
      <c r="C298" t="s">
        <v>96</v>
      </c>
      <c r="D298" t="s">
        <v>97</v>
      </c>
      <c r="E298" t="s">
        <v>105</v>
      </c>
      <c r="F298" t="s">
        <v>67</v>
      </c>
      <c r="G298" t="s">
        <v>118</v>
      </c>
      <c r="H298" t="s">
        <v>88</v>
      </c>
      <c r="I298" t="s">
        <v>54</v>
      </c>
      <c r="J298" t="s">
        <v>63</v>
      </c>
      <c r="K298" s="2">
        <v>45936</v>
      </c>
      <c r="L298" s="2">
        <v>46116</v>
      </c>
      <c r="M298" t="s">
        <v>38</v>
      </c>
      <c r="N298" t="s">
        <v>75</v>
      </c>
      <c r="O298">
        <v>2</v>
      </c>
      <c r="P298" t="s">
        <v>39</v>
      </c>
      <c r="Q298" s="2">
        <v>46265</v>
      </c>
      <c r="R298" t="s">
        <v>64</v>
      </c>
    </row>
    <row r="299" spans="1:18" x14ac:dyDescent="0.2">
      <c r="A299" t="s">
        <v>653</v>
      </c>
      <c r="B299" t="s">
        <v>654</v>
      </c>
      <c r="C299" t="s">
        <v>42</v>
      </c>
      <c r="D299" t="s">
        <v>43</v>
      </c>
      <c r="E299" t="s">
        <v>80</v>
      </c>
      <c r="F299" t="s">
        <v>45</v>
      </c>
      <c r="G299" t="s">
        <v>61</v>
      </c>
      <c r="H299" t="s">
        <v>47</v>
      </c>
      <c r="I299" t="s">
        <v>54</v>
      </c>
      <c r="J299" t="s">
        <v>63</v>
      </c>
      <c r="K299" s="2">
        <v>46255</v>
      </c>
      <c r="L299" s="2">
        <v>46620</v>
      </c>
      <c r="M299" t="s">
        <v>69</v>
      </c>
      <c r="N299" t="s">
        <v>55</v>
      </c>
      <c r="O299">
        <v>3</v>
      </c>
      <c r="P299" t="s">
        <v>106</v>
      </c>
      <c r="Q299" s="2">
        <v>46246</v>
      </c>
      <c r="R299" t="s">
        <v>38</v>
      </c>
    </row>
    <row r="300" spans="1:18" x14ac:dyDescent="0.2">
      <c r="A300" t="s">
        <v>655</v>
      </c>
      <c r="B300" t="s">
        <v>656</v>
      </c>
      <c r="C300" t="s">
        <v>31</v>
      </c>
      <c r="D300" t="s">
        <v>32</v>
      </c>
      <c r="E300" t="s">
        <v>80</v>
      </c>
      <c r="F300" t="s">
        <v>34</v>
      </c>
      <c r="G300" t="s">
        <v>35</v>
      </c>
      <c r="H300" t="s">
        <v>47</v>
      </c>
      <c r="I300" t="s">
        <v>54</v>
      </c>
      <c r="J300" t="s">
        <v>63</v>
      </c>
      <c r="K300" s="2">
        <v>46111</v>
      </c>
      <c r="L300" s="2">
        <v>46476</v>
      </c>
      <c r="M300" t="s">
        <v>64</v>
      </c>
      <c r="N300" t="s">
        <v>55</v>
      </c>
      <c r="O300">
        <v>1</v>
      </c>
      <c r="P300" t="s">
        <v>54</v>
      </c>
      <c r="Q300" s="2">
        <v>46390</v>
      </c>
      <c r="R300" t="s">
        <v>84</v>
      </c>
    </row>
    <row r="301" spans="1:18" x14ac:dyDescent="0.2">
      <c r="A301" t="s">
        <v>657</v>
      </c>
      <c r="B301" t="s">
        <v>658</v>
      </c>
      <c r="C301" t="s">
        <v>73</v>
      </c>
      <c r="D301" t="s">
        <v>74</v>
      </c>
      <c r="E301" t="s">
        <v>105</v>
      </c>
      <c r="F301" t="s">
        <v>34</v>
      </c>
      <c r="G301" t="s">
        <v>35</v>
      </c>
      <c r="H301" t="s">
        <v>47</v>
      </c>
      <c r="I301" t="s">
        <v>62</v>
      </c>
      <c r="J301" t="s">
        <v>48</v>
      </c>
      <c r="K301" s="2">
        <v>45944</v>
      </c>
      <c r="L301" s="2">
        <v>46034</v>
      </c>
      <c r="M301" t="s">
        <v>38</v>
      </c>
      <c r="N301" t="s">
        <v>49</v>
      </c>
      <c r="O301">
        <v>1</v>
      </c>
      <c r="P301" t="s">
        <v>70</v>
      </c>
      <c r="Q301" s="2">
        <v>46127</v>
      </c>
      <c r="R301" t="s">
        <v>38</v>
      </c>
    </row>
    <row r="302" spans="1:18" x14ac:dyDescent="0.2">
      <c r="A302" t="s">
        <v>659</v>
      </c>
      <c r="B302" t="s">
        <v>660</v>
      </c>
      <c r="C302" t="s">
        <v>78</v>
      </c>
      <c r="D302" t="s">
        <v>79</v>
      </c>
      <c r="E302" t="s">
        <v>53</v>
      </c>
      <c r="F302" t="s">
        <v>45</v>
      </c>
      <c r="G302" t="s">
        <v>46</v>
      </c>
      <c r="H302" t="s">
        <v>88</v>
      </c>
      <c r="I302" t="s">
        <v>54</v>
      </c>
      <c r="J302" t="s">
        <v>48</v>
      </c>
      <c r="K302" s="2">
        <v>45809</v>
      </c>
      <c r="L302" s="2">
        <v>45989</v>
      </c>
      <c r="M302" t="s">
        <v>38</v>
      </c>
      <c r="N302" t="s">
        <v>75</v>
      </c>
      <c r="O302">
        <v>3</v>
      </c>
      <c r="P302" t="s">
        <v>62</v>
      </c>
      <c r="Q302" s="2">
        <v>46345</v>
      </c>
      <c r="R302" t="s">
        <v>84</v>
      </c>
    </row>
    <row r="303" spans="1:18" x14ac:dyDescent="0.2">
      <c r="A303" t="s">
        <v>661</v>
      </c>
      <c r="B303" t="s">
        <v>662</v>
      </c>
      <c r="C303" t="s">
        <v>73</v>
      </c>
      <c r="D303" t="s">
        <v>74</v>
      </c>
      <c r="E303" t="s">
        <v>60</v>
      </c>
      <c r="F303" t="s">
        <v>34</v>
      </c>
      <c r="G303" t="s">
        <v>35</v>
      </c>
      <c r="H303" t="s">
        <v>47</v>
      </c>
      <c r="I303" t="s">
        <v>70</v>
      </c>
      <c r="J303" t="s">
        <v>48</v>
      </c>
      <c r="K303" s="2">
        <v>45888</v>
      </c>
      <c r="L303" s="2">
        <v>46253</v>
      </c>
      <c r="M303" t="s">
        <v>38</v>
      </c>
      <c r="N303" t="s">
        <v>49</v>
      </c>
      <c r="O303">
        <v>0</v>
      </c>
      <c r="P303" t="s">
        <v>56</v>
      </c>
      <c r="Q303" s="2">
        <v>46152</v>
      </c>
      <c r="R303" t="s">
        <v>57</v>
      </c>
    </row>
    <row r="304" spans="1:18" x14ac:dyDescent="0.2">
      <c r="A304" t="s">
        <v>663</v>
      </c>
      <c r="B304" t="s">
        <v>664</v>
      </c>
      <c r="C304" t="s">
        <v>31</v>
      </c>
      <c r="D304" t="s">
        <v>83</v>
      </c>
      <c r="E304" t="s">
        <v>60</v>
      </c>
      <c r="F304" t="s">
        <v>34</v>
      </c>
      <c r="G304" t="s">
        <v>35</v>
      </c>
      <c r="H304" t="s">
        <v>47</v>
      </c>
      <c r="I304" t="s">
        <v>111</v>
      </c>
      <c r="J304" t="s">
        <v>48</v>
      </c>
      <c r="K304" s="2">
        <v>46080</v>
      </c>
      <c r="L304" s="2">
        <v>46260</v>
      </c>
      <c r="M304" t="s">
        <v>38</v>
      </c>
      <c r="N304" t="s">
        <v>49</v>
      </c>
      <c r="O304">
        <v>0</v>
      </c>
      <c r="P304" t="s">
        <v>50</v>
      </c>
      <c r="Q304" s="2">
        <v>46357</v>
      </c>
      <c r="R304" t="s">
        <v>57</v>
      </c>
    </row>
    <row r="305" spans="1:18" x14ac:dyDescent="0.2">
      <c r="A305" t="s">
        <v>665</v>
      </c>
      <c r="B305" t="s">
        <v>666</v>
      </c>
      <c r="C305" t="s">
        <v>78</v>
      </c>
      <c r="D305" t="s">
        <v>79</v>
      </c>
      <c r="E305" t="s">
        <v>60</v>
      </c>
      <c r="F305" t="s">
        <v>34</v>
      </c>
      <c r="G305" t="s">
        <v>35</v>
      </c>
      <c r="H305" t="s">
        <v>47</v>
      </c>
      <c r="I305" t="s">
        <v>50</v>
      </c>
      <c r="J305" t="s">
        <v>63</v>
      </c>
      <c r="K305" s="2">
        <v>46123</v>
      </c>
      <c r="L305" s="2">
        <v>46488</v>
      </c>
      <c r="M305" t="s">
        <v>69</v>
      </c>
      <c r="N305" t="s">
        <v>55</v>
      </c>
      <c r="O305">
        <v>1</v>
      </c>
      <c r="P305" t="s">
        <v>70</v>
      </c>
      <c r="Q305" s="2">
        <v>46178</v>
      </c>
      <c r="R305" t="s">
        <v>64</v>
      </c>
    </row>
    <row r="306" spans="1:18" x14ac:dyDescent="0.2">
      <c r="A306" t="s">
        <v>667</v>
      </c>
      <c r="B306" t="s">
        <v>668</v>
      </c>
      <c r="C306" t="s">
        <v>42</v>
      </c>
      <c r="D306" t="s">
        <v>43</v>
      </c>
      <c r="E306" t="s">
        <v>91</v>
      </c>
      <c r="F306" t="s">
        <v>67</v>
      </c>
      <c r="G306" t="s">
        <v>68</v>
      </c>
      <c r="H306" t="s">
        <v>36</v>
      </c>
      <c r="I306" t="s">
        <v>106</v>
      </c>
      <c r="J306" t="s">
        <v>48</v>
      </c>
      <c r="K306" s="2">
        <v>46167</v>
      </c>
      <c r="L306" s="2">
        <v>46347</v>
      </c>
      <c r="M306" t="s">
        <v>84</v>
      </c>
      <c r="N306" t="s">
        <v>55</v>
      </c>
      <c r="O306">
        <v>1</v>
      </c>
      <c r="P306" t="s">
        <v>50</v>
      </c>
      <c r="Q306" s="2">
        <v>46228</v>
      </c>
      <c r="R306" t="s">
        <v>38</v>
      </c>
    </row>
    <row r="307" spans="1:18" x14ac:dyDescent="0.2">
      <c r="A307" t="s">
        <v>669</v>
      </c>
      <c r="B307" t="s">
        <v>670</v>
      </c>
      <c r="C307" t="s">
        <v>73</v>
      </c>
      <c r="D307" t="s">
        <v>74</v>
      </c>
      <c r="E307" t="s">
        <v>60</v>
      </c>
      <c r="F307" t="s">
        <v>34</v>
      </c>
      <c r="G307" t="s">
        <v>35</v>
      </c>
      <c r="H307" t="s">
        <v>88</v>
      </c>
      <c r="I307" t="s">
        <v>70</v>
      </c>
      <c r="J307" t="s">
        <v>48</v>
      </c>
      <c r="K307" s="2">
        <v>46127</v>
      </c>
      <c r="L307" s="2">
        <v>46492</v>
      </c>
      <c r="M307" t="s">
        <v>64</v>
      </c>
      <c r="N307" t="s">
        <v>55</v>
      </c>
      <c r="O307">
        <v>1</v>
      </c>
      <c r="P307" t="s">
        <v>54</v>
      </c>
      <c r="Q307" s="2">
        <v>46412</v>
      </c>
      <c r="R307" t="s">
        <v>84</v>
      </c>
    </row>
    <row r="308" spans="1:18" x14ac:dyDescent="0.2">
      <c r="A308" t="s">
        <v>671</v>
      </c>
      <c r="B308" t="s">
        <v>672</v>
      </c>
      <c r="C308" t="s">
        <v>31</v>
      </c>
      <c r="D308" t="s">
        <v>83</v>
      </c>
      <c r="E308" t="s">
        <v>60</v>
      </c>
      <c r="F308" t="s">
        <v>45</v>
      </c>
      <c r="G308" t="s">
        <v>61</v>
      </c>
      <c r="H308" t="s">
        <v>47</v>
      </c>
      <c r="I308" t="s">
        <v>54</v>
      </c>
      <c r="J308" t="s">
        <v>63</v>
      </c>
      <c r="K308" s="2">
        <v>46113</v>
      </c>
      <c r="L308" s="2">
        <v>46293</v>
      </c>
      <c r="M308" t="s">
        <v>38</v>
      </c>
      <c r="N308" t="s">
        <v>75</v>
      </c>
      <c r="O308">
        <v>2</v>
      </c>
      <c r="P308" t="s">
        <v>106</v>
      </c>
      <c r="Q308" s="2">
        <v>46271</v>
      </c>
      <c r="R308" t="s">
        <v>38</v>
      </c>
    </row>
    <row r="309" spans="1:18" x14ac:dyDescent="0.2">
      <c r="A309" t="s">
        <v>673</v>
      </c>
      <c r="B309" t="s">
        <v>674</v>
      </c>
      <c r="C309" t="s">
        <v>31</v>
      </c>
      <c r="D309" t="s">
        <v>83</v>
      </c>
      <c r="E309" t="s">
        <v>44</v>
      </c>
      <c r="F309" t="s">
        <v>67</v>
      </c>
      <c r="G309" t="s">
        <v>118</v>
      </c>
      <c r="H309" t="s">
        <v>47</v>
      </c>
      <c r="I309" t="s">
        <v>54</v>
      </c>
      <c r="J309" t="s">
        <v>63</v>
      </c>
      <c r="K309" s="2">
        <v>45873</v>
      </c>
      <c r="L309" s="2">
        <v>45963</v>
      </c>
      <c r="M309" t="s">
        <v>38</v>
      </c>
      <c r="N309" t="s">
        <v>49</v>
      </c>
      <c r="O309">
        <v>3</v>
      </c>
      <c r="P309" t="s">
        <v>106</v>
      </c>
      <c r="Q309" s="2">
        <v>46256</v>
      </c>
      <c r="R309" t="s">
        <v>38</v>
      </c>
    </row>
    <row r="310" spans="1:18" x14ac:dyDescent="0.2">
      <c r="A310" t="s">
        <v>675</v>
      </c>
      <c r="B310" t="s">
        <v>676</v>
      </c>
      <c r="C310" t="s">
        <v>31</v>
      </c>
      <c r="D310" t="s">
        <v>83</v>
      </c>
      <c r="E310" t="s">
        <v>80</v>
      </c>
      <c r="F310" t="s">
        <v>67</v>
      </c>
      <c r="G310" t="s">
        <v>118</v>
      </c>
      <c r="H310" t="s">
        <v>88</v>
      </c>
      <c r="I310" t="s">
        <v>56</v>
      </c>
      <c r="J310" t="s">
        <v>48</v>
      </c>
      <c r="K310" s="2">
        <v>46026</v>
      </c>
      <c r="L310" s="2">
        <v>46391</v>
      </c>
      <c r="M310" t="s">
        <v>64</v>
      </c>
      <c r="N310" t="s">
        <v>49</v>
      </c>
      <c r="O310">
        <v>0</v>
      </c>
      <c r="P310" t="s">
        <v>56</v>
      </c>
      <c r="Q310" s="2">
        <v>46258</v>
      </c>
      <c r="R310" t="s">
        <v>57</v>
      </c>
    </row>
    <row r="311" spans="1:18" x14ac:dyDescent="0.2">
      <c r="A311" t="s">
        <v>677</v>
      </c>
      <c r="B311" t="s">
        <v>678</v>
      </c>
      <c r="C311" t="s">
        <v>78</v>
      </c>
      <c r="D311" t="s">
        <v>79</v>
      </c>
      <c r="E311" t="s">
        <v>91</v>
      </c>
      <c r="F311" t="s">
        <v>34</v>
      </c>
      <c r="G311" t="s">
        <v>35</v>
      </c>
      <c r="H311" t="s">
        <v>47</v>
      </c>
      <c r="I311" t="s">
        <v>39</v>
      </c>
      <c r="J311" t="s">
        <v>63</v>
      </c>
      <c r="K311" s="2">
        <v>45841</v>
      </c>
      <c r="L311" s="2">
        <v>46206</v>
      </c>
      <c r="M311" t="s">
        <v>38</v>
      </c>
      <c r="N311" t="s">
        <v>49</v>
      </c>
      <c r="O311">
        <v>0</v>
      </c>
      <c r="P311" t="s">
        <v>54</v>
      </c>
      <c r="Q311" s="2">
        <v>46412</v>
      </c>
      <c r="R311" t="s">
        <v>57</v>
      </c>
    </row>
    <row r="312" spans="1:18" x14ac:dyDescent="0.2">
      <c r="A312" t="s">
        <v>679</v>
      </c>
      <c r="B312" t="s">
        <v>680</v>
      </c>
      <c r="C312" t="s">
        <v>42</v>
      </c>
      <c r="D312" t="s">
        <v>43</v>
      </c>
      <c r="E312" t="s">
        <v>60</v>
      </c>
      <c r="F312" t="s">
        <v>45</v>
      </c>
      <c r="G312" t="s">
        <v>61</v>
      </c>
      <c r="H312" t="s">
        <v>36</v>
      </c>
      <c r="I312" t="s">
        <v>111</v>
      </c>
      <c r="J312" t="s">
        <v>37</v>
      </c>
      <c r="K312" s="2">
        <v>45941</v>
      </c>
      <c r="L312" s="2">
        <v>46031</v>
      </c>
      <c r="M312" t="s">
        <v>38</v>
      </c>
      <c r="N312" t="s">
        <v>75</v>
      </c>
      <c r="O312">
        <v>3</v>
      </c>
      <c r="P312" t="s">
        <v>70</v>
      </c>
      <c r="Q312" s="2">
        <v>46229</v>
      </c>
      <c r="R312" t="s">
        <v>38</v>
      </c>
    </row>
    <row r="313" spans="1:18" x14ac:dyDescent="0.2">
      <c r="A313" t="s">
        <v>681</v>
      </c>
      <c r="B313" t="s">
        <v>682</v>
      </c>
      <c r="C313" t="s">
        <v>31</v>
      </c>
      <c r="D313" t="s">
        <v>83</v>
      </c>
      <c r="E313" t="s">
        <v>60</v>
      </c>
      <c r="F313" t="s">
        <v>67</v>
      </c>
      <c r="G313" t="s">
        <v>118</v>
      </c>
      <c r="H313" t="s">
        <v>47</v>
      </c>
      <c r="I313" t="s">
        <v>54</v>
      </c>
      <c r="J313" t="s">
        <v>63</v>
      </c>
      <c r="K313" s="2">
        <v>45841</v>
      </c>
      <c r="L313" s="2">
        <v>46206</v>
      </c>
      <c r="M313" t="s">
        <v>38</v>
      </c>
      <c r="N313" t="s">
        <v>49</v>
      </c>
      <c r="O313">
        <v>1</v>
      </c>
      <c r="P313" t="s">
        <v>50</v>
      </c>
      <c r="Q313" s="2">
        <v>46378</v>
      </c>
      <c r="R313" t="s">
        <v>64</v>
      </c>
    </row>
    <row r="314" spans="1:18" x14ac:dyDescent="0.2">
      <c r="A314" t="s">
        <v>683</v>
      </c>
      <c r="B314" t="s">
        <v>684</v>
      </c>
      <c r="C314" t="s">
        <v>103</v>
      </c>
      <c r="D314" t="s">
        <v>104</v>
      </c>
      <c r="E314" t="s">
        <v>53</v>
      </c>
      <c r="F314" t="s">
        <v>34</v>
      </c>
      <c r="G314" t="s">
        <v>35</v>
      </c>
      <c r="H314" t="s">
        <v>47</v>
      </c>
      <c r="I314" t="s">
        <v>111</v>
      </c>
      <c r="J314" t="s">
        <v>37</v>
      </c>
      <c r="K314" s="2">
        <v>46157</v>
      </c>
      <c r="L314" s="2">
        <v>46247</v>
      </c>
      <c r="M314" t="s">
        <v>38</v>
      </c>
      <c r="N314" t="s">
        <v>75</v>
      </c>
      <c r="O314">
        <v>2</v>
      </c>
      <c r="P314" t="s">
        <v>62</v>
      </c>
      <c r="Q314" s="2">
        <v>46234</v>
      </c>
      <c r="R314" t="s">
        <v>64</v>
      </c>
    </row>
    <row r="315" spans="1:18" x14ac:dyDescent="0.2">
      <c r="A315" t="s">
        <v>685</v>
      </c>
      <c r="B315" t="s">
        <v>686</v>
      </c>
      <c r="C315" t="s">
        <v>31</v>
      </c>
      <c r="D315" t="s">
        <v>83</v>
      </c>
      <c r="E315" t="s">
        <v>105</v>
      </c>
      <c r="F315" t="s">
        <v>67</v>
      </c>
      <c r="G315" t="s">
        <v>118</v>
      </c>
      <c r="H315" t="s">
        <v>47</v>
      </c>
      <c r="I315" t="s">
        <v>106</v>
      </c>
      <c r="J315" t="s">
        <v>63</v>
      </c>
      <c r="K315" s="2">
        <v>46223</v>
      </c>
      <c r="L315" s="2">
        <v>46588</v>
      </c>
      <c r="M315" t="s">
        <v>69</v>
      </c>
      <c r="N315" t="s">
        <v>49</v>
      </c>
      <c r="O315">
        <v>2</v>
      </c>
      <c r="P315" t="s">
        <v>62</v>
      </c>
      <c r="Q315" s="2">
        <v>46411</v>
      </c>
      <c r="R315" t="s">
        <v>84</v>
      </c>
    </row>
    <row r="316" spans="1:18" x14ac:dyDescent="0.2">
      <c r="A316" t="s">
        <v>687</v>
      </c>
      <c r="B316" t="s">
        <v>688</v>
      </c>
      <c r="C316" t="s">
        <v>31</v>
      </c>
      <c r="D316" t="s">
        <v>87</v>
      </c>
      <c r="E316" t="s">
        <v>60</v>
      </c>
      <c r="F316" t="s">
        <v>67</v>
      </c>
      <c r="G316" t="s">
        <v>68</v>
      </c>
      <c r="H316" t="s">
        <v>47</v>
      </c>
      <c r="I316" t="s">
        <v>54</v>
      </c>
      <c r="J316" t="s">
        <v>48</v>
      </c>
      <c r="K316" s="2">
        <v>46011</v>
      </c>
      <c r="L316" s="2">
        <v>46191</v>
      </c>
      <c r="M316" t="s">
        <v>38</v>
      </c>
      <c r="N316" t="s">
        <v>75</v>
      </c>
      <c r="O316">
        <v>2</v>
      </c>
      <c r="P316" t="s">
        <v>111</v>
      </c>
      <c r="Q316" s="2">
        <v>46364</v>
      </c>
      <c r="R316" t="s">
        <v>84</v>
      </c>
    </row>
    <row r="317" spans="1:18" x14ac:dyDescent="0.2">
      <c r="A317" t="s">
        <v>689</v>
      </c>
      <c r="B317" t="s">
        <v>690</v>
      </c>
      <c r="C317" t="s">
        <v>31</v>
      </c>
      <c r="D317" t="s">
        <v>32</v>
      </c>
      <c r="E317" t="s">
        <v>105</v>
      </c>
      <c r="F317" t="s">
        <v>45</v>
      </c>
      <c r="G317" t="s">
        <v>46</v>
      </c>
      <c r="H317" t="s">
        <v>88</v>
      </c>
      <c r="I317" t="s">
        <v>56</v>
      </c>
      <c r="J317" t="s">
        <v>48</v>
      </c>
      <c r="K317" s="2">
        <v>46167</v>
      </c>
      <c r="L317" s="2">
        <v>46257</v>
      </c>
      <c r="M317" t="s">
        <v>38</v>
      </c>
      <c r="N317" t="s">
        <v>55</v>
      </c>
      <c r="O317">
        <v>1</v>
      </c>
      <c r="P317" t="s">
        <v>62</v>
      </c>
      <c r="Q317" s="2">
        <v>46300</v>
      </c>
      <c r="R317" t="s">
        <v>84</v>
      </c>
    </row>
    <row r="318" spans="1:18" x14ac:dyDescent="0.2">
      <c r="A318" t="s">
        <v>691</v>
      </c>
      <c r="B318" t="s">
        <v>692</v>
      </c>
      <c r="C318" t="s">
        <v>31</v>
      </c>
      <c r="D318" t="s">
        <v>87</v>
      </c>
      <c r="E318" t="s">
        <v>80</v>
      </c>
      <c r="F318" t="s">
        <v>67</v>
      </c>
      <c r="G318" t="s">
        <v>68</v>
      </c>
      <c r="H318" t="s">
        <v>88</v>
      </c>
      <c r="I318" t="s">
        <v>111</v>
      </c>
      <c r="J318" t="s">
        <v>63</v>
      </c>
      <c r="K318" s="2">
        <v>46168</v>
      </c>
      <c r="L318" s="2">
        <v>46533</v>
      </c>
      <c r="M318" t="s">
        <v>64</v>
      </c>
      <c r="N318" t="s">
        <v>75</v>
      </c>
      <c r="O318">
        <v>0</v>
      </c>
      <c r="P318" t="s">
        <v>50</v>
      </c>
      <c r="Q318" s="2">
        <v>46239</v>
      </c>
      <c r="R318" t="s">
        <v>57</v>
      </c>
    </row>
    <row r="319" spans="1:18" x14ac:dyDescent="0.2">
      <c r="A319" t="s">
        <v>693</v>
      </c>
      <c r="B319" t="s">
        <v>694</v>
      </c>
      <c r="C319" t="s">
        <v>42</v>
      </c>
      <c r="D319" t="s">
        <v>43</v>
      </c>
      <c r="E319" t="s">
        <v>60</v>
      </c>
      <c r="F319" t="s">
        <v>45</v>
      </c>
      <c r="G319" t="s">
        <v>46</v>
      </c>
      <c r="H319" t="s">
        <v>47</v>
      </c>
      <c r="I319" t="s">
        <v>50</v>
      </c>
      <c r="J319" t="s">
        <v>48</v>
      </c>
      <c r="K319" s="2">
        <v>46143</v>
      </c>
      <c r="L319" s="2">
        <v>46233</v>
      </c>
      <c r="M319" t="s">
        <v>38</v>
      </c>
      <c r="N319" t="s">
        <v>49</v>
      </c>
      <c r="O319">
        <v>3</v>
      </c>
      <c r="P319" t="s">
        <v>111</v>
      </c>
      <c r="Q319" s="2">
        <v>46403</v>
      </c>
      <c r="R319" t="s">
        <v>84</v>
      </c>
    </row>
    <row r="320" spans="1:18" x14ac:dyDescent="0.2">
      <c r="A320" t="s">
        <v>695</v>
      </c>
      <c r="B320" t="s">
        <v>696</v>
      </c>
      <c r="C320" t="s">
        <v>73</v>
      </c>
      <c r="D320" t="s">
        <v>74</v>
      </c>
      <c r="E320" t="s">
        <v>80</v>
      </c>
      <c r="F320" t="s">
        <v>34</v>
      </c>
      <c r="G320" t="s">
        <v>35</v>
      </c>
      <c r="H320" t="s">
        <v>47</v>
      </c>
      <c r="I320" t="s">
        <v>62</v>
      </c>
      <c r="J320" t="s">
        <v>63</v>
      </c>
      <c r="K320" s="2">
        <v>45968</v>
      </c>
      <c r="L320" s="2">
        <v>46058</v>
      </c>
      <c r="M320" t="s">
        <v>38</v>
      </c>
      <c r="N320" t="s">
        <v>49</v>
      </c>
      <c r="O320">
        <v>1</v>
      </c>
      <c r="P320" t="s">
        <v>70</v>
      </c>
      <c r="Q320" s="2">
        <v>46376</v>
      </c>
      <c r="R320" t="s">
        <v>64</v>
      </c>
    </row>
    <row r="321" spans="1:18" x14ac:dyDescent="0.2">
      <c r="A321" t="s">
        <v>697</v>
      </c>
      <c r="B321" t="s">
        <v>698</v>
      </c>
      <c r="C321" t="s">
        <v>96</v>
      </c>
      <c r="D321" t="s">
        <v>97</v>
      </c>
      <c r="E321" t="s">
        <v>80</v>
      </c>
      <c r="F321" t="s">
        <v>45</v>
      </c>
      <c r="G321" t="s">
        <v>61</v>
      </c>
      <c r="H321" t="s">
        <v>47</v>
      </c>
      <c r="I321" t="s">
        <v>39</v>
      </c>
      <c r="J321" t="s">
        <v>63</v>
      </c>
      <c r="K321" s="2">
        <v>46172</v>
      </c>
      <c r="L321" s="2">
        <v>46537</v>
      </c>
      <c r="M321" t="s">
        <v>69</v>
      </c>
      <c r="N321" t="s">
        <v>55</v>
      </c>
      <c r="O321">
        <v>0</v>
      </c>
      <c r="P321" t="s">
        <v>39</v>
      </c>
      <c r="Q321" s="2">
        <v>46205</v>
      </c>
      <c r="R321" t="s">
        <v>57</v>
      </c>
    </row>
    <row r="322" spans="1:18" x14ac:dyDescent="0.2">
      <c r="A322" t="s">
        <v>699</v>
      </c>
      <c r="B322" t="s">
        <v>700</v>
      </c>
      <c r="C322" t="s">
        <v>78</v>
      </c>
      <c r="D322" t="s">
        <v>79</v>
      </c>
      <c r="E322" t="s">
        <v>105</v>
      </c>
      <c r="F322" t="s">
        <v>34</v>
      </c>
      <c r="G322" t="s">
        <v>35</v>
      </c>
      <c r="H322" t="s">
        <v>88</v>
      </c>
      <c r="I322" t="s">
        <v>50</v>
      </c>
      <c r="J322" t="s">
        <v>48</v>
      </c>
      <c r="K322" s="2">
        <v>45814</v>
      </c>
      <c r="L322" s="2">
        <v>46179</v>
      </c>
      <c r="M322" t="s">
        <v>38</v>
      </c>
      <c r="N322" t="s">
        <v>49</v>
      </c>
      <c r="O322">
        <v>0</v>
      </c>
      <c r="P322" t="s">
        <v>62</v>
      </c>
      <c r="Q322" s="2">
        <v>46335</v>
      </c>
      <c r="R322" t="s">
        <v>57</v>
      </c>
    </row>
    <row r="323" spans="1:18" x14ac:dyDescent="0.2">
      <c r="A323" t="s">
        <v>701</v>
      </c>
      <c r="B323" t="s">
        <v>702</v>
      </c>
      <c r="C323" t="s">
        <v>31</v>
      </c>
      <c r="D323" t="s">
        <v>32</v>
      </c>
      <c r="E323" t="s">
        <v>80</v>
      </c>
      <c r="F323" t="s">
        <v>45</v>
      </c>
      <c r="G323" t="s">
        <v>61</v>
      </c>
      <c r="H323" t="s">
        <v>88</v>
      </c>
      <c r="I323" t="s">
        <v>70</v>
      </c>
      <c r="J323" t="s">
        <v>63</v>
      </c>
      <c r="K323" s="2">
        <v>46058</v>
      </c>
      <c r="L323" s="2">
        <v>46148</v>
      </c>
      <c r="M323" t="s">
        <v>38</v>
      </c>
      <c r="N323" t="s">
        <v>75</v>
      </c>
      <c r="O323">
        <v>3</v>
      </c>
      <c r="P323" t="s">
        <v>62</v>
      </c>
      <c r="Q323" s="2">
        <v>46234</v>
      </c>
      <c r="R323" t="s">
        <v>38</v>
      </c>
    </row>
    <row r="324" spans="1:18" x14ac:dyDescent="0.2">
      <c r="A324" t="s">
        <v>703</v>
      </c>
      <c r="B324" t="s">
        <v>704</v>
      </c>
      <c r="C324" t="s">
        <v>73</v>
      </c>
      <c r="D324" t="s">
        <v>74</v>
      </c>
      <c r="E324" t="s">
        <v>105</v>
      </c>
      <c r="F324" t="s">
        <v>67</v>
      </c>
      <c r="G324" t="s">
        <v>68</v>
      </c>
      <c r="H324" t="s">
        <v>36</v>
      </c>
      <c r="I324" t="s">
        <v>39</v>
      </c>
      <c r="J324" t="s">
        <v>37</v>
      </c>
      <c r="K324" s="2">
        <v>45980</v>
      </c>
      <c r="L324" s="2">
        <v>46345</v>
      </c>
      <c r="M324" t="s">
        <v>64</v>
      </c>
      <c r="N324" t="s">
        <v>55</v>
      </c>
      <c r="O324">
        <v>3</v>
      </c>
      <c r="P324" t="s">
        <v>70</v>
      </c>
      <c r="Q324" s="2">
        <v>46220</v>
      </c>
      <c r="R324" t="s">
        <v>38</v>
      </c>
    </row>
    <row r="325" spans="1:18" x14ac:dyDescent="0.2">
      <c r="A325" t="s">
        <v>705</v>
      </c>
      <c r="B325" t="s">
        <v>706</v>
      </c>
      <c r="C325" t="s">
        <v>78</v>
      </c>
      <c r="D325" t="s">
        <v>79</v>
      </c>
      <c r="E325" t="s">
        <v>91</v>
      </c>
      <c r="F325" t="s">
        <v>45</v>
      </c>
      <c r="G325" t="s">
        <v>61</v>
      </c>
      <c r="H325" t="s">
        <v>88</v>
      </c>
      <c r="I325" t="s">
        <v>56</v>
      </c>
      <c r="J325" t="s">
        <v>48</v>
      </c>
      <c r="K325" s="2">
        <v>45838</v>
      </c>
      <c r="L325" s="2">
        <v>46203</v>
      </c>
      <c r="M325" t="s">
        <v>38</v>
      </c>
      <c r="N325" t="s">
        <v>75</v>
      </c>
      <c r="O325">
        <v>2</v>
      </c>
      <c r="P325" t="s">
        <v>62</v>
      </c>
      <c r="Q325" s="2">
        <v>46256</v>
      </c>
      <c r="R325" t="s">
        <v>38</v>
      </c>
    </row>
    <row r="326" spans="1:18" x14ac:dyDescent="0.2">
      <c r="A326" t="s">
        <v>707</v>
      </c>
      <c r="B326" t="s">
        <v>708</v>
      </c>
      <c r="C326" t="s">
        <v>96</v>
      </c>
      <c r="D326" t="s">
        <v>97</v>
      </c>
      <c r="E326" t="s">
        <v>44</v>
      </c>
      <c r="F326" t="s">
        <v>34</v>
      </c>
      <c r="G326" t="s">
        <v>35</v>
      </c>
      <c r="H326" t="s">
        <v>88</v>
      </c>
      <c r="I326" t="s">
        <v>111</v>
      </c>
      <c r="J326" t="s">
        <v>63</v>
      </c>
      <c r="K326" s="2">
        <v>46146</v>
      </c>
      <c r="L326" s="2">
        <v>46326</v>
      </c>
      <c r="M326" t="s">
        <v>69</v>
      </c>
      <c r="N326" t="s">
        <v>49</v>
      </c>
      <c r="O326">
        <v>1</v>
      </c>
      <c r="P326" t="s">
        <v>50</v>
      </c>
      <c r="Q326" s="2">
        <v>46175</v>
      </c>
      <c r="R326" t="s">
        <v>38</v>
      </c>
    </row>
    <row r="327" spans="1:18" x14ac:dyDescent="0.2">
      <c r="A327" t="s">
        <v>709</v>
      </c>
      <c r="B327" t="s">
        <v>710</v>
      </c>
      <c r="C327" t="s">
        <v>78</v>
      </c>
      <c r="D327" t="s">
        <v>79</v>
      </c>
      <c r="E327" t="s">
        <v>60</v>
      </c>
      <c r="F327" t="s">
        <v>45</v>
      </c>
      <c r="G327" t="s">
        <v>46</v>
      </c>
      <c r="H327" t="s">
        <v>88</v>
      </c>
      <c r="I327" t="s">
        <v>106</v>
      </c>
      <c r="J327" t="s">
        <v>48</v>
      </c>
      <c r="K327" s="2">
        <v>45865</v>
      </c>
      <c r="L327" s="2">
        <v>46230</v>
      </c>
      <c r="M327" t="s">
        <v>38</v>
      </c>
      <c r="N327" t="s">
        <v>49</v>
      </c>
      <c r="O327">
        <v>0</v>
      </c>
      <c r="P327" t="s">
        <v>70</v>
      </c>
      <c r="Q327" s="2">
        <v>46197</v>
      </c>
      <c r="R327" t="s">
        <v>57</v>
      </c>
    </row>
    <row r="328" spans="1:18" x14ac:dyDescent="0.2">
      <c r="A328" t="s">
        <v>711</v>
      </c>
      <c r="B328" t="s">
        <v>712</v>
      </c>
      <c r="C328" t="s">
        <v>78</v>
      </c>
      <c r="D328" t="s">
        <v>79</v>
      </c>
      <c r="E328" t="s">
        <v>60</v>
      </c>
      <c r="F328" t="s">
        <v>45</v>
      </c>
      <c r="G328" t="s">
        <v>61</v>
      </c>
      <c r="H328" t="s">
        <v>88</v>
      </c>
      <c r="I328" t="s">
        <v>70</v>
      </c>
      <c r="J328" t="s">
        <v>63</v>
      </c>
      <c r="K328" s="2">
        <v>46141</v>
      </c>
      <c r="L328" s="2">
        <v>46231</v>
      </c>
      <c r="M328" t="s">
        <v>38</v>
      </c>
      <c r="N328" t="s">
        <v>75</v>
      </c>
      <c r="O328">
        <v>0</v>
      </c>
      <c r="P328" t="s">
        <v>56</v>
      </c>
      <c r="Q328" s="2">
        <v>46134</v>
      </c>
      <c r="R328" t="s">
        <v>57</v>
      </c>
    </row>
    <row r="329" spans="1:18" x14ac:dyDescent="0.2">
      <c r="A329" t="s">
        <v>713</v>
      </c>
      <c r="B329" t="s">
        <v>714</v>
      </c>
      <c r="C329" t="s">
        <v>103</v>
      </c>
      <c r="D329" t="s">
        <v>104</v>
      </c>
      <c r="E329" t="s">
        <v>44</v>
      </c>
      <c r="F329" t="s">
        <v>34</v>
      </c>
      <c r="G329" t="s">
        <v>35</v>
      </c>
      <c r="H329" t="s">
        <v>88</v>
      </c>
      <c r="I329" t="s">
        <v>111</v>
      </c>
      <c r="J329" t="s">
        <v>48</v>
      </c>
      <c r="K329" s="2">
        <v>46270</v>
      </c>
      <c r="L329" s="2">
        <v>46360</v>
      </c>
      <c r="M329" t="s">
        <v>69</v>
      </c>
      <c r="N329" t="s">
        <v>55</v>
      </c>
      <c r="O329">
        <v>0</v>
      </c>
      <c r="P329" t="s">
        <v>39</v>
      </c>
      <c r="Q329" s="2">
        <v>46376</v>
      </c>
      <c r="R329" t="s">
        <v>57</v>
      </c>
    </row>
    <row r="330" spans="1:18" x14ac:dyDescent="0.2">
      <c r="A330" t="s">
        <v>715</v>
      </c>
      <c r="B330" t="s">
        <v>716</v>
      </c>
      <c r="C330" t="s">
        <v>31</v>
      </c>
      <c r="D330" t="s">
        <v>87</v>
      </c>
      <c r="E330" t="s">
        <v>91</v>
      </c>
      <c r="F330" t="s">
        <v>67</v>
      </c>
      <c r="G330" t="s">
        <v>68</v>
      </c>
      <c r="H330" t="s">
        <v>47</v>
      </c>
      <c r="I330" t="s">
        <v>50</v>
      </c>
      <c r="J330" t="s">
        <v>63</v>
      </c>
      <c r="K330" s="2">
        <v>46231</v>
      </c>
      <c r="L330" s="2">
        <v>46411</v>
      </c>
      <c r="M330" t="s">
        <v>69</v>
      </c>
      <c r="N330" t="s">
        <v>49</v>
      </c>
      <c r="O330">
        <v>3</v>
      </c>
      <c r="P330" t="s">
        <v>70</v>
      </c>
      <c r="Q330" s="2">
        <v>46322</v>
      </c>
      <c r="R330" t="s">
        <v>84</v>
      </c>
    </row>
    <row r="331" spans="1:18" x14ac:dyDescent="0.2">
      <c r="A331" t="s">
        <v>717</v>
      </c>
      <c r="B331" t="s">
        <v>718</v>
      </c>
      <c r="C331" t="s">
        <v>78</v>
      </c>
      <c r="D331" t="s">
        <v>79</v>
      </c>
      <c r="E331" t="s">
        <v>91</v>
      </c>
      <c r="F331" t="s">
        <v>45</v>
      </c>
      <c r="G331" t="s">
        <v>61</v>
      </c>
      <c r="H331" t="s">
        <v>36</v>
      </c>
      <c r="I331" t="s">
        <v>106</v>
      </c>
      <c r="J331" t="s">
        <v>48</v>
      </c>
      <c r="K331" s="2">
        <v>46098</v>
      </c>
      <c r="L331" s="2">
        <v>46278</v>
      </c>
      <c r="M331" t="s">
        <v>38</v>
      </c>
      <c r="N331" t="s">
        <v>55</v>
      </c>
      <c r="O331">
        <v>4</v>
      </c>
      <c r="P331" t="s">
        <v>56</v>
      </c>
      <c r="Q331" s="2">
        <v>46214</v>
      </c>
      <c r="R331" t="s">
        <v>38</v>
      </c>
    </row>
    <row r="332" spans="1:18" x14ac:dyDescent="0.2">
      <c r="A332" t="s">
        <v>719</v>
      </c>
      <c r="B332" t="s">
        <v>720</v>
      </c>
      <c r="C332" t="s">
        <v>42</v>
      </c>
      <c r="D332" t="s">
        <v>43</v>
      </c>
      <c r="E332" t="s">
        <v>60</v>
      </c>
      <c r="F332" t="s">
        <v>45</v>
      </c>
      <c r="G332" t="s">
        <v>61</v>
      </c>
      <c r="H332" t="s">
        <v>47</v>
      </c>
      <c r="I332" t="s">
        <v>70</v>
      </c>
      <c r="J332" t="s">
        <v>63</v>
      </c>
      <c r="K332" s="2">
        <v>46018</v>
      </c>
      <c r="L332" s="2">
        <v>46198</v>
      </c>
      <c r="M332" t="s">
        <v>38</v>
      </c>
      <c r="N332" t="s">
        <v>75</v>
      </c>
      <c r="O332">
        <v>0</v>
      </c>
      <c r="P332" t="s">
        <v>56</v>
      </c>
      <c r="Q332" s="2">
        <v>46377</v>
      </c>
      <c r="R332" t="s">
        <v>57</v>
      </c>
    </row>
    <row r="333" spans="1:18" x14ac:dyDescent="0.2">
      <c r="A333" t="s">
        <v>721</v>
      </c>
      <c r="B333" t="s">
        <v>722</v>
      </c>
      <c r="C333" t="s">
        <v>96</v>
      </c>
      <c r="D333" t="s">
        <v>97</v>
      </c>
      <c r="E333" t="s">
        <v>80</v>
      </c>
      <c r="F333" t="s">
        <v>34</v>
      </c>
      <c r="G333" t="s">
        <v>35</v>
      </c>
      <c r="H333" t="s">
        <v>88</v>
      </c>
      <c r="I333" t="s">
        <v>54</v>
      </c>
      <c r="J333" t="s">
        <v>37</v>
      </c>
      <c r="K333" s="2">
        <v>45888</v>
      </c>
      <c r="L333" s="2">
        <v>46068</v>
      </c>
      <c r="M333" t="s">
        <v>38</v>
      </c>
      <c r="N333" t="s">
        <v>75</v>
      </c>
      <c r="O333">
        <v>3</v>
      </c>
      <c r="P333" t="s">
        <v>70</v>
      </c>
      <c r="Q333" s="2">
        <v>46415</v>
      </c>
      <c r="R333" t="s">
        <v>84</v>
      </c>
    </row>
    <row r="334" spans="1:18" x14ac:dyDescent="0.2">
      <c r="A334" t="s">
        <v>723</v>
      </c>
      <c r="B334" t="s">
        <v>724</v>
      </c>
      <c r="C334" t="s">
        <v>42</v>
      </c>
      <c r="D334" t="s">
        <v>43</v>
      </c>
      <c r="E334" t="s">
        <v>91</v>
      </c>
      <c r="F334" t="s">
        <v>67</v>
      </c>
      <c r="G334" t="s">
        <v>68</v>
      </c>
      <c r="H334" t="s">
        <v>36</v>
      </c>
      <c r="J334" t="s">
        <v>37</v>
      </c>
      <c r="K334" s="2">
        <v>45866</v>
      </c>
      <c r="L334" s="2">
        <v>46046</v>
      </c>
      <c r="M334" t="s">
        <v>38</v>
      </c>
      <c r="N334" t="s">
        <v>75</v>
      </c>
      <c r="O334">
        <v>2</v>
      </c>
      <c r="P334" t="s">
        <v>70</v>
      </c>
      <c r="Q334" s="2">
        <v>46379</v>
      </c>
      <c r="R334" t="s">
        <v>84</v>
      </c>
    </row>
    <row r="335" spans="1:18" x14ac:dyDescent="0.2">
      <c r="A335" t="s">
        <v>725</v>
      </c>
      <c r="B335" t="s">
        <v>726</v>
      </c>
      <c r="C335" t="s">
        <v>103</v>
      </c>
      <c r="D335" t="s">
        <v>104</v>
      </c>
      <c r="E335" t="s">
        <v>105</v>
      </c>
      <c r="F335" t="s">
        <v>67</v>
      </c>
      <c r="G335" t="s">
        <v>118</v>
      </c>
      <c r="H335" t="s">
        <v>88</v>
      </c>
      <c r="I335" t="s">
        <v>50</v>
      </c>
      <c r="J335" t="s">
        <v>63</v>
      </c>
      <c r="K335" s="2">
        <v>46032</v>
      </c>
      <c r="L335" s="2">
        <v>46212</v>
      </c>
      <c r="M335" t="s">
        <v>38</v>
      </c>
      <c r="N335" t="s">
        <v>75</v>
      </c>
      <c r="O335">
        <v>1</v>
      </c>
      <c r="P335" t="s">
        <v>54</v>
      </c>
      <c r="Q335" s="2">
        <v>46408</v>
      </c>
      <c r="R335" t="s">
        <v>64</v>
      </c>
    </row>
    <row r="336" spans="1:18" x14ac:dyDescent="0.2">
      <c r="A336" t="s">
        <v>727</v>
      </c>
      <c r="B336" t="s">
        <v>728</v>
      </c>
      <c r="C336" t="s">
        <v>31</v>
      </c>
      <c r="D336" t="s">
        <v>32</v>
      </c>
      <c r="E336" t="s">
        <v>53</v>
      </c>
      <c r="F336" t="s">
        <v>45</v>
      </c>
      <c r="G336" t="s">
        <v>46</v>
      </c>
      <c r="H336" t="s">
        <v>47</v>
      </c>
      <c r="I336" t="s">
        <v>54</v>
      </c>
      <c r="J336" t="s">
        <v>63</v>
      </c>
      <c r="K336" s="2">
        <v>45848</v>
      </c>
      <c r="L336" s="2">
        <v>45938</v>
      </c>
      <c r="M336" t="s">
        <v>38</v>
      </c>
      <c r="N336" t="s">
        <v>49</v>
      </c>
      <c r="O336">
        <v>2</v>
      </c>
      <c r="P336" t="s">
        <v>111</v>
      </c>
      <c r="Q336" s="2">
        <v>46194</v>
      </c>
      <c r="R336" t="s">
        <v>38</v>
      </c>
    </row>
    <row r="337" spans="1:18" x14ac:dyDescent="0.2">
      <c r="A337" t="s">
        <v>729</v>
      </c>
      <c r="B337" t="s">
        <v>730</v>
      </c>
      <c r="C337" t="s">
        <v>42</v>
      </c>
      <c r="D337" t="s">
        <v>43</v>
      </c>
      <c r="E337" t="s">
        <v>60</v>
      </c>
      <c r="F337" t="s">
        <v>34</v>
      </c>
      <c r="G337" t="s">
        <v>35</v>
      </c>
      <c r="H337" t="s">
        <v>98</v>
      </c>
      <c r="I337" t="s">
        <v>111</v>
      </c>
      <c r="J337" t="s">
        <v>48</v>
      </c>
      <c r="K337" s="2">
        <v>46085</v>
      </c>
      <c r="L337" s="2">
        <v>46450</v>
      </c>
      <c r="M337" t="s">
        <v>64</v>
      </c>
      <c r="O337">
        <v>4</v>
      </c>
      <c r="P337" t="s">
        <v>50</v>
      </c>
      <c r="Q337" s="2">
        <v>46255</v>
      </c>
      <c r="R337" t="s">
        <v>38</v>
      </c>
    </row>
    <row r="338" spans="1:18" x14ac:dyDescent="0.2">
      <c r="A338" t="s">
        <v>731</v>
      </c>
      <c r="B338" t="s">
        <v>732</v>
      </c>
      <c r="C338" t="s">
        <v>31</v>
      </c>
      <c r="D338" t="s">
        <v>32</v>
      </c>
      <c r="E338" t="s">
        <v>80</v>
      </c>
      <c r="F338" t="s">
        <v>45</v>
      </c>
      <c r="G338" t="s">
        <v>61</v>
      </c>
      <c r="H338" t="s">
        <v>98</v>
      </c>
      <c r="I338" t="s">
        <v>39</v>
      </c>
      <c r="J338" t="s">
        <v>63</v>
      </c>
      <c r="K338" s="2">
        <v>46018</v>
      </c>
      <c r="L338" s="2">
        <v>46198</v>
      </c>
      <c r="M338" t="s">
        <v>38</v>
      </c>
      <c r="N338" t="s">
        <v>75</v>
      </c>
      <c r="O338">
        <v>5</v>
      </c>
      <c r="P338" t="s">
        <v>111</v>
      </c>
      <c r="Q338" s="2">
        <v>46204</v>
      </c>
      <c r="R338" t="s">
        <v>38</v>
      </c>
    </row>
    <row r="339" spans="1:18" x14ac:dyDescent="0.2">
      <c r="A339" t="s">
        <v>733</v>
      </c>
      <c r="B339" t="s">
        <v>734</v>
      </c>
      <c r="C339" t="s">
        <v>42</v>
      </c>
      <c r="D339" t="s">
        <v>43</v>
      </c>
      <c r="E339" t="s">
        <v>105</v>
      </c>
      <c r="F339" t="s">
        <v>67</v>
      </c>
      <c r="G339" t="s">
        <v>68</v>
      </c>
      <c r="H339" t="s">
        <v>88</v>
      </c>
      <c r="I339" t="s">
        <v>62</v>
      </c>
      <c r="J339" t="s">
        <v>37</v>
      </c>
      <c r="K339" s="2">
        <v>45978</v>
      </c>
      <c r="L339" s="2">
        <v>46068</v>
      </c>
      <c r="M339" t="s">
        <v>38</v>
      </c>
      <c r="N339" t="s">
        <v>75</v>
      </c>
      <c r="O339">
        <v>2</v>
      </c>
      <c r="P339" t="s">
        <v>111</v>
      </c>
      <c r="Q339" s="2">
        <v>46247</v>
      </c>
      <c r="R339" t="s">
        <v>64</v>
      </c>
    </row>
    <row r="340" spans="1:18" x14ac:dyDescent="0.2">
      <c r="A340" t="s">
        <v>735</v>
      </c>
      <c r="B340" t="s">
        <v>736</v>
      </c>
      <c r="C340" t="s">
        <v>31</v>
      </c>
      <c r="D340" t="s">
        <v>83</v>
      </c>
      <c r="E340" t="s">
        <v>53</v>
      </c>
      <c r="F340" t="s">
        <v>34</v>
      </c>
      <c r="G340" t="s">
        <v>35</v>
      </c>
      <c r="H340" t="s">
        <v>47</v>
      </c>
      <c r="I340" t="s">
        <v>62</v>
      </c>
      <c r="J340" t="s">
        <v>63</v>
      </c>
      <c r="K340" s="2">
        <v>46168</v>
      </c>
      <c r="L340" s="2">
        <v>46348</v>
      </c>
      <c r="M340" t="s">
        <v>69</v>
      </c>
      <c r="N340" t="s">
        <v>75</v>
      </c>
      <c r="O340">
        <v>3</v>
      </c>
      <c r="P340" t="s">
        <v>54</v>
      </c>
      <c r="Q340" s="2">
        <v>46258</v>
      </c>
      <c r="R340" t="s">
        <v>38</v>
      </c>
    </row>
    <row r="341" spans="1:18" x14ac:dyDescent="0.2">
      <c r="A341" t="s">
        <v>737</v>
      </c>
      <c r="B341" t="s">
        <v>738</v>
      </c>
      <c r="C341" t="s">
        <v>31</v>
      </c>
      <c r="D341" t="s">
        <v>83</v>
      </c>
      <c r="E341" t="s">
        <v>44</v>
      </c>
      <c r="F341" t="s">
        <v>45</v>
      </c>
      <c r="G341" t="s">
        <v>61</v>
      </c>
      <c r="H341" t="s">
        <v>88</v>
      </c>
      <c r="I341" t="s">
        <v>62</v>
      </c>
      <c r="J341" t="s">
        <v>37</v>
      </c>
      <c r="K341" s="2">
        <v>46175</v>
      </c>
      <c r="L341" s="2">
        <v>46265</v>
      </c>
      <c r="M341" t="s">
        <v>38</v>
      </c>
      <c r="N341" t="s">
        <v>49</v>
      </c>
      <c r="O341">
        <v>1</v>
      </c>
      <c r="P341" t="s">
        <v>50</v>
      </c>
      <c r="Q341" s="2">
        <v>46357</v>
      </c>
      <c r="R341" t="s">
        <v>84</v>
      </c>
    </row>
    <row r="342" spans="1:18" x14ac:dyDescent="0.2">
      <c r="A342" t="s">
        <v>739</v>
      </c>
      <c r="B342" t="s">
        <v>740</v>
      </c>
      <c r="C342" t="s">
        <v>42</v>
      </c>
      <c r="D342" t="s">
        <v>43</v>
      </c>
      <c r="E342" t="s">
        <v>80</v>
      </c>
      <c r="F342" t="s">
        <v>34</v>
      </c>
      <c r="G342" t="s">
        <v>35</v>
      </c>
      <c r="H342" t="s">
        <v>88</v>
      </c>
      <c r="I342" t="s">
        <v>39</v>
      </c>
      <c r="J342" t="s">
        <v>63</v>
      </c>
      <c r="K342" s="2">
        <v>46072</v>
      </c>
      <c r="L342" s="2">
        <v>46162</v>
      </c>
      <c r="M342" t="s">
        <v>38</v>
      </c>
      <c r="N342" t="s">
        <v>49</v>
      </c>
      <c r="O342">
        <v>1</v>
      </c>
      <c r="P342" t="s">
        <v>70</v>
      </c>
      <c r="Q342" s="2">
        <v>46145</v>
      </c>
      <c r="R342" t="s">
        <v>64</v>
      </c>
    </row>
    <row r="343" spans="1:18" x14ac:dyDescent="0.2">
      <c r="A343" t="s">
        <v>741</v>
      </c>
      <c r="B343" t="s">
        <v>742</v>
      </c>
      <c r="C343" t="s">
        <v>103</v>
      </c>
      <c r="D343" t="s">
        <v>104</v>
      </c>
      <c r="E343" t="s">
        <v>53</v>
      </c>
      <c r="F343" t="s">
        <v>67</v>
      </c>
      <c r="G343" t="s">
        <v>118</v>
      </c>
      <c r="H343" t="s">
        <v>88</v>
      </c>
      <c r="I343" t="s">
        <v>56</v>
      </c>
      <c r="J343" t="s">
        <v>63</v>
      </c>
      <c r="K343" s="2">
        <v>46099</v>
      </c>
      <c r="L343" s="2">
        <v>46189</v>
      </c>
      <c r="M343" t="s">
        <v>38</v>
      </c>
      <c r="N343" t="s">
        <v>75</v>
      </c>
      <c r="O343">
        <v>0</v>
      </c>
      <c r="P343" t="s">
        <v>50</v>
      </c>
      <c r="Q343" s="2">
        <v>46294</v>
      </c>
      <c r="R343" t="s">
        <v>57</v>
      </c>
    </row>
    <row r="344" spans="1:18" x14ac:dyDescent="0.2">
      <c r="A344" t="s">
        <v>743</v>
      </c>
      <c r="B344" t="s">
        <v>744</v>
      </c>
      <c r="C344" t="s">
        <v>42</v>
      </c>
      <c r="D344" t="s">
        <v>43</v>
      </c>
      <c r="E344" t="s">
        <v>53</v>
      </c>
      <c r="F344" t="s">
        <v>67</v>
      </c>
      <c r="G344" t="s">
        <v>118</v>
      </c>
      <c r="H344" t="s">
        <v>88</v>
      </c>
      <c r="I344" t="s">
        <v>111</v>
      </c>
      <c r="J344" t="s">
        <v>63</v>
      </c>
      <c r="K344" s="2">
        <v>45879</v>
      </c>
      <c r="L344" s="2">
        <v>46244</v>
      </c>
      <c r="M344" t="s">
        <v>38</v>
      </c>
      <c r="N344" t="s">
        <v>75</v>
      </c>
      <c r="O344">
        <v>0</v>
      </c>
      <c r="P344" t="s">
        <v>50</v>
      </c>
      <c r="Q344" s="2">
        <v>46310</v>
      </c>
      <c r="R344" t="s">
        <v>57</v>
      </c>
    </row>
    <row r="345" spans="1:18" x14ac:dyDescent="0.2">
      <c r="A345" t="s">
        <v>745</v>
      </c>
      <c r="B345" t="s">
        <v>746</v>
      </c>
      <c r="C345" t="s">
        <v>73</v>
      </c>
      <c r="D345" t="s">
        <v>74</v>
      </c>
      <c r="E345" t="s">
        <v>80</v>
      </c>
      <c r="F345" t="s">
        <v>45</v>
      </c>
      <c r="G345" t="s">
        <v>61</v>
      </c>
      <c r="H345" t="s">
        <v>88</v>
      </c>
      <c r="I345" t="s">
        <v>62</v>
      </c>
      <c r="J345" t="s">
        <v>37</v>
      </c>
      <c r="K345" s="2">
        <v>45841</v>
      </c>
      <c r="L345" s="2">
        <v>45931</v>
      </c>
      <c r="M345" t="s">
        <v>38</v>
      </c>
      <c r="N345" t="s">
        <v>55</v>
      </c>
      <c r="O345">
        <v>1</v>
      </c>
      <c r="P345" t="s">
        <v>56</v>
      </c>
      <c r="Q345" s="2">
        <v>46290</v>
      </c>
      <c r="R345" t="s">
        <v>64</v>
      </c>
    </row>
    <row r="346" spans="1:18" x14ac:dyDescent="0.2">
      <c r="A346" t="s">
        <v>747</v>
      </c>
      <c r="B346" t="s">
        <v>748</v>
      </c>
      <c r="C346" t="s">
        <v>31</v>
      </c>
      <c r="D346" t="s">
        <v>87</v>
      </c>
      <c r="E346" t="s">
        <v>53</v>
      </c>
      <c r="F346" t="s">
        <v>34</v>
      </c>
      <c r="G346" t="s">
        <v>35</v>
      </c>
      <c r="H346" t="s">
        <v>36</v>
      </c>
      <c r="I346" t="s">
        <v>106</v>
      </c>
      <c r="J346" t="s">
        <v>63</v>
      </c>
      <c r="K346" s="2">
        <v>45893</v>
      </c>
      <c r="L346" s="2">
        <v>46258</v>
      </c>
      <c r="M346" t="s">
        <v>38</v>
      </c>
      <c r="N346" t="s">
        <v>49</v>
      </c>
      <c r="O346">
        <v>3</v>
      </c>
      <c r="P346" t="s">
        <v>54</v>
      </c>
      <c r="Q346" s="2">
        <v>46326</v>
      </c>
      <c r="R346" t="s">
        <v>64</v>
      </c>
    </row>
    <row r="347" spans="1:18" x14ac:dyDescent="0.2">
      <c r="A347" t="s">
        <v>749</v>
      </c>
      <c r="B347" t="s">
        <v>750</v>
      </c>
      <c r="C347" t="s">
        <v>31</v>
      </c>
      <c r="D347" t="s">
        <v>32</v>
      </c>
      <c r="E347" t="s">
        <v>91</v>
      </c>
      <c r="F347" t="s">
        <v>34</v>
      </c>
      <c r="G347" t="s">
        <v>35</v>
      </c>
      <c r="H347" t="s">
        <v>36</v>
      </c>
      <c r="I347" t="s">
        <v>70</v>
      </c>
      <c r="J347" t="s">
        <v>63</v>
      </c>
      <c r="K347" s="2">
        <v>46168</v>
      </c>
      <c r="L347" s="2">
        <v>46258</v>
      </c>
      <c r="M347" t="s">
        <v>38</v>
      </c>
      <c r="N347" t="s">
        <v>75</v>
      </c>
      <c r="O347">
        <v>0</v>
      </c>
      <c r="P347" t="s">
        <v>39</v>
      </c>
      <c r="Q347" s="2">
        <v>46163</v>
      </c>
      <c r="R347" t="s">
        <v>57</v>
      </c>
    </row>
    <row r="348" spans="1:18" x14ac:dyDescent="0.2">
      <c r="A348" t="s">
        <v>751</v>
      </c>
      <c r="B348" t="s">
        <v>752</v>
      </c>
      <c r="C348" t="s">
        <v>42</v>
      </c>
      <c r="D348" t="s">
        <v>43</v>
      </c>
      <c r="E348" t="s">
        <v>60</v>
      </c>
      <c r="F348" t="s">
        <v>45</v>
      </c>
      <c r="G348" t="s">
        <v>61</v>
      </c>
      <c r="H348" t="s">
        <v>36</v>
      </c>
      <c r="I348" t="s">
        <v>70</v>
      </c>
      <c r="J348" t="s">
        <v>63</v>
      </c>
      <c r="K348" s="2">
        <v>46222</v>
      </c>
      <c r="L348" s="2">
        <v>46402</v>
      </c>
      <c r="M348" t="s">
        <v>84</v>
      </c>
      <c r="N348" t="s">
        <v>49</v>
      </c>
      <c r="O348">
        <v>3</v>
      </c>
      <c r="P348" t="s">
        <v>50</v>
      </c>
      <c r="Q348" s="2">
        <v>46273</v>
      </c>
      <c r="R348" t="s">
        <v>64</v>
      </c>
    </row>
    <row r="349" spans="1:18" x14ac:dyDescent="0.2">
      <c r="A349" t="s">
        <v>753</v>
      </c>
      <c r="B349" t="s">
        <v>754</v>
      </c>
      <c r="C349" t="s">
        <v>96</v>
      </c>
      <c r="D349" t="s">
        <v>97</v>
      </c>
      <c r="E349" t="s">
        <v>105</v>
      </c>
      <c r="F349" t="s">
        <v>45</v>
      </c>
      <c r="G349" t="s">
        <v>46</v>
      </c>
      <c r="H349" t="s">
        <v>47</v>
      </c>
      <c r="I349" t="s">
        <v>106</v>
      </c>
      <c r="J349" t="s">
        <v>63</v>
      </c>
      <c r="K349" s="2">
        <v>45835</v>
      </c>
      <c r="L349" s="2">
        <v>46015</v>
      </c>
      <c r="M349" t="s">
        <v>38</v>
      </c>
      <c r="N349" t="s">
        <v>75</v>
      </c>
      <c r="O349">
        <v>3</v>
      </c>
      <c r="P349" t="s">
        <v>50</v>
      </c>
      <c r="Q349" s="2">
        <v>46391</v>
      </c>
      <c r="R349" t="s">
        <v>84</v>
      </c>
    </row>
    <row r="350" spans="1:18" x14ac:dyDescent="0.2">
      <c r="A350" t="s">
        <v>755</v>
      </c>
      <c r="B350" t="s">
        <v>756</v>
      </c>
      <c r="C350" t="s">
        <v>31</v>
      </c>
      <c r="D350" t="s">
        <v>32</v>
      </c>
      <c r="E350" t="s">
        <v>91</v>
      </c>
      <c r="F350" t="s">
        <v>34</v>
      </c>
      <c r="G350" t="s">
        <v>35</v>
      </c>
      <c r="H350" t="s">
        <v>36</v>
      </c>
      <c r="I350" t="s">
        <v>62</v>
      </c>
      <c r="J350" t="s">
        <v>37</v>
      </c>
      <c r="K350" s="2">
        <v>46007</v>
      </c>
      <c r="L350" s="2">
        <v>46372</v>
      </c>
      <c r="M350" t="s">
        <v>69</v>
      </c>
      <c r="N350" t="s">
        <v>75</v>
      </c>
      <c r="O350">
        <v>3</v>
      </c>
      <c r="P350" t="s">
        <v>106</v>
      </c>
      <c r="Q350" s="2">
        <v>46391</v>
      </c>
      <c r="R350" t="s">
        <v>64</v>
      </c>
    </row>
    <row r="351" spans="1:18" x14ac:dyDescent="0.2">
      <c r="A351" t="s">
        <v>757</v>
      </c>
      <c r="B351" t="s">
        <v>758</v>
      </c>
      <c r="C351" t="s">
        <v>96</v>
      </c>
      <c r="D351" t="s">
        <v>97</v>
      </c>
      <c r="E351" t="s">
        <v>44</v>
      </c>
      <c r="F351" t="s">
        <v>67</v>
      </c>
      <c r="G351" t="s">
        <v>118</v>
      </c>
      <c r="H351" t="s">
        <v>88</v>
      </c>
      <c r="I351" t="s">
        <v>39</v>
      </c>
      <c r="J351" t="s">
        <v>37</v>
      </c>
      <c r="K351" s="2">
        <v>46008</v>
      </c>
      <c r="L351" s="2">
        <v>46098</v>
      </c>
      <c r="M351" t="s">
        <v>38</v>
      </c>
      <c r="N351" t="s">
        <v>75</v>
      </c>
      <c r="O351">
        <v>2</v>
      </c>
      <c r="P351" t="s">
        <v>56</v>
      </c>
      <c r="Q351" s="2">
        <v>46355</v>
      </c>
      <c r="R351" t="s">
        <v>84</v>
      </c>
    </row>
    <row r="352" spans="1:18" x14ac:dyDescent="0.2">
      <c r="A352" t="s">
        <v>759</v>
      </c>
      <c r="B352" t="s">
        <v>760</v>
      </c>
      <c r="C352" t="s">
        <v>103</v>
      </c>
      <c r="D352" t="s">
        <v>104</v>
      </c>
      <c r="E352" t="s">
        <v>53</v>
      </c>
      <c r="F352" t="s">
        <v>45</v>
      </c>
      <c r="G352" t="s">
        <v>61</v>
      </c>
      <c r="H352" t="s">
        <v>88</v>
      </c>
      <c r="I352" t="s">
        <v>39</v>
      </c>
      <c r="J352" t="s">
        <v>63</v>
      </c>
      <c r="K352" s="2">
        <v>45995</v>
      </c>
      <c r="L352" s="2">
        <v>46175</v>
      </c>
      <c r="M352" t="s">
        <v>38</v>
      </c>
      <c r="N352" t="s">
        <v>55</v>
      </c>
      <c r="O352">
        <v>3</v>
      </c>
      <c r="P352" t="s">
        <v>62</v>
      </c>
      <c r="Q352" s="2">
        <v>46402</v>
      </c>
      <c r="R352" t="s">
        <v>84</v>
      </c>
    </row>
    <row r="353" spans="1:18" x14ac:dyDescent="0.2">
      <c r="A353" t="s">
        <v>761</v>
      </c>
      <c r="B353" t="s">
        <v>762</v>
      </c>
      <c r="C353" t="s">
        <v>31</v>
      </c>
      <c r="D353" t="s">
        <v>32</v>
      </c>
      <c r="E353" t="s">
        <v>53</v>
      </c>
      <c r="F353" t="s">
        <v>67</v>
      </c>
      <c r="G353" t="s">
        <v>68</v>
      </c>
      <c r="H353" t="s">
        <v>47</v>
      </c>
      <c r="I353" t="s">
        <v>54</v>
      </c>
      <c r="J353" t="s">
        <v>48</v>
      </c>
      <c r="K353" s="2">
        <v>46011</v>
      </c>
      <c r="L353" s="2">
        <v>46376</v>
      </c>
      <c r="M353" t="s">
        <v>69</v>
      </c>
      <c r="N353" t="s">
        <v>75</v>
      </c>
      <c r="O353">
        <v>2</v>
      </c>
      <c r="P353" t="s">
        <v>56</v>
      </c>
      <c r="Q353" s="2">
        <v>46326</v>
      </c>
      <c r="R353" t="s">
        <v>64</v>
      </c>
    </row>
    <row r="354" spans="1:18" x14ac:dyDescent="0.2">
      <c r="A354" t="s">
        <v>763</v>
      </c>
      <c r="B354" t="s">
        <v>764</v>
      </c>
      <c r="C354" t="s">
        <v>31</v>
      </c>
      <c r="D354" t="s">
        <v>32</v>
      </c>
      <c r="E354" t="s">
        <v>60</v>
      </c>
      <c r="F354" t="s">
        <v>45</v>
      </c>
      <c r="G354" t="s">
        <v>61</v>
      </c>
      <c r="H354" t="s">
        <v>88</v>
      </c>
      <c r="I354" t="s">
        <v>111</v>
      </c>
      <c r="J354" t="s">
        <v>37</v>
      </c>
      <c r="K354" s="2">
        <v>46179</v>
      </c>
      <c r="L354" s="2">
        <v>46359</v>
      </c>
      <c r="M354" t="s">
        <v>64</v>
      </c>
      <c r="N354" t="s">
        <v>55</v>
      </c>
      <c r="O354">
        <v>0</v>
      </c>
      <c r="P354" t="s">
        <v>50</v>
      </c>
      <c r="Q354" s="2">
        <v>46210</v>
      </c>
      <c r="R354" t="s">
        <v>57</v>
      </c>
    </row>
    <row r="355" spans="1:18" x14ac:dyDescent="0.2">
      <c r="A355" t="s">
        <v>765</v>
      </c>
      <c r="B355" t="s">
        <v>766</v>
      </c>
      <c r="C355" t="s">
        <v>96</v>
      </c>
      <c r="D355" t="s">
        <v>97</v>
      </c>
      <c r="E355" t="s">
        <v>91</v>
      </c>
      <c r="F355" t="s">
        <v>34</v>
      </c>
      <c r="G355" t="s">
        <v>35</v>
      </c>
      <c r="H355" t="s">
        <v>47</v>
      </c>
      <c r="I355" t="s">
        <v>70</v>
      </c>
      <c r="J355" t="s">
        <v>37</v>
      </c>
      <c r="K355" s="2">
        <v>46198</v>
      </c>
      <c r="L355" s="2">
        <v>46288</v>
      </c>
      <c r="M355" t="s">
        <v>38</v>
      </c>
      <c r="N355" t="s">
        <v>75</v>
      </c>
      <c r="O355">
        <v>1</v>
      </c>
      <c r="P355" t="s">
        <v>39</v>
      </c>
      <c r="Q355" s="2">
        <v>46290</v>
      </c>
      <c r="R355" t="s">
        <v>38</v>
      </c>
    </row>
    <row r="356" spans="1:18" x14ac:dyDescent="0.2">
      <c r="A356" t="s">
        <v>767</v>
      </c>
      <c r="B356" t="s">
        <v>768</v>
      </c>
      <c r="C356" t="s">
        <v>31</v>
      </c>
      <c r="D356" t="s">
        <v>32</v>
      </c>
      <c r="E356" t="s">
        <v>44</v>
      </c>
      <c r="F356" t="s">
        <v>67</v>
      </c>
      <c r="G356" t="s">
        <v>68</v>
      </c>
      <c r="H356" t="s">
        <v>47</v>
      </c>
      <c r="I356" t="s">
        <v>62</v>
      </c>
      <c r="J356" t="s">
        <v>63</v>
      </c>
      <c r="K356" s="2">
        <v>46239</v>
      </c>
      <c r="L356" s="2">
        <v>46604</v>
      </c>
      <c r="M356" t="s">
        <v>64</v>
      </c>
      <c r="N356" t="s">
        <v>55</v>
      </c>
      <c r="O356">
        <v>2</v>
      </c>
      <c r="P356" t="s">
        <v>54</v>
      </c>
      <c r="Q356" s="2">
        <v>46310</v>
      </c>
      <c r="R356" t="s">
        <v>84</v>
      </c>
    </row>
    <row r="357" spans="1:18" x14ac:dyDescent="0.2">
      <c r="A357" t="s">
        <v>769</v>
      </c>
      <c r="B357" t="s">
        <v>770</v>
      </c>
      <c r="C357" t="s">
        <v>42</v>
      </c>
      <c r="D357" t="s">
        <v>43</v>
      </c>
      <c r="E357" t="s">
        <v>44</v>
      </c>
      <c r="F357" t="s">
        <v>67</v>
      </c>
      <c r="G357" t="s">
        <v>118</v>
      </c>
      <c r="H357" t="s">
        <v>36</v>
      </c>
      <c r="I357" t="s">
        <v>39</v>
      </c>
      <c r="J357" t="s">
        <v>48</v>
      </c>
      <c r="K357" s="2">
        <v>46174</v>
      </c>
      <c r="L357" s="2">
        <v>46354</v>
      </c>
      <c r="M357" t="s">
        <v>84</v>
      </c>
      <c r="N357" t="s">
        <v>49</v>
      </c>
      <c r="O357">
        <v>5</v>
      </c>
      <c r="P357" t="s">
        <v>39</v>
      </c>
      <c r="Q357" s="2">
        <v>46221</v>
      </c>
      <c r="R357" t="s">
        <v>38</v>
      </c>
    </row>
    <row r="358" spans="1:18" x14ac:dyDescent="0.2">
      <c r="A358" t="s">
        <v>771</v>
      </c>
      <c r="B358" t="s">
        <v>772</v>
      </c>
      <c r="C358" t="s">
        <v>31</v>
      </c>
      <c r="D358" t="s">
        <v>83</v>
      </c>
      <c r="E358" t="s">
        <v>53</v>
      </c>
      <c r="F358" t="s">
        <v>34</v>
      </c>
      <c r="G358" t="s">
        <v>35</v>
      </c>
      <c r="H358" t="s">
        <v>88</v>
      </c>
      <c r="I358" t="s">
        <v>56</v>
      </c>
      <c r="J358" t="s">
        <v>37</v>
      </c>
      <c r="K358" s="2">
        <v>46174</v>
      </c>
      <c r="L358" s="2">
        <v>46354</v>
      </c>
      <c r="M358" t="s">
        <v>84</v>
      </c>
      <c r="N358" t="s">
        <v>55</v>
      </c>
      <c r="O358">
        <v>1</v>
      </c>
      <c r="P358" t="s">
        <v>70</v>
      </c>
      <c r="Q358" s="2">
        <v>46337</v>
      </c>
      <c r="R358" t="s">
        <v>64</v>
      </c>
    </row>
    <row r="359" spans="1:18" x14ac:dyDescent="0.2">
      <c r="A359" t="s">
        <v>773</v>
      </c>
      <c r="B359" t="s">
        <v>774</v>
      </c>
      <c r="C359" t="s">
        <v>96</v>
      </c>
      <c r="D359" t="s">
        <v>97</v>
      </c>
      <c r="E359" t="s">
        <v>105</v>
      </c>
      <c r="F359" t="s">
        <v>67</v>
      </c>
      <c r="G359" t="s">
        <v>68</v>
      </c>
      <c r="H359" t="s">
        <v>98</v>
      </c>
      <c r="I359" t="s">
        <v>111</v>
      </c>
      <c r="J359" t="s">
        <v>63</v>
      </c>
      <c r="K359" s="2">
        <v>45923</v>
      </c>
      <c r="L359" s="2">
        <v>46288</v>
      </c>
      <c r="M359" t="s">
        <v>38</v>
      </c>
      <c r="N359" t="s">
        <v>55</v>
      </c>
      <c r="O359">
        <v>2</v>
      </c>
      <c r="P359" t="s">
        <v>106</v>
      </c>
      <c r="Q359" s="2">
        <v>46160</v>
      </c>
      <c r="R359" t="s">
        <v>64</v>
      </c>
    </row>
    <row r="360" spans="1:18" x14ac:dyDescent="0.2">
      <c r="A360" t="s">
        <v>775</v>
      </c>
      <c r="B360" t="s">
        <v>776</v>
      </c>
      <c r="C360" t="s">
        <v>73</v>
      </c>
      <c r="D360" t="s">
        <v>74</v>
      </c>
      <c r="E360" t="s">
        <v>105</v>
      </c>
      <c r="F360" t="s">
        <v>34</v>
      </c>
      <c r="G360" t="s">
        <v>35</v>
      </c>
      <c r="H360" t="s">
        <v>88</v>
      </c>
      <c r="I360" t="s">
        <v>50</v>
      </c>
      <c r="J360" t="s">
        <v>37</v>
      </c>
      <c r="K360" s="2">
        <v>45916</v>
      </c>
      <c r="L360" s="2">
        <v>46281</v>
      </c>
      <c r="M360" t="s">
        <v>38</v>
      </c>
      <c r="N360" t="s">
        <v>55</v>
      </c>
      <c r="O360">
        <v>1</v>
      </c>
      <c r="P360" t="s">
        <v>54</v>
      </c>
      <c r="Q360" s="2">
        <v>46364</v>
      </c>
      <c r="R360" t="s">
        <v>64</v>
      </c>
    </row>
    <row r="361" spans="1:18" x14ac:dyDescent="0.2">
      <c r="A361" t="s">
        <v>777</v>
      </c>
      <c r="B361" t="s">
        <v>778</v>
      </c>
      <c r="C361" t="s">
        <v>96</v>
      </c>
      <c r="D361" t="s">
        <v>97</v>
      </c>
      <c r="E361" t="s">
        <v>53</v>
      </c>
      <c r="F361" t="s">
        <v>45</v>
      </c>
      <c r="G361" t="s">
        <v>61</v>
      </c>
      <c r="H361" t="s">
        <v>36</v>
      </c>
      <c r="I361" t="s">
        <v>56</v>
      </c>
      <c r="J361" t="s">
        <v>63</v>
      </c>
      <c r="K361" s="2">
        <v>45815</v>
      </c>
      <c r="L361" s="2">
        <v>45905</v>
      </c>
      <c r="M361" t="s">
        <v>38</v>
      </c>
      <c r="N361" t="s">
        <v>75</v>
      </c>
      <c r="O361">
        <v>5</v>
      </c>
      <c r="P361" t="s">
        <v>50</v>
      </c>
      <c r="Q361" s="2">
        <v>46339</v>
      </c>
      <c r="R361" t="s">
        <v>84</v>
      </c>
    </row>
    <row r="362" spans="1:18" x14ac:dyDescent="0.2">
      <c r="A362" t="s">
        <v>779</v>
      </c>
      <c r="B362" t="s">
        <v>780</v>
      </c>
      <c r="C362" t="s">
        <v>96</v>
      </c>
      <c r="D362" t="s">
        <v>97</v>
      </c>
      <c r="E362" t="s">
        <v>53</v>
      </c>
      <c r="F362" t="s">
        <v>34</v>
      </c>
      <c r="G362" t="s">
        <v>35</v>
      </c>
      <c r="H362" t="s">
        <v>36</v>
      </c>
      <c r="I362" t="s">
        <v>56</v>
      </c>
      <c r="J362" t="s">
        <v>37</v>
      </c>
      <c r="K362" s="2">
        <v>45831</v>
      </c>
      <c r="L362" s="2">
        <v>46196</v>
      </c>
      <c r="M362" t="s">
        <v>38</v>
      </c>
      <c r="N362" t="s">
        <v>49</v>
      </c>
      <c r="O362">
        <v>1</v>
      </c>
      <c r="P362" t="s">
        <v>106</v>
      </c>
      <c r="Q362" s="2">
        <v>46150</v>
      </c>
      <c r="R362" t="s">
        <v>38</v>
      </c>
    </row>
    <row r="363" spans="1:18" x14ac:dyDescent="0.2">
      <c r="A363" t="s">
        <v>781</v>
      </c>
      <c r="B363" t="s">
        <v>782</v>
      </c>
      <c r="C363" t="s">
        <v>31</v>
      </c>
      <c r="D363" t="s">
        <v>32</v>
      </c>
      <c r="E363" t="s">
        <v>91</v>
      </c>
      <c r="F363" t="s">
        <v>67</v>
      </c>
      <c r="G363" t="s">
        <v>68</v>
      </c>
      <c r="H363" t="s">
        <v>88</v>
      </c>
      <c r="I363" t="s">
        <v>50</v>
      </c>
      <c r="J363" t="s">
        <v>63</v>
      </c>
      <c r="K363" s="2">
        <v>45823</v>
      </c>
      <c r="L363" s="2">
        <v>45913</v>
      </c>
      <c r="M363" t="s">
        <v>38</v>
      </c>
      <c r="N363" t="s">
        <v>49</v>
      </c>
      <c r="O363">
        <v>2</v>
      </c>
      <c r="P363" t="s">
        <v>62</v>
      </c>
      <c r="Q363" s="2">
        <v>46237</v>
      </c>
      <c r="R363" t="s">
        <v>64</v>
      </c>
    </row>
    <row r="364" spans="1:18" x14ac:dyDescent="0.2">
      <c r="A364" t="s">
        <v>783</v>
      </c>
      <c r="B364" t="s">
        <v>784</v>
      </c>
      <c r="C364" t="s">
        <v>31</v>
      </c>
      <c r="D364" t="s">
        <v>32</v>
      </c>
      <c r="E364" t="s">
        <v>60</v>
      </c>
      <c r="F364" t="s">
        <v>45</v>
      </c>
      <c r="G364" t="s">
        <v>61</v>
      </c>
      <c r="H364" t="s">
        <v>47</v>
      </c>
      <c r="I364" t="s">
        <v>56</v>
      </c>
      <c r="J364" t="s">
        <v>48</v>
      </c>
      <c r="K364" s="2">
        <v>46110</v>
      </c>
      <c r="L364" s="2">
        <v>46290</v>
      </c>
      <c r="M364" t="s">
        <v>38</v>
      </c>
      <c r="N364" t="s">
        <v>49</v>
      </c>
      <c r="O364">
        <v>2</v>
      </c>
      <c r="P364" t="s">
        <v>50</v>
      </c>
      <c r="Q364" s="2">
        <v>46171</v>
      </c>
      <c r="R364" t="s">
        <v>64</v>
      </c>
    </row>
    <row r="365" spans="1:18" x14ac:dyDescent="0.2">
      <c r="A365" t="s">
        <v>785</v>
      </c>
      <c r="B365" t="s">
        <v>786</v>
      </c>
      <c r="C365" t="s">
        <v>42</v>
      </c>
      <c r="D365" t="s">
        <v>43</v>
      </c>
      <c r="E365" t="s">
        <v>105</v>
      </c>
      <c r="F365" t="s">
        <v>45</v>
      </c>
      <c r="G365" t="s">
        <v>46</v>
      </c>
      <c r="H365" t="s">
        <v>88</v>
      </c>
      <c r="I365" t="s">
        <v>70</v>
      </c>
      <c r="J365" t="s">
        <v>37</v>
      </c>
      <c r="K365" s="2">
        <v>46259</v>
      </c>
      <c r="L365" s="2">
        <v>46624</v>
      </c>
      <c r="M365" t="s">
        <v>69</v>
      </c>
      <c r="N365" t="s">
        <v>49</v>
      </c>
      <c r="O365">
        <v>3</v>
      </c>
      <c r="P365" t="s">
        <v>54</v>
      </c>
      <c r="Q365" s="2">
        <v>46384</v>
      </c>
      <c r="R365" t="s">
        <v>84</v>
      </c>
    </row>
    <row r="366" spans="1:18" x14ac:dyDescent="0.2">
      <c r="A366" t="s">
        <v>787</v>
      </c>
      <c r="B366" t="s">
        <v>788</v>
      </c>
      <c r="C366" t="s">
        <v>78</v>
      </c>
      <c r="D366" t="s">
        <v>79</v>
      </c>
      <c r="E366" t="s">
        <v>105</v>
      </c>
      <c r="F366" t="s">
        <v>34</v>
      </c>
      <c r="G366" t="s">
        <v>35</v>
      </c>
      <c r="H366" t="s">
        <v>98</v>
      </c>
      <c r="I366" t="s">
        <v>54</v>
      </c>
      <c r="J366" t="s">
        <v>37</v>
      </c>
      <c r="K366" s="2">
        <v>45940</v>
      </c>
      <c r="L366" s="2">
        <v>46120</v>
      </c>
      <c r="M366" t="s">
        <v>38</v>
      </c>
      <c r="N366" t="s">
        <v>55</v>
      </c>
      <c r="O366">
        <v>3</v>
      </c>
      <c r="P366" t="s">
        <v>39</v>
      </c>
      <c r="Q366" s="2">
        <v>46146</v>
      </c>
      <c r="R366" t="s">
        <v>38</v>
      </c>
    </row>
    <row r="367" spans="1:18" x14ac:dyDescent="0.2">
      <c r="A367" t="s">
        <v>789</v>
      </c>
      <c r="B367" t="s">
        <v>790</v>
      </c>
      <c r="C367" t="s">
        <v>103</v>
      </c>
      <c r="D367" t="s">
        <v>104</v>
      </c>
      <c r="E367" t="s">
        <v>60</v>
      </c>
      <c r="F367" t="s">
        <v>34</v>
      </c>
      <c r="G367" t="s">
        <v>35</v>
      </c>
      <c r="H367" t="s">
        <v>47</v>
      </c>
      <c r="I367" t="s">
        <v>70</v>
      </c>
      <c r="J367" t="s">
        <v>37</v>
      </c>
      <c r="K367" s="2">
        <v>45848</v>
      </c>
      <c r="L367" s="2">
        <v>46028</v>
      </c>
      <c r="M367" t="s">
        <v>38</v>
      </c>
      <c r="N367" t="s">
        <v>55</v>
      </c>
      <c r="O367">
        <v>1</v>
      </c>
      <c r="P367" t="s">
        <v>54</v>
      </c>
      <c r="Q367" s="2">
        <v>46380</v>
      </c>
      <c r="R367" t="s">
        <v>64</v>
      </c>
    </row>
    <row r="368" spans="1:18" x14ac:dyDescent="0.2">
      <c r="A368" t="s">
        <v>791</v>
      </c>
      <c r="B368" t="s">
        <v>792</v>
      </c>
      <c r="C368" t="s">
        <v>78</v>
      </c>
      <c r="D368" t="s">
        <v>79</v>
      </c>
      <c r="E368" t="s">
        <v>60</v>
      </c>
      <c r="F368" t="s">
        <v>45</v>
      </c>
      <c r="G368" t="s">
        <v>46</v>
      </c>
      <c r="H368" t="s">
        <v>88</v>
      </c>
      <c r="I368" t="s">
        <v>50</v>
      </c>
      <c r="J368" t="s">
        <v>48</v>
      </c>
      <c r="K368" s="2">
        <v>45990</v>
      </c>
      <c r="L368" s="2">
        <v>46355</v>
      </c>
      <c r="M368" t="s">
        <v>84</v>
      </c>
      <c r="N368" t="s">
        <v>49</v>
      </c>
      <c r="O368">
        <v>2</v>
      </c>
      <c r="P368" t="s">
        <v>50</v>
      </c>
      <c r="Q368" s="2">
        <v>46349</v>
      </c>
      <c r="R368" t="s">
        <v>84</v>
      </c>
    </row>
    <row r="369" spans="1:18" x14ac:dyDescent="0.2">
      <c r="A369" t="s">
        <v>793</v>
      </c>
      <c r="B369" t="s">
        <v>794</v>
      </c>
      <c r="C369" t="s">
        <v>73</v>
      </c>
      <c r="D369" t="s">
        <v>74</v>
      </c>
      <c r="E369" t="s">
        <v>60</v>
      </c>
      <c r="F369" t="s">
        <v>34</v>
      </c>
      <c r="G369" t="s">
        <v>35</v>
      </c>
      <c r="H369" t="s">
        <v>88</v>
      </c>
      <c r="I369" t="s">
        <v>50</v>
      </c>
      <c r="J369" t="s">
        <v>37</v>
      </c>
      <c r="K369" s="2">
        <v>46002</v>
      </c>
      <c r="L369" s="2">
        <v>46367</v>
      </c>
      <c r="M369" t="s">
        <v>64</v>
      </c>
      <c r="N369" t="s">
        <v>75</v>
      </c>
      <c r="O369">
        <v>2</v>
      </c>
      <c r="P369" t="s">
        <v>62</v>
      </c>
      <c r="Q369" s="2">
        <v>46396</v>
      </c>
      <c r="R369" t="s">
        <v>84</v>
      </c>
    </row>
    <row r="370" spans="1:18" x14ac:dyDescent="0.2">
      <c r="A370" t="s">
        <v>795</v>
      </c>
      <c r="B370" t="s">
        <v>796</v>
      </c>
      <c r="C370" t="s">
        <v>96</v>
      </c>
      <c r="D370" t="s">
        <v>97</v>
      </c>
      <c r="E370" t="s">
        <v>650</v>
      </c>
      <c r="F370" t="s">
        <v>34</v>
      </c>
      <c r="G370" t="s">
        <v>35</v>
      </c>
      <c r="H370" t="s">
        <v>88</v>
      </c>
      <c r="I370" t="s">
        <v>54</v>
      </c>
      <c r="J370" t="s">
        <v>48</v>
      </c>
      <c r="K370" s="2">
        <v>45987</v>
      </c>
      <c r="L370" s="2">
        <v>46352</v>
      </c>
      <c r="M370" t="s">
        <v>64</v>
      </c>
      <c r="N370" t="s">
        <v>49</v>
      </c>
      <c r="O370">
        <v>2</v>
      </c>
      <c r="P370" t="s">
        <v>39</v>
      </c>
      <c r="Q370" s="2">
        <v>46299</v>
      </c>
      <c r="R370" t="s">
        <v>84</v>
      </c>
    </row>
    <row r="371" spans="1:18" x14ac:dyDescent="0.2">
      <c r="A371" t="s">
        <v>797</v>
      </c>
      <c r="B371" t="s">
        <v>798</v>
      </c>
      <c r="C371" t="s">
        <v>31</v>
      </c>
      <c r="D371" t="s">
        <v>83</v>
      </c>
      <c r="E371" t="s">
        <v>60</v>
      </c>
      <c r="F371" t="s">
        <v>67</v>
      </c>
      <c r="G371" t="s">
        <v>68</v>
      </c>
      <c r="H371" t="s">
        <v>47</v>
      </c>
      <c r="I371" t="s">
        <v>56</v>
      </c>
      <c r="J371" t="s">
        <v>48</v>
      </c>
      <c r="K371" s="2">
        <v>46272</v>
      </c>
      <c r="L371" s="2">
        <v>46452</v>
      </c>
      <c r="M371" t="s">
        <v>84</v>
      </c>
      <c r="N371" t="s">
        <v>75</v>
      </c>
      <c r="O371">
        <v>0</v>
      </c>
      <c r="P371" t="s">
        <v>111</v>
      </c>
      <c r="Q371" s="2">
        <v>46256</v>
      </c>
      <c r="R371" t="s">
        <v>57</v>
      </c>
    </row>
    <row r="372" spans="1:18" x14ac:dyDescent="0.2">
      <c r="A372" t="s">
        <v>799</v>
      </c>
      <c r="B372" t="s">
        <v>800</v>
      </c>
      <c r="C372" t="s">
        <v>31</v>
      </c>
      <c r="D372" t="s">
        <v>32</v>
      </c>
      <c r="E372" t="s">
        <v>44</v>
      </c>
      <c r="F372" t="s">
        <v>67</v>
      </c>
      <c r="G372" t="s">
        <v>68</v>
      </c>
      <c r="H372" t="s">
        <v>47</v>
      </c>
      <c r="I372" t="s">
        <v>54</v>
      </c>
      <c r="J372" t="s">
        <v>37</v>
      </c>
      <c r="K372" s="2">
        <v>46156</v>
      </c>
      <c r="L372" s="2">
        <v>46336</v>
      </c>
      <c r="M372" t="s">
        <v>84</v>
      </c>
      <c r="N372" t="s">
        <v>49</v>
      </c>
      <c r="O372">
        <v>3</v>
      </c>
      <c r="P372" t="s">
        <v>111</v>
      </c>
      <c r="Q372" s="2">
        <v>46406</v>
      </c>
      <c r="R372" t="s">
        <v>84</v>
      </c>
    </row>
    <row r="373" spans="1:18" x14ac:dyDescent="0.2">
      <c r="A373" t="s">
        <v>801</v>
      </c>
      <c r="B373" t="s">
        <v>802</v>
      </c>
      <c r="C373" t="s">
        <v>31</v>
      </c>
      <c r="D373" t="s">
        <v>87</v>
      </c>
      <c r="E373" t="s">
        <v>91</v>
      </c>
      <c r="F373" t="s">
        <v>45</v>
      </c>
      <c r="G373" t="s">
        <v>61</v>
      </c>
      <c r="H373" t="s">
        <v>36</v>
      </c>
      <c r="I373" t="s">
        <v>70</v>
      </c>
      <c r="J373" t="s">
        <v>37</v>
      </c>
      <c r="K373" s="2">
        <v>45971</v>
      </c>
      <c r="L373" s="2">
        <v>46336</v>
      </c>
      <c r="M373" t="s">
        <v>64</v>
      </c>
      <c r="N373" t="s">
        <v>49</v>
      </c>
      <c r="O373">
        <v>4</v>
      </c>
      <c r="P373" t="s">
        <v>106</v>
      </c>
      <c r="Q373" s="2">
        <v>46310</v>
      </c>
      <c r="R373" t="s">
        <v>64</v>
      </c>
    </row>
    <row r="374" spans="1:18" x14ac:dyDescent="0.2">
      <c r="A374" t="s">
        <v>803</v>
      </c>
      <c r="B374" t="s">
        <v>804</v>
      </c>
      <c r="C374" t="s">
        <v>31</v>
      </c>
      <c r="D374" t="s">
        <v>87</v>
      </c>
      <c r="E374" t="s">
        <v>105</v>
      </c>
      <c r="F374" t="s">
        <v>67</v>
      </c>
      <c r="G374" t="s">
        <v>118</v>
      </c>
      <c r="H374" t="s">
        <v>36</v>
      </c>
      <c r="I374" t="s">
        <v>54</v>
      </c>
      <c r="J374" t="s">
        <v>63</v>
      </c>
      <c r="K374" s="2">
        <v>45893</v>
      </c>
      <c r="L374" s="2">
        <v>46258</v>
      </c>
      <c r="M374" t="s">
        <v>38</v>
      </c>
      <c r="N374" t="s">
        <v>49</v>
      </c>
      <c r="O374">
        <v>0</v>
      </c>
      <c r="P374" t="s">
        <v>39</v>
      </c>
      <c r="Q374" s="2">
        <v>46310</v>
      </c>
      <c r="R374" t="s">
        <v>57</v>
      </c>
    </row>
    <row r="375" spans="1:18" x14ac:dyDescent="0.2">
      <c r="A375" t="s">
        <v>805</v>
      </c>
      <c r="B375" t="s">
        <v>806</v>
      </c>
      <c r="C375" t="s">
        <v>31</v>
      </c>
      <c r="D375" t="s">
        <v>32</v>
      </c>
      <c r="E375" t="s">
        <v>53</v>
      </c>
      <c r="F375" t="s">
        <v>67</v>
      </c>
      <c r="G375" t="s">
        <v>68</v>
      </c>
      <c r="H375" t="s">
        <v>88</v>
      </c>
      <c r="I375" t="s">
        <v>54</v>
      </c>
      <c r="J375" t="s">
        <v>37</v>
      </c>
      <c r="K375" s="2">
        <v>46197</v>
      </c>
      <c r="L375" s="2">
        <v>46287</v>
      </c>
      <c r="M375" t="s">
        <v>38</v>
      </c>
      <c r="N375" t="s">
        <v>49</v>
      </c>
      <c r="O375">
        <v>3</v>
      </c>
      <c r="P375" t="s">
        <v>56</v>
      </c>
      <c r="Q375" s="2">
        <v>46343</v>
      </c>
      <c r="R375" t="s">
        <v>84</v>
      </c>
    </row>
    <row r="376" spans="1:18" x14ac:dyDescent="0.2">
      <c r="A376" t="s">
        <v>807</v>
      </c>
      <c r="B376" t="s">
        <v>808</v>
      </c>
      <c r="C376" t="s">
        <v>78</v>
      </c>
      <c r="D376" t="s">
        <v>79</v>
      </c>
      <c r="E376" t="s">
        <v>44</v>
      </c>
      <c r="F376" t="s">
        <v>67</v>
      </c>
      <c r="G376" t="s">
        <v>170</v>
      </c>
      <c r="H376" t="s">
        <v>88</v>
      </c>
      <c r="I376" t="s">
        <v>111</v>
      </c>
      <c r="J376" t="s">
        <v>63</v>
      </c>
      <c r="K376" s="2">
        <v>45983</v>
      </c>
      <c r="L376" s="2">
        <v>46348</v>
      </c>
      <c r="M376" t="s">
        <v>64</v>
      </c>
      <c r="N376" t="s">
        <v>75</v>
      </c>
      <c r="O376">
        <v>2</v>
      </c>
      <c r="P376" t="s">
        <v>50</v>
      </c>
      <c r="Q376" s="2">
        <v>46158</v>
      </c>
      <c r="R376" t="s">
        <v>38</v>
      </c>
    </row>
    <row r="377" spans="1:18" x14ac:dyDescent="0.2">
      <c r="A377" t="s">
        <v>809</v>
      </c>
      <c r="B377" t="s">
        <v>810</v>
      </c>
      <c r="C377" t="s">
        <v>78</v>
      </c>
      <c r="D377" t="s">
        <v>79</v>
      </c>
      <c r="E377" t="s">
        <v>60</v>
      </c>
      <c r="F377" t="s">
        <v>45</v>
      </c>
      <c r="G377" t="s">
        <v>61</v>
      </c>
      <c r="H377" t="s">
        <v>47</v>
      </c>
      <c r="I377" t="s">
        <v>62</v>
      </c>
      <c r="J377" t="s">
        <v>63</v>
      </c>
      <c r="K377" s="2">
        <v>45942</v>
      </c>
      <c r="L377" s="2">
        <v>46307</v>
      </c>
      <c r="M377" t="s">
        <v>64</v>
      </c>
      <c r="N377" t="s">
        <v>49</v>
      </c>
      <c r="O377">
        <v>1</v>
      </c>
      <c r="P377" t="s">
        <v>70</v>
      </c>
      <c r="Q377" s="2">
        <v>46239</v>
      </c>
      <c r="R377" t="s">
        <v>64</v>
      </c>
    </row>
    <row r="378" spans="1:18" x14ac:dyDescent="0.2">
      <c r="A378" t="s">
        <v>811</v>
      </c>
      <c r="B378" t="s">
        <v>812</v>
      </c>
      <c r="C378" t="s">
        <v>31</v>
      </c>
      <c r="D378" t="s">
        <v>83</v>
      </c>
      <c r="E378" t="s">
        <v>80</v>
      </c>
      <c r="F378" t="s">
        <v>45</v>
      </c>
      <c r="G378" t="s">
        <v>61</v>
      </c>
      <c r="H378" t="s">
        <v>88</v>
      </c>
      <c r="I378" t="s">
        <v>54</v>
      </c>
      <c r="J378" t="s">
        <v>63</v>
      </c>
      <c r="K378" s="2">
        <v>46111</v>
      </c>
      <c r="L378" s="2">
        <v>46291</v>
      </c>
      <c r="M378" t="s">
        <v>38</v>
      </c>
      <c r="N378" t="s">
        <v>49</v>
      </c>
      <c r="O378">
        <v>0</v>
      </c>
      <c r="P378" t="s">
        <v>111</v>
      </c>
      <c r="Q378" s="2">
        <v>46271</v>
      </c>
      <c r="R378" t="s">
        <v>57</v>
      </c>
    </row>
    <row r="379" spans="1:18" x14ac:dyDescent="0.2">
      <c r="A379" t="s">
        <v>813</v>
      </c>
      <c r="B379" t="s">
        <v>814</v>
      </c>
      <c r="C379" t="s">
        <v>31</v>
      </c>
      <c r="D379" t="s">
        <v>87</v>
      </c>
      <c r="E379" t="s">
        <v>80</v>
      </c>
      <c r="F379" t="s">
        <v>34</v>
      </c>
      <c r="G379" t="s">
        <v>35</v>
      </c>
      <c r="H379" t="s">
        <v>47</v>
      </c>
      <c r="I379" t="s">
        <v>54</v>
      </c>
      <c r="J379" t="s">
        <v>63</v>
      </c>
      <c r="K379" s="2">
        <v>46173</v>
      </c>
      <c r="L379" s="2">
        <v>46538</v>
      </c>
      <c r="M379" t="s">
        <v>64</v>
      </c>
      <c r="N379" t="s">
        <v>49</v>
      </c>
      <c r="O379">
        <v>0</v>
      </c>
      <c r="P379" t="s">
        <v>50</v>
      </c>
      <c r="Q379" s="2">
        <v>46172</v>
      </c>
      <c r="R379" t="s">
        <v>57</v>
      </c>
    </row>
    <row r="380" spans="1:18" x14ac:dyDescent="0.2">
      <c r="A380" t="s">
        <v>815</v>
      </c>
      <c r="B380" t="s">
        <v>816</v>
      </c>
      <c r="C380" t="s">
        <v>42</v>
      </c>
      <c r="D380" t="s">
        <v>43</v>
      </c>
      <c r="E380" t="s">
        <v>53</v>
      </c>
      <c r="F380" t="s">
        <v>67</v>
      </c>
      <c r="G380" t="s">
        <v>68</v>
      </c>
      <c r="H380" t="s">
        <v>88</v>
      </c>
      <c r="I380" t="s">
        <v>70</v>
      </c>
      <c r="J380" t="s">
        <v>37</v>
      </c>
      <c r="K380" s="2">
        <v>46119</v>
      </c>
      <c r="L380" s="2">
        <v>46299</v>
      </c>
      <c r="M380" t="s">
        <v>64</v>
      </c>
      <c r="N380" t="s">
        <v>75</v>
      </c>
      <c r="O380">
        <v>1</v>
      </c>
      <c r="P380" t="s">
        <v>50</v>
      </c>
      <c r="Q380" s="2">
        <v>46390</v>
      </c>
      <c r="R380" t="s">
        <v>64</v>
      </c>
    </row>
    <row r="381" spans="1:18" x14ac:dyDescent="0.2">
      <c r="A381" t="s">
        <v>817</v>
      </c>
      <c r="B381" t="s">
        <v>818</v>
      </c>
      <c r="C381" t="s">
        <v>103</v>
      </c>
      <c r="D381" t="s">
        <v>104</v>
      </c>
      <c r="E381" t="s">
        <v>80</v>
      </c>
      <c r="F381" t="s">
        <v>34</v>
      </c>
      <c r="G381" t="s">
        <v>35</v>
      </c>
      <c r="H381" t="s">
        <v>88</v>
      </c>
      <c r="J381" t="s">
        <v>63</v>
      </c>
      <c r="K381" s="2">
        <v>45936</v>
      </c>
      <c r="L381" s="2">
        <v>46301</v>
      </c>
      <c r="M381" t="s">
        <v>64</v>
      </c>
      <c r="N381" t="s">
        <v>55</v>
      </c>
      <c r="O381">
        <v>0</v>
      </c>
      <c r="P381" t="s">
        <v>56</v>
      </c>
      <c r="Q381" s="2">
        <v>46260</v>
      </c>
      <c r="R381" t="s">
        <v>57</v>
      </c>
    </row>
    <row r="382" spans="1:18" x14ac:dyDescent="0.2">
      <c r="A382" t="s">
        <v>819</v>
      </c>
      <c r="B382" t="s">
        <v>820</v>
      </c>
      <c r="C382" t="s">
        <v>78</v>
      </c>
      <c r="D382" t="s">
        <v>79</v>
      </c>
      <c r="E382" t="s">
        <v>91</v>
      </c>
      <c r="F382" t="s">
        <v>45</v>
      </c>
      <c r="G382" t="s">
        <v>61</v>
      </c>
      <c r="H382" t="s">
        <v>98</v>
      </c>
      <c r="I382" t="s">
        <v>70</v>
      </c>
      <c r="J382" t="s">
        <v>37</v>
      </c>
      <c r="K382" s="2">
        <v>46077</v>
      </c>
      <c r="L382" s="2">
        <v>46442</v>
      </c>
      <c r="M382" t="s">
        <v>64</v>
      </c>
      <c r="N382" t="s">
        <v>49</v>
      </c>
      <c r="O382">
        <v>2</v>
      </c>
      <c r="P382" t="s">
        <v>70</v>
      </c>
      <c r="Q382" s="2">
        <v>46170</v>
      </c>
      <c r="R382" t="s">
        <v>64</v>
      </c>
    </row>
    <row r="383" spans="1:18" x14ac:dyDescent="0.2">
      <c r="A383" t="s">
        <v>821</v>
      </c>
      <c r="B383" t="s">
        <v>822</v>
      </c>
      <c r="C383" t="s">
        <v>96</v>
      </c>
      <c r="D383" t="s">
        <v>97</v>
      </c>
      <c r="E383" t="s">
        <v>60</v>
      </c>
      <c r="F383" t="s">
        <v>67</v>
      </c>
      <c r="G383" t="s">
        <v>118</v>
      </c>
      <c r="H383" t="s">
        <v>88</v>
      </c>
      <c r="I383" t="s">
        <v>50</v>
      </c>
      <c r="J383" t="s">
        <v>63</v>
      </c>
      <c r="K383" s="2">
        <v>46174</v>
      </c>
      <c r="L383" s="2">
        <v>46539</v>
      </c>
      <c r="M383" t="s">
        <v>84</v>
      </c>
      <c r="N383" t="s">
        <v>55</v>
      </c>
      <c r="O383">
        <v>1</v>
      </c>
      <c r="P383" t="s">
        <v>50</v>
      </c>
      <c r="Q383" s="2">
        <v>46386</v>
      </c>
      <c r="R383" t="s">
        <v>64</v>
      </c>
    </row>
    <row r="384" spans="1:18" x14ac:dyDescent="0.2">
      <c r="A384" t="s">
        <v>823</v>
      </c>
      <c r="B384" t="s">
        <v>824</v>
      </c>
      <c r="C384" t="s">
        <v>31</v>
      </c>
      <c r="D384" t="s">
        <v>87</v>
      </c>
      <c r="E384" t="s">
        <v>91</v>
      </c>
      <c r="F384" t="s">
        <v>45</v>
      </c>
      <c r="G384" t="s">
        <v>61</v>
      </c>
      <c r="H384" t="s">
        <v>88</v>
      </c>
      <c r="I384" t="s">
        <v>56</v>
      </c>
      <c r="J384" t="s">
        <v>37</v>
      </c>
      <c r="K384" s="2">
        <v>46155</v>
      </c>
      <c r="L384" s="2">
        <v>46520</v>
      </c>
      <c r="M384" t="s">
        <v>64</v>
      </c>
      <c r="N384" t="s">
        <v>55</v>
      </c>
      <c r="O384">
        <v>2</v>
      </c>
      <c r="P384" t="s">
        <v>54</v>
      </c>
      <c r="Q384" s="2">
        <v>46313</v>
      </c>
      <c r="R384" t="s">
        <v>84</v>
      </c>
    </row>
    <row r="385" spans="1:18" x14ac:dyDescent="0.2">
      <c r="A385" t="s">
        <v>825</v>
      </c>
      <c r="B385" t="s">
        <v>826</v>
      </c>
      <c r="C385" t="s">
        <v>31</v>
      </c>
      <c r="D385" t="s">
        <v>83</v>
      </c>
      <c r="E385" t="s">
        <v>80</v>
      </c>
      <c r="F385" t="s">
        <v>45</v>
      </c>
      <c r="G385" t="s">
        <v>61</v>
      </c>
      <c r="H385" t="s">
        <v>88</v>
      </c>
      <c r="I385" t="s">
        <v>70</v>
      </c>
      <c r="J385" t="s">
        <v>37</v>
      </c>
      <c r="K385" s="2">
        <v>45902</v>
      </c>
      <c r="L385" s="2">
        <v>46082</v>
      </c>
      <c r="M385" t="s">
        <v>38</v>
      </c>
      <c r="N385" t="s">
        <v>49</v>
      </c>
      <c r="O385">
        <v>1</v>
      </c>
      <c r="P385" t="s">
        <v>106</v>
      </c>
      <c r="Q385" s="2">
        <v>46328</v>
      </c>
      <c r="R385" t="s">
        <v>64</v>
      </c>
    </row>
    <row r="386" spans="1:18" x14ac:dyDescent="0.2">
      <c r="A386" t="s">
        <v>827</v>
      </c>
      <c r="B386" t="s">
        <v>828</v>
      </c>
      <c r="C386" t="s">
        <v>31</v>
      </c>
      <c r="D386" t="s">
        <v>83</v>
      </c>
      <c r="E386" t="s">
        <v>44</v>
      </c>
      <c r="F386" t="s">
        <v>67</v>
      </c>
      <c r="G386" t="s">
        <v>68</v>
      </c>
      <c r="H386" t="s">
        <v>88</v>
      </c>
      <c r="I386" t="s">
        <v>54</v>
      </c>
      <c r="J386" t="s">
        <v>63</v>
      </c>
      <c r="K386" s="2">
        <v>45834</v>
      </c>
      <c r="L386" s="2">
        <v>45924</v>
      </c>
      <c r="M386" t="s">
        <v>38</v>
      </c>
      <c r="N386" t="s">
        <v>75</v>
      </c>
      <c r="O386">
        <v>1</v>
      </c>
      <c r="P386" t="s">
        <v>50</v>
      </c>
      <c r="Q386" s="2">
        <v>46335</v>
      </c>
      <c r="R386" t="s">
        <v>84</v>
      </c>
    </row>
    <row r="387" spans="1:18" x14ac:dyDescent="0.2">
      <c r="A387" t="s">
        <v>829</v>
      </c>
      <c r="B387" t="s">
        <v>830</v>
      </c>
      <c r="C387" t="s">
        <v>78</v>
      </c>
      <c r="D387" t="s">
        <v>79</v>
      </c>
      <c r="E387" t="s">
        <v>60</v>
      </c>
      <c r="F387" t="s">
        <v>67</v>
      </c>
      <c r="G387" t="s">
        <v>68</v>
      </c>
      <c r="H387" t="s">
        <v>88</v>
      </c>
      <c r="I387" t="s">
        <v>70</v>
      </c>
      <c r="J387" t="s">
        <v>37</v>
      </c>
      <c r="K387" s="2">
        <v>46181</v>
      </c>
      <c r="L387" s="2">
        <v>46361</v>
      </c>
      <c r="M387" t="s">
        <v>84</v>
      </c>
      <c r="N387" t="s">
        <v>49</v>
      </c>
      <c r="O387">
        <v>0</v>
      </c>
      <c r="P387" t="s">
        <v>111</v>
      </c>
      <c r="Q387" s="2">
        <v>46278</v>
      </c>
      <c r="R387" t="s">
        <v>57</v>
      </c>
    </row>
    <row r="388" spans="1:18" x14ac:dyDescent="0.2">
      <c r="A388" t="s">
        <v>831</v>
      </c>
      <c r="B388" t="s">
        <v>832</v>
      </c>
      <c r="C388" t="s">
        <v>103</v>
      </c>
      <c r="D388" t="s">
        <v>104</v>
      </c>
      <c r="E388" t="s">
        <v>44</v>
      </c>
      <c r="F388" t="s">
        <v>34</v>
      </c>
      <c r="G388" t="s">
        <v>35</v>
      </c>
      <c r="H388" t="s">
        <v>36</v>
      </c>
      <c r="I388" t="s">
        <v>70</v>
      </c>
      <c r="J388" t="s">
        <v>48</v>
      </c>
      <c r="K388" s="2">
        <v>46208</v>
      </c>
      <c r="L388" s="2">
        <v>46298</v>
      </c>
      <c r="M388" t="s">
        <v>64</v>
      </c>
      <c r="N388" t="s">
        <v>49</v>
      </c>
      <c r="O388">
        <v>4</v>
      </c>
      <c r="P388" t="s">
        <v>54</v>
      </c>
      <c r="Q388" s="2">
        <v>46251</v>
      </c>
      <c r="R388" t="s">
        <v>38</v>
      </c>
    </row>
    <row r="389" spans="1:18" x14ac:dyDescent="0.2">
      <c r="A389" t="s">
        <v>833</v>
      </c>
      <c r="B389" t="s">
        <v>834</v>
      </c>
      <c r="C389" t="s">
        <v>96</v>
      </c>
      <c r="D389" t="s">
        <v>97</v>
      </c>
      <c r="E389" t="s">
        <v>53</v>
      </c>
      <c r="F389" t="s">
        <v>34</v>
      </c>
      <c r="G389" t="s">
        <v>35</v>
      </c>
      <c r="H389" t="s">
        <v>47</v>
      </c>
      <c r="I389" t="s">
        <v>111</v>
      </c>
      <c r="J389" t="s">
        <v>48</v>
      </c>
      <c r="K389" s="2">
        <v>46207</v>
      </c>
      <c r="L389" s="2">
        <v>46572</v>
      </c>
      <c r="M389" t="s">
        <v>69</v>
      </c>
      <c r="N389" t="s">
        <v>49</v>
      </c>
      <c r="O389">
        <v>2</v>
      </c>
      <c r="P389" t="s">
        <v>50</v>
      </c>
      <c r="Q389" s="2">
        <v>46209</v>
      </c>
      <c r="R389" t="s">
        <v>38</v>
      </c>
    </row>
    <row r="390" spans="1:18" x14ac:dyDescent="0.2">
      <c r="A390" t="s">
        <v>835</v>
      </c>
      <c r="B390" t="s">
        <v>836</v>
      </c>
      <c r="C390" t="s">
        <v>31</v>
      </c>
      <c r="D390" t="s">
        <v>32</v>
      </c>
      <c r="E390" t="s">
        <v>105</v>
      </c>
      <c r="F390" t="s">
        <v>45</v>
      </c>
      <c r="G390" t="s">
        <v>46</v>
      </c>
      <c r="H390" t="s">
        <v>88</v>
      </c>
      <c r="I390" t="s">
        <v>39</v>
      </c>
      <c r="J390" t="s">
        <v>37</v>
      </c>
      <c r="K390" s="2">
        <v>45802</v>
      </c>
      <c r="L390" s="2">
        <v>45982</v>
      </c>
      <c r="M390" t="s">
        <v>38</v>
      </c>
      <c r="N390" t="s">
        <v>75</v>
      </c>
      <c r="O390">
        <v>1</v>
      </c>
      <c r="P390" t="s">
        <v>111</v>
      </c>
      <c r="Q390" s="2">
        <v>46218</v>
      </c>
      <c r="R390" t="s">
        <v>38</v>
      </c>
    </row>
    <row r="391" spans="1:18" x14ac:dyDescent="0.2">
      <c r="A391" t="s">
        <v>837</v>
      </c>
      <c r="B391" t="s">
        <v>838</v>
      </c>
      <c r="C391" t="s">
        <v>78</v>
      </c>
      <c r="D391" t="s">
        <v>79</v>
      </c>
      <c r="E391" t="s">
        <v>80</v>
      </c>
      <c r="F391" t="s">
        <v>34</v>
      </c>
      <c r="G391" t="s">
        <v>35</v>
      </c>
      <c r="H391" t="s">
        <v>36</v>
      </c>
      <c r="I391" t="s">
        <v>62</v>
      </c>
      <c r="J391" t="s">
        <v>63</v>
      </c>
      <c r="K391" s="2">
        <v>46068</v>
      </c>
      <c r="L391" s="2">
        <v>46158</v>
      </c>
      <c r="M391" t="s">
        <v>38</v>
      </c>
      <c r="N391" t="s">
        <v>49</v>
      </c>
      <c r="O391">
        <v>5</v>
      </c>
      <c r="P391" t="s">
        <v>39</v>
      </c>
      <c r="Q391" s="2">
        <v>46309</v>
      </c>
      <c r="R391" t="s">
        <v>84</v>
      </c>
    </row>
    <row r="392" spans="1:18" x14ac:dyDescent="0.2">
      <c r="A392" t="s">
        <v>839</v>
      </c>
      <c r="B392" t="s">
        <v>840</v>
      </c>
      <c r="C392" t="s">
        <v>31</v>
      </c>
      <c r="D392" t="s">
        <v>87</v>
      </c>
      <c r="E392" t="s">
        <v>80</v>
      </c>
      <c r="F392" t="s">
        <v>34</v>
      </c>
      <c r="G392" t="s">
        <v>35</v>
      </c>
      <c r="H392" t="s">
        <v>88</v>
      </c>
      <c r="I392" t="s">
        <v>39</v>
      </c>
      <c r="J392" t="s">
        <v>37</v>
      </c>
      <c r="K392" s="2">
        <v>45826</v>
      </c>
      <c r="L392" s="2">
        <v>45916</v>
      </c>
      <c r="M392" t="s">
        <v>38</v>
      </c>
      <c r="N392" t="s">
        <v>49</v>
      </c>
      <c r="O392">
        <v>3</v>
      </c>
      <c r="P392" t="s">
        <v>111</v>
      </c>
      <c r="Q392" s="2">
        <v>46135</v>
      </c>
      <c r="R392" t="s">
        <v>38</v>
      </c>
    </row>
    <row r="393" spans="1:18" x14ac:dyDescent="0.2">
      <c r="A393" t="s">
        <v>841</v>
      </c>
      <c r="B393" t="s">
        <v>842</v>
      </c>
      <c r="C393" t="s">
        <v>31</v>
      </c>
      <c r="D393" t="s">
        <v>32</v>
      </c>
      <c r="E393" t="s">
        <v>53</v>
      </c>
      <c r="F393" t="s">
        <v>67</v>
      </c>
      <c r="G393" t="s">
        <v>118</v>
      </c>
      <c r="H393" t="s">
        <v>88</v>
      </c>
      <c r="I393" t="s">
        <v>62</v>
      </c>
      <c r="J393" t="s">
        <v>63</v>
      </c>
      <c r="K393" s="2">
        <v>46125</v>
      </c>
      <c r="L393" s="2">
        <v>46490</v>
      </c>
      <c r="M393" t="s">
        <v>84</v>
      </c>
      <c r="N393" t="s">
        <v>75</v>
      </c>
      <c r="O393">
        <v>3</v>
      </c>
      <c r="P393" t="s">
        <v>50</v>
      </c>
      <c r="Q393" s="2">
        <v>46161</v>
      </c>
      <c r="R393" t="s">
        <v>38</v>
      </c>
    </row>
    <row r="394" spans="1:18" x14ac:dyDescent="0.2">
      <c r="A394" t="s">
        <v>843</v>
      </c>
      <c r="B394" t="s">
        <v>844</v>
      </c>
      <c r="C394" t="s">
        <v>73</v>
      </c>
      <c r="D394" t="s">
        <v>74</v>
      </c>
      <c r="E394" t="s">
        <v>53</v>
      </c>
      <c r="F394" t="s">
        <v>67</v>
      </c>
      <c r="G394" t="s">
        <v>118</v>
      </c>
      <c r="H394" t="s">
        <v>88</v>
      </c>
      <c r="I394" t="s">
        <v>50</v>
      </c>
      <c r="J394" t="s">
        <v>63</v>
      </c>
      <c r="K394" s="2">
        <v>46043</v>
      </c>
      <c r="L394" s="2">
        <v>46408</v>
      </c>
      <c r="M394" t="s">
        <v>84</v>
      </c>
      <c r="N394" t="s">
        <v>75</v>
      </c>
      <c r="O394">
        <v>0</v>
      </c>
      <c r="P394" t="s">
        <v>50</v>
      </c>
      <c r="Q394" s="2">
        <v>46243</v>
      </c>
      <c r="R394" t="s">
        <v>57</v>
      </c>
    </row>
    <row r="395" spans="1:18" x14ac:dyDescent="0.2">
      <c r="A395" t="s">
        <v>845</v>
      </c>
      <c r="B395" t="s">
        <v>846</v>
      </c>
      <c r="C395" t="s">
        <v>31</v>
      </c>
      <c r="D395" t="s">
        <v>83</v>
      </c>
      <c r="E395" t="s">
        <v>105</v>
      </c>
      <c r="F395" t="s">
        <v>34</v>
      </c>
      <c r="G395" t="s">
        <v>35</v>
      </c>
      <c r="H395" t="s">
        <v>47</v>
      </c>
      <c r="I395" t="s">
        <v>111</v>
      </c>
      <c r="J395" t="s">
        <v>63</v>
      </c>
      <c r="K395" s="2">
        <v>45951</v>
      </c>
      <c r="L395" s="2">
        <v>46131</v>
      </c>
      <c r="M395" t="s">
        <v>38</v>
      </c>
      <c r="N395" t="s">
        <v>55</v>
      </c>
      <c r="O395">
        <v>3</v>
      </c>
      <c r="P395" t="s">
        <v>62</v>
      </c>
      <c r="Q395" s="2">
        <v>46376</v>
      </c>
      <c r="R395" t="s">
        <v>84</v>
      </c>
    </row>
    <row r="396" spans="1:18" x14ac:dyDescent="0.2">
      <c r="A396" t="s">
        <v>847</v>
      </c>
      <c r="B396" t="s">
        <v>848</v>
      </c>
      <c r="C396" t="s">
        <v>42</v>
      </c>
      <c r="D396" t="s">
        <v>43</v>
      </c>
      <c r="E396" t="s">
        <v>53</v>
      </c>
      <c r="F396" t="s">
        <v>45</v>
      </c>
      <c r="G396" t="s">
        <v>46</v>
      </c>
      <c r="H396" t="s">
        <v>88</v>
      </c>
      <c r="I396" t="s">
        <v>50</v>
      </c>
      <c r="J396" t="s">
        <v>63</v>
      </c>
      <c r="K396" s="2">
        <v>46192</v>
      </c>
      <c r="L396" s="2">
        <v>46282</v>
      </c>
      <c r="M396" t="s">
        <v>38</v>
      </c>
      <c r="N396" t="s">
        <v>55</v>
      </c>
      <c r="O396">
        <v>0</v>
      </c>
      <c r="P396" t="s">
        <v>111</v>
      </c>
      <c r="Q396" s="2">
        <v>46329</v>
      </c>
      <c r="R396" t="s">
        <v>57</v>
      </c>
    </row>
    <row r="397" spans="1:18" x14ac:dyDescent="0.2">
      <c r="A397" t="s">
        <v>849</v>
      </c>
      <c r="B397" t="s">
        <v>850</v>
      </c>
      <c r="C397" t="s">
        <v>31</v>
      </c>
      <c r="D397" t="s">
        <v>87</v>
      </c>
      <c r="E397" t="s">
        <v>105</v>
      </c>
      <c r="F397" t="s">
        <v>67</v>
      </c>
      <c r="G397" t="s">
        <v>68</v>
      </c>
      <c r="H397" t="s">
        <v>36</v>
      </c>
      <c r="I397" t="s">
        <v>54</v>
      </c>
      <c r="J397" t="s">
        <v>37</v>
      </c>
      <c r="K397" s="2">
        <v>46274</v>
      </c>
      <c r="L397" s="2">
        <v>46639</v>
      </c>
      <c r="M397" t="s">
        <v>84</v>
      </c>
      <c r="N397" t="s">
        <v>75</v>
      </c>
      <c r="O397">
        <v>3</v>
      </c>
      <c r="P397" t="s">
        <v>54</v>
      </c>
      <c r="Q397" s="2">
        <v>46370</v>
      </c>
      <c r="R397" t="s">
        <v>84</v>
      </c>
    </row>
    <row r="398" spans="1:18" x14ac:dyDescent="0.2">
      <c r="A398" t="s">
        <v>851</v>
      </c>
      <c r="B398" t="s">
        <v>852</v>
      </c>
      <c r="C398" t="s">
        <v>103</v>
      </c>
      <c r="D398" t="s">
        <v>104</v>
      </c>
      <c r="E398" t="s">
        <v>80</v>
      </c>
      <c r="F398" t="s">
        <v>45</v>
      </c>
      <c r="G398" t="s">
        <v>61</v>
      </c>
      <c r="H398" t="s">
        <v>88</v>
      </c>
      <c r="I398" t="s">
        <v>70</v>
      </c>
      <c r="J398" t="s">
        <v>48</v>
      </c>
      <c r="K398" s="2">
        <v>45968</v>
      </c>
      <c r="L398" s="2">
        <v>46333</v>
      </c>
      <c r="M398" t="s">
        <v>64</v>
      </c>
      <c r="N398" t="s">
        <v>49</v>
      </c>
      <c r="O398">
        <v>2</v>
      </c>
      <c r="P398" t="s">
        <v>50</v>
      </c>
      <c r="Q398" s="2">
        <v>46400</v>
      </c>
      <c r="R398" t="s">
        <v>84</v>
      </c>
    </row>
    <row r="399" spans="1:18" x14ac:dyDescent="0.2">
      <c r="A399" t="s">
        <v>853</v>
      </c>
      <c r="B399" t="s">
        <v>854</v>
      </c>
      <c r="C399" t="s">
        <v>31</v>
      </c>
      <c r="D399" t="s">
        <v>32</v>
      </c>
      <c r="E399" t="s">
        <v>105</v>
      </c>
      <c r="F399" t="s">
        <v>45</v>
      </c>
      <c r="G399" t="s">
        <v>61</v>
      </c>
      <c r="H399" t="s">
        <v>47</v>
      </c>
      <c r="I399" t="s">
        <v>39</v>
      </c>
      <c r="J399" t="s">
        <v>48</v>
      </c>
      <c r="K399" s="2">
        <v>45934</v>
      </c>
      <c r="L399" s="2">
        <v>46299</v>
      </c>
      <c r="M399" t="s">
        <v>69</v>
      </c>
      <c r="N399" t="s">
        <v>75</v>
      </c>
      <c r="O399">
        <v>0</v>
      </c>
      <c r="P399" t="s">
        <v>50</v>
      </c>
      <c r="Q399" s="2">
        <v>46140</v>
      </c>
      <c r="R399" t="s">
        <v>57</v>
      </c>
    </row>
    <row r="400" spans="1:18" x14ac:dyDescent="0.2">
      <c r="A400" t="s">
        <v>855</v>
      </c>
      <c r="B400" t="s">
        <v>856</v>
      </c>
      <c r="C400" t="s">
        <v>78</v>
      </c>
      <c r="D400" t="s">
        <v>79</v>
      </c>
      <c r="E400" t="s">
        <v>60</v>
      </c>
      <c r="F400" t="s">
        <v>34</v>
      </c>
      <c r="G400" t="s">
        <v>35</v>
      </c>
      <c r="H400" t="s">
        <v>88</v>
      </c>
      <c r="I400" t="s">
        <v>50</v>
      </c>
      <c r="J400" t="s">
        <v>48</v>
      </c>
      <c r="K400" s="2">
        <v>46042</v>
      </c>
      <c r="L400" s="2">
        <v>46407</v>
      </c>
      <c r="M400" t="s">
        <v>84</v>
      </c>
      <c r="N400" t="s">
        <v>55</v>
      </c>
      <c r="O400">
        <v>2</v>
      </c>
      <c r="P400" t="s">
        <v>62</v>
      </c>
      <c r="Q400" s="2">
        <v>46280</v>
      </c>
      <c r="R400" t="s">
        <v>38</v>
      </c>
    </row>
    <row r="401" spans="1:18" x14ac:dyDescent="0.2">
      <c r="A401" t="s">
        <v>857</v>
      </c>
      <c r="B401" t="s">
        <v>858</v>
      </c>
      <c r="C401" t="s">
        <v>103</v>
      </c>
      <c r="D401" t="s">
        <v>104</v>
      </c>
      <c r="E401" t="s">
        <v>53</v>
      </c>
      <c r="F401" t="s">
        <v>34</v>
      </c>
      <c r="G401" t="s">
        <v>35</v>
      </c>
      <c r="H401" t="s">
        <v>88</v>
      </c>
      <c r="I401" t="s">
        <v>70</v>
      </c>
      <c r="J401" t="s">
        <v>48</v>
      </c>
      <c r="K401" s="2">
        <v>45920</v>
      </c>
      <c r="L401" s="2">
        <v>46100</v>
      </c>
      <c r="M401" t="s">
        <v>38</v>
      </c>
      <c r="N401" t="s">
        <v>75</v>
      </c>
      <c r="O401">
        <v>3</v>
      </c>
      <c r="P401" t="s">
        <v>70</v>
      </c>
      <c r="Q401" s="2">
        <v>46383</v>
      </c>
      <c r="R401" t="s">
        <v>64</v>
      </c>
    </row>
    <row r="402" spans="1:18" x14ac:dyDescent="0.2">
      <c r="A402" t="s">
        <v>859</v>
      </c>
      <c r="B402" t="s">
        <v>860</v>
      </c>
      <c r="C402" t="s">
        <v>96</v>
      </c>
      <c r="D402" t="s">
        <v>97</v>
      </c>
      <c r="E402" t="s">
        <v>80</v>
      </c>
      <c r="F402" t="s">
        <v>34</v>
      </c>
      <c r="G402" t="s">
        <v>35</v>
      </c>
      <c r="H402" t="s">
        <v>36</v>
      </c>
      <c r="I402" t="s">
        <v>56</v>
      </c>
      <c r="J402" t="s">
        <v>63</v>
      </c>
      <c r="K402" s="2">
        <v>46057</v>
      </c>
      <c r="L402" s="2">
        <v>46422</v>
      </c>
      <c r="M402" t="s">
        <v>69</v>
      </c>
      <c r="N402" t="s">
        <v>49</v>
      </c>
      <c r="O402">
        <v>4</v>
      </c>
      <c r="P402" t="s">
        <v>111</v>
      </c>
      <c r="Q402" s="2">
        <v>46296</v>
      </c>
      <c r="R402" t="s">
        <v>84</v>
      </c>
    </row>
    <row r="403" spans="1:18" x14ac:dyDescent="0.2">
      <c r="A403" t="s">
        <v>861</v>
      </c>
      <c r="B403" t="s">
        <v>862</v>
      </c>
      <c r="C403" t="s">
        <v>31</v>
      </c>
      <c r="D403" t="s">
        <v>32</v>
      </c>
      <c r="E403" t="s">
        <v>60</v>
      </c>
      <c r="F403" t="s">
        <v>67</v>
      </c>
      <c r="G403" t="s">
        <v>68</v>
      </c>
      <c r="H403" t="s">
        <v>47</v>
      </c>
      <c r="I403" t="s">
        <v>56</v>
      </c>
      <c r="J403" t="s">
        <v>48</v>
      </c>
      <c r="K403" s="2">
        <v>46176</v>
      </c>
      <c r="L403" s="2">
        <v>46266</v>
      </c>
      <c r="M403" t="s">
        <v>38</v>
      </c>
      <c r="N403" t="s">
        <v>55</v>
      </c>
      <c r="O403">
        <v>0</v>
      </c>
      <c r="P403" t="s">
        <v>62</v>
      </c>
      <c r="Q403" s="2">
        <v>46353</v>
      </c>
      <c r="R403" t="s">
        <v>57</v>
      </c>
    </row>
    <row r="404" spans="1:18" x14ac:dyDescent="0.2">
      <c r="A404" t="s">
        <v>863</v>
      </c>
      <c r="B404" t="s">
        <v>864</v>
      </c>
      <c r="C404" t="s">
        <v>73</v>
      </c>
      <c r="D404" t="s">
        <v>74</v>
      </c>
      <c r="E404" t="s">
        <v>53</v>
      </c>
      <c r="F404" t="s">
        <v>67</v>
      </c>
      <c r="G404" t="s">
        <v>68</v>
      </c>
      <c r="H404" t="s">
        <v>88</v>
      </c>
      <c r="I404" t="s">
        <v>54</v>
      </c>
      <c r="J404" t="s">
        <v>48</v>
      </c>
      <c r="K404" s="2">
        <v>46270</v>
      </c>
      <c r="L404" s="2">
        <v>46635</v>
      </c>
      <c r="M404" t="s">
        <v>64</v>
      </c>
      <c r="N404" t="s">
        <v>75</v>
      </c>
      <c r="O404">
        <v>2</v>
      </c>
      <c r="P404" t="s">
        <v>70</v>
      </c>
      <c r="Q404" s="2">
        <v>46149</v>
      </c>
      <c r="R404" t="s">
        <v>64</v>
      </c>
    </row>
    <row r="405" spans="1:18" x14ac:dyDescent="0.2">
      <c r="A405" t="s">
        <v>865</v>
      </c>
      <c r="B405" t="s">
        <v>866</v>
      </c>
      <c r="C405" t="s">
        <v>96</v>
      </c>
      <c r="D405" t="s">
        <v>97</v>
      </c>
      <c r="E405" t="s">
        <v>53</v>
      </c>
      <c r="F405" t="s">
        <v>34</v>
      </c>
      <c r="G405" t="s">
        <v>35</v>
      </c>
      <c r="H405" t="s">
        <v>88</v>
      </c>
      <c r="I405" t="s">
        <v>39</v>
      </c>
      <c r="J405" t="s">
        <v>48</v>
      </c>
      <c r="K405" s="2">
        <v>45849</v>
      </c>
      <c r="L405" s="2">
        <v>45939</v>
      </c>
      <c r="M405" t="s">
        <v>38</v>
      </c>
      <c r="N405" t="s">
        <v>55</v>
      </c>
      <c r="O405">
        <v>2</v>
      </c>
      <c r="P405" t="s">
        <v>50</v>
      </c>
      <c r="Q405" s="2">
        <v>46288</v>
      </c>
      <c r="R405" t="s">
        <v>38</v>
      </c>
    </row>
    <row r="406" spans="1:18" x14ac:dyDescent="0.2">
      <c r="A406" t="s">
        <v>867</v>
      </c>
      <c r="B406" t="s">
        <v>868</v>
      </c>
      <c r="C406" t="s">
        <v>42</v>
      </c>
      <c r="D406" t="s">
        <v>43</v>
      </c>
      <c r="E406" t="s">
        <v>91</v>
      </c>
      <c r="F406" t="s">
        <v>67</v>
      </c>
      <c r="G406" t="s">
        <v>68</v>
      </c>
      <c r="H406" t="s">
        <v>88</v>
      </c>
      <c r="I406" t="s">
        <v>106</v>
      </c>
      <c r="J406" t="s">
        <v>63</v>
      </c>
      <c r="K406" s="2">
        <v>46039</v>
      </c>
      <c r="L406" s="2">
        <v>46219</v>
      </c>
      <c r="M406" t="s">
        <v>38</v>
      </c>
      <c r="N406" t="s">
        <v>49</v>
      </c>
      <c r="O406">
        <v>0</v>
      </c>
      <c r="P406" t="s">
        <v>106</v>
      </c>
      <c r="Q406" s="2">
        <v>46381</v>
      </c>
      <c r="R406" t="s">
        <v>57</v>
      </c>
    </row>
    <row r="407" spans="1:18" x14ac:dyDescent="0.2">
      <c r="A407" t="s">
        <v>869</v>
      </c>
      <c r="B407" t="s">
        <v>870</v>
      </c>
      <c r="C407" t="s">
        <v>73</v>
      </c>
      <c r="D407" t="s">
        <v>74</v>
      </c>
      <c r="E407" t="s">
        <v>44</v>
      </c>
      <c r="F407" t="s">
        <v>34</v>
      </c>
      <c r="G407" t="s">
        <v>35</v>
      </c>
      <c r="H407" t="s">
        <v>88</v>
      </c>
      <c r="I407" t="s">
        <v>106</v>
      </c>
      <c r="J407" t="s">
        <v>63</v>
      </c>
      <c r="K407" s="2">
        <v>45866</v>
      </c>
      <c r="L407" s="2">
        <v>46046</v>
      </c>
      <c r="M407" t="s">
        <v>38</v>
      </c>
      <c r="N407" t="s">
        <v>55</v>
      </c>
      <c r="O407">
        <v>1</v>
      </c>
      <c r="P407" t="s">
        <v>50</v>
      </c>
      <c r="Q407" s="2">
        <v>46258</v>
      </c>
      <c r="R407" t="s">
        <v>38</v>
      </c>
    </row>
    <row r="408" spans="1:18" x14ac:dyDescent="0.2">
      <c r="A408" t="s">
        <v>871</v>
      </c>
      <c r="B408" t="s">
        <v>872</v>
      </c>
      <c r="C408" t="s">
        <v>78</v>
      </c>
      <c r="D408" t="s">
        <v>79</v>
      </c>
      <c r="E408" t="s">
        <v>44</v>
      </c>
      <c r="F408" t="s">
        <v>34</v>
      </c>
      <c r="G408" t="s">
        <v>35</v>
      </c>
      <c r="H408" t="s">
        <v>88</v>
      </c>
      <c r="I408" t="s">
        <v>56</v>
      </c>
      <c r="J408" t="s">
        <v>37</v>
      </c>
      <c r="K408" s="2">
        <v>45914</v>
      </c>
      <c r="L408" s="2">
        <v>46094</v>
      </c>
      <c r="M408" t="s">
        <v>38</v>
      </c>
      <c r="N408" t="s">
        <v>49</v>
      </c>
      <c r="O408">
        <v>0</v>
      </c>
      <c r="P408" t="s">
        <v>54</v>
      </c>
      <c r="Q408" s="2">
        <v>46254</v>
      </c>
      <c r="R408" t="s">
        <v>57</v>
      </c>
    </row>
    <row r="409" spans="1:18" x14ac:dyDescent="0.2">
      <c r="A409" t="s">
        <v>873</v>
      </c>
      <c r="B409" t="s">
        <v>874</v>
      </c>
      <c r="C409" t="s">
        <v>31</v>
      </c>
      <c r="D409" t="s">
        <v>32</v>
      </c>
      <c r="E409" t="s">
        <v>53</v>
      </c>
      <c r="F409" t="s">
        <v>67</v>
      </c>
      <c r="G409" t="s">
        <v>118</v>
      </c>
      <c r="H409" t="s">
        <v>47</v>
      </c>
      <c r="I409" t="s">
        <v>56</v>
      </c>
      <c r="J409" t="s">
        <v>63</v>
      </c>
      <c r="K409" s="2">
        <v>46186</v>
      </c>
      <c r="L409" s="2">
        <v>46276</v>
      </c>
      <c r="M409" t="s">
        <v>38</v>
      </c>
      <c r="N409" t="s">
        <v>75</v>
      </c>
      <c r="O409">
        <v>0</v>
      </c>
      <c r="P409" t="s">
        <v>39</v>
      </c>
      <c r="Q409" s="2">
        <v>46218</v>
      </c>
      <c r="R409" t="s">
        <v>57</v>
      </c>
    </row>
    <row r="410" spans="1:18" x14ac:dyDescent="0.2">
      <c r="A410" t="s">
        <v>875</v>
      </c>
      <c r="B410" t="s">
        <v>876</v>
      </c>
      <c r="C410" t="s">
        <v>31</v>
      </c>
      <c r="D410" t="s">
        <v>32</v>
      </c>
      <c r="E410" t="s">
        <v>44</v>
      </c>
      <c r="F410" t="s">
        <v>67</v>
      </c>
      <c r="G410" t="s">
        <v>68</v>
      </c>
      <c r="H410" t="s">
        <v>88</v>
      </c>
      <c r="I410" t="s">
        <v>111</v>
      </c>
      <c r="J410" t="s">
        <v>63</v>
      </c>
      <c r="K410" s="2">
        <v>45900</v>
      </c>
      <c r="L410" s="2">
        <v>46265</v>
      </c>
      <c r="M410" t="s">
        <v>38</v>
      </c>
      <c r="N410" t="s">
        <v>75</v>
      </c>
      <c r="O410">
        <v>2</v>
      </c>
      <c r="P410" t="s">
        <v>50</v>
      </c>
      <c r="Q410" s="2">
        <v>46188</v>
      </c>
      <c r="R410" t="s">
        <v>38</v>
      </c>
    </row>
    <row r="411" spans="1:18" x14ac:dyDescent="0.2">
      <c r="A411" t="s">
        <v>877</v>
      </c>
      <c r="B411" t="s">
        <v>878</v>
      </c>
      <c r="C411" t="s">
        <v>42</v>
      </c>
      <c r="D411" t="s">
        <v>43</v>
      </c>
      <c r="E411" t="s">
        <v>80</v>
      </c>
      <c r="F411" t="s">
        <v>45</v>
      </c>
      <c r="G411" t="s">
        <v>46</v>
      </c>
      <c r="H411" t="s">
        <v>88</v>
      </c>
      <c r="I411" t="s">
        <v>70</v>
      </c>
      <c r="J411" t="s">
        <v>63</v>
      </c>
      <c r="K411" s="2">
        <v>46273</v>
      </c>
      <c r="L411" s="2">
        <v>46453</v>
      </c>
      <c r="M411" t="s">
        <v>84</v>
      </c>
      <c r="N411" t="s">
        <v>75</v>
      </c>
      <c r="O411">
        <v>3</v>
      </c>
      <c r="P411" t="s">
        <v>56</v>
      </c>
      <c r="Q411" s="2">
        <v>46138</v>
      </c>
      <c r="R411" t="s">
        <v>64</v>
      </c>
    </row>
    <row r="412" spans="1:18" x14ac:dyDescent="0.2">
      <c r="A412" t="s">
        <v>879</v>
      </c>
      <c r="B412" t="s">
        <v>880</v>
      </c>
      <c r="C412" t="s">
        <v>31</v>
      </c>
      <c r="D412" t="s">
        <v>83</v>
      </c>
      <c r="E412" t="s">
        <v>53</v>
      </c>
      <c r="F412" t="s">
        <v>34</v>
      </c>
      <c r="G412" t="s">
        <v>35</v>
      </c>
      <c r="H412" t="s">
        <v>47</v>
      </c>
      <c r="I412" t="s">
        <v>56</v>
      </c>
      <c r="J412" t="s">
        <v>37</v>
      </c>
      <c r="K412" s="2">
        <v>46134</v>
      </c>
      <c r="L412" s="2">
        <v>46499</v>
      </c>
      <c r="M412" t="s">
        <v>64</v>
      </c>
      <c r="N412" t="s">
        <v>75</v>
      </c>
      <c r="O412">
        <v>0</v>
      </c>
      <c r="P412" t="s">
        <v>70</v>
      </c>
      <c r="Q412" s="2">
        <v>46254</v>
      </c>
      <c r="R412" t="s">
        <v>57</v>
      </c>
    </row>
    <row r="413" spans="1:18" x14ac:dyDescent="0.2">
      <c r="A413" t="s">
        <v>881</v>
      </c>
      <c r="B413" t="s">
        <v>882</v>
      </c>
      <c r="C413" t="s">
        <v>31</v>
      </c>
      <c r="D413" t="s">
        <v>32</v>
      </c>
      <c r="E413" t="s">
        <v>44</v>
      </c>
      <c r="F413" t="s">
        <v>45</v>
      </c>
      <c r="G413" t="s">
        <v>46</v>
      </c>
      <c r="H413" t="s">
        <v>88</v>
      </c>
      <c r="I413" t="s">
        <v>106</v>
      </c>
      <c r="J413" t="s">
        <v>63</v>
      </c>
      <c r="K413" s="2">
        <v>46137</v>
      </c>
      <c r="L413" s="2">
        <v>46227</v>
      </c>
      <c r="M413" t="s">
        <v>38</v>
      </c>
      <c r="N413" t="s">
        <v>49</v>
      </c>
      <c r="O413">
        <v>2</v>
      </c>
      <c r="P413" t="s">
        <v>106</v>
      </c>
      <c r="Q413" s="2">
        <v>46408</v>
      </c>
      <c r="R413" t="s">
        <v>64</v>
      </c>
    </row>
    <row r="414" spans="1:18" x14ac:dyDescent="0.2">
      <c r="A414" t="s">
        <v>883</v>
      </c>
      <c r="B414" t="s">
        <v>884</v>
      </c>
      <c r="C414" t="s">
        <v>31</v>
      </c>
      <c r="D414" t="s">
        <v>87</v>
      </c>
      <c r="E414" t="s">
        <v>105</v>
      </c>
      <c r="F414" t="s">
        <v>34</v>
      </c>
      <c r="G414" t="s">
        <v>35</v>
      </c>
      <c r="H414" t="s">
        <v>47</v>
      </c>
      <c r="I414" t="s">
        <v>111</v>
      </c>
      <c r="J414" t="s">
        <v>37</v>
      </c>
      <c r="K414" s="2">
        <v>45813</v>
      </c>
      <c r="L414" s="2">
        <v>46178</v>
      </c>
      <c r="M414" t="s">
        <v>38</v>
      </c>
      <c r="N414" t="s">
        <v>55</v>
      </c>
      <c r="O414">
        <v>0</v>
      </c>
      <c r="P414" t="s">
        <v>62</v>
      </c>
      <c r="Q414" s="2">
        <v>46311</v>
      </c>
      <c r="R414" t="s">
        <v>57</v>
      </c>
    </row>
    <row r="415" spans="1:18" x14ac:dyDescent="0.2">
      <c r="A415" t="s">
        <v>885</v>
      </c>
      <c r="B415" t="s">
        <v>886</v>
      </c>
      <c r="C415" t="s">
        <v>31</v>
      </c>
      <c r="D415" t="s">
        <v>83</v>
      </c>
      <c r="E415" t="s">
        <v>60</v>
      </c>
      <c r="F415" t="s">
        <v>45</v>
      </c>
      <c r="G415" t="s">
        <v>61</v>
      </c>
      <c r="H415" t="s">
        <v>88</v>
      </c>
      <c r="I415" t="s">
        <v>106</v>
      </c>
      <c r="J415" t="s">
        <v>63</v>
      </c>
      <c r="K415" s="2">
        <v>45857</v>
      </c>
      <c r="L415" s="2">
        <v>45947</v>
      </c>
      <c r="M415" t="s">
        <v>38</v>
      </c>
      <c r="N415" t="s">
        <v>49</v>
      </c>
      <c r="O415">
        <v>0</v>
      </c>
      <c r="P415" t="s">
        <v>111</v>
      </c>
      <c r="Q415" s="2">
        <v>46353</v>
      </c>
      <c r="R415" t="s">
        <v>57</v>
      </c>
    </row>
    <row r="416" spans="1:18" x14ac:dyDescent="0.2">
      <c r="A416" t="s">
        <v>887</v>
      </c>
      <c r="B416" t="s">
        <v>888</v>
      </c>
      <c r="C416" t="s">
        <v>78</v>
      </c>
      <c r="D416" t="s">
        <v>79</v>
      </c>
      <c r="E416" t="s">
        <v>53</v>
      </c>
      <c r="F416" t="s">
        <v>45</v>
      </c>
      <c r="G416" t="s">
        <v>61</v>
      </c>
      <c r="H416" t="s">
        <v>88</v>
      </c>
      <c r="I416" t="s">
        <v>111</v>
      </c>
      <c r="J416" t="s">
        <v>63</v>
      </c>
      <c r="K416" s="2">
        <v>46035</v>
      </c>
      <c r="L416" s="2">
        <v>46125</v>
      </c>
      <c r="M416" t="s">
        <v>38</v>
      </c>
      <c r="N416" t="s">
        <v>55</v>
      </c>
      <c r="O416">
        <v>1</v>
      </c>
      <c r="P416" t="s">
        <v>106</v>
      </c>
      <c r="Q416" s="2">
        <v>46247</v>
      </c>
      <c r="R416" t="s">
        <v>38</v>
      </c>
    </row>
    <row r="417" spans="1:18" x14ac:dyDescent="0.2">
      <c r="A417" t="s">
        <v>889</v>
      </c>
      <c r="B417" t="s">
        <v>890</v>
      </c>
      <c r="C417" t="s">
        <v>31</v>
      </c>
      <c r="D417" t="s">
        <v>83</v>
      </c>
      <c r="E417" t="s">
        <v>80</v>
      </c>
      <c r="F417" t="s">
        <v>67</v>
      </c>
      <c r="G417" t="s">
        <v>118</v>
      </c>
      <c r="H417" t="s">
        <v>47</v>
      </c>
      <c r="I417" t="s">
        <v>111</v>
      </c>
      <c r="J417" t="s">
        <v>48</v>
      </c>
      <c r="K417" s="2">
        <v>46218</v>
      </c>
      <c r="L417" s="2">
        <v>46398</v>
      </c>
      <c r="M417" t="s">
        <v>64</v>
      </c>
      <c r="N417" t="s">
        <v>55</v>
      </c>
      <c r="O417">
        <v>2</v>
      </c>
      <c r="P417" t="s">
        <v>62</v>
      </c>
      <c r="Q417" s="2">
        <v>46293</v>
      </c>
      <c r="R417" t="s">
        <v>38</v>
      </c>
    </row>
    <row r="418" spans="1:18" x14ac:dyDescent="0.2">
      <c r="A418" t="s">
        <v>891</v>
      </c>
      <c r="B418" t="s">
        <v>892</v>
      </c>
      <c r="C418" t="s">
        <v>103</v>
      </c>
      <c r="D418" t="s">
        <v>104</v>
      </c>
      <c r="E418" t="s">
        <v>53</v>
      </c>
      <c r="F418" t="s">
        <v>34</v>
      </c>
      <c r="G418" t="s">
        <v>35</v>
      </c>
      <c r="H418" t="s">
        <v>88</v>
      </c>
      <c r="I418" t="s">
        <v>70</v>
      </c>
      <c r="J418" t="s">
        <v>48</v>
      </c>
      <c r="K418" s="2">
        <v>45870</v>
      </c>
      <c r="L418" s="2">
        <v>46050</v>
      </c>
      <c r="M418" t="s">
        <v>38</v>
      </c>
      <c r="N418" t="s">
        <v>49</v>
      </c>
      <c r="O418">
        <v>3</v>
      </c>
      <c r="P418" t="s">
        <v>50</v>
      </c>
      <c r="Q418" s="2">
        <v>46320</v>
      </c>
      <c r="R418" t="s">
        <v>84</v>
      </c>
    </row>
    <row r="419" spans="1:18" x14ac:dyDescent="0.2">
      <c r="A419" t="s">
        <v>893</v>
      </c>
      <c r="B419" t="s">
        <v>894</v>
      </c>
      <c r="C419" t="s">
        <v>31</v>
      </c>
      <c r="D419" t="s">
        <v>83</v>
      </c>
      <c r="E419" t="s">
        <v>105</v>
      </c>
      <c r="F419" t="s">
        <v>67</v>
      </c>
      <c r="G419" t="s">
        <v>118</v>
      </c>
      <c r="H419" t="s">
        <v>88</v>
      </c>
      <c r="I419" t="s">
        <v>62</v>
      </c>
      <c r="J419" t="s">
        <v>63</v>
      </c>
      <c r="K419" s="2">
        <v>45874</v>
      </c>
      <c r="L419" s="2">
        <v>46054</v>
      </c>
      <c r="M419" t="s">
        <v>38</v>
      </c>
      <c r="N419" t="s">
        <v>49</v>
      </c>
      <c r="O419">
        <v>2</v>
      </c>
      <c r="P419" t="s">
        <v>70</v>
      </c>
      <c r="Q419" s="2">
        <v>46393</v>
      </c>
      <c r="R419" t="s">
        <v>84</v>
      </c>
    </row>
    <row r="420" spans="1:18" x14ac:dyDescent="0.2">
      <c r="A420" t="s">
        <v>895</v>
      </c>
      <c r="B420" t="s">
        <v>896</v>
      </c>
      <c r="C420" t="s">
        <v>78</v>
      </c>
      <c r="D420" t="s">
        <v>79</v>
      </c>
      <c r="E420" t="s">
        <v>105</v>
      </c>
      <c r="F420" t="s">
        <v>34</v>
      </c>
      <c r="G420" t="s">
        <v>35</v>
      </c>
      <c r="H420" t="s">
        <v>88</v>
      </c>
      <c r="I420" t="s">
        <v>111</v>
      </c>
      <c r="J420" t="s">
        <v>63</v>
      </c>
      <c r="K420" s="2">
        <v>46109</v>
      </c>
      <c r="L420" s="2">
        <v>46474</v>
      </c>
      <c r="M420" t="s">
        <v>64</v>
      </c>
      <c r="O420">
        <v>3</v>
      </c>
      <c r="P420" t="s">
        <v>70</v>
      </c>
      <c r="Q420" s="2">
        <v>46205</v>
      </c>
      <c r="R420" t="s">
        <v>64</v>
      </c>
    </row>
    <row r="421" spans="1:18" x14ac:dyDescent="0.2">
      <c r="A421" t="s">
        <v>897</v>
      </c>
      <c r="B421" t="s">
        <v>898</v>
      </c>
      <c r="C421" t="s">
        <v>78</v>
      </c>
      <c r="D421" t="s">
        <v>79</v>
      </c>
      <c r="E421" t="s">
        <v>53</v>
      </c>
      <c r="F421" t="s">
        <v>34</v>
      </c>
      <c r="G421" t="s">
        <v>35</v>
      </c>
      <c r="H421" t="s">
        <v>88</v>
      </c>
      <c r="I421" t="s">
        <v>39</v>
      </c>
      <c r="J421" t="s">
        <v>63</v>
      </c>
      <c r="K421" s="2">
        <v>46229</v>
      </c>
      <c r="L421" s="2">
        <v>46319</v>
      </c>
      <c r="M421" t="s">
        <v>84</v>
      </c>
      <c r="N421" t="s">
        <v>55</v>
      </c>
      <c r="O421">
        <v>1</v>
      </c>
      <c r="P421" t="s">
        <v>111</v>
      </c>
      <c r="Q421" s="2">
        <v>46346</v>
      </c>
      <c r="R421" t="s">
        <v>84</v>
      </c>
    </row>
    <row r="422" spans="1:18" x14ac:dyDescent="0.2">
      <c r="A422" t="s">
        <v>899</v>
      </c>
      <c r="B422" t="s">
        <v>900</v>
      </c>
      <c r="C422" t="s">
        <v>31</v>
      </c>
      <c r="D422" t="s">
        <v>87</v>
      </c>
      <c r="E422" t="s">
        <v>91</v>
      </c>
      <c r="F422" t="s">
        <v>45</v>
      </c>
      <c r="G422" t="s">
        <v>46</v>
      </c>
      <c r="H422" t="s">
        <v>36</v>
      </c>
      <c r="I422" t="s">
        <v>56</v>
      </c>
      <c r="J422" t="s">
        <v>63</v>
      </c>
      <c r="K422" s="2">
        <v>45984</v>
      </c>
      <c r="L422" s="2">
        <v>46349</v>
      </c>
      <c r="M422" t="s">
        <v>64</v>
      </c>
      <c r="N422" t="s">
        <v>75</v>
      </c>
      <c r="O422">
        <v>5</v>
      </c>
      <c r="P422" t="s">
        <v>62</v>
      </c>
      <c r="Q422" s="2">
        <v>46291</v>
      </c>
      <c r="R422" t="s">
        <v>38</v>
      </c>
    </row>
    <row r="423" spans="1:18" x14ac:dyDescent="0.2">
      <c r="A423" t="s">
        <v>901</v>
      </c>
      <c r="B423" t="s">
        <v>902</v>
      </c>
      <c r="C423" t="s">
        <v>78</v>
      </c>
      <c r="D423" t="s">
        <v>79</v>
      </c>
      <c r="E423" t="s">
        <v>105</v>
      </c>
      <c r="F423" t="s">
        <v>45</v>
      </c>
      <c r="G423" t="s">
        <v>61</v>
      </c>
      <c r="H423" t="s">
        <v>88</v>
      </c>
      <c r="I423" t="s">
        <v>39</v>
      </c>
      <c r="J423" t="s">
        <v>37</v>
      </c>
      <c r="K423" s="2">
        <v>46275</v>
      </c>
      <c r="L423" s="2">
        <v>46640</v>
      </c>
      <c r="M423" t="s">
        <v>69</v>
      </c>
      <c r="N423" t="s">
        <v>55</v>
      </c>
      <c r="O423">
        <v>2</v>
      </c>
      <c r="P423" t="s">
        <v>62</v>
      </c>
      <c r="Q423" s="2">
        <v>46130</v>
      </c>
      <c r="R423" t="s">
        <v>64</v>
      </c>
    </row>
    <row r="424" spans="1:18" x14ac:dyDescent="0.2">
      <c r="A424" t="s">
        <v>903</v>
      </c>
      <c r="B424" t="s">
        <v>904</v>
      </c>
      <c r="C424" t="s">
        <v>31</v>
      </c>
      <c r="D424" t="s">
        <v>83</v>
      </c>
      <c r="E424" t="s">
        <v>80</v>
      </c>
      <c r="F424" t="s">
        <v>67</v>
      </c>
      <c r="G424" t="s">
        <v>118</v>
      </c>
      <c r="H424" t="s">
        <v>88</v>
      </c>
      <c r="I424" t="s">
        <v>50</v>
      </c>
      <c r="J424" t="s">
        <v>63</v>
      </c>
      <c r="K424" s="2">
        <v>46032</v>
      </c>
      <c r="L424" s="2">
        <v>46122</v>
      </c>
      <c r="M424" t="s">
        <v>38</v>
      </c>
      <c r="N424" t="s">
        <v>55</v>
      </c>
      <c r="O424">
        <v>3</v>
      </c>
      <c r="P424" t="s">
        <v>50</v>
      </c>
      <c r="Q424" s="2">
        <v>46299</v>
      </c>
      <c r="R424" t="s">
        <v>84</v>
      </c>
    </row>
    <row r="425" spans="1:18" x14ac:dyDescent="0.2">
      <c r="A425" t="s">
        <v>905</v>
      </c>
      <c r="B425" t="s">
        <v>906</v>
      </c>
      <c r="C425" t="s">
        <v>78</v>
      </c>
      <c r="D425" t="s">
        <v>79</v>
      </c>
      <c r="E425" t="s">
        <v>105</v>
      </c>
      <c r="F425" t="s">
        <v>45</v>
      </c>
      <c r="G425" t="s">
        <v>46</v>
      </c>
      <c r="H425" t="s">
        <v>88</v>
      </c>
      <c r="I425" t="s">
        <v>50</v>
      </c>
      <c r="J425" t="s">
        <v>37</v>
      </c>
      <c r="K425" s="2">
        <v>45906</v>
      </c>
      <c r="L425" s="2">
        <v>46086</v>
      </c>
      <c r="M425" t="s">
        <v>38</v>
      </c>
      <c r="N425" t="s">
        <v>49</v>
      </c>
      <c r="O425">
        <v>3</v>
      </c>
      <c r="P425" t="s">
        <v>62</v>
      </c>
      <c r="Q425" s="2">
        <v>46184</v>
      </c>
      <c r="R425" t="s">
        <v>64</v>
      </c>
    </row>
    <row r="426" spans="1:18" x14ac:dyDescent="0.2">
      <c r="A426" t="s">
        <v>907</v>
      </c>
      <c r="B426" t="s">
        <v>908</v>
      </c>
      <c r="C426" t="s">
        <v>96</v>
      </c>
      <c r="D426" t="s">
        <v>97</v>
      </c>
      <c r="E426" t="s">
        <v>80</v>
      </c>
      <c r="F426" t="s">
        <v>34</v>
      </c>
      <c r="G426" t="s">
        <v>35</v>
      </c>
      <c r="H426" t="s">
        <v>88</v>
      </c>
      <c r="I426" t="s">
        <v>111</v>
      </c>
      <c r="J426" t="s">
        <v>63</v>
      </c>
      <c r="K426" s="2">
        <v>46079</v>
      </c>
      <c r="L426" s="2">
        <v>46259</v>
      </c>
      <c r="M426" t="s">
        <v>38</v>
      </c>
      <c r="N426" t="s">
        <v>55</v>
      </c>
      <c r="O426">
        <v>1</v>
      </c>
      <c r="P426" t="s">
        <v>54</v>
      </c>
      <c r="Q426" s="2">
        <v>46332</v>
      </c>
      <c r="R426" t="s">
        <v>84</v>
      </c>
    </row>
    <row r="427" spans="1:18" x14ac:dyDescent="0.2">
      <c r="A427" t="s">
        <v>909</v>
      </c>
      <c r="B427" t="s">
        <v>910</v>
      </c>
      <c r="C427" t="s">
        <v>31</v>
      </c>
      <c r="D427" t="s">
        <v>32</v>
      </c>
      <c r="E427" t="s">
        <v>80</v>
      </c>
      <c r="F427" t="s">
        <v>34</v>
      </c>
      <c r="G427" t="s">
        <v>35</v>
      </c>
      <c r="H427" t="s">
        <v>98</v>
      </c>
      <c r="I427" t="s">
        <v>106</v>
      </c>
      <c r="J427" t="s">
        <v>63</v>
      </c>
      <c r="K427" s="2">
        <v>46258</v>
      </c>
      <c r="L427" s="2">
        <v>46348</v>
      </c>
      <c r="M427" t="s">
        <v>69</v>
      </c>
      <c r="N427" t="s">
        <v>55</v>
      </c>
      <c r="O427">
        <v>4</v>
      </c>
      <c r="P427" t="s">
        <v>56</v>
      </c>
      <c r="Q427" s="2">
        <v>46361</v>
      </c>
      <c r="R427" t="s">
        <v>84</v>
      </c>
    </row>
    <row r="428" spans="1:18" x14ac:dyDescent="0.2">
      <c r="A428" t="s">
        <v>911</v>
      </c>
      <c r="B428" t="s">
        <v>912</v>
      </c>
      <c r="C428" t="s">
        <v>42</v>
      </c>
      <c r="D428" t="s">
        <v>43</v>
      </c>
      <c r="E428" t="s">
        <v>60</v>
      </c>
      <c r="F428" t="s">
        <v>67</v>
      </c>
      <c r="G428" t="s">
        <v>68</v>
      </c>
      <c r="H428" t="s">
        <v>36</v>
      </c>
      <c r="J428" t="s">
        <v>48</v>
      </c>
      <c r="K428" s="2">
        <v>46230</v>
      </c>
      <c r="L428" s="2">
        <v>46320</v>
      </c>
      <c r="M428" t="s">
        <v>64</v>
      </c>
      <c r="N428" t="s">
        <v>49</v>
      </c>
      <c r="O428">
        <v>5</v>
      </c>
      <c r="P428" t="s">
        <v>106</v>
      </c>
      <c r="Q428" s="2">
        <v>46154</v>
      </c>
      <c r="R428" t="s">
        <v>38</v>
      </c>
    </row>
    <row r="429" spans="1:18" x14ac:dyDescent="0.2">
      <c r="A429" t="s">
        <v>913</v>
      </c>
      <c r="B429" t="s">
        <v>914</v>
      </c>
      <c r="C429" t="s">
        <v>42</v>
      </c>
      <c r="D429" t="s">
        <v>43</v>
      </c>
      <c r="E429" t="s">
        <v>80</v>
      </c>
      <c r="F429" t="s">
        <v>34</v>
      </c>
      <c r="G429" t="s">
        <v>35</v>
      </c>
      <c r="H429" t="s">
        <v>88</v>
      </c>
      <c r="I429" t="s">
        <v>111</v>
      </c>
      <c r="J429" t="s">
        <v>63</v>
      </c>
      <c r="K429" s="2">
        <v>45982</v>
      </c>
      <c r="L429" s="2">
        <v>46347</v>
      </c>
      <c r="M429" t="s">
        <v>64</v>
      </c>
      <c r="N429" t="s">
        <v>75</v>
      </c>
      <c r="O429">
        <v>2</v>
      </c>
      <c r="P429" t="s">
        <v>56</v>
      </c>
      <c r="Q429" s="2">
        <v>46263</v>
      </c>
      <c r="R429" t="s">
        <v>64</v>
      </c>
    </row>
    <row r="430" spans="1:18" x14ac:dyDescent="0.2">
      <c r="A430" t="s">
        <v>915</v>
      </c>
      <c r="B430" t="s">
        <v>916</v>
      </c>
      <c r="C430" t="s">
        <v>96</v>
      </c>
      <c r="D430" t="s">
        <v>97</v>
      </c>
      <c r="E430" t="s">
        <v>60</v>
      </c>
      <c r="F430" t="s">
        <v>45</v>
      </c>
      <c r="G430" t="s">
        <v>61</v>
      </c>
      <c r="H430" t="s">
        <v>47</v>
      </c>
      <c r="I430" t="s">
        <v>39</v>
      </c>
      <c r="J430" t="s">
        <v>48</v>
      </c>
      <c r="K430" s="2">
        <v>45939</v>
      </c>
      <c r="L430" s="2">
        <v>46119</v>
      </c>
      <c r="M430" t="s">
        <v>38</v>
      </c>
      <c r="N430" t="s">
        <v>49</v>
      </c>
      <c r="O430">
        <v>0</v>
      </c>
      <c r="P430" t="s">
        <v>70</v>
      </c>
      <c r="Q430" s="2">
        <v>46261</v>
      </c>
      <c r="R430" t="s">
        <v>57</v>
      </c>
    </row>
    <row r="431" spans="1:18" x14ac:dyDescent="0.2">
      <c r="A431" t="s">
        <v>917</v>
      </c>
      <c r="B431" t="s">
        <v>918</v>
      </c>
      <c r="C431" t="s">
        <v>31</v>
      </c>
      <c r="D431" t="s">
        <v>83</v>
      </c>
      <c r="E431" t="s">
        <v>44</v>
      </c>
      <c r="F431" t="s">
        <v>67</v>
      </c>
      <c r="G431" t="s">
        <v>118</v>
      </c>
      <c r="H431" t="s">
        <v>88</v>
      </c>
      <c r="I431" t="s">
        <v>56</v>
      </c>
      <c r="J431" t="s">
        <v>37</v>
      </c>
      <c r="K431" s="2">
        <v>45836</v>
      </c>
      <c r="L431" s="2">
        <v>46016</v>
      </c>
      <c r="M431" t="s">
        <v>38</v>
      </c>
      <c r="N431" t="s">
        <v>55</v>
      </c>
      <c r="O431">
        <v>0</v>
      </c>
      <c r="P431" t="s">
        <v>106</v>
      </c>
      <c r="Q431" s="2">
        <v>46204</v>
      </c>
      <c r="R431" t="s">
        <v>57</v>
      </c>
    </row>
    <row r="432" spans="1:18" x14ac:dyDescent="0.2">
      <c r="A432" t="s">
        <v>919</v>
      </c>
      <c r="B432" t="s">
        <v>920</v>
      </c>
      <c r="C432" t="s">
        <v>31</v>
      </c>
      <c r="D432" t="s">
        <v>83</v>
      </c>
      <c r="E432" t="s">
        <v>91</v>
      </c>
      <c r="F432" t="s">
        <v>45</v>
      </c>
      <c r="G432" t="s">
        <v>61</v>
      </c>
      <c r="H432" t="s">
        <v>47</v>
      </c>
      <c r="I432" t="s">
        <v>50</v>
      </c>
      <c r="J432" t="s">
        <v>37</v>
      </c>
      <c r="K432" s="2">
        <v>45866</v>
      </c>
      <c r="L432" s="2">
        <v>46231</v>
      </c>
      <c r="M432" t="s">
        <v>38</v>
      </c>
      <c r="N432" t="s">
        <v>55</v>
      </c>
      <c r="O432">
        <v>2</v>
      </c>
      <c r="P432" t="s">
        <v>62</v>
      </c>
      <c r="Q432" s="2">
        <v>46158</v>
      </c>
      <c r="R432" t="s">
        <v>38</v>
      </c>
    </row>
    <row r="433" spans="1:18" x14ac:dyDescent="0.2">
      <c r="A433" t="s">
        <v>921</v>
      </c>
      <c r="B433" t="s">
        <v>922</v>
      </c>
      <c r="C433" t="s">
        <v>96</v>
      </c>
      <c r="D433" t="s">
        <v>97</v>
      </c>
      <c r="E433" t="s">
        <v>91</v>
      </c>
      <c r="F433" t="s">
        <v>67</v>
      </c>
      <c r="G433" t="s">
        <v>68</v>
      </c>
      <c r="H433" t="s">
        <v>88</v>
      </c>
      <c r="I433" t="s">
        <v>50</v>
      </c>
      <c r="J433" t="s">
        <v>37</v>
      </c>
      <c r="K433" s="2">
        <v>46168</v>
      </c>
      <c r="L433" s="2">
        <v>46533</v>
      </c>
      <c r="M433" t="s">
        <v>69</v>
      </c>
      <c r="N433" t="s">
        <v>55</v>
      </c>
      <c r="O433">
        <v>2</v>
      </c>
      <c r="P433" t="s">
        <v>56</v>
      </c>
      <c r="Q433" s="2">
        <v>46174</v>
      </c>
      <c r="R433" t="s">
        <v>64</v>
      </c>
    </row>
    <row r="434" spans="1:18" x14ac:dyDescent="0.2">
      <c r="A434" t="s">
        <v>923</v>
      </c>
      <c r="B434" t="s">
        <v>924</v>
      </c>
      <c r="C434" t="s">
        <v>96</v>
      </c>
      <c r="D434" t="s">
        <v>97</v>
      </c>
      <c r="E434" t="s">
        <v>80</v>
      </c>
      <c r="F434" t="s">
        <v>67</v>
      </c>
      <c r="G434" t="s">
        <v>68</v>
      </c>
      <c r="H434" t="s">
        <v>88</v>
      </c>
      <c r="I434" t="s">
        <v>62</v>
      </c>
      <c r="J434" t="s">
        <v>63</v>
      </c>
      <c r="K434" s="2">
        <v>46033</v>
      </c>
      <c r="L434" s="2">
        <v>46213</v>
      </c>
      <c r="M434" t="s">
        <v>38</v>
      </c>
      <c r="N434" t="s">
        <v>55</v>
      </c>
      <c r="O434">
        <v>3</v>
      </c>
      <c r="P434" t="s">
        <v>106</v>
      </c>
      <c r="Q434" s="2">
        <v>46121</v>
      </c>
      <c r="R434" t="s">
        <v>64</v>
      </c>
    </row>
    <row r="435" spans="1:18" x14ac:dyDescent="0.2">
      <c r="A435" t="s">
        <v>925</v>
      </c>
      <c r="B435" t="s">
        <v>926</v>
      </c>
      <c r="C435" t="s">
        <v>42</v>
      </c>
      <c r="D435" t="s">
        <v>43</v>
      </c>
      <c r="E435" t="s">
        <v>105</v>
      </c>
      <c r="F435" t="s">
        <v>34</v>
      </c>
      <c r="G435" t="s">
        <v>35</v>
      </c>
      <c r="H435" t="s">
        <v>36</v>
      </c>
      <c r="I435" t="s">
        <v>106</v>
      </c>
      <c r="J435" t="s">
        <v>48</v>
      </c>
      <c r="K435" s="2">
        <v>45843</v>
      </c>
      <c r="L435" s="2">
        <v>46023</v>
      </c>
      <c r="M435" t="s">
        <v>38</v>
      </c>
      <c r="N435" t="s">
        <v>49</v>
      </c>
      <c r="O435">
        <v>5</v>
      </c>
      <c r="P435" t="s">
        <v>56</v>
      </c>
      <c r="Q435" s="2">
        <v>46254</v>
      </c>
      <c r="R435" t="s">
        <v>64</v>
      </c>
    </row>
    <row r="436" spans="1:18" x14ac:dyDescent="0.2">
      <c r="A436" t="s">
        <v>927</v>
      </c>
      <c r="B436" t="s">
        <v>928</v>
      </c>
      <c r="C436" t="s">
        <v>31</v>
      </c>
      <c r="D436" t="s">
        <v>83</v>
      </c>
      <c r="E436" t="s">
        <v>80</v>
      </c>
      <c r="F436" t="s">
        <v>34</v>
      </c>
      <c r="G436" t="s">
        <v>35</v>
      </c>
      <c r="H436" t="s">
        <v>36</v>
      </c>
      <c r="I436" t="s">
        <v>54</v>
      </c>
      <c r="J436" t="s">
        <v>63</v>
      </c>
      <c r="K436" s="2">
        <v>45900</v>
      </c>
      <c r="L436" s="2">
        <v>46265</v>
      </c>
      <c r="M436" t="s">
        <v>38</v>
      </c>
      <c r="N436" t="s">
        <v>49</v>
      </c>
      <c r="O436">
        <v>1</v>
      </c>
      <c r="P436" t="s">
        <v>39</v>
      </c>
      <c r="Q436" s="2">
        <v>46381</v>
      </c>
      <c r="R436" t="s">
        <v>64</v>
      </c>
    </row>
    <row r="437" spans="1:18" x14ac:dyDescent="0.2">
      <c r="A437" t="s">
        <v>929</v>
      </c>
      <c r="B437" t="s">
        <v>930</v>
      </c>
      <c r="C437" t="s">
        <v>42</v>
      </c>
      <c r="D437" t="s">
        <v>43</v>
      </c>
      <c r="E437" t="s">
        <v>105</v>
      </c>
      <c r="F437" t="s">
        <v>34</v>
      </c>
      <c r="G437" t="s">
        <v>35</v>
      </c>
      <c r="H437" t="s">
        <v>47</v>
      </c>
      <c r="I437" t="s">
        <v>70</v>
      </c>
      <c r="J437" t="s">
        <v>48</v>
      </c>
      <c r="K437" s="2">
        <v>46007</v>
      </c>
      <c r="L437" s="2">
        <v>46097</v>
      </c>
      <c r="M437" t="s">
        <v>38</v>
      </c>
      <c r="N437" t="s">
        <v>49</v>
      </c>
      <c r="O437">
        <v>3</v>
      </c>
      <c r="P437" t="s">
        <v>39</v>
      </c>
      <c r="Q437" s="2">
        <v>46294</v>
      </c>
      <c r="R437" t="s">
        <v>64</v>
      </c>
    </row>
    <row r="438" spans="1:18" x14ac:dyDescent="0.2">
      <c r="A438" t="s">
        <v>931</v>
      </c>
      <c r="B438" t="s">
        <v>932</v>
      </c>
      <c r="C438" t="s">
        <v>78</v>
      </c>
      <c r="D438" t="s">
        <v>79</v>
      </c>
      <c r="E438" t="s">
        <v>105</v>
      </c>
      <c r="F438" t="s">
        <v>45</v>
      </c>
      <c r="G438" t="s">
        <v>46</v>
      </c>
      <c r="H438" t="s">
        <v>98</v>
      </c>
      <c r="I438" t="s">
        <v>54</v>
      </c>
      <c r="J438" t="s">
        <v>63</v>
      </c>
      <c r="K438" s="2">
        <v>45969</v>
      </c>
      <c r="L438" s="2">
        <v>46334</v>
      </c>
      <c r="M438" t="s">
        <v>64</v>
      </c>
      <c r="N438" t="s">
        <v>55</v>
      </c>
      <c r="O438">
        <v>0</v>
      </c>
      <c r="P438" t="s">
        <v>50</v>
      </c>
      <c r="Q438" s="2">
        <v>46181</v>
      </c>
      <c r="R438" t="s">
        <v>57</v>
      </c>
    </row>
    <row r="439" spans="1:18" x14ac:dyDescent="0.2">
      <c r="A439" t="s">
        <v>933</v>
      </c>
      <c r="B439" t="s">
        <v>934</v>
      </c>
      <c r="C439" t="s">
        <v>31</v>
      </c>
      <c r="D439" t="s">
        <v>32</v>
      </c>
      <c r="E439" t="s">
        <v>53</v>
      </c>
      <c r="F439" t="s">
        <v>45</v>
      </c>
      <c r="G439" t="s">
        <v>46</v>
      </c>
      <c r="H439" t="s">
        <v>47</v>
      </c>
      <c r="I439" t="s">
        <v>70</v>
      </c>
      <c r="J439" t="s">
        <v>48</v>
      </c>
      <c r="K439" s="2">
        <v>45948</v>
      </c>
      <c r="L439" s="2">
        <v>46128</v>
      </c>
      <c r="M439" t="s">
        <v>38</v>
      </c>
      <c r="N439" t="s">
        <v>75</v>
      </c>
      <c r="O439">
        <v>3</v>
      </c>
      <c r="P439" t="s">
        <v>62</v>
      </c>
      <c r="Q439" s="2">
        <v>46280</v>
      </c>
      <c r="R439" t="s">
        <v>64</v>
      </c>
    </row>
    <row r="440" spans="1:18" x14ac:dyDescent="0.2">
      <c r="A440" t="s">
        <v>935</v>
      </c>
      <c r="B440" t="s">
        <v>936</v>
      </c>
      <c r="C440" t="s">
        <v>31</v>
      </c>
      <c r="D440" t="s">
        <v>32</v>
      </c>
      <c r="E440" t="s">
        <v>105</v>
      </c>
      <c r="F440" t="s">
        <v>67</v>
      </c>
      <c r="G440" t="s">
        <v>118</v>
      </c>
      <c r="H440" t="s">
        <v>47</v>
      </c>
      <c r="I440" t="s">
        <v>56</v>
      </c>
      <c r="J440" t="s">
        <v>63</v>
      </c>
      <c r="K440" s="2">
        <v>46184</v>
      </c>
      <c r="L440" s="2">
        <v>46364</v>
      </c>
      <c r="M440" t="s">
        <v>64</v>
      </c>
      <c r="N440" t="s">
        <v>55</v>
      </c>
      <c r="O440">
        <v>3</v>
      </c>
      <c r="P440" t="s">
        <v>62</v>
      </c>
      <c r="Q440" s="2">
        <v>46206</v>
      </c>
      <c r="R440" t="s">
        <v>38</v>
      </c>
    </row>
    <row r="441" spans="1:18" x14ac:dyDescent="0.2">
      <c r="A441" t="s">
        <v>937</v>
      </c>
      <c r="B441" t="s">
        <v>938</v>
      </c>
      <c r="C441" t="s">
        <v>96</v>
      </c>
      <c r="D441" t="s">
        <v>97</v>
      </c>
      <c r="E441" t="s">
        <v>80</v>
      </c>
      <c r="F441" t="s">
        <v>45</v>
      </c>
      <c r="G441" t="s">
        <v>46</v>
      </c>
      <c r="H441" t="s">
        <v>36</v>
      </c>
      <c r="I441" t="s">
        <v>70</v>
      </c>
      <c r="J441" t="s">
        <v>63</v>
      </c>
      <c r="K441" s="2">
        <v>46258</v>
      </c>
      <c r="L441" s="2">
        <v>46348</v>
      </c>
      <c r="M441" t="s">
        <v>64</v>
      </c>
      <c r="N441" t="s">
        <v>49</v>
      </c>
      <c r="O441">
        <v>2</v>
      </c>
      <c r="P441" t="s">
        <v>39</v>
      </c>
      <c r="Q441" s="2">
        <v>46343</v>
      </c>
      <c r="R441" t="s">
        <v>64</v>
      </c>
    </row>
    <row r="442" spans="1:18" x14ac:dyDescent="0.2">
      <c r="A442" t="s">
        <v>939</v>
      </c>
      <c r="B442" t="s">
        <v>940</v>
      </c>
      <c r="C442" t="s">
        <v>96</v>
      </c>
      <c r="D442" t="s">
        <v>97</v>
      </c>
      <c r="E442" t="s">
        <v>53</v>
      </c>
      <c r="F442" t="s">
        <v>45</v>
      </c>
      <c r="G442" t="s">
        <v>61</v>
      </c>
      <c r="H442" t="s">
        <v>47</v>
      </c>
      <c r="I442" t="s">
        <v>106</v>
      </c>
      <c r="J442" t="s">
        <v>37</v>
      </c>
      <c r="K442" s="2">
        <v>45812</v>
      </c>
      <c r="L442" s="2">
        <v>45992</v>
      </c>
      <c r="M442" t="s">
        <v>38</v>
      </c>
      <c r="N442" t="s">
        <v>49</v>
      </c>
      <c r="O442">
        <v>0</v>
      </c>
      <c r="P442" t="s">
        <v>62</v>
      </c>
      <c r="Q442" s="2">
        <v>46378</v>
      </c>
      <c r="R442" t="s">
        <v>57</v>
      </c>
    </row>
    <row r="443" spans="1:18" x14ac:dyDescent="0.2">
      <c r="A443" t="s">
        <v>941</v>
      </c>
      <c r="B443" t="s">
        <v>942</v>
      </c>
      <c r="C443" t="s">
        <v>78</v>
      </c>
      <c r="D443" t="s">
        <v>79</v>
      </c>
      <c r="E443" t="s">
        <v>210</v>
      </c>
      <c r="F443" t="s">
        <v>34</v>
      </c>
      <c r="G443" t="s">
        <v>35</v>
      </c>
      <c r="H443" t="s">
        <v>47</v>
      </c>
      <c r="I443" t="s">
        <v>62</v>
      </c>
      <c r="J443" t="s">
        <v>63</v>
      </c>
      <c r="K443" s="2">
        <v>45923</v>
      </c>
      <c r="L443" s="2">
        <v>46103</v>
      </c>
      <c r="M443" t="s">
        <v>38</v>
      </c>
      <c r="N443" t="s">
        <v>55</v>
      </c>
      <c r="O443">
        <v>2</v>
      </c>
      <c r="P443" t="s">
        <v>70</v>
      </c>
      <c r="Q443" s="2">
        <v>46285</v>
      </c>
      <c r="R443" t="s">
        <v>38</v>
      </c>
    </row>
    <row r="444" spans="1:18" x14ac:dyDescent="0.2">
      <c r="A444" t="s">
        <v>943</v>
      </c>
      <c r="B444" t="s">
        <v>944</v>
      </c>
      <c r="C444" t="s">
        <v>103</v>
      </c>
      <c r="D444" t="s">
        <v>104</v>
      </c>
      <c r="E444" t="s">
        <v>105</v>
      </c>
      <c r="F444" t="s">
        <v>67</v>
      </c>
      <c r="G444" t="s">
        <v>118</v>
      </c>
      <c r="H444" t="s">
        <v>36</v>
      </c>
      <c r="I444" t="s">
        <v>56</v>
      </c>
      <c r="J444" t="s">
        <v>63</v>
      </c>
      <c r="K444" s="2">
        <v>45944</v>
      </c>
      <c r="L444" s="2">
        <v>46034</v>
      </c>
      <c r="M444" t="s">
        <v>38</v>
      </c>
      <c r="N444" t="s">
        <v>55</v>
      </c>
      <c r="O444">
        <v>4</v>
      </c>
      <c r="P444" t="s">
        <v>62</v>
      </c>
      <c r="Q444" s="2">
        <v>46135</v>
      </c>
      <c r="R444" t="s">
        <v>38</v>
      </c>
    </row>
    <row r="445" spans="1:18" x14ac:dyDescent="0.2">
      <c r="A445" t="s">
        <v>945</v>
      </c>
      <c r="B445" t="s">
        <v>946</v>
      </c>
      <c r="C445" t="s">
        <v>31</v>
      </c>
      <c r="D445" t="s">
        <v>87</v>
      </c>
      <c r="E445" t="s">
        <v>80</v>
      </c>
      <c r="F445" t="s">
        <v>45</v>
      </c>
      <c r="G445" t="s">
        <v>61</v>
      </c>
      <c r="H445" t="s">
        <v>47</v>
      </c>
      <c r="I445" t="s">
        <v>111</v>
      </c>
      <c r="J445" t="s">
        <v>63</v>
      </c>
      <c r="K445" s="2">
        <v>45899</v>
      </c>
      <c r="L445" s="2">
        <v>45989</v>
      </c>
      <c r="M445" t="s">
        <v>38</v>
      </c>
      <c r="N445" t="s">
        <v>55</v>
      </c>
      <c r="O445">
        <v>0</v>
      </c>
      <c r="P445" t="s">
        <v>54</v>
      </c>
      <c r="Q445" s="2">
        <v>46213</v>
      </c>
      <c r="R445" t="s">
        <v>57</v>
      </c>
    </row>
    <row r="446" spans="1:18" x14ac:dyDescent="0.2">
      <c r="A446" t="s">
        <v>947</v>
      </c>
      <c r="B446" t="s">
        <v>948</v>
      </c>
      <c r="C446" t="s">
        <v>31</v>
      </c>
      <c r="D446" t="s">
        <v>87</v>
      </c>
      <c r="E446" t="s">
        <v>105</v>
      </c>
      <c r="F446" t="s">
        <v>67</v>
      </c>
      <c r="G446" t="s">
        <v>118</v>
      </c>
      <c r="H446" t="s">
        <v>36</v>
      </c>
      <c r="I446" t="s">
        <v>56</v>
      </c>
      <c r="J446" t="s">
        <v>63</v>
      </c>
      <c r="K446" s="2">
        <v>46020</v>
      </c>
      <c r="L446" s="2">
        <v>46385</v>
      </c>
      <c r="M446" t="s">
        <v>69</v>
      </c>
      <c r="N446" t="s">
        <v>55</v>
      </c>
      <c r="O446">
        <v>0</v>
      </c>
      <c r="P446" t="s">
        <v>39</v>
      </c>
      <c r="Q446" s="2">
        <v>46288</v>
      </c>
      <c r="R446" t="s">
        <v>57</v>
      </c>
    </row>
    <row r="447" spans="1:18" x14ac:dyDescent="0.2">
      <c r="A447" t="s">
        <v>949</v>
      </c>
      <c r="B447" t="s">
        <v>950</v>
      </c>
      <c r="C447" t="s">
        <v>31</v>
      </c>
      <c r="D447" t="s">
        <v>32</v>
      </c>
      <c r="E447" t="s">
        <v>44</v>
      </c>
      <c r="F447" t="s">
        <v>67</v>
      </c>
      <c r="G447" t="s">
        <v>68</v>
      </c>
      <c r="H447" t="s">
        <v>36</v>
      </c>
      <c r="I447" t="s">
        <v>111</v>
      </c>
      <c r="J447" t="s">
        <v>63</v>
      </c>
      <c r="K447" s="2">
        <v>45928</v>
      </c>
      <c r="L447" s="2">
        <v>46293</v>
      </c>
      <c r="M447" t="s">
        <v>38</v>
      </c>
      <c r="N447" t="s">
        <v>55</v>
      </c>
      <c r="O447">
        <v>5</v>
      </c>
      <c r="P447" t="s">
        <v>50</v>
      </c>
      <c r="Q447" s="2">
        <v>46411</v>
      </c>
      <c r="R447" t="s">
        <v>64</v>
      </c>
    </row>
    <row r="448" spans="1:18" x14ac:dyDescent="0.2">
      <c r="A448" t="s">
        <v>951</v>
      </c>
      <c r="B448" t="s">
        <v>952</v>
      </c>
      <c r="C448" t="s">
        <v>31</v>
      </c>
      <c r="D448" t="s">
        <v>32</v>
      </c>
      <c r="E448" t="s">
        <v>80</v>
      </c>
      <c r="F448" t="s">
        <v>67</v>
      </c>
      <c r="G448" t="s">
        <v>68</v>
      </c>
      <c r="H448" t="s">
        <v>36</v>
      </c>
      <c r="I448" t="s">
        <v>39</v>
      </c>
      <c r="J448" t="s">
        <v>63</v>
      </c>
      <c r="K448" s="2">
        <v>46151</v>
      </c>
      <c r="L448" s="2">
        <v>46516</v>
      </c>
      <c r="M448" t="s">
        <v>84</v>
      </c>
      <c r="N448" t="s">
        <v>55</v>
      </c>
      <c r="O448">
        <v>5</v>
      </c>
      <c r="P448" t="s">
        <v>50</v>
      </c>
      <c r="Q448" s="2">
        <v>46140</v>
      </c>
      <c r="R448" t="s">
        <v>38</v>
      </c>
    </row>
    <row r="449" spans="1:18" x14ac:dyDescent="0.2">
      <c r="A449" t="s">
        <v>953</v>
      </c>
      <c r="B449" t="s">
        <v>954</v>
      </c>
      <c r="C449" t="s">
        <v>31</v>
      </c>
      <c r="D449" t="s">
        <v>83</v>
      </c>
      <c r="E449" t="s">
        <v>105</v>
      </c>
      <c r="F449" t="s">
        <v>34</v>
      </c>
      <c r="G449" t="s">
        <v>35</v>
      </c>
      <c r="H449" t="s">
        <v>47</v>
      </c>
      <c r="I449" t="s">
        <v>54</v>
      </c>
      <c r="J449" t="s">
        <v>48</v>
      </c>
      <c r="K449" s="2">
        <v>46243</v>
      </c>
      <c r="L449" s="2">
        <v>46333</v>
      </c>
      <c r="M449" t="s">
        <v>64</v>
      </c>
      <c r="N449" t="s">
        <v>49</v>
      </c>
      <c r="O449">
        <v>3</v>
      </c>
      <c r="P449" t="s">
        <v>39</v>
      </c>
      <c r="Q449" s="2">
        <v>46281</v>
      </c>
      <c r="R449" t="s">
        <v>64</v>
      </c>
    </row>
    <row r="450" spans="1:18" x14ac:dyDescent="0.2">
      <c r="A450" t="s">
        <v>955</v>
      </c>
      <c r="B450" t="s">
        <v>956</v>
      </c>
      <c r="C450" t="s">
        <v>31</v>
      </c>
      <c r="D450" t="s">
        <v>87</v>
      </c>
      <c r="E450" t="s">
        <v>53</v>
      </c>
      <c r="F450" t="s">
        <v>34</v>
      </c>
      <c r="G450" t="s">
        <v>35</v>
      </c>
      <c r="H450" t="s">
        <v>47</v>
      </c>
      <c r="I450" t="s">
        <v>56</v>
      </c>
      <c r="J450" t="s">
        <v>48</v>
      </c>
      <c r="K450" s="2">
        <v>46203</v>
      </c>
      <c r="L450" s="2">
        <v>46383</v>
      </c>
      <c r="M450" t="s">
        <v>64</v>
      </c>
      <c r="N450" t="s">
        <v>75</v>
      </c>
      <c r="O450">
        <v>1</v>
      </c>
      <c r="P450" t="s">
        <v>62</v>
      </c>
      <c r="Q450" s="2">
        <v>46339</v>
      </c>
      <c r="R450" t="s">
        <v>64</v>
      </c>
    </row>
    <row r="451" spans="1:18" x14ac:dyDescent="0.2">
      <c r="A451" t="s">
        <v>957</v>
      </c>
      <c r="B451" t="s">
        <v>958</v>
      </c>
      <c r="C451" t="s">
        <v>96</v>
      </c>
      <c r="D451" t="s">
        <v>97</v>
      </c>
      <c r="E451" t="s">
        <v>80</v>
      </c>
      <c r="F451" t="s">
        <v>45</v>
      </c>
      <c r="G451" t="s">
        <v>46</v>
      </c>
      <c r="H451" t="s">
        <v>47</v>
      </c>
      <c r="I451" t="s">
        <v>39</v>
      </c>
      <c r="J451" t="s">
        <v>48</v>
      </c>
      <c r="K451" s="2">
        <v>46184</v>
      </c>
      <c r="L451" s="2">
        <v>46274</v>
      </c>
      <c r="M451" t="s">
        <v>38</v>
      </c>
      <c r="N451" t="s">
        <v>49</v>
      </c>
      <c r="O451">
        <v>2</v>
      </c>
      <c r="P451" t="s">
        <v>54</v>
      </c>
      <c r="Q451" s="2">
        <v>46328</v>
      </c>
      <c r="R451" t="s">
        <v>84</v>
      </c>
    </row>
    <row r="452" spans="1:18" x14ac:dyDescent="0.2">
      <c r="A452" t="s">
        <v>959</v>
      </c>
      <c r="B452" t="s">
        <v>960</v>
      </c>
      <c r="C452" t="s">
        <v>96</v>
      </c>
      <c r="D452" t="s">
        <v>97</v>
      </c>
      <c r="E452" t="s">
        <v>60</v>
      </c>
      <c r="F452" t="s">
        <v>45</v>
      </c>
      <c r="G452" t="s">
        <v>61</v>
      </c>
      <c r="H452" t="s">
        <v>88</v>
      </c>
      <c r="I452" t="s">
        <v>54</v>
      </c>
      <c r="J452" t="s">
        <v>48</v>
      </c>
      <c r="K452" s="2">
        <v>45795</v>
      </c>
      <c r="L452" s="2">
        <v>45885</v>
      </c>
      <c r="M452" t="s">
        <v>38</v>
      </c>
      <c r="N452" t="s">
        <v>49</v>
      </c>
      <c r="O452">
        <v>0</v>
      </c>
      <c r="P452" t="s">
        <v>56</v>
      </c>
      <c r="Q452" s="2">
        <v>46207</v>
      </c>
      <c r="R452" t="s">
        <v>57</v>
      </c>
    </row>
    <row r="453" spans="1:18" x14ac:dyDescent="0.2">
      <c r="A453" t="s">
        <v>961</v>
      </c>
      <c r="B453" t="s">
        <v>962</v>
      </c>
      <c r="C453" t="s">
        <v>103</v>
      </c>
      <c r="D453" t="s">
        <v>104</v>
      </c>
      <c r="E453" t="s">
        <v>105</v>
      </c>
      <c r="F453" t="s">
        <v>67</v>
      </c>
      <c r="G453" t="s">
        <v>118</v>
      </c>
      <c r="H453" t="s">
        <v>88</v>
      </c>
      <c r="I453" t="s">
        <v>54</v>
      </c>
      <c r="J453" t="s">
        <v>48</v>
      </c>
      <c r="K453" s="2">
        <v>46215</v>
      </c>
      <c r="L453" s="2">
        <v>46580</v>
      </c>
      <c r="M453" t="s">
        <v>69</v>
      </c>
      <c r="N453" t="s">
        <v>49</v>
      </c>
      <c r="O453">
        <v>1</v>
      </c>
      <c r="P453" t="s">
        <v>54</v>
      </c>
      <c r="Q453" s="2">
        <v>46352</v>
      </c>
      <c r="R453" t="s">
        <v>84</v>
      </c>
    </row>
    <row r="454" spans="1:18" x14ac:dyDescent="0.2">
      <c r="A454" t="s">
        <v>963</v>
      </c>
      <c r="B454" t="s">
        <v>964</v>
      </c>
      <c r="C454" t="s">
        <v>73</v>
      </c>
      <c r="D454" t="s">
        <v>74</v>
      </c>
      <c r="E454" t="s">
        <v>91</v>
      </c>
      <c r="F454" t="s">
        <v>45</v>
      </c>
      <c r="G454" t="s">
        <v>46</v>
      </c>
      <c r="H454" t="s">
        <v>36</v>
      </c>
      <c r="I454" t="s">
        <v>111</v>
      </c>
      <c r="J454" t="s">
        <v>48</v>
      </c>
      <c r="K454" s="2">
        <v>46021</v>
      </c>
      <c r="L454" s="2">
        <v>46111</v>
      </c>
      <c r="M454" t="s">
        <v>38</v>
      </c>
      <c r="N454" t="s">
        <v>55</v>
      </c>
      <c r="O454">
        <v>5</v>
      </c>
      <c r="P454" t="s">
        <v>62</v>
      </c>
      <c r="Q454" s="2">
        <v>46137</v>
      </c>
      <c r="R454" t="s">
        <v>64</v>
      </c>
    </row>
    <row r="455" spans="1:18" x14ac:dyDescent="0.2">
      <c r="A455" t="s">
        <v>965</v>
      </c>
      <c r="B455" t="s">
        <v>966</v>
      </c>
      <c r="C455" t="s">
        <v>31</v>
      </c>
      <c r="D455" t="s">
        <v>32</v>
      </c>
      <c r="E455" t="s">
        <v>60</v>
      </c>
      <c r="F455" t="s">
        <v>67</v>
      </c>
      <c r="G455" t="s">
        <v>118</v>
      </c>
      <c r="H455" t="s">
        <v>36</v>
      </c>
      <c r="I455" t="s">
        <v>111</v>
      </c>
      <c r="J455" t="s">
        <v>48</v>
      </c>
      <c r="K455" s="2">
        <v>46253</v>
      </c>
      <c r="L455" s="2">
        <v>46343</v>
      </c>
      <c r="M455" t="s">
        <v>84</v>
      </c>
      <c r="N455" t="s">
        <v>55</v>
      </c>
      <c r="O455">
        <v>0</v>
      </c>
      <c r="P455" t="s">
        <v>111</v>
      </c>
      <c r="Q455" s="2">
        <v>46363</v>
      </c>
      <c r="R455" t="s">
        <v>57</v>
      </c>
    </row>
    <row r="456" spans="1:18" x14ac:dyDescent="0.2">
      <c r="A456" t="s">
        <v>967</v>
      </c>
      <c r="B456" t="s">
        <v>968</v>
      </c>
      <c r="C456" t="s">
        <v>78</v>
      </c>
      <c r="D456" t="s">
        <v>79</v>
      </c>
      <c r="E456" t="s">
        <v>80</v>
      </c>
      <c r="F456" t="s">
        <v>34</v>
      </c>
      <c r="G456" t="s">
        <v>35</v>
      </c>
      <c r="H456" t="s">
        <v>47</v>
      </c>
      <c r="I456" t="s">
        <v>106</v>
      </c>
      <c r="J456" t="s">
        <v>48</v>
      </c>
      <c r="K456" s="2">
        <v>46158</v>
      </c>
      <c r="L456" s="2">
        <v>46248</v>
      </c>
      <c r="M456" t="s">
        <v>38</v>
      </c>
      <c r="N456" t="s">
        <v>75</v>
      </c>
      <c r="O456">
        <v>1</v>
      </c>
      <c r="P456" t="s">
        <v>62</v>
      </c>
      <c r="Q456" s="2">
        <v>46165</v>
      </c>
      <c r="R456" t="s">
        <v>64</v>
      </c>
    </row>
    <row r="457" spans="1:18" x14ac:dyDescent="0.2">
      <c r="A457" t="s">
        <v>969</v>
      </c>
      <c r="B457" t="s">
        <v>970</v>
      </c>
      <c r="C457" t="s">
        <v>73</v>
      </c>
      <c r="D457" t="s">
        <v>74</v>
      </c>
      <c r="E457" t="s">
        <v>80</v>
      </c>
      <c r="F457" t="s">
        <v>45</v>
      </c>
      <c r="G457" t="s">
        <v>46</v>
      </c>
      <c r="H457" t="s">
        <v>88</v>
      </c>
      <c r="I457" t="s">
        <v>39</v>
      </c>
      <c r="J457" t="s">
        <v>37</v>
      </c>
      <c r="K457" s="2">
        <v>45820</v>
      </c>
      <c r="L457" s="2">
        <v>46000</v>
      </c>
      <c r="M457" t="s">
        <v>38</v>
      </c>
      <c r="N457" t="s">
        <v>55</v>
      </c>
      <c r="O457">
        <v>1</v>
      </c>
      <c r="P457" t="s">
        <v>54</v>
      </c>
      <c r="Q457" s="2">
        <v>46347</v>
      </c>
      <c r="R457" t="s">
        <v>64</v>
      </c>
    </row>
    <row r="458" spans="1:18" x14ac:dyDescent="0.2">
      <c r="A458" t="s">
        <v>971</v>
      </c>
      <c r="B458" t="s">
        <v>972</v>
      </c>
      <c r="C458" t="s">
        <v>96</v>
      </c>
      <c r="D458" t="s">
        <v>97</v>
      </c>
      <c r="E458" t="s">
        <v>53</v>
      </c>
      <c r="F458" t="s">
        <v>34</v>
      </c>
      <c r="G458" t="s">
        <v>35</v>
      </c>
      <c r="H458" t="s">
        <v>47</v>
      </c>
      <c r="I458" t="s">
        <v>50</v>
      </c>
      <c r="J458" t="s">
        <v>48</v>
      </c>
      <c r="K458" s="2">
        <v>46259</v>
      </c>
      <c r="L458" s="2">
        <v>46624</v>
      </c>
      <c r="M458" t="s">
        <v>69</v>
      </c>
      <c r="N458" t="s">
        <v>55</v>
      </c>
      <c r="O458">
        <v>0</v>
      </c>
      <c r="P458" t="s">
        <v>106</v>
      </c>
      <c r="Q458" s="2">
        <v>46353</v>
      </c>
      <c r="R458" t="s">
        <v>57</v>
      </c>
    </row>
    <row r="459" spans="1:18" x14ac:dyDescent="0.2">
      <c r="A459" t="s">
        <v>973</v>
      </c>
      <c r="B459" t="s">
        <v>974</v>
      </c>
      <c r="C459" t="s">
        <v>96</v>
      </c>
      <c r="D459" t="s">
        <v>97</v>
      </c>
      <c r="E459" t="s">
        <v>60</v>
      </c>
      <c r="F459" t="s">
        <v>45</v>
      </c>
      <c r="G459" t="s">
        <v>61</v>
      </c>
      <c r="H459" t="s">
        <v>47</v>
      </c>
      <c r="I459" t="s">
        <v>50</v>
      </c>
      <c r="J459" t="s">
        <v>48</v>
      </c>
      <c r="K459" s="2">
        <v>45980</v>
      </c>
      <c r="L459" s="2">
        <v>46345</v>
      </c>
      <c r="M459" t="s">
        <v>84</v>
      </c>
      <c r="N459" t="s">
        <v>75</v>
      </c>
      <c r="O459">
        <v>3</v>
      </c>
      <c r="P459" t="s">
        <v>62</v>
      </c>
      <c r="Q459" s="2">
        <v>46225</v>
      </c>
      <c r="R459" t="s">
        <v>38</v>
      </c>
    </row>
    <row r="460" spans="1:18" x14ac:dyDescent="0.2">
      <c r="A460" t="s">
        <v>975</v>
      </c>
      <c r="B460" t="s">
        <v>976</v>
      </c>
      <c r="C460" t="s">
        <v>31</v>
      </c>
      <c r="D460" t="s">
        <v>87</v>
      </c>
      <c r="E460" t="s">
        <v>44</v>
      </c>
      <c r="F460" t="s">
        <v>34</v>
      </c>
      <c r="G460" t="s">
        <v>35</v>
      </c>
      <c r="H460" t="s">
        <v>88</v>
      </c>
      <c r="I460" t="s">
        <v>54</v>
      </c>
      <c r="J460" t="s">
        <v>37</v>
      </c>
      <c r="K460" s="2">
        <v>45819</v>
      </c>
      <c r="L460" s="2">
        <v>46184</v>
      </c>
      <c r="M460" t="s">
        <v>38</v>
      </c>
      <c r="N460" t="s">
        <v>55</v>
      </c>
      <c r="O460">
        <v>0</v>
      </c>
      <c r="P460" t="s">
        <v>39</v>
      </c>
      <c r="Q460" s="2">
        <v>46328</v>
      </c>
      <c r="R460" t="s">
        <v>57</v>
      </c>
    </row>
    <row r="461" spans="1:18" x14ac:dyDescent="0.2">
      <c r="A461" t="s">
        <v>977</v>
      </c>
      <c r="B461" t="s">
        <v>978</v>
      </c>
      <c r="C461" t="s">
        <v>31</v>
      </c>
      <c r="D461" t="s">
        <v>87</v>
      </c>
      <c r="E461" t="s">
        <v>80</v>
      </c>
      <c r="F461" t="s">
        <v>67</v>
      </c>
      <c r="G461" t="s">
        <v>118</v>
      </c>
      <c r="H461" t="s">
        <v>36</v>
      </c>
      <c r="I461" t="s">
        <v>70</v>
      </c>
      <c r="J461" t="s">
        <v>63</v>
      </c>
      <c r="K461" s="2">
        <v>46044</v>
      </c>
      <c r="L461" s="2">
        <v>46224</v>
      </c>
      <c r="M461" t="s">
        <v>38</v>
      </c>
      <c r="N461" t="s">
        <v>55</v>
      </c>
      <c r="O461">
        <v>0</v>
      </c>
      <c r="P461" t="s">
        <v>62</v>
      </c>
      <c r="Q461" s="2">
        <v>46400</v>
      </c>
      <c r="R461" t="s">
        <v>57</v>
      </c>
    </row>
    <row r="462" spans="1:18" x14ac:dyDescent="0.2">
      <c r="A462" t="s">
        <v>979</v>
      </c>
      <c r="B462" t="s">
        <v>980</v>
      </c>
      <c r="C462" t="s">
        <v>31</v>
      </c>
      <c r="D462" t="s">
        <v>87</v>
      </c>
      <c r="E462" t="s">
        <v>53</v>
      </c>
      <c r="F462" t="s">
        <v>45</v>
      </c>
      <c r="G462" t="s">
        <v>46</v>
      </c>
      <c r="H462" t="s">
        <v>47</v>
      </c>
      <c r="I462" t="s">
        <v>70</v>
      </c>
      <c r="J462" t="s">
        <v>37</v>
      </c>
      <c r="K462" s="2">
        <v>46267</v>
      </c>
      <c r="L462" s="2">
        <v>46447</v>
      </c>
      <c r="M462" t="s">
        <v>84</v>
      </c>
      <c r="N462" t="s">
        <v>49</v>
      </c>
      <c r="O462">
        <v>3</v>
      </c>
      <c r="P462" t="s">
        <v>50</v>
      </c>
      <c r="Q462" s="2">
        <v>46407</v>
      </c>
      <c r="R462" t="s">
        <v>84</v>
      </c>
    </row>
    <row r="463" spans="1:18" x14ac:dyDescent="0.2">
      <c r="A463" t="s">
        <v>981</v>
      </c>
      <c r="B463" t="s">
        <v>982</v>
      </c>
      <c r="C463" t="s">
        <v>31</v>
      </c>
      <c r="D463" t="s">
        <v>32</v>
      </c>
      <c r="E463" t="s">
        <v>44</v>
      </c>
      <c r="F463" t="s">
        <v>34</v>
      </c>
      <c r="G463" t="s">
        <v>35</v>
      </c>
      <c r="H463" t="s">
        <v>36</v>
      </c>
      <c r="I463" t="s">
        <v>106</v>
      </c>
      <c r="J463" t="s">
        <v>63</v>
      </c>
      <c r="K463" s="2">
        <v>45955</v>
      </c>
      <c r="L463" s="2">
        <v>46135</v>
      </c>
      <c r="M463" t="s">
        <v>38</v>
      </c>
      <c r="N463" t="s">
        <v>49</v>
      </c>
      <c r="O463">
        <v>5</v>
      </c>
      <c r="P463" t="s">
        <v>106</v>
      </c>
      <c r="Q463" s="2">
        <v>46115</v>
      </c>
      <c r="R463" t="s">
        <v>38</v>
      </c>
    </row>
    <row r="464" spans="1:18" x14ac:dyDescent="0.2">
      <c r="A464" t="s">
        <v>983</v>
      </c>
      <c r="B464" t="s">
        <v>984</v>
      </c>
      <c r="C464" t="s">
        <v>73</v>
      </c>
      <c r="D464" t="s">
        <v>74</v>
      </c>
      <c r="E464" t="s">
        <v>53</v>
      </c>
      <c r="F464" t="s">
        <v>34</v>
      </c>
      <c r="G464" t="s">
        <v>35</v>
      </c>
      <c r="H464" t="s">
        <v>88</v>
      </c>
      <c r="I464" t="s">
        <v>56</v>
      </c>
      <c r="J464" t="s">
        <v>48</v>
      </c>
      <c r="K464" s="2">
        <v>45918</v>
      </c>
      <c r="L464" s="2">
        <v>46283</v>
      </c>
      <c r="M464" t="s">
        <v>38</v>
      </c>
      <c r="N464" t="s">
        <v>49</v>
      </c>
      <c r="O464">
        <v>1</v>
      </c>
      <c r="P464" t="s">
        <v>106</v>
      </c>
      <c r="Q464" s="2">
        <v>46156</v>
      </c>
      <c r="R464" t="s">
        <v>38</v>
      </c>
    </row>
    <row r="465" spans="1:18" x14ac:dyDescent="0.2">
      <c r="A465" t="s">
        <v>985</v>
      </c>
      <c r="B465" t="s">
        <v>986</v>
      </c>
      <c r="C465" t="s">
        <v>103</v>
      </c>
      <c r="D465" t="s">
        <v>104</v>
      </c>
      <c r="E465" t="s">
        <v>80</v>
      </c>
      <c r="F465" t="s">
        <v>45</v>
      </c>
      <c r="G465" t="s">
        <v>46</v>
      </c>
      <c r="H465" t="s">
        <v>88</v>
      </c>
      <c r="I465" t="s">
        <v>39</v>
      </c>
      <c r="J465" t="s">
        <v>37</v>
      </c>
      <c r="K465" s="2">
        <v>46088</v>
      </c>
      <c r="L465" s="2">
        <v>46268</v>
      </c>
      <c r="M465" t="s">
        <v>38</v>
      </c>
      <c r="N465" t="s">
        <v>55</v>
      </c>
      <c r="O465">
        <v>0</v>
      </c>
      <c r="P465" t="s">
        <v>54</v>
      </c>
      <c r="Q465" s="2">
        <v>46402</v>
      </c>
      <c r="R465" t="s">
        <v>57</v>
      </c>
    </row>
    <row r="466" spans="1:18" x14ac:dyDescent="0.2">
      <c r="A466" t="s">
        <v>987</v>
      </c>
      <c r="B466" t="s">
        <v>988</v>
      </c>
      <c r="C466" t="s">
        <v>78</v>
      </c>
      <c r="D466" t="s">
        <v>79</v>
      </c>
      <c r="E466" t="s">
        <v>91</v>
      </c>
      <c r="F466" t="s">
        <v>34</v>
      </c>
      <c r="G466" t="s">
        <v>35</v>
      </c>
      <c r="H466" t="s">
        <v>88</v>
      </c>
      <c r="I466" t="s">
        <v>54</v>
      </c>
      <c r="J466" t="s">
        <v>48</v>
      </c>
      <c r="K466" s="2">
        <v>45890</v>
      </c>
      <c r="L466" s="2">
        <v>46255</v>
      </c>
      <c r="M466" t="s">
        <v>38</v>
      </c>
      <c r="N466" t="s">
        <v>55</v>
      </c>
      <c r="O466">
        <v>2</v>
      </c>
      <c r="P466" t="s">
        <v>70</v>
      </c>
      <c r="Q466" s="2">
        <v>46295</v>
      </c>
      <c r="R466" t="s">
        <v>84</v>
      </c>
    </row>
    <row r="467" spans="1:18" x14ac:dyDescent="0.2">
      <c r="A467" t="s">
        <v>989</v>
      </c>
      <c r="B467" t="s">
        <v>990</v>
      </c>
      <c r="C467" t="s">
        <v>31</v>
      </c>
      <c r="D467" t="s">
        <v>32</v>
      </c>
      <c r="E467" t="s">
        <v>80</v>
      </c>
      <c r="F467" t="s">
        <v>67</v>
      </c>
      <c r="G467" t="s">
        <v>118</v>
      </c>
      <c r="H467" t="s">
        <v>88</v>
      </c>
      <c r="I467" t="s">
        <v>70</v>
      </c>
      <c r="J467" t="s">
        <v>37</v>
      </c>
      <c r="K467" s="2">
        <v>46035</v>
      </c>
      <c r="L467" s="2">
        <v>46400</v>
      </c>
      <c r="M467" t="s">
        <v>64</v>
      </c>
      <c r="N467" t="s">
        <v>49</v>
      </c>
      <c r="O467">
        <v>2</v>
      </c>
      <c r="P467" t="s">
        <v>70</v>
      </c>
      <c r="Q467" s="2">
        <v>46346</v>
      </c>
      <c r="R467" t="s">
        <v>84</v>
      </c>
    </row>
    <row r="468" spans="1:18" x14ac:dyDescent="0.2">
      <c r="A468" t="s">
        <v>991</v>
      </c>
      <c r="B468" t="s">
        <v>992</v>
      </c>
      <c r="C468" t="s">
        <v>103</v>
      </c>
      <c r="D468" t="s">
        <v>104</v>
      </c>
      <c r="E468" t="s">
        <v>44</v>
      </c>
      <c r="F468" t="s">
        <v>45</v>
      </c>
      <c r="G468" t="s">
        <v>61</v>
      </c>
      <c r="H468" t="s">
        <v>47</v>
      </c>
      <c r="I468" t="s">
        <v>70</v>
      </c>
      <c r="J468" t="s">
        <v>63</v>
      </c>
      <c r="K468" s="2">
        <v>46220</v>
      </c>
      <c r="L468" s="2">
        <v>46310</v>
      </c>
      <c r="M468" t="s">
        <v>64</v>
      </c>
      <c r="N468" t="s">
        <v>49</v>
      </c>
      <c r="O468">
        <v>1</v>
      </c>
      <c r="P468" t="s">
        <v>39</v>
      </c>
      <c r="Q468" s="2">
        <v>46369</v>
      </c>
      <c r="R468" t="s">
        <v>64</v>
      </c>
    </row>
    <row r="469" spans="1:18" x14ac:dyDescent="0.2">
      <c r="A469" t="s">
        <v>993</v>
      </c>
      <c r="B469" t="s">
        <v>994</v>
      </c>
      <c r="C469" t="s">
        <v>31</v>
      </c>
      <c r="D469" t="s">
        <v>32</v>
      </c>
      <c r="E469" t="s">
        <v>91</v>
      </c>
      <c r="F469" t="s">
        <v>67</v>
      </c>
      <c r="G469" t="s">
        <v>118</v>
      </c>
      <c r="H469" t="s">
        <v>88</v>
      </c>
      <c r="I469" t="s">
        <v>50</v>
      </c>
      <c r="J469" t="s">
        <v>48</v>
      </c>
      <c r="K469" s="2">
        <v>46033</v>
      </c>
      <c r="L469" s="2">
        <v>46213</v>
      </c>
      <c r="M469" t="s">
        <v>38</v>
      </c>
      <c r="N469" t="s">
        <v>75</v>
      </c>
      <c r="O469">
        <v>3</v>
      </c>
      <c r="P469" t="s">
        <v>106</v>
      </c>
      <c r="Q469" s="2">
        <v>46125</v>
      </c>
      <c r="R469" t="s">
        <v>64</v>
      </c>
    </row>
    <row r="470" spans="1:18" x14ac:dyDescent="0.2">
      <c r="A470" t="s">
        <v>995</v>
      </c>
      <c r="B470" t="s">
        <v>996</v>
      </c>
      <c r="C470" t="s">
        <v>42</v>
      </c>
      <c r="D470" t="s">
        <v>43</v>
      </c>
      <c r="E470" t="s">
        <v>91</v>
      </c>
      <c r="F470" t="s">
        <v>67</v>
      </c>
      <c r="G470" t="s">
        <v>118</v>
      </c>
      <c r="H470" t="s">
        <v>88</v>
      </c>
      <c r="I470" t="s">
        <v>106</v>
      </c>
      <c r="J470" t="s">
        <v>37</v>
      </c>
      <c r="K470" s="2">
        <v>46027</v>
      </c>
      <c r="L470" s="2">
        <v>46392</v>
      </c>
      <c r="M470" t="s">
        <v>69</v>
      </c>
      <c r="N470" t="s">
        <v>75</v>
      </c>
      <c r="O470">
        <v>2</v>
      </c>
      <c r="P470" t="s">
        <v>54</v>
      </c>
      <c r="Q470" s="2">
        <v>46405</v>
      </c>
      <c r="R470" t="s">
        <v>64</v>
      </c>
    </row>
    <row r="471" spans="1:18" x14ac:dyDescent="0.2">
      <c r="A471" t="s">
        <v>997</v>
      </c>
      <c r="B471" t="s">
        <v>998</v>
      </c>
      <c r="C471" t="s">
        <v>42</v>
      </c>
      <c r="D471" t="s">
        <v>43</v>
      </c>
      <c r="E471" t="s">
        <v>53</v>
      </c>
      <c r="F471" t="s">
        <v>67</v>
      </c>
      <c r="G471" t="s">
        <v>118</v>
      </c>
      <c r="H471" t="s">
        <v>36</v>
      </c>
      <c r="I471" t="s">
        <v>39</v>
      </c>
      <c r="J471" t="s">
        <v>48</v>
      </c>
      <c r="K471" s="2">
        <v>46200</v>
      </c>
      <c r="L471" s="2">
        <v>46380</v>
      </c>
      <c r="M471" t="s">
        <v>64</v>
      </c>
      <c r="N471" t="s">
        <v>55</v>
      </c>
      <c r="O471">
        <v>4</v>
      </c>
      <c r="P471" t="s">
        <v>50</v>
      </c>
      <c r="Q471" s="2">
        <v>46197</v>
      </c>
      <c r="R471" t="s">
        <v>38</v>
      </c>
    </row>
    <row r="472" spans="1:18" x14ac:dyDescent="0.2">
      <c r="A472" t="s">
        <v>999</v>
      </c>
      <c r="B472" t="s">
        <v>1000</v>
      </c>
      <c r="C472" t="s">
        <v>31</v>
      </c>
      <c r="D472" t="s">
        <v>87</v>
      </c>
      <c r="E472" t="s">
        <v>105</v>
      </c>
      <c r="F472" t="s">
        <v>45</v>
      </c>
      <c r="G472" t="s">
        <v>46</v>
      </c>
      <c r="H472" t="s">
        <v>47</v>
      </c>
      <c r="I472" t="s">
        <v>106</v>
      </c>
      <c r="J472" t="s">
        <v>37</v>
      </c>
      <c r="K472" s="2">
        <v>45981</v>
      </c>
      <c r="L472" s="2">
        <v>46071</v>
      </c>
      <c r="M472" t="s">
        <v>38</v>
      </c>
      <c r="N472" t="s">
        <v>75</v>
      </c>
      <c r="O472">
        <v>2</v>
      </c>
      <c r="P472" t="s">
        <v>106</v>
      </c>
      <c r="Q472" s="2">
        <v>46304</v>
      </c>
      <c r="R472" t="s">
        <v>64</v>
      </c>
    </row>
    <row r="473" spans="1:18" x14ac:dyDescent="0.2">
      <c r="A473" t="s">
        <v>1001</v>
      </c>
      <c r="B473" t="s">
        <v>1002</v>
      </c>
      <c r="C473" t="s">
        <v>96</v>
      </c>
      <c r="D473" t="s">
        <v>97</v>
      </c>
      <c r="E473" t="s">
        <v>80</v>
      </c>
      <c r="F473" t="s">
        <v>45</v>
      </c>
      <c r="G473" t="s">
        <v>61</v>
      </c>
      <c r="H473" t="s">
        <v>88</v>
      </c>
      <c r="I473" t="s">
        <v>50</v>
      </c>
      <c r="J473" t="s">
        <v>48</v>
      </c>
      <c r="K473" s="2">
        <v>46002</v>
      </c>
      <c r="L473" s="2">
        <v>46182</v>
      </c>
      <c r="M473" t="s">
        <v>38</v>
      </c>
      <c r="N473" t="s">
        <v>55</v>
      </c>
      <c r="O473">
        <v>0</v>
      </c>
      <c r="P473" t="s">
        <v>111</v>
      </c>
      <c r="Q473" s="2">
        <v>46322</v>
      </c>
      <c r="R473" t="s">
        <v>57</v>
      </c>
    </row>
    <row r="474" spans="1:18" x14ac:dyDescent="0.2">
      <c r="A474" t="s">
        <v>1003</v>
      </c>
      <c r="B474" t="s">
        <v>1004</v>
      </c>
      <c r="C474" t="s">
        <v>96</v>
      </c>
      <c r="D474" t="s">
        <v>97</v>
      </c>
      <c r="E474" t="s">
        <v>105</v>
      </c>
      <c r="F474" t="s">
        <v>67</v>
      </c>
      <c r="G474" t="s">
        <v>68</v>
      </c>
      <c r="H474" t="s">
        <v>98</v>
      </c>
      <c r="I474" t="s">
        <v>106</v>
      </c>
      <c r="J474" t="s">
        <v>63</v>
      </c>
      <c r="K474" s="2">
        <v>45944</v>
      </c>
      <c r="L474" s="2">
        <v>46309</v>
      </c>
      <c r="M474" t="s">
        <v>64</v>
      </c>
      <c r="N474" t="s">
        <v>75</v>
      </c>
      <c r="O474">
        <v>4</v>
      </c>
      <c r="P474" t="s">
        <v>70</v>
      </c>
      <c r="Q474" s="2">
        <v>46190</v>
      </c>
      <c r="R474" t="s">
        <v>38</v>
      </c>
    </row>
    <row r="475" spans="1:18" x14ac:dyDescent="0.2">
      <c r="A475" t="s">
        <v>1005</v>
      </c>
      <c r="B475" t="s">
        <v>1006</v>
      </c>
      <c r="C475" t="s">
        <v>103</v>
      </c>
      <c r="D475" t="s">
        <v>104</v>
      </c>
      <c r="E475" t="s">
        <v>105</v>
      </c>
      <c r="F475" t="s">
        <v>34</v>
      </c>
      <c r="G475" t="s">
        <v>35</v>
      </c>
      <c r="H475" t="s">
        <v>47</v>
      </c>
      <c r="J475" t="s">
        <v>37</v>
      </c>
      <c r="K475" s="2">
        <v>45993</v>
      </c>
      <c r="L475" s="2">
        <v>46083</v>
      </c>
      <c r="M475" t="s">
        <v>38</v>
      </c>
      <c r="N475" t="s">
        <v>75</v>
      </c>
      <c r="O475">
        <v>0</v>
      </c>
      <c r="P475" t="s">
        <v>70</v>
      </c>
      <c r="Q475" s="2">
        <v>46320</v>
      </c>
      <c r="R475" t="s">
        <v>57</v>
      </c>
    </row>
    <row r="476" spans="1:18" x14ac:dyDescent="0.2">
      <c r="A476" t="s">
        <v>1007</v>
      </c>
      <c r="B476" t="s">
        <v>1008</v>
      </c>
      <c r="C476" t="s">
        <v>96</v>
      </c>
      <c r="D476" t="s">
        <v>97</v>
      </c>
      <c r="E476" t="s">
        <v>60</v>
      </c>
      <c r="F476" t="s">
        <v>67</v>
      </c>
      <c r="G476" t="s">
        <v>68</v>
      </c>
      <c r="H476" t="s">
        <v>88</v>
      </c>
      <c r="I476" t="s">
        <v>54</v>
      </c>
      <c r="J476" t="s">
        <v>63</v>
      </c>
      <c r="K476" s="2">
        <v>45875</v>
      </c>
      <c r="L476" s="2">
        <v>46055</v>
      </c>
      <c r="M476" t="s">
        <v>38</v>
      </c>
      <c r="N476" t="s">
        <v>55</v>
      </c>
      <c r="O476">
        <v>0</v>
      </c>
      <c r="P476" t="s">
        <v>70</v>
      </c>
      <c r="Q476" s="2">
        <v>46157</v>
      </c>
      <c r="R476" t="s">
        <v>57</v>
      </c>
    </row>
    <row r="477" spans="1:18" x14ac:dyDescent="0.2">
      <c r="A477" t="s">
        <v>1009</v>
      </c>
      <c r="B477" t="s">
        <v>1010</v>
      </c>
      <c r="C477" t="s">
        <v>78</v>
      </c>
      <c r="D477" t="s">
        <v>79</v>
      </c>
      <c r="E477" t="s">
        <v>44</v>
      </c>
      <c r="F477" t="s">
        <v>34</v>
      </c>
      <c r="G477" t="s">
        <v>35</v>
      </c>
      <c r="H477" t="s">
        <v>88</v>
      </c>
      <c r="I477" t="s">
        <v>39</v>
      </c>
      <c r="J477" t="s">
        <v>37</v>
      </c>
      <c r="K477" s="2">
        <v>45810</v>
      </c>
      <c r="L477" s="2">
        <v>46175</v>
      </c>
      <c r="M477" t="s">
        <v>38</v>
      </c>
      <c r="N477" t="s">
        <v>75</v>
      </c>
      <c r="O477">
        <v>3</v>
      </c>
      <c r="P477" t="s">
        <v>106</v>
      </c>
      <c r="Q477" s="2">
        <v>46190</v>
      </c>
      <c r="R477" t="s">
        <v>38</v>
      </c>
    </row>
    <row r="478" spans="1:18" x14ac:dyDescent="0.2">
      <c r="A478" t="s">
        <v>1011</v>
      </c>
      <c r="B478" t="s">
        <v>1012</v>
      </c>
      <c r="C478" t="s">
        <v>78</v>
      </c>
      <c r="D478" t="s">
        <v>79</v>
      </c>
      <c r="E478" t="s">
        <v>53</v>
      </c>
      <c r="F478" t="s">
        <v>45</v>
      </c>
      <c r="G478" t="s">
        <v>61</v>
      </c>
      <c r="H478" t="s">
        <v>88</v>
      </c>
      <c r="I478" t="s">
        <v>111</v>
      </c>
      <c r="J478" t="s">
        <v>37</v>
      </c>
      <c r="K478" s="2">
        <v>45828</v>
      </c>
      <c r="L478" s="2">
        <v>46193</v>
      </c>
      <c r="M478" t="s">
        <v>38</v>
      </c>
      <c r="N478" t="s">
        <v>55</v>
      </c>
      <c r="O478">
        <v>1</v>
      </c>
      <c r="P478" t="s">
        <v>56</v>
      </c>
      <c r="Q478" s="2">
        <v>46342</v>
      </c>
      <c r="R478" t="s">
        <v>84</v>
      </c>
    </row>
    <row r="479" spans="1:18" x14ac:dyDescent="0.2">
      <c r="A479" t="s">
        <v>1013</v>
      </c>
      <c r="B479" t="s">
        <v>1014</v>
      </c>
      <c r="C479" t="s">
        <v>103</v>
      </c>
      <c r="D479" t="s">
        <v>104</v>
      </c>
      <c r="E479" t="s">
        <v>91</v>
      </c>
      <c r="F479" t="s">
        <v>45</v>
      </c>
      <c r="G479" t="s">
        <v>61</v>
      </c>
      <c r="H479" t="s">
        <v>36</v>
      </c>
      <c r="I479" t="s">
        <v>50</v>
      </c>
      <c r="J479" t="s">
        <v>37</v>
      </c>
      <c r="K479" s="2">
        <v>45848</v>
      </c>
      <c r="L479" s="2">
        <v>46213</v>
      </c>
      <c r="M479" t="s">
        <v>38</v>
      </c>
      <c r="N479" t="s">
        <v>49</v>
      </c>
      <c r="O479">
        <v>0</v>
      </c>
      <c r="P479" t="s">
        <v>106</v>
      </c>
      <c r="Q479" s="2">
        <v>46188</v>
      </c>
      <c r="R479" t="s">
        <v>57</v>
      </c>
    </row>
    <row r="480" spans="1:18" x14ac:dyDescent="0.2">
      <c r="A480" t="s">
        <v>1015</v>
      </c>
      <c r="B480" t="s">
        <v>1016</v>
      </c>
      <c r="C480" t="s">
        <v>31</v>
      </c>
      <c r="D480" t="s">
        <v>83</v>
      </c>
      <c r="E480" t="s">
        <v>105</v>
      </c>
      <c r="F480" t="s">
        <v>45</v>
      </c>
      <c r="G480" t="s">
        <v>61</v>
      </c>
      <c r="H480" t="s">
        <v>47</v>
      </c>
      <c r="I480" t="s">
        <v>56</v>
      </c>
      <c r="J480" t="s">
        <v>48</v>
      </c>
      <c r="K480" s="2">
        <v>46063</v>
      </c>
      <c r="L480" s="2">
        <v>46153</v>
      </c>
      <c r="M480" t="s">
        <v>38</v>
      </c>
      <c r="N480" t="s">
        <v>49</v>
      </c>
      <c r="O480">
        <v>3</v>
      </c>
      <c r="P480" t="s">
        <v>62</v>
      </c>
      <c r="Q480" s="2">
        <v>46405</v>
      </c>
      <c r="R480" t="s">
        <v>84</v>
      </c>
    </row>
    <row r="481" spans="1:18" x14ac:dyDescent="0.2">
      <c r="A481" t="s">
        <v>1017</v>
      </c>
      <c r="B481" t="s">
        <v>1018</v>
      </c>
      <c r="C481" t="s">
        <v>103</v>
      </c>
      <c r="D481" t="s">
        <v>104</v>
      </c>
      <c r="E481" t="s">
        <v>105</v>
      </c>
      <c r="F481" t="s">
        <v>67</v>
      </c>
      <c r="G481" t="s">
        <v>118</v>
      </c>
      <c r="H481" t="s">
        <v>36</v>
      </c>
      <c r="I481" t="s">
        <v>56</v>
      </c>
      <c r="J481" t="s">
        <v>48</v>
      </c>
      <c r="K481" s="2">
        <v>45848</v>
      </c>
      <c r="L481" s="2">
        <v>46213</v>
      </c>
      <c r="M481" t="s">
        <v>38</v>
      </c>
      <c r="N481" t="s">
        <v>75</v>
      </c>
      <c r="O481">
        <v>3</v>
      </c>
      <c r="P481" t="s">
        <v>50</v>
      </c>
      <c r="Q481" s="2">
        <v>46401</v>
      </c>
      <c r="R481" t="s">
        <v>84</v>
      </c>
    </row>
    <row r="482" spans="1:18" x14ac:dyDescent="0.2">
      <c r="A482" t="s">
        <v>1019</v>
      </c>
      <c r="B482" t="s">
        <v>1020</v>
      </c>
      <c r="C482" t="s">
        <v>103</v>
      </c>
      <c r="D482" t="s">
        <v>104</v>
      </c>
      <c r="E482" t="s">
        <v>91</v>
      </c>
      <c r="F482" t="s">
        <v>67</v>
      </c>
      <c r="G482" t="s">
        <v>118</v>
      </c>
      <c r="H482" t="s">
        <v>36</v>
      </c>
      <c r="I482" t="s">
        <v>111</v>
      </c>
      <c r="J482" t="s">
        <v>48</v>
      </c>
      <c r="K482" s="2">
        <v>46212</v>
      </c>
      <c r="L482" s="2">
        <v>46577</v>
      </c>
      <c r="M482" t="s">
        <v>69</v>
      </c>
      <c r="N482" t="s">
        <v>75</v>
      </c>
      <c r="O482">
        <v>1</v>
      </c>
      <c r="P482" t="s">
        <v>56</v>
      </c>
      <c r="Q482" s="2">
        <v>46366</v>
      </c>
      <c r="R482" t="s">
        <v>84</v>
      </c>
    </row>
    <row r="483" spans="1:18" x14ac:dyDescent="0.2">
      <c r="A483" t="s">
        <v>1021</v>
      </c>
      <c r="B483" t="s">
        <v>1022</v>
      </c>
      <c r="C483" t="s">
        <v>31</v>
      </c>
      <c r="D483" t="s">
        <v>32</v>
      </c>
      <c r="E483" t="s">
        <v>60</v>
      </c>
      <c r="F483" t="s">
        <v>67</v>
      </c>
      <c r="G483" t="s">
        <v>68</v>
      </c>
      <c r="H483" t="s">
        <v>36</v>
      </c>
      <c r="I483" t="s">
        <v>111</v>
      </c>
      <c r="J483" t="s">
        <v>63</v>
      </c>
      <c r="K483" s="2">
        <v>45986</v>
      </c>
      <c r="L483" s="2">
        <v>46166</v>
      </c>
      <c r="M483" t="s">
        <v>38</v>
      </c>
      <c r="N483" t="s">
        <v>75</v>
      </c>
      <c r="O483">
        <v>5</v>
      </c>
      <c r="P483" t="s">
        <v>39</v>
      </c>
      <c r="Q483" s="2">
        <v>46358</v>
      </c>
      <c r="R483" t="s">
        <v>84</v>
      </c>
    </row>
    <row r="484" spans="1:18" x14ac:dyDescent="0.2">
      <c r="A484" t="s">
        <v>1023</v>
      </c>
      <c r="B484" t="s">
        <v>1024</v>
      </c>
      <c r="C484" t="s">
        <v>73</v>
      </c>
      <c r="D484" t="s">
        <v>74</v>
      </c>
      <c r="E484" t="s">
        <v>60</v>
      </c>
      <c r="F484" t="s">
        <v>67</v>
      </c>
      <c r="G484" t="s">
        <v>68</v>
      </c>
      <c r="H484" t="s">
        <v>47</v>
      </c>
      <c r="I484" t="s">
        <v>106</v>
      </c>
      <c r="J484" t="s">
        <v>63</v>
      </c>
      <c r="K484" s="2">
        <v>46039</v>
      </c>
      <c r="L484" s="2">
        <v>46404</v>
      </c>
      <c r="M484" t="s">
        <v>64</v>
      </c>
      <c r="N484" t="s">
        <v>55</v>
      </c>
      <c r="O484">
        <v>0</v>
      </c>
      <c r="P484" t="s">
        <v>106</v>
      </c>
      <c r="Q484" s="2">
        <v>46254</v>
      </c>
      <c r="R484" t="s">
        <v>57</v>
      </c>
    </row>
    <row r="485" spans="1:18" x14ac:dyDescent="0.2">
      <c r="A485" t="s">
        <v>1025</v>
      </c>
      <c r="B485" t="s">
        <v>1026</v>
      </c>
      <c r="C485" t="s">
        <v>31</v>
      </c>
      <c r="D485" t="s">
        <v>83</v>
      </c>
      <c r="E485" t="s">
        <v>53</v>
      </c>
      <c r="F485" t="s">
        <v>45</v>
      </c>
      <c r="G485" t="s">
        <v>61</v>
      </c>
      <c r="H485" t="s">
        <v>88</v>
      </c>
      <c r="I485" t="s">
        <v>70</v>
      </c>
      <c r="J485" t="s">
        <v>37</v>
      </c>
      <c r="K485" s="2">
        <v>46012</v>
      </c>
      <c r="L485" s="2">
        <v>46102</v>
      </c>
      <c r="M485" t="s">
        <v>38</v>
      </c>
      <c r="N485" t="s">
        <v>49</v>
      </c>
      <c r="O485">
        <v>1</v>
      </c>
      <c r="P485" t="s">
        <v>106</v>
      </c>
      <c r="Q485" s="2">
        <v>46163</v>
      </c>
      <c r="R485" t="s">
        <v>38</v>
      </c>
    </row>
    <row r="486" spans="1:18" x14ac:dyDescent="0.2">
      <c r="A486" t="s">
        <v>1027</v>
      </c>
      <c r="B486" t="s">
        <v>1028</v>
      </c>
      <c r="C486" t="s">
        <v>96</v>
      </c>
      <c r="D486" t="s">
        <v>97</v>
      </c>
      <c r="E486" t="s">
        <v>53</v>
      </c>
      <c r="F486" t="s">
        <v>34</v>
      </c>
      <c r="G486" t="s">
        <v>35</v>
      </c>
      <c r="H486" t="s">
        <v>88</v>
      </c>
      <c r="I486" t="s">
        <v>106</v>
      </c>
      <c r="J486" t="s">
        <v>37</v>
      </c>
      <c r="K486" s="2">
        <v>46226</v>
      </c>
      <c r="L486" s="2">
        <v>46591</v>
      </c>
      <c r="M486" t="s">
        <v>84</v>
      </c>
      <c r="N486" t="s">
        <v>55</v>
      </c>
      <c r="O486">
        <v>1</v>
      </c>
      <c r="P486" t="s">
        <v>50</v>
      </c>
      <c r="Q486" s="2">
        <v>46380</v>
      </c>
      <c r="R486" t="s">
        <v>64</v>
      </c>
    </row>
    <row r="487" spans="1:18" x14ac:dyDescent="0.2">
      <c r="A487" t="s">
        <v>1029</v>
      </c>
      <c r="B487" t="s">
        <v>1030</v>
      </c>
      <c r="C487" t="s">
        <v>96</v>
      </c>
      <c r="D487" t="s">
        <v>97</v>
      </c>
      <c r="E487" t="s">
        <v>44</v>
      </c>
      <c r="F487" t="s">
        <v>45</v>
      </c>
      <c r="G487" t="s">
        <v>46</v>
      </c>
      <c r="H487" t="s">
        <v>88</v>
      </c>
      <c r="I487" t="s">
        <v>54</v>
      </c>
      <c r="J487" t="s">
        <v>48</v>
      </c>
      <c r="K487" s="2">
        <v>45868</v>
      </c>
      <c r="L487" s="2">
        <v>46233</v>
      </c>
      <c r="M487" t="s">
        <v>38</v>
      </c>
      <c r="N487" t="s">
        <v>49</v>
      </c>
      <c r="O487">
        <v>0</v>
      </c>
      <c r="P487" t="s">
        <v>50</v>
      </c>
      <c r="Q487" s="2">
        <v>46328</v>
      </c>
      <c r="R487" t="s">
        <v>57</v>
      </c>
    </row>
    <row r="488" spans="1:18" x14ac:dyDescent="0.2">
      <c r="A488" t="s">
        <v>1031</v>
      </c>
      <c r="B488" t="s">
        <v>1032</v>
      </c>
      <c r="C488" t="s">
        <v>31</v>
      </c>
      <c r="D488" t="s">
        <v>32</v>
      </c>
      <c r="E488" t="s">
        <v>53</v>
      </c>
      <c r="F488" t="s">
        <v>45</v>
      </c>
      <c r="G488" t="s">
        <v>61</v>
      </c>
      <c r="H488" t="s">
        <v>88</v>
      </c>
      <c r="I488" t="s">
        <v>106</v>
      </c>
      <c r="J488" t="s">
        <v>48</v>
      </c>
      <c r="K488" s="2">
        <v>46204</v>
      </c>
      <c r="L488" s="2">
        <v>46384</v>
      </c>
      <c r="M488" t="s">
        <v>69</v>
      </c>
      <c r="N488" t="s">
        <v>55</v>
      </c>
      <c r="O488">
        <v>2</v>
      </c>
      <c r="P488" t="s">
        <v>50</v>
      </c>
      <c r="Q488" s="2">
        <v>46129</v>
      </c>
      <c r="R488" t="s">
        <v>38</v>
      </c>
    </row>
    <row r="489" spans="1:18" x14ac:dyDescent="0.2">
      <c r="A489" t="s">
        <v>1033</v>
      </c>
      <c r="B489" t="s">
        <v>1034</v>
      </c>
      <c r="C489" t="s">
        <v>78</v>
      </c>
      <c r="D489" t="s">
        <v>79</v>
      </c>
      <c r="E489" t="s">
        <v>53</v>
      </c>
      <c r="F489" t="s">
        <v>34</v>
      </c>
      <c r="G489" t="s">
        <v>35</v>
      </c>
      <c r="H489" t="s">
        <v>47</v>
      </c>
      <c r="I489" t="s">
        <v>50</v>
      </c>
      <c r="J489" t="s">
        <v>48</v>
      </c>
      <c r="K489" s="2">
        <v>46235</v>
      </c>
      <c r="L489" s="2">
        <v>46415</v>
      </c>
      <c r="M489" t="s">
        <v>84</v>
      </c>
      <c r="N489" t="s">
        <v>55</v>
      </c>
      <c r="O489">
        <v>0</v>
      </c>
      <c r="P489" t="s">
        <v>70</v>
      </c>
      <c r="Q489" s="2">
        <v>46362</v>
      </c>
      <c r="R489" t="s">
        <v>57</v>
      </c>
    </row>
    <row r="490" spans="1:18" x14ac:dyDescent="0.2">
      <c r="A490" t="s">
        <v>1035</v>
      </c>
      <c r="B490" t="s">
        <v>1036</v>
      </c>
      <c r="C490" t="s">
        <v>103</v>
      </c>
      <c r="D490" t="s">
        <v>104</v>
      </c>
      <c r="E490" t="s">
        <v>80</v>
      </c>
      <c r="F490" t="s">
        <v>45</v>
      </c>
      <c r="G490" t="s">
        <v>46</v>
      </c>
      <c r="H490" t="s">
        <v>47</v>
      </c>
      <c r="I490" t="s">
        <v>56</v>
      </c>
      <c r="J490" t="s">
        <v>48</v>
      </c>
      <c r="K490" s="2">
        <v>46253</v>
      </c>
      <c r="L490" s="2">
        <v>46343</v>
      </c>
      <c r="M490" t="s">
        <v>64</v>
      </c>
      <c r="N490" t="s">
        <v>55</v>
      </c>
      <c r="O490">
        <v>0</v>
      </c>
      <c r="P490" t="s">
        <v>50</v>
      </c>
      <c r="Q490" s="2">
        <v>46178</v>
      </c>
      <c r="R490" t="s">
        <v>57</v>
      </c>
    </row>
    <row r="491" spans="1:18" x14ac:dyDescent="0.2">
      <c r="A491" t="s">
        <v>1037</v>
      </c>
      <c r="B491" t="s">
        <v>1038</v>
      </c>
      <c r="C491" t="s">
        <v>103</v>
      </c>
      <c r="D491" t="s">
        <v>104</v>
      </c>
      <c r="E491" t="s">
        <v>105</v>
      </c>
      <c r="F491" t="s">
        <v>34</v>
      </c>
      <c r="G491" t="s">
        <v>35</v>
      </c>
      <c r="H491" t="s">
        <v>47</v>
      </c>
      <c r="I491" t="s">
        <v>56</v>
      </c>
      <c r="J491" t="s">
        <v>63</v>
      </c>
      <c r="K491" s="2">
        <v>45979</v>
      </c>
      <c r="L491" s="2">
        <v>46159</v>
      </c>
      <c r="M491" t="s">
        <v>38</v>
      </c>
      <c r="N491" t="s">
        <v>75</v>
      </c>
      <c r="O491">
        <v>1</v>
      </c>
      <c r="P491" t="s">
        <v>70</v>
      </c>
      <c r="Q491" s="2">
        <v>46371</v>
      </c>
      <c r="R491" t="s">
        <v>84</v>
      </c>
    </row>
    <row r="492" spans="1:18" x14ac:dyDescent="0.2">
      <c r="A492" t="s">
        <v>1039</v>
      </c>
      <c r="B492" t="s">
        <v>1040</v>
      </c>
      <c r="C492" t="s">
        <v>103</v>
      </c>
      <c r="D492" t="s">
        <v>104</v>
      </c>
      <c r="E492" t="s">
        <v>60</v>
      </c>
      <c r="F492" t="s">
        <v>45</v>
      </c>
      <c r="G492" t="s">
        <v>46</v>
      </c>
      <c r="H492" t="s">
        <v>47</v>
      </c>
      <c r="I492" t="s">
        <v>54</v>
      </c>
      <c r="J492" t="s">
        <v>63</v>
      </c>
      <c r="K492" s="2">
        <v>46131</v>
      </c>
      <c r="L492" s="2">
        <v>46221</v>
      </c>
      <c r="M492" t="s">
        <v>38</v>
      </c>
      <c r="N492" t="s">
        <v>49</v>
      </c>
      <c r="O492">
        <v>0</v>
      </c>
      <c r="P492" t="s">
        <v>111</v>
      </c>
      <c r="Q492" s="2">
        <v>46165</v>
      </c>
      <c r="R492" t="s">
        <v>57</v>
      </c>
    </row>
    <row r="493" spans="1:18" x14ac:dyDescent="0.2">
      <c r="A493" t="s">
        <v>1041</v>
      </c>
      <c r="B493" t="s">
        <v>1042</v>
      </c>
      <c r="C493" t="s">
        <v>73</v>
      </c>
      <c r="D493" t="s">
        <v>74</v>
      </c>
      <c r="E493" t="s">
        <v>80</v>
      </c>
      <c r="F493" t="s">
        <v>67</v>
      </c>
      <c r="G493" t="s">
        <v>68</v>
      </c>
      <c r="H493" t="s">
        <v>88</v>
      </c>
      <c r="I493" t="s">
        <v>70</v>
      </c>
      <c r="J493" t="s">
        <v>37</v>
      </c>
      <c r="K493" s="2">
        <v>46183</v>
      </c>
      <c r="L493" s="2">
        <v>46363</v>
      </c>
      <c r="M493" t="s">
        <v>69</v>
      </c>
      <c r="N493" t="s">
        <v>55</v>
      </c>
      <c r="O493">
        <v>1</v>
      </c>
      <c r="P493" t="s">
        <v>70</v>
      </c>
      <c r="Q493" s="2">
        <v>46323</v>
      </c>
      <c r="R493" t="s">
        <v>64</v>
      </c>
    </row>
    <row r="494" spans="1:18" x14ac:dyDescent="0.2">
      <c r="A494" t="s">
        <v>1043</v>
      </c>
      <c r="B494" t="s">
        <v>1044</v>
      </c>
      <c r="C494" t="s">
        <v>96</v>
      </c>
      <c r="D494" t="s">
        <v>97</v>
      </c>
      <c r="E494" t="s">
        <v>80</v>
      </c>
      <c r="F494" t="s">
        <v>34</v>
      </c>
      <c r="G494" t="s">
        <v>35</v>
      </c>
      <c r="H494" t="s">
        <v>36</v>
      </c>
      <c r="I494" t="s">
        <v>56</v>
      </c>
      <c r="J494" t="s">
        <v>63</v>
      </c>
      <c r="K494" s="2">
        <v>45990</v>
      </c>
      <c r="L494" s="2">
        <v>46355</v>
      </c>
      <c r="M494" t="s">
        <v>64</v>
      </c>
      <c r="N494" t="s">
        <v>75</v>
      </c>
      <c r="O494">
        <v>3</v>
      </c>
      <c r="P494" t="s">
        <v>56</v>
      </c>
      <c r="Q494" s="2">
        <v>46174</v>
      </c>
      <c r="R494" t="s">
        <v>38</v>
      </c>
    </row>
    <row r="495" spans="1:18" x14ac:dyDescent="0.2">
      <c r="A495" t="s">
        <v>1045</v>
      </c>
      <c r="B495" t="s">
        <v>1046</v>
      </c>
      <c r="C495" t="s">
        <v>73</v>
      </c>
      <c r="D495" t="s">
        <v>74</v>
      </c>
      <c r="E495" t="s">
        <v>44</v>
      </c>
      <c r="F495" t="s">
        <v>34</v>
      </c>
      <c r="G495" t="s">
        <v>35</v>
      </c>
      <c r="H495" t="s">
        <v>88</v>
      </c>
      <c r="I495" t="s">
        <v>56</v>
      </c>
      <c r="J495" t="s">
        <v>48</v>
      </c>
      <c r="K495" s="2">
        <v>45838</v>
      </c>
      <c r="L495" s="2">
        <v>46018</v>
      </c>
      <c r="M495" t="s">
        <v>38</v>
      </c>
      <c r="N495" t="s">
        <v>55</v>
      </c>
      <c r="O495">
        <v>0</v>
      </c>
      <c r="P495" t="s">
        <v>111</v>
      </c>
      <c r="Q495" s="2">
        <v>46358</v>
      </c>
      <c r="R495" t="s">
        <v>57</v>
      </c>
    </row>
    <row r="496" spans="1:18" x14ac:dyDescent="0.2">
      <c r="A496" t="s">
        <v>1047</v>
      </c>
      <c r="B496" t="s">
        <v>1048</v>
      </c>
      <c r="C496" t="s">
        <v>31</v>
      </c>
      <c r="D496" t="s">
        <v>32</v>
      </c>
      <c r="E496" t="s">
        <v>80</v>
      </c>
      <c r="F496" t="s">
        <v>34</v>
      </c>
      <c r="G496" t="s">
        <v>35</v>
      </c>
      <c r="H496" t="s">
        <v>88</v>
      </c>
      <c r="I496" t="s">
        <v>70</v>
      </c>
      <c r="J496" t="s">
        <v>48</v>
      </c>
      <c r="K496" s="2">
        <v>46214</v>
      </c>
      <c r="L496" s="2">
        <v>46304</v>
      </c>
      <c r="M496" t="s">
        <v>64</v>
      </c>
      <c r="N496" t="s">
        <v>49</v>
      </c>
      <c r="O496">
        <v>0</v>
      </c>
      <c r="P496" t="s">
        <v>106</v>
      </c>
      <c r="Q496" s="2">
        <v>46201</v>
      </c>
      <c r="R496" t="s">
        <v>57</v>
      </c>
    </row>
    <row r="497" spans="1:18" x14ac:dyDescent="0.2">
      <c r="A497" t="s">
        <v>1049</v>
      </c>
      <c r="B497" t="s">
        <v>1050</v>
      </c>
      <c r="C497" t="s">
        <v>78</v>
      </c>
      <c r="D497" t="s">
        <v>79</v>
      </c>
      <c r="E497" t="s">
        <v>105</v>
      </c>
      <c r="F497" t="s">
        <v>45</v>
      </c>
      <c r="G497" t="s">
        <v>61</v>
      </c>
      <c r="H497" t="s">
        <v>47</v>
      </c>
      <c r="I497" t="s">
        <v>62</v>
      </c>
      <c r="J497" t="s">
        <v>63</v>
      </c>
      <c r="K497" s="2">
        <v>45904</v>
      </c>
      <c r="L497" s="2">
        <v>46084</v>
      </c>
      <c r="M497" t="s">
        <v>38</v>
      </c>
      <c r="N497" t="s">
        <v>75</v>
      </c>
      <c r="O497">
        <v>2</v>
      </c>
      <c r="P497" t="s">
        <v>56</v>
      </c>
      <c r="Q497" s="2">
        <v>46319</v>
      </c>
      <c r="R497" t="s">
        <v>84</v>
      </c>
    </row>
    <row r="498" spans="1:18" x14ac:dyDescent="0.2">
      <c r="A498" t="s">
        <v>1051</v>
      </c>
      <c r="B498" t="s">
        <v>1052</v>
      </c>
      <c r="C498" t="s">
        <v>31</v>
      </c>
      <c r="D498" t="s">
        <v>87</v>
      </c>
      <c r="E498" t="s">
        <v>105</v>
      </c>
      <c r="F498" t="s">
        <v>45</v>
      </c>
      <c r="G498" t="s">
        <v>61</v>
      </c>
      <c r="H498" t="s">
        <v>47</v>
      </c>
      <c r="I498" t="s">
        <v>111</v>
      </c>
      <c r="J498" t="s">
        <v>48</v>
      </c>
      <c r="K498" s="2">
        <v>46021</v>
      </c>
      <c r="L498" s="2">
        <v>46111</v>
      </c>
      <c r="M498" t="s">
        <v>38</v>
      </c>
      <c r="N498" t="s">
        <v>49</v>
      </c>
      <c r="O498">
        <v>1</v>
      </c>
      <c r="P498" t="s">
        <v>111</v>
      </c>
      <c r="Q498" s="2">
        <v>46130</v>
      </c>
      <c r="R498" t="s">
        <v>64</v>
      </c>
    </row>
    <row r="499" spans="1:18" x14ac:dyDescent="0.2">
      <c r="A499" t="s">
        <v>1053</v>
      </c>
      <c r="B499" t="s">
        <v>1054</v>
      </c>
      <c r="C499" t="s">
        <v>96</v>
      </c>
      <c r="D499" t="s">
        <v>97</v>
      </c>
      <c r="E499" t="s">
        <v>44</v>
      </c>
      <c r="F499" t="s">
        <v>34</v>
      </c>
      <c r="G499" t="s">
        <v>35</v>
      </c>
      <c r="H499" t="s">
        <v>88</v>
      </c>
      <c r="I499" t="s">
        <v>106</v>
      </c>
      <c r="J499" t="s">
        <v>63</v>
      </c>
      <c r="K499" s="2">
        <v>46197</v>
      </c>
      <c r="L499" s="2">
        <v>46377</v>
      </c>
      <c r="M499" t="s">
        <v>84</v>
      </c>
      <c r="N499" t="s">
        <v>55</v>
      </c>
      <c r="O499">
        <v>3</v>
      </c>
      <c r="P499" t="s">
        <v>56</v>
      </c>
      <c r="Q499" s="2">
        <v>46353</v>
      </c>
      <c r="R499" t="s">
        <v>64</v>
      </c>
    </row>
    <row r="500" spans="1:18" x14ac:dyDescent="0.2">
      <c r="A500" t="s">
        <v>1055</v>
      </c>
      <c r="B500" t="s">
        <v>1056</v>
      </c>
      <c r="C500" t="s">
        <v>96</v>
      </c>
      <c r="D500" t="s">
        <v>97</v>
      </c>
      <c r="E500" t="s">
        <v>60</v>
      </c>
      <c r="F500" t="s">
        <v>34</v>
      </c>
      <c r="G500" t="s">
        <v>35</v>
      </c>
      <c r="H500" t="s">
        <v>88</v>
      </c>
      <c r="I500" t="s">
        <v>39</v>
      </c>
      <c r="J500" t="s">
        <v>48</v>
      </c>
      <c r="K500" s="2">
        <v>46055</v>
      </c>
      <c r="L500" s="2">
        <v>46145</v>
      </c>
      <c r="M500" t="s">
        <v>38</v>
      </c>
      <c r="N500" t="s">
        <v>75</v>
      </c>
      <c r="O500">
        <v>3</v>
      </c>
      <c r="P500" t="s">
        <v>39</v>
      </c>
      <c r="Q500" s="2">
        <v>46276</v>
      </c>
      <c r="R500" t="s">
        <v>38</v>
      </c>
    </row>
    <row r="501" spans="1:18" x14ac:dyDescent="0.2">
      <c r="A501" t="s">
        <v>1057</v>
      </c>
      <c r="B501" t="s">
        <v>1058</v>
      </c>
      <c r="C501" t="s">
        <v>96</v>
      </c>
      <c r="D501" t="s">
        <v>97</v>
      </c>
      <c r="E501" t="s">
        <v>91</v>
      </c>
      <c r="F501" t="s">
        <v>45</v>
      </c>
      <c r="G501" t="s">
        <v>61</v>
      </c>
      <c r="H501" t="s">
        <v>47</v>
      </c>
      <c r="I501" t="s">
        <v>62</v>
      </c>
      <c r="J501" t="s">
        <v>63</v>
      </c>
      <c r="K501" s="2">
        <v>46207</v>
      </c>
      <c r="L501" s="2">
        <v>46387</v>
      </c>
      <c r="M501" t="s">
        <v>69</v>
      </c>
      <c r="N501" t="s">
        <v>55</v>
      </c>
      <c r="O501">
        <v>3</v>
      </c>
      <c r="P501" t="s">
        <v>50</v>
      </c>
      <c r="Q501" s="2">
        <v>46398</v>
      </c>
      <c r="R501" t="s">
        <v>84</v>
      </c>
    </row>
    <row r="502" spans="1:18" x14ac:dyDescent="0.2">
      <c r="A502" t="s">
        <v>1059</v>
      </c>
      <c r="B502" t="s">
        <v>1060</v>
      </c>
      <c r="C502" t="s">
        <v>31</v>
      </c>
      <c r="D502" t="s">
        <v>87</v>
      </c>
      <c r="E502" t="s">
        <v>80</v>
      </c>
      <c r="F502" t="s">
        <v>34</v>
      </c>
      <c r="G502" t="s">
        <v>35</v>
      </c>
      <c r="H502" t="s">
        <v>47</v>
      </c>
      <c r="I502" t="s">
        <v>62</v>
      </c>
      <c r="J502" t="s">
        <v>37</v>
      </c>
      <c r="K502" s="2">
        <v>45960</v>
      </c>
      <c r="L502" s="2">
        <v>46325</v>
      </c>
      <c r="M502" t="s">
        <v>64</v>
      </c>
      <c r="N502" t="s">
        <v>75</v>
      </c>
      <c r="O502">
        <v>2</v>
      </c>
      <c r="P502" t="s">
        <v>106</v>
      </c>
      <c r="Q502" s="2">
        <v>46146</v>
      </c>
      <c r="R502" t="s">
        <v>64</v>
      </c>
    </row>
    <row r="503" spans="1:18" x14ac:dyDescent="0.2">
      <c r="A503" t="s">
        <v>1061</v>
      </c>
      <c r="B503" t="s">
        <v>1062</v>
      </c>
      <c r="C503" t="s">
        <v>103</v>
      </c>
      <c r="D503" t="s">
        <v>104</v>
      </c>
      <c r="E503" t="s">
        <v>91</v>
      </c>
      <c r="F503" t="s">
        <v>34</v>
      </c>
      <c r="G503" t="s">
        <v>35</v>
      </c>
      <c r="H503" t="s">
        <v>88</v>
      </c>
      <c r="I503" t="s">
        <v>70</v>
      </c>
      <c r="J503" t="s">
        <v>48</v>
      </c>
      <c r="K503" s="2">
        <v>46056</v>
      </c>
      <c r="L503" s="2">
        <v>46236</v>
      </c>
      <c r="M503" t="s">
        <v>38</v>
      </c>
      <c r="O503">
        <v>2</v>
      </c>
      <c r="P503" t="s">
        <v>56</v>
      </c>
      <c r="Q503" s="2">
        <v>46325</v>
      </c>
      <c r="R503" t="s">
        <v>84</v>
      </c>
    </row>
    <row r="504" spans="1:18" x14ac:dyDescent="0.2">
      <c r="A504" t="s">
        <v>1063</v>
      </c>
      <c r="B504" t="s">
        <v>1064</v>
      </c>
      <c r="C504" t="s">
        <v>78</v>
      </c>
      <c r="D504" t="s">
        <v>79</v>
      </c>
      <c r="E504" t="s">
        <v>91</v>
      </c>
      <c r="F504" t="s">
        <v>34</v>
      </c>
      <c r="G504" t="s">
        <v>35</v>
      </c>
      <c r="H504" t="s">
        <v>47</v>
      </c>
      <c r="I504" t="s">
        <v>56</v>
      </c>
      <c r="J504" t="s">
        <v>63</v>
      </c>
      <c r="K504" s="2">
        <v>46217</v>
      </c>
      <c r="L504" s="2">
        <v>46397</v>
      </c>
      <c r="M504" t="s">
        <v>64</v>
      </c>
      <c r="N504" t="s">
        <v>49</v>
      </c>
      <c r="O504">
        <v>2</v>
      </c>
      <c r="P504" t="s">
        <v>62</v>
      </c>
      <c r="Q504" s="2">
        <v>46134</v>
      </c>
      <c r="R504" t="s">
        <v>38</v>
      </c>
    </row>
    <row r="505" spans="1:18" x14ac:dyDescent="0.2">
      <c r="A505" t="s">
        <v>1065</v>
      </c>
      <c r="B505" t="s">
        <v>1066</v>
      </c>
      <c r="C505" t="s">
        <v>96</v>
      </c>
      <c r="D505" t="s">
        <v>97</v>
      </c>
      <c r="E505" t="s">
        <v>91</v>
      </c>
      <c r="F505" t="s">
        <v>67</v>
      </c>
      <c r="G505" t="s">
        <v>68</v>
      </c>
      <c r="H505" t="s">
        <v>88</v>
      </c>
      <c r="I505" t="s">
        <v>39</v>
      </c>
      <c r="J505" t="s">
        <v>63</v>
      </c>
      <c r="K505" s="2">
        <v>46113</v>
      </c>
      <c r="L505" s="2">
        <v>46293</v>
      </c>
      <c r="M505" t="s">
        <v>38</v>
      </c>
      <c r="N505" t="s">
        <v>49</v>
      </c>
      <c r="O505">
        <v>3</v>
      </c>
      <c r="P505" t="s">
        <v>54</v>
      </c>
      <c r="Q505" s="2">
        <v>46280</v>
      </c>
      <c r="R505" t="s">
        <v>38</v>
      </c>
    </row>
    <row r="506" spans="1:18" x14ac:dyDescent="0.2">
      <c r="A506" t="s">
        <v>1067</v>
      </c>
      <c r="B506" t="s">
        <v>1068</v>
      </c>
      <c r="C506" t="s">
        <v>31</v>
      </c>
      <c r="D506" t="s">
        <v>32</v>
      </c>
      <c r="E506" t="s">
        <v>60</v>
      </c>
      <c r="F506" t="s">
        <v>67</v>
      </c>
      <c r="G506" t="s">
        <v>118</v>
      </c>
      <c r="H506" t="s">
        <v>36</v>
      </c>
      <c r="I506" t="s">
        <v>106</v>
      </c>
      <c r="J506" t="s">
        <v>63</v>
      </c>
      <c r="K506" s="2">
        <v>46190</v>
      </c>
      <c r="L506" s="2">
        <v>46555</v>
      </c>
      <c r="M506" t="s">
        <v>64</v>
      </c>
      <c r="N506" t="s">
        <v>75</v>
      </c>
      <c r="O506">
        <v>1</v>
      </c>
      <c r="P506" t="s">
        <v>54</v>
      </c>
      <c r="Q506" s="2">
        <v>46369</v>
      </c>
      <c r="R506" t="s">
        <v>84</v>
      </c>
    </row>
    <row r="507" spans="1:18" x14ac:dyDescent="0.2">
      <c r="A507" t="s">
        <v>1069</v>
      </c>
      <c r="B507" t="s">
        <v>1070</v>
      </c>
      <c r="C507" t="s">
        <v>31</v>
      </c>
      <c r="D507" t="s">
        <v>32</v>
      </c>
      <c r="E507" t="s">
        <v>105</v>
      </c>
      <c r="F507" t="s">
        <v>67</v>
      </c>
      <c r="G507" t="s">
        <v>118</v>
      </c>
      <c r="H507" t="s">
        <v>47</v>
      </c>
      <c r="I507" t="s">
        <v>62</v>
      </c>
      <c r="J507" t="s">
        <v>37</v>
      </c>
      <c r="K507" s="2">
        <v>45864</v>
      </c>
      <c r="L507" s="2">
        <v>45954</v>
      </c>
      <c r="M507" t="s">
        <v>38</v>
      </c>
      <c r="N507" t="s">
        <v>49</v>
      </c>
      <c r="O507">
        <v>0</v>
      </c>
      <c r="P507" t="s">
        <v>56</v>
      </c>
      <c r="Q507" s="2">
        <v>46411</v>
      </c>
      <c r="R507" t="s">
        <v>57</v>
      </c>
    </row>
    <row r="508" spans="1:18" x14ac:dyDescent="0.2">
      <c r="A508" t="s">
        <v>1071</v>
      </c>
      <c r="B508" t="s">
        <v>1072</v>
      </c>
      <c r="C508" t="s">
        <v>73</v>
      </c>
      <c r="D508" t="s">
        <v>74</v>
      </c>
      <c r="E508" t="s">
        <v>80</v>
      </c>
      <c r="F508" t="s">
        <v>45</v>
      </c>
      <c r="G508" t="s">
        <v>61</v>
      </c>
      <c r="H508" t="s">
        <v>47</v>
      </c>
      <c r="I508" t="s">
        <v>70</v>
      </c>
      <c r="J508" t="s">
        <v>37</v>
      </c>
      <c r="K508" s="2">
        <v>45942</v>
      </c>
      <c r="L508" s="2">
        <v>46122</v>
      </c>
      <c r="M508" t="s">
        <v>38</v>
      </c>
      <c r="N508" t="s">
        <v>49</v>
      </c>
      <c r="O508">
        <v>2</v>
      </c>
      <c r="P508" t="s">
        <v>62</v>
      </c>
      <c r="Q508" s="2">
        <v>46336</v>
      </c>
      <c r="R508" t="s">
        <v>84</v>
      </c>
    </row>
    <row r="509" spans="1:18" x14ac:dyDescent="0.2">
      <c r="A509" t="s">
        <v>1073</v>
      </c>
      <c r="B509" t="s">
        <v>1074</v>
      </c>
      <c r="C509" t="s">
        <v>96</v>
      </c>
      <c r="D509" t="s">
        <v>97</v>
      </c>
      <c r="E509" t="s">
        <v>91</v>
      </c>
      <c r="F509" t="s">
        <v>67</v>
      </c>
      <c r="G509" t="s">
        <v>118</v>
      </c>
      <c r="H509" t="s">
        <v>36</v>
      </c>
      <c r="I509" t="s">
        <v>50</v>
      </c>
      <c r="J509" t="s">
        <v>63</v>
      </c>
      <c r="K509" s="2">
        <v>45824</v>
      </c>
      <c r="L509" s="2">
        <v>45914</v>
      </c>
      <c r="M509" t="s">
        <v>38</v>
      </c>
      <c r="N509" t="s">
        <v>49</v>
      </c>
      <c r="O509">
        <v>5</v>
      </c>
      <c r="P509" t="s">
        <v>111</v>
      </c>
      <c r="Q509" s="2">
        <v>46379</v>
      </c>
      <c r="R509" t="s">
        <v>84</v>
      </c>
    </row>
    <row r="510" spans="1:18" x14ac:dyDescent="0.2">
      <c r="A510" t="s">
        <v>1075</v>
      </c>
      <c r="B510" t="s">
        <v>1076</v>
      </c>
      <c r="C510" t="s">
        <v>42</v>
      </c>
      <c r="D510" t="s">
        <v>43</v>
      </c>
      <c r="E510" t="s">
        <v>60</v>
      </c>
      <c r="F510" t="s">
        <v>67</v>
      </c>
      <c r="G510" t="s">
        <v>118</v>
      </c>
      <c r="H510" t="s">
        <v>36</v>
      </c>
      <c r="I510" t="s">
        <v>39</v>
      </c>
      <c r="J510" t="s">
        <v>37</v>
      </c>
      <c r="K510" s="2">
        <v>46008</v>
      </c>
      <c r="L510" s="2">
        <v>46098</v>
      </c>
      <c r="M510" t="s">
        <v>38</v>
      </c>
      <c r="N510" t="s">
        <v>75</v>
      </c>
      <c r="O510">
        <v>3</v>
      </c>
      <c r="P510" t="s">
        <v>62</v>
      </c>
      <c r="Q510" s="2">
        <v>46190</v>
      </c>
      <c r="R510" t="s">
        <v>64</v>
      </c>
    </row>
    <row r="511" spans="1:18" x14ac:dyDescent="0.2">
      <c r="A511" t="s">
        <v>1077</v>
      </c>
      <c r="B511" t="s">
        <v>1078</v>
      </c>
      <c r="C511" t="s">
        <v>31</v>
      </c>
      <c r="D511" t="s">
        <v>83</v>
      </c>
      <c r="E511" t="s">
        <v>91</v>
      </c>
      <c r="F511" t="s">
        <v>67</v>
      </c>
      <c r="G511" t="s">
        <v>68</v>
      </c>
      <c r="H511" t="s">
        <v>47</v>
      </c>
      <c r="I511" t="s">
        <v>62</v>
      </c>
      <c r="J511" t="s">
        <v>48</v>
      </c>
      <c r="K511" s="2">
        <v>46139</v>
      </c>
      <c r="L511" s="2">
        <v>46319</v>
      </c>
      <c r="M511" t="s">
        <v>69</v>
      </c>
      <c r="N511" t="s">
        <v>49</v>
      </c>
      <c r="O511">
        <v>1</v>
      </c>
      <c r="P511" t="s">
        <v>54</v>
      </c>
      <c r="Q511" s="2">
        <v>46322</v>
      </c>
      <c r="R511" t="s">
        <v>64</v>
      </c>
    </row>
    <row r="512" spans="1:18" x14ac:dyDescent="0.2">
      <c r="A512" t="s">
        <v>1079</v>
      </c>
      <c r="B512" t="s">
        <v>1080</v>
      </c>
      <c r="C512" t="s">
        <v>42</v>
      </c>
      <c r="D512" t="s">
        <v>43</v>
      </c>
      <c r="E512" t="s">
        <v>80</v>
      </c>
      <c r="F512" t="s">
        <v>67</v>
      </c>
      <c r="G512" t="s">
        <v>118</v>
      </c>
      <c r="H512" t="s">
        <v>88</v>
      </c>
      <c r="I512" t="s">
        <v>62</v>
      </c>
      <c r="J512" t="s">
        <v>63</v>
      </c>
      <c r="K512" s="2">
        <v>46059</v>
      </c>
      <c r="L512" s="2">
        <v>46424</v>
      </c>
      <c r="M512" t="s">
        <v>84</v>
      </c>
      <c r="N512" t="s">
        <v>55</v>
      </c>
      <c r="O512">
        <v>2</v>
      </c>
      <c r="P512" t="s">
        <v>50</v>
      </c>
      <c r="Q512" s="2">
        <v>46184</v>
      </c>
      <c r="R512" t="s">
        <v>64</v>
      </c>
    </row>
    <row r="513" spans="1:18" x14ac:dyDescent="0.2">
      <c r="A513" t="s">
        <v>1081</v>
      </c>
      <c r="B513" t="s">
        <v>1082</v>
      </c>
      <c r="C513" t="s">
        <v>73</v>
      </c>
      <c r="D513" t="s">
        <v>74</v>
      </c>
      <c r="E513" t="s">
        <v>91</v>
      </c>
      <c r="F513" t="s">
        <v>34</v>
      </c>
      <c r="G513" t="s">
        <v>35</v>
      </c>
      <c r="H513" t="s">
        <v>88</v>
      </c>
      <c r="I513" t="s">
        <v>39</v>
      </c>
      <c r="J513" t="s">
        <v>63</v>
      </c>
      <c r="K513" s="2">
        <v>46247</v>
      </c>
      <c r="L513" s="2">
        <v>46337</v>
      </c>
      <c r="M513" t="s">
        <v>64</v>
      </c>
      <c r="N513" t="s">
        <v>75</v>
      </c>
      <c r="O513">
        <v>0</v>
      </c>
      <c r="P513" t="s">
        <v>70</v>
      </c>
      <c r="Q513" s="2">
        <v>46323</v>
      </c>
      <c r="R513" t="s">
        <v>57</v>
      </c>
    </row>
    <row r="514" spans="1:18" x14ac:dyDescent="0.2">
      <c r="A514" t="s">
        <v>1083</v>
      </c>
      <c r="B514" t="s">
        <v>1084</v>
      </c>
      <c r="C514" t="s">
        <v>31</v>
      </c>
      <c r="D514" t="s">
        <v>32</v>
      </c>
      <c r="E514" t="s">
        <v>44</v>
      </c>
      <c r="F514" t="s">
        <v>67</v>
      </c>
      <c r="G514" t="s">
        <v>68</v>
      </c>
      <c r="H514" t="s">
        <v>47</v>
      </c>
      <c r="I514" t="s">
        <v>70</v>
      </c>
      <c r="J514" t="s">
        <v>37</v>
      </c>
      <c r="K514" s="2">
        <v>46008</v>
      </c>
      <c r="L514" s="2">
        <v>46373</v>
      </c>
      <c r="M514" t="s">
        <v>69</v>
      </c>
      <c r="N514" t="s">
        <v>75</v>
      </c>
      <c r="O514">
        <v>0</v>
      </c>
      <c r="P514" t="s">
        <v>106</v>
      </c>
      <c r="Q514" s="2">
        <v>46236</v>
      </c>
      <c r="R514" t="s">
        <v>57</v>
      </c>
    </row>
    <row r="515" spans="1:18" x14ac:dyDescent="0.2">
      <c r="A515" t="s">
        <v>1085</v>
      </c>
      <c r="B515" t="s">
        <v>1086</v>
      </c>
      <c r="C515" t="s">
        <v>96</v>
      </c>
      <c r="D515" t="s">
        <v>97</v>
      </c>
      <c r="E515" t="s">
        <v>91</v>
      </c>
      <c r="F515" t="s">
        <v>34</v>
      </c>
      <c r="G515" t="s">
        <v>35</v>
      </c>
      <c r="H515" t="s">
        <v>36</v>
      </c>
      <c r="I515" t="s">
        <v>62</v>
      </c>
      <c r="J515" t="s">
        <v>37</v>
      </c>
      <c r="K515" s="2">
        <v>46164</v>
      </c>
      <c r="L515" s="2">
        <v>46254</v>
      </c>
      <c r="M515" t="s">
        <v>38</v>
      </c>
      <c r="N515" t="s">
        <v>55</v>
      </c>
      <c r="O515">
        <v>1</v>
      </c>
      <c r="P515" t="s">
        <v>39</v>
      </c>
      <c r="Q515" s="2">
        <v>46224</v>
      </c>
      <c r="R515" t="s">
        <v>38</v>
      </c>
    </row>
    <row r="516" spans="1:18" x14ac:dyDescent="0.2">
      <c r="A516" t="s">
        <v>1087</v>
      </c>
      <c r="B516" t="s">
        <v>1088</v>
      </c>
      <c r="C516" t="s">
        <v>31</v>
      </c>
      <c r="D516" t="s">
        <v>83</v>
      </c>
      <c r="E516" t="s">
        <v>650</v>
      </c>
      <c r="F516" t="s">
        <v>67</v>
      </c>
      <c r="G516" t="s">
        <v>118</v>
      </c>
      <c r="H516" t="s">
        <v>98</v>
      </c>
      <c r="I516" t="s">
        <v>106</v>
      </c>
      <c r="J516" t="s">
        <v>37</v>
      </c>
      <c r="K516" s="2">
        <v>45996</v>
      </c>
      <c r="L516" s="2">
        <v>46176</v>
      </c>
      <c r="M516" t="s">
        <v>38</v>
      </c>
      <c r="N516" t="s">
        <v>75</v>
      </c>
      <c r="O516">
        <v>5</v>
      </c>
      <c r="P516" t="s">
        <v>106</v>
      </c>
      <c r="Q516" s="2">
        <v>46241</v>
      </c>
      <c r="R516" t="s">
        <v>38</v>
      </c>
    </row>
    <row r="517" spans="1:18" x14ac:dyDescent="0.2">
      <c r="A517" t="s">
        <v>1089</v>
      </c>
      <c r="B517" t="s">
        <v>1090</v>
      </c>
      <c r="C517" t="s">
        <v>42</v>
      </c>
      <c r="D517" t="s">
        <v>43</v>
      </c>
      <c r="E517" t="s">
        <v>91</v>
      </c>
      <c r="F517" t="s">
        <v>67</v>
      </c>
      <c r="G517" t="s">
        <v>68</v>
      </c>
      <c r="H517" t="s">
        <v>98</v>
      </c>
      <c r="I517" t="s">
        <v>39</v>
      </c>
      <c r="J517" t="s">
        <v>37</v>
      </c>
      <c r="K517" s="2">
        <v>45845</v>
      </c>
      <c r="L517" s="2">
        <v>46210</v>
      </c>
      <c r="M517" t="s">
        <v>38</v>
      </c>
      <c r="N517" t="s">
        <v>49</v>
      </c>
      <c r="O517">
        <v>0</v>
      </c>
      <c r="P517" t="s">
        <v>56</v>
      </c>
      <c r="Q517" s="2">
        <v>46237</v>
      </c>
      <c r="R517" t="s">
        <v>57</v>
      </c>
    </row>
    <row r="518" spans="1:18" x14ac:dyDescent="0.2">
      <c r="A518" t="s">
        <v>1091</v>
      </c>
      <c r="B518" t="s">
        <v>1092</v>
      </c>
      <c r="C518" t="s">
        <v>42</v>
      </c>
      <c r="D518" t="s">
        <v>43</v>
      </c>
      <c r="E518" t="s">
        <v>91</v>
      </c>
      <c r="F518" t="s">
        <v>34</v>
      </c>
      <c r="G518" t="s">
        <v>35</v>
      </c>
      <c r="H518" t="s">
        <v>47</v>
      </c>
      <c r="I518" t="s">
        <v>54</v>
      </c>
      <c r="J518" t="s">
        <v>48</v>
      </c>
      <c r="K518" s="2">
        <v>45836</v>
      </c>
      <c r="L518" s="2">
        <v>46016</v>
      </c>
      <c r="M518" t="s">
        <v>38</v>
      </c>
      <c r="N518" t="s">
        <v>75</v>
      </c>
      <c r="O518">
        <v>0</v>
      </c>
      <c r="P518" t="s">
        <v>54</v>
      </c>
      <c r="Q518" s="2">
        <v>46316</v>
      </c>
      <c r="R518" t="s">
        <v>57</v>
      </c>
    </row>
    <row r="519" spans="1:18" x14ac:dyDescent="0.2">
      <c r="A519" t="s">
        <v>1093</v>
      </c>
      <c r="B519" t="s">
        <v>1094</v>
      </c>
      <c r="C519" t="s">
        <v>31</v>
      </c>
      <c r="D519" t="s">
        <v>32</v>
      </c>
      <c r="E519" t="s">
        <v>44</v>
      </c>
      <c r="F519" t="s">
        <v>67</v>
      </c>
      <c r="G519" t="s">
        <v>68</v>
      </c>
      <c r="H519" t="s">
        <v>36</v>
      </c>
      <c r="I519" t="s">
        <v>106</v>
      </c>
      <c r="J519" t="s">
        <v>37</v>
      </c>
      <c r="K519" s="2">
        <v>45825</v>
      </c>
      <c r="L519" s="2">
        <v>46190</v>
      </c>
      <c r="M519" t="s">
        <v>38</v>
      </c>
      <c r="N519" t="s">
        <v>75</v>
      </c>
      <c r="O519">
        <v>0</v>
      </c>
      <c r="P519" t="s">
        <v>111</v>
      </c>
      <c r="Q519" s="2">
        <v>46255</v>
      </c>
      <c r="R519" t="s">
        <v>57</v>
      </c>
    </row>
    <row r="520" spans="1:18" x14ac:dyDescent="0.2">
      <c r="A520" t="s">
        <v>1095</v>
      </c>
      <c r="B520" t="s">
        <v>1096</v>
      </c>
      <c r="C520" t="s">
        <v>78</v>
      </c>
      <c r="D520" t="s">
        <v>79</v>
      </c>
      <c r="E520" t="s">
        <v>53</v>
      </c>
      <c r="F520" t="s">
        <v>34</v>
      </c>
      <c r="G520" t="s">
        <v>35</v>
      </c>
      <c r="H520" t="s">
        <v>36</v>
      </c>
      <c r="I520" t="s">
        <v>70</v>
      </c>
      <c r="J520" t="s">
        <v>63</v>
      </c>
      <c r="K520" s="2">
        <v>45853</v>
      </c>
      <c r="L520" s="2">
        <v>45943</v>
      </c>
      <c r="M520" t="s">
        <v>38</v>
      </c>
      <c r="N520" t="s">
        <v>49</v>
      </c>
      <c r="O520">
        <v>2</v>
      </c>
      <c r="P520" t="s">
        <v>106</v>
      </c>
      <c r="Q520" s="2">
        <v>46374</v>
      </c>
      <c r="R520" t="s">
        <v>64</v>
      </c>
    </row>
    <row r="521" spans="1:18" x14ac:dyDescent="0.2">
      <c r="A521" t="s">
        <v>1097</v>
      </c>
      <c r="B521" t="s">
        <v>1098</v>
      </c>
      <c r="C521" t="s">
        <v>42</v>
      </c>
      <c r="D521" t="s">
        <v>43</v>
      </c>
      <c r="E521" t="s">
        <v>105</v>
      </c>
      <c r="F521" t="s">
        <v>67</v>
      </c>
      <c r="G521" t="s">
        <v>68</v>
      </c>
      <c r="H521" t="s">
        <v>88</v>
      </c>
      <c r="I521" t="s">
        <v>50</v>
      </c>
      <c r="J521" t="s">
        <v>63</v>
      </c>
      <c r="K521" s="2">
        <v>45953</v>
      </c>
      <c r="L521" s="2">
        <v>46133</v>
      </c>
      <c r="M521" t="s">
        <v>38</v>
      </c>
      <c r="N521" t="s">
        <v>49</v>
      </c>
      <c r="O521">
        <v>1</v>
      </c>
      <c r="P521" t="s">
        <v>70</v>
      </c>
      <c r="Q521" s="2">
        <v>46116</v>
      </c>
      <c r="R521" t="s">
        <v>38</v>
      </c>
    </row>
    <row r="522" spans="1:18" x14ac:dyDescent="0.2">
      <c r="A522" t="s">
        <v>1099</v>
      </c>
      <c r="B522" t="s">
        <v>1100</v>
      </c>
      <c r="C522" t="s">
        <v>31</v>
      </c>
      <c r="D522" t="s">
        <v>83</v>
      </c>
      <c r="E522" t="s">
        <v>44</v>
      </c>
      <c r="F522" t="s">
        <v>45</v>
      </c>
      <c r="G522" t="s">
        <v>46</v>
      </c>
      <c r="H522" t="s">
        <v>88</v>
      </c>
      <c r="J522" t="s">
        <v>48</v>
      </c>
      <c r="K522" s="2">
        <v>45882</v>
      </c>
      <c r="L522" s="2">
        <v>46247</v>
      </c>
      <c r="M522" t="s">
        <v>38</v>
      </c>
      <c r="N522" t="s">
        <v>55</v>
      </c>
      <c r="O522">
        <v>3</v>
      </c>
      <c r="P522" t="s">
        <v>106</v>
      </c>
      <c r="Q522" s="2">
        <v>46278</v>
      </c>
      <c r="R522" t="s">
        <v>38</v>
      </c>
    </row>
    <row r="523" spans="1:18" x14ac:dyDescent="0.2">
      <c r="A523" t="s">
        <v>1101</v>
      </c>
      <c r="B523" t="s">
        <v>1102</v>
      </c>
      <c r="C523" t="s">
        <v>103</v>
      </c>
      <c r="D523" t="s">
        <v>104</v>
      </c>
      <c r="E523" t="s">
        <v>105</v>
      </c>
      <c r="F523" t="s">
        <v>67</v>
      </c>
      <c r="G523" t="s">
        <v>68</v>
      </c>
      <c r="H523" t="s">
        <v>88</v>
      </c>
      <c r="I523" t="s">
        <v>50</v>
      </c>
      <c r="J523" t="s">
        <v>37</v>
      </c>
      <c r="K523" s="2">
        <v>46074</v>
      </c>
      <c r="L523" s="2">
        <v>46254</v>
      </c>
      <c r="M523" t="s">
        <v>38</v>
      </c>
      <c r="N523" t="s">
        <v>49</v>
      </c>
      <c r="O523">
        <v>1</v>
      </c>
      <c r="P523" t="s">
        <v>54</v>
      </c>
      <c r="Q523" s="2">
        <v>46125</v>
      </c>
      <c r="R523" t="s">
        <v>38</v>
      </c>
    </row>
    <row r="524" spans="1:18" x14ac:dyDescent="0.2">
      <c r="A524" t="s">
        <v>1103</v>
      </c>
      <c r="B524" t="s">
        <v>1104</v>
      </c>
      <c r="C524" t="s">
        <v>31</v>
      </c>
      <c r="D524" t="s">
        <v>83</v>
      </c>
      <c r="E524" t="s">
        <v>105</v>
      </c>
      <c r="F524" t="s">
        <v>67</v>
      </c>
      <c r="G524" t="s">
        <v>68</v>
      </c>
      <c r="H524" t="s">
        <v>88</v>
      </c>
      <c r="I524" t="s">
        <v>62</v>
      </c>
      <c r="J524" t="s">
        <v>48</v>
      </c>
      <c r="K524" s="2">
        <v>45968</v>
      </c>
      <c r="L524" s="2">
        <v>46148</v>
      </c>
      <c r="M524" t="s">
        <v>38</v>
      </c>
      <c r="N524" t="s">
        <v>55</v>
      </c>
      <c r="O524">
        <v>0</v>
      </c>
      <c r="P524" t="s">
        <v>39</v>
      </c>
      <c r="Q524" s="2">
        <v>46303</v>
      </c>
      <c r="R524" t="s">
        <v>57</v>
      </c>
    </row>
    <row r="525" spans="1:18" x14ac:dyDescent="0.2">
      <c r="A525" t="s">
        <v>1105</v>
      </c>
      <c r="B525" t="s">
        <v>1106</v>
      </c>
      <c r="C525" t="s">
        <v>78</v>
      </c>
      <c r="D525" t="s">
        <v>79</v>
      </c>
      <c r="E525" t="s">
        <v>80</v>
      </c>
      <c r="F525" t="s">
        <v>34</v>
      </c>
      <c r="G525" t="s">
        <v>35</v>
      </c>
      <c r="H525" t="s">
        <v>36</v>
      </c>
      <c r="I525" t="s">
        <v>111</v>
      </c>
      <c r="J525" t="s">
        <v>48</v>
      </c>
      <c r="K525" s="2">
        <v>46215</v>
      </c>
      <c r="L525" s="2">
        <v>46305</v>
      </c>
      <c r="M525" t="s">
        <v>84</v>
      </c>
      <c r="N525" t="s">
        <v>75</v>
      </c>
      <c r="O525">
        <v>2</v>
      </c>
      <c r="P525" t="s">
        <v>54</v>
      </c>
      <c r="Q525" s="2">
        <v>46368</v>
      </c>
      <c r="R525" t="s">
        <v>84</v>
      </c>
    </row>
    <row r="526" spans="1:18" x14ac:dyDescent="0.2">
      <c r="A526" t="s">
        <v>1107</v>
      </c>
      <c r="B526" t="s">
        <v>1108</v>
      </c>
      <c r="C526" t="s">
        <v>96</v>
      </c>
      <c r="D526" t="s">
        <v>97</v>
      </c>
      <c r="E526" t="s">
        <v>80</v>
      </c>
      <c r="F526" t="s">
        <v>67</v>
      </c>
      <c r="G526" t="s">
        <v>68</v>
      </c>
      <c r="H526" t="s">
        <v>47</v>
      </c>
      <c r="I526" t="s">
        <v>50</v>
      </c>
      <c r="J526" t="s">
        <v>48</v>
      </c>
      <c r="K526" s="2">
        <v>46261</v>
      </c>
      <c r="L526" s="2">
        <v>46441</v>
      </c>
      <c r="M526" t="s">
        <v>84</v>
      </c>
      <c r="N526" t="s">
        <v>49</v>
      </c>
      <c r="O526">
        <v>3</v>
      </c>
      <c r="P526" t="s">
        <v>111</v>
      </c>
      <c r="Q526" s="2">
        <v>46242</v>
      </c>
      <c r="R526" t="s">
        <v>38</v>
      </c>
    </row>
    <row r="527" spans="1:18" x14ac:dyDescent="0.2">
      <c r="A527" t="s">
        <v>1109</v>
      </c>
      <c r="B527" t="s">
        <v>1110</v>
      </c>
      <c r="C527" t="s">
        <v>31</v>
      </c>
      <c r="D527" t="s">
        <v>87</v>
      </c>
      <c r="E527" t="s">
        <v>91</v>
      </c>
      <c r="F527" t="s">
        <v>45</v>
      </c>
      <c r="G527" t="s">
        <v>61</v>
      </c>
      <c r="H527" t="s">
        <v>88</v>
      </c>
      <c r="I527" t="s">
        <v>54</v>
      </c>
      <c r="J527" t="s">
        <v>37</v>
      </c>
      <c r="K527" s="2">
        <v>45910</v>
      </c>
      <c r="L527" s="2">
        <v>46090</v>
      </c>
      <c r="M527" t="s">
        <v>38</v>
      </c>
      <c r="N527" t="s">
        <v>49</v>
      </c>
      <c r="O527">
        <v>3</v>
      </c>
      <c r="P527" t="s">
        <v>54</v>
      </c>
      <c r="Q527" s="2">
        <v>46246</v>
      </c>
      <c r="R527" t="s">
        <v>64</v>
      </c>
    </row>
    <row r="528" spans="1:18" x14ac:dyDescent="0.2">
      <c r="A528" t="s">
        <v>1111</v>
      </c>
      <c r="B528" t="s">
        <v>1112</v>
      </c>
      <c r="C528" t="s">
        <v>31</v>
      </c>
      <c r="D528" t="s">
        <v>83</v>
      </c>
      <c r="E528" t="s">
        <v>60</v>
      </c>
      <c r="F528" t="s">
        <v>67</v>
      </c>
      <c r="G528" t="s">
        <v>118</v>
      </c>
      <c r="H528" t="s">
        <v>98</v>
      </c>
      <c r="I528" t="s">
        <v>39</v>
      </c>
      <c r="J528" t="s">
        <v>48</v>
      </c>
      <c r="K528" s="2">
        <v>46273</v>
      </c>
      <c r="L528" s="2">
        <v>46453</v>
      </c>
      <c r="M528" t="s">
        <v>64</v>
      </c>
      <c r="N528" t="s">
        <v>75</v>
      </c>
      <c r="O528">
        <v>2</v>
      </c>
      <c r="P528" t="s">
        <v>50</v>
      </c>
      <c r="Q528" s="2">
        <v>46317</v>
      </c>
      <c r="R528" t="s">
        <v>84</v>
      </c>
    </row>
    <row r="529" spans="1:18" x14ac:dyDescent="0.2">
      <c r="A529" t="s">
        <v>1113</v>
      </c>
      <c r="B529" t="s">
        <v>1114</v>
      </c>
      <c r="C529" t="s">
        <v>78</v>
      </c>
      <c r="D529" t="s">
        <v>79</v>
      </c>
      <c r="E529" t="s">
        <v>60</v>
      </c>
      <c r="F529" t="s">
        <v>67</v>
      </c>
      <c r="G529" t="s">
        <v>68</v>
      </c>
      <c r="H529" t="s">
        <v>88</v>
      </c>
      <c r="I529" t="s">
        <v>106</v>
      </c>
      <c r="J529" t="s">
        <v>37</v>
      </c>
      <c r="K529" s="2">
        <v>45826</v>
      </c>
      <c r="L529" s="2">
        <v>46006</v>
      </c>
      <c r="M529" t="s">
        <v>38</v>
      </c>
      <c r="N529" t="s">
        <v>55</v>
      </c>
      <c r="O529">
        <v>0</v>
      </c>
      <c r="P529" t="s">
        <v>70</v>
      </c>
      <c r="Q529" s="2">
        <v>46277</v>
      </c>
      <c r="R529" t="s">
        <v>57</v>
      </c>
    </row>
    <row r="530" spans="1:18" x14ac:dyDescent="0.2">
      <c r="A530" t="s">
        <v>1115</v>
      </c>
      <c r="B530" t="s">
        <v>1116</v>
      </c>
      <c r="C530" t="s">
        <v>42</v>
      </c>
      <c r="D530" t="s">
        <v>43</v>
      </c>
      <c r="E530" t="s">
        <v>44</v>
      </c>
      <c r="F530" t="s">
        <v>67</v>
      </c>
      <c r="G530" t="s">
        <v>68</v>
      </c>
      <c r="H530" t="s">
        <v>88</v>
      </c>
      <c r="I530" t="s">
        <v>56</v>
      </c>
      <c r="J530" t="s">
        <v>37</v>
      </c>
      <c r="K530" s="2">
        <v>45893</v>
      </c>
      <c r="L530" s="2">
        <v>46073</v>
      </c>
      <c r="M530" t="s">
        <v>38</v>
      </c>
      <c r="N530" t="s">
        <v>75</v>
      </c>
      <c r="O530">
        <v>2</v>
      </c>
      <c r="P530" t="s">
        <v>62</v>
      </c>
      <c r="Q530" s="2">
        <v>46249</v>
      </c>
      <c r="R530" t="s">
        <v>38</v>
      </c>
    </row>
    <row r="531" spans="1:18" x14ac:dyDescent="0.2">
      <c r="A531" t="s">
        <v>1117</v>
      </c>
      <c r="B531" t="s">
        <v>1118</v>
      </c>
      <c r="C531" t="s">
        <v>31</v>
      </c>
      <c r="D531" t="s">
        <v>83</v>
      </c>
      <c r="E531" t="s">
        <v>91</v>
      </c>
      <c r="F531" t="s">
        <v>45</v>
      </c>
      <c r="G531" t="s">
        <v>61</v>
      </c>
      <c r="H531" t="s">
        <v>98</v>
      </c>
      <c r="I531" t="s">
        <v>50</v>
      </c>
      <c r="J531" t="s">
        <v>37</v>
      </c>
      <c r="K531" s="2">
        <v>45991</v>
      </c>
      <c r="L531" s="2">
        <v>46356</v>
      </c>
      <c r="M531" t="s">
        <v>69</v>
      </c>
      <c r="N531" t="s">
        <v>55</v>
      </c>
      <c r="O531">
        <v>1</v>
      </c>
      <c r="P531" t="s">
        <v>56</v>
      </c>
      <c r="Q531" s="2">
        <v>46191</v>
      </c>
      <c r="R531" t="s">
        <v>64</v>
      </c>
    </row>
    <row r="532" spans="1:18" x14ac:dyDescent="0.2">
      <c r="A532" t="s">
        <v>1119</v>
      </c>
      <c r="B532" t="s">
        <v>1120</v>
      </c>
      <c r="C532" t="s">
        <v>31</v>
      </c>
      <c r="D532" t="s">
        <v>83</v>
      </c>
      <c r="E532" t="s">
        <v>80</v>
      </c>
      <c r="F532" t="s">
        <v>45</v>
      </c>
      <c r="G532" t="s">
        <v>61</v>
      </c>
      <c r="H532" t="s">
        <v>47</v>
      </c>
      <c r="I532" t="s">
        <v>111</v>
      </c>
      <c r="J532" t="s">
        <v>37</v>
      </c>
      <c r="K532" s="2">
        <v>46255</v>
      </c>
      <c r="L532" s="2">
        <v>46435</v>
      </c>
      <c r="M532" t="s">
        <v>64</v>
      </c>
      <c r="N532" t="s">
        <v>49</v>
      </c>
      <c r="O532">
        <v>3</v>
      </c>
      <c r="P532" t="s">
        <v>70</v>
      </c>
      <c r="Q532" s="2">
        <v>46349</v>
      </c>
      <c r="R532" t="s">
        <v>84</v>
      </c>
    </row>
    <row r="533" spans="1:18" x14ac:dyDescent="0.2">
      <c r="A533" t="s">
        <v>1121</v>
      </c>
      <c r="B533" t="s">
        <v>1122</v>
      </c>
      <c r="C533" t="s">
        <v>31</v>
      </c>
      <c r="D533" t="s">
        <v>32</v>
      </c>
      <c r="E533" t="s">
        <v>44</v>
      </c>
      <c r="F533" t="s">
        <v>45</v>
      </c>
      <c r="G533" t="s">
        <v>61</v>
      </c>
      <c r="H533" t="s">
        <v>36</v>
      </c>
      <c r="I533" t="s">
        <v>56</v>
      </c>
      <c r="J533" t="s">
        <v>37</v>
      </c>
      <c r="K533" s="2">
        <v>45987</v>
      </c>
      <c r="L533" s="2">
        <v>46352</v>
      </c>
      <c r="M533" t="s">
        <v>84</v>
      </c>
      <c r="N533" t="s">
        <v>49</v>
      </c>
      <c r="O533">
        <v>4</v>
      </c>
      <c r="P533" t="s">
        <v>70</v>
      </c>
      <c r="Q533" s="2">
        <v>46207</v>
      </c>
      <c r="R533" t="s">
        <v>38</v>
      </c>
    </row>
    <row r="534" spans="1:18" x14ac:dyDescent="0.2">
      <c r="A534" t="s">
        <v>1123</v>
      </c>
      <c r="B534" t="s">
        <v>1124</v>
      </c>
      <c r="C534" t="s">
        <v>31</v>
      </c>
      <c r="D534" t="s">
        <v>83</v>
      </c>
      <c r="E534" t="s">
        <v>53</v>
      </c>
      <c r="F534" t="s">
        <v>67</v>
      </c>
      <c r="G534" t="s">
        <v>68</v>
      </c>
      <c r="H534" t="s">
        <v>88</v>
      </c>
      <c r="I534" t="s">
        <v>70</v>
      </c>
      <c r="J534" t="s">
        <v>48</v>
      </c>
      <c r="K534" s="2">
        <v>46074</v>
      </c>
      <c r="L534" s="2">
        <v>46254</v>
      </c>
      <c r="M534" t="s">
        <v>38</v>
      </c>
      <c r="N534" t="s">
        <v>49</v>
      </c>
      <c r="O534">
        <v>0</v>
      </c>
      <c r="P534" t="s">
        <v>111</v>
      </c>
      <c r="Q534" s="2">
        <v>46280</v>
      </c>
      <c r="R534" t="s">
        <v>57</v>
      </c>
    </row>
    <row r="535" spans="1:18" x14ac:dyDescent="0.2">
      <c r="A535" t="s">
        <v>1125</v>
      </c>
      <c r="B535" t="s">
        <v>1126</v>
      </c>
      <c r="C535" t="s">
        <v>31</v>
      </c>
      <c r="D535" t="s">
        <v>83</v>
      </c>
      <c r="E535" t="s">
        <v>80</v>
      </c>
      <c r="F535" t="s">
        <v>34</v>
      </c>
      <c r="G535" t="s">
        <v>35</v>
      </c>
      <c r="H535" t="s">
        <v>88</v>
      </c>
      <c r="I535" t="s">
        <v>56</v>
      </c>
      <c r="J535" t="s">
        <v>48</v>
      </c>
      <c r="K535" s="2">
        <v>45971</v>
      </c>
      <c r="L535" s="2">
        <v>46336</v>
      </c>
      <c r="M535" t="s">
        <v>64</v>
      </c>
      <c r="N535" t="s">
        <v>55</v>
      </c>
      <c r="O535">
        <v>3</v>
      </c>
      <c r="P535" t="s">
        <v>56</v>
      </c>
      <c r="Q535" s="2">
        <v>46281</v>
      </c>
      <c r="R535" t="s">
        <v>38</v>
      </c>
    </row>
    <row r="536" spans="1:18" x14ac:dyDescent="0.2">
      <c r="A536" t="s">
        <v>1127</v>
      </c>
      <c r="B536" t="s">
        <v>1128</v>
      </c>
      <c r="C536" t="s">
        <v>103</v>
      </c>
      <c r="D536" t="s">
        <v>104</v>
      </c>
      <c r="E536" t="s">
        <v>91</v>
      </c>
      <c r="F536" t="s">
        <v>67</v>
      </c>
      <c r="G536" t="s">
        <v>68</v>
      </c>
      <c r="H536" t="s">
        <v>47</v>
      </c>
      <c r="I536" t="s">
        <v>62</v>
      </c>
      <c r="J536" t="s">
        <v>37</v>
      </c>
      <c r="K536" s="2">
        <v>46228</v>
      </c>
      <c r="L536" s="2">
        <v>46408</v>
      </c>
      <c r="M536" t="s">
        <v>64</v>
      </c>
      <c r="N536" t="s">
        <v>55</v>
      </c>
      <c r="O536">
        <v>3</v>
      </c>
      <c r="P536" t="s">
        <v>62</v>
      </c>
      <c r="Q536" s="2">
        <v>46160</v>
      </c>
      <c r="R536" t="s">
        <v>64</v>
      </c>
    </row>
    <row r="537" spans="1:18" x14ac:dyDescent="0.2">
      <c r="A537" t="s">
        <v>1129</v>
      </c>
      <c r="B537" t="s">
        <v>1130</v>
      </c>
      <c r="C537" t="s">
        <v>73</v>
      </c>
      <c r="D537" t="s">
        <v>74</v>
      </c>
      <c r="E537" t="s">
        <v>105</v>
      </c>
      <c r="F537" t="s">
        <v>67</v>
      </c>
      <c r="G537" t="s">
        <v>68</v>
      </c>
      <c r="H537" t="s">
        <v>47</v>
      </c>
      <c r="I537" t="s">
        <v>62</v>
      </c>
      <c r="J537" t="s">
        <v>48</v>
      </c>
      <c r="K537" s="2">
        <v>45899</v>
      </c>
      <c r="L537" s="2">
        <v>46079</v>
      </c>
      <c r="M537" t="s">
        <v>38</v>
      </c>
      <c r="N537" t="s">
        <v>49</v>
      </c>
      <c r="O537">
        <v>1</v>
      </c>
      <c r="P537" t="s">
        <v>111</v>
      </c>
      <c r="Q537" s="2">
        <v>46298</v>
      </c>
      <c r="R537" t="s">
        <v>84</v>
      </c>
    </row>
    <row r="538" spans="1:18" x14ac:dyDescent="0.2">
      <c r="A538" t="s">
        <v>1131</v>
      </c>
      <c r="B538" t="s">
        <v>1132</v>
      </c>
      <c r="C538" t="s">
        <v>73</v>
      </c>
      <c r="D538" t="s">
        <v>74</v>
      </c>
      <c r="E538" t="s">
        <v>80</v>
      </c>
      <c r="F538" t="s">
        <v>67</v>
      </c>
      <c r="G538" t="s">
        <v>118</v>
      </c>
      <c r="H538" t="s">
        <v>47</v>
      </c>
      <c r="I538" t="s">
        <v>62</v>
      </c>
      <c r="J538" t="s">
        <v>63</v>
      </c>
      <c r="K538" s="2">
        <v>46229</v>
      </c>
      <c r="L538" s="2">
        <v>46409</v>
      </c>
      <c r="M538" t="s">
        <v>84</v>
      </c>
      <c r="N538" t="s">
        <v>75</v>
      </c>
      <c r="O538">
        <v>3</v>
      </c>
      <c r="P538" t="s">
        <v>54</v>
      </c>
      <c r="Q538" s="2">
        <v>46162</v>
      </c>
      <c r="R538" t="s">
        <v>64</v>
      </c>
    </row>
    <row r="539" spans="1:18" x14ac:dyDescent="0.2">
      <c r="A539" t="s">
        <v>1133</v>
      </c>
      <c r="B539" t="s">
        <v>1134</v>
      </c>
      <c r="C539" t="s">
        <v>42</v>
      </c>
      <c r="D539" t="s">
        <v>43</v>
      </c>
      <c r="E539" t="s">
        <v>80</v>
      </c>
      <c r="F539" t="s">
        <v>34</v>
      </c>
      <c r="G539" t="s">
        <v>35</v>
      </c>
      <c r="H539" t="s">
        <v>88</v>
      </c>
      <c r="I539" t="s">
        <v>70</v>
      </c>
      <c r="J539" t="s">
        <v>48</v>
      </c>
      <c r="K539" s="2">
        <v>46127</v>
      </c>
      <c r="L539" s="2">
        <v>46307</v>
      </c>
      <c r="M539" t="s">
        <v>64</v>
      </c>
      <c r="N539" t="s">
        <v>75</v>
      </c>
      <c r="O539">
        <v>2</v>
      </c>
      <c r="P539" t="s">
        <v>62</v>
      </c>
      <c r="Q539" s="2">
        <v>46191</v>
      </c>
      <c r="R539" t="s">
        <v>38</v>
      </c>
    </row>
    <row r="540" spans="1:18" x14ac:dyDescent="0.2">
      <c r="A540" t="s">
        <v>1135</v>
      </c>
      <c r="B540" t="s">
        <v>1136</v>
      </c>
      <c r="C540" t="s">
        <v>42</v>
      </c>
      <c r="D540" t="s">
        <v>43</v>
      </c>
      <c r="E540" t="s">
        <v>60</v>
      </c>
      <c r="F540" t="s">
        <v>67</v>
      </c>
      <c r="G540" t="s">
        <v>68</v>
      </c>
      <c r="H540" t="s">
        <v>47</v>
      </c>
      <c r="I540" t="s">
        <v>39</v>
      </c>
      <c r="J540" t="s">
        <v>37</v>
      </c>
      <c r="K540" s="2">
        <v>46013</v>
      </c>
      <c r="L540" s="2">
        <v>46103</v>
      </c>
      <c r="M540" t="s">
        <v>38</v>
      </c>
      <c r="N540" t="s">
        <v>49</v>
      </c>
      <c r="O540">
        <v>3</v>
      </c>
      <c r="P540" t="s">
        <v>70</v>
      </c>
      <c r="Q540" s="2">
        <v>46326</v>
      </c>
      <c r="R540" t="s">
        <v>64</v>
      </c>
    </row>
    <row r="541" spans="1:18" x14ac:dyDescent="0.2">
      <c r="A541" t="s">
        <v>1137</v>
      </c>
      <c r="B541" t="s">
        <v>1138</v>
      </c>
      <c r="C541" t="s">
        <v>78</v>
      </c>
      <c r="D541" t="s">
        <v>79</v>
      </c>
      <c r="E541" t="s">
        <v>105</v>
      </c>
      <c r="F541" t="s">
        <v>34</v>
      </c>
      <c r="G541" t="s">
        <v>35</v>
      </c>
      <c r="H541" t="s">
        <v>36</v>
      </c>
      <c r="I541" t="s">
        <v>111</v>
      </c>
      <c r="J541" t="s">
        <v>37</v>
      </c>
      <c r="K541" s="2">
        <v>46184</v>
      </c>
      <c r="L541" s="2">
        <v>46274</v>
      </c>
      <c r="M541" t="s">
        <v>38</v>
      </c>
      <c r="N541" t="s">
        <v>75</v>
      </c>
      <c r="O541">
        <v>0</v>
      </c>
      <c r="P541" t="s">
        <v>106</v>
      </c>
      <c r="Q541" s="2">
        <v>46157</v>
      </c>
      <c r="R541" t="s">
        <v>57</v>
      </c>
    </row>
    <row r="542" spans="1:18" x14ac:dyDescent="0.2">
      <c r="A542" t="s">
        <v>1139</v>
      </c>
      <c r="B542" t="s">
        <v>1140</v>
      </c>
      <c r="C542" t="s">
        <v>42</v>
      </c>
      <c r="D542" t="s">
        <v>43</v>
      </c>
      <c r="E542" t="s">
        <v>91</v>
      </c>
      <c r="F542" t="s">
        <v>34</v>
      </c>
      <c r="G542" t="s">
        <v>35</v>
      </c>
      <c r="H542" t="s">
        <v>88</v>
      </c>
      <c r="I542" t="s">
        <v>56</v>
      </c>
      <c r="J542" t="s">
        <v>63</v>
      </c>
      <c r="K542" s="2">
        <v>46101</v>
      </c>
      <c r="L542" s="2">
        <v>46191</v>
      </c>
      <c r="M542" t="s">
        <v>38</v>
      </c>
      <c r="N542" t="s">
        <v>55</v>
      </c>
      <c r="O542">
        <v>1</v>
      </c>
      <c r="P542" t="s">
        <v>70</v>
      </c>
      <c r="Q542" s="2">
        <v>46155</v>
      </c>
      <c r="R542" t="s">
        <v>38</v>
      </c>
    </row>
    <row r="543" spans="1:18" x14ac:dyDescent="0.2">
      <c r="A543" t="s">
        <v>1141</v>
      </c>
      <c r="B543" t="s">
        <v>1142</v>
      </c>
      <c r="C543" t="s">
        <v>73</v>
      </c>
      <c r="D543" t="s">
        <v>74</v>
      </c>
      <c r="E543" t="s">
        <v>105</v>
      </c>
      <c r="F543" t="s">
        <v>67</v>
      </c>
      <c r="G543" t="s">
        <v>68</v>
      </c>
      <c r="H543" t="s">
        <v>88</v>
      </c>
      <c r="I543" t="s">
        <v>39</v>
      </c>
      <c r="J543" t="s">
        <v>63</v>
      </c>
      <c r="K543" s="2">
        <v>46188</v>
      </c>
      <c r="L543" s="2">
        <v>46553</v>
      </c>
      <c r="M543" t="s">
        <v>64</v>
      </c>
      <c r="N543" t="s">
        <v>49</v>
      </c>
      <c r="O543">
        <v>3</v>
      </c>
      <c r="P543" t="s">
        <v>62</v>
      </c>
      <c r="Q543" s="2">
        <v>46364</v>
      </c>
      <c r="R543" t="s">
        <v>64</v>
      </c>
    </row>
    <row r="544" spans="1:18" x14ac:dyDescent="0.2">
      <c r="A544" t="s">
        <v>1143</v>
      </c>
      <c r="B544" t="s">
        <v>1144</v>
      </c>
      <c r="C544" t="s">
        <v>103</v>
      </c>
      <c r="D544" t="s">
        <v>104</v>
      </c>
      <c r="E544" t="s">
        <v>44</v>
      </c>
      <c r="F544" t="s">
        <v>67</v>
      </c>
      <c r="G544" t="s">
        <v>68</v>
      </c>
      <c r="H544" t="s">
        <v>47</v>
      </c>
      <c r="I544" t="s">
        <v>54</v>
      </c>
      <c r="J544" t="s">
        <v>63</v>
      </c>
      <c r="K544" s="2">
        <v>46218</v>
      </c>
      <c r="L544" s="2">
        <v>46308</v>
      </c>
      <c r="M544" t="s">
        <v>84</v>
      </c>
      <c r="N544" t="s">
        <v>55</v>
      </c>
      <c r="O544">
        <v>1</v>
      </c>
      <c r="P544" t="s">
        <v>54</v>
      </c>
      <c r="Q544" s="2">
        <v>46361</v>
      </c>
      <c r="R544" t="s">
        <v>84</v>
      </c>
    </row>
    <row r="545" spans="1:18" x14ac:dyDescent="0.2">
      <c r="A545" t="s">
        <v>1145</v>
      </c>
      <c r="B545" t="s">
        <v>1146</v>
      </c>
      <c r="C545" t="s">
        <v>96</v>
      </c>
      <c r="D545" t="s">
        <v>97</v>
      </c>
      <c r="E545" t="s">
        <v>80</v>
      </c>
      <c r="F545" t="s">
        <v>45</v>
      </c>
      <c r="G545" t="s">
        <v>61</v>
      </c>
      <c r="H545" t="s">
        <v>47</v>
      </c>
      <c r="I545" t="s">
        <v>62</v>
      </c>
      <c r="J545" t="s">
        <v>48</v>
      </c>
      <c r="K545" s="2">
        <v>46264</v>
      </c>
      <c r="L545" s="2">
        <v>46354</v>
      </c>
      <c r="M545" t="s">
        <v>64</v>
      </c>
      <c r="N545" t="s">
        <v>55</v>
      </c>
      <c r="O545">
        <v>3</v>
      </c>
      <c r="P545" t="s">
        <v>54</v>
      </c>
      <c r="Q545" s="2">
        <v>46363</v>
      </c>
      <c r="R545" t="s">
        <v>84</v>
      </c>
    </row>
    <row r="546" spans="1:18" x14ac:dyDescent="0.2">
      <c r="A546" t="s">
        <v>1147</v>
      </c>
      <c r="B546" t="s">
        <v>1148</v>
      </c>
      <c r="C546" t="s">
        <v>42</v>
      </c>
      <c r="D546" t="s">
        <v>43</v>
      </c>
      <c r="E546" t="s">
        <v>105</v>
      </c>
      <c r="F546" t="s">
        <v>67</v>
      </c>
      <c r="G546" t="s">
        <v>118</v>
      </c>
      <c r="H546" t="s">
        <v>88</v>
      </c>
      <c r="I546" t="s">
        <v>70</v>
      </c>
      <c r="J546" t="s">
        <v>37</v>
      </c>
      <c r="K546" s="2">
        <v>45953</v>
      </c>
      <c r="L546" s="2">
        <v>46318</v>
      </c>
      <c r="M546" t="s">
        <v>64</v>
      </c>
      <c r="N546" t="s">
        <v>75</v>
      </c>
      <c r="O546">
        <v>3</v>
      </c>
      <c r="P546" t="s">
        <v>62</v>
      </c>
      <c r="Q546" s="2">
        <v>46411</v>
      </c>
      <c r="R546" t="s">
        <v>84</v>
      </c>
    </row>
    <row r="547" spans="1:18" x14ac:dyDescent="0.2">
      <c r="A547" t="s">
        <v>1149</v>
      </c>
      <c r="B547" t="s">
        <v>1150</v>
      </c>
      <c r="C547" t="s">
        <v>31</v>
      </c>
      <c r="D547" t="s">
        <v>32</v>
      </c>
      <c r="E547" t="s">
        <v>44</v>
      </c>
      <c r="F547" t="s">
        <v>67</v>
      </c>
      <c r="G547" t="s">
        <v>118</v>
      </c>
      <c r="H547" t="s">
        <v>36</v>
      </c>
      <c r="I547" t="s">
        <v>39</v>
      </c>
      <c r="J547" t="s">
        <v>63</v>
      </c>
      <c r="K547" s="2">
        <v>46059</v>
      </c>
      <c r="L547" s="2">
        <v>46424</v>
      </c>
      <c r="M547" t="s">
        <v>64</v>
      </c>
      <c r="N547" t="s">
        <v>55</v>
      </c>
      <c r="O547">
        <v>2</v>
      </c>
      <c r="P547" t="s">
        <v>106</v>
      </c>
      <c r="Q547" s="2">
        <v>46328</v>
      </c>
      <c r="R547" t="s">
        <v>84</v>
      </c>
    </row>
    <row r="548" spans="1:18" x14ac:dyDescent="0.2">
      <c r="A548" t="s">
        <v>1151</v>
      </c>
      <c r="B548" t="s">
        <v>1152</v>
      </c>
      <c r="C548" t="s">
        <v>73</v>
      </c>
      <c r="D548" t="s">
        <v>74</v>
      </c>
      <c r="E548" t="s">
        <v>105</v>
      </c>
      <c r="F548" t="s">
        <v>67</v>
      </c>
      <c r="G548" t="s">
        <v>118</v>
      </c>
      <c r="H548" t="s">
        <v>47</v>
      </c>
      <c r="I548" t="s">
        <v>54</v>
      </c>
      <c r="J548" t="s">
        <v>63</v>
      </c>
      <c r="K548" s="2">
        <v>46035</v>
      </c>
      <c r="L548" s="2">
        <v>46215</v>
      </c>
      <c r="M548" t="s">
        <v>38</v>
      </c>
      <c r="N548" t="s">
        <v>75</v>
      </c>
      <c r="O548">
        <v>1</v>
      </c>
      <c r="P548" t="s">
        <v>111</v>
      </c>
      <c r="Q548" s="2">
        <v>46374</v>
      </c>
      <c r="R548" t="s">
        <v>64</v>
      </c>
    </row>
    <row r="549" spans="1:18" x14ac:dyDescent="0.2">
      <c r="A549" t="s">
        <v>1153</v>
      </c>
      <c r="B549" t="s">
        <v>1154</v>
      </c>
      <c r="C549" t="s">
        <v>31</v>
      </c>
      <c r="D549" t="s">
        <v>83</v>
      </c>
      <c r="E549" t="s">
        <v>91</v>
      </c>
      <c r="F549" t="s">
        <v>45</v>
      </c>
      <c r="G549" t="s">
        <v>61</v>
      </c>
      <c r="H549" t="s">
        <v>36</v>
      </c>
      <c r="I549" t="s">
        <v>62</v>
      </c>
      <c r="J549" t="s">
        <v>48</v>
      </c>
      <c r="K549" s="2">
        <v>45849</v>
      </c>
      <c r="L549" s="2">
        <v>46214</v>
      </c>
      <c r="M549" t="s">
        <v>38</v>
      </c>
      <c r="N549" t="s">
        <v>49</v>
      </c>
      <c r="O549">
        <v>5</v>
      </c>
      <c r="P549" t="s">
        <v>56</v>
      </c>
      <c r="Q549" s="2">
        <v>46299</v>
      </c>
      <c r="R549" t="s">
        <v>84</v>
      </c>
    </row>
    <row r="550" spans="1:18" x14ac:dyDescent="0.2">
      <c r="A550" t="s">
        <v>1155</v>
      </c>
      <c r="B550" t="s">
        <v>1156</v>
      </c>
      <c r="C550" t="s">
        <v>96</v>
      </c>
      <c r="D550" t="s">
        <v>97</v>
      </c>
      <c r="E550" t="s">
        <v>91</v>
      </c>
      <c r="F550" t="s">
        <v>34</v>
      </c>
      <c r="G550" t="s">
        <v>35</v>
      </c>
      <c r="H550" t="s">
        <v>88</v>
      </c>
      <c r="I550" t="s">
        <v>50</v>
      </c>
      <c r="J550" t="s">
        <v>48</v>
      </c>
      <c r="K550" s="2">
        <v>46173</v>
      </c>
      <c r="L550" s="2">
        <v>46263</v>
      </c>
      <c r="M550" t="s">
        <v>38</v>
      </c>
      <c r="N550" t="s">
        <v>49</v>
      </c>
      <c r="O550">
        <v>3</v>
      </c>
      <c r="P550" t="s">
        <v>54</v>
      </c>
      <c r="Q550" s="2">
        <v>46166</v>
      </c>
      <c r="R550" t="s">
        <v>38</v>
      </c>
    </row>
    <row r="551" spans="1:18" x14ac:dyDescent="0.2">
      <c r="A551" t="s">
        <v>1157</v>
      </c>
      <c r="B551" t="s">
        <v>1158</v>
      </c>
      <c r="C551" t="s">
        <v>73</v>
      </c>
      <c r="D551" t="s">
        <v>74</v>
      </c>
      <c r="E551" t="s">
        <v>105</v>
      </c>
      <c r="F551" t="s">
        <v>34</v>
      </c>
      <c r="G551" t="s">
        <v>35</v>
      </c>
      <c r="H551" t="s">
        <v>88</v>
      </c>
      <c r="I551" t="s">
        <v>56</v>
      </c>
      <c r="J551" t="s">
        <v>48</v>
      </c>
      <c r="K551" s="2">
        <v>46093</v>
      </c>
      <c r="L551" s="2">
        <v>46458</v>
      </c>
      <c r="M551" t="s">
        <v>64</v>
      </c>
      <c r="N551" t="s">
        <v>49</v>
      </c>
      <c r="O551">
        <v>0</v>
      </c>
      <c r="P551" t="s">
        <v>54</v>
      </c>
      <c r="Q551" s="2">
        <v>46147</v>
      </c>
      <c r="R551" t="s">
        <v>57</v>
      </c>
    </row>
    <row r="552" spans="1:18" x14ac:dyDescent="0.2">
      <c r="A552" t="s">
        <v>1159</v>
      </c>
      <c r="B552" t="s">
        <v>1160</v>
      </c>
      <c r="C552" t="s">
        <v>31</v>
      </c>
      <c r="D552" t="s">
        <v>32</v>
      </c>
      <c r="E552" t="s">
        <v>80</v>
      </c>
      <c r="F552" t="s">
        <v>45</v>
      </c>
      <c r="G552" t="s">
        <v>46</v>
      </c>
      <c r="H552" t="s">
        <v>47</v>
      </c>
      <c r="I552" t="s">
        <v>106</v>
      </c>
      <c r="J552" t="s">
        <v>48</v>
      </c>
      <c r="K552" s="2">
        <v>45874</v>
      </c>
      <c r="L552" s="2">
        <v>46054</v>
      </c>
      <c r="M552" t="s">
        <v>38</v>
      </c>
      <c r="N552" t="s">
        <v>55</v>
      </c>
      <c r="O552">
        <v>2</v>
      </c>
      <c r="P552" t="s">
        <v>111</v>
      </c>
      <c r="Q552" s="2">
        <v>46192</v>
      </c>
      <c r="R552" t="s">
        <v>38</v>
      </c>
    </row>
    <row r="553" spans="1:18" x14ac:dyDescent="0.2">
      <c r="A553" t="s">
        <v>1161</v>
      </c>
      <c r="B553" t="s">
        <v>1162</v>
      </c>
      <c r="C553" t="s">
        <v>31</v>
      </c>
      <c r="D553" t="s">
        <v>32</v>
      </c>
      <c r="E553" t="s">
        <v>105</v>
      </c>
      <c r="F553" t="s">
        <v>67</v>
      </c>
      <c r="G553" t="s">
        <v>68</v>
      </c>
      <c r="H553" t="s">
        <v>36</v>
      </c>
      <c r="I553" t="s">
        <v>70</v>
      </c>
      <c r="J553" t="s">
        <v>48</v>
      </c>
      <c r="K553" s="2">
        <v>45854</v>
      </c>
      <c r="L553" s="2">
        <v>46219</v>
      </c>
      <c r="M553" t="s">
        <v>38</v>
      </c>
      <c r="N553" t="s">
        <v>55</v>
      </c>
      <c r="O553">
        <v>4</v>
      </c>
      <c r="P553" t="s">
        <v>106</v>
      </c>
      <c r="Q553" s="2">
        <v>46168</v>
      </c>
      <c r="R553" t="s">
        <v>64</v>
      </c>
    </row>
    <row r="554" spans="1:18" x14ac:dyDescent="0.2">
      <c r="A554" t="s">
        <v>1163</v>
      </c>
      <c r="B554" t="s">
        <v>1164</v>
      </c>
      <c r="C554" t="s">
        <v>31</v>
      </c>
      <c r="D554" t="s">
        <v>32</v>
      </c>
      <c r="E554" t="s">
        <v>91</v>
      </c>
      <c r="F554" t="s">
        <v>45</v>
      </c>
      <c r="G554" t="s">
        <v>61</v>
      </c>
      <c r="H554" t="s">
        <v>88</v>
      </c>
      <c r="I554" t="s">
        <v>111</v>
      </c>
      <c r="J554" t="s">
        <v>48</v>
      </c>
      <c r="K554" s="2">
        <v>45900</v>
      </c>
      <c r="L554" s="2">
        <v>45990</v>
      </c>
      <c r="M554" t="s">
        <v>38</v>
      </c>
      <c r="N554" t="s">
        <v>55</v>
      </c>
      <c r="O554">
        <v>2</v>
      </c>
      <c r="P554" t="s">
        <v>111</v>
      </c>
      <c r="Q554" s="2">
        <v>46286</v>
      </c>
      <c r="R554" t="s">
        <v>38</v>
      </c>
    </row>
    <row r="555" spans="1:18" x14ac:dyDescent="0.2">
      <c r="A555" t="s">
        <v>1165</v>
      </c>
      <c r="B555" t="s">
        <v>1166</v>
      </c>
      <c r="C555" t="s">
        <v>78</v>
      </c>
      <c r="D555" t="s">
        <v>79</v>
      </c>
      <c r="E555" t="s">
        <v>44</v>
      </c>
      <c r="F555" t="s">
        <v>67</v>
      </c>
      <c r="G555" t="s">
        <v>68</v>
      </c>
      <c r="H555" t="s">
        <v>36</v>
      </c>
      <c r="I555" t="s">
        <v>111</v>
      </c>
      <c r="J555" t="s">
        <v>63</v>
      </c>
      <c r="K555" s="2">
        <v>46101</v>
      </c>
      <c r="L555" s="2">
        <v>46281</v>
      </c>
      <c r="M555" t="s">
        <v>38</v>
      </c>
      <c r="N555" t="s">
        <v>49</v>
      </c>
      <c r="O555">
        <v>1</v>
      </c>
      <c r="P555" t="s">
        <v>54</v>
      </c>
      <c r="Q555" s="2">
        <v>46158</v>
      </c>
      <c r="R555" t="s">
        <v>64</v>
      </c>
    </row>
    <row r="556" spans="1:18" x14ac:dyDescent="0.2">
      <c r="A556" t="s">
        <v>1167</v>
      </c>
      <c r="B556" t="s">
        <v>1168</v>
      </c>
      <c r="C556" t="s">
        <v>31</v>
      </c>
      <c r="D556" t="s">
        <v>87</v>
      </c>
      <c r="E556" t="s">
        <v>44</v>
      </c>
      <c r="F556" t="s">
        <v>45</v>
      </c>
      <c r="G556" t="s">
        <v>61</v>
      </c>
      <c r="H556" t="s">
        <v>47</v>
      </c>
      <c r="I556" t="s">
        <v>62</v>
      </c>
      <c r="J556" t="s">
        <v>63</v>
      </c>
      <c r="K556" s="2">
        <v>46064</v>
      </c>
      <c r="L556" s="2">
        <v>46244</v>
      </c>
      <c r="M556" t="s">
        <v>38</v>
      </c>
      <c r="N556" t="s">
        <v>75</v>
      </c>
      <c r="O556">
        <v>2</v>
      </c>
      <c r="P556" t="s">
        <v>70</v>
      </c>
      <c r="Q556" s="2">
        <v>46130</v>
      </c>
      <c r="R556" t="s">
        <v>38</v>
      </c>
    </row>
    <row r="557" spans="1:18" x14ac:dyDescent="0.2">
      <c r="A557" t="s">
        <v>1169</v>
      </c>
      <c r="B557" t="s">
        <v>1170</v>
      </c>
      <c r="C557" t="s">
        <v>31</v>
      </c>
      <c r="D557" t="s">
        <v>87</v>
      </c>
      <c r="E557" t="s">
        <v>53</v>
      </c>
      <c r="F557" t="s">
        <v>45</v>
      </c>
      <c r="G557" t="s">
        <v>61</v>
      </c>
      <c r="H557" t="s">
        <v>88</v>
      </c>
      <c r="I557" t="s">
        <v>50</v>
      </c>
      <c r="J557" t="s">
        <v>63</v>
      </c>
      <c r="K557" s="2">
        <v>46053</v>
      </c>
      <c r="L557" s="2">
        <v>46143</v>
      </c>
      <c r="M557" t="s">
        <v>38</v>
      </c>
      <c r="N557" t="s">
        <v>75</v>
      </c>
      <c r="O557">
        <v>0</v>
      </c>
      <c r="P557" t="s">
        <v>56</v>
      </c>
      <c r="Q557" s="2">
        <v>46192</v>
      </c>
      <c r="R557" t="s">
        <v>57</v>
      </c>
    </row>
    <row r="558" spans="1:18" x14ac:dyDescent="0.2">
      <c r="A558" t="s">
        <v>1171</v>
      </c>
      <c r="B558" t="s">
        <v>1172</v>
      </c>
      <c r="C558" t="s">
        <v>31</v>
      </c>
      <c r="D558" t="s">
        <v>83</v>
      </c>
      <c r="E558" t="s">
        <v>91</v>
      </c>
      <c r="F558" t="s">
        <v>67</v>
      </c>
      <c r="G558" t="s">
        <v>118</v>
      </c>
      <c r="H558" t="s">
        <v>36</v>
      </c>
      <c r="I558" t="s">
        <v>56</v>
      </c>
      <c r="J558" t="s">
        <v>37</v>
      </c>
      <c r="K558" s="2">
        <v>45906</v>
      </c>
      <c r="L558" s="2">
        <v>46271</v>
      </c>
      <c r="M558" t="s">
        <v>38</v>
      </c>
      <c r="N558" t="s">
        <v>75</v>
      </c>
      <c r="O558">
        <v>2</v>
      </c>
      <c r="P558" t="s">
        <v>111</v>
      </c>
      <c r="Q558" s="2">
        <v>46119</v>
      </c>
      <c r="R558" t="s">
        <v>38</v>
      </c>
    </row>
    <row r="559" spans="1:18" x14ac:dyDescent="0.2">
      <c r="A559" t="s">
        <v>1173</v>
      </c>
      <c r="B559" t="s">
        <v>1174</v>
      </c>
      <c r="C559" t="s">
        <v>31</v>
      </c>
      <c r="D559" t="s">
        <v>32</v>
      </c>
      <c r="E559" t="s">
        <v>60</v>
      </c>
      <c r="F559" t="s">
        <v>34</v>
      </c>
      <c r="G559" t="s">
        <v>35</v>
      </c>
      <c r="H559" t="s">
        <v>88</v>
      </c>
      <c r="I559" t="s">
        <v>111</v>
      </c>
      <c r="J559" t="s">
        <v>63</v>
      </c>
      <c r="K559" s="2">
        <v>45918</v>
      </c>
      <c r="L559" s="2">
        <v>46098</v>
      </c>
      <c r="M559" t="s">
        <v>38</v>
      </c>
      <c r="N559" t="s">
        <v>49</v>
      </c>
      <c r="O559">
        <v>3</v>
      </c>
      <c r="P559" t="s">
        <v>106</v>
      </c>
      <c r="Q559" s="2">
        <v>46216</v>
      </c>
      <c r="R559" t="s">
        <v>38</v>
      </c>
    </row>
    <row r="560" spans="1:18" x14ac:dyDescent="0.2">
      <c r="A560" t="s">
        <v>1175</v>
      </c>
      <c r="B560" t="s">
        <v>1176</v>
      </c>
      <c r="C560" t="s">
        <v>31</v>
      </c>
      <c r="D560" t="s">
        <v>83</v>
      </c>
      <c r="E560" t="s">
        <v>60</v>
      </c>
      <c r="F560" t="s">
        <v>67</v>
      </c>
      <c r="G560" t="s">
        <v>68</v>
      </c>
      <c r="H560" t="s">
        <v>98</v>
      </c>
      <c r="I560" t="s">
        <v>56</v>
      </c>
      <c r="J560" t="s">
        <v>48</v>
      </c>
      <c r="K560" s="2">
        <v>46166</v>
      </c>
      <c r="L560" s="2">
        <v>46256</v>
      </c>
      <c r="M560" t="s">
        <v>38</v>
      </c>
      <c r="N560" t="s">
        <v>49</v>
      </c>
      <c r="O560">
        <v>4</v>
      </c>
      <c r="P560" t="s">
        <v>56</v>
      </c>
      <c r="Q560" s="2">
        <v>46274</v>
      </c>
      <c r="R560" t="s">
        <v>38</v>
      </c>
    </row>
    <row r="561" spans="1:18" x14ac:dyDescent="0.2">
      <c r="A561" t="s">
        <v>1177</v>
      </c>
      <c r="B561" t="s">
        <v>1178</v>
      </c>
      <c r="C561" t="s">
        <v>31</v>
      </c>
      <c r="D561" t="s">
        <v>87</v>
      </c>
      <c r="E561" t="s">
        <v>91</v>
      </c>
      <c r="F561" t="s">
        <v>45</v>
      </c>
      <c r="G561" t="s">
        <v>61</v>
      </c>
      <c r="H561" t="s">
        <v>88</v>
      </c>
      <c r="I561" t="s">
        <v>70</v>
      </c>
      <c r="J561" t="s">
        <v>63</v>
      </c>
      <c r="K561" s="2">
        <v>45901</v>
      </c>
      <c r="L561" s="2">
        <v>45991</v>
      </c>
      <c r="M561" t="s">
        <v>38</v>
      </c>
      <c r="N561" t="s">
        <v>75</v>
      </c>
      <c r="O561">
        <v>2</v>
      </c>
      <c r="P561" t="s">
        <v>70</v>
      </c>
      <c r="Q561" s="2">
        <v>46374</v>
      </c>
      <c r="R561" t="s">
        <v>84</v>
      </c>
    </row>
    <row r="562" spans="1:18" x14ac:dyDescent="0.2">
      <c r="A562" t="s">
        <v>1179</v>
      </c>
      <c r="B562" t="s">
        <v>1180</v>
      </c>
      <c r="C562" t="s">
        <v>103</v>
      </c>
      <c r="D562" t="s">
        <v>104</v>
      </c>
      <c r="E562" t="s">
        <v>60</v>
      </c>
      <c r="F562" t="s">
        <v>67</v>
      </c>
      <c r="G562" t="s">
        <v>118</v>
      </c>
      <c r="H562" t="s">
        <v>36</v>
      </c>
      <c r="I562" t="s">
        <v>111</v>
      </c>
      <c r="J562" t="s">
        <v>37</v>
      </c>
      <c r="K562" s="2">
        <v>46102</v>
      </c>
      <c r="L562" s="2">
        <v>46192</v>
      </c>
      <c r="M562" t="s">
        <v>38</v>
      </c>
      <c r="N562" t="s">
        <v>49</v>
      </c>
      <c r="O562">
        <v>4</v>
      </c>
      <c r="P562" t="s">
        <v>56</v>
      </c>
      <c r="Q562" s="2">
        <v>46404</v>
      </c>
      <c r="R562" t="s">
        <v>84</v>
      </c>
    </row>
    <row r="563" spans="1:18" x14ac:dyDescent="0.2">
      <c r="A563" t="s">
        <v>1181</v>
      </c>
      <c r="B563" t="s">
        <v>1182</v>
      </c>
      <c r="C563" t="s">
        <v>78</v>
      </c>
      <c r="D563" t="s">
        <v>79</v>
      </c>
      <c r="E563" t="s">
        <v>91</v>
      </c>
      <c r="F563" t="s">
        <v>34</v>
      </c>
      <c r="G563" t="s">
        <v>35</v>
      </c>
      <c r="H563" t="s">
        <v>88</v>
      </c>
      <c r="I563" t="s">
        <v>54</v>
      </c>
      <c r="J563" t="s">
        <v>37</v>
      </c>
      <c r="K563" s="2">
        <v>46222</v>
      </c>
      <c r="L563" s="2">
        <v>46402</v>
      </c>
      <c r="M563" t="s">
        <v>64</v>
      </c>
      <c r="N563" t="s">
        <v>55</v>
      </c>
      <c r="O563">
        <v>2</v>
      </c>
      <c r="P563" t="s">
        <v>70</v>
      </c>
      <c r="Q563" s="2">
        <v>46347</v>
      </c>
      <c r="R563" t="s">
        <v>64</v>
      </c>
    </row>
    <row r="564" spans="1:18" x14ac:dyDescent="0.2">
      <c r="A564" t="s">
        <v>1183</v>
      </c>
      <c r="B564" t="s">
        <v>1184</v>
      </c>
      <c r="C564" t="s">
        <v>78</v>
      </c>
      <c r="D564" t="s">
        <v>79</v>
      </c>
      <c r="E564" t="s">
        <v>80</v>
      </c>
      <c r="F564" t="s">
        <v>45</v>
      </c>
      <c r="G564" t="s">
        <v>46</v>
      </c>
      <c r="H564" t="s">
        <v>36</v>
      </c>
      <c r="I564" t="s">
        <v>111</v>
      </c>
      <c r="J564" t="s">
        <v>37</v>
      </c>
      <c r="K564" s="2">
        <v>46166</v>
      </c>
      <c r="L564" s="2">
        <v>46346</v>
      </c>
      <c r="M564" t="s">
        <v>64</v>
      </c>
      <c r="N564" t="s">
        <v>49</v>
      </c>
      <c r="O564">
        <v>4</v>
      </c>
      <c r="P564" t="s">
        <v>111</v>
      </c>
      <c r="Q564" s="2">
        <v>46321</v>
      </c>
      <c r="R564" t="s">
        <v>84</v>
      </c>
    </row>
    <row r="565" spans="1:18" x14ac:dyDescent="0.2">
      <c r="A565" t="s">
        <v>1185</v>
      </c>
      <c r="B565" t="s">
        <v>1186</v>
      </c>
      <c r="C565" t="s">
        <v>96</v>
      </c>
      <c r="D565" t="s">
        <v>97</v>
      </c>
      <c r="E565" t="s">
        <v>80</v>
      </c>
      <c r="F565" t="s">
        <v>34</v>
      </c>
      <c r="G565" t="s">
        <v>35</v>
      </c>
      <c r="H565" t="s">
        <v>88</v>
      </c>
      <c r="I565" t="s">
        <v>111</v>
      </c>
      <c r="J565" t="s">
        <v>63</v>
      </c>
      <c r="K565" s="2">
        <v>45901</v>
      </c>
      <c r="L565" s="2">
        <v>46081</v>
      </c>
      <c r="M565" t="s">
        <v>38</v>
      </c>
      <c r="N565" t="s">
        <v>55</v>
      </c>
      <c r="O565">
        <v>1</v>
      </c>
      <c r="P565" t="s">
        <v>70</v>
      </c>
      <c r="Q565" s="2">
        <v>46373</v>
      </c>
      <c r="R565" t="s">
        <v>64</v>
      </c>
    </row>
    <row r="566" spans="1:18" x14ac:dyDescent="0.2">
      <c r="A566" t="s">
        <v>1187</v>
      </c>
      <c r="B566" t="s">
        <v>1188</v>
      </c>
      <c r="C566" t="s">
        <v>42</v>
      </c>
      <c r="D566" t="s">
        <v>43</v>
      </c>
      <c r="E566" t="s">
        <v>80</v>
      </c>
      <c r="F566" t="s">
        <v>34</v>
      </c>
      <c r="G566" t="s">
        <v>35</v>
      </c>
      <c r="H566" t="s">
        <v>88</v>
      </c>
      <c r="I566" t="s">
        <v>50</v>
      </c>
      <c r="J566" t="s">
        <v>63</v>
      </c>
      <c r="K566" s="2">
        <v>45989</v>
      </c>
      <c r="L566" s="2">
        <v>46169</v>
      </c>
      <c r="M566" t="s">
        <v>38</v>
      </c>
      <c r="N566" t="s">
        <v>55</v>
      </c>
      <c r="O566">
        <v>3</v>
      </c>
      <c r="P566" t="s">
        <v>50</v>
      </c>
      <c r="Q566" s="2">
        <v>46171</v>
      </c>
      <c r="R566" t="s">
        <v>64</v>
      </c>
    </row>
    <row r="567" spans="1:18" x14ac:dyDescent="0.2">
      <c r="A567" t="s">
        <v>1189</v>
      </c>
      <c r="B567" t="s">
        <v>1190</v>
      </c>
      <c r="C567" t="s">
        <v>42</v>
      </c>
      <c r="D567" t="s">
        <v>43</v>
      </c>
      <c r="E567" t="s">
        <v>53</v>
      </c>
      <c r="F567" t="s">
        <v>45</v>
      </c>
      <c r="G567" t="s">
        <v>61</v>
      </c>
      <c r="H567" t="s">
        <v>98</v>
      </c>
      <c r="I567" t="s">
        <v>56</v>
      </c>
      <c r="J567" t="s">
        <v>48</v>
      </c>
      <c r="K567" s="2">
        <v>46125</v>
      </c>
      <c r="L567" s="2">
        <v>46305</v>
      </c>
      <c r="M567" t="s">
        <v>64</v>
      </c>
      <c r="N567" t="s">
        <v>55</v>
      </c>
      <c r="O567">
        <v>1</v>
      </c>
      <c r="P567" t="s">
        <v>50</v>
      </c>
      <c r="Q567" s="2">
        <v>46330</v>
      </c>
      <c r="R567" t="s">
        <v>64</v>
      </c>
    </row>
    <row r="568" spans="1:18" x14ac:dyDescent="0.2">
      <c r="A568" t="s">
        <v>1191</v>
      </c>
      <c r="B568" t="s">
        <v>1192</v>
      </c>
      <c r="C568" t="s">
        <v>73</v>
      </c>
      <c r="D568" t="s">
        <v>74</v>
      </c>
      <c r="E568" t="s">
        <v>105</v>
      </c>
      <c r="F568" t="s">
        <v>34</v>
      </c>
      <c r="G568" t="s">
        <v>35</v>
      </c>
      <c r="H568" t="s">
        <v>47</v>
      </c>
      <c r="I568" t="s">
        <v>106</v>
      </c>
      <c r="J568" t="s">
        <v>37</v>
      </c>
      <c r="K568" s="2">
        <v>46241</v>
      </c>
      <c r="L568" s="2">
        <v>46331</v>
      </c>
      <c r="M568" t="s">
        <v>64</v>
      </c>
      <c r="N568" t="s">
        <v>49</v>
      </c>
      <c r="O568">
        <v>2</v>
      </c>
      <c r="P568" t="s">
        <v>111</v>
      </c>
      <c r="Q568" s="2">
        <v>46404</v>
      </c>
      <c r="R568" t="s">
        <v>84</v>
      </c>
    </row>
    <row r="569" spans="1:18" x14ac:dyDescent="0.2">
      <c r="A569" t="s">
        <v>1193</v>
      </c>
      <c r="B569" t="s">
        <v>1194</v>
      </c>
      <c r="C569" t="s">
        <v>73</v>
      </c>
      <c r="D569" t="s">
        <v>74</v>
      </c>
      <c r="E569" t="s">
        <v>44</v>
      </c>
      <c r="F569" t="s">
        <v>34</v>
      </c>
      <c r="G569" t="s">
        <v>35</v>
      </c>
      <c r="H569" t="s">
        <v>88</v>
      </c>
      <c r="J569" t="s">
        <v>63</v>
      </c>
      <c r="K569" s="2">
        <v>46040</v>
      </c>
      <c r="L569" s="2">
        <v>46220</v>
      </c>
      <c r="M569" t="s">
        <v>38</v>
      </c>
      <c r="N569" t="s">
        <v>49</v>
      </c>
      <c r="O569">
        <v>3</v>
      </c>
      <c r="P569" t="s">
        <v>62</v>
      </c>
      <c r="Q569" s="2">
        <v>46191</v>
      </c>
      <c r="R569" t="s">
        <v>38</v>
      </c>
    </row>
    <row r="570" spans="1:18" x14ac:dyDescent="0.2">
      <c r="A570" t="s">
        <v>1195</v>
      </c>
      <c r="B570" t="s">
        <v>1196</v>
      </c>
      <c r="C570" t="s">
        <v>31</v>
      </c>
      <c r="D570" t="s">
        <v>87</v>
      </c>
      <c r="E570" t="s">
        <v>80</v>
      </c>
      <c r="F570" t="s">
        <v>67</v>
      </c>
      <c r="G570" t="s">
        <v>68</v>
      </c>
      <c r="H570" t="s">
        <v>88</v>
      </c>
      <c r="I570" t="s">
        <v>39</v>
      </c>
      <c r="J570" t="s">
        <v>63</v>
      </c>
      <c r="K570" s="2">
        <v>45932</v>
      </c>
      <c r="L570" s="2">
        <v>46112</v>
      </c>
      <c r="M570" t="s">
        <v>38</v>
      </c>
      <c r="N570" t="s">
        <v>49</v>
      </c>
      <c r="O570">
        <v>2</v>
      </c>
      <c r="P570" t="s">
        <v>56</v>
      </c>
      <c r="Q570" s="2">
        <v>46160</v>
      </c>
      <c r="R570" t="s">
        <v>38</v>
      </c>
    </row>
    <row r="571" spans="1:18" x14ac:dyDescent="0.2">
      <c r="A571" t="s">
        <v>1197</v>
      </c>
      <c r="B571" t="s">
        <v>1198</v>
      </c>
      <c r="C571" t="s">
        <v>31</v>
      </c>
      <c r="D571" t="s">
        <v>87</v>
      </c>
      <c r="E571" t="s">
        <v>91</v>
      </c>
      <c r="F571" t="s">
        <v>34</v>
      </c>
      <c r="G571" t="s">
        <v>35</v>
      </c>
      <c r="H571" t="s">
        <v>88</v>
      </c>
      <c r="I571" t="s">
        <v>54</v>
      </c>
      <c r="J571" t="s">
        <v>63</v>
      </c>
      <c r="K571" s="2">
        <v>45959</v>
      </c>
      <c r="L571" s="2">
        <v>46324</v>
      </c>
      <c r="M571" t="s">
        <v>84</v>
      </c>
      <c r="N571" t="s">
        <v>49</v>
      </c>
      <c r="O571">
        <v>1</v>
      </c>
      <c r="P571" t="s">
        <v>50</v>
      </c>
      <c r="Q571" s="2">
        <v>46358</v>
      </c>
      <c r="R571" t="s">
        <v>84</v>
      </c>
    </row>
    <row r="572" spans="1:18" x14ac:dyDescent="0.2">
      <c r="A572" t="s">
        <v>1199</v>
      </c>
      <c r="B572" t="s">
        <v>1200</v>
      </c>
      <c r="C572" t="s">
        <v>31</v>
      </c>
      <c r="D572" t="s">
        <v>87</v>
      </c>
      <c r="E572" t="s">
        <v>44</v>
      </c>
      <c r="F572" t="s">
        <v>45</v>
      </c>
      <c r="G572" t="s">
        <v>61</v>
      </c>
      <c r="H572" t="s">
        <v>47</v>
      </c>
      <c r="I572" t="s">
        <v>111</v>
      </c>
      <c r="J572" t="s">
        <v>37</v>
      </c>
      <c r="K572" s="2">
        <v>46232</v>
      </c>
      <c r="L572" s="2">
        <v>46597</v>
      </c>
      <c r="M572" t="s">
        <v>69</v>
      </c>
      <c r="N572" t="s">
        <v>49</v>
      </c>
      <c r="O572">
        <v>0</v>
      </c>
      <c r="P572" t="s">
        <v>50</v>
      </c>
      <c r="Q572" s="2">
        <v>46366</v>
      </c>
      <c r="R572" t="s">
        <v>57</v>
      </c>
    </row>
    <row r="573" spans="1:18" x14ac:dyDescent="0.2">
      <c r="A573" t="s">
        <v>1201</v>
      </c>
      <c r="B573" t="s">
        <v>1202</v>
      </c>
      <c r="C573" t="s">
        <v>31</v>
      </c>
      <c r="D573" t="s">
        <v>32</v>
      </c>
      <c r="E573" t="s">
        <v>60</v>
      </c>
      <c r="F573" t="s">
        <v>67</v>
      </c>
      <c r="G573" t="s">
        <v>68</v>
      </c>
      <c r="H573" t="s">
        <v>88</v>
      </c>
      <c r="I573" t="s">
        <v>56</v>
      </c>
      <c r="J573" t="s">
        <v>37</v>
      </c>
      <c r="K573" s="2">
        <v>46229</v>
      </c>
      <c r="L573" s="2">
        <v>46319</v>
      </c>
      <c r="M573" t="s">
        <v>84</v>
      </c>
      <c r="N573" t="s">
        <v>75</v>
      </c>
      <c r="O573">
        <v>1</v>
      </c>
      <c r="P573" t="s">
        <v>62</v>
      </c>
      <c r="Q573" s="2">
        <v>46208</v>
      </c>
      <c r="R573" t="s">
        <v>64</v>
      </c>
    </row>
    <row r="574" spans="1:18" x14ac:dyDescent="0.2">
      <c r="A574" t="s">
        <v>1203</v>
      </c>
      <c r="B574" t="s">
        <v>1204</v>
      </c>
      <c r="C574" t="s">
        <v>78</v>
      </c>
      <c r="D574" t="s">
        <v>79</v>
      </c>
      <c r="E574" t="s">
        <v>105</v>
      </c>
      <c r="F574" t="s">
        <v>34</v>
      </c>
      <c r="G574" t="s">
        <v>35</v>
      </c>
      <c r="H574" t="s">
        <v>88</v>
      </c>
      <c r="I574" t="s">
        <v>106</v>
      </c>
      <c r="J574" t="s">
        <v>37</v>
      </c>
      <c r="K574" s="2">
        <v>46183</v>
      </c>
      <c r="L574" s="2">
        <v>46273</v>
      </c>
      <c r="M574" t="s">
        <v>38</v>
      </c>
      <c r="N574" t="s">
        <v>49</v>
      </c>
      <c r="O574">
        <v>0</v>
      </c>
      <c r="P574" t="s">
        <v>50</v>
      </c>
      <c r="Q574" s="2">
        <v>46267</v>
      </c>
      <c r="R574" t="s">
        <v>57</v>
      </c>
    </row>
    <row r="575" spans="1:18" x14ac:dyDescent="0.2">
      <c r="A575" t="s">
        <v>1205</v>
      </c>
      <c r="B575" t="s">
        <v>1206</v>
      </c>
      <c r="C575" t="s">
        <v>78</v>
      </c>
      <c r="D575" t="s">
        <v>79</v>
      </c>
      <c r="E575" t="s">
        <v>53</v>
      </c>
      <c r="F575" t="s">
        <v>67</v>
      </c>
      <c r="G575" t="s">
        <v>118</v>
      </c>
      <c r="H575" t="s">
        <v>88</v>
      </c>
      <c r="I575" t="s">
        <v>70</v>
      </c>
      <c r="J575" t="s">
        <v>37</v>
      </c>
      <c r="K575" s="2">
        <v>46249</v>
      </c>
      <c r="L575" s="2">
        <v>46339</v>
      </c>
      <c r="M575" t="s">
        <v>64</v>
      </c>
      <c r="N575" t="s">
        <v>49</v>
      </c>
      <c r="O575">
        <v>1</v>
      </c>
      <c r="P575" t="s">
        <v>39</v>
      </c>
      <c r="Q575" s="2">
        <v>46367</v>
      </c>
      <c r="R575" t="s">
        <v>84</v>
      </c>
    </row>
    <row r="576" spans="1:18" x14ac:dyDescent="0.2">
      <c r="A576" t="s">
        <v>1207</v>
      </c>
      <c r="B576" t="s">
        <v>1208</v>
      </c>
      <c r="C576" t="s">
        <v>31</v>
      </c>
      <c r="D576" t="s">
        <v>83</v>
      </c>
      <c r="E576" t="s">
        <v>60</v>
      </c>
      <c r="F576" t="s">
        <v>67</v>
      </c>
      <c r="G576" t="s">
        <v>118</v>
      </c>
      <c r="H576" t="s">
        <v>88</v>
      </c>
      <c r="I576" t="s">
        <v>111</v>
      </c>
      <c r="J576" t="s">
        <v>63</v>
      </c>
      <c r="K576" s="2">
        <v>46261</v>
      </c>
      <c r="L576" s="2">
        <v>46441</v>
      </c>
      <c r="M576" t="s">
        <v>84</v>
      </c>
      <c r="N576" t="s">
        <v>75</v>
      </c>
      <c r="O576">
        <v>0</v>
      </c>
      <c r="P576" t="s">
        <v>62</v>
      </c>
      <c r="Q576" s="2">
        <v>46241</v>
      </c>
      <c r="R576" t="s">
        <v>57</v>
      </c>
    </row>
    <row r="577" spans="1:18" x14ac:dyDescent="0.2">
      <c r="A577" t="s">
        <v>1209</v>
      </c>
      <c r="B577" t="s">
        <v>1210</v>
      </c>
      <c r="C577" t="s">
        <v>31</v>
      </c>
      <c r="D577" t="s">
        <v>87</v>
      </c>
      <c r="E577" t="s">
        <v>91</v>
      </c>
      <c r="F577" t="s">
        <v>67</v>
      </c>
      <c r="G577" t="s">
        <v>68</v>
      </c>
      <c r="H577" t="s">
        <v>88</v>
      </c>
      <c r="I577" t="s">
        <v>50</v>
      </c>
      <c r="J577" t="s">
        <v>37</v>
      </c>
      <c r="K577" s="2">
        <v>46084</v>
      </c>
      <c r="L577" s="2">
        <v>46449</v>
      </c>
      <c r="M577" t="s">
        <v>84</v>
      </c>
      <c r="N577" t="s">
        <v>49</v>
      </c>
      <c r="O577">
        <v>3</v>
      </c>
      <c r="P577" t="s">
        <v>56</v>
      </c>
      <c r="Q577" s="2">
        <v>46399</v>
      </c>
      <c r="R577" t="s">
        <v>84</v>
      </c>
    </row>
    <row r="578" spans="1:18" x14ac:dyDescent="0.2">
      <c r="A578" t="s">
        <v>1211</v>
      </c>
      <c r="B578" t="s">
        <v>1212</v>
      </c>
      <c r="C578" t="s">
        <v>103</v>
      </c>
      <c r="D578" t="s">
        <v>104</v>
      </c>
      <c r="E578" t="s">
        <v>105</v>
      </c>
      <c r="F578" t="s">
        <v>34</v>
      </c>
      <c r="G578" t="s">
        <v>35</v>
      </c>
      <c r="H578" t="s">
        <v>47</v>
      </c>
      <c r="I578" t="s">
        <v>111</v>
      </c>
      <c r="J578" t="s">
        <v>63</v>
      </c>
      <c r="K578" s="2">
        <v>46136</v>
      </c>
      <c r="L578" s="2">
        <v>46501</v>
      </c>
      <c r="M578" t="s">
        <v>64</v>
      </c>
      <c r="N578" t="s">
        <v>49</v>
      </c>
      <c r="O578">
        <v>3</v>
      </c>
      <c r="P578" t="s">
        <v>56</v>
      </c>
      <c r="Q578" s="2">
        <v>46294</v>
      </c>
      <c r="R578" t="s">
        <v>38</v>
      </c>
    </row>
    <row r="579" spans="1:18" x14ac:dyDescent="0.2">
      <c r="A579" t="s">
        <v>1213</v>
      </c>
      <c r="B579" t="s">
        <v>1214</v>
      </c>
      <c r="C579" t="s">
        <v>42</v>
      </c>
      <c r="D579" t="s">
        <v>43</v>
      </c>
      <c r="E579" t="s">
        <v>91</v>
      </c>
      <c r="F579" t="s">
        <v>45</v>
      </c>
      <c r="G579" t="s">
        <v>1215</v>
      </c>
      <c r="H579" t="s">
        <v>88</v>
      </c>
      <c r="I579" t="s">
        <v>70</v>
      </c>
      <c r="J579" t="s">
        <v>48</v>
      </c>
      <c r="K579" s="2">
        <v>46122</v>
      </c>
      <c r="L579" s="2">
        <v>46212</v>
      </c>
      <c r="M579" t="s">
        <v>38</v>
      </c>
      <c r="N579" t="s">
        <v>75</v>
      </c>
      <c r="O579">
        <v>0</v>
      </c>
      <c r="P579" t="s">
        <v>106</v>
      </c>
      <c r="Q579" s="2">
        <v>46186</v>
      </c>
      <c r="R579" t="s">
        <v>57</v>
      </c>
    </row>
    <row r="580" spans="1:18" x14ac:dyDescent="0.2">
      <c r="A580" t="s">
        <v>1216</v>
      </c>
      <c r="B580" t="s">
        <v>1217</v>
      </c>
      <c r="C580" t="s">
        <v>73</v>
      </c>
      <c r="D580" t="s">
        <v>74</v>
      </c>
      <c r="E580" t="s">
        <v>91</v>
      </c>
      <c r="F580" t="s">
        <v>34</v>
      </c>
      <c r="G580" t="s">
        <v>35</v>
      </c>
      <c r="H580" t="s">
        <v>47</v>
      </c>
      <c r="I580" t="s">
        <v>111</v>
      </c>
      <c r="J580" t="s">
        <v>63</v>
      </c>
      <c r="K580" s="2">
        <v>46136</v>
      </c>
      <c r="L580" s="2">
        <v>46226</v>
      </c>
      <c r="M580" t="s">
        <v>38</v>
      </c>
      <c r="N580" t="s">
        <v>49</v>
      </c>
      <c r="O580">
        <v>2</v>
      </c>
      <c r="P580" t="s">
        <v>50</v>
      </c>
      <c r="Q580" s="2">
        <v>46289</v>
      </c>
      <c r="R580" t="s">
        <v>64</v>
      </c>
    </row>
    <row r="581" spans="1:18" x14ac:dyDescent="0.2">
      <c r="A581" t="s">
        <v>1218</v>
      </c>
      <c r="B581" t="s">
        <v>1219</v>
      </c>
      <c r="C581" t="s">
        <v>31</v>
      </c>
      <c r="D581" t="s">
        <v>32</v>
      </c>
      <c r="E581" t="s">
        <v>60</v>
      </c>
      <c r="F581" t="s">
        <v>34</v>
      </c>
      <c r="G581" t="s">
        <v>35</v>
      </c>
      <c r="H581" t="s">
        <v>88</v>
      </c>
      <c r="I581" t="s">
        <v>39</v>
      </c>
      <c r="J581" t="s">
        <v>48</v>
      </c>
      <c r="K581" s="2">
        <v>45931</v>
      </c>
      <c r="L581" s="2">
        <v>46021</v>
      </c>
      <c r="M581" t="s">
        <v>38</v>
      </c>
      <c r="N581" t="s">
        <v>75</v>
      </c>
      <c r="O581">
        <v>3</v>
      </c>
      <c r="P581" t="s">
        <v>111</v>
      </c>
      <c r="Q581" s="2">
        <v>46316</v>
      </c>
      <c r="R581" t="s">
        <v>84</v>
      </c>
    </row>
    <row r="582" spans="1:18" x14ac:dyDescent="0.2">
      <c r="A582" t="s">
        <v>1220</v>
      </c>
      <c r="B582" t="s">
        <v>1221</v>
      </c>
      <c r="C582" t="s">
        <v>31</v>
      </c>
      <c r="D582" t="s">
        <v>87</v>
      </c>
      <c r="E582" t="s">
        <v>53</v>
      </c>
      <c r="F582" t="s">
        <v>34</v>
      </c>
      <c r="G582" t="s">
        <v>35</v>
      </c>
      <c r="H582" t="s">
        <v>98</v>
      </c>
      <c r="I582" t="s">
        <v>62</v>
      </c>
      <c r="J582" t="s">
        <v>37</v>
      </c>
      <c r="K582" s="2">
        <v>45852</v>
      </c>
      <c r="L582" s="2">
        <v>46217</v>
      </c>
      <c r="M582" t="s">
        <v>38</v>
      </c>
      <c r="N582" t="s">
        <v>75</v>
      </c>
      <c r="O582">
        <v>3</v>
      </c>
      <c r="P582" t="s">
        <v>106</v>
      </c>
      <c r="Q582" s="2">
        <v>46205</v>
      </c>
      <c r="R582" t="s">
        <v>38</v>
      </c>
    </row>
    <row r="583" spans="1:18" x14ac:dyDescent="0.2">
      <c r="A583" t="s">
        <v>1222</v>
      </c>
      <c r="B583" t="s">
        <v>1223</v>
      </c>
      <c r="C583" t="s">
        <v>42</v>
      </c>
      <c r="D583" t="s">
        <v>43</v>
      </c>
      <c r="E583" t="s">
        <v>105</v>
      </c>
      <c r="F583" t="s">
        <v>45</v>
      </c>
      <c r="G583" t="s">
        <v>61</v>
      </c>
      <c r="H583" t="s">
        <v>47</v>
      </c>
      <c r="I583" t="s">
        <v>39</v>
      </c>
      <c r="J583" t="s">
        <v>63</v>
      </c>
      <c r="K583" s="2">
        <v>45887</v>
      </c>
      <c r="L583" s="2">
        <v>46067</v>
      </c>
      <c r="M583" t="s">
        <v>38</v>
      </c>
      <c r="N583" t="s">
        <v>49</v>
      </c>
      <c r="O583">
        <v>2</v>
      </c>
      <c r="P583" t="s">
        <v>54</v>
      </c>
      <c r="Q583" s="2">
        <v>46213</v>
      </c>
      <c r="R583" t="s">
        <v>64</v>
      </c>
    </row>
    <row r="584" spans="1:18" x14ac:dyDescent="0.2">
      <c r="A584" t="s">
        <v>1224</v>
      </c>
      <c r="B584" t="s">
        <v>1225</v>
      </c>
      <c r="C584" t="s">
        <v>78</v>
      </c>
      <c r="D584" t="s">
        <v>79</v>
      </c>
      <c r="E584" t="s">
        <v>53</v>
      </c>
      <c r="F584" t="s">
        <v>45</v>
      </c>
      <c r="G584" t="s">
        <v>61</v>
      </c>
      <c r="H584" t="s">
        <v>47</v>
      </c>
      <c r="I584" t="s">
        <v>111</v>
      </c>
      <c r="J584" t="s">
        <v>37</v>
      </c>
      <c r="K584" s="2">
        <v>45812</v>
      </c>
      <c r="L584" s="2">
        <v>46177</v>
      </c>
      <c r="M584" t="s">
        <v>38</v>
      </c>
      <c r="N584" t="s">
        <v>49</v>
      </c>
      <c r="O584">
        <v>1</v>
      </c>
      <c r="P584" t="s">
        <v>111</v>
      </c>
      <c r="Q584" s="2">
        <v>46118</v>
      </c>
      <c r="R584" t="s">
        <v>64</v>
      </c>
    </row>
    <row r="585" spans="1:18" x14ac:dyDescent="0.2">
      <c r="A585" t="s">
        <v>1226</v>
      </c>
      <c r="B585" t="s">
        <v>1227</v>
      </c>
      <c r="C585" t="s">
        <v>103</v>
      </c>
      <c r="D585" t="s">
        <v>104</v>
      </c>
      <c r="E585" t="s">
        <v>91</v>
      </c>
      <c r="F585" t="s">
        <v>45</v>
      </c>
      <c r="G585" t="s">
        <v>46</v>
      </c>
      <c r="H585" t="s">
        <v>36</v>
      </c>
      <c r="I585" t="s">
        <v>50</v>
      </c>
      <c r="J585" t="s">
        <v>63</v>
      </c>
      <c r="K585" s="2">
        <v>46242</v>
      </c>
      <c r="L585" s="2">
        <v>46607</v>
      </c>
      <c r="M585" t="s">
        <v>64</v>
      </c>
      <c r="N585" t="s">
        <v>55</v>
      </c>
      <c r="O585">
        <v>1</v>
      </c>
      <c r="P585" t="s">
        <v>56</v>
      </c>
      <c r="Q585" s="2">
        <v>46247</v>
      </c>
      <c r="R585" t="s">
        <v>38</v>
      </c>
    </row>
    <row r="586" spans="1:18" x14ac:dyDescent="0.2">
      <c r="A586" t="s">
        <v>1228</v>
      </c>
      <c r="B586" t="s">
        <v>1229</v>
      </c>
      <c r="C586" t="s">
        <v>31</v>
      </c>
      <c r="D586" t="s">
        <v>87</v>
      </c>
      <c r="E586" t="s">
        <v>91</v>
      </c>
      <c r="F586" t="s">
        <v>45</v>
      </c>
      <c r="G586" t="s">
        <v>46</v>
      </c>
      <c r="H586" t="s">
        <v>88</v>
      </c>
      <c r="I586" t="s">
        <v>56</v>
      </c>
      <c r="J586" t="s">
        <v>37</v>
      </c>
      <c r="K586" s="2">
        <v>45927</v>
      </c>
      <c r="L586" s="2">
        <v>46292</v>
      </c>
      <c r="M586" t="s">
        <v>38</v>
      </c>
      <c r="O586">
        <v>3</v>
      </c>
      <c r="P586" t="s">
        <v>62</v>
      </c>
      <c r="Q586" s="2">
        <v>46116</v>
      </c>
      <c r="R586" t="s">
        <v>38</v>
      </c>
    </row>
    <row r="587" spans="1:18" x14ac:dyDescent="0.2">
      <c r="A587" t="s">
        <v>1230</v>
      </c>
      <c r="B587" t="s">
        <v>1231</v>
      </c>
      <c r="C587" t="s">
        <v>31</v>
      </c>
      <c r="D587" t="s">
        <v>87</v>
      </c>
      <c r="E587" t="s">
        <v>105</v>
      </c>
      <c r="F587" t="s">
        <v>67</v>
      </c>
      <c r="G587" t="s">
        <v>118</v>
      </c>
      <c r="H587" t="s">
        <v>88</v>
      </c>
      <c r="I587" t="s">
        <v>111</v>
      </c>
      <c r="J587" t="s">
        <v>37</v>
      </c>
      <c r="K587" s="2">
        <v>46022</v>
      </c>
      <c r="L587" s="2">
        <v>46202</v>
      </c>
      <c r="M587" t="s">
        <v>38</v>
      </c>
      <c r="N587" t="s">
        <v>49</v>
      </c>
      <c r="O587">
        <v>0</v>
      </c>
      <c r="P587" t="s">
        <v>111</v>
      </c>
      <c r="Q587" s="2">
        <v>46229</v>
      </c>
      <c r="R587" t="s">
        <v>57</v>
      </c>
    </row>
    <row r="588" spans="1:18" x14ac:dyDescent="0.2">
      <c r="A588" t="s">
        <v>1232</v>
      </c>
      <c r="B588" t="s">
        <v>1233</v>
      </c>
      <c r="C588" t="s">
        <v>103</v>
      </c>
      <c r="D588" t="s">
        <v>104</v>
      </c>
      <c r="E588" t="s">
        <v>80</v>
      </c>
      <c r="F588" t="s">
        <v>67</v>
      </c>
      <c r="G588" t="s">
        <v>170</v>
      </c>
      <c r="H588" t="s">
        <v>47</v>
      </c>
      <c r="I588" t="s">
        <v>70</v>
      </c>
      <c r="J588" t="s">
        <v>48</v>
      </c>
      <c r="K588" s="2">
        <v>45825</v>
      </c>
      <c r="L588" s="2">
        <v>46190</v>
      </c>
      <c r="M588" t="s">
        <v>38</v>
      </c>
      <c r="N588" t="s">
        <v>55</v>
      </c>
      <c r="O588">
        <v>1</v>
      </c>
      <c r="P588" t="s">
        <v>106</v>
      </c>
      <c r="Q588" s="2">
        <v>46331</v>
      </c>
      <c r="R588" t="s">
        <v>84</v>
      </c>
    </row>
    <row r="589" spans="1:18" x14ac:dyDescent="0.2">
      <c r="A589" t="s">
        <v>1234</v>
      </c>
      <c r="B589" t="s">
        <v>1235</v>
      </c>
      <c r="C589" t="s">
        <v>96</v>
      </c>
      <c r="D589" t="s">
        <v>97</v>
      </c>
      <c r="E589" t="s">
        <v>650</v>
      </c>
      <c r="F589" t="s">
        <v>67</v>
      </c>
      <c r="G589" t="s">
        <v>68</v>
      </c>
      <c r="H589" t="s">
        <v>88</v>
      </c>
      <c r="I589" t="s">
        <v>39</v>
      </c>
      <c r="J589" t="s">
        <v>37</v>
      </c>
      <c r="K589" s="2">
        <v>46030</v>
      </c>
      <c r="L589" s="2">
        <v>46210</v>
      </c>
      <c r="M589" t="s">
        <v>38</v>
      </c>
      <c r="N589" t="s">
        <v>55</v>
      </c>
      <c r="O589">
        <v>2</v>
      </c>
      <c r="P589" t="s">
        <v>39</v>
      </c>
      <c r="Q589" s="2">
        <v>46243</v>
      </c>
      <c r="R589" t="s">
        <v>64</v>
      </c>
    </row>
    <row r="590" spans="1:18" x14ac:dyDescent="0.2">
      <c r="A590" t="s">
        <v>1236</v>
      </c>
      <c r="B590" t="s">
        <v>1237</v>
      </c>
      <c r="C590" t="s">
        <v>31</v>
      </c>
      <c r="D590" t="s">
        <v>87</v>
      </c>
      <c r="E590" t="s">
        <v>105</v>
      </c>
      <c r="F590" t="s">
        <v>67</v>
      </c>
      <c r="G590" t="s">
        <v>68</v>
      </c>
      <c r="H590" t="s">
        <v>36</v>
      </c>
      <c r="I590" t="s">
        <v>111</v>
      </c>
      <c r="J590" t="s">
        <v>37</v>
      </c>
      <c r="K590" s="2">
        <v>45884</v>
      </c>
      <c r="L590" s="2">
        <v>45974</v>
      </c>
      <c r="M590" t="s">
        <v>38</v>
      </c>
      <c r="N590" t="s">
        <v>49</v>
      </c>
      <c r="O590">
        <v>3</v>
      </c>
      <c r="P590" t="s">
        <v>106</v>
      </c>
      <c r="Q590" s="2">
        <v>46411</v>
      </c>
      <c r="R590" t="s">
        <v>64</v>
      </c>
    </row>
    <row r="591" spans="1:18" x14ac:dyDescent="0.2">
      <c r="A591" t="s">
        <v>1238</v>
      </c>
      <c r="B591" t="s">
        <v>1239</v>
      </c>
      <c r="C591" t="s">
        <v>31</v>
      </c>
      <c r="D591" t="s">
        <v>87</v>
      </c>
      <c r="E591" t="s">
        <v>44</v>
      </c>
      <c r="F591" t="s">
        <v>34</v>
      </c>
      <c r="G591" t="s">
        <v>35</v>
      </c>
      <c r="H591" t="s">
        <v>47</v>
      </c>
      <c r="I591" t="s">
        <v>111</v>
      </c>
      <c r="J591" t="s">
        <v>37</v>
      </c>
      <c r="K591" s="2">
        <v>46247</v>
      </c>
      <c r="L591" s="2">
        <v>46427</v>
      </c>
      <c r="M591" t="s">
        <v>69</v>
      </c>
      <c r="N591" t="s">
        <v>55</v>
      </c>
      <c r="O591">
        <v>0</v>
      </c>
      <c r="P591" t="s">
        <v>62</v>
      </c>
      <c r="Q591" s="2">
        <v>46143</v>
      </c>
      <c r="R591" t="s">
        <v>57</v>
      </c>
    </row>
    <row r="592" spans="1:18" x14ac:dyDescent="0.2">
      <c r="A592" t="s">
        <v>1240</v>
      </c>
      <c r="B592" t="s">
        <v>1241</v>
      </c>
      <c r="C592" t="s">
        <v>31</v>
      </c>
      <c r="D592" t="s">
        <v>87</v>
      </c>
      <c r="E592" t="s">
        <v>44</v>
      </c>
      <c r="F592" t="s">
        <v>45</v>
      </c>
      <c r="G592" t="s">
        <v>61</v>
      </c>
      <c r="H592" t="s">
        <v>36</v>
      </c>
      <c r="I592" t="s">
        <v>39</v>
      </c>
      <c r="J592" t="s">
        <v>63</v>
      </c>
      <c r="K592" s="2">
        <v>46043</v>
      </c>
      <c r="L592" s="2">
        <v>46223</v>
      </c>
      <c r="M592" t="s">
        <v>38</v>
      </c>
      <c r="N592" t="s">
        <v>75</v>
      </c>
      <c r="O592">
        <v>3</v>
      </c>
      <c r="P592" t="s">
        <v>106</v>
      </c>
      <c r="Q592" s="2">
        <v>46166</v>
      </c>
      <c r="R592" t="s">
        <v>64</v>
      </c>
    </row>
    <row r="593" spans="1:18" x14ac:dyDescent="0.2">
      <c r="A593" t="s">
        <v>1242</v>
      </c>
      <c r="B593" t="s">
        <v>1243</v>
      </c>
      <c r="C593" t="s">
        <v>78</v>
      </c>
      <c r="D593" t="s">
        <v>79</v>
      </c>
      <c r="E593" t="s">
        <v>105</v>
      </c>
      <c r="F593" t="s">
        <v>34</v>
      </c>
      <c r="G593" t="s">
        <v>35</v>
      </c>
      <c r="H593" t="s">
        <v>47</v>
      </c>
      <c r="I593" t="s">
        <v>70</v>
      </c>
      <c r="J593" t="s">
        <v>63</v>
      </c>
      <c r="K593" s="2">
        <v>45972</v>
      </c>
      <c r="L593" s="2">
        <v>46062</v>
      </c>
      <c r="M593" t="s">
        <v>38</v>
      </c>
      <c r="N593" t="s">
        <v>49</v>
      </c>
      <c r="O593">
        <v>1</v>
      </c>
      <c r="P593" t="s">
        <v>111</v>
      </c>
      <c r="Q593" s="2">
        <v>46375</v>
      </c>
      <c r="R593" t="s">
        <v>64</v>
      </c>
    </row>
    <row r="594" spans="1:18" x14ac:dyDescent="0.2">
      <c r="A594" t="s">
        <v>1244</v>
      </c>
      <c r="B594" t="s">
        <v>1245</v>
      </c>
      <c r="C594" t="s">
        <v>31</v>
      </c>
      <c r="D594" t="s">
        <v>83</v>
      </c>
      <c r="E594" t="s">
        <v>44</v>
      </c>
      <c r="F594" t="s">
        <v>45</v>
      </c>
      <c r="G594" t="s">
        <v>46</v>
      </c>
      <c r="H594" t="s">
        <v>36</v>
      </c>
      <c r="I594" t="s">
        <v>39</v>
      </c>
      <c r="J594" t="s">
        <v>37</v>
      </c>
      <c r="K594" s="2">
        <v>46210</v>
      </c>
      <c r="L594" s="2">
        <v>46390</v>
      </c>
      <c r="M594" t="s">
        <v>69</v>
      </c>
      <c r="N594" t="s">
        <v>75</v>
      </c>
      <c r="O594">
        <v>4</v>
      </c>
      <c r="P594" t="s">
        <v>106</v>
      </c>
      <c r="Q594" s="2">
        <v>46392</v>
      </c>
      <c r="R594" t="s">
        <v>84</v>
      </c>
    </row>
    <row r="595" spans="1:18" x14ac:dyDescent="0.2">
      <c r="A595" t="s">
        <v>1246</v>
      </c>
      <c r="B595" t="s">
        <v>1247</v>
      </c>
      <c r="C595" t="s">
        <v>73</v>
      </c>
      <c r="D595" t="s">
        <v>74</v>
      </c>
      <c r="E595" t="s">
        <v>105</v>
      </c>
      <c r="F595" t="s">
        <v>67</v>
      </c>
      <c r="G595" t="s">
        <v>118</v>
      </c>
      <c r="H595" t="s">
        <v>88</v>
      </c>
      <c r="I595" t="s">
        <v>50</v>
      </c>
      <c r="J595" t="s">
        <v>48</v>
      </c>
      <c r="K595" s="2">
        <v>46246</v>
      </c>
      <c r="L595" s="2">
        <v>46336</v>
      </c>
      <c r="M595" t="s">
        <v>64</v>
      </c>
      <c r="N595" t="s">
        <v>49</v>
      </c>
      <c r="O595">
        <v>0</v>
      </c>
      <c r="P595" t="s">
        <v>54</v>
      </c>
      <c r="Q595" s="2">
        <v>46331</v>
      </c>
      <c r="R595" t="s">
        <v>57</v>
      </c>
    </row>
    <row r="596" spans="1:18" x14ac:dyDescent="0.2">
      <c r="A596" t="s">
        <v>1248</v>
      </c>
      <c r="B596" t="s">
        <v>1249</v>
      </c>
      <c r="C596" t="s">
        <v>31</v>
      </c>
      <c r="D596" t="s">
        <v>83</v>
      </c>
      <c r="E596" t="s">
        <v>44</v>
      </c>
      <c r="F596" t="s">
        <v>45</v>
      </c>
      <c r="G596" t="s">
        <v>61</v>
      </c>
      <c r="H596" t="s">
        <v>88</v>
      </c>
      <c r="I596" t="s">
        <v>111</v>
      </c>
      <c r="J596" t="s">
        <v>37</v>
      </c>
      <c r="K596" s="2">
        <v>45968</v>
      </c>
      <c r="L596" s="2">
        <v>46333</v>
      </c>
      <c r="M596" t="s">
        <v>64</v>
      </c>
      <c r="N596" t="s">
        <v>49</v>
      </c>
      <c r="O596">
        <v>2</v>
      </c>
      <c r="P596" t="s">
        <v>39</v>
      </c>
      <c r="Q596" s="2">
        <v>46268</v>
      </c>
      <c r="R596" t="s">
        <v>38</v>
      </c>
    </row>
    <row r="597" spans="1:18" x14ac:dyDescent="0.2">
      <c r="A597" t="s">
        <v>1250</v>
      </c>
      <c r="B597" t="s">
        <v>1251</v>
      </c>
      <c r="C597" t="s">
        <v>31</v>
      </c>
      <c r="D597" t="s">
        <v>83</v>
      </c>
      <c r="E597" t="s">
        <v>105</v>
      </c>
      <c r="F597" t="s">
        <v>67</v>
      </c>
      <c r="G597" t="s">
        <v>68</v>
      </c>
      <c r="H597" t="s">
        <v>88</v>
      </c>
      <c r="I597" t="s">
        <v>54</v>
      </c>
      <c r="J597" t="s">
        <v>48</v>
      </c>
      <c r="K597" s="2">
        <v>46037</v>
      </c>
      <c r="L597" s="2">
        <v>46402</v>
      </c>
      <c r="M597" t="s">
        <v>64</v>
      </c>
      <c r="N597" t="s">
        <v>75</v>
      </c>
      <c r="O597">
        <v>2</v>
      </c>
      <c r="P597" t="s">
        <v>106</v>
      </c>
      <c r="Q597" s="2">
        <v>46307</v>
      </c>
      <c r="R597" t="s">
        <v>64</v>
      </c>
    </row>
    <row r="598" spans="1:18" x14ac:dyDescent="0.2">
      <c r="A598" t="s">
        <v>1252</v>
      </c>
      <c r="B598" t="s">
        <v>1253</v>
      </c>
      <c r="C598" t="s">
        <v>103</v>
      </c>
      <c r="D598" t="s">
        <v>104</v>
      </c>
      <c r="E598" t="s">
        <v>53</v>
      </c>
      <c r="F598" t="s">
        <v>45</v>
      </c>
      <c r="G598" t="s">
        <v>46</v>
      </c>
      <c r="H598" t="s">
        <v>47</v>
      </c>
      <c r="I598" t="s">
        <v>70</v>
      </c>
      <c r="J598" t="s">
        <v>37</v>
      </c>
      <c r="K598" s="2">
        <v>46203</v>
      </c>
      <c r="L598" s="2">
        <v>46383</v>
      </c>
      <c r="M598" t="s">
        <v>64</v>
      </c>
      <c r="N598" t="s">
        <v>49</v>
      </c>
      <c r="O598">
        <v>2</v>
      </c>
      <c r="P598" t="s">
        <v>50</v>
      </c>
      <c r="Q598" s="2">
        <v>46137</v>
      </c>
      <c r="R598" t="s">
        <v>38</v>
      </c>
    </row>
    <row r="599" spans="1:18" x14ac:dyDescent="0.2">
      <c r="A599" t="s">
        <v>1254</v>
      </c>
      <c r="B599" t="s">
        <v>1255</v>
      </c>
      <c r="C599" t="s">
        <v>31</v>
      </c>
      <c r="D599" t="s">
        <v>87</v>
      </c>
      <c r="E599" t="s">
        <v>91</v>
      </c>
      <c r="F599" t="s">
        <v>45</v>
      </c>
      <c r="G599" t="s">
        <v>61</v>
      </c>
      <c r="H599" t="s">
        <v>47</v>
      </c>
      <c r="I599" t="s">
        <v>54</v>
      </c>
      <c r="J599" t="s">
        <v>63</v>
      </c>
      <c r="K599" s="2">
        <v>46184</v>
      </c>
      <c r="L599" s="2">
        <v>46274</v>
      </c>
      <c r="M599" t="s">
        <v>38</v>
      </c>
      <c r="N599" t="s">
        <v>55</v>
      </c>
      <c r="O599">
        <v>1</v>
      </c>
      <c r="P599" t="s">
        <v>50</v>
      </c>
      <c r="Q599" s="2">
        <v>46249</v>
      </c>
      <c r="R599" t="s">
        <v>38</v>
      </c>
    </row>
    <row r="600" spans="1:18" x14ac:dyDescent="0.2">
      <c r="A600" t="s">
        <v>1256</v>
      </c>
      <c r="B600" t="s">
        <v>1257</v>
      </c>
      <c r="C600" t="s">
        <v>78</v>
      </c>
      <c r="D600" t="s">
        <v>79</v>
      </c>
      <c r="E600" t="s">
        <v>53</v>
      </c>
      <c r="F600" t="s">
        <v>67</v>
      </c>
      <c r="G600" t="s">
        <v>68</v>
      </c>
      <c r="H600" t="s">
        <v>98</v>
      </c>
      <c r="I600" t="s">
        <v>56</v>
      </c>
      <c r="J600" t="s">
        <v>48</v>
      </c>
      <c r="K600" s="2">
        <v>46042</v>
      </c>
      <c r="L600" s="2">
        <v>46132</v>
      </c>
      <c r="M600" t="s">
        <v>38</v>
      </c>
      <c r="N600" t="s">
        <v>75</v>
      </c>
      <c r="O600">
        <v>2</v>
      </c>
      <c r="P600" t="s">
        <v>70</v>
      </c>
      <c r="Q600" s="2">
        <v>46202</v>
      </c>
      <c r="R600" t="s">
        <v>38</v>
      </c>
    </row>
    <row r="601" spans="1:18" x14ac:dyDescent="0.2">
      <c r="A601" t="s">
        <v>1258</v>
      </c>
      <c r="B601" t="s">
        <v>1259</v>
      </c>
      <c r="C601" t="s">
        <v>103</v>
      </c>
      <c r="D601" t="s">
        <v>104</v>
      </c>
      <c r="E601" t="s">
        <v>44</v>
      </c>
      <c r="F601" t="s">
        <v>45</v>
      </c>
      <c r="G601" t="s">
        <v>46</v>
      </c>
      <c r="H601" t="s">
        <v>47</v>
      </c>
      <c r="I601" t="s">
        <v>62</v>
      </c>
      <c r="J601" t="s">
        <v>63</v>
      </c>
      <c r="K601" s="2">
        <v>45920</v>
      </c>
      <c r="L601" s="2">
        <v>46100</v>
      </c>
      <c r="M601" t="s">
        <v>38</v>
      </c>
      <c r="N601" t="s">
        <v>75</v>
      </c>
      <c r="O601">
        <v>3</v>
      </c>
      <c r="P601" t="s">
        <v>56</v>
      </c>
      <c r="Q601" s="2">
        <v>46240</v>
      </c>
      <c r="R601" t="s">
        <v>38</v>
      </c>
    </row>
    <row r="602" spans="1:18" x14ac:dyDescent="0.2">
      <c r="A602" t="s">
        <v>1260</v>
      </c>
      <c r="B602" t="s">
        <v>1261</v>
      </c>
      <c r="C602" t="s">
        <v>96</v>
      </c>
      <c r="D602" t="s">
        <v>97</v>
      </c>
      <c r="E602" t="s">
        <v>44</v>
      </c>
      <c r="F602" t="s">
        <v>45</v>
      </c>
      <c r="G602" t="s">
        <v>61</v>
      </c>
      <c r="H602" t="s">
        <v>47</v>
      </c>
      <c r="I602" t="s">
        <v>56</v>
      </c>
      <c r="J602" t="s">
        <v>63</v>
      </c>
      <c r="K602" s="2">
        <v>45829</v>
      </c>
      <c r="L602" s="2">
        <v>45919</v>
      </c>
      <c r="M602" t="s">
        <v>38</v>
      </c>
      <c r="N602" t="s">
        <v>49</v>
      </c>
      <c r="O602">
        <v>3</v>
      </c>
      <c r="P602" t="s">
        <v>70</v>
      </c>
      <c r="Q602" s="2">
        <v>46222</v>
      </c>
      <c r="R602" t="s">
        <v>38</v>
      </c>
    </row>
    <row r="603" spans="1:18" x14ac:dyDescent="0.2">
      <c r="A603" t="s">
        <v>1262</v>
      </c>
      <c r="B603" t="s">
        <v>1263</v>
      </c>
      <c r="C603" t="s">
        <v>96</v>
      </c>
      <c r="D603" t="s">
        <v>97</v>
      </c>
      <c r="E603" t="s">
        <v>91</v>
      </c>
      <c r="F603" t="s">
        <v>45</v>
      </c>
      <c r="G603" t="s">
        <v>61</v>
      </c>
      <c r="H603" t="s">
        <v>36</v>
      </c>
      <c r="I603" t="s">
        <v>106</v>
      </c>
      <c r="J603" t="s">
        <v>37</v>
      </c>
      <c r="K603" s="2">
        <v>46020</v>
      </c>
      <c r="L603" s="2">
        <v>46385</v>
      </c>
      <c r="M603" t="s">
        <v>64</v>
      </c>
      <c r="N603" t="s">
        <v>75</v>
      </c>
      <c r="O603">
        <v>5</v>
      </c>
      <c r="P603" t="s">
        <v>111</v>
      </c>
      <c r="Q603" s="2">
        <v>46306</v>
      </c>
      <c r="R603" t="s">
        <v>84</v>
      </c>
    </row>
    <row r="604" spans="1:18" x14ac:dyDescent="0.2">
      <c r="A604" t="s">
        <v>1264</v>
      </c>
      <c r="B604" t="s">
        <v>1265</v>
      </c>
      <c r="C604" t="s">
        <v>42</v>
      </c>
      <c r="D604" t="s">
        <v>43</v>
      </c>
      <c r="E604" t="s">
        <v>91</v>
      </c>
      <c r="F604" t="s">
        <v>67</v>
      </c>
      <c r="G604" t="s">
        <v>118</v>
      </c>
      <c r="H604" t="s">
        <v>98</v>
      </c>
      <c r="I604" t="s">
        <v>39</v>
      </c>
      <c r="J604" t="s">
        <v>37</v>
      </c>
      <c r="K604" s="2">
        <v>46169</v>
      </c>
      <c r="L604" s="2">
        <v>46259</v>
      </c>
      <c r="M604" t="s">
        <v>38</v>
      </c>
      <c r="N604" t="s">
        <v>55</v>
      </c>
      <c r="O604">
        <v>3</v>
      </c>
      <c r="P604" t="s">
        <v>50</v>
      </c>
      <c r="Q604" s="2">
        <v>46235</v>
      </c>
      <c r="R604" t="s">
        <v>38</v>
      </c>
    </row>
    <row r="605" spans="1:18" x14ac:dyDescent="0.2">
      <c r="A605" t="s">
        <v>1266</v>
      </c>
      <c r="B605" t="s">
        <v>1267</v>
      </c>
      <c r="C605" t="s">
        <v>73</v>
      </c>
      <c r="D605" t="s">
        <v>74</v>
      </c>
      <c r="E605" t="s">
        <v>60</v>
      </c>
      <c r="F605" t="s">
        <v>67</v>
      </c>
      <c r="G605" t="s">
        <v>118</v>
      </c>
      <c r="H605" t="s">
        <v>47</v>
      </c>
      <c r="I605" t="s">
        <v>70</v>
      </c>
      <c r="J605" t="s">
        <v>37</v>
      </c>
      <c r="K605" s="2">
        <v>46124</v>
      </c>
      <c r="L605" s="2">
        <v>46304</v>
      </c>
      <c r="M605" t="s">
        <v>64</v>
      </c>
      <c r="N605" t="s">
        <v>55</v>
      </c>
      <c r="O605">
        <v>0</v>
      </c>
      <c r="P605" t="s">
        <v>111</v>
      </c>
      <c r="Q605" s="2">
        <v>46353</v>
      </c>
      <c r="R605" t="s">
        <v>57</v>
      </c>
    </row>
    <row r="606" spans="1:18" x14ac:dyDescent="0.2">
      <c r="A606" t="s">
        <v>1268</v>
      </c>
      <c r="B606" t="s">
        <v>1269</v>
      </c>
      <c r="C606" t="s">
        <v>73</v>
      </c>
      <c r="D606" t="s">
        <v>74</v>
      </c>
      <c r="E606" t="s">
        <v>53</v>
      </c>
      <c r="F606" t="s">
        <v>67</v>
      </c>
      <c r="G606" t="s">
        <v>118</v>
      </c>
      <c r="H606" t="s">
        <v>36</v>
      </c>
      <c r="I606" t="s">
        <v>106</v>
      </c>
      <c r="J606" t="s">
        <v>37</v>
      </c>
      <c r="K606" s="2">
        <v>46136</v>
      </c>
      <c r="L606" s="2">
        <v>46316</v>
      </c>
      <c r="M606" t="s">
        <v>64</v>
      </c>
      <c r="N606" t="s">
        <v>75</v>
      </c>
      <c r="O606">
        <v>1</v>
      </c>
      <c r="P606" t="s">
        <v>70</v>
      </c>
      <c r="Q606" s="2">
        <v>46250</v>
      </c>
      <c r="R606" t="s">
        <v>38</v>
      </c>
    </row>
    <row r="607" spans="1:18" x14ac:dyDescent="0.2">
      <c r="A607" t="s">
        <v>1270</v>
      </c>
      <c r="B607" t="s">
        <v>1271</v>
      </c>
      <c r="C607" t="s">
        <v>42</v>
      </c>
      <c r="D607" t="s">
        <v>43</v>
      </c>
      <c r="E607" t="s">
        <v>105</v>
      </c>
      <c r="F607" t="s">
        <v>67</v>
      </c>
      <c r="G607" t="s">
        <v>68</v>
      </c>
      <c r="H607" t="s">
        <v>47</v>
      </c>
      <c r="I607" t="s">
        <v>106</v>
      </c>
      <c r="J607" t="s">
        <v>63</v>
      </c>
      <c r="K607" s="2">
        <v>46256</v>
      </c>
      <c r="L607" s="2">
        <v>46621</v>
      </c>
      <c r="M607" t="s">
        <v>64</v>
      </c>
      <c r="N607" t="s">
        <v>55</v>
      </c>
      <c r="O607">
        <v>2</v>
      </c>
      <c r="P607" t="s">
        <v>50</v>
      </c>
      <c r="Q607" s="2">
        <v>46243</v>
      </c>
      <c r="R607" t="s">
        <v>64</v>
      </c>
    </row>
    <row r="608" spans="1:18" x14ac:dyDescent="0.2">
      <c r="A608" t="s">
        <v>1272</v>
      </c>
      <c r="B608" t="s">
        <v>1273</v>
      </c>
      <c r="C608" t="s">
        <v>31</v>
      </c>
      <c r="D608" t="s">
        <v>87</v>
      </c>
      <c r="E608" t="s">
        <v>105</v>
      </c>
      <c r="F608" t="s">
        <v>34</v>
      </c>
      <c r="G608" t="s">
        <v>35</v>
      </c>
      <c r="H608" t="s">
        <v>36</v>
      </c>
      <c r="I608" t="s">
        <v>56</v>
      </c>
      <c r="J608" t="s">
        <v>63</v>
      </c>
      <c r="K608" s="2">
        <v>45854</v>
      </c>
      <c r="L608" s="2">
        <v>46034</v>
      </c>
      <c r="M608" t="s">
        <v>38</v>
      </c>
      <c r="N608" t="s">
        <v>75</v>
      </c>
      <c r="O608">
        <v>3</v>
      </c>
      <c r="P608" t="s">
        <v>50</v>
      </c>
      <c r="Q608" s="2">
        <v>46411</v>
      </c>
      <c r="R608" t="s">
        <v>84</v>
      </c>
    </row>
    <row r="609" spans="1:18" x14ac:dyDescent="0.2">
      <c r="A609" t="s">
        <v>1274</v>
      </c>
      <c r="B609" t="s">
        <v>1275</v>
      </c>
      <c r="C609" t="s">
        <v>96</v>
      </c>
      <c r="D609" t="s">
        <v>97</v>
      </c>
      <c r="E609" t="s">
        <v>44</v>
      </c>
      <c r="F609" t="s">
        <v>67</v>
      </c>
      <c r="G609" t="s">
        <v>68</v>
      </c>
      <c r="H609" t="s">
        <v>36</v>
      </c>
      <c r="I609" t="s">
        <v>54</v>
      </c>
      <c r="J609" t="s">
        <v>48</v>
      </c>
      <c r="K609" s="2">
        <v>46033</v>
      </c>
      <c r="L609" s="2">
        <v>46123</v>
      </c>
      <c r="M609" t="s">
        <v>38</v>
      </c>
      <c r="N609" t="s">
        <v>49</v>
      </c>
      <c r="O609">
        <v>4</v>
      </c>
      <c r="P609" t="s">
        <v>106</v>
      </c>
      <c r="Q609" s="2">
        <v>46397</v>
      </c>
      <c r="R609" t="s">
        <v>84</v>
      </c>
    </row>
    <row r="610" spans="1:18" x14ac:dyDescent="0.2">
      <c r="A610" t="s">
        <v>1276</v>
      </c>
      <c r="B610" t="s">
        <v>1277</v>
      </c>
      <c r="C610" t="s">
        <v>31</v>
      </c>
      <c r="D610" t="s">
        <v>87</v>
      </c>
      <c r="E610" t="s">
        <v>91</v>
      </c>
      <c r="F610" t="s">
        <v>45</v>
      </c>
      <c r="G610" t="s">
        <v>61</v>
      </c>
      <c r="H610" t="s">
        <v>88</v>
      </c>
      <c r="I610" t="s">
        <v>111</v>
      </c>
      <c r="J610" t="s">
        <v>63</v>
      </c>
      <c r="K610" s="2">
        <v>46045</v>
      </c>
      <c r="L610" s="2">
        <v>46410</v>
      </c>
      <c r="M610" t="s">
        <v>64</v>
      </c>
      <c r="N610" t="s">
        <v>55</v>
      </c>
      <c r="O610">
        <v>1</v>
      </c>
      <c r="P610" t="s">
        <v>106</v>
      </c>
      <c r="Q610" s="2">
        <v>46271</v>
      </c>
      <c r="R610" t="s">
        <v>38</v>
      </c>
    </row>
    <row r="611" spans="1:18" x14ac:dyDescent="0.2">
      <c r="A611" t="s">
        <v>1278</v>
      </c>
      <c r="B611" t="s">
        <v>1279</v>
      </c>
      <c r="C611" t="s">
        <v>31</v>
      </c>
      <c r="D611" t="s">
        <v>87</v>
      </c>
      <c r="E611" t="s">
        <v>80</v>
      </c>
      <c r="F611" t="s">
        <v>67</v>
      </c>
      <c r="G611" t="s">
        <v>68</v>
      </c>
      <c r="H611" t="s">
        <v>88</v>
      </c>
      <c r="I611" t="s">
        <v>62</v>
      </c>
      <c r="J611" t="s">
        <v>48</v>
      </c>
      <c r="K611" s="2">
        <v>45885</v>
      </c>
      <c r="L611" s="2">
        <v>46250</v>
      </c>
      <c r="M611" t="s">
        <v>38</v>
      </c>
      <c r="N611" t="s">
        <v>49</v>
      </c>
      <c r="O611">
        <v>2</v>
      </c>
      <c r="P611" t="s">
        <v>106</v>
      </c>
      <c r="Q611" s="2">
        <v>46281</v>
      </c>
      <c r="R611" t="s">
        <v>38</v>
      </c>
    </row>
    <row r="612" spans="1:18" x14ac:dyDescent="0.2">
      <c r="A612" t="s">
        <v>1280</v>
      </c>
      <c r="B612" t="s">
        <v>1281</v>
      </c>
      <c r="C612" t="s">
        <v>96</v>
      </c>
      <c r="D612" t="s">
        <v>97</v>
      </c>
      <c r="E612" t="s">
        <v>80</v>
      </c>
      <c r="F612" t="s">
        <v>34</v>
      </c>
      <c r="G612" t="s">
        <v>35</v>
      </c>
      <c r="H612" t="s">
        <v>47</v>
      </c>
      <c r="I612" t="s">
        <v>62</v>
      </c>
      <c r="J612" t="s">
        <v>37</v>
      </c>
      <c r="K612" s="2">
        <v>46243</v>
      </c>
      <c r="L612" s="2">
        <v>46608</v>
      </c>
      <c r="M612" t="s">
        <v>64</v>
      </c>
      <c r="N612" t="s">
        <v>75</v>
      </c>
      <c r="O612">
        <v>0</v>
      </c>
      <c r="P612" t="s">
        <v>70</v>
      </c>
      <c r="Q612" s="2">
        <v>46283</v>
      </c>
      <c r="R612" t="s">
        <v>57</v>
      </c>
    </row>
    <row r="613" spans="1:18" x14ac:dyDescent="0.2">
      <c r="A613" t="s">
        <v>1282</v>
      </c>
      <c r="B613" t="s">
        <v>1283</v>
      </c>
      <c r="C613" t="s">
        <v>31</v>
      </c>
      <c r="D613" t="s">
        <v>32</v>
      </c>
      <c r="E613" t="s">
        <v>91</v>
      </c>
      <c r="F613" t="s">
        <v>45</v>
      </c>
      <c r="G613" t="s">
        <v>46</v>
      </c>
      <c r="H613" t="s">
        <v>88</v>
      </c>
      <c r="I613" t="s">
        <v>39</v>
      </c>
      <c r="J613" t="s">
        <v>37</v>
      </c>
      <c r="K613" s="2">
        <v>45852</v>
      </c>
      <c r="L613" s="2">
        <v>46217</v>
      </c>
      <c r="M613" t="s">
        <v>38</v>
      </c>
      <c r="N613" t="s">
        <v>49</v>
      </c>
      <c r="O613">
        <v>3</v>
      </c>
      <c r="P613" t="s">
        <v>54</v>
      </c>
      <c r="Q613" s="2">
        <v>46128</v>
      </c>
      <c r="R613" t="s">
        <v>64</v>
      </c>
    </row>
    <row r="614" spans="1:18" x14ac:dyDescent="0.2">
      <c r="A614" t="s">
        <v>1284</v>
      </c>
      <c r="B614" t="s">
        <v>1285</v>
      </c>
      <c r="C614" t="s">
        <v>31</v>
      </c>
      <c r="D614" t="s">
        <v>32</v>
      </c>
      <c r="E614" t="s">
        <v>91</v>
      </c>
      <c r="F614" t="s">
        <v>45</v>
      </c>
      <c r="G614" t="s">
        <v>61</v>
      </c>
      <c r="H614" t="s">
        <v>88</v>
      </c>
      <c r="I614" t="s">
        <v>111</v>
      </c>
      <c r="J614" t="s">
        <v>63</v>
      </c>
      <c r="K614" s="2">
        <v>46246</v>
      </c>
      <c r="L614" s="2">
        <v>46426</v>
      </c>
      <c r="M614" t="s">
        <v>64</v>
      </c>
      <c r="N614" t="s">
        <v>55</v>
      </c>
      <c r="O614">
        <v>2</v>
      </c>
      <c r="P614" t="s">
        <v>62</v>
      </c>
      <c r="Q614" s="2">
        <v>46325</v>
      </c>
      <c r="R614" t="s">
        <v>84</v>
      </c>
    </row>
    <row r="615" spans="1:18" x14ac:dyDescent="0.2">
      <c r="A615" t="s">
        <v>1286</v>
      </c>
      <c r="B615" t="s">
        <v>1287</v>
      </c>
      <c r="C615" t="s">
        <v>42</v>
      </c>
      <c r="D615" t="s">
        <v>43</v>
      </c>
      <c r="E615" t="s">
        <v>80</v>
      </c>
      <c r="F615" t="s">
        <v>67</v>
      </c>
      <c r="G615" t="s">
        <v>68</v>
      </c>
      <c r="H615" t="s">
        <v>98</v>
      </c>
      <c r="I615" t="s">
        <v>54</v>
      </c>
      <c r="J615" t="s">
        <v>48</v>
      </c>
      <c r="K615" s="2">
        <v>46209</v>
      </c>
      <c r="L615" s="2">
        <v>46299</v>
      </c>
      <c r="M615" t="s">
        <v>64</v>
      </c>
      <c r="N615" t="s">
        <v>49</v>
      </c>
      <c r="O615">
        <v>5</v>
      </c>
      <c r="P615" t="s">
        <v>111</v>
      </c>
      <c r="Q615" s="2">
        <v>46358</v>
      </c>
      <c r="R615" t="s">
        <v>64</v>
      </c>
    </row>
    <row r="616" spans="1:18" x14ac:dyDescent="0.2">
      <c r="A616" t="s">
        <v>1288</v>
      </c>
      <c r="B616" t="s">
        <v>1289</v>
      </c>
      <c r="C616" t="s">
        <v>96</v>
      </c>
      <c r="D616" t="s">
        <v>97</v>
      </c>
      <c r="E616" t="s">
        <v>105</v>
      </c>
      <c r="F616" t="s">
        <v>67</v>
      </c>
      <c r="G616" t="s">
        <v>68</v>
      </c>
      <c r="H616" t="s">
        <v>98</v>
      </c>
      <c r="J616" t="s">
        <v>37</v>
      </c>
      <c r="K616" s="2">
        <v>46047</v>
      </c>
      <c r="L616" s="2">
        <v>46137</v>
      </c>
      <c r="M616" t="s">
        <v>38</v>
      </c>
      <c r="N616" t="s">
        <v>75</v>
      </c>
      <c r="O616">
        <v>4</v>
      </c>
      <c r="P616" t="s">
        <v>39</v>
      </c>
      <c r="Q616" s="2">
        <v>46241</v>
      </c>
      <c r="R616" t="s">
        <v>38</v>
      </c>
    </row>
    <row r="617" spans="1:18" x14ac:dyDescent="0.2">
      <c r="A617" t="s">
        <v>1290</v>
      </c>
      <c r="B617" t="s">
        <v>1291</v>
      </c>
      <c r="C617" t="s">
        <v>78</v>
      </c>
      <c r="D617" t="s">
        <v>79</v>
      </c>
      <c r="E617" t="s">
        <v>53</v>
      </c>
      <c r="F617" t="s">
        <v>34</v>
      </c>
      <c r="G617" t="s">
        <v>35</v>
      </c>
      <c r="H617" t="s">
        <v>88</v>
      </c>
      <c r="I617" t="s">
        <v>111</v>
      </c>
      <c r="J617" t="s">
        <v>37</v>
      </c>
      <c r="K617" s="2">
        <v>46098</v>
      </c>
      <c r="L617" s="2">
        <v>46463</v>
      </c>
      <c r="M617" t="s">
        <v>69</v>
      </c>
      <c r="N617" t="s">
        <v>75</v>
      </c>
      <c r="O617">
        <v>1</v>
      </c>
      <c r="P617" t="s">
        <v>50</v>
      </c>
      <c r="Q617" s="2">
        <v>46327</v>
      </c>
      <c r="R617" t="s">
        <v>64</v>
      </c>
    </row>
    <row r="618" spans="1:18" x14ac:dyDescent="0.2">
      <c r="A618" t="s">
        <v>1292</v>
      </c>
      <c r="B618" t="s">
        <v>1293</v>
      </c>
      <c r="C618" t="s">
        <v>103</v>
      </c>
      <c r="D618" t="s">
        <v>104</v>
      </c>
      <c r="E618" t="s">
        <v>80</v>
      </c>
      <c r="F618" t="s">
        <v>34</v>
      </c>
      <c r="G618" t="s">
        <v>35</v>
      </c>
      <c r="H618" t="s">
        <v>88</v>
      </c>
      <c r="I618" t="s">
        <v>39</v>
      </c>
      <c r="J618" t="s">
        <v>37</v>
      </c>
      <c r="K618" s="2">
        <v>46153</v>
      </c>
      <c r="L618" s="2">
        <v>46243</v>
      </c>
      <c r="M618" t="s">
        <v>38</v>
      </c>
      <c r="N618" t="s">
        <v>75</v>
      </c>
      <c r="O618">
        <v>2</v>
      </c>
      <c r="P618" t="s">
        <v>70</v>
      </c>
      <c r="Q618" s="2">
        <v>46149</v>
      </c>
      <c r="R618" t="s">
        <v>38</v>
      </c>
    </row>
    <row r="619" spans="1:18" x14ac:dyDescent="0.2">
      <c r="A619" t="s">
        <v>1294</v>
      </c>
      <c r="B619" t="s">
        <v>1295</v>
      </c>
      <c r="C619" t="s">
        <v>96</v>
      </c>
      <c r="D619" t="s">
        <v>97</v>
      </c>
      <c r="E619" t="s">
        <v>105</v>
      </c>
      <c r="F619" t="s">
        <v>67</v>
      </c>
      <c r="G619" t="s">
        <v>68</v>
      </c>
      <c r="H619" t="s">
        <v>88</v>
      </c>
      <c r="I619" t="s">
        <v>106</v>
      </c>
      <c r="J619" t="s">
        <v>48</v>
      </c>
      <c r="K619" s="2">
        <v>46066</v>
      </c>
      <c r="L619" s="2">
        <v>46246</v>
      </c>
      <c r="M619" t="s">
        <v>38</v>
      </c>
      <c r="N619" t="s">
        <v>55</v>
      </c>
      <c r="O619">
        <v>2</v>
      </c>
      <c r="P619" t="s">
        <v>111</v>
      </c>
      <c r="Q619" s="2">
        <v>46221</v>
      </c>
      <c r="R619" t="s">
        <v>38</v>
      </c>
    </row>
    <row r="620" spans="1:18" x14ac:dyDescent="0.2">
      <c r="A620" t="s">
        <v>1296</v>
      </c>
      <c r="B620" t="s">
        <v>1297</v>
      </c>
      <c r="C620" t="s">
        <v>31</v>
      </c>
      <c r="D620" t="s">
        <v>83</v>
      </c>
      <c r="E620" t="s">
        <v>91</v>
      </c>
      <c r="F620" t="s">
        <v>67</v>
      </c>
      <c r="G620" t="s">
        <v>118</v>
      </c>
      <c r="H620" t="s">
        <v>88</v>
      </c>
      <c r="I620" t="s">
        <v>54</v>
      </c>
      <c r="J620" t="s">
        <v>63</v>
      </c>
      <c r="K620" s="2">
        <v>46072</v>
      </c>
      <c r="L620" s="2">
        <v>46162</v>
      </c>
      <c r="M620" t="s">
        <v>38</v>
      </c>
      <c r="N620" t="s">
        <v>55</v>
      </c>
      <c r="O620">
        <v>2</v>
      </c>
      <c r="P620" t="s">
        <v>111</v>
      </c>
      <c r="Q620" s="2">
        <v>46173</v>
      </c>
      <c r="R620" t="s">
        <v>38</v>
      </c>
    </row>
    <row r="621" spans="1:18" x14ac:dyDescent="0.2">
      <c r="A621" t="s">
        <v>1298</v>
      </c>
      <c r="B621" t="s">
        <v>1299</v>
      </c>
      <c r="C621" t="s">
        <v>31</v>
      </c>
      <c r="D621" t="s">
        <v>83</v>
      </c>
      <c r="E621" t="s">
        <v>105</v>
      </c>
      <c r="F621" t="s">
        <v>67</v>
      </c>
      <c r="G621" t="s">
        <v>118</v>
      </c>
      <c r="H621" t="s">
        <v>47</v>
      </c>
      <c r="I621" t="s">
        <v>54</v>
      </c>
      <c r="J621" t="s">
        <v>48</v>
      </c>
      <c r="K621" s="2">
        <v>45910</v>
      </c>
      <c r="L621" s="2">
        <v>46090</v>
      </c>
      <c r="M621" t="s">
        <v>38</v>
      </c>
      <c r="N621" t="s">
        <v>55</v>
      </c>
      <c r="O621">
        <v>3</v>
      </c>
      <c r="P621" t="s">
        <v>70</v>
      </c>
      <c r="Q621" s="2">
        <v>46257</v>
      </c>
      <c r="R621" t="s">
        <v>38</v>
      </c>
    </row>
    <row r="622" spans="1:18" x14ac:dyDescent="0.2">
      <c r="A622" t="s">
        <v>1300</v>
      </c>
      <c r="B622" t="s">
        <v>1301</v>
      </c>
      <c r="C622" t="s">
        <v>31</v>
      </c>
      <c r="D622" t="s">
        <v>83</v>
      </c>
      <c r="E622" t="s">
        <v>105</v>
      </c>
      <c r="F622" t="s">
        <v>45</v>
      </c>
      <c r="G622" t="s">
        <v>61</v>
      </c>
      <c r="H622" t="s">
        <v>88</v>
      </c>
      <c r="I622" t="s">
        <v>62</v>
      </c>
      <c r="J622" t="s">
        <v>37</v>
      </c>
      <c r="K622" s="2">
        <v>46189</v>
      </c>
      <c r="L622" s="2">
        <v>46279</v>
      </c>
      <c r="M622" t="s">
        <v>38</v>
      </c>
      <c r="N622" t="s">
        <v>49</v>
      </c>
      <c r="O622">
        <v>0</v>
      </c>
      <c r="P622" t="s">
        <v>50</v>
      </c>
      <c r="Q622" s="2">
        <v>46254</v>
      </c>
      <c r="R622" t="s">
        <v>57</v>
      </c>
    </row>
    <row r="623" spans="1:18" x14ac:dyDescent="0.2">
      <c r="A623" t="s">
        <v>1302</v>
      </c>
      <c r="B623" t="s">
        <v>1303</v>
      </c>
      <c r="C623" t="s">
        <v>42</v>
      </c>
      <c r="D623" t="s">
        <v>43</v>
      </c>
      <c r="E623" t="s">
        <v>91</v>
      </c>
      <c r="F623" t="s">
        <v>45</v>
      </c>
      <c r="G623" t="s">
        <v>46</v>
      </c>
      <c r="H623" t="s">
        <v>88</v>
      </c>
      <c r="I623" t="s">
        <v>111</v>
      </c>
      <c r="J623" t="s">
        <v>48</v>
      </c>
      <c r="K623" s="2">
        <v>45919</v>
      </c>
      <c r="L623" s="2">
        <v>46009</v>
      </c>
      <c r="M623" t="s">
        <v>38</v>
      </c>
      <c r="N623" t="s">
        <v>49</v>
      </c>
      <c r="O623">
        <v>0</v>
      </c>
      <c r="P623" t="s">
        <v>39</v>
      </c>
      <c r="Q623" s="2">
        <v>46314</v>
      </c>
      <c r="R623" t="s">
        <v>57</v>
      </c>
    </row>
    <row r="624" spans="1:18" x14ac:dyDescent="0.2">
      <c r="A624" t="s">
        <v>1304</v>
      </c>
      <c r="B624" t="s">
        <v>1305</v>
      </c>
      <c r="C624" t="s">
        <v>78</v>
      </c>
      <c r="D624" t="s">
        <v>79</v>
      </c>
      <c r="E624" t="s">
        <v>44</v>
      </c>
      <c r="F624" t="s">
        <v>45</v>
      </c>
      <c r="G624" t="s">
        <v>61</v>
      </c>
      <c r="H624" t="s">
        <v>98</v>
      </c>
      <c r="I624" t="s">
        <v>106</v>
      </c>
      <c r="J624" t="s">
        <v>48</v>
      </c>
      <c r="K624" s="2">
        <v>45810</v>
      </c>
      <c r="L624" s="2">
        <v>45900</v>
      </c>
      <c r="M624" t="s">
        <v>38</v>
      </c>
      <c r="N624" t="s">
        <v>55</v>
      </c>
      <c r="O624">
        <v>0</v>
      </c>
      <c r="P624" t="s">
        <v>106</v>
      </c>
      <c r="Q624" s="2">
        <v>46123</v>
      </c>
      <c r="R624" t="s">
        <v>57</v>
      </c>
    </row>
    <row r="625" spans="1:18" x14ac:dyDescent="0.2">
      <c r="A625" t="s">
        <v>1306</v>
      </c>
      <c r="B625" t="s">
        <v>1307</v>
      </c>
      <c r="C625" t="s">
        <v>31</v>
      </c>
      <c r="D625" t="s">
        <v>32</v>
      </c>
      <c r="E625" t="s">
        <v>44</v>
      </c>
      <c r="F625" t="s">
        <v>45</v>
      </c>
      <c r="G625" t="s">
        <v>46</v>
      </c>
      <c r="H625" t="s">
        <v>98</v>
      </c>
      <c r="I625" t="s">
        <v>70</v>
      </c>
      <c r="J625" t="s">
        <v>37</v>
      </c>
      <c r="K625" s="2">
        <v>45867</v>
      </c>
      <c r="L625" s="2">
        <v>46232</v>
      </c>
      <c r="M625" t="s">
        <v>38</v>
      </c>
      <c r="N625" t="s">
        <v>55</v>
      </c>
      <c r="O625">
        <v>5</v>
      </c>
      <c r="P625" t="s">
        <v>106</v>
      </c>
      <c r="Q625" s="2">
        <v>46200</v>
      </c>
      <c r="R625" t="s">
        <v>64</v>
      </c>
    </row>
    <row r="626" spans="1:18" x14ac:dyDescent="0.2">
      <c r="A626" t="s">
        <v>1308</v>
      </c>
      <c r="B626" t="s">
        <v>1309</v>
      </c>
      <c r="C626" t="s">
        <v>73</v>
      </c>
      <c r="D626" t="s">
        <v>74</v>
      </c>
      <c r="E626" t="s">
        <v>60</v>
      </c>
      <c r="F626" t="s">
        <v>34</v>
      </c>
      <c r="G626" t="s">
        <v>35</v>
      </c>
      <c r="H626" t="s">
        <v>47</v>
      </c>
      <c r="I626" t="s">
        <v>62</v>
      </c>
      <c r="J626" t="s">
        <v>48</v>
      </c>
      <c r="K626" s="2">
        <v>45795</v>
      </c>
      <c r="L626" s="2">
        <v>45975</v>
      </c>
      <c r="M626" t="s">
        <v>38</v>
      </c>
      <c r="N626" t="s">
        <v>55</v>
      </c>
      <c r="O626">
        <v>1</v>
      </c>
      <c r="P626" t="s">
        <v>62</v>
      </c>
      <c r="Q626" s="2">
        <v>46224</v>
      </c>
      <c r="R626" t="s">
        <v>64</v>
      </c>
    </row>
    <row r="627" spans="1:18" x14ac:dyDescent="0.2">
      <c r="A627" t="s">
        <v>1310</v>
      </c>
      <c r="B627" t="s">
        <v>1311</v>
      </c>
      <c r="C627" t="s">
        <v>103</v>
      </c>
      <c r="D627" t="s">
        <v>104</v>
      </c>
      <c r="E627" t="s">
        <v>105</v>
      </c>
      <c r="F627" t="s">
        <v>34</v>
      </c>
      <c r="G627" t="s">
        <v>35</v>
      </c>
      <c r="H627" t="s">
        <v>88</v>
      </c>
      <c r="I627" t="s">
        <v>111</v>
      </c>
      <c r="J627" t="s">
        <v>37</v>
      </c>
      <c r="K627" s="2">
        <v>46163</v>
      </c>
      <c r="L627" s="2">
        <v>46253</v>
      </c>
      <c r="M627" t="s">
        <v>38</v>
      </c>
      <c r="N627" t="s">
        <v>49</v>
      </c>
      <c r="O627">
        <v>2</v>
      </c>
      <c r="P627" t="s">
        <v>111</v>
      </c>
      <c r="Q627" s="2">
        <v>46303</v>
      </c>
      <c r="R627" t="s">
        <v>64</v>
      </c>
    </row>
    <row r="628" spans="1:18" x14ac:dyDescent="0.2">
      <c r="A628" t="s">
        <v>1312</v>
      </c>
      <c r="B628" t="s">
        <v>1313</v>
      </c>
      <c r="C628" t="s">
        <v>73</v>
      </c>
      <c r="D628" t="s">
        <v>74</v>
      </c>
      <c r="E628" t="s">
        <v>53</v>
      </c>
      <c r="F628" t="s">
        <v>45</v>
      </c>
      <c r="G628" t="s">
        <v>46</v>
      </c>
      <c r="H628" t="s">
        <v>98</v>
      </c>
      <c r="I628" t="s">
        <v>106</v>
      </c>
      <c r="J628" t="s">
        <v>63</v>
      </c>
      <c r="K628" s="2">
        <v>45952</v>
      </c>
      <c r="L628" s="2">
        <v>46317</v>
      </c>
      <c r="M628" t="s">
        <v>64</v>
      </c>
      <c r="N628" t="s">
        <v>49</v>
      </c>
      <c r="O628">
        <v>1</v>
      </c>
      <c r="P628" t="s">
        <v>111</v>
      </c>
      <c r="Q628" s="2">
        <v>46285</v>
      </c>
      <c r="R628" t="s">
        <v>64</v>
      </c>
    </row>
    <row r="629" spans="1:18" x14ac:dyDescent="0.2">
      <c r="A629" t="s">
        <v>1314</v>
      </c>
      <c r="B629" t="s">
        <v>1315</v>
      </c>
      <c r="C629" t="s">
        <v>31</v>
      </c>
      <c r="D629" t="s">
        <v>87</v>
      </c>
      <c r="E629" t="s">
        <v>105</v>
      </c>
      <c r="F629" t="s">
        <v>45</v>
      </c>
      <c r="G629" t="s">
        <v>61</v>
      </c>
      <c r="H629" t="s">
        <v>88</v>
      </c>
      <c r="I629" t="s">
        <v>111</v>
      </c>
      <c r="J629" t="s">
        <v>48</v>
      </c>
      <c r="K629" s="2">
        <v>46080</v>
      </c>
      <c r="L629" s="2">
        <v>46445</v>
      </c>
      <c r="M629" t="s">
        <v>84</v>
      </c>
      <c r="N629" t="s">
        <v>49</v>
      </c>
      <c r="O629">
        <v>0</v>
      </c>
      <c r="P629" t="s">
        <v>56</v>
      </c>
      <c r="Q629" s="2">
        <v>46234</v>
      </c>
      <c r="R629" t="s">
        <v>57</v>
      </c>
    </row>
    <row r="630" spans="1:18" x14ac:dyDescent="0.2">
      <c r="A630" t="s">
        <v>1316</v>
      </c>
      <c r="B630" t="s">
        <v>1317</v>
      </c>
      <c r="C630" t="s">
        <v>31</v>
      </c>
      <c r="D630" t="s">
        <v>87</v>
      </c>
      <c r="E630" t="s">
        <v>44</v>
      </c>
      <c r="F630" t="s">
        <v>45</v>
      </c>
      <c r="G630" t="s">
        <v>61</v>
      </c>
      <c r="H630" t="s">
        <v>88</v>
      </c>
      <c r="I630" t="s">
        <v>39</v>
      </c>
      <c r="J630" t="s">
        <v>63</v>
      </c>
      <c r="K630" s="2">
        <v>46205</v>
      </c>
      <c r="L630" s="2">
        <v>46385</v>
      </c>
      <c r="M630" t="s">
        <v>64</v>
      </c>
      <c r="N630" t="s">
        <v>55</v>
      </c>
      <c r="O630">
        <v>1</v>
      </c>
      <c r="P630" t="s">
        <v>111</v>
      </c>
      <c r="Q630" s="2">
        <v>46307</v>
      </c>
      <c r="R630" t="s">
        <v>64</v>
      </c>
    </row>
    <row r="631" spans="1:18" x14ac:dyDescent="0.2">
      <c r="A631" t="s">
        <v>1318</v>
      </c>
      <c r="B631" t="s">
        <v>1319</v>
      </c>
      <c r="C631" t="s">
        <v>73</v>
      </c>
      <c r="D631" t="s">
        <v>74</v>
      </c>
      <c r="E631" t="s">
        <v>44</v>
      </c>
      <c r="F631" t="s">
        <v>34</v>
      </c>
      <c r="G631" t="s">
        <v>35</v>
      </c>
      <c r="H631" t="s">
        <v>47</v>
      </c>
      <c r="I631" t="s">
        <v>39</v>
      </c>
      <c r="J631" t="s">
        <v>48</v>
      </c>
      <c r="K631" s="2">
        <v>46009</v>
      </c>
      <c r="L631" s="2">
        <v>46189</v>
      </c>
      <c r="M631" t="s">
        <v>38</v>
      </c>
      <c r="N631" t="s">
        <v>49</v>
      </c>
      <c r="O631">
        <v>2</v>
      </c>
      <c r="P631" t="s">
        <v>54</v>
      </c>
      <c r="Q631" s="2">
        <v>46127</v>
      </c>
      <c r="R631" t="s">
        <v>64</v>
      </c>
    </row>
    <row r="632" spans="1:18" x14ac:dyDescent="0.2">
      <c r="A632" t="s">
        <v>1320</v>
      </c>
      <c r="B632" t="s">
        <v>1321</v>
      </c>
      <c r="C632" t="s">
        <v>31</v>
      </c>
      <c r="D632" t="s">
        <v>87</v>
      </c>
      <c r="E632" t="s">
        <v>91</v>
      </c>
      <c r="F632" t="s">
        <v>34</v>
      </c>
      <c r="G632" t="s">
        <v>35</v>
      </c>
      <c r="H632" t="s">
        <v>98</v>
      </c>
      <c r="I632" t="s">
        <v>54</v>
      </c>
      <c r="J632" t="s">
        <v>37</v>
      </c>
      <c r="K632" s="2">
        <v>45964</v>
      </c>
      <c r="L632" s="2">
        <v>46144</v>
      </c>
      <c r="M632" t="s">
        <v>38</v>
      </c>
      <c r="N632" t="s">
        <v>49</v>
      </c>
      <c r="O632">
        <v>2</v>
      </c>
      <c r="P632" t="s">
        <v>70</v>
      </c>
      <c r="Q632" s="2">
        <v>46208</v>
      </c>
      <c r="R632" t="s">
        <v>38</v>
      </c>
    </row>
    <row r="633" spans="1:18" x14ac:dyDescent="0.2">
      <c r="A633" t="s">
        <v>1322</v>
      </c>
      <c r="B633" t="s">
        <v>1323</v>
      </c>
      <c r="C633" t="s">
        <v>78</v>
      </c>
      <c r="D633" t="s">
        <v>79</v>
      </c>
      <c r="E633" t="s">
        <v>91</v>
      </c>
      <c r="F633" t="s">
        <v>45</v>
      </c>
      <c r="G633" t="s">
        <v>46</v>
      </c>
      <c r="H633" t="s">
        <v>98</v>
      </c>
      <c r="I633" t="s">
        <v>54</v>
      </c>
      <c r="J633" t="s">
        <v>37</v>
      </c>
      <c r="K633" s="2">
        <v>46211</v>
      </c>
      <c r="L633" s="2">
        <v>46301</v>
      </c>
      <c r="M633" t="s">
        <v>64</v>
      </c>
      <c r="N633" t="s">
        <v>49</v>
      </c>
      <c r="O633">
        <v>1</v>
      </c>
      <c r="P633" t="s">
        <v>56</v>
      </c>
      <c r="Q633" s="2">
        <v>46235</v>
      </c>
      <c r="R633" t="s">
        <v>38</v>
      </c>
    </row>
    <row r="634" spans="1:18" x14ac:dyDescent="0.2">
      <c r="A634" t="s">
        <v>1324</v>
      </c>
      <c r="B634" t="s">
        <v>1325</v>
      </c>
      <c r="C634" t="s">
        <v>73</v>
      </c>
      <c r="D634" t="s">
        <v>74</v>
      </c>
      <c r="E634" t="s">
        <v>44</v>
      </c>
      <c r="F634" t="s">
        <v>45</v>
      </c>
      <c r="G634" t="s">
        <v>46</v>
      </c>
      <c r="H634" t="s">
        <v>88</v>
      </c>
      <c r="I634" t="s">
        <v>54</v>
      </c>
      <c r="J634" t="s">
        <v>37</v>
      </c>
      <c r="K634" s="2">
        <v>46120</v>
      </c>
      <c r="L634" s="2">
        <v>46300</v>
      </c>
      <c r="M634" t="s">
        <v>84</v>
      </c>
      <c r="N634" t="s">
        <v>75</v>
      </c>
      <c r="O634">
        <v>3</v>
      </c>
      <c r="P634" t="s">
        <v>50</v>
      </c>
      <c r="Q634" s="2">
        <v>46155</v>
      </c>
      <c r="R634" t="s">
        <v>38</v>
      </c>
    </row>
    <row r="635" spans="1:18" x14ac:dyDescent="0.2">
      <c r="A635" t="s">
        <v>1326</v>
      </c>
      <c r="B635" t="s">
        <v>1327</v>
      </c>
      <c r="C635" t="s">
        <v>78</v>
      </c>
      <c r="D635" t="s">
        <v>79</v>
      </c>
      <c r="E635" t="s">
        <v>80</v>
      </c>
      <c r="F635" t="s">
        <v>67</v>
      </c>
      <c r="G635" t="s">
        <v>118</v>
      </c>
      <c r="H635" t="s">
        <v>88</v>
      </c>
      <c r="I635" t="s">
        <v>62</v>
      </c>
      <c r="J635" t="s">
        <v>48</v>
      </c>
      <c r="K635" s="2">
        <v>45886</v>
      </c>
      <c r="L635" s="2">
        <v>45976</v>
      </c>
      <c r="M635" t="s">
        <v>38</v>
      </c>
      <c r="N635" t="s">
        <v>75</v>
      </c>
      <c r="O635">
        <v>0</v>
      </c>
      <c r="P635" t="s">
        <v>56</v>
      </c>
      <c r="Q635" s="2">
        <v>46310</v>
      </c>
      <c r="R635" t="s">
        <v>57</v>
      </c>
    </row>
    <row r="636" spans="1:18" x14ac:dyDescent="0.2">
      <c r="A636" t="s">
        <v>1328</v>
      </c>
      <c r="B636" t="s">
        <v>1329</v>
      </c>
      <c r="C636" t="s">
        <v>96</v>
      </c>
      <c r="D636" t="s">
        <v>97</v>
      </c>
      <c r="E636" t="s">
        <v>60</v>
      </c>
      <c r="F636" t="s">
        <v>34</v>
      </c>
      <c r="G636" t="s">
        <v>35</v>
      </c>
      <c r="H636" t="s">
        <v>36</v>
      </c>
      <c r="I636" t="s">
        <v>56</v>
      </c>
      <c r="J636" t="s">
        <v>37</v>
      </c>
      <c r="K636" s="2">
        <v>46081</v>
      </c>
      <c r="L636" s="2">
        <v>46261</v>
      </c>
      <c r="M636" t="s">
        <v>38</v>
      </c>
      <c r="N636" t="s">
        <v>75</v>
      </c>
      <c r="O636">
        <v>3</v>
      </c>
      <c r="P636" t="s">
        <v>50</v>
      </c>
      <c r="Q636" s="2">
        <v>46260</v>
      </c>
      <c r="R636" t="s">
        <v>38</v>
      </c>
    </row>
    <row r="637" spans="1:18" x14ac:dyDescent="0.2">
      <c r="A637" t="s">
        <v>1330</v>
      </c>
      <c r="B637" t="s">
        <v>1331</v>
      </c>
      <c r="C637" t="s">
        <v>73</v>
      </c>
      <c r="D637" t="s">
        <v>74</v>
      </c>
      <c r="E637" t="s">
        <v>44</v>
      </c>
      <c r="F637" t="s">
        <v>34</v>
      </c>
      <c r="G637" t="s">
        <v>35</v>
      </c>
      <c r="H637" t="s">
        <v>47</v>
      </c>
      <c r="I637" t="s">
        <v>54</v>
      </c>
      <c r="J637" t="s">
        <v>37</v>
      </c>
      <c r="K637" s="2">
        <v>46273</v>
      </c>
      <c r="L637" s="2">
        <v>46363</v>
      </c>
      <c r="M637" t="s">
        <v>69</v>
      </c>
      <c r="N637" t="s">
        <v>75</v>
      </c>
      <c r="O637">
        <v>3</v>
      </c>
      <c r="P637" t="s">
        <v>56</v>
      </c>
      <c r="Q637" s="2">
        <v>46327</v>
      </c>
      <c r="R637" t="s">
        <v>84</v>
      </c>
    </row>
    <row r="638" spans="1:18" x14ac:dyDescent="0.2">
      <c r="A638" t="s">
        <v>1332</v>
      </c>
      <c r="B638" t="s">
        <v>1333</v>
      </c>
      <c r="C638" t="s">
        <v>96</v>
      </c>
      <c r="D638" t="s">
        <v>97</v>
      </c>
      <c r="E638" t="s">
        <v>80</v>
      </c>
      <c r="F638" t="s">
        <v>34</v>
      </c>
      <c r="G638" t="s">
        <v>35</v>
      </c>
      <c r="H638" t="s">
        <v>36</v>
      </c>
      <c r="I638" t="s">
        <v>70</v>
      </c>
      <c r="J638" t="s">
        <v>63</v>
      </c>
      <c r="K638" s="2">
        <v>46078</v>
      </c>
      <c r="L638" s="2">
        <v>46443</v>
      </c>
      <c r="M638" t="s">
        <v>64</v>
      </c>
      <c r="N638" t="s">
        <v>75</v>
      </c>
      <c r="O638">
        <v>2</v>
      </c>
      <c r="P638" t="s">
        <v>106</v>
      </c>
      <c r="Q638" s="2">
        <v>46293</v>
      </c>
      <c r="R638" t="s">
        <v>38</v>
      </c>
    </row>
    <row r="639" spans="1:18" x14ac:dyDescent="0.2">
      <c r="A639" t="s">
        <v>1334</v>
      </c>
      <c r="B639" t="s">
        <v>1335</v>
      </c>
      <c r="C639" t="s">
        <v>73</v>
      </c>
      <c r="D639" t="s">
        <v>74</v>
      </c>
      <c r="E639" t="s">
        <v>91</v>
      </c>
      <c r="F639" t="s">
        <v>34</v>
      </c>
      <c r="G639" t="s">
        <v>35</v>
      </c>
      <c r="H639" t="s">
        <v>88</v>
      </c>
      <c r="I639" t="s">
        <v>62</v>
      </c>
      <c r="J639" t="s">
        <v>63</v>
      </c>
      <c r="K639" s="2">
        <v>45899</v>
      </c>
      <c r="L639" s="2">
        <v>45989</v>
      </c>
      <c r="M639" t="s">
        <v>38</v>
      </c>
      <c r="N639" t="s">
        <v>55</v>
      </c>
      <c r="O639">
        <v>3</v>
      </c>
      <c r="P639" t="s">
        <v>39</v>
      </c>
      <c r="Q639" s="2">
        <v>46132</v>
      </c>
      <c r="R639" t="s">
        <v>38</v>
      </c>
    </row>
    <row r="640" spans="1:18" x14ac:dyDescent="0.2">
      <c r="A640" t="s">
        <v>1336</v>
      </c>
      <c r="B640" t="s">
        <v>1337</v>
      </c>
      <c r="C640" t="s">
        <v>31</v>
      </c>
      <c r="D640" t="s">
        <v>32</v>
      </c>
      <c r="E640" t="s">
        <v>53</v>
      </c>
      <c r="F640" t="s">
        <v>34</v>
      </c>
      <c r="G640" t="s">
        <v>35</v>
      </c>
      <c r="H640" t="s">
        <v>88</v>
      </c>
      <c r="I640" t="s">
        <v>50</v>
      </c>
      <c r="J640" t="s">
        <v>63</v>
      </c>
      <c r="K640" s="2">
        <v>46145</v>
      </c>
      <c r="L640" s="2">
        <v>46235</v>
      </c>
      <c r="M640" t="s">
        <v>38</v>
      </c>
      <c r="N640" t="s">
        <v>49</v>
      </c>
      <c r="O640">
        <v>1</v>
      </c>
      <c r="P640" t="s">
        <v>62</v>
      </c>
      <c r="Q640" s="2">
        <v>46121</v>
      </c>
      <c r="R640" t="s">
        <v>64</v>
      </c>
    </row>
    <row r="641" spans="1:18" x14ac:dyDescent="0.2">
      <c r="A641" t="s">
        <v>1338</v>
      </c>
      <c r="B641" t="s">
        <v>1339</v>
      </c>
      <c r="C641" t="s">
        <v>78</v>
      </c>
      <c r="D641" t="s">
        <v>79</v>
      </c>
      <c r="E641" t="s">
        <v>60</v>
      </c>
      <c r="F641" t="s">
        <v>67</v>
      </c>
      <c r="G641" t="s">
        <v>170</v>
      </c>
      <c r="H641" t="s">
        <v>36</v>
      </c>
      <c r="I641" t="s">
        <v>62</v>
      </c>
      <c r="J641" t="s">
        <v>37</v>
      </c>
      <c r="K641" s="2">
        <v>46191</v>
      </c>
      <c r="L641" s="2">
        <v>46371</v>
      </c>
      <c r="M641" t="s">
        <v>64</v>
      </c>
      <c r="N641" t="s">
        <v>75</v>
      </c>
      <c r="O641">
        <v>4</v>
      </c>
      <c r="P641" t="s">
        <v>62</v>
      </c>
      <c r="Q641" s="2">
        <v>46387</v>
      </c>
      <c r="R641" t="s">
        <v>84</v>
      </c>
    </row>
    <row r="642" spans="1:18" x14ac:dyDescent="0.2">
      <c r="A642" t="s">
        <v>1340</v>
      </c>
      <c r="B642" t="s">
        <v>1341</v>
      </c>
      <c r="C642" t="s">
        <v>31</v>
      </c>
      <c r="D642" t="s">
        <v>87</v>
      </c>
      <c r="E642" t="s">
        <v>105</v>
      </c>
      <c r="F642" t="s">
        <v>34</v>
      </c>
      <c r="G642" t="s">
        <v>35</v>
      </c>
      <c r="H642" t="s">
        <v>88</v>
      </c>
      <c r="I642" t="s">
        <v>106</v>
      </c>
      <c r="J642" t="s">
        <v>37</v>
      </c>
      <c r="K642" s="2">
        <v>45859</v>
      </c>
      <c r="L642" s="2">
        <v>45949</v>
      </c>
      <c r="M642" t="s">
        <v>38</v>
      </c>
      <c r="N642" t="s">
        <v>75</v>
      </c>
      <c r="O642">
        <v>1</v>
      </c>
      <c r="P642" t="s">
        <v>39</v>
      </c>
      <c r="Q642" s="2">
        <v>46318</v>
      </c>
      <c r="R642" t="s">
        <v>84</v>
      </c>
    </row>
    <row r="643" spans="1:18" x14ac:dyDescent="0.2">
      <c r="A643" t="s">
        <v>1342</v>
      </c>
      <c r="B643" t="s">
        <v>1343</v>
      </c>
      <c r="C643" t="s">
        <v>31</v>
      </c>
      <c r="D643" t="s">
        <v>83</v>
      </c>
      <c r="E643" t="s">
        <v>91</v>
      </c>
      <c r="F643" t="s">
        <v>45</v>
      </c>
      <c r="G643" t="s">
        <v>46</v>
      </c>
      <c r="H643" t="s">
        <v>88</v>
      </c>
      <c r="I643" t="s">
        <v>62</v>
      </c>
      <c r="J643" t="s">
        <v>48</v>
      </c>
      <c r="K643" s="2">
        <v>45940</v>
      </c>
      <c r="L643" s="2">
        <v>46120</v>
      </c>
      <c r="M643" t="s">
        <v>38</v>
      </c>
      <c r="N643" t="s">
        <v>49</v>
      </c>
      <c r="O643">
        <v>3</v>
      </c>
      <c r="P643" t="s">
        <v>54</v>
      </c>
      <c r="Q643" s="2">
        <v>46202</v>
      </c>
      <c r="R643" t="s">
        <v>64</v>
      </c>
    </row>
    <row r="644" spans="1:18" x14ac:dyDescent="0.2">
      <c r="A644" t="s">
        <v>1344</v>
      </c>
      <c r="B644" t="s">
        <v>1345</v>
      </c>
      <c r="C644" t="s">
        <v>103</v>
      </c>
      <c r="D644" t="s">
        <v>104</v>
      </c>
      <c r="E644" t="s">
        <v>60</v>
      </c>
      <c r="F644" t="s">
        <v>67</v>
      </c>
      <c r="G644" t="s">
        <v>68</v>
      </c>
      <c r="H644" t="s">
        <v>98</v>
      </c>
      <c r="I644" t="s">
        <v>111</v>
      </c>
      <c r="J644" t="s">
        <v>37</v>
      </c>
      <c r="K644" s="2">
        <v>45985</v>
      </c>
      <c r="L644" s="2">
        <v>46075</v>
      </c>
      <c r="M644" t="s">
        <v>38</v>
      </c>
      <c r="N644" t="s">
        <v>55</v>
      </c>
      <c r="O644">
        <v>1</v>
      </c>
      <c r="P644" t="s">
        <v>111</v>
      </c>
      <c r="Q644" s="2">
        <v>46145</v>
      </c>
      <c r="R644" t="s">
        <v>38</v>
      </c>
    </row>
    <row r="645" spans="1:18" x14ac:dyDescent="0.2">
      <c r="A645" t="s">
        <v>1346</v>
      </c>
      <c r="B645" t="s">
        <v>1347</v>
      </c>
      <c r="C645" t="s">
        <v>96</v>
      </c>
      <c r="D645" t="s">
        <v>97</v>
      </c>
      <c r="E645" t="s">
        <v>91</v>
      </c>
      <c r="F645" t="s">
        <v>34</v>
      </c>
      <c r="G645" t="s">
        <v>35</v>
      </c>
      <c r="H645" t="s">
        <v>47</v>
      </c>
      <c r="I645" t="s">
        <v>56</v>
      </c>
      <c r="J645" t="s">
        <v>63</v>
      </c>
      <c r="K645" s="2">
        <v>46232</v>
      </c>
      <c r="L645" s="2">
        <v>46412</v>
      </c>
      <c r="M645" t="s">
        <v>64</v>
      </c>
      <c r="N645" t="s">
        <v>55</v>
      </c>
      <c r="O645">
        <v>2</v>
      </c>
      <c r="P645" t="s">
        <v>70</v>
      </c>
      <c r="Q645" s="2">
        <v>46130</v>
      </c>
      <c r="R645" t="s">
        <v>38</v>
      </c>
    </row>
    <row r="646" spans="1:18" x14ac:dyDescent="0.2">
      <c r="A646" t="s">
        <v>1348</v>
      </c>
      <c r="B646" t="s">
        <v>1349</v>
      </c>
      <c r="C646" t="s">
        <v>78</v>
      </c>
      <c r="D646" t="s">
        <v>79</v>
      </c>
      <c r="E646" t="s">
        <v>53</v>
      </c>
      <c r="F646" t="s">
        <v>45</v>
      </c>
      <c r="G646" t="s">
        <v>46</v>
      </c>
      <c r="H646" t="s">
        <v>36</v>
      </c>
      <c r="I646" t="s">
        <v>39</v>
      </c>
      <c r="J646" t="s">
        <v>63</v>
      </c>
      <c r="K646" s="2">
        <v>45935</v>
      </c>
      <c r="L646" s="2">
        <v>46300</v>
      </c>
      <c r="M646" t="s">
        <v>84</v>
      </c>
      <c r="N646" t="s">
        <v>55</v>
      </c>
      <c r="O646">
        <v>1</v>
      </c>
      <c r="P646" t="s">
        <v>56</v>
      </c>
      <c r="Q646" s="2">
        <v>46382</v>
      </c>
      <c r="R646" t="s">
        <v>84</v>
      </c>
    </row>
    <row r="647" spans="1:18" x14ac:dyDescent="0.2">
      <c r="A647" t="s">
        <v>1350</v>
      </c>
      <c r="B647" t="s">
        <v>1351</v>
      </c>
      <c r="C647" t="s">
        <v>31</v>
      </c>
      <c r="D647" t="s">
        <v>87</v>
      </c>
      <c r="E647" t="s">
        <v>53</v>
      </c>
      <c r="F647" t="s">
        <v>67</v>
      </c>
      <c r="G647" t="s">
        <v>118</v>
      </c>
      <c r="H647" t="s">
        <v>88</v>
      </c>
      <c r="I647" t="s">
        <v>106</v>
      </c>
      <c r="J647" t="s">
        <v>37</v>
      </c>
      <c r="K647" s="2">
        <v>46086</v>
      </c>
      <c r="L647" s="2">
        <v>46451</v>
      </c>
      <c r="M647" t="s">
        <v>69</v>
      </c>
      <c r="N647" t="s">
        <v>55</v>
      </c>
      <c r="O647">
        <v>2</v>
      </c>
      <c r="P647" t="s">
        <v>70</v>
      </c>
      <c r="Q647" s="2">
        <v>46319</v>
      </c>
      <c r="R647" t="s">
        <v>84</v>
      </c>
    </row>
    <row r="648" spans="1:18" x14ac:dyDescent="0.2">
      <c r="A648" t="s">
        <v>1352</v>
      </c>
      <c r="B648" t="s">
        <v>1353</v>
      </c>
      <c r="C648" t="s">
        <v>96</v>
      </c>
      <c r="D648" t="s">
        <v>97</v>
      </c>
      <c r="E648" t="s">
        <v>91</v>
      </c>
      <c r="F648" t="s">
        <v>45</v>
      </c>
      <c r="G648" t="s">
        <v>61</v>
      </c>
      <c r="H648" t="s">
        <v>88</v>
      </c>
      <c r="I648" t="s">
        <v>50</v>
      </c>
      <c r="J648" t="s">
        <v>37</v>
      </c>
      <c r="K648" s="2">
        <v>46262</v>
      </c>
      <c r="L648" s="2">
        <v>46627</v>
      </c>
      <c r="M648" t="s">
        <v>64</v>
      </c>
      <c r="N648" t="s">
        <v>49</v>
      </c>
      <c r="O648">
        <v>2</v>
      </c>
      <c r="P648" t="s">
        <v>54</v>
      </c>
      <c r="Q648" s="2">
        <v>46242</v>
      </c>
      <c r="R648" t="s">
        <v>38</v>
      </c>
    </row>
    <row r="649" spans="1:18" x14ac:dyDescent="0.2">
      <c r="A649" t="s">
        <v>1354</v>
      </c>
      <c r="B649" t="s">
        <v>1355</v>
      </c>
      <c r="C649" t="s">
        <v>78</v>
      </c>
      <c r="D649" t="s">
        <v>79</v>
      </c>
      <c r="E649" t="s">
        <v>105</v>
      </c>
      <c r="F649" t="s">
        <v>45</v>
      </c>
      <c r="G649" t="s">
        <v>61</v>
      </c>
      <c r="H649" t="s">
        <v>88</v>
      </c>
      <c r="I649" t="s">
        <v>39</v>
      </c>
      <c r="J649" t="s">
        <v>63</v>
      </c>
      <c r="K649" s="2">
        <v>45862</v>
      </c>
      <c r="L649" s="2">
        <v>46227</v>
      </c>
      <c r="M649" t="s">
        <v>38</v>
      </c>
      <c r="N649" t="s">
        <v>75</v>
      </c>
      <c r="O649">
        <v>3</v>
      </c>
      <c r="P649" t="s">
        <v>70</v>
      </c>
      <c r="Q649" s="2">
        <v>46234</v>
      </c>
      <c r="R649" t="s">
        <v>38</v>
      </c>
    </row>
    <row r="650" spans="1:18" x14ac:dyDescent="0.2">
      <c r="A650" t="s">
        <v>1356</v>
      </c>
      <c r="B650" t="s">
        <v>1357</v>
      </c>
      <c r="C650" t="s">
        <v>31</v>
      </c>
      <c r="D650" t="s">
        <v>87</v>
      </c>
      <c r="E650" t="s">
        <v>80</v>
      </c>
      <c r="F650" t="s">
        <v>67</v>
      </c>
      <c r="G650" t="s">
        <v>118</v>
      </c>
      <c r="H650" t="s">
        <v>98</v>
      </c>
      <c r="I650" t="s">
        <v>70</v>
      </c>
      <c r="J650" t="s">
        <v>37</v>
      </c>
      <c r="K650" s="2">
        <v>45900</v>
      </c>
      <c r="L650" s="2">
        <v>46080</v>
      </c>
      <c r="M650" t="s">
        <v>38</v>
      </c>
      <c r="N650" t="s">
        <v>75</v>
      </c>
      <c r="O650">
        <v>4</v>
      </c>
      <c r="P650" t="s">
        <v>70</v>
      </c>
      <c r="Q650" s="2">
        <v>46214</v>
      </c>
      <c r="R650" t="s">
        <v>38</v>
      </c>
    </row>
    <row r="651" spans="1:18" x14ac:dyDescent="0.2">
      <c r="A651" t="s">
        <v>1358</v>
      </c>
      <c r="B651" t="s">
        <v>1359</v>
      </c>
      <c r="C651" t="s">
        <v>31</v>
      </c>
      <c r="D651" t="s">
        <v>32</v>
      </c>
      <c r="E651" t="s">
        <v>44</v>
      </c>
      <c r="F651" t="s">
        <v>67</v>
      </c>
      <c r="G651" t="s">
        <v>118</v>
      </c>
      <c r="H651" t="s">
        <v>36</v>
      </c>
      <c r="I651" t="s">
        <v>70</v>
      </c>
      <c r="J651" t="s">
        <v>37</v>
      </c>
      <c r="K651" s="2">
        <v>46029</v>
      </c>
      <c r="L651" s="2">
        <v>46394</v>
      </c>
      <c r="M651" t="s">
        <v>64</v>
      </c>
      <c r="N651" t="s">
        <v>55</v>
      </c>
      <c r="O651">
        <v>1</v>
      </c>
      <c r="P651" t="s">
        <v>39</v>
      </c>
      <c r="Q651" s="2">
        <v>46202</v>
      </c>
      <c r="R651" t="s">
        <v>38</v>
      </c>
    </row>
    <row r="652" spans="1:18" x14ac:dyDescent="0.2">
      <c r="A652" t="s">
        <v>1360</v>
      </c>
      <c r="B652" t="s">
        <v>1361</v>
      </c>
      <c r="C652" t="s">
        <v>96</v>
      </c>
      <c r="D652" t="s">
        <v>97</v>
      </c>
      <c r="E652" t="s">
        <v>80</v>
      </c>
      <c r="F652" t="s">
        <v>45</v>
      </c>
      <c r="G652" t="s">
        <v>61</v>
      </c>
      <c r="H652" t="s">
        <v>36</v>
      </c>
      <c r="I652" t="s">
        <v>54</v>
      </c>
      <c r="J652" t="s">
        <v>63</v>
      </c>
      <c r="K652" s="2">
        <v>45907</v>
      </c>
      <c r="L652" s="2">
        <v>46087</v>
      </c>
      <c r="M652" t="s">
        <v>38</v>
      </c>
      <c r="N652" t="s">
        <v>49</v>
      </c>
      <c r="O652">
        <v>3</v>
      </c>
      <c r="P652" t="s">
        <v>106</v>
      </c>
      <c r="Q652" s="2">
        <v>46178</v>
      </c>
      <c r="R652" t="s">
        <v>38</v>
      </c>
    </row>
    <row r="653" spans="1:18" x14ac:dyDescent="0.2">
      <c r="A653" t="s">
        <v>1362</v>
      </c>
      <c r="B653" t="s">
        <v>1363</v>
      </c>
      <c r="C653" t="s">
        <v>31</v>
      </c>
      <c r="D653" t="s">
        <v>32</v>
      </c>
      <c r="E653" t="s">
        <v>91</v>
      </c>
      <c r="F653" t="s">
        <v>45</v>
      </c>
      <c r="G653" t="s">
        <v>46</v>
      </c>
      <c r="H653" t="s">
        <v>88</v>
      </c>
      <c r="I653" t="s">
        <v>62</v>
      </c>
      <c r="J653" t="s">
        <v>48</v>
      </c>
      <c r="K653" s="2">
        <v>45941</v>
      </c>
      <c r="L653" s="2">
        <v>46306</v>
      </c>
      <c r="M653" t="s">
        <v>69</v>
      </c>
      <c r="N653" t="s">
        <v>55</v>
      </c>
      <c r="O653">
        <v>1</v>
      </c>
      <c r="P653" t="s">
        <v>106</v>
      </c>
      <c r="Q653" s="2">
        <v>46247</v>
      </c>
      <c r="R653" t="s">
        <v>64</v>
      </c>
    </row>
    <row r="654" spans="1:18" x14ac:dyDescent="0.2">
      <c r="A654" t="s">
        <v>1364</v>
      </c>
      <c r="B654" t="s">
        <v>1365</v>
      </c>
      <c r="C654" t="s">
        <v>103</v>
      </c>
      <c r="D654" t="s">
        <v>104</v>
      </c>
      <c r="E654" t="s">
        <v>91</v>
      </c>
      <c r="F654" t="s">
        <v>34</v>
      </c>
      <c r="G654" t="s">
        <v>35</v>
      </c>
      <c r="H654" t="s">
        <v>98</v>
      </c>
      <c r="I654" t="s">
        <v>106</v>
      </c>
      <c r="J654" t="s">
        <v>37</v>
      </c>
      <c r="K654" s="2">
        <v>46210</v>
      </c>
      <c r="L654" s="2">
        <v>46390</v>
      </c>
      <c r="M654" t="s">
        <v>84</v>
      </c>
      <c r="N654" t="s">
        <v>75</v>
      </c>
      <c r="O654">
        <v>0</v>
      </c>
      <c r="P654" t="s">
        <v>62</v>
      </c>
      <c r="Q654" s="2">
        <v>46389</v>
      </c>
      <c r="R654" t="s">
        <v>57</v>
      </c>
    </row>
    <row r="655" spans="1:18" x14ac:dyDescent="0.2">
      <c r="A655" t="s">
        <v>1366</v>
      </c>
      <c r="B655" t="s">
        <v>1367</v>
      </c>
      <c r="C655" t="s">
        <v>96</v>
      </c>
      <c r="D655" t="s">
        <v>97</v>
      </c>
      <c r="E655" t="s">
        <v>91</v>
      </c>
      <c r="F655" t="s">
        <v>67</v>
      </c>
      <c r="G655" t="s">
        <v>118</v>
      </c>
      <c r="H655" t="s">
        <v>98</v>
      </c>
      <c r="I655" t="s">
        <v>50</v>
      </c>
      <c r="J655" t="s">
        <v>48</v>
      </c>
      <c r="K655" s="2">
        <v>46009</v>
      </c>
      <c r="L655" s="2">
        <v>46374</v>
      </c>
      <c r="M655" t="s">
        <v>84</v>
      </c>
      <c r="N655" t="s">
        <v>55</v>
      </c>
      <c r="O655">
        <v>3</v>
      </c>
      <c r="P655" t="s">
        <v>56</v>
      </c>
      <c r="Q655" s="2">
        <v>46119</v>
      </c>
      <c r="R655" t="s">
        <v>38</v>
      </c>
    </row>
    <row r="656" spans="1:18" x14ac:dyDescent="0.2">
      <c r="A656" t="s">
        <v>1368</v>
      </c>
      <c r="B656" t="s">
        <v>1369</v>
      </c>
      <c r="C656" t="s">
        <v>31</v>
      </c>
      <c r="D656" t="s">
        <v>32</v>
      </c>
      <c r="E656" t="s">
        <v>91</v>
      </c>
      <c r="F656" t="s">
        <v>45</v>
      </c>
      <c r="G656" t="s">
        <v>61</v>
      </c>
      <c r="H656" t="s">
        <v>88</v>
      </c>
      <c r="I656" t="s">
        <v>56</v>
      </c>
      <c r="J656" t="s">
        <v>63</v>
      </c>
      <c r="K656" s="2">
        <v>46201</v>
      </c>
      <c r="L656" s="2">
        <v>46566</v>
      </c>
      <c r="M656" t="s">
        <v>84</v>
      </c>
      <c r="N656" t="s">
        <v>49</v>
      </c>
      <c r="O656">
        <v>2</v>
      </c>
      <c r="P656" t="s">
        <v>111</v>
      </c>
      <c r="Q656" s="2">
        <v>46273</v>
      </c>
      <c r="R656" t="s">
        <v>38</v>
      </c>
    </row>
    <row r="657" spans="1:18" x14ac:dyDescent="0.2">
      <c r="A657" t="s">
        <v>1370</v>
      </c>
      <c r="B657" t="s">
        <v>1371</v>
      </c>
      <c r="C657" t="s">
        <v>31</v>
      </c>
      <c r="D657" t="s">
        <v>87</v>
      </c>
      <c r="E657" t="s">
        <v>80</v>
      </c>
      <c r="F657" t="s">
        <v>34</v>
      </c>
      <c r="G657" t="s">
        <v>35</v>
      </c>
      <c r="H657" t="s">
        <v>47</v>
      </c>
      <c r="I657" t="s">
        <v>62</v>
      </c>
      <c r="J657" t="s">
        <v>48</v>
      </c>
      <c r="K657" s="2">
        <v>46245</v>
      </c>
      <c r="L657" s="2">
        <v>46425</v>
      </c>
      <c r="M657" t="s">
        <v>64</v>
      </c>
      <c r="N657" t="s">
        <v>49</v>
      </c>
      <c r="O657">
        <v>1</v>
      </c>
      <c r="P657" t="s">
        <v>111</v>
      </c>
      <c r="Q657" s="2">
        <v>46230</v>
      </c>
      <c r="R657" t="s">
        <v>38</v>
      </c>
    </row>
    <row r="658" spans="1:18" x14ac:dyDescent="0.2">
      <c r="A658" t="s">
        <v>1372</v>
      </c>
      <c r="B658" t="s">
        <v>1373</v>
      </c>
      <c r="C658" t="s">
        <v>78</v>
      </c>
      <c r="D658" t="s">
        <v>79</v>
      </c>
      <c r="E658" t="s">
        <v>53</v>
      </c>
      <c r="F658" t="s">
        <v>34</v>
      </c>
      <c r="G658" t="s">
        <v>35</v>
      </c>
      <c r="H658" t="s">
        <v>98</v>
      </c>
      <c r="I658" t="s">
        <v>50</v>
      </c>
      <c r="J658" t="s">
        <v>48</v>
      </c>
      <c r="K658" s="2">
        <v>46264</v>
      </c>
      <c r="L658" s="2">
        <v>46629</v>
      </c>
      <c r="M658" t="s">
        <v>64</v>
      </c>
      <c r="N658" t="s">
        <v>75</v>
      </c>
      <c r="O658">
        <v>5</v>
      </c>
      <c r="P658" t="s">
        <v>56</v>
      </c>
      <c r="Q658" s="2">
        <v>46357</v>
      </c>
      <c r="R658" t="s">
        <v>84</v>
      </c>
    </row>
    <row r="659" spans="1:18" x14ac:dyDescent="0.2">
      <c r="A659" t="s">
        <v>1374</v>
      </c>
      <c r="B659" t="s">
        <v>1375</v>
      </c>
      <c r="C659" t="s">
        <v>96</v>
      </c>
      <c r="D659" t="s">
        <v>97</v>
      </c>
      <c r="E659" t="s">
        <v>91</v>
      </c>
      <c r="F659" t="s">
        <v>67</v>
      </c>
      <c r="G659" t="s">
        <v>68</v>
      </c>
      <c r="H659" t="s">
        <v>36</v>
      </c>
      <c r="I659" t="s">
        <v>62</v>
      </c>
      <c r="J659" t="s">
        <v>48</v>
      </c>
      <c r="K659" s="2">
        <v>46226</v>
      </c>
      <c r="L659" s="2">
        <v>46316</v>
      </c>
      <c r="M659" t="s">
        <v>64</v>
      </c>
      <c r="N659" t="s">
        <v>49</v>
      </c>
      <c r="O659">
        <v>0</v>
      </c>
      <c r="P659" t="s">
        <v>50</v>
      </c>
      <c r="Q659" s="2">
        <v>46270</v>
      </c>
      <c r="R659" t="s">
        <v>57</v>
      </c>
    </row>
    <row r="660" spans="1:18" x14ac:dyDescent="0.2">
      <c r="A660" t="s">
        <v>1376</v>
      </c>
      <c r="B660" t="s">
        <v>1377</v>
      </c>
      <c r="C660" t="s">
        <v>31</v>
      </c>
      <c r="D660" t="s">
        <v>32</v>
      </c>
      <c r="E660" t="s">
        <v>53</v>
      </c>
      <c r="F660" t="s">
        <v>67</v>
      </c>
      <c r="G660" t="s">
        <v>118</v>
      </c>
      <c r="H660" t="s">
        <v>36</v>
      </c>
      <c r="I660" t="s">
        <v>54</v>
      </c>
      <c r="J660" t="s">
        <v>48</v>
      </c>
      <c r="K660" s="2">
        <v>46164</v>
      </c>
      <c r="L660" s="2">
        <v>46529</v>
      </c>
      <c r="M660" t="s">
        <v>64</v>
      </c>
      <c r="N660" t="s">
        <v>49</v>
      </c>
      <c r="O660">
        <v>0</v>
      </c>
      <c r="P660" t="s">
        <v>62</v>
      </c>
      <c r="Q660" s="2">
        <v>46300</v>
      </c>
      <c r="R660" t="s">
        <v>57</v>
      </c>
    </row>
    <row r="661" spans="1:18" x14ac:dyDescent="0.2">
      <c r="A661" t="s">
        <v>1378</v>
      </c>
      <c r="B661" t="s">
        <v>1379</v>
      </c>
      <c r="C661" t="s">
        <v>78</v>
      </c>
      <c r="D661" t="s">
        <v>79</v>
      </c>
      <c r="E661" t="s">
        <v>105</v>
      </c>
      <c r="F661" t="s">
        <v>67</v>
      </c>
      <c r="G661" t="s">
        <v>68</v>
      </c>
      <c r="H661" t="s">
        <v>47</v>
      </c>
      <c r="I661" t="s">
        <v>111</v>
      </c>
      <c r="J661" t="s">
        <v>48</v>
      </c>
      <c r="K661" s="2">
        <v>46184</v>
      </c>
      <c r="L661" s="2">
        <v>46274</v>
      </c>
      <c r="M661" t="s">
        <v>38</v>
      </c>
      <c r="N661" t="s">
        <v>55</v>
      </c>
      <c r="O661">
        <v>2</v>
      </c>
      <c r="P661" t="s">
        <v>70</v>
      </c>
      <c r="Q661" s="2">
        <v>46337</v>
      </c>
      <c r="R661" t="s">
        <v>84</v>
      </c>
    </row>
    <row r="662" spans="1:18" x14ac:dyDescent="0.2">
      <c r="A662" t="s">
        <v>1380</v>
      </c>
      <c r="B662" t="s">
        <v>1381</v>
      </c>
      <c r="C662" t="s">
        <v>78</v>
      </c>
      <c r="D662" t="s">
        <v>79</v>
      </c>
      <c r="E662" t="s">
        <v>357</v>
      </c>
      <c r="F662" t="s">
        <v>45</v>
      </c>
      <c r="G662" t="s">
        <v>61</v>
      </c>
      <c r="H662" t="s">
        <v>88</v>
      </c>
      <c r="I662" t="s">
        <v>50</v>
      </c>
      <c r="J662" t="s">
        <v>63</v>
      </c>
      <c r="K662" s="2">
        <v>45941</v>
      </c>
      <c r="L662" s="2">
        <v>46306</v>
      </c>
      <c r="M662" t="s">
        <v>64</v>
      </c>
      <c r="N662" t="s">
        <v>49</v>
      </c>
      <c r="O662">
        <v>0</v>
      </c>
      <c r="P662" t="s">
        <v>111</v>
      </c>
      <c r="Q662" s="2">
        <v>46352</v>
      </c>
      <c r="R662" t="s">
        <v>57</v>
      </c>
    </row>
    <row r="663" spans="1:18" x14ac:dyDescent="0.2">
      <c r="A663" t="s">
        <v>1382</v>
      </c>
      <c r="B663" t="s">
        <v>1383</v>
      </c>
      <c r="C663" t="s">
        <v>31</v>
      </c>
      <c r="D663" t="s">
        <v>32</v>
      </c>
      <c r="E663" t="s">
        <v>105</v>
      </c>
      <c r="F663" t="s">
        <v>67</v>
      </c>
      <c r="G663" t="s">
        <v>68</v>
      </c>
      <c r="H663" t="s">
        <v>47</v>
      </c>
      <c r="J663" t="s">
        <v>63</v>
      </c>
      <c r="K663" s="2">
        <v>46213</v>
      </c>
      <c r="L663" s="2">
        <v>46393</v>
      </c>
      <c r="M663" t="s">
        <v>84</v>
      </c>
      <c r="N663" t="s">
        <v>55</v>
      </c>
      <c r="O663">
        <v>3</v>
      </c>
      <c r="P663" t="s">
        <v>50</v>
      </c>
      <c r="Q663" s="2">
        <v>46255</v>
      </c>
      <c r="R663" t="s">
        <v>38</v>
      </c>
    </row>
    <row r="664" spans="1:18" x14ac:dyDescent="0.2">
      <c r="A664" t="s">
        <v>1384</v>
      </c>
      <c r="B664" t="s">
        <v>1385</v>
      </c>
      <c r="C664" t="s">
        <v>31</v>
      </c>
      <c r="D664" t="s">
        <v>83</v>
      </c>
      <c r="E664" t="s">
        <v>91</v>
      </c>
      <c r="F664" t="s">
        <v>67</v>
      </c>
      <c r="G664" t="s">
        <v>118</v>
      </c>
      <c r="H664" t="s">
        <v>36</v>
      </c>
      <c r="I664" t="s">
        <v>56</v>
      </c>
      <c r="J664" t="s">
        <v>63</v>
      </c>
      <c r="K664" s="2">
        <v>45983</v>
      </c>
      <c r="L664" s="2">
        <v>46073</v>
      </c>
      <c r="M664" t="s">
        <v>38</v>
      </c>
      <c r="N664" t="s">
        <v>55</v>
      </c>
      <c r="O664">
        <v>2</v>
      </c>
      <c r="P664" t="s">
        <v>39</v>
      </c>
      <c r="Q664" s="2">
        <v>46147</v>
      </c>
      <c r="R664" t="s">
        <v>38</v>
      </c>
    </row>
    <row r="665" spans="1:18" x14ac:dyDescent="0.2">
      <c r="A665" t="s">
        <v>1386</v>
      </c>
      <c r="B665" t="s">
        <v>1387</v>
      </c>
      <c r="C665" t="s">
        <v>31</v>
      </c>
      <c r="D665" t="s">
        <v>83</v>
      </c>
      <c r="E665" t="s">
        <v>105</v>
      </c>
      <c r="F665" t="s">
        <v>67</v>
      </c>
      <c r="G665" t="s">
        <v>118</v>
      </c>
      <c r="H665" t="s">
        <v>88</v>
      </c>
      <c r="I665" t="s">
        <v>70</v>
      </c>
      <c r="J665" t="s">
        <v>63</v>
      </c>
      <c r="K665" s="2">
        <v>45890</v>
      </c>
      <c r="L665" s="2">
        <v>45980</v>
      </c>
      <c r="M665" t="s">
        <v>38</v>
      </c>
      <c r="N665" t="s">
        <v>49</v>
      </c>
      <c r="O665">
        <v>0</v>
      </c>
      <c r="P665" t="s">
        <v>111</v>
      </c>
      <c r="Q665" s="2">
        <v>46207</v>
      </c>
      <c r="R665" t="s">
        <v>57</v>
      </c>
    </row>
    <row r="666" spans="1:18" x14ac:dyDescent="0.2">
      <c r="A666" t="s">
        <v>1388</v>
      </c>
      <c r="B666" t="s">
        <v>1389</v>
      </c>
      <c r="C666" t="s">
        <v>31</v>
      </c>
      <c r="D666" t="s">
        <v>32</v>
      </c>
      <c r="E666" t="s">
        <v>105</v>
      </c>
      <c r="F666" t="s">
        <v>67</v>
      </c>
      <c r="G666" t="s">
        <v>68</v>
      </c>
      <c r="H666" t="s">
        <v>47</v>
      </c>
      <c r="I666" t="s">
        <v>54</v>
      </c>
      <c r="J666" t="s">
        <v>37</v>
      </c>
      <c r="K666" s="2">
        <v>45941</v>
      </c>
      <c r="L666" s="2">
        <v>46031</v>
      </c>
      <c r="M666" t="s">
        <v>38</v>
      </c>
      <c r="N666" t="s">
        <v>55</v>
      </c>
      <c r="O666">
        <v>2</v>
      </c>
      <c r="P666" t="s">
        <v>106</v>
      </c>
      <c r="Q666" s="2">
        <v>46132</v>
      </c>
      <c r="R666" t="s">
        <v>64</v>
      </c>
    </row>
    <row r="667" spans="1:18" x14ac:dyDescent="0.2">
      <c r="A667" t="s">
        <v>1390</v>
      </c>
      <c r="B667" t="s">
        <v>1391</v>
      </c>
      <c r="C667" t="s">
        <v>96</v>
      </c>
      <c r="D667" t="s">
        <v>97</v>
      </c>
      <c r="E667" t="s">
        <v>80</v>
      </c>
      <c r="F667" t="s">
        <v>34</v>
      </c>
      <c r="G667" t="s">
        <v>35</v>
      </c>
      <c r="H667" t="s">
        <v>98</v>
      </c>
      <c r="I667" t="s">
        <v>39</v>
      </c>
      <c r="J667" t="s">
        <v>37</v>
      </c>
      <c r="K667" s="2">
        <v>46148</v>
      </c>
      <c r="L667" s="2">
        <v>46328</v>
      </c>
      <c r="M667" t="s">
        <v>64</v>
      </c>
      <c r="N667" t="s">
        <v>49</v>
      </c>
      <c r="O667">
        <v>2</v>
      </c>
      <c r="P667" t="s">
        <v>106</v>
      </c>
      <c r="Q667" s="2">
        <v>46388</v>
      </c>
      <c r="R667" t="s">
        <v>84</v>
      </c>
    </row>
    <row r="668" spans="1:18" x14ac:dyDescent="0.2">
      <c r="A668" t="s">
        <v>1392</v>
      </c>
      <c r="B668" t="s">
        <v>1393</v>
      </c>
      <c r="C668" t="s">
        <v>103</v>
      </c>
      <c r="D668" t="s">
        <v>104</v>
      </c>
      <c r="E668" t="s">
        <v>91</v>
      </c>
      <c r="F668" t="s">
        <v>34</v>
      </c>
      <c r="G668" t="s">
        <v>35</v>
      </c>
      <c r="H668" t="s">
        <v>47</v>
      </c>
      <c r="I668" t="s">
        <v>39</v>
      </c>
      <c r="J668" t="s">
        <v>63</v>
      </c>
      <c r="K668" s="2">
        <v>46154</v>
      </c>
      <c r="L668" s="2">
        <v>46244</v>
      </c>
      <c r="M668" t="s">
        <v>38</v>
      </c>
      <c r="N668" t="s">
        <v>55</v>
      </c>
      <c r="O668">
        <v>1</v>
      </c>
      <c r="P668" t="s">
        <v>54</v>
      </c>
      <c r="Q668" s="2">
        <v>46268</v>
      </c>
      <c r="R668" t="s">
        <v>38</v>
      </c>
    </row>
    <row r="669" spans="1:18" x14ac:dyDescent="0.2">
      <c r="A669" t="s">
        <v>1394</v>
      </c>
      <c r="B669" t="s">
        <v>1395</v>
      </c>
      <c r="C669" t="s">
        <v>31</v>
      </c>
      <c r="D669" t="s">
        <v>32</v>
      </c>
      <c r="E669" t="s">
        <v>53</v>
      </c>
      <c r="F669" t="s">
        <v>34</v>
      </c>
      <c r="G669" t="s">
        <v>35</v>
      </c>
      <c r="H669" t="s">
        <v>47</v>
      </c>
      <c r="I669" t="s">
        <v>62</v>
      </c>
      <c r="J669" t="s">
        <v>63</v>
      </c>
      <c r="K669" s="2">
        <v>46237</v>
      </c>
      <c r="L669" s="2">
        <v>46602</v>
      </c>
      <c r="M669" t="s">
        <v>64</v>
      </c>
      <c r="O669">
        <v>3</v>
      </c>
      <c r="P669" t="s">
        <v>62</v>
      </c>
      <c r="Q669" s="2">
        <v>46198</v>
      </c>
      <c r="R669" t="s">
        <v>38</v>
      </c>
    </row>
    <row r="670" spans="1:18" x14ac:dyDescent="0.2">
      <c r="A670" t="s">
        <v>1396</v>
      </c>
      <c r="B670" t="s">
        <v>1397</v>
      </c>
      <c r="C670" t="s">
        <v>73</v>
      </c>
      <c r="D670" t="s">
        <v>74</v>
      </c>
      <c r="E670" t="s">
        <v>60</v>
      </c>
      <c r="F670" t="s">
        <v>34</v>
      </c>
      <c r="G670" t="s">
        <v>35</v>
      </c>
      <c r="H670" t="s">
        <v>47</v>
      </c>
      <c r="I670" t="s">
        <v>56</v>
      </c>
      <c r="J670" t="s">
        <v>37</v>
      </c>
      <c r="K670" s="2">
        <v>45951</v>
      </c>
      <c r="L670" s="2">
        <v>46316</v>
      </c>
      <c r="M670" t="s">
        <v>69</v>
      </c>
      <c r="N670" t="s">
        <v>49</v>
      </c>
      <c r="O670">
        <v>1</v>
      </c>
      <c r="P670" t="s">
        <v>62</v>
      </c>
      <c r="Q670" s="2">
        <v>46329</v>
      </c>
      <c r="R670" t="s">
        <v>84</v>
      </c>
    </row>
    <row r="671" spans="1:18" x14ac:dyDescent="0.2">
      <c r="A671" t="s">
        <v>1398</v>
      </c>
      <c r="B671" t="s">
        <v>1399</v>
      </c>
      <c r="C671" t="s">
        <v>31</v>
      </c>
      <c r="D671" t="s">
        <v>32</v>
      </c>
      <c r="E671" t="s">
        <v>105</v>
      </c>
      <c r="F671" t="s">
        <v>45</v>
      </c>
      <c r="G671" t="s">
        <v>46</v>
      </c>
      <c r="H671" t="s">
        <v>47</v>
      </c>
      <c r="I671" t="s">
        <v>70</v>
      </c>
      <c r="J671" t="s">
        <v>37</v>
      </c>
      <c r="K671" s="2">
        <v>45925</v>
      </c>
      <c r="L671" s="2">
        <v>46290</v>
      </c>
      <c r="M671" t="s">
        <v>38</v>
      </c>
      <c r="N671" t="s">
        <v>75</v>
      </c>
      <c r="O671">
        <v>0</v>
      </c>
      <c r="P671" t="s">
        <v>56</v>
      </c>
      <c r="Q671" s="2">
        <v>46283</v>
      </c>
      <c r="R671" t="s">
        <v>57</v>
      </c>
    </row>
    <row r="672" spans="1:18" x14ac:dyDescent="0.2">
      <c r="A672" t="s">
        <v>1400</v>
      </c>
      <c r="B672" t="s">
        <v>1401</v>
      </c>
      <c r="C672" t="s">
        <v>73</v>
      </c>
      <c r="D672" t="s">
        <v>74</v>
      </c>
      <c r="E672" t="s">
        <v>53</v>
      </c>
      <c r="F672" t="s">
        <v>45</v>
      </c>
      <c r="G672" t="s">
        <v>46</v>
      </c>
      <c r="H672" t="s">
        <v>47</v>
      </c>
      <c r="I672" t="s">
        <v>62</v>
      </c>
      <c r="J672" t="s">
        <v>63</v>
      </c>
      <c r="K672" s="2">
        <v>46162</v>
      </c>
      <c r="L672" s="2">
        <v>46342</v>
      </c>
      <c r="M672" t="s">
        <v>84</v>
      </c>
      <c r="N672" t="s">
        <v>55</v>
      </c>
      <c r="O672">
        <v>2</v>
      </c>
      <c r="P672" t="s">
        <v>56</v>
      </c>
      <c r="Q672" s="2">
        <v>46365</v>
      </c>
      <c r="R672" t="s">
        <v>64</v>
      </c>
    </row>
    <row r="673" spans="1:18" x14ac:dyDescent="0.2">
      <c r="A673" t="s">
        <v>1402</v>
      </c>
      <c r="B673" t="s">
        <v>1403</v>
      </c>
      <c r="C673" t="s">
        <v>78</v>
      </c>
      <c r="D673" t="s">
        <v>79</v>
      </c>
      <c r="E673" t="s">
        <v>60</v>
      </c>
      <c r="F673" t="s">
        <v>34</v>
      </c>
      <c r="G673" t="s">
        <v>35</v>
      </c>
      <c r="H673" t="s">
        <v>47</v>
      </c>
      <c r="I673" t="s">
        <v>39</v>
      </c>
      <c r="J673" t="s">
        <v>63</v>
      </c>
      <c r="K673" s="2">
        <v>46188</v>
      </c>
      <c r="L673" s="2">
        <v>46368</v>
      </c>
      <c r="M673" t="s">
        <v>69</v>
      </c>
      <c r="N673" t="s">
        <v>55</v>
      </c>
      <c r="O673">
        <v>2</v>
      </c>
      <c r="P673" t="s">
        <v>50</v>
      </c>
      <c r="Q673" s="2">
        <v>46387</v>
      </c>
      <c r="R673" t="s">
        <v>84</v>
      </c>
    </row>
    <row r="674" spans="1:18" x14ac:dyDescent="0.2">
      <c r="A674" t="s">
        <v>1404</v>
      </c>
      <c r="B674" t="s">
        <v>1405</v>
      </c>
      <c r="C674" t="s">
        <v>31</v>
      </c>
      <c r="D674" t="s">
        <v>87</v>
      </c>
      <c r="E674" t="s">
        <v>91</v>
      </c>
      <c r="F674" t="s">
        <v>67</v>
      </c>
      <c r="G674" t="s">
        <v>68</v>
      </c>
      <c r="H674" t="s">
        <v>88</v>
      </c>
      <c r="I674" t="s">
        <v>50</v>
      </c>
      <c r="J674" t="s">
        <v>63</v>
      </c>
      <c r="K674" s="2">
        <v>45939</v>
      </c>
      <c r="L674" s="2">
        <v>46029</v>
      </c>
      <c r="M674" t="s">
        <v>38</v>
      </c>
      <c r="N674" t="s">
        <v>55</v>
      </c>
      <c r="O674">
        <v>3</v>
      </c>
      <c r="P674" t="s">
        <v>106</v>
      </c>
      <c r="Q674" s="2">
        <v>46405</v>
      </c>
      <c r="R674" t="s">
        <v>84</v>
      </c>
    </row>
    <row r="675" spans="1:18" x14ac:dyDescent="0.2">
      <c r="A675" t="s">
        <v>1406</v>
      </c>
      <c r="B675" t="s">
        <v>1407</v>
      </c>
      <c r="C675" t="s">
        <v>103</v>
      </c>
      <c r="D675" t="s">
        <v>104</v>
      </c>
      <c r="E675" t="s">
        <v>91</v>
      </c>
      <c r="F675" t="s">
        <v>34</v>
      </c>
      <c r="G675" t="s">
        <v>35</v>
      </c>
      <c r="H675" t="s">
        <v>88</v>
      </c>
      <c r="I675" t="s">
        <v>111</v>
      </c>
      <c r="J675" t="s">
        <v>63</v>
      </c>
      <c r="K675" s="2">
        <v>46182</v>
      </c>
      <c r="L675" s="2">
        <v>46362</v>
      </c>
      <c r="M675" t="s">
        <v>69</v>
      </c>
      <c r="N675" t="s">
        <v>49</v>
      </c>
      <c r="O675">
        <v>2</v>
      </c>
      <c r="P675" t="s">
        <v>70</v>
      </c>
      <c r="Q675" s="2">
        <v>46256</v>
      </c>
      <c r="R675" t="s">
        <v>38</v>
      </c>
    </row>
    <row r="676" spans="1:18" x14ac:dyDescent="0.2">
      <c r="A676" t="s">
        <v>1408</v>
      </c>
      <c r="B676" t="s">
        <v>1409</v>
      </c>
      <c r="C676" t="s">
        <v>42</v>
      </c>
      <c r="D676" t="s">
        <v>43</v>
      </c>
      <c r="E676" t="s">
        <v>53</v>
      </c>
      <c r="F676" t="s">
        <v>67</v>
      </c>
      <c r="G676" t="s">
        <v>118</v>
      </c>
      <c r="H676" t="s">
        <v>36</v>
      </c>
      <c r="I676" t="s">
        <v>70</v>
      </c>
      <c r="J676" t="s">
        <v>37</v>
      </c>
      <c r="K676" s="2">
        <v>46236</v>
      </c>
      <c r="L676" s="2">
        <v>46601</v>
      </c>
      <c r="M676" t="s">
        <v>64</v>
      </c>
      <c r="N676" t="s">
        <v>55</v>
      </c>
      <c r="O676">
        <v>1</v>
      </c>
      <c r="P676" t="s">
        <v>39</v>
      </c>
      <c r="Q676" s="2">
        <v>46409</v>
      </c>
      <c r="R676" t="s">
        <v>64</v>
      </c>
    </row>
    <row r="677" spans="1:18" x14ac:dyDescent="0.2">
      <c r="A677" t="s">
        <v>1410</v>
      </c>
      <c r="B677" t="s">
        <v>1411</v>
      </c>
      <c r="C677" t="s">
        <v>73</v>
      </c>
      <c r="D677" t="s">
        <v>74</v>
      </c>
      <c r="E677" t="s">
        <v>80</v>
      </c>
      <c r="F677" t="s">
        <v>67</v>
      </c>
      <c r="G677" t="s">
        <v>68</v>
      </c>
      <c r="H677" t="s">
        <v>88</v>
      </c>
      <c r="I677" t="s">
        <v>70</v>
      </c>
      <c r="J677" t="s">
        <v>63</v>
      </c>
      <c r="K677" s="2">
        <v>46068</v>
      </c>
      <c r="L677" s="2">
        <v>46158</v>
      </c>
      <c r="M677" t="s">
        <v>38</v>
      </c>
      <c r="N677" t="s">
        <v>49</v>
      </c>
      <c r="O677">
        <v>1</v>
      </c>
      <c r="P677" t="s">
        <v>39</v>
      </c>
      <c r="Q677" s="2">
        <v>46118</v>
      </c>
      <c r="R677" t="s">
        <v>38</v>
      </c>
    </row>
    <row r="678" spans="1:18" x14ac:dyDescent="0.2">
      <c r="A678" t="s">
        <v>1412</v>
      </c>
      <c r="B678" t="s">
        <v>1413</v>
      </c>
      <c r="C678" t="s">
        <v>31</v>
      </c>
      <c r="D678" t="s">
        <v>87</v>
      </c>
      <c r="E678" t="s">
        <v>44</v>
      </c>
      <c r="F678" t="s">
        <v>34</v>
      </c>
      <c r="G678" t="s">
        <v>35</v>
      </c>
      <c r="H678" t="s">
        <v>88</v>
      </c>
      <c r="I678" t="s">
        <v>54</v>
      </c>
      <c r="J678" t="s">
        <v>37</v>
      </c>
      <c r="K678" s="2">
        <v>46186</v>
      </c>
      <c r="L678" s="2">
        <v>46276</v>
      </c>
      <c r="M678" t="s">
        <v>38</v>
      </c>
      <c r="N678" t="s">
        <v>75</v>
      </c>
      <c r="O678">
        <v>1</v>
      </c>
      <c r="P678" t="s">
        <v>62</v>
      </c>
      <c r="Q678" s="2">
        <v>46378</v>
      </c>
      <c r="R678" t="s">
        <v>84</v>
      </c>
    </row>
    <row r="679" spans="1:18" x14ac:dyDescent="0.2">
      <c r="A679" t="s">
        <v>1414</v>
      </c>
      <c r="B679" t="s">
        <v>1415</v>
      </c>
      <c r="C679" t="s">
        <v>42</v>
      </c>
      <c r="D679" t="s">
        <v>43</v>
      </c>
      <c r="E679" t="s">
        <v>105</v>
      </c>
      <c r="F679" t="s">
        <v>45</v>
      </c>
      <c r="G679" t="s">
        <v>61</v>
      </c>
      <c r="H679" t="s">
        <v>88</v>
      </c>
      <c r="I679" t="s">
        <v>54</v>
      </c>
      <c r="J679" t="s">
        <v>48</v>
      </c>
      <c r="K679" s="2">
        <v>45850</v>
      </c>
      <c r="L679" s="2">
        <v>46215</v>
      </c>
      <c r="M679" t="s">
        <v>38</v>
      </c>
      <c r="N679" t="s">
        <v>55</v>
      </c>
      <c r="O679">
        <v>2</v>
      </c>
      <c r="P679" t="s">
        <v>62</v>
      </c>
      <c r="Q679" s="2">
        <v>46268</v>
      </c>
      <c r="R679" t="s">
        <v>38</v>
      </c>
    </row>
    <row r="680" spans="1:18" x14ac:dyDescent="0.2">
      <c r="A680" t="s">
        <v>1416</v>
      </c>
      <c r="B680" t="s">
        <v>1417</v>
      </c>
      <c r="C680" t="s">
        <v>96</v>
      </c>
      <c r="D680" t="s">
        <v>97</v>
      </c>
      <c r="E680" t="s">
        <v>91</v>
      </c>
      <c r="F680" t="s">
        <v>45</v>
      </c>
      <c r="G680" t="s">
        <v>61</v>
      </c>
      <c r="H680" t="s">
        <v>88</v>
      </c>
      <c r="I680" t="s">
        <v>39</v>
      </c>
      <c r="J680" t="s">
        <v>37</v>
      </c>
      <c r="K680" s="2">
        <v>45797</v>
      </c>
      <c r="L680" s="2">
        <v>45977</v>
      </c>
      <c r="M680" t="s">
        <v>38</v>
      </c>
      <c r="N680" t="s">
        <v>49</v>
      </c>
      <c r="O680">
        <v>3</v>
      </c>
      <c r="P680" t="s">
        <v>106</v>
      </c>
      <c r="Q680" s="2">
        <v>46144</v>
      </c>
      <c r="R680" t="s">
        <v>38</v>
      </c>
    </row>
    <row r="681" spans="1:18" x14ac:dyDescent="0.2">
      <c r="A681" t="s">
        <v>1418</v>
      </c>
      <c r="B681" t="s">
        <v>1419</v>
      </c>
      <c r="C681" t="s">
        <v>96</v>
      </c>
      <c r="D681" t="s">
        <v>97</v>
      </c>
      <c r="E681" t="s">
        <v>53</v>
      </c>
      <c r="F681" t="s">
        <v>45</v>
      </c>
      <c r="G681" t="s">
        <v>46</v>
      </c>
      <c r="H681" t="s">
        <v>36</v>
      </c>
      <c r="I681" t="s">
        <v>50</v>
      </c>
      <c r="J681" t="s">
        <v>48</v>
      </c>
      <c r="K681" s="2">
        <v>46070</v>
      </c>
      <c r="L681" s="2">
        <v>46250</v>
      </c>
      <c r="M681" t="s">
        <v>38</v>
      </c>
      <c r="N681" t="s">
        <v>55</v>
      </c>
      <c r="O681">
        <v>0</v>
      </c>
      <c r="P681" t="s">
        <v>50</v>
      </c>
      <c r="Q681" s="2">
        <v>46335</v>
      </c>
      <c r="R681" t="s">
        <v>57</v>
      </c>
    </row>
    <row r="682" spans="1:18" x14ac:dyDescent="0.2">
      <c r="A682" t="s">
        <v>1420</v>
      </c>
      <c r="B682" t="s">
        <v>1421</v>
      </c>
      <c r="C682" t="s">
        <v>42</v>
      </c>
      <c r="D682" t="s">
        <v>43</v>
      </c>
      <c r="E682" t="s">
        <v>80</v>
      </c>
      <c r="F682" t="s">
        <v>67</v>
      </c>
      <c r="G682" t="s">
        <v>68</v>
      </c>
      <c r="H682" t="s">
        <v>47</v>
      </c>
      <c r="I682" t="s">
        <v>56</v>
      </c>
      <c r="J682" t="s">
        <v>37</v>
      </c>
      <c r="K682" s="2">
        <v>46160</v>
      </c>
      <c r="L682" s="2">
        <v>46340</v>
      </c>
      <c r="M682" t="s">
        <v>64</v>
      </c>
      <c r="N682" t="s">
        <v>75</v>
      </c>
      <c r="O682">
        <v>2</v>
      </c>
      <c r="P682" t="s">
        <v>111</v>
      </c>
      <c r="Q682" s="2">
        <v>46334</v>
      </c>
      <c r="R682" t="s">
        <v>84</v>
      </c>
    </row>
    <row r="683" spans="1:18" x14ac:dyDescent="0.2">
      <c r="A683" t="s">
        <v>1422</v>
      </c>
      <c r="B683" t="s">
        <v>1423</v>
      </c>
      <c r="C683" t="s">
        <v>78</v>
      </c>
      <c r="D683" t="s">
        <v>79</v>
      </c>
      <c r="E683" t="s">
        <v>53</v>
      </c>
      <c r="F683" t="s">
        <v>45</v>
      </c>
      <c r="G683" t="s">
        <v>46</v>
      </c>
      <c r="H683" t="s">
        <v>36</v>
      </c>
      <c r="I683" t="s">
        <v>39</v>
      </c>
      <c r="J683" t="s">
        <v>37</v>
      </c>
      <c r="K683" s="2">
        <v>46092</v>
      </c>
      <c r="L683" s="2">
        <v>46457</v>
      </c>
      <c r="M683" t="s">
        <v>64</v>
      </c>
      <c r="N683" t="s">
        <v>55</v>
      </c>
      <c r="O683">
        <v>2</v>
      </c>
      <c r="P683" t="s">
        <v>39</v>
      </c>
      <c r="Q683" s="2">
        <v>46135</v>
      </c>
      <c r="R683" t="s">
        <v>64</v>
      </c>
    </row>
    <row r="684" spans="1:18" x14ac:dyDescent="0.2">
      <c r="A684" t="s">
        <v>1424</v>
      </c>
      <c r="B684" t="s">
        <v>1425</v>
      </c>
      <c r="C684" t="s">
        <v>78</v>
      </c>
      <c r="D684" t="s">
        <v>79</v>
      </c>
      <c r="E684" t="s">
        <v>80</v>
      </c>
      <c r="F684" t="s">
        <v>45</v>
      </c>
      <c r="G684" t="s">
        <v>46</v>
      </c>
      <c r="H684" t="s">
        <v>98</v>
      </c>
      <c r="I684" t="s">
        <v>56</v>
      </c>
      <c r="J684" t="s">
        <v>63</v>
      </c>
      <c r="K684" s="2">
        <v>46215</v>
      </c>
      <c r="L684" s="2">
        <v>46395</v>
      </c>
      <c r="M684" t="s">
        <v>64</v>
      </c>
      <c r="N684" t="s">
        <v>75</v>
      </c>
      <c r="O684">
        <v>5</v>
      </c>
      <c r="P684" t="s">
        <v>62</v>
      </c>
      <c r="Q684" s="2">
        <v>46180</v>
      </c>
      <c r="R684" t="s">
        <v>64</v>
      </c>
    </row>
    <row r="685" spans="1:18" x14ac:dyDescent="0.2">
      <c r="A685" t="s">
        <v>1426</v>
      </c>
      <c r="B685" t="s">
        <v>1427</v>
      </c>
      <c r="C685" t="s">
        <v>73</v>
      </c>
      <c r="D685" t="s">
        <v>74</v>
      </c>
      <c r="E685" t="s">
        <v>105</v>
      </c>
      <c r="F685" t="s">
        <v>45</v>
      </c>
      <c r="G685" t="s">
        <v>46</v>
      </c>
      <c r="H685" t="s">
        <v>36</v>
      </c>
      <c r="I685" t="s">
        <v>50</v>
      </c>
      <c r="J685" t="s">
        <v>63</v>
      </c>
      <c r="K685" s="2">
        <v>46196</v>
      </c>
      <c r="L685" s="2">
        <v>46376</v>
      </c>
      <c r="M685" t="s">
        <v>64</v>
      </c>
      <c r="N685" t="s">
        <v>49</v>
      </c>
      <c r="O685">
        <v>1</v>
      </c>
      <c r="P685" t="s">
        <v>39</v>
      </c>
      <c r="Q685" s="2">
        <v>46141</v>
      </c>
      <c r="R685" t="s">
        <v>38</v>
      </c>
    </row>
    <row r="686" spans="1:18" x14ac:dyDescent="0.2">
      <c r="A686" t="s">
        <v>1428</v>
      </c>
      <c r="B686" t="s">
        <v>1429</v>
      </c>
      <c r="C686" t="s">
        <v>42</v>
      </c>
      <c r="D686" t="s">
        <v>43</v>
      </c>
      <c r="E686" t="s">
        <v>53</v>
      </c>
      <c r="F686" t="s">
        <v>67</v>
      </c>
      <c r="G686" t="s">
        <v>118</v>
      </c>
      <c r="H686" t="s">
        <v>47</v>
      </c>
      <c r="I686" t="s">
        <v>70</v>
      </c>
      <c r="J686" t="s">
        <v>48</v>
      </c>
      <c r="K686" s="2">
        <v>45886</v>
      </c>
      <c r="L686" s="2">
        <v>46066</v>
      </c>
      <c r="M686" t="s">
        <v>38</v>
      </c>
      <c r="N686" t="s">
        <v>55</v>
      </c>
      <c r="O686">
        <v>1</v>
      </c>
      <c r="P686" t="s">
        <v>56</v>
      </c>
      <c r="Q686" s="2">
        <v>46376</v>
      </c>
      <c r="R686" t="s">
        <v>64</v>
      </c>
    </row>
    <row r="687" spans="1:18" x14ac:dyDescent="0.2">
      <c r="A687" t="s">
        <v>1430</v>
      </c>
      <c r="B687" t="s">
        <v>1431</v>
      </c>
      <c r="C687" t="s">
        <v>103</v>
      </c>
      <c r="D687" t="s">
        <v>104</v>
      </c>
      <c r="E687" t="s">
        <v>91</v>
      </c>
      <c r="F687" t="s">
        <v>34</v>
      </c>
      <c r="G687" t="s">
        <v>35</v>
      </c>
      <c r="H687" t="s">
        <v>36</v>
      </c>
      <c r="I687" t="s">
        <v>54</v>
      </c>
      <c r="J687" t="s">
        <v>63</v>
      </c>
      <c r="K687" s="2">
        <v>46033</v>
      </c>
      <c r="L687" s="2">
        <v>46398</v>
      </c>
      <c r="M687" t="s">
        <v>84</v>
      </c>
      <c r="N687" t="s">
        <v>49</v>
      </c>
      <c r="O687">
        <v>5</v>
      </c>
      <c r="P687" t="s">
        <v>50</v>
      </c>
      <c r="Q687" s="2">
        <v>46372</v>
      </c>
      <c r="R687" t="s">
        <v>84</v>
      </c>
    </row>
    <row r="688" spans="1:18" x14ac:dyDescent="0.2">
      <c r="A688" t="s">
        <v>1432</v>
      </c>
      <c r="B688" t="s">
        <v>1433</v>
      </c>
      <c r="C688" t="s">
        <v>31</v>
      </c>
      <c r="D688" t="s">
        <v>32</v>
      </c>
      <c r="E688" t="s">
        <v>44</v>
      </c>
      <c r="F688" t="s">
        <v>45</v>
      </c>
      <c r="G688" t="s">
        <v>46</v>
      </c>
      <c r="H688" t="s">
        <v>88</v>
      </c>
      <c r="I688" t="s">
        <v>56</v>
      </c>
      <c r="J688" t="s">
        <v>48</v>
      </c>
      <c r="K688" s="2">
        <v>46177</v>
      </c>
      <c r="L688" s="2">
        <v>46267</v>
      </c>
      <c r="M688" t="s">
        <v>38</v>
      </c>
      <c r="N688" t="s">
        <v>75</v>
      </c>
      <c r="O688">
        <v>0</v>
      </c>
      <c r="P688" t="s">
        <v>62</v>
      </c>
      <c r="Q688" s="2">
        <v>46217</v>
      </c>
      <c r="R688" t="s">
        <v>57</v>
      </c>
    </row>
    <row r="689" spans="1:18" x14ac:dyDescent="0.2">
      <c r="A689" t="s">
        <v>1434</v>
      </c>
      <c r="B689" t="s">
        <v>1435</v>
      </c>
      <c r="C689" t="s">
        <v>42</v>
      </c>
      <c r="D689" t="s">
        <v>43</v>
      </c>
      <c r="E689" t="s">
        <v>91</v>
      </c>
      <c r="F689" t="s">
        <v>67</v>
      </c>
      <c r="G689" t="s">
        <v>118</v>
      </c>
      <c r="H689" t="s">
        <v>88</v>
      </c>
      <c r="I689" t="s">
        <v>54</v>
      </c>
      <c r="J689" t="s">
        <v>37</v>
      </c>
      <c r="K689" s="2">
        <v>46162</v>
      </c>
      <c r="L689" s="2">
        <v>46342</v>
      </c>
      <c r="M689" t="s">
        <v>64</v>
      </c>
      <c r="N689" t="s">
        <v>55</v>
      </c>
      <c r="O689">
        <v>3</v>
      </c>
      <c r="P689" t="s">
        <v>106</v>
      </c>
      <c r="Q689" s="2">
        <v>46141</v>
      </c>
      <c r="R689" t="s">
        <v>64</v>
      </c>
    </row>
    <row r="690" spans="1:18" x14ac:dyDescent="0.2">
      <c r="A690" t="s">
        <v>1436</v>
      </c>
      <c r="B690" t="s">
        <v>1437</v>
      </c>
      <c r="C690" t="s">
        <v>103</v>
      </c>
      <c r="D690" t="s">
        <v>104</v>
      </c>
      <c r="E690" t="s">
        <v>44</v>
      </c>
      <c r="F690" t="s">
        <v>34</v>
      </c>
      <c r="G690" t="s">
        <v>35</v>
      </c>
      <c r="H690" t="s">
        <v>88</v>
      </c>
      <c r="I690" t="s">
        <v>39</v>
      </c>
      <c r="J690" t="s">
        <v>37</v>
      </c>
      <c r="K690" s="2">
        <v>46182</v>
      </c>
      <c r="L690" s="2">
        <v>46272</v>
      </c>
      <c r="M690" t="s">
        <v>38</v>
      </c>
      <c r="N690" t="s">
        <v>55</v>
      </c>
      <c r="O690">
        <v>0</v>
      </c>
      <c r="P690" t="s">
        <v>56</v>
      </c>
      <c r="Q690" s="2">
        <v>46279</v>
      </c>
      <c r="R690" t="s">
        <v>57</v>
      </c>
    </row>
    <row r="691" spans="1:18" x14ac:dyDescent="0.2">
      <c r="A691" t="s">
        <v>1438</v>
      </c>
      <c r="B691" t="s">
        <v>1439</v>
      </c>
      <c r="C691" t="s">
        <v>31</v>
      </c>
      <c r="D691" t="s">
        <v>87</v>
      </c>
      <c r="E691" t="s">
        <v>80</v>
      </c>
      <c r="F691" t="s">
        <v>34</v>
      </c>
      <c r="G691" t="s">
        <v>35</v>
      </c>
      <c r="H691" t="s">
        <v>47</v>
      </c>
      <c r="I691" t="s">
        <v>111</v>
      </c>
      <c r="J691" t="s">
        <v>63</v>
      </c>
      <c r="K691" s="2">
        <v>46089</v>
      </c>
      <c r="L691" s="2">
        <v>46269</v>
      </c>
      <c r="M691" t="s">
        <v>38</v>
      </c>
      <c r="N691" t="s">
        <v>75</v>
      </c>
      <c r="O691">
        <v>0</v>
      </c>
      <c r="P691" t="s">
        <v>50</v>
      </c>
      <c r="Q691" s="2">
        <v>46164</v>
      </c>
      <c r="R691" t="s">
        <v>57</v>
      </c>
    </row>
    <row r="692" spans="1:18" x14ac:dyDescent="0.2">
      <c r="A692" t="s">
        <v>1440</v>
      </c>
      <c r="B692" t="s">
        <v>1441</v>
      </c>
      <c r="C692" t="s">
        <v>31</v>
      </c>
      <c r="D692" t="s">
        <v>83</v>
      </c>
      <c r="E692" t="s">
        <v>91</v>
      </c>
      <c r="F692" t="s">
        <v>67</v>
      </c>
      <c r="G692" t="s">
        <v>118</v>
      </c>
      <c r="H692" t="s">
        <v>36</v>
      </c>
      <c r="I692" t="s">
        <v>106</v>
      </c>
      <c r="J692" t="s">
        <v>63</v>
      </c>
      <c r="K692" s="2">
        <v>46154</v>
      </c>
      <c r="L692" s="2">
        <v>46519</v>
      </c>
      <c r="M692" t="s">
        <v>64</v>
      </c>
      <c r="N692" t="s">
        <v>49</v>
      </c>
      <c r="O692">
        <v>3</v>
      </c>
      <c r="P692" t="s">
        <v>70</v>
      </c>
      <c r="Q692" s="2">
        <v>46159</v>
      </c>
      <c r="R692" t="s">
        <v>38</v>
      </c>
    </row>
    <row r="693" spans="1:18" x14ac:dyDescent="0.2">
      <c r="A693" t="s">
        <v>1442</v>
      </c>
      <c r="B693" t="s">
        <v>1443</v>
      </c>
      <c r="C693" t="s">
        <v>31</v>
      </c>
      <c r="D693" t="s">
        <v>83</v>
      </c>
      <c r="E693" t="s">
        <v>44</v>
      </c>
      <c r="F693" t="s">
        <v>45</v>
      </c>
      <c r="G693" t="s">
        <v>46</v>
      </c>
      <c r="H693" t="s">
        <v>36</v>
      </c>
      <c r="I693" t="s">
        <v>70</v>
      </c>
      <c r="J693" t="s">
        <v>48</v>
      </c>
      <c r="K693" s="2">
        <v>46237</v>
      </c>
      <c r="L693" s="2">
        <v>46602</v>
      </c>
      <c r="M693" t="s">
        <v>69</v>
      </c>
      <c r="N693" t="s">
        <v>49</v>
      </c>
      <c r="O693">
        <v>3</v>
      </c>
      <c r="P693" t="s">
        <v>54</v>
      </c>
      <c r="Q693" s="2">
        <v>46218</v>
      </c>
      <c r="R693" t="s">
        <v>38</v>
      </c>
    </row>
    <row r="694" spans="1:18" x14ac:dyDescent="0.2">
      <c r="A694" t="s">
        <v>1444</v>
      </c>
      <c r="B694" t="s">
        <v>1445</v>
      </c>
      <c r="C694" t="s">
        <v>31</v>
      </c>
      <c r="D694" t="s">
        <v>87</v>
      </c>
      <c r="E694" t="s">
        <v>60</v>
      </c>
      <c r="F694" t="s">
        <v>67</v>
      </c>
      <c r="G694" t="s">
        <v>118</v>
      </c>
      <c r="H694" t="s">
        <v>98</v>
      </c>
      <c r="I694" t="s">
        <v>106</v>
      </c>
      <c r="J694" t="s">
        <v>63</v>
      </c>
      <c r="K694" s="2">
        <v>46046</v>
      </c>
      <c r="L694" s="2">
        <v>46411</v>
      </c>
      <c r="M694" t="s">
        <v>69</v>
      </c>
      <c r="N694" t="s">
        <v>55</v>
      </c>
      <c r="O694">
        <v>3</v>
      </c>
      <c r="P694" t="s">
        <v>56</v>
      </c>
      <c r="Q694" s="2">
        <v>46329</v>
      </c>
      <c r="R694" t="s">
        <v>84</v>
      </c>
    </row>
    <row r="695" spans="1:18" x14ac:dyDescent="0.2">
      <c r="A695" t="s">
        <v>1446</v>
      </c>
      <c r="B695" t="s">
        <v>1447</v>
      </c>
      <c r="C695" t="s">
        <v>31</v>
      </c>
      <c r="D695" t="s">
        <v>32</v>
      </c>
      <c r="E695" t="s">
        <v>53</v>
      </c>
      <c r="F695" t="s">
        <v>34</v>
      </c>
      <c r="G695" t="s">
        <v>35</v>
      </c>
      <c r="H695" t="s">
        <v>47</v>
      </c>
      <c r="I695" t="s">
        <v>39</v>
      </c>
      <c r="J695" t="s">
        <v>37</v>
      </c>
      <c r="K695" s="2">
        <v>45869</v>
      </c>
      <c r="L695" s="2">
        <v>46234</v>
      </c>
      <c r="M695" t="s">
        <v>38</v>
      </c>
      <c r="N695" t="s">
        <v>55</v>
      </c>
      <c r="O695">
        <v>3</v>
      </c>
      <c r="P695" t="s">
        <v>62</v>
      </c>
      <c r="Q695" s="2">
        <v>46368</v>
      </c>
      <c r="R695" t="s">
        <v>84</v>
      </c>
    </row>
    <row r="696" spans="1:18" x14ac:dyDescent="0.2">
      <c r="A696" t="s">
        <v>1448</v>
      </c>
      <c r="B696" t="s">
        <v>1449</v>
      </c>
      <c r="C696" t="s">
        <v>96</v>
      </c>
      <c r="D696" t="s">
        <v>97</v>
      </c>
      <c r="E696" t="s">
        <v>80</v>
      </c>
      <c r="F696" t="s">
        <v>34</v>
      </c>
      <c r="G696" t="s">
        <v>35</v>
      </c>
      <c r="H696" t="s">
        <v>88</v>
      </c>
      <c r="I696" t="s">
        <v>54</v>
      </c>
      <c r="J696" t="s">
        <v>63</v>
      </c>
      <c r="K696" s="2">
        <v>46181</v>
      </c>
      <c r="L696" s="2">
        <v>46271</v>
      </c>
      <c r="M696" t="s">
        <v>38</v>
      </c>
      <c r="N696" t="s">
        <v>55</v>
      </c>
      <c r="O696">
        <v>1</v>
      </c>
      <c r="P696" t="s">
        <v>56</v>
      </c>
      <c r="Q696" s="2">
        <v>46119</v>
      </c>
      <c r="R696" t="s">
        <v>38</v>
      </c>
    </row>
    <row r="697" spans="1:18" x14ac:dyDescent="0.2">
      <c r="A697" t="s">
        <v>1450</v>
      </c>
      <c r="B697" t="s">
        <v>1451</v>
      </c>
      <c r="C697" t="s">
        <v>31</v>
      </c>
      <c r="D697" t="s">
        <v>83</v>
      </c>
      <c r="E697" t="s">
        <v>53</v>
      </c>
      <c r="F697" t="s">
        <v>67</v>
      </c>
      <c r="G697" t="s">
        <v>68</v>
      </c>
      <c r="H697" t="s">
        <v>36</v>
      </c>
      <c r="I697" t="s">
        <v>70</v>
      </c>
      <c r="J697" t="s">
        <v>48</v>
      </c>
      <c r="K697" s="2">
        <v>46188</v>
      </c>
      <c r="L697" s="2">
        <v>46278</v>
      </c>
      <c r="M697" t="s">
        <v>38</v>
      </c>
      <c r="N697" t="s">
        <v>55</v>
      </c>
      <c r="O697">
        <v>4</v>
      </c>
      <c r="P697" t="s">
        <v>56</v>
      </c>
      <c r="Q697" s="2">
        <v>46236</v>
      </c>
      <c r="R697" t="s">
        <v>64</v>
      </c>
    </row>
    <row r="698" spans="1:18" x14ac:dyDescent="0.2">
      <c r="A698" t="s">
        <v>1452</v>
      </c>
      <c r="B698" t="s">
        <v>1453</v>
      </c>
      <c r="C698" t="s">
        <v>42</v>
      </c>
      <c r="D698" t="s">
        <v>43</v>
      </c>
      <c r="E698" t="s">
        <v>44</v>
      </c>
      <c r="F698" t="s">
        <v>45</v>
      </c>
      <c r="G698" t="s">
        <v>46</v>
      </c>
      <c r="H698" t="s">
        <v>88</v>
      </c>
      <c r="I698" t="s">
        <v>39</v>
      </c>
      <c r="J698" t="s">
        <v>48</v>
      </c>
      <c r="K698" s="2">
        <v>45943</v>
      </c>
      <c r="L698" s="2">
        <v>46123</v>
      </c>
      <c r="M698" t="s">
        <v>38</v>
      </c>
      <c r="N698" t="s">
        <v>49</v>
      </c>
      <c r="O698">
        <v>2</v>
      </c>
      <c r="P698" t="s">
        <v>62</v>
      </c>
      <c r="Q698" s="2">
        <v>46281</v>
      </c>
      <c r="R698" t="s">
        <v>64</v>
      </c>
    </row>
    <row r="699" spans="1:18" x14ac:dyDescent="0.2">
      <c r="A699" t="s">
        <v>1454</v>
      </c>
      <c r="B699" t="s">
        <v>1455</v>
      </c>
      <c r="C699" t="s">
        <v>31</v>
      </c>
      <c r="D699" t="s">
        <v>87</v>
      </c>
      <c r="E699" t="s">
        <v>53</v>
      </c>
      <c r="F699" t="s">
        <v>34</v>
      </c>
      <c r="G699" t="s">
        <v>35</v>
      </c>
      <c r="H699" t="s">
        <v>98</v>
      </c>
      <c r="I699" t="s">
        <v>39</v>
      </c>
      <c r="J699" t="s">
        <v>63</v>
      </c>
      <c r="K699" s="2">
        <v>45854</v>
      </c>
      <c r="L699" s="2">
        <v>46034</v>
      </c>
      <c r="M699" t="s">
        <v>38</v>
      </c>
      <c r="N699" t="s">
        <v>55</v>
      </c>
      <c r="O699">
        <v>5</v>
      </c>
      <c r="P699" t="s">
        <v>70</v>
      </c>
      <c r="Q699" s="2">
        <v>46258</v>
      </c>
      <c r="R699" t="s">
        <v>64</v>
      </c>
    </row>
    <row r="700" spans="1:18" x14ac:dyDescent="0.2">
      <c r="A700" t="s">
        <v>1456</v>
      </c>
      <c r="B700" t="s">
        <v>1457</v>
      </c>
      <c r="C700" t="s">
        <v>78</v>
      </c>
      <c r="D700" t="s">
        <v>79</v>
      </c>
      <c r="E700" t="s">
        <v>91</v>
      </c>
      <c r="F700" t="s">
        <v>34</v>
      </c>
      <c r="G700" t="s">
        <v>35</v>
      </c>
      <c r="H700" t="s">
        <v>47</v>
      </c>
      <c r="I700" t="s">
        <v>54</v>
      </c>
      <c r="J700" t="s">
        <v>37</v>
      </c>
      <c r="K700" s="2">
        <v>45857</v>
      </c>
      <c r="L700" s="2">
        <v>46037</v>
      </c>
      <c r="M700" t="s">
        <v>38</v>
      </c>
      <c r="N700" t="s">
        <v>55</v>
      </c>
      <c r="O700">
        <v>2</v>
      </c>
      <c r="P700" t="s">
        <v>54</v>
      </c>
      <c r="Q700" s="2">
        <v>46252</v>
      </c>
      <c r="R700" t="s">
        <v>64</v>
      </c>
    </row>
    <row r="701" spans="1:18" x14ac:dyDescent="0.2">
      <c r="A701" t="s">
        <v>1458</v>
      </c>
      <c r="B701" t="s">
        <v>1459</v>
      </c>
      <c r="C701" t="s">
        <v>31</v>
      </c>
      <c r="D701" t="s">
        <v>83</v>
      </c>
      <c r="E701" t="s">
        <v>53</v>
      </c>
      <c r="F701" t="s">
        <v>34</v>
      </c>
      <c r="G701" t="s">
        <v>35</v>
      </c>
      <c r="H701" t="s">
        <v>47</v>
      </c>
      <c r="I701" t="s">
        <v>111</v>
      </c>
      <c r="J701" t="s">
        <v>37</v>
      </c>
      <c r="K701" s="2">
        <v>46228</v>
      </c>
      <c r="L701" s="2">
        <v>46408</v>
      </c>
      <c r="M701" t="s">
        <v>64</v>
      </c>
      <c r="N701" t="s">
        <v>55</v>
      </c>
      <c r="O701">
        <v>1</v>
      </c>
      <c r="P701" t="s">
        <v>39</v>
      </c>
      <c r="Q701" s="2">
        <v>46211</v>
      </c>
      <c r="R701" t="s">
        <v>38</v>
      </c>
    </row>
    <row r="702" spans="1:18" x14ac:dyDescent="0.2">
      <c r="A702" t="s">
        <v>1460</v>
      </c>
      <c r="B702" t="s">
        <v>1461</v>
      </c>
      <c r="C702" t="s">
        <v>31</v>
      </c>
      <c r="D702" t="s">
        <v>83</v>
      </c>
      <c r="E702" t="s">
        <v>44</v>
      </c>
      <c r="F702" t="s">
        <v>67</v>
      </c>
      <c r="G702" t="s">
        <v>68</v>
      </c>
      <c r="H702" t="s">
        <v>36</v>
      </c>
      <c r="I702" t="s">
        <v>54</v>
      </c>
      <c r="J702" t="s">
        <v>48</v>
      </c>
      <c r="K702" s="2">
        <v>46240</v>
      </c>
      <c r="L702" s="2">
        <v>46330</v>
      </c>
      <c r="M702" t="s">
        <v>64</v>
      </c>
      <c r="N702" t="s">
        <v>55</v>
      </c>
      <c r="O702">
        <v>3</v>
      </c>
      <c r="P702" t="s">
        <v>70</v>
      </c>
      <c r="Q702" s="2">
        <v>46321</v>
      </c>
      <c r="R702" t="s">
        <v>64</v>
      </c>
    </row>
    <row r="703" spans="1:18" x14ac:dyDescent="0.2">
      <c r="A703" t="s">
        <v>1462</v>
      </c>
      <c r="B703" t="s">
        <v>1463</v>
      </c>
      <c r="C703" t="s">
        <v>42</v>
      </c>
      <c r="D703" t="s">
        <v>43</v>
      </c>
      <c r="E703" t="s">
        <v>105</v>
      </c>
      <c r="F703" t="s">
        <v>67</v>
      </c>
      <c r="G703" t="s">
        <v>118</v>
      </c>
      <c r="H703" t="s">
        <v>47</v>
      </c>
      <c r="I703" t="s">
        <v>39</v>
      </c>
      <c r="J703" t="s">
        <v>63</v>
      </c>
      <c r="K703" s="2">
        <v>45885</v>
      </c>
      <c r="L703" s="2">
        <v>46250</v>
      </c>
      <c r="M703" t="s">
        <v>38</v>
      </c>
      <c r="N703" t="s">
        <v>55</v>
      </c>
      <c r="O703">
        <v>1</v>
      </c>
      <c r="P703" t="s">
        <v>39</v>
      </c>
      <c r="Q703" s="2">
        <v>46242</v>
      </c>
      <c r="R703" t="s">
        <v>38</v>
      </c>
    </row>
    <row r="704" spans="1:18" x14ac:dyDescent="0.2">
      <c r="A704" t="s">
        <v>1464</v>
      </c>
      <c r="B704" t="s">
        <v>1465</v>
      </c>
      <c r="C704" t="s">
        <v>96</v>
      </c>
      <c r="D704" t="s">
        <v>97</v>
      </c>
      <c r="E704" t="s">
        <v>60</v>
      </c>
      <c r="F704" t="s">
        <v>45</v>
      </c>
      <c r="G704" t="s">
        <v>46</v>
      </c>
      <c r="H704" t="s">
        <v>36</v>
      </c>
      <c r="I704" t="s">
        <v>106</v>
      </c>
      <c r="J704" t="s">
        <v>48</v>
      </c>
      <c r="K704" s="2">
        <v>45839</v>
      </c>
      <c r="L704" s="2">
        <v>46204</v>
      </c>
      <c r="M704" t="s">
        <v>38</v>
      </c>
      <c r="N704" t="s">
        <v>55</v>
      </c>
      <c r="O704">
        <v>1</v>
      </c>
      <c r="P704" t="s">
        <v>56</v>
      </c>
      <c r="Q704" s="2">
        <v>46186</v>
      </c>
      <c r="R704" t="s">
        <v>38</v>
      </c>
    </row>
    <row r="705" spans="1:18" x14ac:dyDescent="0.2">
      <c r="A705" t="s">
        <v>1466</v>
      </c>
      <c r="B705" t="s">
        <v>1467</v>
      </c>
      <c r="C705" t="s">
        <v>42</v>
      </c>
      <c r="D705" t="s">
        <v>43</v>
      </c>
      <c r="E705" t="s">
        <v>44</v>
      </c>
      <c r="F705" t="s">
        <v>67</v>
      </c>
      <c r="G705" t="s">
        <v>118</v>
      </c>
      <c r="H705" t="s">
        <v>47</v>
      </c>
      <c r="I705" t="s">
        <v>56</v>
      </c>
      <c r="J705" t="s">
        <v>63</v>
      </c>
      <c r="K705" s="2">
        <v>45954</v>
      </c>
      <c r="L705" s="2">
        <v>46319</v>
      </c>
      <c r="M705" t="s">
        <v>64</v>
      </c>
      <c r="N705" t="s">
        <v>55</v>
      </c>
      <c r="O705">
        <v>0</v>
      </c>
      <c r="P705" t="s">
        <v>62</v>
      </c>
      <c r="Q705" s="2">
        <v>46393</v>
      </c>
      <c r="R705" t="s">
        <v>57</v>
      </c>
    </row>
    <row r="706" spans="1:18" x14ac:dyDescent="0.2">
      <c r="A706" t="s">
        <v>1468</v>
      </c>
      <c r="B706" t="s">
        <v>1469</v>
      </c>
      <c r="C706" t="s">
        <v>78</v>
      </c>
      <c r="D706" t="s">
        <v>79</v>
      </c>
      <c r="E706" t="s">
        <v>44</v>
      </c>
      <c r="F706" t="s">
        <v>45</v>
      </c>
      <c r="G706" t="s">
        <v>46</v>
      </c>
      <c r="H706" t="s">
        <v>47</v>
      </c>
      <c r="I706" t="s">
        <v>62</v>
      </c>
      <c r="J706" t="s">
        <v>63</v>
      </c>
      <c r="K706" s="2">
        <v>46078</v>
      </c>
      <c r="L706" s="2">
        <v>46168</v>
      </c>
      <c r="M706" t="s">
        <v>38</v>
      </c>
      <c r="N706" t="s">
        <v>75</v>
      </c>
      <c r="O706">
        <v>2</v>
      </c>
      <c r="P706" t="s">
        <v>70</v>
      </c>
      <c r="Q706" s="2">
        <v>46230</v>
      </c>
      <c r="R706" t="s">
        <v>38</v>
      </c>
    </row>
    <row r="707" spans="1:18" x14ac:dyDescent="0.2">
      <c r="A707" t="s">
        <v>1470</v>
      </c>
      <c r="B707" t="s">
        <v>1471</v>
      </c>
      <c r="C707" t="s">
        <v>31</v>
      </c>
      <c r="D707" t="s">
        <v>32</v>
      </c>
      <c r="E707" t="s">
        <v>105</v>
      </c>
      <c r="F707" t="s">
        <v>67</v>
      </c>
      <c r="G707" t="s">
        <v>68</v>
      </c>
      <c r="H707" t="s">
        <v>47</v>
      </c>
      <c r="I707" t="s">
        <v>56</v>
      </c>
      <c r="J707" t="s">
        <v>63</v>
      </c>
      <c r="K707" s="2">
        <v>46093</v>
      </c>
      <c r="L707" s="2">
        <v>46183</v>
      </c>
      <c r="M707" t="s">
        <v>38</v>
      </c>
      <c r="N707" t="s">
        <v>49</v>
      </c>
      <c r="O707">
        <v>2</v>
      </c>
      <c r="P707" t="s">
        <v>50</v>
      </c>
      <c r="Q707" s="2">
        <v>46175</v>
      </c>
      <c r="R707" t="s">
        <v>38</v>
      </c>
    </row>
    <row r="708" spans="1:18" x14ac:dyDescent="0.2">
      <c r="A708" t="s">
        <v>1472</v>
      </c>
      <c r="B708" t="s">
        <v>1473</v>
      </c>
      <c r="C708" t="s">
        <v>31</v>
      </c>
      <c r="D708" t="s">
        <v>32</v>
      </c>
      <c r="E708" t="s">
        <v>60</v>
      </c>
      <c r="F708" t="s">
        <v>45</v>
      </c>
      <c r="G708" t="s">
        <v>61</v>
      </c>
      <c r="H708" t="s">
        <v>88</v>
      </c>
      <c r="I708" t="s">
        <v>50</v>
      </c>
      <c r="J708" t="s">
        <v>37</v>
      </c>
      <c r="K708" s="2">
        <v>45928</v>
      </c>
      <c r="L708" s="2">
        <v>46108</v>
      </c>
      <c r="M708" t="s">
        <v>38</v>
      </c>
      <c r="N708" t="s">
        <v>55</v>
      </c>
      <c r="O708">
        <v>2</v>
      </c>
      <c r="P708" t="s">
        <v>106</v>
      </c>
      <c r="Q708" s="2">
        <v>46261</v>
      </c>
      <c r="R708" t="s">
        <v>64</v>
      </c>
    </row>
    <row r="709" spans="1:18" x14ac:dyDescent="0.2">
      <c r="A709" t="s">
        <v>1474</v>
      </c>
      <c r="B709" t="s">
        <v>1475</v>
      </c>
      <c r="C709" t="s">
        <v>96</v>
      </c>
      <c r="D709" t="s">
        <v>97</v>
      </c>
      <c r="E709" t="s">
        <v>105</v>
      </c>
      <c r="F709" t="s">
        <v>67</v>
      </c>
      <c r="G709" t="s">
        <v>68</v>
      </c>
      <c r="H709" t="s">
        <v>36</v>
      </c>
      <c r="I709" t="s">
        <v>50</v>
      </c>
      <c r="J709" t="s">
        <v>48</v>
      </c>
      <c r="K709" s="2">
        <v>45877</v>
      </c>
      <c r="L709" s="2">
        <v>46242</v>
      </c>
      <c r="M709" t="s">
        <v>38</v>
      </c>
      <c r="N709" t="s">
        <v>55</v>
      </c>
      <c r="O709">
        <v>2</v>
      </c>
      <c r="P709" t="s">
        <v>70</v>
      </c>
      <c r="Q709" s="2">
        <v>46190</v>
      </c>
      <c r="R709" t="s">
        <v>38</v>
      </c>
    </row>
    <row r="710" spans="1:18" x14ac:dyDescent="0.2">
      <c r="A710" t="s">
        <v>1476</v>
      </c>
      <c r="B710" t="s">
        <v>1477</v>
      </c>
      <c r="C710" t="s">
        <v>96</v>
      </c>
      <c r="D710" t="s">
        <v>97</v>
      </c>
      <c r="E710" t="s">
        <v>91</v>
      </c>
      <c r="F710" t="s">
        <v>34</v>
      </c>
      <c r="G710" t="s">
        <v>35</v>
      </c>
      <c r="H710" t="s">
        <v>47</v>
      </c>
      <c r="J710" t="s">
        <v>37</v>
      </c>
      <c r="K710" s="2">
        <v>46229</v>
      </c>
      <c r="L710" s="2">
        <v>46409</v>
      </c>
      <c r="M710" t="s">
        <v>84</v>
      </c>
      <c r="N710" t="s">
        <v>75</v>
      </c>
      <c r="O710">
        <v>2</v>
      </c>
      <c r="P710" t="s">
        <v>106</v>
      </c>
      <c r="Q710" s="2">
        <v>46278</v>
      </c>
      <c r="R710" t="s">
        <v>38</v>
      </c>
    </row>
    <row r="711" spans="1:18" x14ac:dyDescent="0.2">
      <c r="A711" t="s">
        <v>1478</v>
      </c>
      <c r="B711" t="s">
        <v>1479</v>
      </c>
      <c r="C711" t="s">
        <v>78</v>
      </c>
      <c r="D711" t="s">
        <v>79</v>
      </c>
      <c r="E711" t="s">
        <v>80</v>
      </c>
      <c r="F711" t="s">
        <v>45</v>
      </c>
      <c r="G711" t="s">
        <v>46</v>
      </c>
      <c r="H711" t="s">
        <v>88</v>
      </c>
      <c r="I711" t="s">
        <v>111</v>
      </c>
      <c r="J711" t="s">
        <v>63</v>
      </c>
      <c r="K711" s="2">
        <v>46000</v>
      </c>
      <c r="L711" s="2">
        <v>46365</v>
      </c>
      <c r="M711" t="s">
        <v>64</v>
      </c>
      <c r="N711" t="s">
        <v>49</v>
      </c>
      <c r="O711">
        <v>1</v>
      </c>
      <c r="P711" t="s">
        <v>54</v>
      </c>
      <c r="Q711" s="2">
        <v>46311</v>
      </c>
      <c r="R711" t="s">
        <v>64</v>
      </c>
    </row>
    <row r="712" spans="1:18" x14ac:dyDescent="0.2">
      <c r="A712" t="s">
        <v>1480</v>
      </c>
      <c r="B712" t="s">
        <v>1481</v>
      </c>
      <c r="C712" t="s">
        <v>31</v>
      </c>
      <c r="D712" t="s">
        <v>87</v>
      </c>
      <c r="E712" t="s">
        <v>44</v>
      </c>
      <c r="F712" t="s">
        <v>34</v>
      </c>
      <c r="G712" t="s">
        <v>35</v>
      </c>
      <c r="H712" t="s">
        <v>88</v>
      </c>
      <c r="I712" t="s">
        <v>54</v>
      </c>
      <c r="J712" t="s">
        <v>37</v>
      </c>
      <c r="K712" s="2">
        <v>45840</v>
      </c>
      <c r="L712" s="2">
        <v>45930</v>
      </c>
      <c r="M712" t="s">
        <v>38</v>
      </c>
      <c r="N712" t="s">
        <v>75</v>
      </c>
      <c r="O712">
        <v>3</v>
      </c>
      <c r="P712" t="s">
        <v>50</v>
      </c>
      <c r="Q712" s="2">
        <v>46183</v>
      </c>
      <c r="R712" t="s">
        <v>38</v>
      </c>
    </row>
    <row r="713" spans="1:18" x14ac:dyDescent="0.2">
      <c r="A713" t="s">
        <v>1482</v>
      </c>
      <c r="B713" t="s">
        <v>1483</v>
      </c>
      <c r="C713" t="s">
        <v>31</v>
      </c>
      <c r="D713" t="s">
        <v>32</v>
      </c>
      <c r="E713" t="s">
        <v>44</v>
      </c>
      <c r="F713" t="s">
        <v>67</v>
      </c>
      <c r="G713" t="s">
        <v>118</v>
      </c>
      <c r="H713" t="s">
        <v>36</v>
      </c>
      <c r="I713" t="s">
        <v>62</v>
      </c>
      <c r="J713" t="s">
        <v>63</v>
      </c>
      <c r="K713" s="2">
        <v>46151</v>
      </c>
      <c r="L713" s="2">
        <v>46241</v>
      </c>
      <c r="M713" t="s">
        <v>38</v>
      </c>
      <c r="N713" t="s">
        <v>55</v>
      </c>
      <c r="O713">
        <v>0</v>
      </c>
      <c r="P713" t="s">
        <v>50</v>
      </c>
      <c r="Q713" s="2">
        <v>46185</v>
      </c>
      <c r="R713" t="s">
        <v>57</v>
      </c>
    </row>
    <row r="714" spans="1:18" x14ac:dyDescent="0.2">
      <c r="A714" t="s">
        <v>1484</v>
      </c>
      <c r="B714" t="s">
        <v>1485</v>
      </c>
      <c r="C714" t="s">
        <v>31</v>
      </c>
      <c r="D714" t="s">
        <v>83</v>
      </c>
      <c r="E714" t="s">
        <v>91</v>
      </c>
      <c r="F714" t="s">
        <v>67</v>
      </c>
      <c r="G714" t="s">
        <v>68</v>
      </c>
      <c r="H714" t="s">
        <v>98</v>
      </c>
      <c r="I714" t="s">
        <v>106</v>
      </c>
      <c r="J714" t="s">
        <v>48</v>
      </c>
      <c r="K714" s="2">
        <v>46248</v>
      </c>
      <c r="L714" s="2">
        <v>46613</v>
      </c>
      <c r="M714" t="s">
        <v>64</v>
      </c>
      <c r="N714" t="s">
        <v>49</v>
      </c>
      <c r="O714">
        <v>0</v>
      </c>
      <c r="P714" t="s">
        <v>106</v>
      </c>
      <c r="Q714" s="2">
        <v>46359</v>
      </c>
      <c r="R714" t="s">
        <v>57</v>
      </c>
    </row>
    <row r="715" spans="1:18" x14ac:dyDescent="0.2">
      <c r="A715" t="s">
        <v>1486</v>
      </c>
      <c r="B715" t="s">
        <v>1487</v>
      </c>
      <c r="C715" t="s">
        <v>42</v>
      </c>
      <c r="D715" t="s">
        <v>43</v>
      </c>
      <c r="E715" t="s">
        <v>44</v>
      </c>
      <c r="F715" t="s">
        <v>45</v>
      </c>
      <c r="G715" t="s">
        <v>46</v>
      </c>
      <c r="H715" t="s">
        <v>47</v>
      </c>
      <c r="I715" t="s">
        <v>62</v>
      </c>
      <c r="J715" t="s">
        <v>37</v>
      </c>
      <c r="K715" s="2">
        <v>46199</v>
      </c>
      <c r="L715" s="2">
        <v>46289</v>
      </c>
      <c r="M715" t="s">
        <v>38</v>
      </c>
      <c r="N715" t="s">
        <v>75</v>
      </c>
      <c r="O715">
        <v>1</v>
      </c>
      <c r="P715" t="s">
        <v>106</v>
      </c>
      <c r="Q715" s="2">
        <v>46385</v>
      </c>
      <c r="R715" t="s">
        <v>84</v>
      </c>
    </row>
    <row r="716" spans="1:18" x14ac:dyDescent="0.2">
      <c r="A716" t="s">
        <v>1488</v>
      </c>
      <c r="B716" t="s">
        <v>1489</v>
      </c>
      <c r="C716" t="s">
        <v>78</v>
      </c>
      <c r="D716" t="s">
        <v>79</v>
      </c>
      <c r="E716" t="s">
        <v>53</v>
      </c>
      <c r="F716" t="s">
        <v>67</v>
      </c>
      <c r="G716" t="s">
        <v>68</v>
      </c>
      <c r="H716" t="s">
        <v>47</v>
      </c>
      <c r="I716" t="s">
        <v>39</v>
      </c>
      <c r="J716" t="s">
        <v>37</v>
      </c>
      <c r="K716" s="2">
        <v>45824</v>
      </c>
      <c r="L716" s="2">
        <v>46189</v>
      </c>
      <c r="M716" t="s">
        <v>38</v>
      </c>
      <c r="N716" t="s">
        <v>55</v>
      </c>
      <c r="O716">
        <v>1</v>
      </c>
      <c r="P716" t="s">
        <v>111</v>
      </c>
      <c r="Q716" s="2">
        <v>46372</v>
      </c>
      <c r="R716" t="s">
        <v>64</v>
      </c>
    </row>
    <row r="717" spans="1:18" x14ac:dyDescent="0.2">
      <c r="A717" t="s">
        <v>1490</v>
      </c>
      <c r="B717" t="s">
        <v>1491</v>
      </c>
      <c r="C717" t="s">
        <v>78</v>
      </c>
      <c r="D717" t="s">
        <v>79</v>
      </c>
      <c r="E717" t="s">
        <v>60</v>
      </c>
      <c r="F717" t="s">
        <v>34</v>
      </c>
      <c r="G717" t="s">
        <v>35</v>
      </c>
      <c r="H717" t="s">
        <v>88</v>
      </c>
      <c r="I717" t="s">
        <v>54</v>
      </c>
      <c r="J717" t="s">
        <v>63</v>
      </c>
      <c r="K717" s="2">
        <v>46059</v>
      </c>
      <c r="L717" s="2">
        <v>46149</v>
      </c>
      <c r="M717" t="s">
        <v>38</v>
      </c>
      <c r="N717" t="s">
        <v>75</v>
      </c>
      <c r="O717">
        <v>0</v>
      </c>
      <c r="P717" t="s">
        <v>54</v>
      </c>
      <c r="Q717" s="2">
        <v>46382</v>
      </c>
      <c r="R717" t="s">
        <v>57</v>
      </c>
    </row>
    <row r="718" spans="1:18" x14ac:dyDescent="0.2">
      <c r="A718" t="s">
        <v>1492</v>
      </c>
      <c r="B718" t="s">
        <v>1493</v>
      </c>
      <c r="C718" t="s">
        <v>78</v>
      </c>
      <c r="D718" t="s">
        <v>79</v>
      </c>
      <c r="E718" t="s">
        <v>44</v>
      </c>
      <c r="F718" t="s">
        <v>67</v>
      </c>
      <c r="G718" t="s">
        <v>68</v>
      </c>
      <c r="H718" t="s">
        <v>88</v>
      </c>
      <c r="I718" t="s">
        <v>70</v>
      </c>
      <c r="J718" t="s">
        <v>37</v>
      </c>
      <c r="K718" s="2">
        <v>45857</v>
      </c>
      <c r="L718" s="2">
        <v>46222</v>
      </c>
      <c r="M718" t="s">
        <v>38</v>
      </c>
      <c r="N718" t="s">
        <v>75</v>
      </c>
      <c r="O718">
        <v>3</v>
      </c>
      <c r="P718" t="s">
        <v>50</v>
      </c>
      <c r="Q718" s="2">
        <v>46275</v>
      </c>
      <c r="R718" t="s">
        <v>38</v>
      </c>
    </row>
    <row r="719" spans="1:18" x14ac:dyDescent="0.2">
      <c r="A719" t="s">
        <v>1494</v>
      </c>
      <c r="B719" t="s">
        <v>1495</v>
      </c>
      <c r="C719" t="s">
        <v>31</v>
      </c>
      <c r="D719" t="s">
        <v>83</v>
      </c>
      <c r="E719" t="s">
        <v>91</v>
      </c>
      <c r="F719" t="s">
        <v>45</v>
      </c>
      <c r="G719" t="s">
        <v>61</v>
      </c>
      <c r="H719" t="s">
        <v>88</v>
      </c>
      <c r="I719" t="s">
        <v>56</v>
      </c>
      <c r="J719" t="s">
        <v>48</v>
      </c>
      <c r="K719" s="2">
        <v>46220</v>
      </c>
      <c r="L719" s="2">
        <v>46310</v>
      </c>
      <c r="M719" t="s">
        <v>64</v>
      </c>
      <c r="N719" t="s">
        <v>49</v>
      </c>
      <c r="O719">
        <v>2</v>
      </c>
      <c r="P719" t="s">
        <v>70</v>
      </c>
      <c r="Q719" s="2">
        <v>46129</v>
      </c>
      <c r="R719" t="s">
        <v>64</v>
      </c>
    </row>
    <row r="720" spans="1:18" x14ac:dyDescent="0.2">
      <c r="A720" t="s">
        <v>1496</v>
      </c>
      <c r="B720" t="s">
        <v>1497</v>
      </c>
      <c r="C720" t="s">
        <v>31</v>
      </c>
      <c r="D720" t="s">
        <v>87</v>
      </c>
      <c r="E720" t="s">
        <v>53</v>
      </c>
      <c r="F720" t="s">
        <v>45</v>
      </c>
      <c r="G720" t="s">
        <v>46</v>
      </c>
      <c r="H720" t="s">
        <v>47</v>
      </c>
      <c r="I720" t="s">
        <v>54</v>
      </c>
      <c r="J720" t="s">
        <v>37</v>
      </c>
      <c r="K720" s="2">
        <v>45949</v>
      </c>
      <c r="L720" s="2">
        <v>46039</v>
      </c>
      <c r="M720" t="s">
        <v>38</v>
      </c>
      <c r="N720" t="s">
        <v>55</v>
      </c>
      <c r="O720">
        <v>2</v>
      </c>
      <c r="P720" t="s">
        <v>39</v>
      </c>
      <c r="Q720" s="2">
        <v>46158</v>
      </c>
      <c r="R720" t="s">
        <v>38</v>
      </c>
    </row>
    <row r="721" spans="1:18" x14ac:dyDescent="0.2">
      <c r="A721" t="s">
        <v>1498</v>
      </c>
      <c r="B721" t="s">
        <v>1499</v>
      </c>
      <c r="C721" t="s">
        <v>78</v>
      </c>
      <c r="D721" t="s">
        <v>79</v>
      </c>
      <c r="E721" t="s">
        <v>105</v>
      </c>
      <c r="F721" t="s">
        <v>45</v>
      </c>
      <c r="G721" t="s">
        <v>61</v>
      </c>
      <c r="H721" t="s">
        <v>98</v>
      </c>
      <c r="I721" t="s">
        <v>39</v>
      </c>
      <c r="J721" t="s">
        <v>37</v>
      </c>
      <c r="K721" s="2">
        <v>46093</v>
      </c>
      <c r="L721" s="2">
        <v>46273</v>
      </c>
      <c r="M721" t="s">
        <v>38</v>
      </c>
      <c r="N721" t="s">
        <v>75</v>
      </c>
      <c r="O721">
        <v>4</v>
      </c>
      <c r="P721" t="s">
        <v>50</v>
      </c>
      <c r="Q721" s="2">
        <v>46214</v>
      </c>
      <c r="R721" t="s">
        <v>64</v>
      </c>
    </row>
    <row r="722" spans="1:18" x14ac:dyDescent="0.2">
      <c r="A722" t="s">
        <v>1500</v>
      </c>
      <c r="B722" t="s">
        <v>1501</v>
      </c>
      <c r="C722" t="s">
        <v>31</v>
      </c>
      <c r="D722" t="s">
        <v>87</v>
      </c>
      <c r="E722" t="s">
        <v>53</v>
      </c>
      <c r="F722" t="s">
        <v>34</v>
      </c>
      <c r="G722" t="s">
        <v>35</v>
      </c>
      <c r="H722" t="s">
        <v>88</v>
      </c>
      <c r="I722" t="s">
        <v>70</v>
      </c>
      <c r="J722" t="s">
        <v>48</v>
      </c>
      <c r="K722" s="2">
        <v>46018</v>
      </c>
      <c r="L722" s="2">
        <v>46108</v>
      </c>
      <c r="M722" t="s">
        <v>38</v>
      </c>
      <c r="N722" t="s">
        <v>55</v>
      </c>
      <c r="O722">
        <v>3</v>
      </c>
      <c r="P722" t="s">
        <v>50</v>
      </c>
      <c r="Q722" s="2">
        <v>46359</v>
      </c>
      <c r="R722" t="s">
        <v>84</v>
      </c>
    </row>
    <row r="723" spans="1:18" x14ac:dyDescent="0.2">
      <c r="A723" t="s">
        <v>1502</v>
      </c>
      <c r="B723" t="s">
        <v>1503</v>
      </c>
      <c r="C723" t="s">
        <v>31</v>
      </c>
      <c r="D723" t="s">
        <v>83</v>
      </c>
      <c r="E723" t="s">
        <v>105</v>
      </c>
      <c r="F723" t="s">
        <v>34</v>
      </c>
      <c r="G723" t="s">
        <v>35</v>
      </c>
      <c r="H723" t="s">
        <v>36</v>
      </c>
      <c r="I723" t="s">
        <v>70</v>
      </c>
      <c r="J723" t="s">
        <v>63</v>
      </c>
      <c r="K723" s="2">
        <v>45908</v>
      </c>
      <c r="L723" s="2">
        <v>45998</v>
      </c>
      <c r="M723" t="s">
        <v>38</v>
      </c>
      <c r="N723" t="s">
        <v>55</v>
      </c>
      <c r="O723">
        <v>5</v>
      </c>
      <c r="P723" t="s">
        <v>106</v>
      </c>
      <c r="Q723" s="2">
        <v>46187</v>
      </c>
      <c r="R723" t="s">
        <v>38</v>
      </c>
    </row>
    <row r="724" spans="1:18" x14ac:dyDescent="0.2">
      <c r="A724" t="s">
        <v>1504</v>
      </c>
      <c r="B724" t="s">
        <v>1505</v>
      </c>
      <c r="C724" t="s">
        <v>96</v>
      </c>
      <c r="D724" t="s">
        <v>97</v>
      </c>
      <c r="E724" t="s">
        <v>53</v>
      </c>
      <c r="F724" t="s">
        <v>67</v>
      </c>
      <c r="G724" t="s">
        <v>68</v>
      </c>
      <c r="H724" t="s">
        <v>47</v>
      </c>
      <c r="I724" t="s">
        <v>62</v>
      </c>
      <c r="J724" t="s">
        <v>48</v>
      </c>
      <c r="K724" s="2">
        <v>46255</v>
      </c>
      <c r="L724" s="2">
        <v>46620</v>
      </c>
      <c r="M724" t="s">
        <v>69</v>
      </c>
      <c r="N724" t="s">
        <v>55</v>
      </c>
      <c r="O724">
        <v>1</v>
      </c>
      <c r="P724" t="s">
        <v>50</v>
      </c>
      <c r="Q724" s="2">
        <v>46153</v>
      </c>
      <c r="R724" t="s">
        <v>38</v>
      </c>
    </row>
    <row r="725" spans="1:18" x14ac:dyDescent="0.2">
      <c r="A725" t="s">
        <v>1506</v>
      </c>
      <c r="B725" t="s">
        <v>1507</v>
      </c>
      <c r="C725" t="s">
        <v>31</v>
      </c>
      <c r="D725" t="s">
        <v>83</v>
      </c>
      <c r="E725" t="s">
        <v>80</v>
      </c>
      <c r="F725" t="s">
        <v>67</v>
      </c>
      <c r="G725" t="s">
        <v>68</v>
      </c>
      <c r="H725" t="s">
        <v>47</v>
      </c>
      <c r="I725" t="s">
        <v>106</v>
      </c>
      <c r="J725" t="s">
        <v>37</v>
      </c>
      <c r="K725" s="2">
        <v>46189</v>
      </c>
      <c r="L725" s="2">
        <v>46369</v>
      </c>
      <c r="M725" t="s">
        <v>64</v>
      </c>
      <c r="N725" t="s">
        <v>75</v>
      </c>
      <c r="O725">
        <v>2</v>
      </c>
      <c r="P725" t="s">
        <v>56</v>
      </c>
      <c r="Q725" s="2">
        <v>46295</v>
      </c>
      <c r="R725" t="s">
        <v>64</v>
      </c>
    </row>
    <row r="726" spans="1:18" x14ac:dyDescent="0.2">
      <c r="A726" t="s">
        <v>1508</v>
      </c>
      <c r="B726" t="s">
        <v>1509</v>
      </c>
      <c r="C726" t="s">
        <v>31</v>
      </c>
      <c r="D726" t="s">
        <v>83</v>
      </c>
      <c r="E726" t="s">
        <v>80</v>
      </c>
      <c r="F726" t="s">
        <v>67</v>
      </c>
      <c r="G726" t="s">
        <v>118</v>
      </c>
      <c r="H726" t="s">
        <v>88</v>
      </c>
      <c r="I726" t="s">
        <v>50</v>
      </c>
      <c r="J726" t="s">
        <v>37</v>
      </c>
      <c r="K726" s="2">
        <v>46212</v>
      </c>
      <c r="L726" s="2">
        <v>46577</v>
      </c>
      <c r="M726" t="s">
        <v>64</v>
      </c>
      <c r="N726" t="s">
        <v>75</v>
      </c>
      <c r="O726">
        <v>2</v>
      </c>
      <c r="P726" t="s">
        <v>106</v>
      </c>
      <c r="Q726" s="2">
        <v>46320</v>
      </c>
      <c r="R726" t="s">
        <v>84</v>
      </c>
    </row>
    <row r="727" spans="1:18" x14ac:dyDescent="0.2">
      <c r="A727" t="s">
        <v>1510</v>
      </c>
      <c r="B727" t="s">
        <v>1511</v>
      </c>
      <c r="C727" t="s">
        <v>31</v>
      </c>
      <c r="D727" t="s">
        <v>87</v>
      </c>
      <c r="E727" t="s">
        <v>91</v>
      </c>
      <c r="F727" t="s">
        <v>67</v>
      </c>
      <c r="G727" t="s">
        <v>68</v>
      </c>
      <c r="H727" t="s">
        <v>88</v>
      </c>
      <c r="I727" t="s">
        <v>111</v>
      </c>
      <c r="J727" t="s">
        <v>48</v>
      </c>
      <c r="K727" s="2">
        <v>46141</v>
      </c>
      <c r="L727" s="2">
        <v>46506</v>
      </c>
      <c r="M727" t="s">
        <v>64</v>
      </c>
      <c r="N727" t="s">
        <v>49</v>
      </c>
      <c r="O727">
        <v>0</v>
      </c>
      <c r="P727" t="s">
        <v>56</v>
      </c>
      <c r="Q727" s="2">
        <v>46240</v>
      </c>
      <c r="R727" t="s">
        <v>57</v>
      </c>
    </row>
    <row r="728" spans="1:18" x14ac:dyDescent="0.2">
      <c r="A728" t="s">
        <v>1512</v>
      </c>
      <c r="B728" t="s">
        <v>1513</v>
      </c>
      <c r="C728" t="s">
        <v>96</v>
      </c>
      <c r="D728" t="s">
        <v>97</v>
      </c>
      <c r="E728" t="s">
        <v>60</v>
      </c>
      <c r="F728" t="s">
        <v>67</v>
      </c>
      <c r="G728" t="s">
        <v>68</v>
      </c>
      <c r="H728" t="s">
        <v>88</v>
      </c>
      <c r="I728" t="s">
        <v>70</v>
      </c>
      <c r="J728" t="s">
        <v>48</v>
      </c>
      <c r="K728" s="2">
        <v>46161</v>
      </c>
      <c r="L728" s="2">
        <v>46341</v>
      </c>
      <c r="M728" t="s">
        <v>84</v>
      </c>
      <c r="N728" t="s">
        <v>75</v>
      </c>
      <c r="O728">
        <v>3</v>
      </c>
      <c r="P728" t="s">
        <v>50</v>
      </c>
      <c r="Q728" s="2">
        <v>46354</v>
      </c>
      <c r="R728" t="s">
        <v>84</v>
      </c>
    </row>
    <row r="729" spans="1:18" x14ac:dyDescent="0.2">
      <c r="A729" t="s">
        <v>1514</v>
      </c>
      <c r="B729" t="s">
        <v>1515</v>
      </c>
      <c r="C729" t="s">
        <v>96</v>
      </c>
      <c r="D729" t="s">
        <v>97</v>
      </c>
      <c r="E729" t="s">
        <v>80</v>
      </c>
      <c r="F729" t="s">
        <v>34</v>
      </c>
      <c r="G729" t="s">
        <v>35</v>
      </c>
      <c r="H729" t="s">
        <v>36</v>
      </c>
      <c r="I729" t="s">
        <v>54</v>
      </c>
      <c r="J729" t="s">
        <v>63</v>
      </c>
      <c r="K729" s="2">
        <v>46070</v>
      </c>
      <c r="L729" s="2">
        <v>46250</v>
      </c>
      <c r="M729" t="s">
        <v>38</v>
      </c>
      <c r="N729" t="s">
        <v>55</v>
      </c>
      <c r="O729">
        <v>2</v>
      </c>
      <c r="P729" t="s">
        <v>111</v>
      </c>
      <c r="Q729" s="2">
        <v>46290</v>
      </c>
      <c r="R729" t="s">
        <v>38</v>
      </c>
    </row>
    <row r="730" spans="1:18" x14ac:dyDescent="0.2">
      <c r="A730" t="s">
        <v>1516</v>
      </c>
      <c r="B730" t="s">
        <v>1517</v>
      </c>
      <c r="C730" t="s">
        <v>78</v>
      </c>
      <c r="D730" t="s">
        <v>79</v>
      </c>
      <c r="E730" t="s">
        <v>80</v>
      </c>
      <c r="F730" t="s">
        <v>45</v>
      </c>
      <c r="G730" t="s">
        <v>61</v>
      </c>
      <c r="H730" t="s">
        <v>47</v>
      </c>
      <c r="I730" t="s">
        <v>50</v>
      </c>
      <c r="J730" t="s">
        <v>37</v>
      </c>
      <c r="K730" s="2">
        <v>46035</v>
      </c>
      <c r="L730" s="2">
        <v>46125</v>
      </c>
      <c r="M730" t="s">
        <v>38</v>
      </c>
      <c r="N730" t="s">
        <v>49</v>
      </c>
      <c r="O730">
        <v>1</v>
      </c>
      <c r="P730" t="s">
        <v>62</v>
      </c>
      <c r="Q730" s="2">
        <v>46278</v>
      </c>
      <c r="R730" t="s">
        <v>38</v>
      </c>
    </row>
    <row r="731" spans="1:18" x14ac:dyDescent="0.2">
      <c r="A731" t="s">
        <v>1518</v>
      </c>
      <c r="B731" t="s">
        <v>1519</v>
      </c>
      <c r="C731" t="s">
        <v>31</v>
      </c>
      <c r="D731" t="s">
        <v>32</v>
      </c>
      <c r="E731" t="s">
        <v>105</v>
      </c>
      <c r="F731" t="s">
        <v>67</v>
      </c>
      <c r="G731" t="s">
        <v>68</v>
      </c>
      <c r="H731" t="s">
        <v>47</v>
      </c>
      <c r="I731" t="s">
        <v>39</v>
      </c>
      <c r="J731" t="s">
        <v>48</v>
      </c>
      <c r="K731" s="2">
        <v>45887</v>
      </c>
      <c r="L731" s="2">
        <v>46252</v>
      </c>
      <c r="M731" t="s">
        <v>38</v>
      </c>
      <c r="N731" t="s">
        <v>75</v>
      </c>
      <c r="O731">
        <v>2</v>
      </c>
      <c r="P731" t="s">
        <v>56</v>
      </c>
      <c r="Q731" s="2">
        <v>46244</v>
      </c>
      <c r="R731" t="s">
        <v>38</v>
      </c>
    </row>
    <row r="732" spans="1:18" x14ac:dyDescent="0.2">
      <c r="A732" t="s">
        <v>1520</v>
      </c>
      <c r="B732" t="s">
        <v>1521</v>
      </c>
      <c r="C732" t="s">
        <v>31</v>
      </c>
      <c r="D732" t="s">
        <v>87</v>
      </c>
      <c r="E732" t="s">
        <v>53</v>
      </c>
      <c r="F732" t="s">
        <v>67</v>
      </c>
      <c r="G732" t="s">
        <v>68</v>
      </c>
      <c r="H732" t="s">
        <v>36</v>
      </c>
      <c r="I732" t="s">
        <v>111</v>
      </c>
      <c r="J732" t="s">
        <v>37</v>
      </c>
      <c r="K732" s="2">
        <v>45829</v>
      </c>
      <c r="L732" s="2">
        <v>46009</v>
      </c>
      <c r="M732" t="s">
        <v>38</v>
      </c>
      <c r="N732" t="s">
        <v>49</v>
      </c>
      <c r="O732">
        <v>1</v>
      </c>
      <c r="P732" t="s">
        <v>106</v>
      </c>
      <c r="Q732" s="2">
        <v>46247</v>
      </c>
      <c r="R732" t="s">
        <v>64</v>
      </c>
    </row>
    <row r="733" spans="1:18" x14ac:dyDescent="0.2">
      <c r="A733" t="s">
        <v>1522</v>
      </c>
      <c r="B733" t="s">
        <v>1523</v>
      </c>
      <c r="C733" t="s">
        <v>78</v>
      </c>
      <c r="D733" t="s">
        <v>79</v>
      </c>
      <c r="E733" t="s">
        <v>44</v>
      </c>
      <c r="F733" t="s">
        <v>67</v>
      </c>
      <c r="G733" t="s">
        <v>68</v>
      </c>
      <c r="H733" t="s">
        <v>88</v>
      </c>
      <c r="I733" t="s">
        <v>62</v>
      </c>
      <c r="J733" t="s">
        <v>48</v>
      </c>
      <c r="K733" s="2">
        <v>46029</v>
      </c>
      <c r="L733" s="2">
        <v>46209</v>
      </c>
      <c r="M733" t="s">
        <v>38</v>
      </c>
      <c r="N733" t="s">
        <v>49</v>
      </c>
      <c r="O733">
        <v>1</v>
      </c>
      <c r="P733" t="s">
        <v>54</v>
      </c>
      <c r="Q733" s="2">
        <v>46338</v>
      </c>
      <c r="R733" t="s">
        <v>84</v>
      </c>
    </row>
    <row r="734" spans="1:18" x14ac:dyDescent="0.2">
      <c r="A734" t="s">
        <v>1524</v>
      </c>
      <c r="B734" t="s">
        <v>1525</v>
      </c>
      <c r="C734" t="s">
        <v>78</v>
      </c>
      <c r="D734" t="s">
        <v>79</v>
      </c>
      <c r="E734" t="s">
        <v>53</v>
      </c>
      <c r="F734" t="s">
        <v>45</v>
      </c>
      <c r="G734" t="s">
        <v>46</v>
      </c>
      <c r="H734" t="s">
        <v>88</v>
      </c>
      <c r="I734" t="s">
        <v>106</v>
      </c>
      <c r="J734" t="s">
        <v>63</v>
      </c>
      <c r="K734" s="2">
        <v>46268</v>
      </c>
      <c r="L734" s="2">
        <v>46358</v>
      </c>
      <c r="M734" t="s">
        <v>84</v>
      </c>
      <c r="N734" t="s">
        <v>75</v>
      </c>
      <c r="O734">
        <v>2</v>
      </c>
      <c r="P734" t="s">
        <v>39</v>
      </c>
      <c r="Q734" s="2">
        <v>46173</v>
      </c>
      <c r="R734" t="s">
        <v>38</v>
      </c>
    </row>
    <row r="735" spans="1:18" x14ac:dyDescent="0.2">
      <c r="A735" t="s">
        <v>1526</v>
      </c>
      <c r="B735" t="s">
        <v>1527</v>
      </c>
      <c r="C735" t="s">
        <v>103</v>
      </c>
      <c r="D735" t="s">
        <v>104</v>
      </c>
      <c r="E735" t="s">
        <v>650</v>
      </c>
      <c r="F735" t="s">
        <v>67</v>
      </c>
      <c r="G735" t="s">
        <v>68</v>
      </c>
      <c r="H735" t="s">
        <v>88</v>
      </c>
      <c r="I735" t="s">
        <v>70</v>
      </c>
      <c r="J735" t="s">
        <v>63</v>
      </c>
      <c r="K735" s="2">
        <v>46257</v>
      </c>
      <c r="L735" s="2">
        <v>46347</v>
      </c>
      <c r="M735" t="s">
        <v>84</v>
      </c>
      <c r="N735" t="s">
        <v>75</v>
      </c>
      <c r="O735">
        <v>1</v>
      </c>
      <c r="P735" t="s">
        <v>39</v>
      </c>
      <c r="Q735" s="2">
        <v>46308</v>
      </c>
      <c r="R735" t="s">
        <v>64</v>
      </c>
    </row>
    <row r="736" spans="1:18" x14ac:dyDescent="0.2">
      <c r="A736" t="s">
        <v>1528</v>
      </c>
      <c r="B736" t="s">
        <v>1529</v>
      </c>
      <c r="C736" t="s">
        <v>73</v>
      </c>
      <c r="D736" t="s">
        <v>74</v>
      </c>
      <c r="E736" t="s">
        <v>105</v>
      </c>
      <c r="F736" t="s">
        <v>67</v>
      </c>
      <c r="G736" t="s">
        <v>118</v>
      </c>
      <c r="H736" t="s">
        <v>88</v>
      </c>
      <c r="I736" t="s">
        <v>56</v>
      </c>
      <c r="J736" t="s">
        <v>63</v>
      </c>
      <c r="K736" s="2">
        <v>46018</v>
      </c>
      <c r="L736" s="2">
        <v>46108</v>
      </c>
      <c r="M736" t="s">
        <v>38</v>
      </c>
      <c r="N736" t="s">
        <v>49</v>
      </c>
      <c r="O736">
        <v>3</v>
      </c>
      <c r="P736" t="s">
        <v>62</v>
      </c>
      <c r="Q736" s="2">
        <v>46348</v>
      </c>
      <c r="R736" t="s">
        <v>84</v>
      </c>
    </row>
    <row r="737" spans="1:18" x14ac:dyDescent="0.2">
      <c r="A737" t="s">
        <v>1530</v>
      </c>
      <c r="B737" t="s">
        <v>1531</v>
      </c>
      <c r="C737" t="s">
        <v>78</v>
      </c>
      <c r="D737" t="s">
        <v>79</v>
      </c>
      <c r="E737" t="s">
        <v>105</v>
      </c>
      <c r="F737" t="s">
        <v>34</v>
      </c>
      <c r="G737" t="s">
        <v>35</v>
      </c>
      <c r="H737" t="s">
        <v>98</v>
      </c>
      <c r="I737" t="s">
        <v>111</v>
      </c>
      <c r="J737" t="s">
        <v>63</v>
      </c>
      <c r="K737" s="2">
        <v>46056</v>
      </c>
      <c r="L737" s="2">
        <v>46236</v>
      </c>
      <c r="M737" t="s">
        <v>38</v>
      </c>
      <c r="N737" t="s">
        <v>55</v>
      </c>
      <c r="O737">
        <v>4</v>
      </c>
      <c r="P737" t="s">
        <v>62</v>
      </c>
      <c r="Q737" s="2">
        <v>46198</v>
      </c>
      <c r="R737" t="s">
        <v>38</v>
      </c>
    </row>
    <row r="738" spans="1:18" x14ac:dyDescent="0.2">
      <c r="A738" t="s">
        <v>1532</v>
      </c>
      <c r="B738" t="s">
        <v>1533</v>
      </c>
      <c r="C738" t="s">
        <v>31</v>
      </c>
      <c r="D738" t="s">
        <v>32</v>
      </c>
      <c r="E738" t="s">
        <v>91</v>
      </c>
      <c r="F738" t="s">
        <v>34</v>
      </c>
      <c r="G738" t="s">
        <v>35</v>
      </c>
      <c r="H738" t="s">
        <v>88</v>
      </c>
      <c r="I738" t="s">
        <v>70</v>
      </c>
      <c r="J738" t="s">
        <v>37</v>
      </c>
      <c r="K738" s="2">
        <v>46231</v>
      </c>
      <c r="L738" s="2">
        <v>46321</v>
      </c>
      <c r="M738" t="s">
        <v>64</v>
      </c>
      <c r="N738" t="s">
        <v>55</v>
      </c>
      <c r="O738">
        <v>3</v>
      </c>
      <c r="P738" t="s">
        <v>39</v>
      </c>
      <c r="Q738" s="2">
        <v>46168</v>
      </c>
      <c r="R738" t="s">
        <v>38</v>
      </c>
    </row>
    <row r="739" spans="1:18" x14ac:dyDescent="0.2">
      <c r="A739" t="s">
        <v>1534</v>
      </c>
      <c r="B739" t="s">
        <v>1535</v>
      </c>
      <c r="C739" t="s">
        <v>73</v>
      </c>
      <c r="D739" t="s">
        <v>74</v>
      </c>
      <c r="E739" t="s">
        <v>80</v>
      </c>
      <c r="F739" t="s">
        <v>34</v>
      </c>
      <c r="G739" t="s">
        <v>35</v>
      </c>
      <c r="H739" t="s">
        <v>47</v>
      </c>
      <c r="I739" t="s">
        <v>111</v>
      </c>
      <c r="J739" t="s">
        <v>37</v>
      </c>
      <c r="K739" s="2">
        <v>45993</v>
      </c>
      <c r="L739" s="2">
        <v>46173</v>
      </c>
      <c r="M739" t="s">
        <v>38</v>
      </c>
      <c r="N739" t="s">
        <v>55</v>
      </c>
      <c r="O739">
        <v>1</v>
      </c>
      <c r="P739" t="s">
        <v>62</v>
      </c>
      <c r="Q739" s="2">
        <v>46355</v>
      </c>
      <c r="R739" t="s">
        <v>84</v>
      </c>
    </row>
    <row r="740" spans="1:18" x14ac:dyDescent="0.2">
      <c r="A740" t="s">
        <v>1536</v>
      </c>
      <c r="B740" t="s">
        <v>1537</v>
      </c>
      <c r="C740" t="s">
        <v>78</v>
      </c>
      <c r="D740" t="s">
        <v>79</v>
      </c>
      <c r="E740" t="s">
        <v>105</v>
      </c>
      <c r="F740" t="s">
        <v>34</v>
      </c>
      <c r="G740" t="s">
        <v>35</v>
      </c>
      <c r="H740" t="s">
        <v>98</v>
      </c>
      <c r="I740" t="s">
        <v>54</v>
      </c>
      <c r="J740" t="s">
        <v>48</v>
      </c>
      <c r="K740" s="2">
        <v>46016</v>
      </c>
      <c r="L740" s="2">
        <v>46196</v>
      </c>
      <c r="M740" t="s">
        <v>38</v>
      </c>
      <c r="N740" t="s">
        <v>75</v>
      </c>
      <c r="O740">
        <v>5</v>
      </c>
      <c r="P740" t="s">
        <v>39</v>
      </c>
      <c r="Q740" s="2">
        <v>46250</v>
      </c>
      <c r="R740" t="s">
        <v>64</v>
      </c>
    </row>
    <row r="741" spans="1:18" x14ac:dyDescent="0.2">
      <c r="A741" t="s">
        <v>1538</v>
      </c>
      <c r="B741" t="s">
        <v>1539</v>
      </c>
      <c r="C741" t="s">
        <v>78</v>
      </c>
      <c r="D741" t="s">
        <v>79</v>
      </c>
      <c r="E741" t="s">
        <v>105</v>
      </c>
      <c r="F741" t="s">
        <v>67</v>
      </c>
      <c r="G741" t="s">
        <v>68</v>
      </c>
      <c r="H741" t="s">
        <v>47</v>
      </c>
      <c r="I741" t="s">
        <v>106</v>
      </c>
      <c r="J741" t="s">
        <v>63</v>
      </c>
      <c r="K741" s="2">
        <v>45845</v>
      </c>
      <c r="L741" s="2">
        <v>46210</v>
      </c>
      <c r="M741" t="s">
        <v>38</v>
      </c>
      <c r="N741" t="s">
        <v>49</v>
      </c>
      <c r="O741">
        <v>2</v>
      </c>
      <c r="P741" t="s">
        <v>62</v>
      </c>
      <c r="Q741" s="2">
        <v>46286</v>
      </c>
      <c r="R741" t="s">
        <v>64</v>
      </c>
    </row>
    <row r="742" spans="1:18" x14ac:dyDescent="0.2">
      <c r="A742" t="s">
        <v>1540</v>
      </c>
      <c r="B742" t="s">
        <v>1541</v>
      </c>
      <c r="C742" t="s">
        <v>31</v>
      </c>
      <c r="D742" t="s">
        <v>83</v>
      </c>
      <c r="E742" t="s">
        <v>105</v>
      </c>
      <c r="F742" t="s">
        <v>45</v>
      </c>
      <c r="G742" t="s">
        <v>61</v>
      </c>
      <c r="H742" t="s">
        <v>36</v>
      </c>
      <c r="I742" t="s">
        <v>62</v>
      </c>
      <c r="J742" t="s">
        <v>48</v>
      </c>
      <c r="K742" s="2">
        <v>46210</v>
      </c>
      <c r="L742" s="2">
        <v>46575</v>
      </c>
      <c r="M742" t="s">
        <v>64</v>
      </c>
      <c r="N742" t="s">
        <v>49</v>
      </c>
      <c r="O742">
        <v>1</v>
      </c>
      <c r="P742" t="s">
        <v>70</v>
      </c>
      <c r="Q742" s="2">
        <v>46321</v>
      </c>
      <c r="R742" t="s">
        <v>84</v>
      </c>
    </row>
    <row r="743" spans="1:18" x14ac:dyDescent="0.2">
      <c r="A743" t="s">
        <v>1542</v>
      </c>
      <c r="B743" t="s">
        <v>1543</v>
      </c>
      <c r="C743" t="s">
        <v>31</v>
      </c>
      <c r="D743" t="s">
        <v>32</v>
      </c>
      <c r="E743" t="s">
        <v>60</v>
      </c>
      <c r="F743" t="s">
        <v>34</v>
      </c>
      <c r="G743" t="s">
        <v>35</v>
      </c>
      <c r="H743" t="s">
        <v>47</v>
      </c>
      <c r="I743" t="s">
        <v>62</v>
      </c>
      <c r="J743" t="s">
        <v>37</v>
      </c>
      <c r="K743" s="2">
        <v>45844</v>
      </c>
      <c r="L743" s="2">
        <v>46209</v>
      </c>
      <c r="M743" t="s">
        <v>38</v>
      </c>
      <c r="N743" t="s">
        <v>75</v>
      </c>
      <c r="O743">
        <v>1</v>
      </c>
      <c r="P743" t="s">
        <v>39</v>
      </c>
      <c r="Q743" s="2">
        <v>46280</v>
      </c>
      <c r="R743" t="s">
        <v>64</v>
      </c>
    </row>
    <row r="744" spans="1:18" x14ac:dyDescent="0.2">
      <c r="A744" t="s">
        <v>1544</v>
      </c>
      <c r="B744" t="s">
        <v>1545</v>
      </c>
      <c r="C744" t="s">
        <v>73</v>
      </c>
      <c r="D744" t="s">
        <v>74</v>
      </c>
      <c r="E744" t="s">
        <v>105</v>
      </c>
      <c r="F744" t="s">
        <v>34</v>
      </c>
      <c r="G744" t="s">
        <v>35</v>
      </c>
      <c r="H744" t="s">
        <v>88</v>
      </c>
      <c r="I744" t="s">
        <v>70</v>
      </c>
      <c r="J744" t="s">
        <v>48</v>
      </c>
      <c r="K744" s="2">
        <v>45983</v>
      </c>
      <c r="L744" s="2">
        <v>46163</v>
      </c>
      <c r="M744" t="s">
        <v>38</v>
      </c>
      <c r="N744" t="s">
        <v>55</v>
      </c>
      <c r="O744">
        <v>1</v>
      </c>
      <c r="P744" t="s">
        <v>54</v>
      </c>
      <c r="Q744" s="2">
        <v>46347</v>
      </c>
      <c r="R744" t="s">
        <v>84</v>
      </c>
    </row>
    <row r="745" spans="1:18" x14ac:dyDescent="0.2">
      <c r="A745" t="s">
        <v>1546</v>
      </c>
      <c r="B745" t="s">
        <v>1547</v>
      </c>
      <c r="C745" t="s">
        <v>31</v>
      </c>
      <c r="D745" t="s">
        <v>32</v>
      </c>
      <c r="E745" t="s">
        <v>60</v>
      </c>
      <c r="F745" t="s">
        <v>67</v>
      </c>
      <c r="G745" t="s">
        <v>68</v>
      </c>
      <c r="H745" t="s">
        <v>36</v>
      </c>
      <c r="I745" t="s">
        <v>62</v>
      </c>
      <c r="J745" t="s">
        <v>63</v>
      </c>
      <c r="K745" s="2">
        <v>45881</v>
      </c>
      <c r="L745" s="2">
        <v>46061</v>
      </c>
      <c r="M745" t="s">
        <v>38</v>
      </c>
      <c r="N745" t="s">
        <v>49</v>
      </c>
      <c r="O745">
        <v>0</v>
      </c>
      <c r="P745" t="s">
        <v>39</v>
      </c>
      <c r="Q745" s="2">
        <v>46255</v>
      </c>
      <c r="R745" t="s">
        <v>57</v>
      </c>
    </row>
    <row r="746" spans="1:18" x14ac:dyDescent="0.2">
      <c r="A746" t="s">
        <v>1548</v>
      </c>
      <c r="B746" t="s">
        <v>1549</v>
      </c>
      <c r="C746" t="s">
        <v>96</v>
      </c>
      <c r="D746" t="s">
        <v>97</v>
      </c>
      <c r="E746" t="s">
        <v>105</v>
      </c>
      <c r="F746" t="s">
        <v>34</v>
      </c>
      <c r="G746" t="s">
        <v>35</v>
      </c>
      <c r="H746" t="s">
        <v>88</v>
      </c>
      <c r="I746" t="s">
        <v>70</v>
      </c>
      <c r="J746" t="s">
        <v>37</v>
      </c>
      <c r="K746" s="2">
        <v>46221</v>
      </c>
      <c r="L746" s="2">
        <v>46311</v>
      </c>
      <c r="M746" t="s">
        <v>64</v>
      </c>
      <c r="N746" t="s">
        <v>55</v>
      </c>
      <c r="O746">
        <v>0</v>
      </c>
      <c r="P746" t="s">
        <v>54</v>
      </c>
      <c r="Q746" s="2">
        <v>46154</v>
      </c>
      <c r="R746" t="s">
        <v>57</v>
      </c>
    </row>
    <row r="747" spans="1:18" x14ac:dyDescent="0.2">
      <c r="A747" t="s">
        <v>1550</v>
      </c>
      <c r="B747" t="s">
        <v>1551</v>
      </c>
      <c r="C747" t="s">
        <v>73</v>
      </c>
      <c r="D747" t="s">
        <v>74</v>
      </c>
      <c r="E747" t="s">
        <v>80</v>
      </c>
      <c r="F747" t="s">
        <v>67</v>
      </c>
      <c r="G747" t="s">
        <v>170</v>
      </c>
      <c r="H747" t="s">
        <v>36</v>
      </c>
      <c r="I747" t="s">
        <v>62</v>
      </c>
      <c r="J747" t="s">
        <v>37</v>
      </c>
      <c r="K747" s="2">
        <v>46238</v>
      </c>
      <c r="L747" s="2">
        <v>46418</v>
      </c>
      <c r="M747" t="s">
        <v>84</v>
      </c>
      <c r="N747" t="s">
        <v>55</v>
      </c>
      <c r="O747">
        <v>5</v>
      </c>
      <c r="P747" t="s">
        <v>50</v>
      </c>
      <c r="Q747" s="2">
        <v>46329</v>
      </c>
      <c r="R747" t="s">
        <v>84</v>
      </c>
    </row>
    <row r="748" spans="1:18" x14ac:dyDescent="0.2">
      <c r="A748" t="s">
        <v>1552</v>
      </c>
      <c r="B748" t="s">
        <v>1553</v>
      </c>
      <c r="C748" t="s">
        <v>42</v>
      </c>
      <c r="D748" t="s">
        <v>43</v>
      </c>
      <c r="E748" t="s">
        <v>105</v>
      </c>
      <c r="F748" t="s">
        <v>45</v>
      </c>
      <c r="G748" t="s">
        <v>61</v>
      </c>
      <c r="H748" t="s">
        <v>36</v>
      </c>
      <c r="I748" t="s">
        <v>39</v>
      </c>
      <c r="J748" t="s">
        <v>48</v>
      </c>
      <c r="K748" s="2">
        <v>46215</v>
      </c>
      <c r="L748" s="2">
        <v>46395</v>
      </c>
      <c r="M748" t="s">
        <v>69</v>
      </c>
      <c r="N748" t="s">
        <v>49</v>
      </c>
      <c r="O748">
        <v>4</v>
      </c>
      <c r="P748" t="s">
        <v>39</v>
      </c>
      <c r="Q748" s="2">
        <v>46394</v>
      </c>
      <c r="R748" t="s">
        <v>64</v>
      </c>
    </row>
    <row r="749" spans="1:18" x14ac:dyDescent="0.2">
      <c r="A749" t="s">
        <v>1554</v>
      </c>
      <c r="B749" t="s">
        <v>1555</v>
      </c>
      <c r="C749" t="s">
        <v>31</v>
      </c>
      <c r="D749" t="s">
        <v>83</v>
      </c>
      <c r="E749" t="s">
        <v>60</v>
      </c>
      <c r="F749" t="s">
        <v>34</v>
      </c>
      <c r="G749" t="s">
        <v>35</v>
      </c>
      <c r="H749" t="s">
        <v>88</v>
      </c>
      <c r="I749" t="s">
        <v>50</v>
      </c>
      <c r="J749" t="s">
        <v>48</v>
      </c>
      <c r="K749" s="2">
        <v>46165</v>
      </c>
      <c r="L749" s="2">
        <v>46345</v>
      </c>
      <c r="M749" t="s">
        <v>64</v>
      </c>
      <c r="N749" t="s">
        <v>55</v>
      </c>
      <c r="O749">
        <v>0</v>
      </c>
      <c r="P749" t="s">
        <v>50</v>
      </c>
      <c r="Q749" s="2">
        <v>46282</v>
      </c>
      <c r="R749" t="s">
        <v>57</v>
      </c>
    </row>
    <row r="750" spans="1:18" x14ac:dyDescent="0.2">
      <c r="A750" t="s">
        <v>1556</v>
      </c>
      <c r="B750" t="s">
        <v>1557</v>
      </c>
      <c r="C750" t="s">
        <v>78</v>
      </c>
      <c r="D750" t="s">
        <v>79</v>
      </c>
      <c r="E750" t="s">
        <v>80</v>
      </c>
      <c r="F750" t="s">
        <v>67</v>
      </c>
      <c r="G750" t="s">
        <v>118</v>
      </c>
      <c r="H750" t="s">
        <v>47</v>
      </c>
      <c r="I750" t="s">
        <v>70</v>
      </c>
      <c r="J750" t="s">
        <v>37</v>
      </c>
      <c r="K750" s="2">
        <v>46097</v>
      </c>
      <c r="L750" s="2">
        <v>46462</v>
      </c>
      <c r="M750" t="s">
        <v>69</v>
      </c>
      <c r="N750" t="s">
        <v>75</v>
      </c>
      <c r="O750">
        <v>3</v>
      </c>
      <c r="P750" t="s">
        <v>50</v>
      </c>
      <c r="Q750" s="2">
        <v>46338</v>
      </c>
      <c r="R750" t="s">
        <v>84</v>
      </c>
    </row>
    <row r="751" spans="1:18" x14ac:dyDescent="0.2">
      <c r="A751" t="s">
        <v>1558</v>
      </c>
      <c r="B751" t="s">
        <v>1559</v>
      </c>
      <c r="C751" t="s">
        <v>78</v>
      </c>
      <c r="D751" t="s">
        <v>79</v>
      </c>
      <c r="E751" t="s">
        <v>80</v>
      </c>
      <c r="F751" t="s">
        <v>45</v>
      </c>
      <c r="G751" t="s">
        <v>61</v>
      </c>
      <c r="H751" t="s">
        <v>47</v>
      </c>
      <c r="I751" t="s">
        <v>56</v>
      </c>
      <c r="J751" t="s">
        <v>63</v>
      </c>
      <c r="K751" s="2">
        <v>46191</v>
      </c>
      <c r="L751" s="2">
        <v>46281</v>
      </c>
      <c r="M751" t="s">
        <v>38</v>
      </c>
      <c r="N751" t="s">
        <v>49</v>
      </c>
      <c r="O751">
        <v>3</v>
      </c>
      <c r="P751" t="s">
        <v>56</v>
      </c>
      <c r="Q751" s="2">
        <v>46336</v>
      </c>
      <c r="R751" t="s">
        <v>84</v>
      </c>
    </row>
    <row r="752" spans="1:18" x14ac:dyDescent="0.2">
      <c r="A752" t="s">
        <v>1560</v>
      </c>
      <c r="B752" t="s">
        <v>1561</v>
      </c>
      <c r="C752" t="s">
        <v>31</v>
      </c>
      <c r="D752" t="s">
        <v>87</v>
      </c>
      <c r="E752" t="s">
        <v>60</v>
      </c>
      <c r="F752" t="s">
        <v>67</v>
      </c>
      <c r="G752" t="s">
        <v>68</v>
      </c>
      <c r="H752" t="s">
        <v>88</v>
      </c>
      <c r="I752" t="s">
        <v>54</v>
      </c>
      <c r="J752" t="s">
        <v>37</v>
      </c>
      <c r="K752" s="2">
        <v>45985</v>
      </c>
      <c r="L752" s="2">
        <v>46165</v>
      </c>
      <c r="M752" t="s">
        <v>38</v>
      </c>
      <c r="O752">
        <v>2</v>
      </c>
      <c r="P752" t="s">
        <v>62</v>
      </c>
      <c r="Q752" s="2">
        <v>46147</v>
      </c>
      <c r="R752" t="s">
        <v>38</v>
      </c>
    </row>
    <row r="753" spans="1:18" x14ac:dyDescent="0.2">
      <c r="A753" t="s">
        <v>1562</v>
      </c>
      <c r="B753" t="s">
        <v>1563</v>
      </c>
      <c r="C753" t="s">
        <v>103</v>
      </c>
      <c r="D753" t="s">
        <v>104</v>
      </c>
      <c r="E753" t="s">
        <v>80</v>
      </c>
      <c r="F753" t="s">
        <v>67</v>
      </c>
      <c r="G753" t="s">
        <v>118</v>
      </c>
      <c r="H753" t="s">
        <v>47</v>
      </c>
      <c r="I753" t="s">
        <v>50</v>
      </c>
      <c r="J753" t="s">
        <v>37</v>
      </c>
      <c r="K753" s="2">
        <v>45861</v>
      </c>
      <c r="L753" s="2">
        <v>46041</v>
      </c>
      <c r="M753" t="s">
        <v>38</v>
      </c>
      <c r="N753" t="s">
        <v>75</v>
      </c>
      <c r="O753">
        <v>1</v>
      </c>
      <c r="P753" t="s">
        <v>106</v>
      </c>
      <c r="Q753" s="2">
        <v>46298</v>
      </c>
      <c r="R753" t="s">
        <v>64</v>
      </c>
    </row>
    <row r="754" spans="1:18" x14ac:dyDescent="0.2">
      <c r="A754" t="s">
        <v>1564</v>
      </c>
      <c r="B754" t="s">
        <v>1565</v>
      </c>
      <c r="C754" t="s">
        <v>103</v>
      </c>
      <c r="D754" t="s">
        <v>104</v>
      </c>
      <c r="E754" t="s">
        <v>105</v>
      </c>
      <c r="F754" t="s">
        <v>45</v>
      </c>
      <c r="G754" t="s">
        <v>61</v>
      </c>
      <c r="H754" t="s">
        <v>47</v>
      </c>
      <c r="I754" t="s">
        <v>39</v>
      </c>
      <c r="J754" t="s">
        <v>48</v>
      </c>
      <c r="K754" s="2">
        <v>45908</v>
      </c>
      <c r="L754" s="2">
        <v>46088</v>
      </c>
      <c r="M754" t="s">
        <v>38</v>
      </c>
      <c r="N754" t="s">
        <v>55</v>
      </c>
      <c r="O754">
        <v>3</v>
      </c>
      <c r="P754" t="s">
        <v>62</v>
      </c>
      <c r="Q754" s="2">
        <v>46405</v>
      </c>
      <c r="R754" t="s">
        <v>84</v>
      </c>
    </row>
    <row r="755" spans="1:18" x14ac:dyDescent="0.2">
      <c r="A755" t="s">
        <v>1566</v>
      </c>
      <c r="B755" t="s">
        <v>1567</v>
      </c>
      <c r="C755" t="s">
        <v>78</v>
      </c>
      <c r="D755" t="s">
        <v>79</v>
      </c>
      <c r="E755" t="s">
        <v>60</v>
      </c>
      <c r="F755" t="s">
        <v>67</v>
      </c>
      <c r="G755" t="s">
        <v>68</v>
      </c>
      <c r="H755" t="s">
        <v>47</v>
      </c>
      <c r="I755" t="s">
        <v>56</v>
      </c>
      <c r="J755" t="s">
        <v>37</v>
      </c>
      <c r="K755" s="2">
        <v>45909</v>
      </c>
      <c r="L755" s="2">
        <v>46274</v>
      </c>
      <c r="M755" t="s">
        <v>38</v>
      </c>
      <c r="N755" t="s">
        <v>49</v>
      </c>
      <c r="O755">
        <v>0</v>
      </c>
      <c r="P755" t="s">
        <v>106</v>
      </c>
      <c r="Q755" s="2">
        <v>46408</v>
      </c>
      <c r="R755" t="s">
        <v>57</v>
      </c>
    </row>
    <row r="756" spans="1:18" x14ac:dyDescent="0.2">
      <c r="A756" t="s">
        <v>1568</v>
      </c>
      <c r="B756" t="s">
        <v>1569</v>
      </c>
      <c r="C756" t="s">
        <v>31</v>
      </c>
      <c r="D756" t="s">
        <v>83</v>
      </c>
      <c r="E756" t="s">
        <v>44</v>
      </c>
      <c r="F756" t="s">
        <v>67</v>
      </c>
      <c r="G756" t="s">
        <v>68</v>
      </c>
      <c r="H756" t="s">
        <v>47</v>
      </c>
      <c r="I756" t="s">
        <v>111</v>
      </c>
      <c r="J756" t="s">
        <v>37</v>
      </c>
      <c r="K756" s="2">
        <v>46020</v>
      </c>
      <c r="L756" s="2">
        <v>46110</v>
      </c>
      <c r="M756" t="s">
        <v>38</v>
      </c>
      <c r="N756" t="s">
        <v>75</v>
      </c>
      <c r="O756">
        <v>3</v>
      </c>
      <c r="P756" t="s">
        <v>62</v>
      </c>
      <c r="Q756" s="2">
        <v>46176</v>
      </c>
      <c r="R756" t="s">
        <v>64</v>
      </c>
    </row>
    <row r="757" spans="1:18" x14ac:dyDescent="0.2">
      <c r="A757" t="s">
        <v>1570</v>
      </c>
      <c r="B757" t="s">
        <v>1571</v>
      </c>
      <c r="C757" t="s">
        <v>78</v>
      </c>
      <c r="D757" t="s">
        <v>79</v>
      </c>
      <c r="E757" t="s">
        <v>53</v>
      </c>
      <c r="F757" t="s">
        <v>45</v>
      </c>
      <c r="G757" t="s">
        <v>46</v>
      </c>
      <c r="H757" t="s">
        <v>47</v>
      </c>
      <c r="J757" t="s">
        <v>63</v>
      </c>
      <c r="K757" s="2">
        <v>45874</v>
      </c>
      <c r="L757" s="2">
        <v>46239</v>
      </c>
      <c r="M757" t="s">
        <v>38</v>
      </c>
      <c r="N757" t="s">
        <v>55</v>
      </c>
      <c r="O757">
        <v>3</v>
      </c>
      <c r="P757" t="s">
        <v>39</v>
      </c>
      <c r="Q757" s="2">
        <v>46260</v>
      </c>
      <c r="R757" t="s">
        <v>64</v>
      </c>
    </row>
    <row r="758" spans="1:18" x14ac:dyDescent="0.2">
      <c r="A758" t="s">
        <v>1572</v>
      </c>
      <c r="B758" t="s">
        <v>1573</v>
      </c>
      <c r="C758" t="s">
        <v>73</v>
      </c>
      <c r="D758" t="s">
        <v>74</v>
      </c>
      <c r="E758" t="s">
        <v>105</v>
      </c>
      <c r="F758" t="s">
        <v>67</v>
      </c>
      <c r="G758" t="s">
        <v>68</v>
      </c>
      <c r="H758" t="s">
        <v>88</v>
      </c>
      <c r="I758" t="s">
        <v>62</v>
      </c>
      <c r="J758" t="s">
        <v>63</v>
      </c>
      <c r="K758" s="2">
        <v>45905</v>
      </c>
      <c r="L758" s="2">
        <v>46085</v>
      </c>
      <c r="M758" t="s">
        <v>38</v>
      </c>
      <c r="N758" t="s">
        <v>75</v>
      </c>
      <c r="O758">
        <v>2</v>
      </c>
      <c r="P758" t="s">
        <v>39</v>
      </c>
      <c r="Q758" s="2">
        <v>46292</v>
      </c>
      <c r="R758" t="s">
        <v>38</v>
      </c>
    </row>
    <row r="759" spans="1:18" x14ac:dyDescent="0.2">
      <c r="A759" t="s">
        <v>1574</v>
      </c>
      <c r="B759" t="s">
        <v>1575</v>
      </c>
      <c r="C759" t="s">
        <v>31</v>
      </c>
      <c r="D759" t="s">
        <v>87</v>
      </c>
      <c r="E759" t="s">
        <v>91</v>
      </c>
      <c r="F759" t="s">
        <v>67</v>
      </c>
      <c r="G759" t="s">
        <v>118</v>
      </c>
      <c r="H759" t="s">
        <v>98</v>
      </c>
      <c r="I759" t="s">
        <v>111</v>
      </c>
      <c r="J759" t="s">
        <v>48</v>
      </c>
      <c r="K759" s="2">
        <v>45841</v>
      </c>
      <c r="L759" s="2">
        <v>46206</v>
      </c>
      <c r="M759" t="s">
        <v>38</v>
      </c>
      <c r="N759" t="s">
        <v>55</v>
      </c>
      <c r="O759">
        <v>2</v>
      </c>
      <c r="P759" t="s">
        <v>50</v>
      </c>
      <c r="Q759" s="2">
        <v>46167</v>
      </c>
      <c r="R759" t="s">
        <v>64</v>
      </c>
    </row>
    <row r="760" spans="1:18" x14ac:dyDescent="0.2">
      <c r="A760" t="s">
        <v>1576</v>
      </c>
      <c r="B760" t="s">
        <v>1577</v>
      </c>
      <c r="C760" t="s">
        <v>31</v>
      </c>
      <c r="D760" t="s">
        <v>87</v>
      </c>
      <c r="E760" t="s">
        <v>91</v>
      </c>
      <c r="F760" t="s">
        <v>45</v>
      </c>
      <c r="G760" t="s">
        <v>61</v>
      </c>
      <c r="H760" t="s">
        <v>36</v>
      </c>
      <c r="I760" t="s">
        <v>54</v>
      </c>
      <c r="J760" t="s">
        <v>48</v>
      </c>
      <c r="K760" s="2">
        <v>46188</v>
      </c>
      <c r="L760" s="2">
        <v>46278</v>
      </c>
      <c r="M760" t="s">
        <v>38</v>
      </c>
      <c r="N760" t="s">
        <v>55</v>
      </c>
      <c r="O760">
        <v>5</v>
      </c>
      <c r="P760" t="s">
        <v>56</v>
      </c>
      <c r="Q760" s="2">
        <v>46303</v>
      </c>
      <c r="R760" t="s">
        <v>84</v>
      </c>
    </row>
    <row r="761" spans="1:18" x14ac:dyDescent="0.2">
      <c r="A761" t="s">
        <v>1578</v>
      </c>
      <c r="B761" t="s">
        <v>1579</v>
      </c>
      <c r="C761" t="s">
        <v>96</v>
      </c>
      <c r="D761" t="s">
        <v>97</v>
      </c>
      <c r="E761" t="s">
        <v>105</v>
      </c>
      <c r="F761" t="s">
        <v>45</v>
      </c>
      <c r="G761" t="s">
        <v>46</v>
      </c>
      <c r="H761" t="s">
        <v>98</v>
      </c>
      <c r="I761" t="s">
        <v>70</v>
      </c>
      <c r="J761" t="s">
        <v>48</v>
      </c>
      <c r="K761" s="2">
        <v>46140</v>
      </c>
      <c r="L761" s="2">
        <v>46320</v>
      </c>
      <c r="M761" t="s">
        <v>69</v>
      </c>
      <c r="N761" t="s">
        <v>75</v>
      </c>
      <c r="O761">
        <v>5</v>
      </c>
      <c r="P761" t="s">
        <v>106</v>
      </c>
      <c r="Q761" s="2">
        <v>46202</v>
      </c>
      <c r="R761" t="s">
        <v>38</v>
      </c>
    </row>
    <row r="762" spans="1:18" x14ac:dyDescent="0.2">
      <c r="A762" t="s">
        <v>1580</v>
      </c>
      <c r="B762" t="s">
        <v>1581</v>
      </c>
      <c r="C762" t="s">
        <v>96</v>
      </c>
      <c r="D762" t="s">
        <v>97</v>
      </c>
      <c r="E762" t="s">
        <v>91</v>
      </c>
      <c r="F762" t="s">
        <v>45</v>
      </c>
      <c r="G762" t="s">
        <v>61</v>
      </c>
      <c r="H762" t="s">
        <v>88</v>
      </c>
      <c r="I762" t="s">
        <v>70</v>
      </c>
      <c r="J762" t="s">
        <v>48</v>
      </c>
      <c r="K762" s="2">
        <v>46008</v>
      </c>
      <c r="L762" s="2">
        <v>46373</v>
      </c>
      <c r="M762" t="s">
        <v>64</v>
      </c>
      <c r="N762" t="s">
        <v>75</v>
      </c>
      <c r="O762">
        <v>3</v>
      </c>
      <c r="P762" t="s">
        <v>56</v>
      </c>
      <c r="Q762" s="2">
        <v>46258</v>
      </c>
      <c r="R762" t="s">
        <v>64</v>
      </c>
    </row>
    <row r="763" spans="1:18" x14ac:dyDescent="0.2">
      <c r="A763" t="s">
        <v>1582</v>
      </c>
      <c r="B763" t="s">
        <v>1583</v>
      </c>
      <c r="C763" t="s">
        <v>96</v>
      </c>
      <c r="D763" t="s">
        <v>97</v>
      </c>
      <c r="E763" t="s">
        <v>53</v>
      </c>
      <c r="F763" t="s">
        <v>67</v>
      </c>
      <c r="G763" t="s">
        <v>68</v>
      </c>
      <c r="H763" t="s">
        <v>88</v>
      </c>
      <c r="I763" t="s">
        <v>54</v>
      </c>
      <c r="J763" t="s">
        <v>48</v>
      </c>
      <c r="K763" s="2">
        <v>45938</v>
      </c>
      <c r="L763" s="2">
        <v>46303</v>
      </c>
      <c r="M763" t="s">
        <v>84</v>
      </c>
      <c r="N763" t="s">
        <v>49</v>
      </c>
      <c r="O763">
        <v>0</v>
      </c>
      <c r="P763" t="s">
        <v>39</v>
      </c>
      <c r="Q763" s="2">
        <v>46153</v>
      </c>
      <c r="R763" t="s">
        <v>57</v>
      </c>
    </row>
    <row r="764" spans="1:18" x14ac:dyDescent="0.2">
      <c r="A764" t="s">
        <v>1584</v>
      </c>
      <c r="B764" t="s">
        <v>1585</v>
      </c>
      <c r="C764" t="s">
        <v>73</v>
      </c>
      <c r="D764" t="s">
        <v>74</v>
      </c>
      <c r="E764" t="s">
        <v>80</v>
      </c>
      <c r="F764" t="s">
        <v>34</v>
      </c>
      <c r="G764" t="s">
        <v>35</v>
      </c>
      <c r="H764" t="s">
        <v>36</v>
      </c>
      <c r="I764" t="s">
        <v>54</v>
      </c>
      <c r="J764" t="s">
        <v>37</v>
      </c>
      <c r="K764" s="2">
        <v>46026</v>
      </c>
      <c r="L764" s="2">
        <v>46116</v>
      </c>
      <c r="M764" t="s">
        <v>38</v>
      </c>
      <c r="N764" t="s">
        <v>75</v>
      </c>
      <c r="O764">
        <v>1</v>
      </c>
      <c r="P764" t="s">
        <v>111</v>
      </c>
      <c r="Q764" s="2">
        <v>46385</v>
      </c>
      <c r="R764" t="s">
        <v>84</v>
      </c>
    </row>
    <row r="765" spans="1:18" x14ac:dyDescent="0.2">
      <c r="A765" t="s">
        <v>1586</v>
      </c>
      <c r="B765" t="s">
        <v>1587</v>
      </c>
      <c r="C765" t="s">
        <v>42</v>
      </c>
      <c r="D765" t="s">
        <v>43</v>
      </c>
      <c r="E765" t="s">
        <v>60</v>
      </c>
      <c r="F765" t="s">
        <v>34</v>
      </c>
      <c r="G765" t="s">
        <v>35</v>
      </c>
      <c r="H765" t="s">
        <v>47</v>
      </c>
      <c r="I765" t="s">
        <v>50</v>
      </c>
      <c r="J765" t="s">
        <v>48</v>
      </c>
      <c r="K765" s="2">
        <v>46163</v>
      </c>
      <c r="L765" s="2">
        <v>46343</v>
      </c>
      <c r="M765" t="s">
        <v>64</v>
      </c>
      <c r="N765" t="s">
        <v>75</v>
      </c>
      <c r="O765">
        <v>1</v>
      </c>
      <c r="P765" t="s">
        <v>56</v>
      </c>
      <c r="Q765" s="2">
        <v>46319</v>
      </c>
      <c r="R765" t="s">
        <v>64</v>
      </c>
    </row>
    <row r="766" spans="1:18" x14ac:dyDescent="0.2">
      <c r="A766" t="s">
        <v>1588</v>
      </c>
      <c r="B766" t="s">
        <v>1589</v>
      </c>
      <c r="C766" t="s">
        <v>31</v>
      </c>
      <c r="D766" t="s">
        <v>83</v>
      </c>
      <c r="E766" t="s">
        <v>44</v>
      </c>
      <c r="F766" t="s">
        <v>34</v>
      </c>
      <c r="G766" t="s">
        <v>35</v>
      </c>
      <c r="H766" t="s">
        <v>88</v>
      </c>
      <c r="I766" t="s">
        <v>70</v>
      </c>
      <c r="J766" t="s">
        <v>48</v>
      </c>
      <c r="K766" s="2">
        <v>45894</v>
      </c>
      <c r="L766" s="2">
        <v>45984</v>
      </c>
      <c r="M766" t="s">
        <v>38</v>
      </c>
      <c r="N766" t="s">
        <v>55</v>
      </c>
      <c r="O766">
        <v>0</v>
      </c>
      <c r="P766" t="s">
        <v>111</v>
      </c>
      <c r="Q766" s="2">
        <v>46350</v>
      </c>
      <c r="R766" t="s">
        <v>57</v>
      </c>
    </row>
    <row r="767" spans="1:18" x14ac:dyDescent="0.2">
      <c r="A767" t="s">
        <v>1590</v>
      </c>
      <c r="B767" t="s">
        <v>1591</v>
      </c>
      <c r="C767" t="s">
        <v>73</v>
      </c>
      <c r="D767" t="s">
        <v>74</v>
      </c>
      <c r="E767" t="s">
        <v>53</v>
      </c>
      <c r="F767" t="s">
        <v>34</v>
      </c>
      <c r="G767" t="s">
        <v>35</v>
      </c>
      <c r="H767" t="s">
        <v>47</v>
      </c>
      <c r="I767" t="s">
        <v>70</v>
      </c>
      <c r="J767" t="s">
        <v>37</v>
      </c>
      <c r="K767" s="2">
        <v>46094</v>
      </c>
      <c r="L767" s="2">
        <v>46274</v>
      </c>
      <c r="M767" t="s">
        <v>38</v>
      </c>
      <c r="N767" t="s">
        <v>55</v>
      </c>
      <c r="O767">
        <v>1</v>
      </c>
      <c r="P767" t="s">
        <v>56</v>
      </c>
      <c r="Q767" s="2">
        <v>46318</v>
      </c>
      <c r="R767" t="s">
        <v>84</v>
      </c>
    </row>
    <row r="768" spans="1:18" x14ac:dyDescent="0.2">
      <c r="A768" t="s">
        <v>1592</v>
      </c>
      <c r="B768" t="s">
        <v>1593</v>
      </c>
      <c r="C768" t="s">
        <v>78</v>
      </c>
      <c r="D768" t="s">
        <v>79</v>
      </c>
      <c r="E768" t="s">
        <v>105</v>
      </c>
      <c r="F768" t="s">
        <v>67</v>
      </c>
      <c r="G768" t="s">
        <v>68</v>
      </c>
      <c r="H768" t="s">
        <v>88</v>
      </c>
      <c r="I768" t="s">
        <v>62</v>
      </c>
      <c r="J768" t="s">
        <v>63</v>
      </c>
      <c r="K768" s="2">
        <v>46176</v>
      </c>
      <c r="L768" s="2">
        <v>46356</v>
      </c>
      <c r="M768" t="s">
        <v>64</v>
      </c>
      <c r="N768" t="s">
        <v>55</v>
      </c>
      <c r="O768">
        <v>2</v>
      </c>
      <c r="P768" t="s">
        <v>39</v>
      </c>
      <c r="Q768" s="2">
        <v>46386</v>
      </c>
      <c r="R768" t="s">
        <v>84</v>
      </c>
    </row>
    <row r="769" spans="1:18" x14ac:dyDescent="0.2">
      <c r="A769" t="s">
        <v>1594</v>
      </c>
      <c r="B769" t="s">
        <v>1595</v>
      </c>
      <c r="C769" t="s">
        <v>31</v>
      </c>
      <c r="D769" t="s">
        <v>32</v>
      </c>
      <c r="E769" t="s">
        <v>105</v>
      </c>
      <c r="F769" t="s">
        <v>34</v>
      </c>
      <c r="G769" t="s">
        <v>35</v>
      </c>
      <c r="H769" t="s">
        <v>47</v>
      </c>
      <c r="I769" t="s">
        <v>39</v>
      </c>
      <c r="J769" t="s">
        <v>48</v>
      </c>
      <c r="K769" s="2">
        <v>45817</v>
      </c>
      <c r="L769" s="2">
        <v>45907</v>
      </c>
      <c r="M769" t="s">
        <v>38</v>
      </c>
      <c r="N769" t="s">
        <v>49</v>
      </c>
      <c r="O769">
        <v>2</v>
      </c>
      <c r="P769" t="s">
        <v>62</v>
      </c>
      <c r="Q769" s="2">
        <v>46237</v>
      </c>
      <c r="R769" t="s">
        <v>64</v>
      </c>
    </row>
    <row r="770" spans="1:18" x14ac:dyDescent="0.2">
      <c r="A770" t="s">
        <v>1596</v>
      </c>
      <c r="B770" t="s">
        <v>1597</v>
      </c>
      <c r="C770" t="s">
        <v>42</v>
      </c>
      <c r="D770" t="s">
        <v>43</v>
      </c>
      <c r="E770" t="s">
        <v>105</v>
      </c>
      <c r="F770" t="s">
        <v>67</v>
      </c>
      <c r="G770" t="s">
        <v>118</v>
      </c>
      <c r="H770" t="s">
        <v>47</v>
      </c>
      <c r="I770" t="s">
        <v>56</v>
      </c>
      <c r="J770" t="s">
        <v>48</v>
      </c>
      <c r="K770" s="2">
        <v>46022</v>
      </c>
      <c r="L770" s="2">
        <v>46112</v>
      </c>
      <c r="M770" t="s">
        <v>38</v>
      </c>
      <c r="N770" t="s">
        <v>55</v>
      </c>
      <c r="O770">
        <v>1</v>
      </c>
      <c r="P770" t="s">
        <v>70</v>
      </c>
      <c r="Q770" s="2">
        <v>46292</v>
      </c>
      <c r="R770" t="s">
        <v>38</v>
      </c>
    </row>
    <row r="771" spans="1:18" x14ac:dyDescent="0.2">
      <c r="A771" t="s">
        <v>1598</v>
      </c>
      <c r="B771" t="s">
        <v>1599</v>
      </c>
      <c r="C771" t="s">
        <v>31</v>
      </c>
      <c r="D771" t="s">
        <v>87</v>
      </c>
      <c r="E771" t="s">
        <v>91</v>
      </c>
      <c r="F771" t="s">
        <v>45</v>
      </c>
      <c r="G771" t="s">
        <v>61</v>
      </c>
      <c r="H771" t="s">
        <v>88</v>
      </c>
      <c r="I771" t="s">
        <v>54</v>
      </c>
      <c r="J771" t="s">
        <v>37</v>
      </c>
      <c r="K771" s="2">
        <v>46188</v>
      </c>
      <c r="L771" s="2">
        <v>46368</v>
      </c>
      <c r="M771" t="s">
        <v>84</v>
      </c>
      <c r="N771" t="s">
        <v>55</v>
      </c>
      <c r="O771">
        <v>2</v>
      </c>
      <c r="P771" t="s">
        <v>62</v>
      </c>
      <c r="Q771" s="2">
        <v>46348</v>
      </c>
      <c r="R771" t="s">
        <v>64</v>
      </c>
    </row>
    <row r="772" spans="1:18" x14ac:dyDescent="0.2">
      <c r="A772" t="s">
        <v>1600</v>
      </c>
      <c r="B772" t="s">
        <v>1601</v>
      </c>
      <c r="C772" t="s">
        <v>96</v>
      </c>
      <c r="D772" t="s">
        <v>97</v>
      </c>
      <c r="E772" t="s">
        <v>44</v>
      </c>
      <c r="F772" t="s">
        <v>67</v>
      </c>
      <c r="G772" t="s">
        <v>68</v>
      </c>
      <c r="H772" t="s">
        <v>98</v>
      </c>
      <c r="I772" t="s">
        <v>70</v>
      </c>
      <c r="J772" t="s">
        <v>48</v>
      </c>
      <c r="K772" s="2">
        <v>46188</v>
      </c>
      <c r="L772" s="2">
        <v>46553</v>
      </c>
      <c r="M772" t="s">
        <v>84</v>
      </c>
      <c r="N772" t="s">
        <v>49</v>
      </c>
      <c r="O772">
        <v>2</v>
      </c>
      <c r="P772" t="s">
        <v>111</v>
      </c>
      <c r="Q772" s="2">
        <v>46357</v>
      </c>
      <c r="R772" t="s">
        <v>84</v>
      </c>
    </row>
    <row r="773" spans="1:18" x14ac:dyDescent="0.2">
      <c r="A773" t="s">
        <v>1602</v>
      </c>
      <c r="B773" t="s">
        <v>1603</v>
      </c>
      <c r="C773" t="s">
        <v>31</v>
      </c>
      <c r="D773" t="s">
        <v>32</v>
      </c>
      <c r="E773" t="s">
        <v>105</v>
      </c>
      <c r="F773" t="s">
        <v>45</v>
      </c>
      <c r="G773" t="s">
        <v>46</v>
      </c>
      <c r="H773" t="s">
        <v>88</v>
      </c>
      <c r="I773" t="s">
        <v>56</v>
      </c>
      <c r="J773" t="s">
        <v>63</v>
      </c>
      <c r="K773" s="2">
        <v>45848</v>
      </c>
      <c r="L773" s="2">
        <v>45938</v>
      </c>
      <c r="M773" t="s">
        <v>38</v>
      </c>
      <c r="N773" t="s">
        <v>49</v>
      </c>
      <c r="O773">
        <v>1</v>
      </c>
      <c r="P773" t="s">
        <v>106</v>
      </c>
      <c r="Q773" s="2">
        <v>46190</v>
      </c>
      <c r="R773" t="s">
        <v>38</v>
      </c>
    </row>
    <row r="774" spans="1:18" x14ac:dyDescent="0.2">
      <c r="A774" t="s">
        <v>1604</v>
      </c>
      <c r="B774" t="s">
        <v>1605</v>
      </c>
      <c r="C774" t="s">
        <v>73</v>
      </c>
      <c r="D774" t="s">
        <v>74</v>
      </c>
      <c r="E774" t="s">
        <v>91</v>
      </c>
      <c r="F774" t="s">
        <v>67</v>
      </c>
      <c r="G774" t="s">
        <v>118</v>
      </c>
      <c r="H774" t="s">
        <v>88</v>
      </c>
      <c r="I774" t="s">
        <v>56</v>
      </c>
      <c r="J774" t="s">
        <v>63</v>
      </c>
      <c r="K774" s="2">
        <v>45936</v>
      </c>
      <c r="L774" s="2">
        <v>46116</v>
      </c>
      <c r="M774" t="s">
        <v>38</v>
      </c>
      <c r="N774" t="s">
        <v>75</v>
      </c>
      <c r="O774">
        <v>2</v>
      </c>
      <c r="P774" t="s">
        <v>106</v>
      </c>
      <c r="Q774" s="2">
        <v>46349</v>
      </c>
      <c r="R774" t="s">
        <v>64</v>
      </c>
    </row>
    <row r="775" spans="1:18" x14ac:dyDescent="0.2">
      <c r="A775" t="s">
        <v>1606</v>
      </c>
      <c r="B775" t="s">
        <v>1607</v>
      </c>
      <c r="C775" t="s">
        <v>78</v>
      </c>
      <c r="D775" t="s">
        <v>79</v>
      </c>
      <c r="E775" t="s">
        <v>105</v>
      </c>
      <c r="F775" t="s">
        <v>34</v>
      </c>
      <c r="G775" t="s">
        <v>35</v>
      </c>
      <c r="H775" t="s">
        <v>47</v>
      </c>
      <c r="I775" t="s">
        <v>39</v>
      </c>
      <c r="J775" t="s">
        <v>48</v>
      </c>
      <c r="K775" s="2">
        <v>46200</v>
      </c>
      <c r="L775" s="2">
        <v>46380</v>
      </c>
      <c r="M775" t="s">
        <v>84</v>
      </c>
      <c r="N775" t="s">
        <v>75</v>
      </c>
      <c r="O775">
        <v>3</v>
      </c>
      <c r="P775" t="s">
        <v>70</v>
      </c>
      <c r="Q775" s="2">
        <v>46130</v>
      </c>
      <c r="R775" t="s">
        <v>64</v>
      </c>
    </row>
    <row r="776" spans="1:18" x14ac:dyDescent="0.2">
      <c r="A776" t="s">
        <v>1608</v>
      </c>
      <c r="B776" t="s">
        <v>1609</v>
      </c>
      <c r="C776" t="s">
        <v>73</v>
      </c>
      <c r="D776" t="s">
        <v>74</v>
      </c>
      <c r="E776" t="s">
        <v>91</v>
      </c>
      <c r="F776" t="s">
        <v>45</v>
      </c>
      <c r="G776" t="s">
        <v>61</v>
      </c>
      <c r="H776" t="s">
        <v>47</v>
      </c>
      <c r="I776" t="s">
        <v>56</v>
      </c>
      <c r="J776" t="s">
        <v>37</v>
      </c>
      <c r="K776" s="2">
        <v>45826</v>
      </c>
      <c r="L776" s="2">
        <v>46191</v>
      </c>
      <c r="M776" t="s">
        <v>38</v>
      </c>
      <c r="N776" t="s">
        <v>49</v>
      </c>
      <c r="O776">
        <v>3</v>
      </c>
      <c r="P776" t="s">
        <v>62</v>
      </c>
      <c r="Q776" s="2">
        <v>46384</v>
      </c>
      <c r="R776" t="s">
        <v>64</v>
      </c>
    </row>
    <row r="777" spans="1:18" x14ac:dyDescent="0.2">
      <c r="A777" t="s">
        <v>1610</v>
      </c>
      <c r="B777" t="s">
        <v>1611</v>
      </c>
      <c r="C777" t="s">
        <v>73</v>
      </c>
      <c r="D777" t="s">
        <v>74</v>
      </c>
      <c r="E777" t="s">
        <v>44</v>
      </c>
      <c r="F777" t="s">
        <v>67</v>
      </c>
      <c r="G777" t="s">
        <v>118</v>
      </c>
      <c r="H777" t="s">
        <v>47</v>
      </c>
      <c r="I777" t="s">
        <v>106</v>
      </c>
      <c r="J777" t="s">
        <v>48</v>
      </c>
      <c r="K777" s="2">
        <v>45848</v>
      </c>
      <c r="L777" s="2">
        <v>46213</v>
      </c>
      <c r="M777" t="s">
        <v>38</v>
      </c>
      <c r="N777" t="s">
        <v>55</v>
      </c>
      <c r="O777">
        <v>3</v>
      </c>
      <c r="P777" t="s">
        <v>39</v>
      </c>
      <c r="Q777" s="2">
        <v>46347</v>
      </c>
      <c r="R777" t="s">
        <v>84</v>
      </c>
    </row>
    <row r="778" spans="1:18" x14ac:dyDescent="0.2">
      <c r="A778" t="s">
        <v>1612</v>
      </c>
      <c r="B778" t="s">
        <v>1613</v>
      </c>
      <c r="C778" t="s">
        <v>31</v>
      </c>
      <c r="D778" t="s">
        <v>87</v>
      </c>
      <c r="E778" t="s">
        <v>80</v>
      </c>
      <c r="F778" t="s">
        <v>67</v>
      </c>
      <c r="G778" t="s">
        <v>68</v>
      </c>
      <c r="H778" t="s">
        <v>88</v>
      </c>
      <c r="I778" t="s">
        <v>56</v>
      </c>
      <c r="J778" t="s">
        <v>48</v>
      </c>
      <c r="K778" s="2">
        <v>45956</v>
      </c>
      <c r="L778" s="2">
        <v>46321</v>
      </c>
      <c r="M778" t="s">
        <v>69</v>
      </c>
      <c r="N778" t="s">
        <v>75</v>
      </c>
      <c r="O778">
        <v>2</v>
      </c>
      <c r="P778" t="s">
        <v>54</v>
      </c>
      <c r="Q778" s="2">
        <v>46148</v>
      </c>
      <c r="R778" t="s">
        <v>38</v>
      </c>
    </row>
    <row r="779" spans="1:18" x14ac:dyDescent="0.2">
      <c r="A779" t="s">
        <v>1614</v>
      </c>
      <c r="B779" t="s">
        <v>1615</v>
      </c>
      <c r="C779" t="s">
        <v>42</v>
      </c>
      <c r="D779" t="s">
        <v>43</v>
      </c>
      <c r="E779" t="s">
        <v>105</v>
      </c>
      <c r="F779" t="s">
        <v>67</v>
      </c>
      <c r="G779" t="s">
        <v>68</v>
      </c>
      <c r="H779" t="s">
        <v>88</v>
      </c>
      <c r="I779" t="s">
        <v>39</v>
      </c>
      <c r="J779" t="s">
        <v>37</v>
      </c>
      <c r="K779" s="2">
        <v>46055</v>
      </c>
      <c r="L779" s="2">
        <v>46235</v>
      </c>
      <c r="M779" t="s">
        <v>38</v>
      </c>
      <c r="N779" t="s">
        <v>49</v>
      </c>
      <c r="O779">
        <v>0</v>
      </c>
      <c r="P779" t="s">
        <v>56</v>
      </c>
      <c r="Q779" s="2">
        <v>46140</v>
      </c>
      <c r="R779" t="s">
        <v>57</v>
      </c>
    </row>
    <row r="780" spans="1:18" x14ac:dyDescent="0.2">
      <c r="A780" t="s">
        <v>1616</v>
      </c>
      <c r="B780" t="s">
        <v>1617</v>
      </c>
      <c r="C780" t="s">
        <v>31</v>
      </c>
      <c r="D780" t="s">
        <v>87</v>
      </c>
      <c r="E780" t="s">
        <v>105</v>
      </c>
      <c r="F780" t="s">
        <v>34</v>
      </c>
      <c r="G780" t="s">
        <v>35</v>
      </c>
      <c r="H780" t="s">
        <v>36</v>
      </c>
      <c r="I780" t="s">
        <v>50</v>
      </c>
      <c r="J780" t="s">
        <v>37</v>
      </c>
      <c r="K780" s="2">
        <v>45900</v>
      </c>
      <c r="L780" s="2">
        <v>45990</v>
      </c>
      <c r="M780" t="s">
        <v>38</v>
      </c>
      <c r="N780" t="s">
        <v>75</v>
      </c>
      <c r="O780">
        <v>4</v>
      </c>
      <c r="P780" t="s">
        <v>54</v>
      </c>
      <c r="Q780" s="2">
        <v>46156</v>
      </c>
      <c r="R780" t="s">
        <v>64</v>
      </c>
    </row>
    <row r="781" spans="1:18" x14ac:dyDescent="0.2">
      <c r="A781" t="s">
        <v>1618</v>
      </c>
      <c r="B781" t="s">
        <v>1619</v>
      </c>
      <c r="C781" t="s">
        <v>73</v>
      </c>
      <c r="D781" t="s">
        <v>74</v>
      </c>
      <c r="E781" t="s">
        <v>80</v>
      </c>
      <c r="F781" t="s">
        <v>34</v>
      </c>
      <c r="G781" t="s">
        <v>35</v>
      </c>
      <c r="H781" t="s">
        <v>88</v>
      </c>
      <c r="I781" t="s">
        <v>70</v>
      </c>
      <c r="J781" t="s">
        <v>63</v>
      </c>
      <c r="K781" s="2">
        <v>45818</v>
      </c>
      <c r="L781" s="2">
        <v>45998</v>
      </c>
      <c r="M781" t="s">
        <v>38</v>
      </c>
      <c r="N781" t="s">
        <v>75</v>
      </c>
      <c r="O781">
        <v>2</v>
      </c>
      <c r="P781" t="s">
        <v>50</v>
      </c>
      <c r="Q781" s="2">
        <v>46203</v>
      </c>
      <c r="R781" t="s">
        <v>38</v>
      </c>
    </row>
    <row r="782" spans="1:18" x14ac:dyDescent="0.2">
      <c r="A782" t="s">
        <v>1620</v>
      </c>
      <c r="B782" t="s">
        <v>1621</v>
      </c>
      <c r="C782" t="s">
        <v>78</v>
      </c>
      <c r="D782" t="s">
        <v>79</v>
      </c>
      <c r="E782" t="s">
        <v>53</v>
      </c>
      <c r="F782" t="s">
        <v>34</v>
      </c>
      <c r="G782" t="s">
        <v>35</v>
      </c>
      <c r="H782" t="s">
        <v>47</v>
      </c>
      <c r="I782" t="s">
        <v>54</v>
      </c>
      <c r="J782" t="s">
        <v>48</v>
      </c>
      <c r="K782" s="2">
        <v>46121</v>
      </c>
      <c r="L782" s="2">
        <v>46301</v>
      </c>
      <c r="M782" t="s">
        <v>64</v>
      </c>
      <c r="N782" t="s">
        <v>49</v>
      </c>
      <c r="O782">
        <v>3</v>
      </c>
      <c r="P782" t="s">
        <v>111</v>
      </c>
      <c r="Q782" s="2">
        <v>46394</v>
      </c>
      <c r="R782" t="s">
        <v>64</v>
      </c>
    </row>
    <row r="783" spans="1:18" x14ac:dyDescent="0.2">
      <c r="A783" t="s">
        <v>1622</v>
      </c>
      <c r="B783" t="s">
        <v>1623</v>
      </c>
      <c r="C783" t="s">
        <v>96</v>
      </c>
      <c r="D783" t="s">
        <v>97</v>
      </c>
      <c r="E783" t="s">
        <v>60</v>
      </c>
      <c r="F783" t="s">
        <v>34</v>
      </c>
      <c r="G783" t="s">
        <v>35</v>
      </c>
      <c r="H783" t="s">
        <v>98</v>
      </c>
      <c r="I783" t="s">
        <v>106</v>
      </c>
      <c r="J783" t="s">
        <v>63</v>
      </c>
      <c r="K783" s="2">
        <v>46036</v>
      </c>
      <c r="L783" s="2">
        <v>46216</v>
      </c>
      <c r="M783" t="s">
        <v>38</v>
      </c>
      <c r="N783" t="s">
        <v>75</v>
      </c>
      <c r="O783">
        <v>3</v>
      </c>
      <c r="P783" t="s">
        <v>39</v>
      </c>
      <c r="Q783" s="2">
        <v>46330</v>
      </c>
      <c r="R783" t="s">
        <v>84</v>
      </c>
    </row>
    <row r="784" spans="1:18" x14ac:dyDescent="0.2">
      <c r="A784" t="s">
        <v>1624</v>
      </c>
      <c r="B784" t="s">
        <v>1625</v>
      </c>
      <c r="C784" t="s">
        <v>42</v>
      </c>
      <c r="D784" t="s">
        <v>43</v>
      </c>
      <c r="E784" t="s">
        <v>44</v>
      </c>
      <c r="F784" t="s">
        <v>67</v>
      </c>
      <c r="G784" t="s">
        <v>68</v>
      </c>
      <c r="H784" t="s">
        <v>88</v>
      </c>
      <c r="I784" t="s">
        <v>56</v>
      </c>
      <c r="J784" t="s">
        <v>37</v>
      </c>
      <c r="K784" s="2">
        <v>45873</v>
      </c>
      <c r="L784" s="2">
        <v>45963</v>
      </c>
      <c r="M784" t="s">
        <v>38</v>
      </c>
      <c r="N784" t="s">
        <v>49</v>
      </c>
      <c r="O784">
        <v>2</v>
      </c>
      <c r="P784" t="s">
        <v>50</v>
      </c>
      <c r="Q784" s="2">
        <v>46180</v>
      </c>
      <c r="R784" t="s">
        <v>38</v>
      </c>
    </row>
    <row r="785" spans="1:18" x14ac:dyDescent="0.2">
      <c r="A785" t="s">
        <v>1626</v>
      </c>
      <c r="B785" t="s">
        <v>1627</v>
      </c>
      <c r="C785" t="s">
        <v>31</v>
      </c>
      <c r="D785" t="s">
        <v>32</v>
      </c>
      <c r="E785" t="s">
        <v>80</v>
      </c>
      <c r="F785" t="s">
        <v>67</v>
      </c>
      <c r="G785" t="s">
        <v>68</v>
      </c>
      <c r="H785" t="s">
        <v>36</v>
      </c>
      <c r="I785" t="s">
        <v>111</v>
      </c>
      <c r="J785" t="s">
        <v>63</v>
      </c>
      <c r="K785" s="2">
        <v>45846</v>
      </c>
      <c r="L785" s="2">
        <v>45936</v>
      </c>
      <c r="M785" t="s">
        <v>38</v>
      </c>
      <c r="N785" t="s">
        <v>55</v>
      </c>
      <c r="O785">
        <v>0</v>
      </c>
      <c r="P785" t="s">
        <v>70</v>
      </c>
      <c r="Q785" s="2">
        <v>46253</v>
      </c>
      <c r="R785" t="s">
        <v>57</v>
      </c>
    </row>
    <row r="786" spans="1:18" x14ac:dyDescent="0.2">
      <c r="A786" t="s">
        <v>1628</v>
      </c>
      <c r="B786" t="s">
        <v>1629</v>
      </c>
      <c r="C786" t="s">
        <v>96</v>
      </c>
      <c r="D786" t="s">
        <v>97</v>
      </c>
      <c r="E786" t="s">
        <v>91</v>
      </c>
      <c r="F786" t="s">
        <v>67</v>
      </c>
      <c r="G786" t="s">
        <v>118</v>
      </c>
      <c r="H786" t="s">
        <v>88</v>
      </c>
      <c r="I786" t="s">
        <v>39</v>
      </c>
      <c r="J786" t="s">
        <v>48</v>
      </c>
      <c r="K786" s="2">
        <v>46213</v>
      </c>
      <c r="L786" s="2">
        <v>46578</v>
      </c>
      <c r="M786" t="s">
        <v>84</v>
      </c>
      <c r="N786" t="s">
        <v>49</v>
      </c>
      <c r="O786">
        <v>1</v>
      </c>
      <c r="P786" t="s">
        <v>50</v>
      </c>
      <c r="Q786" s="2">
        <v>46379</v>
      </c>
      <c r="R786" t="s">
        <v>64</v>
      </c>
    </row>
    <row r="787" spans="1:18" x14ac:dyDescent="0.2">
      <c r="A787" t="s">
        <v>1630</v>
      </c>
      <c r="B787" t="s">
        <v>1631</v>
      </c>
      <c r="C787" t="s">
        <v>31</v>
      </c>
      <c r="D787" t="s">
        <v>87</v>
      </c>
      <c r="E787" t="s">
        <v>91</v>
      </c>
      <c r="F787" t="s">
        <v>67</v>
      </c>
      <c r="G787" t="s">
        <v>118</v>
      </c>
      <c r="H787" t="s">
        <v>98</v>
      </c>
      <c r="I787" t="s">
        <v>39</v>
      </c>
      <c r="J787" t="s">
        <v>63</v>
      </c>
      <c r="K787" s="2">
        <v>45863</v>
      </c>
      <c r="L787" s="2">
        <v>46043</v>
      </c>
      <c r="M787" t="s">
        <v>38</v>
      </c>
      <c r="N787" t="s">
        <v>49</v>
      </c>
      <c r="O787">
        <v>5</v>
      </c>
      <c r="P787" t="s">
        <v>70</v>
      </c>
      <c r="Q787" s="2">
        <v>46217</v>
      </c>
      <c r="R787" t="s">
        <v>64</v>
      </c>
    </row>
    <row r="788" spans="1:18" x14ac:dyDescent="0.2">
      <c r="A788" t="s">
        <v>1632</v>
      </c>
      <c r="B788" t="s">
        <v>1633</v>
      </c>
      <c r="C788" t="s">
        <v>78</v>
      </c>
      <c r="D788" t="s">
        <v>79</v>
      </c>
      <c r="E788" t="s">
        <v>44</v>
      </c>
      <c r="F788" t="s">
        <v>34</v>
      </c>
      <c r="G788" t="s">
        <v>35</v>
      </c>
      <c r="H788" t="s">
        <v>47</v>
      </c>
      <c r="I788" t="s">
        <v>111</v>
      </c>
      <c r="J788" t="s">
        <v>48</v>
      </c>
      <c r="K788" s="2">
        <v>46263</v>
      </c>
      <c r="L788" s="2">
        <v>46628</v>
      </c>
      <c r="M788" t="s">
        <v>64</v>
      </c>
      <c r="N788" t="s">
        <v>55</v>
      </c>
      <c r="O788">
        <v>0</v>
      </c>
      <c r="P788" t="s">
        <v>54</v>
      </c>
      <c r="Q788" s="2">
        <v>46268</v>
      </c>
      <c r="R788" t="s">
        <v>57</v>
      </c>
    </row>
    <row r="789" spans="1:18" x14ac:dyDescent="0.2">
      <c r="A789" t="s">
        <v>1634</v>
      </c>
      <c r="B789" t="s">
        <v>1635</v>
      </c>
      <c r="C789" t="s">
        <v>31</v>
      </c>
      <c r="D789" t="s">
        <v>83</v>
      </c>
      <c r="E789" t="s">
        <v>60</v>
      </c>
      <c r="F789" t="s">
        <v>34</v>
      </c>
      <c r="G789" t="s">
        <v>35</v>
      </c>
      <c r="H789" t="s">
        <v>88</v>
      </c>
      <c r="I789" t="s">
        <v>70</v>
      </c>
      <c r="J789" t="s">
        <v>63</v>
      </c>
      <c r="K789" s="2">
        <v>46054</v>
      </c>
      <c r="L789" s="2">
        <v>46144</v>
      </c>
      <c r="M789" t="s">
        <v>38</v>
      </c>
      <c r="N789" t="s">
        <v>49</v>
      </c>
      <c r="O789">
        <v>0</v>
      </c>
      <c r="P789" t="s">
        <v>54</v>
      </c>
      <c r="Q789" s="2">
        <v>46209</v>
      </c>
      <c r="R789" t="s">
        <v>57</v>
      </c>
    </row>
    <row r="790" spans="1:18" x14ac:dyDescent="0.2">
      <c r="A790" t="s">
        <v>1636</v>
      </c>
      <c r="B790" t="s">
        <v>1637</v>
      </c>
      <c r="C790" t="s">
        <v>78</v>
      </c>
      <c r="D790" t="s">
        <v>79</v>
      </c>
      <c r="E790" t="s">
        <v>80</v>
      </c>
      <c r="F790" t="s">
        <v>45</v>
      </c>
      <c r="G790" t="s">
        <v>46</v>
      </c>
      <c r="H790" t="s">
        <v>88</v>
      </c>
      <c r="I790" t="s">
        <v>56</v>
      </c>
      <c r="J790" t="s">
        <v>63</v>
      </c>
      <c r="K790" s="2">
        <v>45934</v>
      </c>
      <c r="L790" s="2">
        <v>46024</v>
      </c>
      <c r="M790" t="s">
        <v>38</v>
      </c>
      <c r="N790" t="s">
        <v>49</v>
      </c>
      <c r="O790">
        <v>3</v>
      </c>
      <c r="P790" t="s">
        <v>70</v>
      </c>
      <c r="Q790" s="2">
        <v>46303</v>
      </c>
      <c r="R790" t="s">
        <v>84</v>
      </c>
    </row>
    <row r="791" spans="1:18" x14ac:dyDescent="0.2">
      <c r="A791" t="s">
        <v>1638</v>
      </c>
      <c r="B791" t="s">
        <v>1639</v>
      </c>
      <c r="C791" t="s">
        <v>31</v>
      </c>
      <c r="D791" t="s">
        <v>87</v>
      </c>
      <c r="E791" t="s">
        <v>80</v>
      </c>
      <c r="F791" t="s">
        <v>67</v>
      </c>
      <c r="G791" t="s">
        <v>118</v>
      </c>
      <c r="H791" t="s">
        <v>47</v>
      </c>
      <c r="I791" t="s">
        <v>56</v>
      </c>
      <c r="J791" t="s">
        <v>63</v>
      </c>
      <c r="K791" s="2">
        <v>46041</v>
      </c>
      <c r="L791" s="2">
        <v>46131</v>
      </c>
      <c r="M791" t="s">
        <v>38</v>
      </c>
      <c r="N791" t="s">
        <v>49</v>
      </c>
      <c r="O791">
        <v>3</v>
      </c>
      <c r="P791" t="s">
        <v>111</v>
      </c>
      <c r="Q791" s="2">
        <v>46120</v>
      </c>
      <c r="R791" t="s">
        <v>38</v>
      </c>
    </row>
    <row r="792" spans="1:18" x14ac:dyDescent="0.2">
      <c r="A792" t="s">
        <v>1640</v>
      </c>
      <c r="B792" t="s">
        <v>1641</v>
      </c>
      <c r="C792" t="s">
        <v>103</v>
      </c>
      <c r="D792" t="s">
        <v>104</v>
      </c>
      <c r="E792" t="s">
        <v>44</v>
      </c>
      <c r="F792" t="s">
        <v>45</v>
      </c>
      <c r="G792" t="s">
        <v>61</v>
      </c>
      <c r="H792" t="s">
        <v>88</v>
      </c>
      <c r="I792" t="s">
        <v>111</v>
      </c>
      <c r="J792" t="s">
        <v>63</v>
      </c>
      <c r="K792" s="2">
        <v>46134</v>
      </c>
      <c r="L792" s="2">
        <v>46224</v>
      </c>
      <c r="M792" t="s">
        <v>38</v>
      </c>
      <c r="N792" t="s">
        <v>55</v>
      </c>
      <c r="O792">
        <v>2</v>
      </c>
      <c r="P792" t="s">
        <v>62</v>
      </c>
      <c r="Q792" s="2">
        <v>46371</v>
      </c>
      <c r="R792" t="s">
        <v>84</v>
      </c>
    </row>
    <row r="793" spans="1:18" x14ac:dyDescent="0.2">
      <c r="A793" t="s">
        <v>1642</v>
      </c>
      <c r="B793" t="s">
        <v>1643</v>
      </c>
      <c r="C793" t="s">
        <v>42</v>
      </c>
      <c r="D793" t="s">
        <v>43</v>
      </c>
      <c r="E793" t="s">
        <v>44</v>
      </c>
      <c r="F793" t="s">
        <v>34</v>
      </c>
      <c r="G793" t="s">
        <v>35</v>
      </c>
      <c r="H793" t="s">
        <v>88</v>
      </c>
      <c r="I793" t="s">
        <v>106</v>
      </c>
      <c r="J793" t="s">
        <v>48</v>
      </c>
      <c r="K793" s="2">
        <v>45940</v>
      </c>
      <c r="L793" s="2">
        <v>46305</v>
      </c>
      <c r="M793" t="s">
        <v>69</v>
      </c>
      <c r="N793" t="s">
        <v>49</v>
      </c>
      <c r="O793">
        <v>1</v>
      </c>
      <c r="P793" t="s">
        <v>111</v>
      </c>
      <c r="Q793" s="2">
        <v>46257</v>
      </c>
      <c r="R793" t="s">
        <v>38</v>
      </c>
    </row>
    <row r="794" spans="1:18" x14ac:dyDescent="0.2">
      <c r="A794" t="s">
        <v>1644</v>
      </c>
      <c r="B794" t="s">
        <v>1645</v>
      </c>
      <c r="C794" t="s">
        <v>78</v>
      </c>
      <c r="D794" t="s">
        <v>79</v>
      </c>
      <c r="E794" t="s">
        <v>60</v>
      </c>
      <c r="F794" t="s">
        <v>67</v>
      </c>
      <c r="G794" t="s">
        <v>118</v>
      </c>
      <c r="H794" t="s">
        <v>88</v>
      </c>
      <c r="I794" t="s">
        <v>56</v>
      </c>
      <c r="J794" t="s">
        <v>48</v>
      </c>
      <c r="K794" s="2">
        <v>46209</v>
      </c>
      <c r="L794" s="2">
        <v>46574</v>
      </c>
      <c r="M794" t="s">
        <v>64</v>
      </c>
      <c r="N794" t="s">
        <v>49</v>
      </c>
      <c r="O794">
        <v>2</v>
      </c>
      <c r="P794" t="s">
        <v>39</v>
      </c>
      <c r="Q794" s="2">
        <v>46414</v>
      </c>
      <c r="R794" t="s">
        <v>84</v>
      </c>
    </row>
    <row r="795" spans="1:18" x14ac:dyDescent="0.2">
      <c r="A795" t="s">
        <v>1646</v>
      </c>
      <c r="B795" t="s">
        <v>1647</v>
      </c>
      <c r="C795" t="s">
        <v>31</v>
      </c>
      <c r="D795" t="s">
        <v>83</v>
      </c>
      <c r="E795" t="s">
        <v>44</v>
      </c>
      <c r="F795" t="s">
        <v>34</v>
      </c>
      <c r="G795" t="s">
        <v>35</v>
      </c>
      <c r="H795" t="s">
        <v>47</v>
      </c>
      <c r="I795" t="s">
        <v>70</v>
      </c>
      <c r="J795" t="s">
        <v>37</v>
      </c>
      <c r="K795" s="2">
        <v>46020</v>
      </c>
      <c r="L795" s="2">
        <v>46385</v>
      </c>
      <c r="M795" t="s">
        <v>64</v>
      </c>
      <c r="N795" t="s">
        <v>55</v>
      </c>
      <c r="O795">
        <v>1</v>
      </c>
      <c r="P795" t="s">
        <v>62</v>
      </c>
      <c r="Q795" s="2">
        <v>46168</v>
      </c>
      <c r="R795" t="s">
        <v>38</v>
      </c>
    </row>
    <row r="796" spans="1:18" x14ac:dyDescent="0.2">
      <c r="A796" t="s">
        <v>1648</v>
      </c>
      <c r="B796" t="s">
        <v>1649</v>
      </c>
      <c r="C796" t="s">
        <v>31</v>
      </c>
      <c r="D796" t="s">
        <v>87</v>
      </c>
      <c r="E796" t="s">
        <v>60</v>
      </c>
      <c r="F796" t="s">
        <v>45</v>
      </c>
      <c r="G796" t="s">
        <v>46</v>
      </c>
      <c r="H796" t="s">
        <v>47</v>
      </c>
      <c r="I796" t="s">
        <v>39</v>
      </c>
      <c r="J796" t="s">
        <v>37</v>
      </c>
      <c r="K796" s="2">
        <v>45842</v>
      </c>
      <c r="L796" s="2">
        <v>46207</v>
      </c>
      <c r="M796" t="s">
        <v>38</v>
      </c>
      <c r="N796" t="s">
        <v>55</v>
      </c>
      <c r="O796">
        <v>3</v>
      </c>
      <c r="P796" t="s">
        <v>70</v>
      </c>
      <c r="Q796" s="2">
        <v>46306</v>
      </c>
      <c r="R796" t="s">
        <v>84</v>
      </c>
    </row>
    <row r="797" spans="1:18" x14ac:dyDescent="0.2">
      <c r="A797" t="s">
        <v>1650</v>
      </c>
      <c r="B797" t="s">
        <v>1651</v>
      </c>
      <c r="C797" t="s">
        <v>31</v>
      </c>
      <c r="D797" t="s">
        <v>83</v>
      </c>
      <c r="E797" t="s">
        <v>80</v>
      </c>
      <c r="F797" t="s">
        <v>34</v>
      </c>
      <c r="G797" t="s">
        <v>35</v>
      </c>
      <c r="H797" t="s">
        <v>47</v>
      </c>
      <c r="I797" t="s">
        <v>54</v>
      </c>
      <c r="J797" t="s">
        <v>63</v>
      </c>
      <c r="K797" s="2">
        <v>46175</v>
      </c>
      <c r="L797" s="2">
        <v>46355</v>
      </c>
      <c r="M797" t="s">
        <v>64</v>
      </c>
      <c r="N797" t="s">
        <v>49</v>
      </c>
      <c r="O797">
        <v>2</v>
      </c>
      <c r="P797" t="s">
        <v>54</v>
      </c>
      <c r="Q797" s="2">
        <v>46230</v>
      </c>
      <c r="R797" t="s">
        <v>64</v>
      </c>
    </row>
    <row r="798" spans="1:18" x14ac:dyDescent="0.2">
      <c r="A798" t="s">
        <v>1652</v>
      </c>
      <c r="B798" t="s">
        <v>1653</v>
      </c>
      <c r="C798" t="s">
        <v>78</v>
      </c>
      <c r="D798" t="s">
        <v>79</v>
      </c>
      <c r="E798" t="s">
        <v>91</v>
      </c>
      <c r="F798" t="s">
        <v>45</v>
      </c>
      <c r="G798" t="s">
        <v>46</v>
      </c>
      <c r="H798" t="s">
        <v>98</v>
      </c>
      <c r="I798" t="s">
        <v>70</v>
      </c>
      <c r="J798" t="s">
        <v>63</v>
      </c>
      <c r="K798" s="2">
        <v>46171</v>
      </c>
      <c r="L798" s="2">
        <v>46261</v>
      </c>
      <c r="M798" t="s">
        <v>38</v>
      </c>
      <c r="N798" t="s">
        <v>55</v>
      </c>
      <c r="O798">
        <v>0</v>
      </c>
      <c r="P798" t="s">
        <v>70</v>
      </c>
      <c r="Q798" s="2">
        <v>46299</v>
      </c>
      <c r="R798" t="s">
        <v>57</v>
      </c>
    </row>
    <row r="799" spans="1:18" x14ac:dyDescent="0.2">
      <c r="A799" t="s">
        <v>1654</v>
      </c>
      <c r="B799" t="s">
        <v>1655</v>
      </c>
      <c r="C799" t="s">
        <v>31</v>
      </c>
      <c r="D799" t="s">
        <v>83</v>
      </c>
      <c r="E799" t="s">
        <v>91</v>
      </c>
      <c r="F799" t="s">
        <v>67</v>
      </c>
      <c r="G799" t="s">
        <v>68</v>
      </c>
      <c r="H799" t="s">
        <v>36</v>
      </c>
      <c r="I799" t="s">
        <v>111</v>
      </c>
      <c r="J799" t="s">
        <v>48</v>
      </c>
      <c r="K799" s="2">
        <v>46178</v>
      </c>
      <c r="L799" s="2">
        <v>46268</v>
      </c>
      <c r="M799" t="s">
        <v>38</v>
      </c>
      <c r="N799" t="s">
        <v>49</v>
      </c>
      <c r="O799">
        <v>3</v>
      </c>
      <c r="P799" t="s">
        <v>111</v>
      </c>
      <c r="Q799" s="2">
        <v>46371</v>
      </c>
      <c r="R799" t="s">
        <v>84</v>
      </c>
    </row>
    <row r="800" spans="1:18" x14ac:dyDescent="0.2">
      <c r="A800" t="s">
        <v>1656</v>
      </c>
      <c r="B800" t="s">
        <v>1657</v>
      </c>
      <c r="C800" t="s">
        <v>96</v>
      </c>
      <c r="D800" t="s">
        <v>97</v>
      </c>
      <c r="E800" t="s">
        <v>105</v>
      </c>
      <c r="F800" t="s">
        <v>67</v>
      </c>
      <c r="G800" t="s">
        <v>118</v>
      </c>
      <c r="H800" t="s">
        <v>88</v>
      </c>
      <c r="I800" t="s">
        <v>50</v>
      </c>
      <c r="J800" t="s">
        <v>48</v>
      </c>
      <c r="K800" s="2">
        <v>45875</v>
      </c>
      <c r="L800" s="2">
        <v>46240</v>
      </c>
      <c r="M800" t="s">
        <v>38</v>
      </c>
      <c r="N800" t="s">
        <v>75</v>
      </c>
      <c r="O800">
        <v>0</v>
      </c>
      <c r="P800" t="s">
        <v>106</v>
      </c>
      <c r="Q800" s="2">
        <v>46175</v>
      </c>
      <c r="R800" t="s">
        <v>57</v>
      </c>
    </row>
    <row r="801" spans="1:18" x14ac:dyDescent="0.2">
      <c r="A801" t="s">
        <v>1658</v>
      </c>
      <c r="B801" t="s">
        <v>1659</v>
      </c>
      <c r="C801" t="s">
        <v>103</v>
      </c>
      <c r="D801" t="s">
        <v>104</v>
      </c>
      <c r="E801" t="s">
        <v>53</v>
      </c>
      <c r="F801" t="s">
        <v>45</v>
      </c>
      <c r="G801" t="s">
        <v>46</v>
      </c>
      <c r="H801" t="s">
        <v>98</v>
      </c>
      <c r="I801" t="s">
        <v>56</v>
      </c>
      <c r="J801" t="s">
        <v>63</v>
      </c>
      <c r="K801" s="2">
        <v>46076</v>
      </c>
      <c r="L801" s="2">
        <v>46441</v>
      </c>
      <c r="M801" t="s">
        <v>64</v>
      </c>
      <c r="N801" t="s">
        <v>55</v>
      </c>
      <c r="O801">
        <v>2</v>
      </c>
      <c r="P801" t="s">
        <v>56</v>
      </c>
      <c r="Q801" s="2">
        <v>46153</v>
      </c>
      <c r="R801" t="s">
        <v>38</v>
      </c>
    </row>
    <row r="802" spans="1:18" x14ac:dyDescent="0.2">
      <c r="A802" t="s">
        <v>1660</v>
      </c>
      <c r="B802" t="s">
        <v>1661</v>
      </c>
      <c r="C802" t="s">
        <v>73</v>
      </c>
      <c r="D802" t="s">
        <v>74</v>
      </c>
      <c r="E802" t="s">
        <v>60</v>
      </c>
      <c r="F802" t="s">
        <v>67</v>
      </c>
      <c r="G802" t="s">
        <v>68</v>
      </c>
      <c r="H802" t="s">
        <v>88</v>
      </c>
      <c r="I802" t="s">
        <v>70</v>
      </c>
      <c r="J802" t="s">
        <v>37</v>
      </c>
      <c r="K802" s="2">
        <v>45977</v>
      </c>
      <c r="L802" s="2">
        <v>46157</v>
      </c>
      <c r="M802" t="s">
        <v>38</v>
      </c>
      <c r="N802" t="s">
        <v>75</v>
      </c>
      <c r="O802">
        <v>0</v>
      </c>
      <c r="P802" t="s">
        <v>54</v>
      </c>
      <c r="Q802" s="2">
        <v>46131</v>
      </c>
      <c r="R802" t="s">
        <v>57</v>
      </c>
    </row>
    <row r="803" spans="1:18" x14ac:dyDescent="0.2">
      <c r="A803" t="s">
        <v>1662</v>
      </c>
      <c r="B803" t="s">
        <v>1663</v>
      </c>
      <c r="C803" t="s">
        <v>31</v>
      </c>
      <c r="D803" t="s">
        <v>87</v>
      </c>
      <c r="E803" t="s">
        <v>44</v>
      </c>
      <c r="F803" t="s">
        <v>67</v>
      </c>
      <c r="G803" t="s">
        <v>68</v>
      </c>
      <c r="H803" t="s">
        <v>47</v>
      </c>
      <c r="I803" t="s">
        <v>106</v>
      </c>
      <c r="J803" t="s">
        <v>48</v>
      </c>
      <c r="K803" s="2">
        <v>45802</v>
      </c>
      <c r="L803" s="2">
        <v>46167</v>
      </c>
      <c r="M803" t="s">
        <v>38</v>
      </c>
      <c r="N803" t="s">
        <v>55</v>
      </c>
      <c r="O803">
        <v>1</v>
      </c>
      <c r="P803" t="s">
        <v>62</v>
      </c>
      <c r="Q803" s="2">
        <v>46367</v>
      </c>
      <c r="R803" t="s">
        <v>64</v>
      </c>
    </row>
    <row r="804" spans="1:18" x14ac:dyDescent="0.2">
      <c r="A804" t="s">
        <v>1664</v>
      </c>
      <c r="B804" t="s">
        <v>1665</v>
      </c>
      <c r="C804" t="s">
        <v>73</v>
      </c>
      <c r="D804" t="s">
        <v>74</v>
      </c>
      <c r="E804" t="s">
        <v>60</v>
      </c>
      <c r="F804" t="s">
        <v>34</v>
      </c>
      <c r="G804" t="s">
        <v>35</v>
      </c>
      <c r="H804" t="s">
        <v>88</v>
      </c>
      <c r="J804" t="s">
        <v>37</v>
      </c>
      <c r="K804" s="2">
        <v>46209</v>
      </c>
      <c r="L804" s="2">
        <v>46389</v>
      </c>
      <c r="M804" t="s">
        <v>84</v>
      </c>
      <c r="N804" t="s">
        <v>55</v>
      </c>
      <c r="O804">
        <v>3</v>
      </c>
      <c r="P804" t="s">
        <v>56</v>
      </c>
      <c r="Q804" s="2">
        <v>46374</v>
      </c>
      <c r="R804" t="s">
        <v>64</v>
      </c>
    </row>
    <row r="805" spans="1:18" x14ac:dyDescent="0.2">
      <c r="A805" t="s">
        <v>1666</v>
      </c>
      <c r="B805" t="s">
        <v>1667</v>
      </c>
      <c r="C805" t="s">
        <v>78</v>
      </c>
      <c r="D805" t="s">
        <v>79</v>
      </c>
      <c r="E805" t="s">
        <v>105</v>
      </c>
      <c r="F805" t="s">
        <v>45</v>
      </c>
      <c r="G805" t="s">
        <v>46</v>
      </c>
      <c r="H805" t="s">
        <v>47</v>
      </c>
      <c r="I805" t="s">
        <v>54</v>
      </c>
      <c r="J805" t="s">
        <v>48</v>
      </c>
      <c r="K805" s="2">
        <v>46002</v>
      </c>
      <c r="L805" s="2">
        <v>46367</v>
      </c>
      <c r="M805" t="s">
        <v>84</v>
      </c>
      <c r="N805" t="s">
        <v>49</v>
      </c>
      <c r="O805">
        <v>3</v>
      </c>
      <c r="P805" t="s">
        <v>62</v>
      </c>
      <c r="Q805" s="2">
        <v>46141</v>
      </c>
      <c r="R805" t="s">
        <v>38</v>
      </c>
    </row>
    <row r="806" spans="1:18" x14ac:dyDescent="0.2">
      <c r="A806" t="s">
        <v>1668</v>
      </c>
      <c r="B806" t="s">
        <v>1669</v>
      </c>
      <c r="C806" t="s">
        <v>31</v>
      </c>
      <c r="D806" t="s">
        <v>87</v>
      </c>
      <c r="E806" t="s">
        <v>60</v>
      </c>
      <c r="F806" t="s">
        <v>34</v>
      </c>
      <c r="G806" t="s">
        <v>35</v>
      </c>
      <c r="H806" t="s">
        <v>47</v>
      </c>
      <c r="I806" t="s">
        <v>111</v>
      </c>
      <c r="J806" t="s">
        <v>48</v>
      </c>
      <c r="K806" s="2">
        <v>46215</v>
      </c>
      <c r="L806" s="2">
        <v>46580</v>
      </c>
      <c r="M806" t="s">
        <v>69</v>
      </c>
      <c r="N806" t="s">
        <v>75</v>
      </c>
      <c r="O806">
        <v>1</v>
      </c>
      <c r="P806" t="s">
        <v>70</v>
      </c>
      <c r="Q806" s="2">
        <v>46290</v>
      </c>
      <c r="R806" t="s">
        <v>38</v>
      </c>
    </row>
    <row r="807" spans="1:18" x14ac:dyDescent="0.2">
      <c r="A807" t="s">
        <v>1670</v>
      </c>
      <c r="B807" t="s">
        <v>1671</v>
      </c>
      <c r="C807" t="s">
        <v>31</v>
      </c>
      <c r="D807" t="s">
        <v>83</v>
      </c>
      <c r="E807" t="s">
        <v>44</v>
      </c>
      <c r="F807" t="s">
        <v>34</v>
      </c>
      <c r="G807" t="s">
        <v>35</v>
      </c>
      <c r="H807" t="s">
        <v>88</v>
      </c>
      <c r="I807" t="s">
        <v>39</v>
      </c>
      <c r="J807" t="s">
        <v>48</v>
      </c>
      <c r="K807" s="2">
        <v>45865</v>
      </c>
      <c r="L807" s="2">
        <v>45955</v>
      </c>
      <c r="M807" t="s">
        <v>38</v>
      </c>
      <c r="N807" t="s">
        <v>49</v>
      </c>
      <c r="O807">
        <v>1</v>
      </c>
      <c r="P807" t="s">
        <v>56</v>
      </c>
      <c r="Q807" s="2">
        <v>46144</v>
      </c>
      <c r="R807" t="s">
        <v>64</v>
      </c>
    </row>
    <row r="808" spans="1:18" x14ac:dyDescent="0.2">
      <c r="A808" t="s">
        <v>1672</v>
      </c>
      <c r="B808" t="s">
        <v>1673</v>
      </c>
      <c r="C808" t="s">
        <v>31</v>
      </c>
      <c r="D808" t="s">
        <v>32</v>
      </c>
      <c r="E808" t="s">
        <v>1674</v>
      </c>
      <c r="F808" t="s">
        <v>45</v>
      </c>
      <c r="G808" t="s">
        <v>61</v>
      </c>
      <c r="H808" t="s">
        <v>88</v>
      </c>
      <c r="I808" t="s">
        <v>54</v>
      </c>
      <c r="J808" t="s">
        <v>37</v>
      </c>
      <c r="K808" s="2">
        <v>46126</v>
      </c>
      <c r="L808" s="2">
        <v>46216</v>
      </c>
      <c r="M808" t="s">
        <v>38</v>
      </c>
      <c r="N808" t="s">
        <v>49</v>
      </c>
      <c r="O808">
        <v>3</v>
      </c>
      <c r="P808" t="s">
        <v>54</v>
      </c>
      <c r="Q808" s="2">
        <v>46360</v>
      </c>
      <c r="R808" t="s">
        <v>84</v>
      </c>
    </row>
    <row r="809" spans="1:18" x14ac:dyDescent="0.2">
      <c r="A809" t="s">
        <v>1675</v>
      </c>
      <c r="B809" t="s">
        <v>1676</v>
      </c>
      <c r="C809" t="s">
        <v>73</v>
      </c>
      <c r="D809" t="s">
        <v>74</v>
      </c>
      <c r="E809" t="s">
        <v>44</v>
      </c>
      <c r="F809" t="s">
        <v>67</v>
      </c>
      <c r="G809" t="s">
        <v>118</v>
      </c>
      <c r="H809" t="s">
        <v>88</v>
      </c>
      <c r="I809" t="s">
        <v>56</v>
      </c>
      <c r="J809" t="s">
        <v>63</v>
      </c>
      <c r="K809" s="2">
        <v>46088</v>
      </c>
      <c r="L809" s="2">
        <v>46453</v>
      </c>
      <c r="M809" t="s">
        <v>64</v>
      </c>
      <c r="N809" t="s">
        <v>49</v>
      </c>
      <c r="O809">
        <v>1</v>
      </c>
      <c r="P809" t="s">
        <v>70</v>
      </c>
      <c r="Q809" s="2">
        <v>46384</v>
      </c>
      <c r="R809" t="s">
        <v>84</v>
      </c>
    </row>
    <row r="810" spans="1:18" x14ac:dyDescent="0.2">
      <c r="A810" t="s">
        <v>1677</v>
      </c>
      <c r="B810" t="s">
        <v>1678</v>
      </c>
      <c r="C810" t="s">
        <v>103</v>
      </c>
      <c r="D810" t="s">
        <v>104</v>
      </c>
      <c r="E810" t="s">
        <v>80</v>
      </c>
      <c r="F810" t="s">
        <v>45</v>
      </c>
      <c r="G810" t="s">
        <v>61</v>
      </c>
      <c r="H810" t="s">
        <v>36</v>
      </c>
      <c r="I810" t="s">
        <v>111</v>
      </c>
      <c r="J810" t="s">
        <v>37</v>
      </c>
      <c r="K810" s="2">
        <v>46132</v>
      </c>
      <c r="L810" s="2">
        <v>46222</v>
      </c>
      <c r="M810" t="s">
        <v>38</v>
      </c>
      <c r="N810" t="s">
        <v>55</v>
      </c>
      <c r="O810">
        <v>1</v>
      </c>
      <c r="P810" t="s">
        <v>50</v>
      </c>
      <c r="Q810" s="2">
        <v>46381</v>
      </c>
      <c r="R810" t="s">
        <v>64</v>
      </c>
    </row>
    <row r="811" spans="1:18" x14ac:dyDescent="0.2">
      <c r="A811" t="s">
        <v>1679</v>
      </c>
      <c r="B811" t="s">
        <v>1680</v>
      </c>
      <c r="C811" t="s">
        <v>42</v>
      </c>
      <c r="D811" t="s">
        <v>43</v>
      </c>
      <c r="E811" t="s">
        <v>91</v>
      </c>
      <c r="F811" t="s">
        <v>45</v>
      </c>
      <c r="G811" t="s">
        <v>46</v>
      </c>
      <c r="H811" t="s">
        <v>88</v>
      </c>
      <c r="I811" t="s">
        <v>111</v>
      </c>
      <c r="J811" t="s">
        <v>48</v>
      </c>
      <c r="K811" s="2">
        <v>46217</v>
      </c>
      <c r="L811" s="2">
        <v>46307</v>
      </c>
      <c r="M811" t="s">
        <v>64</v>
      </c>
      <c r="N811" t="s">
        <v>55</v>
      </c>
      <c r="O811">
        <v>2</v>
      </c>
      <c r="P811" t="s">
        <v>39</v>
      </c>
      <c r="Q811" s="2">
        <v>46257</v>
      </c>
      <c r="R811" t="s">
        <v>38</v>
      </c>
    </row>
    <row r="812" spans="1:18" x14ac:dyDescent="0.2">
      <c r="A812" t="s">
        <v>1681</v>
      </c>
      <c r="B812" t="s">
        <v>1682</v>
      </c>
      <c r="C812" t="s">
        <v>78</v>
      </c>
      <c r="D812" t="s">
        <v>79</v>
      </c>
      <c r="E812" t="s">
        <v>80</v>
      </c>
      <c r="F812" t="s">
        <v>67</v>
      </c>
      <c r="G812" t="s">
        <v>118</v>
      </c>
      <c r="H812" t="s">
        <v>47</v>
      </c>
      <c r="I812" t="s">
        <v>62</v>
      </c>
      <c r="J812" t="s">
        <v>48</v>
      </c>
      <c r="K812" s="2">
        <v>46079</v>
      </c>
      <c r="L812" s="2">
        <v>46259</v>
      </c>
      <c r="M812" t="s">
        <v>38</v>
      </c>
      <c r="N812" t="s">
        <v>55</v>
      </c>
      <c r="O812">
        <v>1</v>
      </c>
      <c r="P812" t="s">
        <v>56</v>
      </c>
      <c r="Q812" s="2">
        <v>46220</v>
      </c>
      <c r="R812" t="s">
        <v>38</v>
      </c>
    </row>
    <row r="813" spans="1:18" x14ac:dyDescent="0.2">
      <c r="A813" t="s">
        <v>1683</v>
      </c>
      <c r="B813" t="s">
        <v>1684</v>
      </c>
      <c r="C813" t="s">
        <v>78</v>
      </c>
      <c r="D813" t="s">
        <v>79</v>
      </c>
      <c r="E813" t="s">
        <v>105</v>
      </c>
      <c r="F813" t="s">
        <v>45</v>
      </c>
      <c r="G813" t="s">
        <v>61</v>
      </c>
      <c r="H813" t="s">
        <v>36</v>
      </c>
      <c r="I813" t="s">
        <v>106</v>
      </c>
      <c r="J813" t="s">
        <v>37</v>
      </c>
      <c r="K813" s="2">
        <v>45803</v>
      </c>
      <c r="L813" s="2">
        <v>45983</v>
      </c>
      <c r="M813" t="s">
        <v>38</v>
      </c>
      <c r="N813" t="s">
        <v>49</v>
      </c>
      <c r="O813">
        <v>1</v>
      </c>
      <c r="P813" t="s">
        <v>39</v>
      </c>
      <c r="Q813" s="2">
        <v>46129</v>
      </c>
      <c r="R813" t="s">
        <v>64</v>
      </c>
    </row>
    <row r="814" spans="1:18" x14ac:dyDescent="0.2">
      <c r="A814" t="s">
        <v>1685</v>
      </c>
      <c r="B814" t="s">
        <v>1686</v>
      </c>
      <c r="C814" t="s">
        <v>42</v>
      </c>
      <c r="D814" t="s">
        <v>43</v>
      </c>
      <c r="E814" t="s">
        <v>91</v>
      </c>
      <c r="F814" t="s">
        <v>45</v>
      </c>
      <c r="G814" t="s">
        <v>61</v>
      </c>
      <c r="H814" t="s">
        <v>98</v>
      </c>
      <c r="I814" t="s">
        <v>56</v>
      </c>
      <c r="J814" t="s">
        <v>37</v>
      </c>
      <c r="K814" s="2">
        <v>45836</v>
      </c>
      <c r="L814" s="2">
        <v>46201</v>
      </c>
      <c r="M814" t="s">
        <v>38</v>
      </c>
      <c r="N814" t="s">
        <v>75</v>
      </c>
      <c r="O814">
        <v>3</v>
      </c>
      <c r="P814" t="s">
        <v>111</v>
      </c>
      <c r="Q814" s="2">
        <v>46408</v>
      </c>
      <c r="R814" t="s">
        <v>84</v>
      </c>
    </row>
    <row r="815" spans="1:18" x14ac:dyDescent="0.2">
      <c r="A815" t="s">
        <v>1687</v>
      </c>
      <c r="B815" t="s">
        <v>1688</v>
      </c>
      <c r="C815" t="s">
        <v>42</v>
      </c>
      <c r="D815" t="s">
        <v>43</v>
      </c>
      <c r="E815" t="s">
        <v>44</v>
      </c>
      <c r="F815" t="s">
        <v>34</v>
      </c>
      <c r="G815" t="s">
        <v>35</v>
      </c>
      <c r="H815" t="s">
        <v>36</v>
      </c>
      <c r="I815" t="s">
        <v>56</v>
      </c>
      <c r="J815" t="s">
        <v>63</v>
      </c>
      <c r="K815" s="2">
        <v>45866</v>
      </c>
      <c r="L815" s="2">
        <v>46231</v>
      </c>
      <c r="M815" t="s">
        <v>38</v>
      </c>
      <c r="N815" t="s">
        <v>75</v>
      </c>
      <c r="O815">
        <v>0</v>
      </c>
      <c r="P815" t="s">
        <v>62</v>
      </c>
      <c r="Q815" s="2">
        <v>46242</v>
      </c>
      <c r="R815" t="s">
        <v>57</v>
      </c>
    </row>
    <row r="816" spans="1:18" x14ac:dyDescent="0.2">
      <c r="A816" t="s">
        <v>1689</v>
      </c>
      <c r="B816" t="s">
        <v>1690</v>
      </c>
      <c r="C816" t="s">
        <v>42</v>
      </c>
      <c r="D816" t="s">
        <v>43</v>
      </c>
      <c r="E816" t="s">
        <v>53</v>
      </c>
      <c r="F816" t="s">
        <v>45</v>
      </c>
      <c r="G816" t="s">
        <v>61</v>
      </c>
      <c r="H816" t="s">
        <v>47</v>
      </c>
      <c r="I816" t="s">
        <v>56</v>
      </c>
      <c r="J816" t="s">
        <v>63</v>
      </c>
      <c r="K816" s="2">
        <v>45875</v>
      </c>
      <c r="L816" s="2">
        <v>46240</v>
      </c>
      <c r="M816" t="s">
        <v>38</v>
      </c>
      <c r="N816" t="s">
        <v>49</v>
      </c>
      <c r="O816">
        <v>0</v>
      </c>
      <c r="P816" t="s">
        <v>106</v>
      </c>
      <c r="Q816" s="2">
        <v>46178</v>
      </c>
      <c r="R816" t="s">
        <v>57</v>
      </c>
    </row>
    <row r="817" spans="1:18" x14ac:dyDescent="0.2">
      <c r="A817" t="s">
        <v>1691</v>
      </c>
      <c r="B817" t="s">
        <v>1692</v>
      </c>
      <c r="C817" t="s">
        <v>31</v>
      </c>
      <c r="D817" t="s">
        <v>87</v>
      </c>
      <c r="E817" t="s">
        <v>80</v>
      </c>
      <c r="F817" t="s">
        <v>67</v>
      </c>
      <c r="G817" t="s">
        <v>68</v>
      </c>
      <c r="H817" t="s">
        <v>88</v>
      </c>
      <c r="I817" t="s">
        <v>111</v>
      </c>
      <c r="J817" t="s">
        <v>48</v>
      </c>
      <c r="K817" s="2">
        <v>46271</v>
      </c>
      <c r="L817" s="2">
        <v>46451</v>
      </c>
      <c r="M817" t="s">
        <v>64</v>
      </c>
      <c r="N817" t="s">
        <v>75</v>
      </c>
      <c r="O817">
        <v>3</v>
      </c>
      <c r="P817" t="s">
        <v>56</v>
      </c>
      <c r="Q817" s="2">
        <v>46399</v>
      </c>
      <c r="R817" t="s">
        <v>64</v>
      </c>
    </row>
    <row r="818" spans="1:18" x14ac:dyDescent="0.2">
      <c r="A818" t="s">
        <v>1693</v>
      </c>
      <c r="B818" t="s">
        <v>1694</v>
      </c>
      <c r="C818" t="s">
        <v>31</v>
      </c>
      <c r="D818" t="s">
        <v>83</v>
      </c>
      <c r="E818" t="s">
        <v>105</v>
      </c>
      <c r="F818" t="s">
        <v>34</v>
      </c>
      <c r="G818" t="s">
        <v>35</v>
      </c>
      <c r="H818" t="s">
        <v>88</v>
      </c>
      <c r="I818" t="s">
        <v>56</v>
      </c>
      <c r="J818" t="s">
        <v>63</v>
      </c>
      <c r="K818" s="2">
        <v>45883</v>
      </c>
      <c r="L818" s="2">
        <v>46063</v>
      </c>
      <c r="M818" t="s">
        <v>38</v>
      </c>
      <c r="N818" t="s">
        <v>75</v>
      </c>
      <c r="O818">
        <v>3</v>
      </c>
      <c r="P818" t="s">
        <v>39</v>
      </c>
      <c r="Q818" s="2">
        <v>46180</v>
      </c>
      <c r="R818" t="s">
        <v>64</v>
      </c>
    </row>
    <row r="819" spans="1:18" x14ac:dyDescent="0.2">
      <c r="A819" t="s">
        <v>1695</v>
      </c>
      <c r="B819" t="s">
        <v>1696</v>
      </c>
      <c r="C819" t="s">
        <v>42</v>
      </c>
      <c r="D819" t="s">
        <v>43</v>
      </c>
      <c r="E819" t="s">
        <v>91</v>
      </c>
      <c r="F819" t="s">
        <v>45</v>
      </c>
      <c r="G819" t="s">
        <v>46</v>
      </c>
      <c r="H819" t="s">
        <v>47</v>
      </c>
      <c r="I819" t="s">
        <v>111</v>
      </c>
      <c r="J819" t="s">
        <v>48</v>
      </c>
      <c r="K819" s="2">
        <v>45979</v>
      </c>
      <c r="L819" s="2">
        <v>46159</v>
      </c>
      <c r="M819" t="s">
        <v>38</v>
      </c>
      <c r="N819" t="s">
        <v>55</v>
      </c>
      <c r="O819">
        <v>1</v>
      </c>
      <c r="P819" t="s">
        <v>106</v>
      </c>
      <c r="Q819" s="2">
        <v>46146</v>
      </c>
      <c r="R819" t="s">
        <v>38</v>
      </c>
    </row>
    <row r="820" spans="1:18" x14ac:dyDescent="0.2">
      <c r="A820" t="s">
        <v>1697</v>
      </c>
      <c r="B820" t="s">
        <v>1698</v>
      </c>
      <c r="C820" t="s">
        <v>103</v>
      </c>
      <c r="D820" t="s">
        <v>104</v>
      </c>
      <c r="E820" t="s">
        <v>60</v>
      </c>
      <c r="F820" t="s">
        <v>34</v>
      </c>
      <c r="G820" t="s">
        <v>35</v>
      </c>
      <c r="H820" t="s">
        <v>47</v>
      </c>
      <c r="I820" t="s">
        <v>70</v>
      </c>
      <c r="J820" t="s">
        <v>63</v>
      </c>
      <c r="K820" s="2">
        <v>46236</v>
      </c>
      <c r="L820" s="2">
        <v>46601</v>
      </c>
      <c r="M820" t="s">
        <v>64</v>
      </c>
      <c r="N820" t="s">
        <v>49</v>
      </c>
      <c r="O820">
        <v>0</v>
      </c>
      <c r="P820" t="s">
        <v>106</v>
      </c>
      <c r="Q820" s="2">
        <v>46236</v>
      </c>
      <c r="R820" t="s">
        <v>57</v>
      </c>
    </row>
    <row r="821" spans="1:18" x14ac:dyDescent="0.2">
      <c r="A821" t="s">
        <v>1699</v>
      </c>
      <c r="B821" t="s">
        <v>1700</v>
      </c>
      <c r="C821" t="s">
        <v>73</v>
      </c>
      <c r="D821" t="s">
        <v>74</v>
      </c>
      <c r="E821" t="s">
        <v>105</v>
      </c>
      <c r="F821" t="s">
        <v>34</v>
      </c>
      <c r="G821" t="s">
        <v>35</v>
      </c>
      <c r="H821" t="s">
        <v>88</v>
      </c>
      <c r="I821" t="s">
        <v>56</v>
      </c>
      <c r="J821" t="s">
        <v>37</v>
      </c>
      <c r="K821" s="2">
        <v>46202</v>
      </c>
      <c r="L821" s="2">
        <v>46292</v>
      </c>
      <c r="M821" t="s">
        <v>38</v>
      </c>
      <c r="N821" t="s">
        <v>75</v>
      </c>
      <c r="O821">
        <v>2</v>
      </c>
      <c r="P821" t="s">
        <v>39</v>
      </c>
      <c r="Q821" s="2">
        <v>46286</v>
      </c>
      <c r="R821" t="s">
        <v>38</v>
      </c>
    </row>
    <row r="822" spans="1:18" x14ac:dyDescent="0.2">
      <c r="A822" t="s">
        <v>1701</v>
      </c>
      <c r="B822" t="s">
        <v>1702</v>
      </c>
      <c r="C822" t="s">
        <v>73</v>
      </c>
      <c r="D822" t="s">
        <v>74</v>
      </c>
      <c r="E822" t="s">
        <v>105</v>
      </c>
      <c r="F822" t="s">
        <v>45</v>
      </c>
      <c r="G822" t="s">
        <v>61</v>
      </c>
      <c r="H822" t="s">
        <v>47</v>
      </c>
      <c r="I822" t="s">
        <v>50</v>
      </c>
      <c r="J822" t="s">
        <v>63</v>
      </c>
      <c r="K822" s="2">
        <v>45809</v>
      </c>
      <c r="L822" s="2">
        <v>46174</v>
      </c>
      <c r="M822" t="s">
        <v>38</v>
      </c>
      <c r="N822" t="s">
        <v>55</v>
      </c>
      <c r="O822">
        <v>0</v>
      </c>
      <c r="P822" t="s">
        <v>106</v>
      </c>
      <c r="Q822" s="2">
        <v>46223</v>
      </c>
      <c r="R822" t="s">
        <v>57</v>
      </c>
    </row>
    <row r="823" spans="1:18" x14ac:dyDescent="0.2">
      <c r="A823" t="s">
        <v>1703</v>
      </c>
      <c r="B823" t="s">
        <v>1704</v>
      </c>
      <c r="C823" t="s">
        <v>78</v>
      </c>
      <c r="D823" t="s">
        <v>79</v>
      </c>
      <c r="E823" t="s">
        <v>60</v>
      </c>
      <c r="F823" t="s">
        <v>45</v>
      </c>
      <c r="G823" t="s">
        <v>61</v>
      </c>
      <c r="H823" t="s">
        <v>47</v>
      </c>
      <c r="I823" t="s">
        <v>50</v>
      </c>
      <c r="J823" t="s">
        <v>63</v>
      </c>
      <c r="K823" s="2">
        <v>46080</v>
      </c>
      <c r="L823" s="2">
        <v>46445</v>
      </c>
      <c r="M823" t="s">
        <v>64</v>
      </c>
      <c r="N823" t="s">
        <v>55</v>
      </c>
      <c r="O823">
        <v>1</v>
      </c>
      <c r="P823" t="s">
        <v>70</v>
      </c>
      <c r="Q823" s="2">
        <v>46404</v>
      </c>
      <c r="R823" t="s">
        <v>84</v>
      </c>
    </row>
    <row r="824" spans="1:18" x14ac:dyDescent="0.2">
      <c r="A824" t="s">
        <v>1705</v>
      </c>
      <c r="B824" t="s">
        <v>1706</v>
      </c>
      <c r="C824" t="s">
        <v>73</v>
      </c>
      <c r="D824" t="s">
        <v>74</v>
      </c>
      <c r="E824" t="s">
        <v>60</v>
      </c>
      <c r="F824" t="s">
        <v>34</v>
      </c>
      <c r="G824" t="s">
        <v>35</v>
      </c>
      <c r="H824" t="s">
        <v>88</v>
      </c>
      <c r="I824" t="s">
        <v>111</v>
      </c>
      <c r="J824" t="s">
        <v>37</v>
      </c>
      <c r="K824" s="2">
        <v>46113</v>
      </c>
      <c r="L824" s="2">
        <v>46293</v>
      </c>
      <c r="M824" t="s">
        <v>38</v>
      </c>
      <c r="N824" t="s">
        <v>55</v>
      </c>
      <c r="O824">
        <v>2</v>
      </c>
      <c r="P824" t="s">
        <v>106</v>
      </c>
      <c r="Q824" s="2">
        <v>46239</v>
      </c>
      <c r="R824" t="s">
        <v>64</v>
      </c>
    </row>
    <row r="825" spans="1:18" x14ac:dyDescent="0.2">
      <c r="A825" t="s">
        <v>1707</v>
      </c>
      <c r="B825" t="s">
        <v>1708</v>
      </c>
      <c r="C825" t="s">
        <v>96</v>
      </c>
      <c r="D825" t="s">
        <v>97</v>
      </c>
      <c r="E825" t="s">
        <v>91</v>
      </c>
      <c r="F825" t="s">
        <v>34</v>
      </c>
      <c r="G825" t="s">
        <v>35</v>
      </c>
      <c r="H825" t="s">
        <v>47</v>
      </c>
      <c r="I825" t="s">
        <v>62</v>
      </c>
      <c r="J825" t="s">
        <v>48</v>
      </c>
      <c r="K825" s="2">
        <v>46090</v>
      </c>
      <c r="L825" s="2">
        <v>46180</v>
      </c>
      <c r="M825" t="s">
        <v>38</v>
      </c>
      <c r="N825" t="s">
        <v>75</v>
      </c>
      <c r="O825">
        <v>0</v>
      </c>
      <c r="P825" t="s">
        <v>111</v>
      </c>
      <c r="Q825" s="2">
        <v>46300</v>
      </c>
      <c r="R825" t="s">
        <v>57</v>
      </c>
    </row>
    <row r="826" spans="1:18" x14ac:dyDescent="0.2">
      <c r="A826" t="s">
        <v>1709</v>
      </c>
      <c r="B826" t="s">
        <v>1710</v>
      </c>
      <c r="C826" t="s">
        <v>42</v>
      </c>
      <c r="D826" t="s">
        <v>43</v>
      </c>
      <c r="E826" t="s">
        <v>60</v>
      </c>
      <c r="F826" t="s">
        <v>67</v>
      </c>
      <c r="G826" t="s">
        <v>68</v>
      </c>
      <c r="H826" t="s">
        <v>36</v>
      </c>
      <c r="I826" t="s">
        <v>50</v>
      </c>
      <c r="J826" t="s">
        <v>37</v>
      </c>
      <c r="K826" s="2">
        <v>45802</v>
      </c>
      <c r="L826" s="2">
        <v>46167</v>
      </c>
      <c r="M826" t="s">
        <v>38</v>
      </c>
      <c r="N826" t="s">
        <v>55</v>
      </c>
      <c r="O826">
        <v>3</v>
      </c>
      <c r="P826" t="s">
        <v>106</v>
      </c>
      <c r="Q826" s="2">
        <v>46414</v>
      </c>
      <c r="R826" t="s">
        <v>84</v>
      </c>
    </row>
    <row r="827" spans="1:18" x14ac:dyDescent="0.2">
      <c r="A827" t="s">
        <v>1711</v>
      </c>
      <c r="B827" t="s">
        <v>1712</v>
      </c>
      <c r="C827" t="s">
        <v>31</v>
      </c>
      <c r="D827" t="s">
        <v>87</v>
      </c>
      <c r="E827" t="s">
        <v>105</v>
      </c>
      <c r="F827" t="s">
        <v>67</v>
      </c>
      <c r="G827" t="s">
        <v>68</v>
      </c>
      <c r="H827" t="s">
        <v>88</v>
      </c>
      <c r="I827" t="s">
        <v>50</v>
      </c>
      <c r="J827" t="s">
        <v>48</v>
      </c>
      <c r="K827" s="2">
        <v>45981</v>
      </c>
      <c r="L827" s="2">
        <v>46161</v>
      </c>
      <c r="M827" t="s">
        <v>38</v>
      </c>
      <c r="N827" t="s">
        <v>49</v>
      </c>
      <c r="O827">
        <v>1</v>
      </c>
      <c r="P827" t="s">
        <v>62</v>
      </c>
      <c r="Q827" s="2">
        <v>46207</v>
      </c>
      <c r="R827" t="s">
        <v>38</v>
      </c>
    </row>
    <row r="828" spans="1:18" x14ac:dyDescent="0.2">
      <c r="A828" t="s">
        <v>1713</v>
      </c>
      <c r="B828" t="s">
        <v>1714</v>
      </c>
      <c r="C828" t="s">
        <v>78</v>
      </c>
      <c r="D828" t="s">
        <v>79</v>
      </c>
      <c r="E828" t="s">
        <v>91</v>
      </c>
      <c r="F828" t="s">
        <v>67</v>
      </c>
      <c r="G828" t="s">
        <v>118</v>
      </c>
      <c r="H828" t="s">
        <v>47</v>
      </c>
      <c r="I828" t="s">
        <v>39</v>
      </c>
      <c r="J828" t="s">
        <v>37</v>
      </c>
      <c r="K828" s="2">
        <v>45849</v>
      </c>
      <c r="L828" s="2">
        <v>46029</v>
      </c>
      <c r="M828" t="s">
        <v>38</v>
      </c>
      <c r="N828" t="s">
        <v>55</v>
      </c>
      <c r="O828">
        <v>1</v>
      </c>
      <c r="P828" t="s">
        <v>50</v>
      </c>
      <c r="Q828" s="2">
        <v>46152</v>
      </c>
      <c r="R828" t="s">
        <v>64</v>
      </c>
    </row>
    <row r="829" spans="1:18" x14ac:dyDescent="0.2">
      <c r="A829" t="s">
        <v>1715</v>
      </c>
      <c r="B829" t="s">
        <v>1716</v>
      </c>
      <c r="C829" t="s">
        <v>31</v>
      </c>
      <c r="D829" t="s">
        <v>32</v>
      </c>
      <c r="E829" t="s">
        <v>91</v>
      </c>
      <c r="F829" t="s">
        <v>67</v>
      </c>
      <c r="G829" t="s">
        <v>68</v>
      </c>
      <c r="H829" t="s">
        <v>47</v>
      </c>
      <c r="I829" t="s">
        <v>106</v>
      </c>
      <c r="J829" t="s">
        <v>37</v>
      </c>
      <c r="K829" s="2">
        <v>45816</v>
      </c>
      <c r="L829" s="2">
        <v>45996</v>
      </c>
      <c r="M829" t="s">
        <v>38</v>
      </c>
      <c r="N829" t="s">
        <v>49</v>
      </c>
      <c r="O829">
        <v>0</v>
      </c>
      <c r="P829" t="s">
        <v>111</v>
      </c>
      <c r="Q829" s="2">
        <v>46138</v>
      </c>
      <c r="R829" t="s">
        <v>57</v>
      </c>
    </row>
    <row r="830" spans="1:18" x14ac:dyDescent="0.2">
      <c r="A830" t="s">
        <v>1717</v>
      </c>
      <c r="B830" t="s">
        <v>1718</v>
      </c>
      <c r="C830" t="s">
        <v>31</v>
      </c>
      <c r="D830" t="s">
        <v>32</v>
      </c>
      <c r="E830" t="s">
        <v>91</v>
      </c>
      <c r="F830" t="s">
        <v>67</v>
      </c>
      <c r="G830" t="s">
        <v>118</v>
      </c>
      <c r="H830" t="s">
        <v>36</v>
      </c>
      <c r="I830" t="s">
        <v>56</v>
      </c>
      <c r="J830" t="s">
        <v>48</v>
      </c>
      <c r="K830" s="2">
        <v>45888</v>
      </c>
      <c r="L830" s="2">
        <v>46068</v>
      </c>
      <c r="M830" t="s">
        <v>38</v>
      </c>
      <c r="N830" t="s">
        <v>49</v>
      </c>
      <c r="O830">
        <v>1</v>
      </c>
      <c r="P830" t="s">
        <v>106</v>
      </c>
      <c r="Q830" s="2">
        <v>46208</v>
      </c>
      <c r="R830" t="s">
        <v>38</v>
      </c>
    </row>
    <row r="831" spans="1:18" x14ac:dyDescent="0.2">
      <c r="A831" t="s">
        <v>1719</v>
      </c>
      <c r="B831" t="s">
        <v>1720</v>
      </c>
      <c r="C831" t="s">
        <v>78</v>
      </c>
      <c r="D831" t="s">
        <v>79</v>
      </c>
      <c r="E831" t="s">
        <v>80</v>
      </c>
      <c r="F831" t="s">
        <v>34</v>
      </c>
      <c r="G831" t="s">
        <v>35</v>
      </c>
      <c r="H831" t="s">
        <v>88</v>
      </c>
      <c r="I831" t="s">
        <v>50</v>
      </c>
      <c r="J831" t="s">
        <v>37</v>
      </c>
      <c r="K831" s="2">
        <v>46015</v>
      </c>
      <c r="L831" s="2">
        <v>46380</v>
      </c>
      <c r="M831" t="s">
        <v>84</v>
      </c>
      <c r="N831" t="s">
        <v>55</v>
      </c>
      <c r="O831">
        <v>2</v>
      </c>
      <c r="P831" t="s">
        <v>62</v>
      </c>
      <c r="Q831" s="2">
        <v>46367</v>
      </c>
      <c r="R831" t="s">
        <v>64</v>
      </c>
    </row>
    <row r="832" spans="1:18" x14ac:dyDescent="0.2">
      <c r="A832" t="s">
        <v>1721</v>
      </c>
      <c r="B832" t="s">
        <v>1722</v>
      </c>
      <c r="C832" t="s">
        <v>31</v>
      </c>
      <c r="D832" t="s">
        <v>83</v>
      </c>
      <c r="E832" t="s">
        <v>44</v>
      </c>
      <c r="F832" t="s">
        <v>67</v>
      </c>
      <c r="G832" t="s">
        <v>68</v>
      </c>
      <c r="H832" t="s">
        <v>47</v>
      </c>
      <c r="I832" t="s">
        <v>54</v>
      </c>
      <c r="J832" t="s">
        <v>37</v>
      </c>
      <c r="K832" s="2">
        <v>46055</v>
      </c>
      <c r="L832" s="2">
        <v>46420</v>
      </c>
      <c r="M832" t="s">
        <v>64</v>
      </c>
      <c r="N832" t="s">
        <v>49</v>
      </c>
      <c r="O832">
        <v>2</v>
      </c>
      <c r="P832" t="s">
        <v>56</v>
      </c>
      <c r="Q832" s="2">
        <v>46165</v>
      </c>
      <c r="R832" t="s">
        <v>64</v>
      </c>
    </row>
    <row r="833" spans="1:18" x14ac:dyDescent="0.2">
      <c r="A833" t="s">
        <v>1723</v>
      </c>
      <c r="B833" t="s">
        <v>1724</v>
      </c>
      <c r="C833" t="s">
        <v>42</v>
      </c>
      <c r="D833" t="s">
        <v>43</v>
      </c>
      <c r="E833" t="s">
        <v>44</v>
      </c>
      <c r="F833" t="s">
        <v>67</v>
      </c>
      <c r="G833" t="s">
        <v>118</v>
      </c>
      <c r="H833" t="s">
        <v>36</v>
      </c>
      <c r="I833" t="s">
        <v>56</v>
      </c>
      <c r="J833" t="s">
        <v>48</v>
      </c>
      <c r="K833" s="2">
        <v>45795</v>
      </c>
      <c r="L833" s="2">
        <v>45975</v>
      </c>
      <c r="M833" t="s">
        <v>38</v>
      </c>
      <c r="N833" t="s">
        <v>49</v>
      </c>
      <c r="O833">
        <v>0</v>
      </c>
      <c r="P833" t="s">
        <v>54</v>
      </c>
      <c r="Q833" s="2">
        <v>46233</v>
      </c>
      <c r="R833" t="s">
        <v>57</v>
      </c>
    </row>
    <row r="834" spans="1:18" x14ac:dyDescent="0.2">
      <c r="A834" t="s">
        <v>1725</v>
      </c>
      <c r="B834" t="s">
        <v>1726</v>
      </c>
      <c r="C834" t="s">
        <v>31</v>
      </c>
      <c r="D834" t="s">
        <v>87</v>
      </c>
      <c r="E834" t="s">
        <v>105</v>
      </c>
      <c r="F834" t="s">
        <v>34</v>
      </c>
      <c r="G834" t="s">
        <v>35</v>
      </c>
      <c r="H834" t="s">
        <v>88</v>
      </c>
      <c r="I834" t="s">
        <v>39</v>
      </c>
      <c r="J834" t="s">
        <v>48</v>
      </c>
      <c r="K834" s="2">
        <v>45819</v>
      </c>
      <c r="L834" s="2">
        <v>46184</v>
      </c>
      <c r="M834" t="s">
        <v>38</v>
      </c>
      <c r="N834" t="s">
        <v>49</v>
      </c>
      <c r="O834">
        <v>1</v>
      </c>
      <c r="P834" t="s">
        <v>56</v>
      </c>
      <c r="Q834" s="2">
        <v>46118</v>
      </c>
      <c r="R834" t="s">
        <v>38</v>
      </c>
    </row>
    <row r="835" spans="1:18" x14ac:dyDescent="0.2">
      <c r="A835" t="s">
        <v>1727</v>
      </c>
      <c r="B835" t="s">
        <v>1728</v>
      </c>
      <c r="C835" t="s">
        <v>31</v>
      </c>
      <c r="D835" t="s">
        <v>32</v>
      </c>
      <c r="E835" t="s">
        <v>91</v>
      </c>
      <c r="F835" t="s">
        <v>34</v>
      </c>
      <c r="G835" t="s">
        <v>35</v>
      </c>
      <c r="H835" t="s">
        <v>88</v>
      </c>
      <c r="I835" t="s">
        <v>50</v>
      </c>
      <c r="J835" t="s">
        <v>37</v>
      </c>
      <c r="K835" s="2">
        <v>45850</v>
      </c>
      <c r="L835" s="2">
        <v>46030</v>
      </c>
      <c r="M835" t="s">
        <v>38</v>
      </c>
      <c r="O835">
        <v>2</v>
      </c>
      <c r="P835" t="s">
        <v>111</v>
      </c>
      <c r="Q835" s="2">
        <v>46171</v>
      </c>
      <c r="R835" t="s">
        <v>38</v>
      </c>
    </row>
    <row r="836" spans="1:18" x14ac:dyDescent="0.2">
      <c r="A836" t="s">
        <v>1729</v>
      </c>
      <c r="B836" t="s">
        <v>1730</v>
      </c>
      <c r="C836" t="s">
        <v>73</v>
      </c>
      <c r="D836" t="s">
        <v>74</v>
      </c>
      <c r="E836" t="s">
        <v>44</v>
      </c>
      <c r="F836" t="s">
        <v>67</v>
      </c>
      <c r="G836" t="s">
        <v>68</v>
      </c>
      <c r="H836" t="s">
        <v>98</v>
      </c>
      <c r="I836" t="s">
        <v>70</v>
      </c>
      <c r="J836" t="s">
        <v>37</v>
      </c>
      <c r="K836" s="2">
        <v>46094</v>
      </c>
      <c r="L836" s="2">
        <v>46184</v>
      </c>
      <c r="M836" t="s">
        <v>38</v>
      </c>
      <c r="N836" t="s">
        <v>49</v>
      </c>
      <c r="O836">
        <v>1</v>
      </c>
      <c r="P836" t="s">
        <v>70</v>
      </c>
      <c r="Q836" s="2">
        <v>46153</v>
      </c>
      <c r="R836" t="s">
        <v>64</v>
      </c>
    </row>
    <row r="837" spans="1:18" x14ac:dyDescent="0.2">
      <c r="A837" t="s">
        <v>1731</v>
      </c>
      <c r="B837" t="s">
        <v>1732</v>
      </c>
      <c r="C837" t="s">
        <v>31</v>
      </c>
      <c r="D837" t="s">
        <v>83</v>
      </c>
      <c r="E837" t="s">
        <v>105</v>
      </c>
      <c r="F837" t="s">
        <v>34</v>
      </c>
      <c r="G837" t="s">
        <v>35</v>
      </c>
      <c r="H837" t="s">
        <v>88</v>
      </c>
      <c r="I837" t="s">
        <v>106</v>
      </c>
      <c r="J837" t="s">
        <v>37</v>
      </c>
      <c r="K837" s="2">
        <v>46178</v>
      </c>
      <c r="L837" s="2">
        <v>46543</v>
      </c>
      <c r="M837" t="s">
        <v>84</v>
      </c>
      <c r="N837" t="s">
        <v>49</v>
      </c>
      <c r="O837">
        <v>0</v>
      </c>
      <c r="P837" t="s">
        <v>54</v>
      </c>
      <c r="Q837" s="2">
        <v>46240</v>
      </c>
      <c r="R837" t="s">
        <v>57</v>
      </c>
    </row>
    <row r="838" spans="1:18" x14ac:dyDescent="0.2">
      <c r="A838" t="s">
        <v>1733</v>
      </c>
      <c r="B838" t="s">
        <v>1734</v>
      </c>
      <c r="C838" t="s">
        <v>31</v>
      </c>
      <c r="D838" t="s">
        <v>32</v>
      </c>
      <c r="E838" t="s">
        <v>53</v>
      </c>
      <c r="F838" t="s">
        <v>34</v>
      </c>
      <c r="G838" t="s">
        <v>35</v>
      </c>
      <c r="H838" t="s">
        <v>88</v>
      </c>
      <c r="I838" t="s">
        <v>111</v>
      </c>
      <c r="J838" t="s">
        <v>63</v>
      </c>
      <c r="K838" s="2">
        <v>45859</v>
      </c>
      <c r="L838" s="2">
        <v>45949</v>
      </c>
      <c r="M838" t="s">
        <v>38</v>
      </c>
      <c r="N838" t="s">
        <v>49</v>
      </c>
      <c r="O838">
        <v>3</v>
      </c>
      <c r="P838" t="s">
        <v>54</v>
      </c>
      <c r="Q838" s="2">
        <v>46259</v>
      </c>
      <c r="R838" t="s">
        <v>64</v>
      </c>
    </row>
    <row r="839" spans="1:18" x14ac:dyDescent="0.2">
      <c r="A839" t="s">
        <v>1735</v>
      </c>
      <c r="B839" t="s">
        <v>1736</v>
      </c>
      <c r="C839" t="s">
        <v>103</v>
      </c>
      <c r="D839" t="s">
        <v>104</v>
      </c>
      <c r="E839" t="s">
        <v>105</v>
      </c>
      <c r="F839" t="s">
        <v>45</v>
      </c>
      <c r="G839" t="s">
        <v>61</v>
      </c>
      <c r="H839" t="s">
        <v>88</v>
      </c>
      <c r="I839" t="s">
        <v>54</v>
      </c>
      <c r="J839" t="s">
        <v>37</v>
      </c>
      <c r="K839" s="2">
        <v>45912</v>
      </c>
      <c r="L839" s="2">
        <v>46002</v>
      </c>
      <c r="M839" t="s">
        <v>38</v>
      </c>
      <c r="N839" t="s">
        <v>55</v>
      </c>
      <c r="O839">
        <v>3</v>
      </c>
      <c r="P839" t="s">
        <v>111</v>
      </c>
      <c r="Q839" s="2">
        <v>46249</v>
      </c>
      <c r="R839" t="s">
        <v>38</v>
      </c>
    </row>
    <row r="840" spans="1:18" x14ac:dyDescent="0.2">
      <c r="A840" t="s">
        <v>1737</v>
      </c>
      <c r="B840" t="s">
        <v>1738</v>
      </c>
      <c r="C840" t="s">
        <v>96</v>
      </c>
      <c r="D840" t="s">
        <v>97</v>
      </c>
      <c r="E840" t="s">
        <v>53</v>
      </c>
      <c r="F840" t="s">
        <v>34</v>
      </c>
      <c r="G840" t="s">
        <v>35</v>
      </c>
      <c r="H840" t="s">
        <v>36</v>
      </c>
      <c r="I840" t="s">
        <v>56</v>
      </c>
      <c r="J840" t="s">
        <v>48</v>
      </c>
      <c r="K840" s="2">
        <v>45933</v>
      </c>
      <c r="L840" s="2">
        <v>46113</v>
      </c>
      <c r="M840" t="s">
        <v>38</v>
      </c>
      <c r="N840" t="s">
        <v>75</v>
      </c>
      <c r="O840">
        <v>5</v>
      </c>
      <c r="P840" t="s">
        <v>54</v>
      </c>
      <c r="Q840" s="2">
        <v>46315</v>
      </c>
      <c r="R840" t="s">
        <v>84</v>
      </c>
    </row>
    <row r="841" spans="1:18" x14ac:dyDescent="0.2">
      <c r="A841" t="s">
        <v>1739</v>
      </c>
      <c r="B841" t="s">
        <v>1740</v>
      </c>
      <c r="C841" t="s">
        <v>73</v>
      </c>
      <c r="D841" t="s">
        <v>74</v>
      </c>
      <c r="E841" t="s">
        <v>80</v>
      </c>
      <c r="F841" t="s">
        <v>45</v>
      </c>
      <c r="G841" t="s">
        <v>61</v>
      </c>
      <c r="H841" t="s">
        <v>98</v>
      </c>
      <c r="I841" t="s">
        <v>106</v>
      </c>
      <c r="J841" t="s">
        <v>37</v>
      </c>
      <c r="K841" s="2">
        <v>46149</v>
      </c>
      <c r="L841" s="2">
        <v>46514</v>
      </c>
      <c r="M841" t="s">
        <v>64</v>
      </c>
      <c r="N841" t="s">
        <v>55</v>
      </c>
      <c r="O841">
        <v>3</v>
      </c>
      <c r="P841" t="s">
        <v>50</v>
      </c>
      <c r="Q841" s="2">
        <v>46278</v>
      </c>
      <c r="R841" t="s">
        <v>38</v>
      </c>
    </row>
    <row r="842" spans="1:18" x14ac:dyDescent="0.2">
      <c r="A842" t="s">
        <v>1741</v>
      </c>
      <c r="B842" t="s">
        <v>1742</v>
      </c>
      <c r="C842" t="s">
        <v>73</v>
      </c>
      <c r="D842" t="s">
        <v>74</v>
      </c>
      <c r="E842" t="s">
        <v>60</v>
      </c>
      <c r="F842" t="s">
        <v>67</v>
      </c>
      <c r="G842" t="s">
        <v>118</v>
      </c>
      <c r="H842" t="s">
        <v>88</v>
      </c>
      <c r="I842" t="s">
        <v>54</v>
      </c>
      <c r="J842" t="s">
        <v>63</v>
      </c>
      <c r="K842" s="2">
        <v>46261</v>
      </c>
      <c r="L842" s="2">
        <v>46441</v>
      </c>
      <c r="M842" t="s">
        <v>64</v>
      </c>
      <c r="N842" t="s">
        <v>55</v>
      </c>
      <c r="O842">
        <v>3</v>
      </c>
      <c r="P842" t="s">
        <v>106</v>
      </c>
      <c r="Q842" s="2">
        <v>46146</v>
      </c>
      <c r="R842" t="s">
        <v>38</v>
      </c>
    </row>
    <row r="843" spans="1:18" x14ac:dyDescent="0.2">
      <c r="A843" t="s">
        <v>1743</v>
      </c>
      <c r="B843" t="s">
        <v>1744</v>
      </c>
      <c r="C843" t="s">
        <v>31</v>
      </c>
      <c r="D843" t="s">
        <v>87</v>
      </c>
      <c r="E843" t="s">
        <v>80</v>
      </c>
      <c r="F843" t="s">
        <v>67</v>
      </c>
      <c r="G843" t="s">
        <v>118</v>
      </c>
      <c r="H843" t="s">
        <v>88</v>
      </c>
      <c r="I843" t="s">
        <v>56</v>
      </c>
      <c r="J843" t="s">
        <v>37</v>
      </c>
      <c r="K843" s="2">
        <v>45808</v>
      </c>
      <c r="L843" s="2">
        <v>45898</v>
      </c>
      <c r="M843" t="s">
        <v>38</v>
      </c>
      <c r="N843" t="s">
        <v>75</v>
      </c>
      <c r="O843">
        <v>3</v>
      </c>
      <c r="P843" t="s">
        <v>62</v>
      </c>
      <c r="Q843" s="2">
        <v>46227</v>
      </c>
      <c r="R843" t="s">
        <v>64</v>
      </c>
    </row>
    <row r="844" spans="1:18" x14ac:dyDescent="0.2">
      <c r="A844" t="s">
        <v>1745</v>
      </c>
      <c r="B844" t="s">
        <v>1746</v>
      </c>
      <c r="C844" t="s">
        <v>78</v>
      </c>
      <c r="D844" t="s">
        <v>79</v>
      </c>
      <c r="E844" t="s">
        <v>60</v>
      </c>
      <c r="F844" t="s">
        <v>45</v>
      </c>
      <c r="G844" t="s">
        <v>46</v>
      </c>
      <c r="H844" t="s">
        <v>47</v>
      </c>
      <c r="I844" t="s">
        <v>70</v>
      </c>
      <c r="J844" t="s">
        <v>63</v>
      </c>
      <c r="K844" s="2">
        <v>45961</v>
      </c>
      <c r="L844" s="2">
        <v>46326</v>
      </c>
      <c r="M844" t="s">
        <v>64</v>
      </c>
      <c r="N844" t="s">
        <v>49</v>
      </c>
      <c r="O844">
        <v>0</v>
      </c>
      <c r="P844" t="s">
        <v>106</v>
      </c>
      <c r="Q844" s="2">
        <v>46125</v>
      </c>
      <c r="R844" t="s">
        <v>57</v>
      </c>
    </row>
    <row r="845" spans="1:18" x14ac:dyDescent="0.2">
      <c r="A845" t="s">
        <v>1747</v>
      </c>
      <c r="B845" t="s">
        <v>1748</v>
      </c>
      <c r="C845" t="s">
        <v>31</v>
      </c>
      <c r="D845" t="s">
        <v>83</v>
      </c>
      <c r="E845" t="s">
        <v>91</v>
      </c>
      <c r="F845" t="s">
        <v>67</v>
      </c>
      <c r="G845" t="s">
        <v>68</v>
      </c>
      <c r="H845" t="s">
        <v>47</v>
      </c>
      <c r="I845" t="s">
        <v>54</v>
      </c>
      <c r="J845" t="s">
        <v>37</v>
      </c>
      <c r="K845" s="2">
        <v>46090</v>
      </c>
      <c r="L845" s="2">
        <v>46455</v>
      </c>
      <c r="M845" t="s">
        <v>64</v>
      </c>
      <c r="N845" t="s">
        <v>55</v>
      </c>
      <c r="O845">
        <v>3</v>
      </c>
      <c r="P845" t="s">
        <v>62</v>
      </c>
      <c r="Q845" s="2">
        <v>46232</v>
      </c>
      <c r="R845" t="s">
        <v>64</v>
      </c>
    </row>
    <row r="846" spans="1:18" x14ac:dyDescent="0.2">
      <c r="A846" t="s">
        <v>1749</v>
      </c>
      <c r="B846" t="s">
        <v>1750</v>
      </c>
      <c r="C846" t="s">
        <v>42</v>
      </c>
      <c r="D846" t="s">
        <v>43</v>
      </c>
      <c r="E846" t="s">
        <v>105</v>
      </c>
      <c r="F846" t="s">
        <v>45</v>
      </c>
      <c r="G846" t="s">
        <v>46</v>
      </c>
      <c r="H846" t="s">
        <v>47</v>
      </c>
      <c r="I846" t="s">
        <v>39</v>
      </c>
      <c r="J846" t="s">
        <v>48</v>
      </c>
      <c r="K846" s="2">
        <v>45889</v>
      </c>
      <c r="L846" s="2">
        <v>46254</v>
      </c>
      <c r="M846" t="s">
        <v>38</v>
      </c>
      <c r="N846" t="s">
        <v>55</v>
      </c>
      <c r="O846">
        <v>3</v>
      </c>
      <c r="P846" t="s">
        <v>54</v>
      </c>
      <c r="Q846" s="2">
        <v>46363</v>
      </c>
      <c r="R846" t="s">
        <v>64</v>
      </c>
    </row>
    <row r="847" spans="1:18" x14ac:dyDescent="0.2">
      <c r="A847" t="s">
        <v>1751</v>
      </c>
      <c r="B847" t="s">
        <v>1752</v>
      </c>
      <c r="C847" t="s">
        <v>42</v>
      </c>
      <c r="D847" t="s">
        <v>43</v>
      </c>
      <c r="E847" t="s">
        <v>105</v>
      </c>
      <c r="F847" t="s">
        <v>34</v>
      </c>
      <c r="G847" t="s">
        <v>35</v>
      </c>
      <c r="H847" t="s">
        <v>47</v>
      </c>
      <c r="I847" t="s">
        <v>70</v>
      </c>
      <c r="J847" t="s">
        <v>48</v>
      </c>
      <c r="K847" s="2">
        <v>45859</v>
      </c>
      <c r="L847" s="2">
        <v>46039</v>
      </c>
      <c r="M847" t="s">
        <v>38</v>
      </c>
      <c r="N847" t="s">
        <v>49</v>
      </c>
      <c r="O847">
        <v>3</v>
      </c>
      <c r="P847" t="s">
        <v>70</v>
      </c>
      <c r="Q847" s="2">
        <v>46182</v>
      </c>
      <c r="R847" t="s">
        <v>38</v>
      </c>
    </row>
    <row r="848" spans="1:18" x14ac:dyDescent="0.2">
      <c r="A848" t="s">
        <v>1753</v>
      </c>
      <c r="B848" t="s">
        <v>1754</v>
      </c>
      <c r="C848" t="s">
        <v>31</v>
      </c>
      <c r="D848" t="s">
        <v>87</v>
      </c>
      <c r="E848" t="s">
        <v>105</v>
      </c>
      <c r="F848" t="s">
        <v>45</v>
      </c>
      <c r="G848" t="s">
        <v>61</v>
      </c>
      <c r="H848" t="s">
        <v>47</v>
      </c>
      <c r="I848" t="s">
        <v>50</v>
      </c>
      <c r="J848" t="s">
        <v>37</v>
      </c>
      <c r="K848" s="2">
        <v>46227</v>
      </c>
      <c r="L848" s="2">
        <v>46592</v>
      </c>
      <c r="M848" t="s">
        <v>69</v>
      </c>
      <c r="N848" t="s">
        <v>55</v>
      </c>
      <c r="O848">
        <v>2</v>
      </c>
      <c r="P848" t="s">
        <v>111</v>
      </c>
      <c r="Q848" s="2">
        <v>46280</v>
      </c>
      <c r="R848" t="s">
        <v>38</v>
      </c>
    </row>
    <row r="849" spans="1:18" x14ac:dyDescent="0.2">
      <c r="A849" t="s">
        <v>1755</v>
      </c>
      <c r="B849" t="s">
        <v>1756</v>
      </c>
      <c r="C849" t="s">
        <v>78</v>
      </c>
      <c r="D849" t="s">
        <v>79</v>
      </c>
      <c r="E849" t="s">
        <v>53</v>
      </c>
      <c r="F849" t="s">
        <v>45</v>
      </c>
      <c r="G849" t="s">
        <v>46</v>
      </c>
      <c r="H849" t="s">
        <v>98</v>
      </c>
      <c r="I849" t="s">
        <v>111</v>
      </c>
      <c r="J849" t="s">
        <v>37</v>
      </c>
      <c r="K849" s="2">
        <v>46083</v>
      </c>
      <c r="L849" s="2">
        <v>46263</v>
      </c>
      <c r="M849" t="s">
        <v>38</v>
      </c>
      <c r="N849" t="s">
        <v>75</v>
      </c>
      <c r="O849">
        <v>0</v>
      </c>
      <c r="P849" t="s">
        <v>111</v>
      </c>
      <c r="Q849" s="2">
        <v>46228</v>
      </c>
      <c r="R849" t="s">
        <v>57</v>
      </c>
    </row>
    <row r="850" spans="1:18" x14ac:dyDescent="0.2">
      <c r="A850" t="s">
        <v>1757</v>
      </c>
      <c r="B850" t="s">
        <v>1758</v>
      </c>
      <c r="C850" t="s">
        <v>103</v>
      </c>
      <c r="D850" t="s">
        <v>104</v>
      </c>
      <c r="E850" t="s">
        <v>80</v>
      </c>
      <c r="F850" t="s">
        <v>67</v>
      </c>
      <c r="G850" t="s">
        <v>68</v>
      </c>
      <c r="H850" t="s">
        <v>47</v>
      </c>
      <c r="I850" t="s">
        <v>111</v>
      </c>
      <c r="J850" t="s">
        <v>48</v>
      </c>
      <c r="K850" s="2">
        <v>45903</v>
      </c>
      <c r="L850" s="2">
        <v>46083</v>
      </c>
      <c r="M850" t="s">
        <v>38</v>
      </c>
      <c r="N850" t="s">
        <v>75</v>
      </c>
      <c r="O850">
        <v>0</v>
      </c>
      <c r="P850" t="s">
        <v>62</v>
      </c>
      <c r="Q850" s="2">
        <v>46346</v>
      </c>
      <c r="R850" t="s">
        <v>57</v>
      </c>
    </row>
    <row r="851" spans="1:18" x14ac:dyDescent="0.2">
      <c r="A851" t="s">
        <v>1759</v>
      </c>
      <c r="B851" t="s">
        <v>1760</v>
      </c>
      <c r="C851" t="s">
        <v>31</v>
      </c>
      <c r="D851" t="s">
        <v>83</v>
      </c>
      <c r="E851" t="s">
        <v>53</v>
      </c>
      <c r="F851" t="s">
        <v>45</v>
      </c>
      <c r="G851" t="s">
        <v>61</v>
      </c>
      <c r="H851" t="s">
        <v>88</v>
      </c>
      <c r="J851" t="s">
        <v>37</v>
      </c>
      <c r="K851" s="2">
        <v>46220</v>
      </c>
      <c r="L851" s="2">
        <v>46585</v>
      </c>
      <c r="M851" t="s">
        <v>64</v>
      </c>
      <c r="N851" t="s">
        <v>55</v>
      </c>
      <c r="O851">
        <v>0</v>
      </c>
      <c r="P851" t="s">
        <v>54</v>
      </c>
      <c r="Q851" s="2">
        <v>46163</v>
      </c>
      <c r="R851" t="s">
        <v>57</v>
      </c>
    </row>
    <row r="852" spans="1:18" x14ac:dyDescent="0.2">
      <c r="A852" t="s">
        <v>1761</v>
      </c>
      <c r="B852" t="s">
        <v>1762</v>
      </c>
      <c r="C852" t="s">
        <v>73</v>
      </c>
      <c r="D852" t="s">
        <v>74</v>
      </c>
      <c r="E852" t="s">
        <v>80</v>
      </c>
      <c r="F852" t="s">
        <v>45</v>
      </c>
      <c r="G852" t="s">
        <v>46</v>
      </c>
      <c r="H852" t="s">
        <v>88</v>
      </c>
      <c r="I852" t="s">
        <v>111</v>
      </c>
      <c r="J852" t="s">
        <v>48</v>
      </c>
      <c r="K852" s="2">
        <v>46008</v>
      </c>
      <c r="L852" s="2">
        <v>46373</v>
      </c>
      <c r="M852" t="s">
        <v>84</v>
      </c>
      <c r="N852" t="s">
        <v>55</v>
      </c>
      <c r="O852">
        <v>3</v>
      </c>
      <c r="P852" t="s">
        <v>39</v>
      </c>
      <c r="Q852" s="2">
        <v>46244</v>
      </c>
      <c r="R852" t="s">
        <v>38</v>
      </c>
    </row>
    <row r="853" spans="1:18" x14ac:dyDescent="0.2">
      <c r="A853" t="s">
        <v>1763</v>
      </c>
      <c r="B853" t="s">
        <v>1764</v>
      </c>
      <c r="C853" t="s">
        <v>103</v>
      </c>
      <c r="D853" t="s">
        <v>104</v>
      </c>
      <c r="E853" t="s">
        <v>105</v>
      </c>
      <c r="F853" t="s">
        <v>67</v>
      </c>
      <c r="G853" t="s">
        <v>118</v>
      </c>
      <c r="H853" t="s">
        <v>47</v>
      </c>
      <c r="I853" t="s">
        <v>54</v>
      </c>
      <c r="J853" t="s">
        <v>37</v>
      </c>
      <c r="K853" s="2">
        <v>45889</v>
      </c>
      <c r="L853" s="2">
        <v>46254</v>
      </c>
      <c r="M853" t="s">
        <v>38</v>
      </c>
      <c r="N853" t="s">
        <v>75</v>
      </c>
      <c r="O853">
        <v>3</v>
      </c>
      <c r="P853" t="s">
        <v>111</v>
      </c>
      <c r="Q853" s="2">
        <v>46275</v>
      </c>
      <c r="R853" t="s">
        <v>38</v>
      </c>
    </row>
    <row r="854" spans="1:18" x14ac:dyDescent="0.2">
      <c r="A854" t="s">
        <v>1765</v>
      </c>
      <c r="B854" t="s">
        <v>1766</v>
      </c>
      <c r="C854" t="s">
        <v>31</v>
      </c>
      <c r="D854" t="s">
        <v>83</v>
      </c>
      <c r="E854" t="s">
        <v>105</v>
      </c>
      <c r="F854" t="s">
        <v>34</v>
      </c>
      <c r="G854" t="s">
        <v>35</v>
      </c>
      <c r="H854" t="s">
        <v>88</v>
      </c>
      <c r="I854" t="s">
        <v>70</v>
      </c>
      <c r="J854" t="s">
        <v>37</v>
      </c>
      <c r="K854" s="2">
        <v>46083</v>
      </c>
      <c r="L854" s="2">
        <v>46173</v>
      </c>
      <c r="M854" t="s">
        <v>38</v>
      </c>
      <c r="N854" t="s">
        <v>55</v>
      </c>
      <c r="O854">
        <v>1</v>
      </c>
      <c r="P854" t="s">
        <v>70</v>
      </c>
      <c r="Q854" s="2">
        <v>46381</v>
      </c>
      <c r="R854" t="s">
        <v>84</v>
      </c>
    </row>
    <row r="855" spans="1:18" x14ac:dyDescent="0.2">
      <c r="A855" t="s">
        <v>1767</v>
      </c>
      <c r="B855" t="s">
        <v>1768</v>
      </c>
      <c r="C855" t="s">
        <v>31</v>
      </c>
      <c r="D855" t="s">
        <v>32</v>
      </c>
      <c r="E855" t="s">
        <v>80</v>
      </c>
      <c r="F855" t="s">
        <v>45</v>
      </c>
      <c r="G855" t="s">
        <v>61</v>
      </c>
      <c r="H855" t="s">
        <v>47</v>
      </c>
      <c r="I855" t="s">
        <v>111</v>
      </c>
      <c r="J855" t="s">
        <v>37</v>
      </c>
      <c r="K855" s="2">
        <v>46204</v>
      </c>
      <c r="L855" s="2">
        <v>46569</v>
      </c>
      <c r="M855" t="s">
        <v>69</v>
      </c>
      <c r="N855" t="s">
        <v>75</v>
      </c>
      <c r="O855">
        <v>0</v>
      </c>
      <c r="P855" t="s">
        <v>56</v>
      </c>
      <c r="Q855" s="2">
        <v>46266</v>
      </c>
      <c r="R855" t="s">
        <v>57</v>
      </c>
    </row>
    <row r="856" spans="1:18" x14ac:dyDescent="0.2">
      <c r="A856" t="s">
        <v>1769</v>
      </c>
      <c r="B856" t="s">
        <v>1770</v>
      </c>
      <c r="C856" t="s">
        <v>42</v>
      </c>
      <c r="D856" t="s">
        <v>43</v>
      </c>
      <c r="E856" t="s">
        <v>60</v>
      </c>
      <c r="F856" t="s">
        <v>34</v>
      </c>
      <c r="G856" t="s">
        <v>35</v>
      </c>
      <c r="H856" t="s">
        <v>36</v>
      </c>
      <c r="I856" t="s">
        <v>50</v>
      </c>
      <c r="J856" t="s">
        <v>37</v>
      </c>
      <c r="K856" s="2">
        <v>46203</v>
      </c>
      <c r="L856" s="2">
        <v>46383</v>
      </c>
      <c r="M856" t="s">
        <v>64</v>
      </c>
      <c r="N856" t="s">
        <v>55</v>
      </c>
      <c r="O856">
        <v>4</v>
      </c>
      <c r="P856" t="s">
        <v>54</v>
      </c>
      <c r="Q856" s="2">
        <v>46305</v>
      </c>
      <c r="R856" t="s">
        <v>84</v>
      </c>
    </row>
    <row r="857" spans="1:18" x14ac:dyDescent="0.2">
      <c r="A857" t="s">
        <v>1771</v>
      </c>
      <c r="B857" t="s">
        <v>1772</v>
      </c>
      <c r="C857" t="s">
        <v>31</v>
      </c>
      <c r="D857" t="s">
        <v>87</v>
      </c>
      <c r="E857" t="s">
        <v>44</v>
      </c>
      <c r="F857" t="s">
        <v>67</v>
      </c>
      <c r="G857" t="s">
        <v>68</v>
      </c>
      <c r="H857" t="s">
        <v>88</v>
      </c>
      <c r="I857" t="s">
        <v>111</v>
      </c>
      <c r="J857" t="s">
        <v>63</v>
      </c>
      <c r="K857" s="2">
        <v>46270</v>
      </c>
      <c r="L857" s="2">
        <v>46450</v>
      </c>
      <c r="M857" t="s">
        <v>64</v>
      </c>
      <c r="N857" t="s">
        <v>55</v>
      </c>
      <c r="O857">
        <v>3</v>
      </c>
      <c r="P857" t="s">
        <v>54</v>
      </c>
      <c r="Q857" s="2">
        <v>46149</v>
      </c>
      <c r="R857" t="s">
        <v>38</v>
      </c>
    </row>
    <row r="858" spans="1:18" x14ac:dyDescent="0.2">
      <c r="A858" t="s">
        <v>1773</v>
      </c>
      <c r="B858" t="s">
        <v>1774</v>
      </c>
      <c r="C858" t="s">
        <v>103</v>
      </c>
      <c r="D858" t="s">
        <v>104</v>
      </c>
      <c r="E858" t="s">
        <v>60</v>
      </c>
      <c r="F858" t="s">
        <v>45</v>
      </c>
      <c r="G858" t="s">
        <v>46</v>
      </c>
      <c r="H858" t="s">
        <v>88</v>
      </c>
      <c r="I858" t="s">
        <v>70</v>
      </c>
      <c r="J858" t="s">
        <v>63</v>
      </c>
      <c r="K858" s="2">
        <v>46244</v>
      </c>
      <c r="L858" s="2">
        <v>46609</v>
      </c>
      <c r="M858" t="s">
        <v>64</v>
      </c>
      <c r="N858" t="s">
        <v>55</v>
      </c>
      <c r="O858">
        <v>0</v>
      </c>
      <c r="P858" t="s">
        <v>39</v>
      </c>
      <c r="Q858" s="2">
        <v>46294</v>
      </c>
      <c r="R858" t="s">
        <v>57</v>
      </c>
    </row>
    <row r="859" spans="1:18" x14ac:dyDescent="0.2">
      <c r="A859" t="s">
        <v>1775</v>
      </c>
      <c r="B859" t="s">
        <v>1776</v>
      </c>
      <c r="C859" t="s">
        <v>103</v>
      </c>
      <c r="D859" t="s">
        <v>104</v>
      </c>
      <c r="E859" t="s">
        <v>53</v>
      </c>
      <c r="F859" t="s">
        <v>45</v>
      </c>
      <c r="G859" t="s">
        <v>61</v>
      </c>
      <c r="H859" t="s">
        <v>36</v>
      </c>
      <c r="I859" t="s">
        <v>62</v>
      </c>
      <c r="J859" t="s">
        <v>63</v>
      </c>
      <c r="K859" s="2">
        <v>45976</v>
      </c>
      <c r="L859" s="2">
        <v>46341</v>
      </c>
      <c r="M859" t="s">
        <v>64</v>
      </c>
      <c r="N859" t="s">
        <v>49</v>
      </c>
      <c r="O859">
        <v>3</v>
      </c>
      <c r="P859" t="s">
        <v>50</v>
      </c>
      <c r="Q859" s="2">
        <v>46245</v>
      </c>
      <c r="R859" t="s">
        <v>38</v>
      </c>
    </row>
    <row r="860" spans="1:18" x14ac:dyDescent="0.2">
      <c r="A860" t="s">
        <v>1777</v>
      </c>
      <c r="B860" t="s">
        <v>1778</v>
      </c>
      <c r="C860" t="s">
        <v>31</v>
      </c>
      <c r="D860" t="s">
        <v>87</v>
      </c>
      <c r="E860" t="s">
        <v>53</v>
      </c>
      <c r="F860" t="s">
        <v>45</v>
      </c>
      <c r="G860" t="s">
        <v>46</v>
      </c>
      <c r="H860" t="s">
        <v>47</v>
      </c>
      <c r="I860" t="s">
        <v>70</v>
      </c>
      <c r="J860" t="s">
        <v>48</v>
      </c>
      <c r="K860" s="2">
        <v>46211</v>
      </c>
      <c r="L860" s="2">
        <v>46576</v>
      </c>
      <c r="M860" t="s">
        <v>69</v>
      </c>
      <c r="N860" t="s">
        <v>75</v>
      </c>
      <c r="O860">
        <v>2</v>
      </c>
      <c r="P860" t="s">
        <v>54</v>
      </c>
      <c r="Q860" s="2">
        <v>46357</v>
      </c>
      <c r="R860" t="s">
        <v>64</v>
      </c>
    </row>
    <row r="861" spans="1:18" x14ac:dyDescent="0.2">
      <c r="A861" t="s">
        <v>1779</v>
      </c>
      <c r="B861" t="s">
        <v>1780</v>
      </c>
      <c r="C861" t="s">
        <v>78</v>
      </c>
      <c r="D861" t="s">
        <v>79</v>
      </c>
      <c r="E861" t="s">
        <v>44</v>
      </c>
      <c r="F861" t="s">
        <v>45</v>
      </c>
      <c r="G861" t="s">
        <v>46</v>
      </c>
      <c r="H861" t="s">
        <v>47</v>
      </c>
      <c r="I861" t="s">
        <v>39</v>
      </c>
      <c r="J861" t="s">
        <v>37</v>
      </c>
      <c r="K861" s="2">
        <v>46110</v>
      </c>
      <c r="L861" s="2">
        <v>46200</v>
      </c>
      <c r="M861" t="s">
        <v>38</v>
      </c>
      <c r="N861" t="s">
        <v>55</v>
      </c>
      <c r="O861">
        <v>1</v>
      </c>
      <c r="P861" t="s">
        <v>106</v>
      </c>
      <c r="Q861" s="2">
        <v>46376</v>
      </c>
      <c r="R861" t="s">
        <v>84</v>
      </c>
    </row>
    <row r="862" spans="1:18" x14ac:dyDescent="0.2">
      <c r="A862" t="s">
        <v>1781</v>
      </c>
      <c r="B862" t="s">
        <v>1782</v>
      </c>
      <c r="C862" t="s">
        <v>73</v>
      </c>
      <c r="D862" t="s">
        <v>74</v>
      </c>
      <c r="E862" t="s">
        <v>44</v>
      </c>
      <c r="F862" t="s">
        <v>67</v>
      </c>
      <c r="G862" t="s">
        <v>68</v>
      </c>
      <c r="H862" t="s">
        <v>88</v>
      </c>
      <c r="I862" t="s">
        <v>62</v>
      </c>
      <c r="J862" t="s">
        <v>48</v>
      </c>
      <c r="K862" s="2">
        <v>45879</v>
      </c>
      <c r="L862" s="2">
        <v>46059</v>
      </c>
      <c r="M862" t="s">
        <v>38</v>
      </c>
      <c r="N862" t="s">
        <v>49</v>
      </c>
      <c r="O862">
        <v>3</v>
      </c>
      <c r="P862" t="s">
        <v>54</v>
      </c>
      <c r="Q862" s="2">
        <v>46296</v>
      </c>
      <c r="R862" t="s">
        <v>64</v>
      </c>
    </row>
    <row r="863" spans="1:18" x14ac:dyDescent="0.2">
      <c r="A863" t="s">
        <v>1783</v>
      </c>
      <c r="B863" t="s">
        <v>1784</v>
      </c>
      <c r="C863" t="s">
        <v>78</v>
      </c>
      <c r="D863" t="s">
        <v>79</v>
      </c>
      <c r="E863" t="s">
        <v>91</v>
      </c>
      <c r="F863" t="s">
        <v>45</v>
      </c>
      <c r="G863" t="s">
        <v>61</v>
      </c>
      <c r="H863" t="s">
        <v>47</v>
      </c>
      <c r="I863" t="s">
        <v>62</v>
      </c>
      <c r="J863" t="s">
        <v>37</v>
      </c>
      <c r="K863" s="2">
        <v>45989</v>
      </c>
      <c r="L863" s="2">
        <v>46169</v>
      </c>
      <c r="M863" t="s">
        <v>38</v>
      </c>
      <c r="N863" t="s">
        <v>75</v>
      </c>
      <c r="O863">
        <v>2</v>
      </c>
      <c r="P863" t="s">
        <v>50</v>
      </c>
      <c r="Q863" s="2">
        <v>46176</v>
      </c>
      <c r="R863" t="s">
        <v>38</v>
      </c>
    </row>
    <row r="864" spans="1:18" x14ac:dyDescent="0.2">
      <c r="A864" t="s">
        <v>1785</v>
      </c>
      <c r="B864" t="s">
        <v>1786</v>
      </c>
      <c r="C864" t="s">
        <v>103</v>
      </c>
      <c r="D864" t="s">
        <v>104</v>
      </c>
      <c r="E864" t="s">
        <v>80</v>
      </c>
      <c r="F864" t="s">
        <v>45</v>
      </c>
      <c r="G864" t="s">
        <v>61</v>
      </c>
      <c r="H864" t="s">
        <v>36</v>
      </c>
      <c r="I864" t="s">
        <v>106</v>
      </c>
      <c r="J864" t="s">
        <v>37</v>
      </c>
      <c r="K864" s="2">
        <v>45903</v>
      </c>
      <c r="L864" s="2">
        <v>46083</v>
      </c>
      <c r="M864" t="s">
        <v>38</v>
      </c>
      <c r="N864" t="s">
        <v>55</v>
      </c>
      <c r="O864">
        <v>4</v>
      </c>
      <c r="P864" t="s">
        <v>50</v>
      </c>
      <c r="Q864" s="2">
        <v>46401</v>
      </c>
      <c r="R864" t="s">
        <v>84</v>
      </c>
    </row>
    <row r="865" spans="1:18" x14ac:dyDescent="0.2">
      <c r="A865" t="s">
        <v>1787</v>
      </c>
      <c r="B865" t="s">
        <v>1788</v>
      </c>
      <c r="C865" t="s">
        <v>31</v>
      </c>
      <c r="D865" t="s">
        <v>87</v>
      </c>
      <c r="E865" t="s">
        <v>44</v>
      </c>
      <c r="F865" t="s">
        <v>34</v>
      </c>
      <c r="G865" t="s">
        <v>35</v>
      </c>
      <c r="H865" t="s">
        <v>88</v>
      </c>
      <c r="I865" t="s">
        <v>54</v>
      </c>
      <c r="J865" t="s">
        <v>37</v>
      </c>
      <c r="K865" s="2">
        <v>46273</v>
      </c>
      <c r="L865" s="2">
        <v>46638</v>
      </c>
      <c r="M865" t="s">
        <v>64</v>
      </c>
      <c r="N865" t="s">
        <v>55</v>
      </c>
      <c r="O865">
        <v>2</v>
      </c>
      <c r="P865" t="s">
        <v>39</v>
      </c>
      <c r="Q865" s="2">
        <v>46244</v>
      </c>
      <c r="R865" t="s">
        <v>38</v>
      </c>
    </row>
    <row r="866" spans="1:18" x14ac:dyDescent="0.2">
      <c r="A866" t="s">
        <v>1789</v>
      </c>
      <c r="B866" t="s">
        <v>1790</v>
      </c>
      <c r="C866" t="s">
        <v>31</v>
      </c>
      <c r="D866" t="s">
        <v>87</v>
      </c>
      <c r="E866" t="s">
        <v>91</v>
      </c>
      <c r="F866" t="s">
        <v>34</v>
      </c>
      <c r="G866" t="s">
        <v>35</v>
      </c>
      <c r="H866" t="s">
        <v>88</v>
      </c>
      <c r="I866" t="s">
        <v>39</v>
      </c>
      <c r="J866" t="s">
        <v>63</v>
      </c>
      <c r="K866" s="2">
        <v>45919</v>
      </c>
      <c r="L866" s="2">
        <v>46284</v>
      </c>
      <c r="M866" t="s">
        <v>38</v>
      </c>
      <c r="N866" t="s">
        <v>75</v>
      </c>
      <c r="O866">
        <v>2</v>
      </c>
      <c r="P866" t="s">
        <v>111</v>
      </c>
      <c r="Q866" s="2">
        <v>46144</v>
      </c>
      <c r="R866" t="s">
        <v>38</v>
      </c>
    </row>
    <row r="867" spans="1:18" x14ac:dyDescent="0.2">
      <c r="A867" t="s">
        <v>1791</v>
      </c>
      <c r="B867" t="s">
        <v>1792</v>
      </c>
      <c r="C867" t="s">
        <v>31</v>
      </c>
      <c r="D867" t="s">
        <v>83</v>
      </c>
      <c r="E867" t="s">
        <v>80</v>
      </c>
      <c r="F867" t="s">
        <v>34</v>
      </c>
      <c r="G867" t="s">
        <v>35</v>
      </c>
      <c r="H867" t="s">
        <v>47</v>
      </c>
      <c r="I867" t="s">
        <v>70</v>
      </c>
      <c r="J867" t="s">
        <v>37</v>
      </c>
      <c r="K867" s="2">
        <v>46256</v>
      </c>
      <c r="L867" s="2">
        <v>46436</v>
      </c>
      <c r="M867" t="s">
        <v>64</v>
      </c>
      <c r="N867" t="s">
        <v>49</v>
      </c>
      <c r="O867">
        <v>1</v>
      </c>
      <c r="P867" t="s">
        <v>70</v>
      </c>
      <c r="Q867" s="2">
        <v>46205</v>
      </c>
      <c r="R867" t="s">
        <v>38</v>
      </c>
    </row>
    <row r="868" spans="1:18" x14ac:dyDescent="0.2">
      <c r="A868" t="s">
        <v>1793</v>
      </c>
      <c r="B868" t="s">
        <v>1794</v>
      </c>
      <c r="C868" t="s">
        <v>73</v>
      </c>
      <c r="D868" t="s">
        <v>74</v>
      </c>
      <c r="E868" t="s">
        <v>91</v>
      </c>
      <c r="F868" t="s">
        <v>45</v>
      </c>
      <c r="G868" t="s">
        <v>61</v>
      </c>
      <c r="H868" t="s">
        <v>36</v>
      </c>
      <c r="I868" t="s">
        <v>106</v>
      </c>
      <c r="J868" t="s">
        <v>48</v>
      </c>
      <c r="K868" s="2">
        <v>46226</v>
      </c>
      <c r="L868" s="2">
        <v>46591</v>
      </c>
      <c r="M868" t="s">
        <v>64</v>
      </c>
      <c r="N868" t="s">
        <v>55</v>
      </c>
      <c r="O868">
        <v>5</v>
      </c>
      <c r="P868" t="s">
        <v>106</v>
      </c>
      <c r="Q868" s="2">
        <v>46123</v>
      </c>
      <c r="R868" t="s">
        <v>64</v>
      </c>
    </row>
    <row r="869" spans="1:18" x14ac:dyDescent="0.2">
      <c r="A869" t="s">
        <v>1795</v>
      </c>
      <c r="B869" t="s">
        <v>1796</v>
      </c>
      <c r="C869" t="s">
        <v>31</v>
      </c>
      <c r="D869" t="s">
        <v>87</v>
      </c>
      <c r="E869" t="s">
        <v>91</v>
      </c>
      <c r="F869" t="s">
        <v>34</v>
      </c>
      <c r="G869" t="s">
        <v>35</v>
      </c>
      <c r="H869" t="s">
        <v>88</v>
      </c>
      <c r="I869" t="s">
        <v>39</v>
      </c>
      <c r="J869" t="s">
        <v>63</v>
      </c>
      <c r="K869" s="2">
        <v>46242</v>
      </c>
      <c r="L869" s="2">
        <v>46332</v>
      </c>
      <c r="M869" t="s">
        <v>84</v>
      </c>
      <c r="N869" t="s">
        <v>49</v>
      </c>
      <c r="O869">
        <v>2</v>
      </c>
      <c r="P869" t="s">
        <v>54</v>
      </c>
      <c r="Q869" s="2">
        <v>46157</v>
      </c>
      <c r="R869" t="s">
        <v>64</v>
      </c>
    </row>
    <row r="870" spans="1:18" x14ac:dyDescent="0.2">
      <c r="A870" t="s">
        <v>1797</v>
      </c>
      <c r="B870" t="s">
        <v>1798</v>
      </c>
      <c r="C870" t="s">
        <v>31</v>
      </c>
      <c r="D870" t="s">
        <v>32</v>
      </c>
      <c r="E870" t="s">
        <v>44</v>
      </c>
      <c r="F870" t="s">
        <v>34</v>
      </c>
      <c r="G870" t="s">
        <v>35</v>
      </c>
      <c r="H870" t="s">
        <v>88</v>
      </c>
      <c r="I870" t="s">
        <v>39</v>
      </c>
      <c r="J870" t="s">
        <v>37</v>
      </c>
      <c r="K870" s="2">
        <v>46116</v>
      </c>
      <c r="L870" s="2">
        <v>46296</v>
      </c>
      <c r="M870" t="s">
        <v>84</v>
      </c>
      <c r="N870" t="s">
        <v>75</v>
      </c>
      <c r="O870">
        <v>3</v>
      </c>
      <c r="P870" t="s">
        <v>70</v>
      </c>
      <c r="Q870" s="2">
        <v>46405</v>
      </c>
      <c r="R870" t="s">
        <v>84</v>
      </c>
    </row>
    <row r="871" spans="1:18" x14ac:dyDescent="0.2">
      <c r="A871" t="s">
        <v>1799</v>
      </c>
      <c r="B871" t="s">
        <v>1800</v>
      </c>
      <c r="C871" t="s">
        <v>73</v>
      </c>
      <c r="D871" t="s">
        <v>74</v>
      </c>
      <c r="E871" t="s">
        <v>44</v>
      </c>
      <c r="F871" t="s">
        <v>45</v>
      </c>
      <c r="G871" t="s">
        <v>46</v>
      </c>
      <c r="H871" t="s">
        <v>36</v>
      </c>
      <c r="I871" t="s">
        <v>50</v>
      </c>
      <c r="J871" t="s">
        <v>48</v>
      </c>
      <c r="K871" s="2">
        <v>46113</v>
      </c>
      <c r="L871" s="2">
        <v>46478</v>
      </c>
      <c r="M871" t="s">
        <v>84</v>
      </c>
      <c r="N871" t="s">
        <v>55</v>
      </c>
      <c r="O871">
        <v>0</v>
      </c>
      <c r="P871" t="s">
        <v>54</v>
      </c>
      <c r="Q871" s="2">
        <v>46226</v>
      </c>
      <c r="R871" t="s">
        <v>57</v>
      </c>
    </row>
    <row r="872" spans="1:18" x14ac:dyDescent="0.2">
      <c r="A872" t="s">
        <v>1801</v>
      </c>
      <c r="B872" t="s">
        <v>1802</v>
      </c>
      <c r="C872" t="s">
        <v>31</v>
      </c>
      <c r="D872" t="s">
        <v>83</v>
      </c>
      <c r="E872" t="s">
        <v>91</v>
      </c>
      <c r="F872" t="s">
        <v>67</v>
      </c>
      <c r="G872" t="s">
        <v>68</v>
      </c>
      <c r="H872" t="s">
        <v>36</v>
      </c>
      <c r="I872" t="s">
        <v>50</v>
      </c>
      <c r="J872" t="s">
        <v>37</v>
      </c>
      <c r="K872" s="2">
        <v>46117</v>
      </c>
      <c r="L872" s="2">
        <v>46207</v>
      </c>
      <c r="M872" t="s">
        <v>38</v>
      </c>
      <c r="N872" t="s">
        <v>75</v>
      </c>
      <c r="O872">
        <v>5</v>
      </c>
      <c r="P872" t="s">
        <v>62</v>
      </c>
      <c r="Q872" s="2">
        <v>46261</v>
      </c>
      <c r="R872" t="s">
        <v>64</v>
      </c>
    </row>
    <row r="873" spans="1:18" x14ac:dyDescent="0.2">
      <c r="A873" t="s">
        <v>1803</v>
      </c>
      <c r="B873" t="s">
        <v>1804</v>
      </c>
      <c r="C873" t="s">
        <v>73</v>
      </c>
      <c r="D873" t="s">
        <v>74</v>
      </c>
      <c r="E873" t="s">
        <v>53</v>
      </c>
      <c r="F873" t="s">
        <v>45</v>
      </c>
      <c r="G873" t="s">
        <v>46</v>
      </c>
      <c r="H873" t="s">
        <v>36</v>
      </c>
      <c r="I873" t="s">
        <v>50</v>
      </c>
      <c r="J873" t="s">
        <v>63</v>
      </c>
      <c r="K873" s="2">
        <v>46124</v>
      </c>
      <c r="L873" s="2">
        <v>46304</v>
      </c>
      <c r="M873" t="s">
        <v>69</v>
      </c>
      <c r="N873" t="s">
        <v>55</v>
      </c>
      <c r="O873">
        <v>3</v>
      </c>
      <c r="P873" t="s">
        <v>111</v>
      </c>
      <c r="Q873" s="2">
        <v>46296</v>
      </c>
      <c r="R873" t="s">
        <v>84</v>
      </c>
    </row>
    <row r="874" spans="1:18" x14ac:dyDescent="0.2">
      <c r="A874" t="s">
        <v>1805</v>
      </c>
      <c r="B874" t="s">
        <v>1806</v>
      </c>
      <c r="C874" t="s">
        <v>42</v>
      </c>
      <c r="D874" t="s">
        <v>43</v>
      </c>
      <c r="E874" t="s">
        <v>105</v>
      </c>
      <c r="F874" t="s">
        <v>34</v>
      </c>
      <c r="G874" t="s">
        <v>35</v>
      </c>
      <c r="H874" t="s">
        <v>98</v>
      </c>
      <c r="I874" t="s">
        <v>62</v>
      </c>
      <c r="J874" t="s">
        <v>63</v>
      </c>
      <c r="K874" s="2">
        <v>46196</v>
      </c>
      <c r="L874" s="2">
        <v>46561</v>
      </c>
      <c r="M874" t="s">
        <v>69</v>
      </c>
      <c r="N874" t="s">
        <v>75</v>
      </c>
      <c r="O874">
        <v>5</v>
      </c>
      <c r="P874" t="s">
        <v>54</v>
      </c>
      <c r="Q874" s="2">
        <v>46262</v>
      </c>
      <c r="R874" t="s">
        <v>64</v>
      </c>
    </row>
    <row r="875" spans="1:18" x14ac:dyDescent="0.2">
      <c r="A875" t="s">
        <v>1807</v>
      </c>
      <c r="B875" t="s">
        <v>1808</v>
      </c>
      <c r="C875" t="s">
        <v>78</v>
      </c>
      <c r="D875" t="s">
        <v>79</v>
      </c>
      <c r="E875" t="s">
        <v>80</v>
      </c>
      <c r="F875" t="s">
        <v>67</v>
      </c>
      <c r="G875" t="s">
        <v>68</v>
      </c>
      <c r="H875" t="s">
        <v>47</v>
      </c>
      <c r="I875" t="s">
        <v>70</v>
      </c>
      <c r="J875" t="s">
        <v>63</v>
      </c>
      <c r="K875" s="2">
        <v>46011</v>
      </c>
      <c r="L875" s="2">
        <v>46376</v>
      </c>
      <c r="M875" t="s">
        <v>69</v>
      </c>
      <c r="N875" t="s">
        <v>55</v>
      </c>
      <c r="O875">
        <v>3</v>
      </c>
      <c r="P875" t="s">
        <v>39</v>
      </c>
      <c r="Q875" s="2">
        <v>46415</v>
      </c>
      <c r="R875" t="s">
        <v>64</v>
      </c>
    </row>
    <row r="876" spans="1:18" x14ac:dyDescent="0.2">
      <c r="A876" t="s">
        <v>1809</v>
      </c>
      <c r="B876" t="s">
        <v>1810</v>
      </c>
      <c r="C876" t="s">
        <v>73</v>
      </c>
      <c r="D876" t="s">
        <v>74</v>
      </c>
      <c r="E876" t="s">
        <v>91</v>
      </c>
      <c r="F876" t="s">
        <v>67</v>
      </c>
      <c r="G876" t="s">
        <v>68</v>
      </c>
      <c r="H876" t="s">
        <v>88</v>
      </c>
      <c r="I876" t="s">
        <v>39</v>
      </c>
      <c r="J876" t="s">
        <v>48</v>
      </c>
      <c r="K876" s="2">
        <v>46194</v>
      </c>
      <c r="L876" s="2">
        <v>46374</v>
      </c>
      <c r="M876" t="s">
        <v>64</v>
      </c>
      <c r="N876" t="s">
        <v>75</v>
      </c>
      <c r="O876">
        <v>0</v>
      </c>
      <c r="P876" t="s">
        <v>111</v>
      </c>
      <c r="Q876" s="2">
        <v>46210</v>
      </c>
      <c r="R876" t="s">
        <v>57</v>
      </c>
    </row>
    <row r="877" spans="1:18" x14ac:dyDescent="0.2">
      <c r="A877" t="s">
        <v>1811</v>
      </c>
      <c r="B877" t="s">
        <v>1812</v>
      </c>
      <c r="C877" t="s">
        <v>73</v>
      </c>
      <c r="D877" t="s">
        <v>74</v>
      </c>
      <c r="E877" t="s">
        <v>105</v>
      </c>
      <c r="F877" t="s">
        <v>34</v>
      </c>
      <c r="G877" t="s">
        <v>35</v>
      </c>
      <c r="H877" t="s">
        <v>88</v>
      </c>
      <c r="I877" t="s">
        <v>111</v>
      </c>
      <c r="J877" t="s">
        <v>63</v>
      </c>
      <c r="K877" s="2">
        <v>45972</v>
      </c>
      <c r="L877" s="2">
        <v>46337</v>
      </c>
      <c r="M877" t="s">
        <v>69</v>
      </c>
      <c r="N877" t="s">
        <v>75</v>
      </c>
      <c r="O877">
        <v>1</v>
      </c>
      <c r="P877" t="s">
        <v>62</v>
      </c>
      <c r="Q877" s="2">
        <v>46244</v>
      </c>
      <c r="R877" t="s">
        <v>38</v>
      </c>
    </row>
    <row r="878" spans="1:18" x14ac:dyDescent="0.2">
      <c r="A878" t="s">
        <v>1813</v>
      </c>
      <c r="B878" t="s">
        <v>1814</v>
      </c>
      <c r="C878" t="s">
        <v>31</v>
      </c>
      <c r="D878" t="s">
        <v>83</v>
      </c>
      <c r="E878" t="s">
        <v>44</v>
      </c>
      <c r="F878" t="s">
        <v>67</v>
      </c>
      <c r="G878" t="s">
        <v>68</v>
      </c>
      <c r="H878" t="s">
        <v>36</v>
      </c>
      <c r="I878" t="s">
        <v>70</v>
      </c>
      <c r="J878" t="s">
        <v>48</v>
      </c>
      <c r="K878" s="2">
        <v>46060</v>
      </c>
      <c r="L878" s="2">
        <v>46240</v>
      </c>
      <c r="M878" t="s">
        <v>38</v>
      </c>
      <c r="N878" t="s">
        <v>75</v>
      </c>
      <c r="O878">
        <v>4</v>
      </c>
      <c r="P878" t="s">
        <v>56</v>
      </c>
      <c r="Q878" s="2">
        <v>46320</v>
      </c>
      <c r="R878" t="s">
        <v>84</v>
      </c>
    </row>
    <row r="879" spans="1:18" x14ac:dyDescent="0.2">
      <c r="A879" t="s">
        <v>1815</v>
      </c>
      <c r="B879" t="s">
        <v>1816</v>
      </c>
      <c r="C879" t="s">
        <v>31</v>
      </c>
      <c r="D879" t="s">
        <v>83</v>
      </c>
      <c r="E879" t="s">
        <v>60</v>
      </c>
      <c r="F879" t="s">
        <v>34</v>
      </c>
      <c r="G879" t="s">
        <v>35</v>
      </c>
      <c r="H879" t="s">
        <v>36</v>
      </c>
      <c r="I879" t="s">
        <v>50</v>
      </c>
      <c r="J879" t="s">
        <v>37</v>
      </c>
      <c r="K879" s="2">
        <v>45936</v>
      </c>
      <c r="L879" s="2">
        <v>46116</v>
      </c>
      <c r="M879" t="s">
        <v>38</v>
      </c>
      <c r="N879" t="s">
        <v>55</v>
      </c>
      <c r="O879">
        <v>0</v>
      </c>
      <c r="P879" t="s">
        <v>111</v>
      </c>
      <c r="Q879" s="2">
        <v>46273</v>
      </c>
      <c r="R879" t="s">
        <v>57</v>
      </c>
    </row>
    <row r="880" spans="1:18" x14ac:dyDescent="0.2">
      <c r="A880" t="s">
        <v>1817</v>
      </c>
      <c r="B880" t="s">
        <v>1818</v>
      </c>
      <c r="C880" t="s">
        <v>103</v>
      </c>
      <c r="D880" t="s">
        <v>104</v>
      </c>
      <c r="E880" t="s">
        <v>80</v>
      </c>
      <c r="F880" t="s">
        <v>67</v>
      </c>
      <c r="G880" t="s">
        <v>68</v>
      </c>
      <c r="H880" t="s">
        <v>47</v>
      </c>
      <c r="I880" t="s">
        <v>50</v>
      </c>
      <c r="J880" t="s">
        <v>48</v>
      </c>
      <c r="K880" s="2">
        <v>46173</v>
      </c>
      <c r="L880" s="2">
        <v>46263</v>
      </c>
      <c r="M880" t="s">
        <v>38</v>
      </c>
      <c r="N880" t="s">
        <v>75</v>
      </c>
      <c r="O880">
        <v>2</v>
      </c>
      <c r="P880" t="s">
        <v>54</v>
      </c>
      <c r="Q880" s="2">
        <v>46156</v>
      </c>
      <c r="R880" t="s">
        <v>64</v>
      </c>
    </row>
    <row r="881" spans="1:18" x14ac:dyDescent="0.2">
      <c r="A881" t="s">
        <v>1819</v>
      </c>
      <c r="B881" t="s">
        <v>1820</v>
      </c>
      <c r="C881" t="s">
        <v>96</v>
      </c>
      <c r="D881" t="s">
        <v>97</v>
      </c>
      <c r="E881" t="s">
        <v>33</v>
      </c>
      <c r="F881" t="s">
        <v>45</v>
      </c>
      <c r="G881" t="s">
        <v>61</v>
      </c>
      <c r="H881" t="s">
        <v>88</v>
      </c>
      <c r="I881" t="s">
        <v>106</v>
      </c>
      <c r="J881" t="s">
        <v>48</v>
      </c>
      <c r="K881" s="2">
        <v>46224</v>
      </c>
      <c r="L881" s="2">
        <v>46404</v>
      </c>
      <c r="M881" t="s">
        <v>64</v>
      </c>
      <c r="N881" t="s">
        <v>75</v>
      </c>
      <c r="O881">
        <v>1</v>
      </c>
      <c r="P881" t="s">
        <v>70</v>
      </c>
      <c r="Q881" s="2">
        <v>46356</v>
      </c>
      <c r="R881" t="s">
        <v>84</v>
      </c>
    </row>
    <row r="882" spans="1:18" x14ac:dyDescent="0.2">
      <c r="A882" t="s">
        <v>1821</v>
      </c>
      <c r="B882" t="s">
        <v>1822</v>
      </c>
      <c r="C882" t="s">
        <v>31</v>
      </c>
      <c r="D882" t="s">
        <v>32</v>
      </c>
      <c r="E882" t="s">
        <v>53</v>
      </c>
      <c r="F882" t="s">
        <v>67</v>
      </c>
      <c r="G882" t="s">
        <v>68</v>
      </c>
      <c r="H882" t="s">
        <v>36</v>
      </c>
      <c r="I882" t="s">
        <v>50</v>
      </c>
      <c r="J882" t="s">
        <v>37</v>
      </c>
      <c r="K882" s="2">
        <v>46071</v>
      </c>
      <c r="L882" s="2">
        <v>46251</v>
      </c>
      <c r="M882" t="s">
        <v>38</v>
      </c>
      <c r="N882" t="s">
        <v>75</v>
      </c>
      <c r="O882">
        <v>5</v>
      </c>
      <c r="P882" t="s">
        <v>39</v>
      </c>
      <c r="Q882" s="2">
        <v>46332</v>
      </c>
      <c r="R882" t="s">
        <v>84</v>
      </c>
    </row>
    <row r="883" spans="1:18" x14ac:dyDescent="0.2">
      <c r="A883" t="s">
        <v>1823</v>
      </c>
      <c r="B883" t="s">
        <v>1824</v>
      </c>
      <c r="C883" t="s">
        <v>31</v>
      </c>
      <c r="D883" t="s">
        <v>83</v>
      </c>
      <c r="E883" t="s">
        <v>44</v>
      </c>
      <c r="F883" t="s">
        <v>45</v>
      </c>
      <c r="G883" t="s">
        <v>46</v>
      </c>
      <c r="H883" t="s">
        <v>88</v>
      </c>
      <c r="I883" t="s">
        <v>106</v>
      </c>
      <c r="J883" t="s">
        <v>48</v>
      </c>
      <c r="K883" s="2">
        <v>46019</v>
      </c>
      <c r="L883" s="2">
        <v>46109</v>
      </c>
      <c r="M883" t="s">
        <v>38</v>
      </c>
      <c r="N883" t="s">
        <v>49</v>
      </c>
      <c r="O883">
        <v>3</v>
      </c>
      <c r="P883" t="s">
        <v>39</v>
      </c>
      <c r="Q883" s="2">
        <v>46154</v>
      </c>
      <c r="R883" t="s">
        <v>38</v>
      </c>
    </row>
    <row r="884" spans="1:18" x14ac:dyDescent="0.2">
      <c r="A884" t="s">
        <v>1825</v>
      </c>
      <c r="B884" t="s">
        <v>1826</v>
      </c>
      <c r="C884" t="s">
        <v>96</v>
      </c>
      <c r="D884" t="s">
        <v>97</v>
      </c>
      <c r="E884" t="s">
        <v>80</v>
      </c>
      <c r="F884" t="s">
        <v>45</v>
      </c>
      <c r="G884" t="s">
        <v>61</v>
      </c>
      <c r="H884" t="s">
        <v>47</v>
      </c>
      <c r="I884" t="s">
        <v>62</v>
      </c>
      <c r="J884" t="s">
        <v>37</v>
      </c>
      <c r="K884" s="2">
        <v>45941</v>
      </c>
      <c r="L884" s="2">
        <v>46031</v>
      </c>
      <c r="M884" t="s">
        <v>38</v>
      </c>
      <c r="N884" t="s">
        <v>75</v>
      </c>
      <c r="O884">
        <v>1</v>
      </c>
      <c r="P884" t="s">
        <v>62</v>
      </c>
      <c r="Q884" s="2">
        <v>46260</v>
      </c>
      <c r="R884" t="s">
        <v>64</v>
      </c>
    </row>
    <row r="885" spans="1:18" x14ac:dyDescent="0.2">
      <c r="A885" t="s">
        <v>1827</v>
      </c>
      <c r="B885" t="s">
        <v>1828</v>
      </c>
      <c r="C885" t="s">
        <v>31</v>
      </c>
      <c r="D885" t="s">
        <v>87</v>
      </c>
      <c r="E885" t="s">
        <v>80</v>
      </c>
      <c r="F885" t="s">
        <v>45</v>
      </c>
      <c r="G885" t="s">
        <v>46</v>
      </c>
      <c r="H885" t="s">
        <v>88</v>
      </c>
      <c r="I885" t="s">
        <v>70</v>
      </c>
      <c r="J885" t="s">
        <v>37</v>
      </c>
      <c r="K885" s="2">
        <v>46037</v>
      </c>
      <c r="L885" s="2">
        <v>46127</v>
      </c>
      <c r="M885" t="s">
        <v>38</v>
      </c>
      <c r="N885" t="s">
        <v>75</v>
      </c>
      <c r="O885">
        <v>0</v>
      </c>
      <c r="P885" t="s">
        <v>50</v>
      </c>
      <c r="Q885" s="2">
        <v>46322</v>
      </c>
      <c r="R885" t="s">
        <v>57</v>
      </c>
    </row>
    <row r="886" spans="1:18" x14ac:dyDescent="0.2">
      <c r="A886" t="s">
        <v>1829</v>
      </c>
      <c r="B886" t="s">
        <v>1830</v>
      </c>
      <c r="C886" t="s">
        <v>31</v>
      </c>
      <c r="D886" t="s">
        <v>32</v>
      </c>
      <c r="E886" t="s">
        <v>91</v>
      </c>
      <c r="F886" t="s">
        <v>34</v>
      </c>
      <c r="G886" t="s">
        <v>35</v>
      </c>
      <c r="H886" t="s">
        <v>88</v>
      </c>
      <c r="I886" t="s">
        <v>111</v>
      </c>
      <c r="J886" t="s">
        <v>37</v>
      </c>
      <c r="K886" s="2">
        <v>45941</v>
      </c>
      <c r="L886" s="2">
        <v>46306</v>
      </c>
      <c r="M886" t="s">
        <v>64</v>
      </c>
      <c r="N886" t="s">
        <v>55</v>
      </c>
      <c r="O886">
        <v>2</v>
      </c>
      <c r="P886" t="s">
        <v>106</v>
      </c>
      <c r="Q886" s="2">
        <v>46332</v>
      </c>
      <c r="R886" t="s">
        <v>64</v>
      </c>
    </row>
    <row r="887" spans="1:18" x14ac:dyDescent="0.2">
      <c r="A887" t="s">
        <v>1831</v>
      </c>
      <c r="B887" t="s">
        <v>1832</v>
      </c>
      <c r="C887" t="s">
        <v>31</v>
      </c>
      <c r="D887" t="s">
        <v>32</v>
      </c>
      <c r="E887" t="s">
        <v>60</v>
      </c>
      <c r="F887" t="s">
        <v>67</v>
      </c>
      <c r="G887" t="s">
        <v>118</v>
      </c>
      <c r="H887" t="s">
        <v>98</v>
      </c>
      <c r="I887" t="s">
        <v>70</v>
      </c>
      <c r="J887" t="s">
        <v>48</v>
      </c>
      <c r="K887" s="2">
        <v>45873</v>
      </c>
      <c r="L887" s="2">
        <v>45963</v>
      </c>
      <c r="M887" t="s">
        <v>38</v>
      </c>
      <c r="N887" t="s">
        <v>75</v>
      </c>
      <c r="O887">
        <v>4</v>
      </c>
      <c r="P887" t="s">
        <v>106</v>
      </c>
      <c r="Q887" s="2">
        <v>46311</v>
      </c>
      <c r="R887" t="s">
        <v>84</v>
      </c>
    </row>
    <row r="888" spans="1:18" x14ac:dyDescent="0.2">
      <c r="A888" t="s">
        <v>1833</v>
      </c>
      <c r="B888" t="s">
        <v>1834</v>
      </c>
      <c r="C888" t="s">
        <v>96</v>
      </c>
      <c r="D888" t="s">
        <v>97</v>
      </c>
      <c r="E888" t="s">
        <v>44</v>
      </c>
      <c r="F888" t="s">
        <v>34</v>
      </c>
      <c r="G888" t="s">
        <v>35</v>
      </c>
      <c r="H888" t="s">
        <v>88</v>
      </c>
      <c r="I888" t="s">
        <v>111</v>
      </c>
      <c r="J888" t="s">
        <v>37</v>
      </c>
      <c r="K888" s="2">
        <v>46053</v>
      </c>
      <c r="L888" s="2">
        <v>46143</v>
      </c>
      <c r="M888" t="s">
        <v>38</v>
      </c>
      <c r="N888" t="s">
        <v>75</v>
      </c>
      <c r="O888">
        <v>2</v>
      </c>
      <c r="P888" t="s">
        <v>39</v>
      </c>
      <c r="Q888" s="2">
        <v>46135</v>
      </c>
      <c r="R888" t="s">
        <v>64</v>
      </c>
    </row>
    <row r="889" spans="1:18" x14ac:dyDescent="0.2">
      <c r="A889" t="s">
        <v>1835</v>
      </c>
      <c r="B889" t="s">
        <v>1836</v>
      </c>
      <c r="C889" t="s">
        <v>78</v>
      </c>
      <c r="D889" t="s">
        <v>79</v>
      </c>
      <c r="E889" t="s">
        <v>53</v>
      </c>
      <c r="F889" t="s">
        <v>34</v>
      </c>
      <c r="G889" t="s">
        <v>35</v>
      </c>
      <c r="H889" t="s">
        <v>88</v>
      </c>
      <c r="I889" t="s">
        <v>56</v>
      </c>
      <c r="J889" t="s">
        <v>37</v>
      </c>
      <c r="K889" s="2">
        <v>45883</v>
      </c>
      <c r="L889" s="2">
        <v>45973</v>
      </c>
      <c r="M889" t="s">
        <v>38</v>
      </c>
      <c r="N889" t="s">
        <v>49</v>
      </c>
      <c r="O889">
        <v>2</v>
      </c>
      <c r="P889" t="s">
        <v>106</v>
      </c>
      <c r="Q889" s="2">
        <v>46206</v>
      </c>
      <c r="R889" t="s">
        <v>64</v>
      </c>
    </row>
    <row r="890" spans="1:18" x14ac:dyDescent="0.2">
      <c r="A890" t="s">
        <v>1837</v>
      </c>
      <c r="B890" t="s">
        <v>1838</v>
      </c>
      <c r="C890" t="s">
        <v>31</v>
      </c>
      <c r="D890" t="s">
        <v>32</v>
      </c>
      <c r="E890" t="s">
        <v>60</v>
      </c>
      <c r="F890" t="s">
        <v>67</v>
      </c>
      <c r="G890" t="s">
        <v>68</v>
      </c>
      <c r="H890" t="s">
        <v>47</v>
      </c>
      <c r="I890" t="s">
        <v>39</v>
      </c>
      <c r="J890" t="s">
        <v>63</v>
      </c>
      <c r="K890" s="2">
        <v>46003</v>
      </c>
      <c r="L890" s="2">
        <v>46368</v>
      </c>
      <c r="M890" t="s">
        <v>64</v>
      </c>
      <c r="N890" t="s">
        <v>55</v>
      </c>
      <c r="O890">
        <v>0</v>
      </c>
      <c r="P890" t="s">
        <v>50</v>
      </c>
      <c r="Q890" s="2">
        <v>46388</v>
      </c>
      <c r="R890" t="s">
        <v>57</v>
      </c>
    </row>
    <row r="891" spans="1:18" x14ac:dyDescent="0.2">
      <c r="A891" t="s">
        <v>1839</v>
      </c>
      <c r="B891" t="s">
        <v>1840</v>
      </c>
      <c r="C891" t="s">
        <v>73</v>
      </c>
      <c r="D891" t="s">
        <v>74</v>
      </c>
      <c r="E891" t="s">
        <v>80</v>
      </c>
      <c r="F891" t="s">
        <v>34</v>
      </c>
      <c r="G891" t="s">
        <v>35</v>
      </c>
      <c r="H891" t="s">
        <v>36</v>
      </c>
      <c r="I891" t="s">
        <v>106</v>
      </c>
      <c r="J891" t="s">
        <v>48</v>
      </c>
      <c r="K891" s="2">
        <v>46041</v>
      </c>
      <c r="L891" s="2">
        <v>46406</v>
      </c>
      <c r="M891" t="s">
        <v>69</v>
      </c>
      <c r="N891" t="s">
        <v>55</v>
      </c>
      <c r="O891">
        <v>0</v>
      </c>
      <c r="P891" t="s">
        <v>70</v>
      </c>
      <c r="Q891" s="2">
        <v>46282</v>
      </c>
      <c r="R891" t="s">
        <v>57</v>
      </c>
    </row>
    <row r="892" spans="1:18" x14ac:dyDescent="0.2">
      <c r="A892" t="s">
        <v>1841</v>
      </c>
      <c r="B892" t="s">
        <v>1842</v>
      </c>
      <c r="C892" t="s">
        <v>31</v>
      </c>
      <c r="D892" t="s">
        <v>32</v>
      </c>
      <c r="E892" t="s">
        <v>53</v>
      </c>
      <c r="F892" t="s">
        <v>67</v>
      </c>
      <c r="G892" t="s">
        <v>68</v>
      </c>
      <c r="H892" t="s">
        <v>98</v>
      </c>
      <c r="I892" t="s">
        <v>56</v>
      </c>
      <c r="J892" t="s">
        <v>37</v>
      </c>
      <c r="K892" s="2">
        <v>46059</v>
      </c>
      <c r="L892" s="2">
        <v>46239</v>
      </c>
      <c r="M892" t="s">
        <v>38</v>
      </c>
      <c r="N892" t="s">
        <v>55</v>
      </c>
      <c r="O892">
        <v>1</v>
      </c>
      <c r="P892" t="s">
        <v>70</v>
      </c>
      <c r="Q892" s="2">
        <v>46246</v>
      </c>
      <c r="R892" t="s">
        <v>38</v>
      </c>
    </row>
    <row r="893" spans="1:18" x14ac:dyDescent="0.2">
      <c r="A893" t="s">
        <v>1843</v>
      </c>
      <c r="B893" t="s">
        <v>1844</v>
      </c>
      <c r="C893" t="s">
        <v>78</v>
      </c>
      <c r="D893" t="s">
        <v>79</v>
      </c>
      <c r="E893" t="s">
        <v>53</v>
      </c>
      <c r="F893" t="s">
        <v>45</v>
      </c>
      <c r="G893" t="s">
        <v>61</v>
      </c>
      <c r="H893" t="s">
        <v>88</v>
      </c>
      <c r="I893" t="s">
        <v>54</v>
      </c>
      <c r="J893" t="s">
        <v>63</v>
      </c>
      <c r="K893" s="2">
        <v>45920</v>
      </c>
      <c r="L893" s="2">
        <v>46010</v>
      </c>
      <c r="M893" t="s">
        <v>38</v>
      </c>
      <c r="N893" t="s">
        <v>75</v>
      </c>
      <c r="O893">
        <v>3</v>
      </c>
      <c r="P893" t="s">
        <v>50</v>
      </c>
      <c r="Q893" s="2">
        <v>46225</v>
      </c>
      <c r="R893" t="s">
        <v>38</v>
      </c>
    </row>
    <row r="894" spans="1:18" x14ac:dyDescent="0.2">
      <c r="A894" t="s">
        <v>1845</v>
      </c>
      <c r="B894" t="s">
        <v>1846</v>
      </c>
      <c r="C894" t="s">
        <v>103</v>
      </c>
      <c r="D894" t="s">
        <v>104</v>
      </c>
      <c r="E894" t="s">
        <v>60</v>
      </c>
      <c r="F894" t="s">
        <v>67</v>
      </c>
      <c r="G894" t="s">
        <v>68</v>
      </c>
      <c r="H894" t="s">
        <v>88</v>
      </c>
      <c r="I894" t="s">
        <v>50</v>
      </c>
      <c r="J894" t="s">
        <v>37</v>
      </c>
      <c r="K894" s="2">
        <v>45928</v>
      </c>
      <c r="L894" s="2">
        <v>46108</v>
      </c>
      <c r="M894" t="s">
        <v>38</v>
      </c>
      <c r="N894" t="s">
        <v>75</v>
      </c>
      <c r="O894">
        <v>0</v>
      </c>
      <c r="P894" t="s">
        <v>50</v>
      </c>
      <c r="Q894" s="2">
        <v>46323</v>
      </c>
      <c r="R894" t="s">
        <v>57</v>
      </c>
    </row>
    <row r="895" spans="1:18" x14ac:dyDescent="0.2">
      <c r="A895" t="s">
        <v>1847</v>
      </c>
      <c r="B895" t="s">
        <v>1848</v>
      </c>
      <c r="C895" t="s">
        <v>42</v>
      </c>
      <c r="D895" t="s">
        <v>43</v>
      </c>
      <c r="E895" t="s">
        <v>80</v>
      </c>
      <c r="F895" t="s">
        <v>67</v>
      </c>
      <c r="G895" t="s">
        <v>118</v>
      </c>
      <c r="H895" t="s">
        <v>88</v>
      </c>
      <c r="I895" t="s">
        <v>106</v>
      </c>
      <c r="J895" t="s">
        <v>63</v>
      </c>
      <c r="K895" s="2">
        <v>46226</v>
      </c>
      <c r="L895" s="2">
        <v>46316</v>
      </c>
      <c r="M895" t="s">
        <v>64</v>
      </c>
      <c r="N895" t="s">
        <v>49</v>
      </c>
      <c r="O895">
        <v>2</v>
      </c>
      <c r="P895" t="s">
        <v>111</v>
      </c>
      <c r="Q895" s="2">
        <v>46228</v>
      </c>
      <c r="R895" t="s">
        <v>64</v>
      </c>
    </row>
    <row r="896" spans="1:18" x14ac:dyDescent="0.2">
      <c r="A896" t="s">
        <v>1849</v>
      </c>
      <c r="B896" t="s">
        <v>1850</v>
      </c>
      <c r="C896" t="s">
        <v>31</v>
      </c>
      <c r="D896" t="s">
        <v>83</v>
      </c>
      <c r="E896" t="s">
        <v>91</v>
      </c>
      <c r="F896" t="s">
        <v>34</v>
      </c>
      <c r="G896" t="s">
        <v>35</v>
      </c>
      <c r="H896" t="s">
        <v>88</v>
      </c>
      <c r="I896" t="s">
        <v>62</v>
      </c>
      <c r="J896" t="s">
        <v>63</v>
      </c>
      <c r="K896" s="2">
        <v>46032</v>
      </c>
      <c r="L896" s="2">
        <v>46397</v>
      </c>
      <c r="M896" t="s">
        <v>64</v>
      </c>
      <c r="N896" t="s">
        <v>75</v>
      </c>
      <c r="O896">
        <v>2</v>
      </c>
      <c r="P896" t="s">
        <v>111</v>
      </c>
      <c r="Q896" s="2">
        <v>46292</v>
      </c>
      <c r="R896" t="s">
        <v>38</v>
      </c>
    </row>
    <row r="897" spans="1:18" x14ac:dyDescent="0.2">
      <c r="A897" t="s">
        <v>1851</v>
      </c>
      <c r="B897" t="s">
        <v>1852</v>
      </c>
      <c r="C897" t="s">
        <v>31</v>
      </c>
      <c r="D897" t="s">
        <v>32</v>
      </c>
      <c r="E897" t="s">
        <v>91</v>
      </c>
      <c r="F897" t="s">
        <v>45</v>
      </c>
      <c r="G897" t="s">
        <v>46</v>
      </c>
      <c r="H897" t="s">
        <v>88</v>
      </c>
      <c r="I897" t="s">
        <v>62</v>
      </c>
      <c r="J897" t="s">
        <v>63</v>
      </c>
      <c r="K897" s="2">
        <v>46259</v>
      </c>
      <c r="L897" s="2">
        <v>46624</v>
      </c>
      <c r="M897" t="s">
        <v>84</v>
      </c>
      <c r="N897" t="s">
        <v>49</v>
      </c>
      <c r="O897">
        <v>3</v>
      </c>
      <c r="P897" t="s">
        <v>106</v>
      </c>
      <c r="Q897" s="2">
        <v>46402</v>
      </c>
      <c r="R897" t="s">
        <v>84</v>
      </c>
    </row>
    <row r="898" spans="1:18" x14ac:dyDescent="0.2">
      <c r="A898" t="s">
        <v>1853</v>
      </c>
      <c r="B898" t="s">
        <v>1854</v>
      </c>
      <c r="C898" t="s">
        <v>78</v>
      </c>
      <c r="D898" t="s">
        <v>79</v>
      </c>
      <c r="E898" t="s">
        <v>53</v>
      </c>
      <c r="F898" t="s">
        <v>67</v>
      </c>
      <c r="G898" t="s">
        <v>118</v>
      </c>
      <c r="H898" t="s">
        <v>88</v>
      </c>
      <c r="J898" t="s">
        <v>48</v>
      </c>
      <c r="K898" s="2">
        <v>46036</v>
      </c>
      <c r="L898" s="2">
        <v>46126</v>
      </c>
      <c r="M898" t="s">
        <v>38</v>
      </c>
      <c r="N898" t="s">
        <v>55</v>
      </c>
      <c r="O898">
        <v>1</v>
      </c>
      <c r="P898" t="s">
        <v>56</v>
      </c>
      <c r="Q898" s="2">
        <v>46295</v>
      </c>
      <c r="R898" t="s">
        <v>84</v>
      </c>
    </row>
    <row r="899" spans="1:18" x14ac:dyDescent="0.2">
      <c r="A899" t="s">
        <v>1855</v>
      </c>
      <c r="B899" t="s">
        <v>1856</v>
      </c>
      <c r="C899" t="s">
        <v>31</v>
      </c>
      <c r="D899" t="s">
        <v>32</v>
      </c>
      <c r="E899" t="s">
        <v>44</v>
      </c>
      <c r="F899" t="s">
        <v>34</v>
      </c>
      <c r="G899" t="s">
        <v>35</v>
      </c>
      <c r="H899" t="s">
        <v>88</v>
      </c>
      <c r="I899" t="s">
        <v>50</v>
      </c>
      <c r="J899" t="s">
        <v>37</v>
      </c>
      <c r="K899" s="2">
        <v>46082</v>
      </c>
      <c r="L899" s="2">
        <v>46447</v>
      </c>
      <c r="M899" t="s">
        <v>84</v>
      </c>
      <c r="N899" t="s">
        <v>55</v>
      </c>
      <c r="O899">
        <v>3</v>
      </c>
      <c r="P899" t="s">
        <v>50</v>
      </c>
      <c r="Q899" s="2">
        <v>46226</v>
      </c>
      <c r="R899" t="s">
        <v>64</v>
      </c>
    </row>
    <row r="900" spans="1:18" x14ac:dyDescent="0.2">
      <c r="A900" t="s">
        <v>1857</v>
      </c>
      <c r="B900" t="s">
        <v>1858</v>
      </c>
      <c r="C900" t="s">
        <v>78</v>
      </c>
      <c r="D900" t="s">
        <v>79</v>
      </c>
      <c r="E900" t="s">
        <v>60</v>
      </c>
      <c r="F900" t="s">
        <v>45</v>
      </c>
      <c r="G900" t="s">
        <v>61</v>
      </c>
      <c r="H900" t="s">
        <v>88</v>
      </c>
      <c r="I900" t="s">
        <v>54</v>
      </c>
      <c r="J900" t="s">
        <v>37</v>
      </c>
      <c r="K900" s="2">
        <v>46061</v>
      </c>
      <c r="L900" s="2">
        <v>46426</v>
      </c>
      <c r="M900" t="s">
        <v>64</v>
      </c>
      <c r="N900" t="s">
        <v>75</v>
      </c>
      <c r="O900">
        <v>0</v>
      </c>
      <c r="P900" t="s">
        <v>111</v>
      </c>
      <c r="Q900" s="2">
        <v>46277</v>
      </c>
      <c r="R900" t="s">
        <v>57</v>
      </c>
    </row>
    <row r="901" spans="1:18" x14ac:dyDescent="0.2">
      <c r="A901" t="s">
        <v>1859</v>
      </c>
      <c r="B901" t="s">
        <v>1860</v>
      </c>
      <c r="C901" t="s">
        <v>31</v>
      </c>
      <c r="D901" t="s">
        <v>32</v>
      </c>
      <c r="E901" t="s">
        <v>80</v>
      </c>
      <c r="F901" t="s">
        <v>67</v>
      </c>
      <c r="G901" t="s">
        <v>118</v>
      </c>
      <c r="H901" t="s">
        <v>47</v>
      </c>
      <c r="I901" t="s">
        <v>50</v>
      </c>
      <c r="J901" t="s">
        <v>63</v>
      </c>
      <c r="K901" s="2">
        <v>46071</v>
      </c>
      <c r="L901" s="2">
        <v>46251</v>
      </c>
      <c r="M901" t="s">
        <v>38</v>
      </c>
      <c r="N901" t="s">
        <v>55</v>
      </c>
      <c r="O901">
        <v>2</v>
      </c>
      <c r="P901" t="s">
        <v>62</v>
      </c>
      <c r="Q901" s="2">
        <v>46352</v>
      </c>
      <c r="R901" t="s">
        <v>84</v>
      </c>
    </row>
    <row r="902" spans="1:18" x14ac:dyDescent="0.2">
      <c r="A902" t="s">
        <v>1861</v>
      </c>
      <c r="B902" t="s">
        <v>1862</v>
      </c>
      <c r="C902" t="s">
        <v>103</v>
      </c>
      <c r="D902" t="s">
        <v>104</v>
      </c>
      <c r="E902" t="s">
        <v>44</v>
      </c>
      <c r="F902" t="s">
        <v>67</v>
      </c>
      <c r="G902" t="s">
        <v>118</v>
      </c>
      <c r="H902" t="s">
        <v>88</v>
      </c>
      <c r="I902" t="s">
        <v>54</v>
      </c>
      <c r="J902" t="s">
        <v>63</v>
      </c>
      <c r="K902" s="2">
        <v>46205</v>
      </c>
      <c r="L902" s="2">
        <v>46570</v>
      </c>
      <c r="M902" t="s">
        <v>84</v>
      </c>
      <c r="N902" t="s">
        <v>49</v>
      </c>
      <c r="O902">
        <v>3</v>
      </c>
      <c r="P902" t="s">
        <v>111</v>
      </c>
      <c r="Q902" s="2">
        <v>46126</v>
      </c>
      <c r="R902" t="s">
        <v>64</v>
      </c>
    </row>
    <row r="903" spans="1:18" x14ac:dyDescent="0.2">
      <c r="A903" t="s">
        <v>1863</v>
      </c>
      <c r="B903" t="s">
        <v>1864</v>
      </c>
      <c r="C903" t="s">
        <v>103</v>
      </c>
      <c r="D903" t="s">
        <v>104</v>
      </c>
      <c r="E903" t="s">
        <v>53</v>
      </c>
      <c r="F903" t="s">
        <v>34</v>
      </c>
      <c r="G903" t="s">
        <v>35</v>
      </c>
      <c r="H903" t="s">
        <v>47</v>
      </c>
      <c r="I903" t="s">
        <v>62</v>
      </c>
      <c r="J903" t="s">
        <v>48</v>
      </c>
      <c r="K903" s="2">
        <v>45993</v>
      </c>
      <c r="L903" s="2">
        <v>46358</v>
      </c>
      <c r="M903" t="s">
        <v>84</v>
      </c>
      <c r="N903" t="s">
        <v>75</v>
      </c>
      <c r="O903">
        <v>2</v>
      </c>
      <c r="P903" t="s">
        <v>56</v>
      </c>
      <c r="Q903" s="2">
        <v>46237</v>
      </c>
      <c r="R903" t="s">
        <v>64</v>
      </c>
    </row>
    <row r="904" spans="1:18" x14ac:dyDescent="0.2">
      <c r="A904" t="s">
        <v>1865</v>
      </c>
      <c r="B904" t="s">
        <v>1866</v>
      </c>
      <c r="C904" t="s">
        <v>73</v>
      </c>
      <c r="D904" t="s">
        <v>74</v>
      </c>
      <c r="E904" t="s">
        <v>44</v>
      </c>
      <c r="F904" t="s">
        <v>45</v>
      </c>
      <c r="G904" t="s">
        <v>46</v>
      </c>
      <c r="H904" t="s">
        <v>88</v>
      </c>
      <c r="I904" t="s">
        <v>111</v>
      </c>
      <c r="J904" t="s">
        <v>48</v>
      </c>
      <c r="K904" s="2">
        <v>46150</v>
      </c>
      <c r="L904" s="2">
        <v>46515</v>
      </c>
      <c r="M904" t="s">
        <v>84</v>
      </c>
      <c r="N904" t="s">
        <v>55</v>
      </c>
      <c r="O904">
        <v>3</v>
      </c>
      <c r="P904" t="s">
        <v>54</v>
      </c>
      <c r="Q904" s="2">
        <v>46371</v>
      </c>
      <c r="R904" t="s">
        <v>84</v>
      </c>
    </row>
    <row r="905" spans="1:18" x14ac:dyDescent="0.2">
      <c r="A905" t="s">
        <v>1867</v>
      </c>
      <c r="B905" t="s">
        <v>1868</v>
      </c>
      <c r="C905" t="s">
        <v>42</v>
      </c>
      <c r="D905" t="s">
        <v>43</v>
      </c>
      <c r="E905" t="s">
        <v>105</v>
      </c>
      <c r="F905" t="s">
        <v>67</v>
      </c>
      <c r="G905" t="s">
        <v>68</v>
      </c>
      <c r="H905" t="s">
        <v>36</v>
      </c>
      <c r="I905" t="s">
        <v>62</v>
      </c>
      <c r="J905" t="s">
        <v>63</v>
      </c>
      <c r="K905" s="2">
        <v>45832</v>
      </c>
      <c r="L905" s="2">
        <v>46197</v>
      </c>
      <c r="M905" t="s">
        <v>38</v>
      </c>
      <c r="N905" t="s">
        <v>75</v>
      </c>
      <c r="O905">
        <v>3</v>
      </c>
      <c r="P905" t="s">
        <v>70</v>
      </c>
      <c r="Q905" s="2">
        <v>46151</v>
      </c>
      <c r="R905" t="s">
        <v>38</v>
      </c>
    </row>
    <row r="906" spans="1:18" x14ac:dyDescent="0.2">
      <c r="A906" t="s">
        <v>1869</v>
      </c>
      <c r="B906" t="s">
        <v>1870</v>
      </c>
      <c r="C906" t="s">
        <v>96</v>
      </c>
      <c r="D906" t="s">
        <v>97</v>
      </c>
      <c r="E906" t="s">
        <v>80</v>
      </c>
      <c r="F906" t="s">
        <v>34</v>
      </c>
      <c r="G906" t="s">
        <v>35</v>
      </c>
      <c r="H906" t="s">
        <v>88</v>
      </c>
      <c r="I906" t="s">
        <v>39</v>
      </c>
      <c r="J906" t="s">
        <v>48</v>
      </c>
      <c r="K906" s="2">
        <v>46126</v>
      </c>
      <c r="L906" s="2">
        <v>46306</v>
      </c>
      <c r="M906" t="s">
        <v>84</v>
      </c>
      <c r="N906" t="s">
        <v>75</v>
      </c>
      <c r="O906">
        <v>3</v>
      </c>
      <c r="P906" t="s">
        <v>70</v>
      </c>
      <c r="Q906" s="2">
        <v>46376</v>
      </c>
      <c r="R906" t="s">
        <v>84</v>
      </c>
    </row>
    <row r="907" spans="1:18" x14ac:dyDescent="0.2">
      <c r="A907" t="s">
        <v>1871</v>
      </c>
      <c r="B907" t="s">
        <v>1872</v>
      </c>
      <c r="C907" t="s">
        <v>103</v>
      </c>
      <c r="D907" t="s">
        <v>104</v>
      </c>
      <c r="E907" t="s">
        <v>60</v>
      </c>
      <c r="F907" t="s">
        <v>45</v>
      </c>
      <c r="G907" t="s">
        <v>61</v>
      </c>
      <c r="H907" t="s">
        <v>36</v>
      </c>
      <c r="I907" t="s">
        <v>70</v>
      </c>
      <c r="J907" t="s">
        <v>37</v>
      </c>
      <c r="K907" s="2">
        <v>45906</v>
      </c>
      <c r="L907" s="2">
        <v>45996</v>
      </c>
      <c r="M907" t="s">
        <v>38</v>
      </c>
      <c r="N907" t="s">
        <v>75</v>
      </c>
      <c r="O907">
        <v>3</v>
      </c>
      <c r="P907" t="s">
        <v>54</v>
      </c>
      <c r="Q907" s="2">
        <v>46288</v>
      </c>
      <c r="R907" t="s">
        <v>64</v>
      </c>
    </row>
    <row r="908" spans="1:18" x14ac:dyDescent="0.2">
      <c r="A908" t="s">
        <v>1873</v>
      </c>
      <c r="B908" t="s">
        <v>1874</v>
      </c>
      <c r="C908" t="s">
        <v>96</v>
      </c>
      <c r="D908" t="s">
        <v>97</v>
      </c>
      <c r="E908" t="s">
        <v>53</v>
      </c>
      <c r="F908" t="s">
        <v>67</v>
      </c>
      <c r="G908" t="s">
        <v>68</v>
      </c>
      <c r="H908" t="s">
        <v>88</v>
      </c>
      <c r="I908" t="s">
        <v>70</v>
      </c>
      <c r="J908" t="s">
        <v>37</v>
      </c>
      <c r="K908" s="2">
        <v>46041</v>
      </c>
      <c r="L908" s="2">
        <v>46406</v>
      </c>
      <c r="M908" t="s">
        <v>64</v>
      </c>
      <c r="N908" t="s">
        <v>55</v>
      </c>
      <c r="O908">
        <v>2</v>
      </c>
      <c r="P908" t="s">
        <v>56</v>
      </c>
      <c r="Q908" s="2">
        <v>46290</v>
      </c>
      <c r="R908" t="s">
        <v>64</v>
      </c>
    </row>
    <row r="909" spans="1:18" x14ac:dyDescent="0.2">
      <c r="A909" t="s">
        <v>1875</v>
      </c>
      <c r="B909" t="s">
        <v>1876</v>
      </c>
      <c r="C909" t="s">
        <v>42</v>
      </c>
      <c r="D909" t="s">
        <v>43</v>
      </c>
      <c r="E909" t="s">
        <v>60</v>
      </c>
      <c r="F909" t="s">
        <v>34</v>
      </c>
      <c r="G909" t="s">
        <v>35</v>
      </c>
      <c r="H909" t="s">
        <v>47</v>
      </c>
      <c r="I909" t="s">
        <v>50</v>
      </c>
      <c r="J909" t="s">
        <v>63</v>
      </c>
      <c r="K909" s="2">
        <v>46200</v>
      </c>
      <c r="L909" s="2">
        <v>46565</v>
      </c>
      <c r="M909" t="s">
        <v>64</v>
      </c>
      <c r="N909" t="s">
        <v>55</v>
      </c>
      <c r="O909">
        <v>2</v>
      </c>
      <c r="P909" t="s">
        <v>50</v>
      </c>
      <c r="Q909" s="2">
        <v>46403</v>
      </c>
      <c r="R909" t="s">
        <v>84</v>
      </c>
    </row>
    <row r="910" spans="1:18" x14ac:dyDescent="0.2">
      <c r="A910" t="s">
        <v>1877</v>
      </c>
      <c r="B910" t="s">
        <v>1878</v>
      </c>
      <c r="C910" t="s">
        <v>42</v>
      </c>
      <c r="D910" t="s">
        <v>43</v>
      </c>
      <c r="E910" t="s">
        <v>80</v>
      </c>
      <c r="F910" t="s">
        <v>34</v>
      </c>
      <c r="G910" t="s">
        <v>35</v>
      </c>
      <c r="H910" t="s">
        <v>36</v>
      </c>
      <c r="I910" t="s">
        <v>56</v>
      </c>
      <c r="J910" t="s">
        <v>48</v>
      </c>
      <c r="K910" s="2">
        <v>46196</v>
      </c>
      <c r="L910" s="2">
        <v>46561</v>
      </c>
      <c r="M910" t="s">
        <v>84</v>
      </c>
      <c r="N910" t="s">
        <v>55</v>
      </c>
      <c r="O910">
        <v>4</v>
      </c>
      <c r="P910" t="s">
        <v>39</v>
      </c>
      <c r="Q910" s="2">
        <v>46264</v>
      </c>
      <c r="R910" t="s">
        <v>38</v>
      </c>
    </row>
    <row r="911" spans="1:18" x14ac:dyDescent="0.2">
      <c r="A911" t="s">
        <v>1879</v>
      </c>
      <c r="B911" t="s">
        <v>1880</v>
      </c>
      <c r="C911" t="s">
        <v>31</v>
      </c>
      <c r="D911" t="s">
        <v>83</v>
      </c>
      <c r="E911" t="s">
        <v>44</v>
      </c>
      <c r="F911" t="s">
        <v>45</v>
      </c>
      <c r="G911" t="s">
        <v>61</v>
      </c>
      <c r="H911" t="s">
        <v>88</v>
      </c>
      <c r="I911" t="s">
        <v>56</v>
      </c>
      <c r="J911" t="s">
        <v>63</v>
      </c>
      <c r="K911" s="2">
        <v>46089</v>
      </c>
      <c r="L911" s="2">
        <v>46454</v>
      </c>
      <c r="M911" t="s">
        <v>64</v>
      </c>
      <c r="N911" t="s">
        <v>49</v>
      </c>
      <c r="O911">
        <v>3</v>
      </c>
      <c r="P911" t="s">
        <v>50</v>
      </c>
      <c r="Q911" s="2">
        <v>46359</v>
      </c>
      <c r="R911" t="s">
        <v>84</v>
      </c>
    </row>
    <row r="912" spans="1:18" x14ac:dyDescent="0.2">
      <c r="A912" t="s">
        <v>1881</v>
      </c>
      <c r="B912" t="s">
        <v>1882</v>
      </c>
      <c r="C912" t="s">
        <v>78</v>
      </c>
      <c r="D912" t="s">
        <v>79</v>
      </c>
      <c r="E912" t="s">
        <v>60</v>
      </c>
      <c r="F912" t="s">
        <v>34</v>
      </c>
      <c r="G912" t="s">
        <v>35</v>
      </c>
      <c r="H912" t="s">
        <v>88</v>
      </c>
      <c r="I912" t="s">
        <v>111</v>
      </c>
      <c r="J912" t="s">
        <v>63</v>
      </c>
      <c r="K912" s="2">
        <v>45944</v>
      </c>
      <c r="L912" s="2">
        <v>46034</v>
      </c>
      <c r="M912" t="s">
        <v>38</v>
      </c>
      <c r="N912" t="s">
        <v>49</v>
      </c>
      <c r="O912">
        <v>3</v>
      </c>
      <c r="P912" t="s">
        <v>70</v>
      </c>
      <c r="Q912" s="2">
        <v>46204</v>
      </c>
      <c r="R912" t="s">
        <v>38</v>
      </c>
    </row>
    <row r="913" spans="1:18" x14ac:dyDescent="0.2">
      <c r="A913" t="s">
        <v>1883</v>
      </c>
      <c r="B913" t="s">
        <v>1884</v>
      </c>
      <c r="C913" t="s">
        <v>31</v>
      </c>
      <c r="D913" t="s">
        <v>87</v>
      </c>
      <c r="E913" t="s">
        <v>53</v>
      </c>
      <c r="F913" t="s">
        <v>67</v>
      </c>
      <c r="G913" t="s">
        <v>68</v>
      </c>
      <c r="H913" t="s">
        <v>47</v>
      </c>
      <c r="I913" t="s">
        <v>50</v>
      </c>
      <c r="J913" t="s">
        <v>63</v>
      </c>
      <c r="K913" s="2">
        <v>46133</v>
      </c>
      <c r="L913" s="2">
        <v>46498</v>
      </c>
      <c r="M913" t="s">
        <v>84</v>
      </c>
      <c r="N913" t="s">
        <v>49</v>
      </c>
      <c r="O913">
        <v>1</v>
      </c>
      <c r="P913" t="s">
        <v>54</v>
      </c>
      <c r="Q913" s="2">
        <v>46297</v>
      </c>
      <c r="R913" t="s">
        <v>84</v>
      </c>
    </row>
    <row r="914" spans="1:18" x14ac:dyDescent="0.2">
      <c r="A914" t="s">
        <v>1885</v>
      </c>
      <c r="B914" t="s">
        <v>1886</v>
      </c>
      <c r="C914" t="s">
        <v>31</v>
      </c>
      <c r="D914" t="s">
        <v>32</v>
      </c>
      <c r="E914" t="s">
        <v>53</v>
      </c>
      <c r="F914" t="s">
        <v>34</v>
      </c>
      <c r="G914" t="s">
        <v>35</v>
      </c>
      <c r="H914" t="s">
        <v>88</v>
      </c>
      <c r="I914" t="s">
        <v>62</v>
      </c>
      <c r="J914" t="s">
        <v>48</v>
      </c>
      <c r="K914" s="2">
        <v>45955</v>
      </c>
      <c r="L914" s="2">
        <v>46045</v>
      </c>
      <c r="M914" t="s">
        <v>38</v>
      </c>
      <c r="N914" t="s">
        <v>75</v>
      </c>
      <c r="O914">
        <v>0</v>
      </c>
      <c r="P914" t="s">
        <v>111</v>
      </c>
      <c r="Q914" s="2">
        <v>46253</v>
      </c>
      <c r="R914" t="s">
        <v>57</v>
      </c>
    </row>
    <row r="915" spans="1:18" x14ac:dyDescent="0.2">
      <c r="A915" t="s">
        <v>1887</v>
      </c>
      <c r="B915" t="s">
        <v>1888</v>
      </c>
      <c r="C915" t="s">
        <v>42</v>
      </c>
      <c r="D915" t="s">
        <v>43</v>
      </c>
      <c r="E915" t="s">
        <v>44</v>
      </c>
      <c r="F915" t="s">
        <v>34</v>
      </c>
      <c r="G915" t="s">
        <v>35</v>
      </c>
      <c r="H915" t="s">
        <v>47</v>
      </c>
      <c r="I915" t="s">
        <v>50</v>
      </c>
      <c r="J915" t="s">
        <v>37</v>
      </c>
      <c r="K915" s="2">
        <v>45922</v>
      </c>
      <c r="L915" s="2">
        <v>46287</v>
      </c>
      <c r="M915" t="s">
        <v>38</v>
      </c>
      <c r="N915" t="s">
        <v>55</v>
      </c>
      <c r="O915">
        <v>1</v>
      </c>
      <c r="P915" t="s">
        <v>70</v>
      </c>
      <c r="Q915" s="2">
        <v>46348</v>
      </c>
      <c r="R915" t="s">
        <v>64</v>
      </c>
    </row>
    <row r="916" spans="1:18" x14ac:dyDescent="0.2">
      <c r="A916" t="s">
        <v>1889</v>
      </c>
      <c r="B916" t="s">
        <v>1890</v>
      </c>
      <c r="C916" t="s">
        <v>103</v>
      </c>
      <c r="D916" t="s">
        <v>104</v>
      </c>
      <c r="E916" t="s">
        <v>91</v>
      </c>
      <c r="F916" t="s">
        <v>34</v>
      </c>
      <c r="G916" t="s">
        <v>35</v>
      </c>
      <c r="H916" t="s">
        <v>36</v>
      </c>
      <c r="I916" t="s">
        <v>70</v>
      </c>
      <c r="J916" t="s">
        <v>63</v>
      </c>
      <c r="K916" s="2">
        <v>45812</v>
      </c>
      <c r="L916" s="2">
        <v>45902</v>
      </c>
      <c r="M916" t="s">
        <v>38</v>
      </c>
      <c r="N916" t="s">
        <v>49</v>
      </c>
      <c r="O916">
        <v>2</v>
      </c>
      <c r="P916" t="s">
        <v>111</v>
      </c>
      <c r="Q916" s="2">
        <v>46146</v>
      </c>
      <c r="R916" t="s">
        <v>64</v>
      </c>
    </row>
    <row r="917" spans="1:18" x14ac:dyDescent="0.2">
      <c r="A917" t="s">
        <v>1891</v>
      </c>
      <c r="B917" t="s">
        <v>1892</v>
      </c>
      <c r="C917" t="s">
        <v>31</v>
      </c>
      <c r="D917" t="s">
        <v>32</v>
      </c>
      <c r="E917" t="s">
        <v>60</v>
      </c>
      <c r="F917" t="s">
        <v>67</v>
      </c>
      <c r="G917" t="s">
        <v>68</v>
      </c>
      <c r="H917" t="s">
        <v>36</v>
      </c>
      <c r="I917" t="s">
        <v>39</v>
      </c>
      <c r="J917" t="s">
        <v>48</v>
      </c>
      <c r="K917" s="2">
        <v>46112</v>
      </c>
      <c r="L917" s="2">
        <v>46477</v>
      </c>
      <c r="M917" t="s">
        <v>64</v>
      </c>
      <c r="N917" t="s">
        <v>75</v>
      </c>
      <c r="O917">
        <v>0</v>
      </c>
      <c r="P917" t="s">
        <v>70</v>
      </c>
      <c r="Q917" s="2">
        <v>46341</v>
      </c>
      <c r="R917" t="s">
        <v>57</v>
      </c>
    </row>
    <row r="918" spans="1:18" x14ac:dyDescent="0.2">
      <c r="A918" t="s">
        <v>1893</v>
      </c>
      <c r="B918" t="s">
        <v>1894</v>
      </c>
      <c r="C918" t="s">
        <v>103</v>
      </c>
      <c r="D918" t="s">
        <v>104</v>
      </c>
      <c r="E918" t="s">
        <v>60</v>
      </c>
      <c r="F918" t="s">
        <v>34</v>
      </c>
      <c r="G918" t="s">
        <v>35</v>
      </c>
      <c r="H918" t="s">
        <v>88</v>
      </c>
      <c r="I918" t="s">
        <v>39</v>
      </c>
      <c r="J918" t="s">
        <v>63</v>
      </c>
      <c r="K918" s="2">
        <v>45978</v>
      </c>
      <c r="L918" s="2">
        <v>46158</v>
      </c>
      <c r="M918" t="s">
        <v>38</v>
      </c>
      <c r="O918">
        <v>0</v>
      </c>
      <c r="P918" t="s">
        <v>111</v>
      </c>
      <c r="Q918" s="2">
        <v>46341</v>
      </c>
      <c r="R918" t="s">
        <v>57</v>
      </c>
    </row>
    <row r="919" spans="1:18" x14ac:dyDescent="0.2">
      <c r="A919" t="s">
        <v>1895</v>
      </c>
      <c r="B919" t="s">
        <v>1896</v>
      </c>
      <c r="C919" t="s">
        <v>42</v>
      </c>
      <c r="D919" t="s">
        <v>43</v>
      </c>
      <c r="E919" t="s">
        <v>80</v>
      </c>
      <c r="F919" t="s">
        <v>45</v>
      </c>
      <c r="G919" t="s">
        <v>61</v>
      </c>
      <c r="H919" t="s">
        <v>88</v>
      </c>
      <c r="I919" t="s">
        <v>111</v>
      </c>
      <c r="J919" t="s">
        <v>63</v>
      </c>
      <c r="K919" s="2">
        <v>45952</v>
      </c>
      <c r="L919" s="2">
        <v>46042</v>
      </c>
      <c r="M919" t="s">
        <v>38</v>
      </c>
      <c r="N919" t="s">
        <v>75</v>
      </c>
      <c r="O919">
        <v>3</v>
      </c>
      <c r="P919" t="s">
        <v>54</v>
      </c>
      <c r="Q919" s="2">
        <v>46378</v>
      </c>
      <c r="R919" t="s">
        <v>64</v>
      </c>
    </row>
    <row r="920" spans="1:18" x14ac:dyDescent="0.2">
      <c r="A920" t="s">
        <v>1897</v>
      </c>
      <c r="B920" t="s">
        <v>1898</v>
      </c>
      <c r="C920" t="s">
        <v>96</v>
      </c>
      <c r="D920" t="s">
        <v>97</v>
      </c>
      <c r="E920" t="s">
        <v>91</v>
      </c>
      <c r="F920" t="s">
        <v>67</v>
      </c>
      <c r="G920" t="s">
        <v>118</v>
      </c>
      <c r="H920" t="s">
        <v>88</v>
      </c>
      <c r="I920" t="s">
        <v>56</v>
      </c>
      <c r="J920" t="s">
        <v>48</v>
      </c>
      <c r="K920" s="2">
        <v>45955</v>
      </c>
      <c r="L920" s="2">
        <v>46135</v>
      </c>
      <c r="M920" t="s">
        <v>38</v>
      </c>
      <c r="N920" t="s">
        <v>55</v>
      </c>
      <c r="O920">
        <v>1</v>
      </c>
      <c r="P920" t="s">
        <v>50</v>
      </c>
      <c r="Q920" s="2">
        <v>46364</v>
      </c>
      <c r="R920" t="s">
        <v>64</v>
      </c>
    </row>
    <row r="921" spans="1:18" x14ac:dyDescent="0.2">
      <c r="A921" t="s">
        <v>1899</v>
      </c>
      <c r="B921" t="s">
        <v>1900</v>
      </c>
      <c r="C921" t="s">
        <v>103</v>
      </c>
      <c r="D921" t="s">
        <v>104</v>
      </c>
      <c r="E921" t="s">
        <v>91</v>
      </c>
      <c r="F921" t="s">
        <v>45</v>
      </c>
      <c r="G921" t="s">
        <v>61</v>
      </c>
      <c r="H921" t="s">
        <v>88</v>
      </c>
      <c r="I921" t="s">
        <v>111</v>
      </c>
      <c r="J921" t="s">
        <v>63</v>
      </c>
      <c r="K921" s="2">
        <v>46100</v>
      </c>
      <c r="L921" s="2">
        <v>46465</v>
      </c>
      <c r="M921" t="s">
        <v>84</v>
      </c>
      <c r="N921" t="s">
        <v>55</v>
      </c>
      <c r="O921">
        <v>0</v>
      </c>
      <c r="P921" t="s">
        <v>56</v>
      </c>
      <c r="Q921" s="2">
        <v>46233</v>
      </c>
      <c r="R921" t="s">
        <v>57</v>
      </c>
    </row>
    <row r="922" spans="1:18" x14ac:dyDescent="0.2">
      <c r="A922" t="s">
        <v>1901</v>
      </c>
      <c r="B922" t="s">
        <v>1902</v>
      </c>
      <c r="C922" t="s">
        <v>31</v>
      </c>
      <c r="D922" t="s">
        <v>83</v>
      </c>
      <c r="E922" t="s">
        <v>105</v>
      </c>
      <c r="F922" t="s">
        <v>67</v>
      </c>
      <c r="G922" t="s">
        <v>118</v>
      </c>
      <c r="H922" t="s">
        <v>88</v>
      </c>
      <c r="I922" t="s">
        <v>54</v>
      </c>
      <c r="J922" t="s">
        <v>63</v>
      </c>
      <c r="K922" s="2">
        <v>45983</v>
      </c>
      <c r="L922" s="2">
        <v>46348</v>
      </c>
      <c r="M922" t="s">
        <v>64</v>
      </c>
      <c r="N922" t="s">
        <v>55</v>
      </c>
      <c r="O922">
        <v>1</v>
      </c>
      <c r="P922" t="s">
        <v>50</v>
      </c>
      <c r="Q922" s="2">
        <v>46317</v>
      </c>
      <c r="R922" t="s">
        <v>84</v>
      </c>
    </row>
    <row r="923" spans="1:18" x14ac:dyDescent="0.2">
      <c r="A923" t="s">
        <v>1903</v>
      </c>
      <c r="B923" t="s">
        <v>1904</v>
      </c>
      <c r="C923" t="s">
        <v>42</v>
      </c>
      <c r="D923" t="s">
        <v>43</v>
      </c>
      <c r="E923" t="s">
        <v>91</v>
      </c>
      <c r="F923" t="s">
        <v>67</v>
      </c>
      <c r="G923" t="s">
        <v>118</v>
      </c>
      <c r="H923" t="s">
        <v>88</v>
      </c>
      <c r="I923" t="s">
        <v>62</v>
      </c>
      <c r="J923" t="s">
        <v>48</v>
      </c>
      <c r="K923" s="2">
        <v>45876</v>
      </c>
      <c r="L923" s="2">
        <v>46241</v>
      </c>
      <c r="M923" t="s">
        <v>38</v>
      </c>
      <c r="N923" t="s">
        <v>75</v>
      </c>
      <c r="O923">
        <v>1</v>
      </c>
      <c r="P923" t="s">
        <v>56</v>
      </c>
      <c r="Q923" s="2">
        <v>46249</v>
      </c>
      <c r="R923" t="s">
        <v>38</v>
      </c>
    </row>
    <row r="924" spans="1:18" x14ac:dyDescent="0.2">
      <c r="A924" t="s">
        <v>1905</v>
      </c>
      <c r="B924" t="s">
        <v>1906</v>
      </c>
      <c r="C924" t="s">
        <v>31</v>
      </c>
      <c r="D924" t="s">
        <v>87</v>
      </c>
      <c r="E924" t="s">
        <v>91</v>
      </c>
      <c r="F924" t="s">
        <v>67</v>
      </c>
      <c r="G924" t="s">
        <v>118</v>
      </c>
      <c r="H924" t="s">
        <v>88</v>
      </c>
      <c r="I924" t="s">
        <v>56</v>
      </c>
      <c r="J924" t="s">
        <v>37</v>
      </c>
      <c r="K924" s="2">
        <v>46058</v>
      </c>
      <c r="L924" s="2">
        <v>46423</v>
      </c>
      <c r="M924" t="s">
        <v>64</v>
      </c>
      <c r="N924" t="s">
        <v>75</v>
      </c>
      <c r="O924">
        <v>0</v>
      </c>
      <c r="P924" t="s">
        <v>50</v>
      </c>
      <c r="Q924" s="2">
        <v>46321</v>
      </c>
      <c r="R924" t="s">
        <v>57</v>
      </c>
    </row>
    <row r="925" spans="1:18" x14ac:dyDescent="0.2">
      <c r="A925" t="s">
        <v>1907</v>
      </c>
      <c r="B925" t="s">
        <v>1908</v>
      </c>
      <c r="C925" t="s">
        <v>78</v>
      </c>
      <c r="D925" t="s">
        <v>79</v>
      </c>
      <c r="E925" t="s">
        <v>105</v>
      </c>
      <c r="F925" t="s">
        <v>67</v>
      </c>
      <c r="G925" t="s">
        <v>118</v>
      </c>
      <c r="H925" t="s">
        <v>36</v>
      </c>
      <c r="I925" t="s">
        <v>54</v>
      </c>
      <c r="J925" t="s">
        <v>37</v>
      </c>
      <c r="K925" s="2">
        <v>46169</v>
      </c>
      <c r="L925" s="2">
        <v>46534</v>
      </c>
      <c r="M925" t="s">
        <v>69</v>
      </c>
      <c r="N925" t="s">
        <v>75</v>
      </c>
      <c r="O925">
        <v>0</v>
      </c>
      <c r="P925" t="s">
        <v>106</v>
      </c>
      <c r="Q925" s="2">
        <v>46279</v>
      </c>
      <c r="R925" t="s">
        <v>57</v>
      </c>
    </row>
    <row r="926" spans="1:18" x14ac:dyDescent="0.2">
      <c r="A926" t="s">
        <v>1909</v>
      </c>
      <c r="B926" t="s">
        <v>1910</v>
      </c>
      <c r="C926" t="s">
        <v>31</v>
      </c>
      <c r="D926" t="s">
        <v>83</v>
      </c>
      <c r="E926" t="s">
        <v>44</v>
      </c>
      <c r="F926" t="s">
        <v>34</v>
      </c>
      <c r="G926" t="s">
        <v>35</v>
      </c>
      <c r="H926" t="s">
        <v>88</v>
      </c>
      <c r="I926" t="s">
        <v>111</v>
      </c>
      <c r="J926" t="s">
        <v>63</v>
      </c>
      <c r="K926" s="2">
        <v>45837</v>
      </c>
      <c r="L926" s="2">
        <v>46017</v>
      </c>
      <c r="M926" t="s">
        <v>38</v>
      </c>
      <c r="N926" t="s">
        <v>55</v>
      </c>
      <c r="O926">
        <v>0</v>
      </c>
      <c r="P926" t="s">
        <v>111</v>
      </c>
      <c r="Q926" s="2">
        <v>46239</v>
      </c>
      <c r="R926" t="s">
        <v>57</v>
      </c>
    </row>
    <row r="927" spans="1:18" x14ac:dyDescent="0.2">
      <c r="A927" t="s">
        <v>1911</v>
      </c>
      <c r="B927" t="s">
        <v>1912</v>
      </c>
      <c r="C927" t="s">
        <v>78</v>
      </c>
      <c r="D927" t="s">
        <v>79</v>
      </c>
      <c r="E927" t="s">
        <v>105</v>
      </c>
      <c r="F927" t="s">
        <v>34</v>
      </c>
      <c r="G927" t="s">
        <v>35</v>
      </c>
      <c r="H927" t="s">
        <v>36</v>
      </c>
      <c r="I927" t="s">
        <v>62</v>
      </c>
      <c r="J927" t="s">
        <v>48</v>
      </c>
      <c r="K927" s="2">
        <v>45923</v>
      </c>
      <c r="L927" s="2">
        <v>46288</v>
      </c>
      <c r="M927" t="s">
        <v>38</v>
      </c>
      <c r="N927" t="s">
        <v>75</v>
      </c>
      <c r="O927">
        <v>1</v>
      </c>
      <c r="P927" t="s">
        <v>39</v>
      </c>
      <c r="Q927" s="2">
        <v>46258</v>
      </c>
      <c r="R927" t="s">
        <v>38</v>
      </c>
    </row>
    <row r="928" spans="1:18" x14ac:dyDescent="0.2">
      <c r="A928" t="s">
        <v>1913</v>
      </c>
      <c r="B928" t="s">
        <v>1914</v>
      </c>
      <c r="C928" t="s">
        <v>31</v>
      </c>
      <c r="D928" t="s">
        <v>32</v>
      </c>
      <c r="E928" t="s">
        <v>53</v>
      </c>
      <c r="F928" t="s">
        <v>34</v>
      </c>
      <c r="G928" t="s">
        <v>35</v>
      </c>
      <c r="H928" t="s">
        <v>88</v>
      </c>
      <c r="I928" t="s">
        <v>111</v>
      </c>
      <c r="J928" t="s">
        <v>63</v>
      </c>
      <c r="K928" s="2">
        <v>45803</v>
      </c>
      <c r="L928" s="2">
        <v>45983</v>
      </c>
      <c r="M928" t="s">
        <v>38</v>
      </c>
      <c r="N928" t="s">
        <v>55</v>
      </c>
      <c r="O928">
        <v>3</v>
      </c>
      <c r="P928" t="s">
        <v>62</v>
      </c>
      <c r="Q928" s="2">
        <v>46183</v>
      </c>
      <c r="R928" t="s">
        <v>38</v>
      </c>
    </row>
    <row r="929" spans="1:18" x14ac:dyDescent="0.2">
      <c r="A929" t="s">
        <v>1915</v>
      </c>
      <c r="B929" t="s">
        <v>1916</v>
      </c>
      <c r="C929" t="s">
        <v>42</v>
      </c>
      <c r="D929" t="s">
        <v>43</v>
      </c>
      <c r="E929" t="s">
        <v>60</v>
      </c>
      <c r="F929" t="s">
        <v>45</v>
      </c>
      <c r="G929" t="s">
        <v>46</v>
      </c>
      <c r="H929" t="s">
        <v>47</v>
      </c>
      <c r="I929" t="s">
        <v>54</v>
      </c>
      <c r="J929" t="s">
        <v>63</v>
      </c>
      <c r="K929" s="2">
        <v>45988</v>
      </c>
      <c r="L929" s="2">
        <v>46078</v>
      </c>
      <c r="M929" t="s">
        <v>38</v>
      </c>
      <c r="N929" t="s">
        <v>75</v>
      </c>
      <c r="O929">
        <v>1</v>
      </c>
      <c r="P929" t="s">
        <v>56</v>
      </c>
      <c r="Q929" s="2">
        <v>46282</v>
      </c>
      <c r="R929" t="s">
        <v>38</v>
      </c>
    </row>
    <row r="930" spans="1:18" x14ac:dyDescent="0.2">
      <c r="A930" t="s">
        <v>1917</v>
      </c>
      <c r="B930" t="s">
        <v>1918</v>
      </c>
      <c r="C930" t="s">
        <v>73</v>
      </c>
      <c r="D930" t="s">
        <v>74</v>
      </c>
      <c r="E930" t="s">
        <v>44</v>
      </c>
      <c r="F930" t="s">
        <v>34</v>
      </c>
      <c r="G930" t="s">
        <v>35</v>
      </c>
      <c r="H930" t="s">
        <v>36</v>
      </c>
      <c r="I930" t="s">
        <v>70</v>
      </c>
      <c r="J930" t="s">
        <v>37</v>
      </c>
      <c r="K930" s="2">
        <v>45830</v>
      </c>
      <c r="L930" s="2">
        <v>46195</v>
      </c>
      <c r="M930" t="s">
        <v>38</v>
      </c>
      <c r="N930" t="s">
        <v>49</v>
      </c>
      <c r="O930">
        <v>5</v>
      </c>
      <c r="P930" t="s">
        <v>54</v>
      </c>
      <c r="Q930" s="2">
        <v>46275</v>
      </c>
      <c r="R930" t="s">
        <v>38</v>
      </c>
    </row>
    <row r="931" spans="1:18" x14ac:dyDescent="0.2">
      <c r="A931" t="s">
        <v>1919</v>
      </c>
      <c r="B931" t="s">
        <v>1920</v>
      </c>
      <c r="C931" t="s">
        <v>31</v>
      </c>
      <c r="D931" t="s">
        <v>87</v>
      </c>
      <c r="E931" t="s">
        <v>80</v>
      </c>
      <c r="F931" t="s">
        <v>45</v>
      </c>
      <c r="G931" t="s">
        <v>61</v>
      </c>
      <c r="H931" t="s">
        <v>47</v>
      </c>
      <c r="I931" t="s">
        <v>106</v>
      </c>
      <c r="J931" t="s">
        <v>48</v>
      </c>
      <c r="K931" s="2">
        <v>46105</v>
      </c>
      <c r="L931" s="2">
        <v>46195</v>
      </c>
      <c r="M931" t="s">
        <v>38</v>
      </c>
      <c r="N931" t="s">
        <v>49</v>
      </c>
      <c r="O931">
        <v>2</v>
      </c>
      <c r="P931" t="s">
        <v>62</v>
      </c>
      <c r="Q931" s="2">
        <v>46245</v>
      </c>
      <c r="R931" t="s">
        <v>38</v>
      </c>
    </row>
    <row r="932" spans="1:18" x14ac:dyDescent="0.2">
      <c r="A932" t="s">
        <v>1921</v>
      </c>
      <c r="B932" t="s">
        <v>1922</v>
      </c>
      <c r="C932" t="s">
        <v>78</v>
      </c>
      <c r="D932" t="s">
        <v>79</v>
      </c>
      <c r="E932" t="s">
        <v>80</v>
      </c>
      <c r="F932" t="s">
        <v>67</v>
      </c>
      <c r="G932" t="s">
        <v>118</v>
      </c>
      <c r="H932" t="s">
        <v>36</v>
      </c>
      <c r="I932" t="s">
        <v>39</v>
      </c>
      <c r="J932" t="s">
        <v>63</v>
      </c>
      <c r="K932" s="2">
        <v>45808</v>
      </c>
      <c r="L932" s="2">
        <v>46173</v>
      </c>
      <c r="M932" t="s">
        <v>38</v>
      </c>
      <c r="N932" t="s">
        <v>75</v>
      </c>
      <c r="O932">
        <v>0</v>
      </c>
      <c r="P932" t="s">
        <v>106</v>
      </c>
      <c r="Q932" s="2">
        <v>46404</v>
      </c>
      <c r="R932" t="s">
        <v>57</v>
      </c>
    </row>
    <row r="933" spans="1:18" x14ac:dyDescent="0.2">
      <c r="A933" t="s">
        <v>1923</v>
      </c>
      <c r="B933" t="s">
        <v>1924</v>
      </c>
      <c r="C933" t="s">
        <v>31</v>
      </c>
      <c r="D933" t="s">
        <v>32</v>
      </c>
      <c r="E933" t="s">
        <v>53</v>
      </c>
      <c r="F933" t="s">
        <v>34</v>
      </c>
      <c r="G933" t="s">
        <v>35</v>
      </c>
      <c r="H933" t="s">
        <v>88</v>
      </c>
      <c r="I933" t="s">
        <v>70</v>
      </c>
      <c r="J933" t="s">
        <v>48</v>
      </c>
      <c r="K933" s="2">
        <v>45899</v>
      </c>
      <c r="L933" s="2">
        <v>45989</v>
      </c>
      <c r="M933" t="s">
        <v>38</v>
      </c>
      <c r="N933" t="s">
        <v>49</v>
      </c>
      <c r="O933">
        <v>0</v>
      </c>
      <c r="P933" t="s">
        <v>70</v>
      </c>
      <c r="Q933" s="2">
        <v>46400</v>
      </c>
      <c r="R933" t="s">
        <v>57</v>
      </c>
    </row>
    <row r="934" spans="1:18" x14ac:dyDescent="0.2">
      <c r="A934" t="s">
        <v>1925</v>
      </c>
      <c r="B934" t="s">
        <v>1926</v>
      </c>
      <c r="C934" t="s">
        <v>31</v>
      </c>
      <c r="D934" t="s">
        <v>83</v>
      </c>
      <c r="E934" t="s">
        <v>60</v>
      </c>
      <c r="F934" t="s">
        <v>34</v>
      </c>
      <c r="G934" t="s">
        <v>35</v>
      </c>
      <c r="H934" t="s">
        <v>88</v>
      </c>
      <c r="I934" t="s">
        <v>54</v>
      </c>
      <c r="J934" t="s">
        <v>37</v>
      </c>
      <c r="K934" s="2">
        <v>45891</v>
      </c>
      <c r="L934" s="2">
        <v>45981</v>
      </c>
      <c r="M934" t="s">
        <v>38</v>
      </c>
      <c r="N934" t="s">
        <v>49</v>
      </c>
      <c r="O934">
        <v>3</v>
      </c>
      <c r="P934" t="s">
        <v>70</v>
      </c>
      <c r="Q934" s="2">
        <v>46256</v>
      </c>
      <c r="R934" t="s">
        <v>38</v>
      </c>
    </row>
    <row r="935" spans="1:18" x14ac:dyDescent="0.2">
      <c r="A935" t="s">
        <v>1927</v>
      </c>
      <c r="B935" t="s">
        <v>1928</v>
      </c>
      <c r="C935" t="s">
        <v>78</v>
      </c>
      <c r="D935" t="s">
        <v>79</v>
      </c>
      <c r="E935" t="s">
        <v>80</v>
      </c>
      <c r="F935" t="s">
        <v>45</v>
      </c>
      <c r="G935" t="s">
        <v>61</v>
      </c>
      <c r="H935" t="s">
        <v>88</v>
      </c>
      <c r="I935" t="s">
        <v>62</v>
      </c>
      <c r="J935" t="s">
        <v>48</v>
      </c>
      <c r="K935" s="2">
        <v>45820</v>
      </c>
      <c r="L935" s="2">
        <v>45910</v>
      </c>
      <c r="M935" t="s">
        <v>38</v>
      </c>
      <c r="N935" t="s">
        <v>75</v>
      </c>
      <c r="O935">
        <v>2</v>
      </c>
      <c r="P935" t="s">
        <v>54</v>
      </c>
      <c r="Q935" s="2">
        <v>46118</v>
      </c>
      <c r="R935" t="s">
        <v>38</v>
      </c>
    </row>
    <row r="936" spans="1:18" x14ac:dyDescent="0.2">
      <c r="A936" t="s">
        <v>1929</v>
      </c>
      <c r="B936" t="s">
        <v>1930</v>
      </c>
      <c r="C936" t="s">
        <v>31</v>
      </c>
      <c r="D936" t="s">
        <v>83</v>
      </c>
      <c r="E936" t="s">
        <v>44</v>
      </c>
      <c r="F936" t="s">
        <v>67</v>
      </c>
      <c r="G936" t="s">
        <v>118</v>
      </c>
      <c r="H936" t="s">
        <v>47</v>
      </c>
      <c r="I936" t="s">
        <v>54</v>
      </c>
      <c r="J936" t="s">
        <v>48</v>
      </c>
      <c r="K936" s="2">
        <v>45976</v>
      </c>
      <c r="L936" s="2">
        <v>46341</v>
      </c>
      <c r="M936" t="s">
        <v>69</v>
      </c>
      <c r="N936" t="s">
        <v>49</v>
      </c>
      <c r="O936">
        <v>1</v>
      </c>
      <c r="P936" t="s">
        <v>54</v>
      </c>
      <c r="Q936" s="2">
        <v>46409</v>
      </c>
      <c r="R936" t="s">
        <v>84</v>
      </c>
    </row>
    <row r="937" spans="1:18" x14ac:dyDescent="0.2">
      <c r="A937" t="s">
        <v>1931</v>
      </c>
      <c r="B937" t="s">
        <v>1932</v>
      </c>
      <c r="C937" t="s">
        <v>73</v>
      </c>
      <c r="D937" t="s">
        <v>74</v>
      </c>
      <c r="E937" t="s">
        <v>105</v>
      </c>
      <c r="F937" t="s">
        <v>67</v>
      </c>
      <c r="G937" t="s">
        <v>68</v>
      </c>
      <c r="H937" t="s">
        <v>47</v>
      </c>
      <c r="I937" t="s">
        <v>39</v>
      </c>
      <c r="J937" t="s">
        <v>63</v>
      </c>
      <c r="K937" s="2">
        <v>45876</v>
      </c>
      <c r="L937" s="2">
        <v>45966</v>
      </c>
      <c r="M937" t="s">
        <v>38</v>
      </c>
      <c r="N937" t="s">
        <v>49</v>
      </c>
      <c r="O937">
        <v>2</v>
      </c>
      <c r="P937" t="s">
        <v>54</v>
      </c>
      <c r="Q937" s="2">
        <v>46150</v>
      </c>
      <c r="R937" t="s">
        <v>64</v>
      </c>
    </row>
    <row r="938" spans="1:18" x14ac:dyDescent="0.2">
      <c r="A938" t="s">
        <v>1933</v>
      </c>
      <c r="B938" t="s">
        <v>1934</v>
      </c>
      <c r="C938" t="s">
        <v>96</v>
      </c>
      <c r="D938" t="s">
        <v>97</v>
      </c>
      <c r="E938" t="s">
        <v>44</v>
      </c>
      <c r="F938" t="s">
        <v>45</v>
      </c>
      <c r="G938" t="s">
        <v>61</v>
      </c>
      <c r="H938" t="s">
        <v>88</v>
      </c>
      <c r="I938" t="s">
        <v>56</v>
      </c>
      <c r="J938" t="s">
        <v>37</v>
      </c>
      <c r="K938" s="2">
        <v>46156</v>
      </c>
      <c r="L938" s="2">
        <v>46246</v>
      </c>
      <c r="M938" t="s">
        <v>38</v>
      </c>
      <c r="N938" t="s">
        <v>75</v>
      </c>
      <c r="O938">
        <v>0</v>
      </c>
      <c r="P938" t="s">
        <v>39</v>
      </c>
      <c r="Q938" s="2">
        <v>46185</v>
      </c>
      <c r="R938" t="s">
        <v>57</v>
      </c>
    </row>
    <row r="939" spans="1:18" x14ac:dyDescent="0.2">
      <c r="A939" t="s">
        <v>1935</v>
      </c>
      <c r="B939" t="s">
        <v>1936</v>
      </c>
      <c r="C939" t="s">
        <v>31</v>
      </c>
      <c r="D939" t="s">
        <v>83</v>
      </c>
      <c r="E939" t="s">
        <v>80</v>
      </c>
      <c r="F939" t="s">
        <v>67</v>
      </c>
      <c r="G939" t="s">
        <v>68</v>
      </c>
      <c r="H939" t="s">
        <v>47</v>
      </c>
      <c r="I939" t="s">
        <v>111</v>
      </c>
      <c r="J939" t="s">
        <v>63</v>
      </c>
      <c r="K939" s="2">
        <v>46071</v>
      </c>
      <c r="L939" s="2">
        <v>46161</v>
      </c>
      <c r="M939" t="s">
        <v>38</v>
      </c>
      <c r="N939" t="s">
        <v>55</v>
      </c>
      <c r="O939">
        <v>3</v>
      </c>
      <c r="P939" t="s">
        <v>70</v>
      </c>
      <c r="Q939" s="2">
        <v>46178</v>
      </c>
      <c r="R939" t="s">
        <v>64</v>
      </c>
    </row>
    <row r="940" spans="1:18" x14ac:dyDescent="0.2">
      <c r="A940" t="s">
        <v>1937</v>
      </c>
      <c r="B940" t="s">
        <v>1938</v>
      </c>
      <c r="C940" t="s">
        <v>73</v>
      </c>
      <c r="D940" t="s">
        <v>74</v>
      </c>
      <c r="E940" t="s">
        <v>105</v>
      </c>
      <c r="F940" t="s">
        <v>45</v>
      </c>
      <c r="G940" t="s">
        <v>46</v>
      </c>
      <c r="H940" t="s">
        <v>98</v>
      </c>
      <c r="I940" t="s">
        <v>106</v>
      </c>
      <c r="J940" t="s">
        <v>37</v>
      </c>
      <c r="K940" s="2">
        <v>45892</v>
      </c>
      <c r="L940" s="2">
        <v>46072</v>
      </c>
      <c r="M940" t="s">
        <v>38</v>
      </c>
      <c r="N940" t="s">
        <v>75</v>
      </c>
      <c r="O940">
        <v>1</v>
      </c>
      <c r="P940" t="s">
        <v>70</v>
      </c>
      <c r="Q940" s="2">
        <v>46222</v>
      </c>
      <c r="R940" t="s">
        <v>38</v>
      </c>
    </row>
    <row r="941" spans="1:18" x14ac:dyDescent="0.2">
      <c r="A941" t="s">
        <v>1939</v>
      </c>
      <c r="B941" t="s">
        <v>1940</v>
      </c>
      <c r="C941" t="s">
        <v>78</v>
      </c>
      <c r="D941" t="s">
        <v>79</v>
      </c>
      <c r="E941" t="s">
        <v>105</v>
      </c>
      <c r="F941" t="s">
        <v>67</v>
      </c>
      <c r="G941" t="s">
        <v>68</v>
      </c>
      <c r="H941" t="s">
        <v>88</v>
      </c>
      <c r="I941" t="s">
        <v>62</v>
      </c>
      <c r="J941" t="s">
        <v>63</v>
      </c>
      <c r="K941" s="2">
        <v>46071</v>
      </c>
      <c r="L941" s="2">
        <v>46161</v>
      </c>
      <c r="M941" t="s">
        <v>38</v>
      </c>
      <c r="N941" t="s">
        <v>75</v>
      </c>
      <c r="O941">
        <v>2</v>
      </c>
      <c r="P941" t="s">
        <v>56</v>
      </c>
      <c r="Q941" s="2">
        <v>46273</v>
      </c>
      <c r="R941" t="s">
        <v>38</v>
      </c>
    </row>
    <row r="942" spans="1:18" x14ac:dyDescent="0.2">
      <c r="A942" t="s">
        <v>1941</v>
      </c>
      <c r="B942" t="s">
        <v>1942</v>
      </c>
      <c r="C942" t="s">
        <v>103</v>
      </c>
      <c r="D942" t="s">
        <v>104</v>
      </c>
      <c r="E942" t="s">
        <v>91</v>
      </c>
      <c r="F942" t="s">
        <v>45</v>
      </c>
      <c r="G942" t="s">
        <v>46</v>
      </c>
      <c r="H942" t="s">
        <v>88</v>
      </c>
      <c r="I942" t="s">
        <v>62</v>
      </c>
      <c r="J942" t="s">
        <v>63</v>
      </c>
      <c r="K942" s="2">
        <v>45827</v>
      </c>
      <c r="L942" s="2">
        <v>46007</v>
      </c>
      <c r="M942" t="s">
        <v>38</v>
      </c>
      <c r="N942" t="s">
        <v>55</v>
      </c>
      <c r="O942">
        <v>2</v>
      </c>
      <c r="P942" t="s">
        <v>39</v>
      </c>
      <c r="Q942" s="2">
        <v>46280</v>
      </c>
      <c r="R942" t="s">
        <v>64</v>
      </c>
    </row>
    <row r="943" spans="1:18" x14ac:dyDescent="0.2">
      <c r="A943" t="s">
        <v>1943</v>
      </c>
      <c r="B943" t="s">
        <v>1944</v>
      </c>
      <c r="C943" t="s">
        <v>31</v>
      </c>
      <c r="D943" t="s">
        <v>83</v>
      </c>
      <c r="E943" t="s">
        <v>44</v>
      </c>
      <c r="F943" t="s">
        <v>45</v>
      </c>
      <c r="G943" t="s">
        <v>46</v>
      </c>
      <c r="H943" t="s">
        <v>88</v>
      </c>
      <c r="I943" t="s">
        <v>39</v>
      </c>
      <c r="J943" t="s">
        <v>48</v>
      </c>
      <c r="K943" s="2">
        <v>46244</v>
      </c>
      <c r="L943" s="2">
        <v>46609</v>
      </c>
      <c r="M943" t="s">
        <v>69</v>
      </c>
      <c r="N943" t="s">
        <v>75</v>
      </c>
      <c r="O943">
        <v>3</v>
      </c>
      <c r="P943" t="s">
        <v>50</v>
      </c>
      <c r="Q943" s="2">
        <v>46195</v>
      </c>
      <c r="R943" t="s">
        <v>38</v>
      </c>
    </row>
    <row r="944" spans="1:18" x14ac:dyDescent="0.2">
      <c r="A944" t="s">
        <v>1945</v>
      </c>
      <c r="B944" t="s">
        <v>1946</v>
      </c>
      <c r="C944" t="s">
        <v>73</v>
      </c>
      <c r="D944" t="s">
        <v>74</v>
      </c>
      <c r="E944" t="s">
        <v>44</v>
      </c>
      <c r="F944" t="s">
        <v>67</v>
      </c>
      <c r="G944" t="s">
        <v>68</v>
      </c>
      <c r="H944" t="s">
        <v>47</v>
      </c>
      <c r="I944" t="s">
        <v>54</v>
      </c>
      <c r="J944" t="s">
        <v>37</v>
      </c>
      <c r="K944" s="2">
        <v>46119</v>
      </c>
      <c r="L944" s="2">
        <v>46299</v>
      </c>
      <c r="M944" t="s">
        <v>69</v>
      </c>
      <c r="N944" t="s">
        <v>49</v>
      </c>
      <c r="O944">
        <v>2</v>
      </c>
      <c r="P944" t="s">
        <v>39</v>
      </c>
      <c r="Q944" s="2">
        <v>46129</v>
      </c>
      <c r="R944" t="s">
        <v>38</v>
      </c>
    </row>
    <row r="945" spans="1:18" x14ac:dyDescent="0.2">
      <c r="A945" t="s">
        <v>1947</v>
      </c>
      <c r="B945" t="s">
        <v>1948</v>
      </c>
      <c r="C945" t="s">
        <v>73</v>
      </c>
      <c r="D945" t="s">
        <v>74</v>
      </c>
      <c r="E945" t="s">
        <v>80</v>
      </c>
      <c r="F945" t="s">
        <v>34</v>
      </c>
      <c r="G945" t="s">
        <v>35</v>
      </c>
      <c r="H945" t="s">
        <v>47</v>
      </c>
      <c r="J945" t="s">
        <v>48</v>
      </c>
      <c r="K945" s="2">
        <v>46082</v>
      </c>
      <c r="L945" s="2">
        <v>46447</v>
      </c>
      <c r="M945" t="s">
        <v>84</v>
      </c>
      <c r="N945" t="s">
        <v>55</v>
      </c>
      <c r="O945">
        <v>0</v>
      </c>
      <c r="P945" t="s">
        <v>62</v>
      </c>
      <c r="Q945" s="2">
        <v>46122</v>
      </c>
      <c r="R945" t="s">
        <v>57</v>
      </c>
    </row>
    <row r="946" spans="1:18" x14ac:dyDescent="0.2">
      <c r="A946" t="s">
        <v>1949</v>
      </c>
      <c r="B946" t="s">
        <v>1950</v>
      </c>
      <c r="C946" t="s">
        <v>96</v>
      </c>
      <c r="D946" t="s">
        <v>97</v>
      </c>
      <c r="E946" t="s">
        <v>80</v>
      </c>
      <c r="F946" t="s">
        <v>45</v>
      </c>
      <c r="G946" t="s">
        <v>46</v>
      </c>
      <c r="H946" t="s">
        <v>88</v>
      </c>
      <c r="I946" t="s">
        <v>62</v>
      </c>
      <c r="J946" t="s">
        <v>48</v>
      </c>
      <c r="K946" s="2">
        <v>45837</v>
      </c>
      <c r="L946" s="2">
        <v>46202</v>
      </c>
      <c r="M946" t="s">
        <v>38</v>
      </c>
      <c r="N946" t="s">
        <v>75</v>
      </c>
      <c r="O946">
        <v>1</v>
      </c>
      <c r="P946" t="s">
        <v>106</v>
      </c>
      <c r="Q946" s="2">
        <v>46115</v>
      </c>
      <c r="R946" t="s">
        <v>64</v>
      </c>
    </row>
    <row r="947" spans="1:18" x14ac:dyDescent="0.2">
      <c r="A947" t="s">
        <v>1951</v>
      </c>
      <c r="B947" t="s">
        <v>1952</v>
      </c>
      <c r="C947" t="s">
        <v>31</v>
      </c>
      <c r="D947" t="s">
        <v>83</v>
      </c>
      <c r="E947" t="s">
        <v>60</v>
      </c>
      <c r="F947" t="s">
        <v>34</v>
      </c>
      <c r="G947" t="s">
        <v>35</v>
      </c>
      <c r="H947" t="s">
        <v>88</v>
      </c>
      <c r="I947" t="s">
        <v>70</v>
      </c>
      <c r="J947" t="s">
        <v>48</v>
      </c>
      <c r="K947" s="2">
        <v>46031</v>
      </c>
      <c r="L947" s="2">
        <v>46211</v>
      </c>
      <c r="M947" t="s">
        <v>38</v>
      </c>
      <c r="N947" t="s">
        <v>49</v>
      </c>
      <c r="O947">
        <v>1</v>
      </c>
      <c r="P947" t="s">
        <v>54</v>
      </c>
      <c r="Q947" s="2">
        <v>46179</v>
      </c>
      <c r="R947" t="s">
        <v>64</v>
      </c>
    </row>
    <row r="948" spans="1:18" x14ac:dyDescent="0.2">
      <c r="A948" t="s">
        <v>1953</v>
      </c>
      <c r="B948" t="s">
        <v>1954</v>
      </c>
      <c r="C948" t="s">
        <v>42</v>
      </c>
      <c r="D948" t="s">
        <v>43</v>
      </c>
      <c r="E948" t="s">
        <v>91</v>
      </c>
      <c r="F948" t="s">
        <v>34</v>
      </c>
      <c r="G948" t="s">
        <v>35</v>
      </c>
      <c r="H948" t="s">
        <v>47</v>
      </c>
      <c r="I948" t="s">
        <v>62</v>
      </c>
      <c r="J948" t="s">
        <v>63</v>
      </c>
      <c r="K948" s="2">
        <v>46131</v>
      </c>
      <c r="L948" s="2">
        <v>46496</v>
      </c>
      <c r="M948" t="s">
        <v>64</v>
      </c>
      <c r="N948" t="s">
        <v>55</v>
      </c>
      <c r="O948">
        <v>2</v>
      </c>
      <c r="P948" t="s">
        <v>111</v>
      </c>
      <c r="Q948" s="2">
        <v>46209</v>
      </c>
      <c r="R948" t="s">
        <v>38</v>
      </c>
    </row>
    <row r="949" spans="1:18" x14ac:dyDescent="0.2">
      <c r="A949" t="s">
        <v>1955</v>
      </c>
      <c r="B949" t="s">
        <v>1956</v>
      </c>
      <c r="C949" t="s">
        <v>31</v>
      </c>
      <c r="D949" t="s">
        <v>87</v>
      </c>
      <c r="E949" t="s">
        <v>44</v>
      </c>
      <c r="F949" t="s">
        <v>34</v>
      </c>
      <c r="G949" t="s">
        <v>35</v>
      </c>
      <c r="H949" t="s">
        <v>88</v>
      </c>
      <c r="I949" t="s">
        <v>106</v>
      </c>
      <c r="J949" t="s">
        <v>48</v>
      </c>
      <c r="K949" s="2">
        <v>45937</v>
      </c>
      <c r="L949" s="2">
        <v>46027</v>
      </c>
      <c r="M949" t="s">
        <v>38</v>
      </c>
      <c r="N949" t="s">
        <v>49</v>
      </c>
      <c r="O949">
        <v>0</v>
      </c>
      <c r="P949" t="s">
        <v>50</v>
      </c>
      <c r="Q949" s="2">
        <v>46312</v>
      </c>
      <c r="R949" t="s">
        <v>57</v>
      </c>
    </row>
    <row r="950" spans="1:18" x14ac:dyDescent="0.2">
      <c r="A950" t="s">
        <v>1957</v>
      </c>
      <c r="B950" t="s">
        <v>1958</v>
      </c>
      <c r="C950" t="s">
        <v>103</v>
      </c>
      <c r="D950" t="s">
        <v>104</v>
      </c>
      <c r="E950" t="s">
        <v>91</v>
      </c>
      <c r="F950" t="s">
        <v>45</v>
      </c>
      <c r="G950" t="s">
        <v>46</v>
      </c>
      <c r="H950" t="s">
        <v>47</v>
      </c>
      <c r="I950" t="s">
        <v>54</v>
      </c>
      <c r="J950" t="s">
        <v>63</v>
      </c>
      <c r="K950" s="2">
        <v>46193</v>
      </c>
      <c r="L950" s="2">
        <v>46373</v>
      </c>
      <c r="M950" t="s">
        <v>64</v>
      </c>
      <c r="N950" t="s">
        <v>49</v>
      </c>
      <c r="O950">
        <v>3</v>
      </c>
      <c r="P950" t="s">
        <v>62</v>
      </c>
      <c r="Q950" s="2">
        <v>46362</v>
      </c>
      <c r="R950" t="s">
        <v>84</v>
      </c>
    </row>
    <row r="951" spans="1:18" x14ac:dyDescent="0.2">
      <c r="A951" t="s">
        <v>1959</v>
      </c>
      <c r="B951" t="s">
        <v>1960</v>
      </c>
      <c r="C951" t="s">
        <v>31</v>
      </c>
      <c r="D951" t="s">
        <v>83</v>
      </c>
      <c r="E951" t="s">
        <v>80</v>
      </c>
      <c r="F951" t="s">
        <v>67</v>
      </c>
      <c r="G951" t="s">
        <v>68</v>
      </c>
      <c r="H951" t="s">
        <v>88</v>
      </c>
      <c r="I951" t="s">
        <v>111</v>
      </c>
      <c r="J951" t="s">
        <v>37</v>
      </c>
      <c r="K951" s="2">
        <v>46215</v>
      </c>
      <c r="L951" s="2">
        <v>46580</v>
      </c>
      <c r="M951" t="s">
        <v>64</v>
      </c>
      <c r="N951" t="s">
        <v>49</v>
      </c>
      <c r="O951">
        <v>2</v>
      </c>
      <c r="P951" t="s">
        <v>111</v>
      </c>
      <c r="Q951" s="2">
        <v>46287</v>
      </c>
      <c r="R951" t="s">
        <v>38</v>
      </c>
    </row>
    <row r="952" spans="1:18" x14ac:dyDescent="0.2">
      <c r="A952" t="s">
        <v>1961</v>
      </c>
      <c r="B952" t="s">
        <v>1962</v>
      </c>
      <c r="C952" t="s">
        <v>78</v>
      </c>
      <c r="D952" t="s">
        <v>79</v>
      </c>
      <c r="E952" t="s">
        <v>91</v>
      </c>
      <c r="F952" t="s">
        <v>34</v>
      </c>
      <c r="G952" t="s">
        <v>35</v>
      </c>
      <c r="H952" t="s">
        <v>47</v>
      </c>
      <c r="I952" t="s">
        <v>106</v>
      </c>
      <c r="J952" t="s">
        <v>48</v>
      </c>
      <c r="K952" s="2">
        <v>45885</v>
      </c>
      <c r="L952" s="2">
        <v>46250</v>
      </c>
      <c r="M952" t="s">
        <v>38</v>
      </c>
      <c r="N952" t="s">
        <v>75</v>
      </c>
      <c r="O952">
        <v>0</v>
      </c>
      <c r="P952" t="s">
        <v>50</v>
      </c>
      <c r="Q952" s="2">
        <v>46302</v>
      </c>
      <c r="R952" t="s">
        <v>57</v>
      </c>
    </row>
    <row r="953" spans="1:18" x14ac:dyDescent="0.2">
      <c r="A953" t="s">
        <v>1963</v>
      </c>
      <c r="B953" t="s">
        <v>1964</v>
      </c>
      <c r="C953" t="s">
        <v>31</v>
      </c>
      <c r="D953" t="s">
        <v>32</v>
      </c>
      <c r="E953" t="s">
        <v>80</v>
      </c>
      <c r="F953" t="s">
        <v>45</v>
      </c>
      <c r="G953" t="s">
        <v>46</v>
      </c>
      <c r="H953" t="s">
        <v>36</v>
      </c>
      <c r="I953" t="s">
        <v>70</v>
      </c>
      <c r="J953" t="s">
        <v>63</v>
      </c>
      <c r="K953" s="2">
        <v>45994</v>
      </c>
      <c r="L953" s="2">
        <v>46359</v>
      </c>
      <c r="M953" t="s">
        <v>64</v>
      </c>
      <c r="N953" t="s">
        <v>75</v>
      </c>
      <c r="O953">
        <v>2</v>
      </c>
      <c r="P953" t="s">
        <v>50</v>
      </c>
      <c r="Q953" s="2">
        <v>46346</v>
      </c>
      <c r="R953" t="s">
        <v>84</v>
      </c>
    </row>
    <row r="954" spans="1:18" x14ac:dyDescent="0.2">
      <c r="A954" t="s">
        <v>1965</v>
      </c>
      <c r="B954" t="s">
        <v>1966</v>
      </c>
      <c r="C954" t="s">
        <v>31</v>
      </c>
      <c r="D954" t="s">
        <v>83</v>
      </c>
      <c r="E954" t="s">
        <v>1967</v>
      </c>
      <c r="F954" t="s">
        <v>67</v>
      </c>
      <c r="G954" t="s">
        <v>68</v>
      </c>
      <c r="H954" t="s">
        <v>36</v>
      </c>
      <c r="I954" t="s">
        <v>54</v>
      </c>
      <c r="J954" t="s">
        <v>63</v>
      </c>
      <c r="K954" s="2">
        <v>45878</v>
      </c>
      <c r="L954" s="2">
        <v>45968</v>
      </c>
      <c r="M954" t="s">
        <v>38</v>
      </c>
      <c r="N954" t="s">
        <v>55</v>
      </c>
      <c r="O954">
        <v>5</v>
      </c>
      <c r="P954" t="s">
        <v>39</v>
      </c>
      <c r="Q954" s="2">
        <v>46296</v>
      </c>
      <c r="R954" t="s">
        <v>84</v>
      </c>
    </row>
    <row r="955" spans="1:18" x14ac:dyDescent="0.2">
      <c r="A955" t="s">
        <v>1968</v>
      </c>
      <c r="B955" t="s">
        <v>1969</v>
      </c>
      <c r="C955" t="s">
        <v>31</v>
      </c>
      <c r="D955" t="s">
        <v>83</v>
      </c>
      <c r="E955" t="s">
        <v>60</v>
      </c>
      <c r="F955" t="s">
        <v>34</v>
      </c>
      <c r="G955" t="s">
        <v>35</v>
      </c>
      <c r="H955" t="s">
        <v>47</v>
      </c>
      <c r="I955" t="s">
        <v>50</v>
      </c>
      <c r="J955" t="s">
        <v>63</v>
      </c>
      <c r="K955" s="2">
        <v>46084</v>
      </c>
      <c r="L955" s="2">
        <v>46174</v>
      </c>
      <c r="M955" t="s">
        <v>38</v>
      </c>
      <c r="N955" t="s">
        <v>55</v>
      </c>
      <c r="O955">
        <v>1</v>
      </c>
      <c r="P955" t="s">
        <v>62</v>
      </c>
      <c r="Q955" s="2">
        <v>46230</v>
      </c>
      <c r="R955" t="s">
        <v>38</v>
      </c>
    </row>
    <row r="956" spans="1:18" x14ac:dyDescent="0.2">
      <c r="A956" t="s">
        <v>1970</v>
      </c>
      <c r="B956" t="s">
        <v>1971</v>
      </c>
      <c r="C956" t="s">
        <v>42</v>
      </c>
      <c r="D956" t="s">
        <v>43</v>
      </c>
      <c r="E956" t="s">
        <v>105</v>
      </c>
      <c r="F956" t="s">
        <v>45</v>
      </c>
      <c r="G956" t="s">
        <v>61</v>
      </c>
      <c r="H956" t="s">
        <v>98</v>
      </c>
      <c r="I956" t="s">
        <v>62</v>
      </c>
      <c r="J956" t="s">
        <v>48</v>
      </c>
      <c r="K956" s="2">
        <v>46124</v>
      </c>
      <c r="L956" s="2">
        <v>46304</v>
      </c>
      <c r="M956" t="s">
        <v>69</v>
      </c>
      <c r="N956" t="s">
        <v>75</v>
      </c>
      <c r="O956">
        <v>3</v>
      </c>
      <c r="P956" t="s">
        <v>56</v>
      </c>
      <c r="Q956" s="2">
        <v>46279</v>
      </c>
      <c r="R956" t="s">
        <v>64</v>
      </c>
    </row>
    <row r="957" spans="1:18" x14ac:dyDescent="0.2">
      <c r="A957" t="s">
        <v>1972</v>
      </c>
      <c r="B957" t="s">
        <v>1973</v>
      </c>
      <c r="C957" t="s">
        <v>31</v>
      </c>
      <c r="D957" t="s">
        <v>83</v>
      </c>
      <c r="E957" t="s">
        <v>44</v>
      </c>
      <c r="F957" t="s">
        <v>34</v>
      </c>
      <c r="G957" t="s">
        <v>35</v>
      </c>
      <c r="H957" t="s">
        <v>98</v>
      </c>
      <c r="I957" t="s">
        <v>70</v>
      </c>
      <c r="J957" t="s">
        <v>37</v>
      </c>
      <c r="K957" s="2">
        <v>46245</v>
      </c>
      <c r="L957" s="2">
        <v>46425</v>
      </c>
      <c r="M957" t="s">
        <v>64</v>
      </c>
      <c r="N957" t="s">
        <v>75</v>
      </c>
      <c r="O957">
        <v>1</v>
      </c>
      <c r="P957" t="s">
        <v>62</v>
      </c>
      <c r="Q957" s="2">
        <v>46239</v>
      </c>
      <c r="R957" t="s">
        <v>38</v>
      </c>
    </row>
    <row r="958" spans="1:18" x14ac:dyDescent="0.2">
      <c r="A958" t="s">
        <v>1974</v>
      </c>
      <c r="B958" t="s">
        <v>1975</v>
      </c>
      <c r="C958" t="s">
        <v>31</v>
      </c>
      <c r="D958" t="s">
        <v>83</v>
      </c>
      <c r="E958" t="s">
        <v>44</v>
      </c>
      <c r="F958" t="s">
        <v>34</v>
      </c>
      <c r="G958" t="s">
        <v>35</v>
      </c>
      <c r="H958" t="s">
        <v>36</v>
      </c>
      <c r="I958" t="s">
        <v>70</v>
      </c>
      <c r="J958" t="s">
        <v>37</v>
      </c>
      <c r="K958" s="2">
        <v>46160</v>
      </c>
      <c r="L958" s="2">
        <v>46340</v>
      </c>
      <c r="M958" t="s">
        <v>64</v>
      </c>
      <c r="N958" t="s">
        <v>75</v>
      </c>
      <c r="O958">
        <v>0</v>
      </c>
      <c r="P958" t="s">
        <v>50</v>
      </c>
      <c r="Q958" s="2">
        <v>46414</v>
      </c>
      <c r="R958" t="s">
        <v>57</v>
      </c>
    </row>
    <row r="959" spans="1:18" x14ac:dyDescent="0.2">
      <c r="A959" t="s">
        <v>1976</v>
      </c>
      <c r="B959" t="s">
        <v>1977</v>
      </c>
      <c r="C959" t="s">
        <v>103</v>
      </c>
      <c r="D959" t="s">
        <v>104</v>
      </c>
      <c r="E959" t="s">
        <v>53</v>
      </c>
      <c r="F959" t="s">
        <v>34</v>
      </c>
      <c r="G959" t="s">
        <v>35</v>
      </c>
      <c r="H959" t="s">
        <v>47</v>
      </c>
      <c r="I959" t="s">
        <v>70</v>
      </c>
      <c r="J959" t="s">
        <v>37</v>
      </c>
      <c r="K959" s="2">
        <v>46009</v>
      </c>
      <c r="L959" s="2">
        <v>46189</v>
      </c>
      <c r="M959" t="s">
        <v>38</v>
      </c>
      <c r="N959" t="s">
        <v>49</v>
      </c>
      <c r="O959">
        <v>0</v>
      </c>
      <c r="P959" t="s">
        <v>56</v>
      </c>
      <c r="Q959" s="2">
        <v>46356</v>
      </c>
      <c r="R959" t="s">
        <v>57</v>
      </c>
    </row>
    <row r="960" spans="1:18" x14ac:dyDescent="0.2">
      <c r="A960" t="s">
        <v>1978</v>
      </c>
      <c r="B960" t="s">
        <v>1979</v>
      </c>
      <c r="C960" t="s">
        <v>96</v>
      </c>
      <c r="D960" t="s">
        <v>97</v>
      </c>
      <c r="E960" t="s">
        <v>44</v>
      </c>
      <c r="F960" t="s">
        <v>45</v>
      </c>
      <c r="G960" t="s">
        <v>61</v>
      </c>
      <c r="H960" t="s">
        <v>47</v>
      </c>
      <c r="I960" t="s">
        <v>106</v>
      </c>
      <c r="J960" t="s">
        <v>63</v>
      </c>
      <c r="K960" s="2">
        <v>45827</v>
      </c>
      <c r="L960" s="2">
        <v>46007</v>
      </c>
      <c r="M960" t="s">
        <v>38</v>
      </c>
      <c r="N960" t="s">
        <v>55</v>
      </c>
      <c r="O960">
        <v>3</v>
      </c>
      <c r="P960" t="s">
        <v>50</v>
      </c>
      <c r="Q960" s="2">
        <v>46245</v>
      </c>
      <c r="R960" t="s">
        <v>64</v>
      </c>
    </row>
    <row r="961" spans="1:18" x14ac:dyDescent="0.2">
      <c r="A961" t="s">
        <v>1980</v>
      </c>
      <c r="B961" t="s">
        <v>1981</v>
      </c>
      <c r="C961" t="s">
        <v>31</v>
      </c>
      <c r="D961" t="s">
        <v>32</v>
      </c>
      <c r="E961" t="s">
        <v>53</v>
      </c>
      <c r="F961" t="s">
        <v>34</v>
      </c>
      <c r="G961" t="s">
        <v>35</v>
      </c>
      <c r="H961" t="s">
        <v>47</v>
      </c>
      <c r="I961" t="s">
        <v>70</v>
      </c>
      <c r="J961" t="s">
        <v>37</v>
      </c>
      <c r="K961" s="2">
        <v>46230</v>
      </c>
      <c r="L961" s="2">
        <v>46595</v>
      </c>
      <c r="M961" t="s">
        <v>69</v>
      </c>
      <c r="N961" t="s">
        <v>55</v>
      </c>
      <c r="O961">
        <v>3</v>
      </c>
      <c r="P961" t="s">
        <v>56</v>
      </c>
      <c r="Q961" s="2">
        <v>46336</v>
      </c>
      <c r="R961" t="s">
        <v>84</v>
      </c>
    </row>
    <row r="962" spans="1:18" x14ac:dyDescent="0.2">
      <c r="A962" t="s">
        <v>1982</v>
      </c>
      <c r="B962" t="s">
        <v>1983</v>
      </c>
      <c r="C962" t="s">
        <v>103</v>
      </c>
      <c r="D962" t="s">
        <v>104</v>
      </c>
      <c r="E962" t="s">
        <v>80</v>
      </c>
      <c r="F962" t="s">
        <v>67</v>
      </c>
      <c r="G962" t="s">
        <v>118</v>
      </c>
      <c r="H962" t="s">
        <v>88</v>
      </c>
      <c r="I962" t="s">
        <v>56</v>
      </c>
      <c r="J962" t="s">
        <v>37</v>
      </c>
      <c r="K962" s="2">
        <v>46093</v>
      </c>
      <c r="L962" s="2">
        <v>46183</v>
      </c>
      <c r="M962" t="s">
        <v>38</v>
      </c>
      <c r="N962" t="s">
        <v>55</v>
      </c>
      <c r="O962">
        <v>0</v>
      </c>
      <c r="P962" t="s">
        <v>54</v>
      </c>
      <c r="Q962" s="2">
        <v>46363</v>
      </c>
      <c r="R962" t="s">
        <v>57</v>
      </c>
    </row>
    <row r="963" spans="1:18" x14ac:dyDescent="0.2">
      <c r="A963" t="s">
        <v>1984</v>
      </c>
      <c r="B963" t="s">
        <v>1985</v>
      </c>
      <c r="C963" t="s">
        <v>31</v>
      </c>
      <c r="D963" t="s">
        <v>32</v>
      </c>
      <c r="E963" t="s">
        <v>91</v>
      </c>
      <c r="F963" t="s">
        <v>34</v>
      </c>
      <c r="G963" t="s">
        <v>35</v>
      </c>
      <c r="H963" t="s">
        <v>47</v>
      </c>
      <c r="I963" t="s">
        <v>111</v>
      </c>
      <c r="J963" t="s">
        <v>48</v>
      </c>
      <c r="K963" s="2">
        <v>45988</v>
      </c>
      <c r="L963" s="2">
        <v>46353</v>
      </c>
      <c r="M963" t="s">
        <v>69</v>
      </c>
      <c r="N963" t="s">
        <v>49</v>
      </c>
      <c r="O963">
        <v>3</v>
      </c>
      <c r="P963" t="s">
        <v>70</v>
      </c>
      <c r="Q963" s="2">
        <v>46136</v>
      </c>
      <c r="R963" t="s">
        <v>38</v>
      </c>
    </row>
    <row r="964" spans="1:18" x14ac:dyDescent="0.2">
      <c r="A964" t="s">
        <v>1986</v>
      </c>
      <c r="B964" t="s">
        <v>1987</v>
      </c>
      <c r="C964" t="s">
        <v>96</v>
      </c>
      <c r="D964" t="s">
        <v>97</v>
      </c>
      <c r="E964" t="s">
        <v>60</v>
      </c>
      <c r="F964" t="s">
        <v>45</v>
      </c>
      <c r="G964" t="s">
        <v>61</v>
      </c>
      <c r="H964" t="s">
        <v>88</v>
      </c>
      <c r="I964" t="s">
        <v>62</v>
      </c>
      <c r="J964" t="s">
        <v>37</v>
      </c>
      <c r="K964" s="2">
        <v>45858</v>
      </c>
      <c r="L964" s="2">
        <v>46038</v>
      </c>
      <c r="M964" t="s">
        <v>38</v>
      </c>
      <c r="N964" t="s">
        <v>49</v>
      </c>
      <c r="O964">
        <v>0</v>
      </c>
      <c r="P964" t="s">
        <v>39</v>
      </c>
      <c r="Q964" s="2">
        <v>46292</v>
      </c>
      <c r="R964" t="s">
        <v>57</v>
      </c>
    </row>
    <row r="965" spans="1:18" x14ac:dyDescent="0.2">
      <c r="A965" t="s">
        <v>1988</v>
      </c>
      <c r="B965" t="s">
        <v>1989</v>
      </c>
      <c r="C965" t="s">
        <v>78</v>
      </c>
      <c r="D965" t="s">
        <v>79</v>
      </c>
      <c r="E965" t="s">
        <v>91</v>
      </c>
      <c r="F965" t="s">
        <v>67</v>
      </c>
      <c r="G965" t="s">
        <v>118</v>
      </c>
      <c r="H965" t="s">
        <v>36</v>
      </c>
      <c r="I965" t="s">
        <v>54</v>
      </c>
      <c r="J965" t="s">
        <v>48</v>
      </c>
      <c r="K965" s="2">
        <v>45985</v>
      </c>
      <c r="L965" s="2">
        <v>46075</v>
      </c>
      <c r="M965" t="s">
        <v>38</v>
      </c>
      <c r="N965" t="s">
        <v>55</v>
      </c>
      <c r="O965">
        <v>5</v>
      </c>
      <c r="P965" t="s">
        <v>111</v>
      </c>
      <c r="Q965" s="2">
        <v>46283</v>
      </c>
      <c r="R965" t="s">
        <v>64</v>
      </c>
    </row>
    <row r="966" spans="1:18" x14ac:dyDescent="0.2">
      <c r="A966" t="s">
        <v>1990</v>
      </c>
      <c r="B966" t="s">
        <v>1991</v>
      </c>
      <c r="C966" t="s">
        <v>73</v>
      </c>
      <c r="D966" t="s">
        <v>74</v>
      </c>
      <c r="E966" t="s">
        <v>91</v>
      </c>
      <c r="F966" t="s">
        <v>67</v>
      </c>
      <c r="G966" t="s">
        <v>118</v>
      </c>
      <c r="H966" t="s">
        <v>88</v>
      </c>
      <c r="I966" t="s">
        <v>54</v>
      </c>
      <c r="J966" t="s">
        <v>37</v>
      </c>
      <c r="K966" s="2">
        <v>46134</v>
      </c>
      <c r="L966" s="2">
        <v>46314</v>
      </c>
      <c r="M966" t="s">
        <v>69</v>
      </c>
      <c r="N966" t="s">
        <v>75</v>
      </c>
      <c r="O966">
        <v>2</v>
      </c>
      <c r="P966" t="s">
        <v>106</v>
      </c>
      <c r="Q966" s="2">
        <v>46197</v>
      </c>
      <c r="R966" t="s">
        <v>64</v>
      </c>
    </row>
    <row r="967" spans="1:18" x14ac:dyDescent="0.2">
      <c r="A967" t="s">
        <v>1992</v>
      </c>
      <c r="B967" t="s">
        <v>1993</v>
      </c>
      <c r="C967" t="s">
        <v>73</v>
      </c>
      <c r="D967" t="s">
        <v>74</v>
      </c>
      <c r="E967" t="s">
        <v>105</v>
      </c>
      <c r="F967" t="s">
        <v>45</v>
      </c>
      <c r="G967" t="s">
        <v>61</v>
      </c>
      <c r="H967" t="s">
        <v>88</v>
      </c>
      <c r="I967" t="s">
        <v>54</v>
      </c>
      <c r="J967" t="s">
        <v>37</v>
      </c>
      <c r="K967" s="2">
        <v>46113</v>
      </c>
      <c r="L967" s="2">
        <v>46293</v>
      </c>
      <c r="M967" t="s">
        <v>38</v>
      </c>
      <c r="N967" t="s">
        <v>55</v>
      </c>
      <c r="O967">
        <v>0</v>
      </c>
      <c r="P967" t="s">
        <v>50</v>
      </c>
      <c r="Q967" s="2">
        <v>46322</v>
      </c>
      <c r="R967" t="s">
        <v>57</v>
      </c>
    </row>
    <row r="968" spans="1:18" x14ac:dyDescent="0.2">
      <c r="A968" t="s">
        <v>1994</v>
      </c>
      <c r="B968" t="s">
        <v>1995</v>
      </c>
      <c r="C968" t="s">
        <v>73</v>
      </c>
      <c r="D968" t="s">
        <v>74</v>
      </c>
      <c r="E968" t="s">
        <v>53</v>
      </c>
      <c r="F968" t="s">
        <v>67</v>
      </c>
      <c r="G968" t="s">
        <v>68</v>
      </c>
      <c r="H968" t="s">
        <v>36</v>
      </c>
      <c r="I968" t="s">
        <v>111</v>
      </c>
      <c r="J968" t="s">
        <v>48</v>
      </c>
      <c r="K968" s="2">
        <v>46096</v>
      </c>
      <c r="L968" s="2">
        <v>46276</v>
      </c>
      <c r="M968" t="s">
        <v>38</v>
      </c>
      <c r="N968" t="s">
        <v>75</v>
      </c>
      <c r="O968">
        <v>2</v>
      </c>
      <c r="P968" t="s">
        <v>54</v>
      </c>
      <c r="Q968" s="2">
        <v>46196</v>
      </c>
      <c r="R968" t="s">
        <v>38</v>
      </c>
    </row>
    <row r="969" spans="1:18" x14ac:dyDescent="0.2">
      <c r="A969" t="s">
        <v>1996</v>
      </c>
      <c r="B969" t="s">
        <v>1997</v>
      </c>
      <c r="C969" t="s">
        <v>31</v>
      </c>
      <c r="D969" t="s">
        <v>32</v>
      </c>
      <c r="E969" t="s">
        <v>60</v>
      </c>
      <c r="F969" t="s">
        <v>34</v>
      </c>
      <c r="G969" t="s">
        <v>35</v>
      </c>
      <c r="H969" t="s">
        <v>36</v>
      </c>
      <c r="I969" t="s">
        <v>56</v>
      </c>
      <c r="J969" t="s">
        <v>48</v>
      </c>
      <c r="K969" s="2">
        <v>45888</v>
      </c>
      <c r="L969" s="2">
        <v>46253</v>
      </c>
      <c r="M969" t="s">
        <v>38</v>
      </c>
      <c r="N969" t="s">
        <v>49</v>
      </c>
      <c r="O969">
        <v>1</v>
      </c>
      <c r="P969" t="s">
        <v>70</v>
      </c>
      <c r="Q969" s="2">
        <v>46318</v>
      </c>
      <c r="R969" t="s">
        <v>84</v>
      </c>
    </row>
    <row r="970" spans="1:18" x14ac:dyDescent="0.2">
      <c r="A970" t="s">
        <v>1998</v>
      </c>
      <c r="B970" t="s">
        <v>1999</v>
      </c>
      <c r="C970" t="s">
        <v>42</v>
      </c>
      <c r="D970" t="s">
        <v>43</v>
      </c>
      <c r="E970" t="s">
        <v>53</v>
      </c>
      <c r="F970" t="s">
        <v>34</v>
      </c>
      <c r="G970" t="s">
        <v>35</v>
      </c>
      <c r="H970" t="s">
        <v>47</v>
      </c>
      <c r="I970" t="s">
        <v>106</v>
      </c>
      <c r="J970" t="s">
        <v>63</v>
      </c>
      <c r="K970" s="2">
        <v>46003</v>
      </c>
      <c r="L970" s="2">
        <v>46183</v>
      </c>
      <c r="M970" t="s">
        <v>38</v>
      </c>
      <c r="N970" t="s">
        <v>75</v>
      </c>
      <c r="O970">
        <v>1</v>
      </c>
      <c r="P970" t="s">
        <v>70</v>
      </c>
      <c r="Q970" s="2">
        <v>46312</v>
      </c>
      <c r="R970" t="s">
        <v>64</v>
      </c>
    </row>
    <row r="971" spans="1:18" x14ac:dyDescent="0.2">
      <c r="A971" t="s">
        <v>2000</v>
      </c>
      <c r="B971" t="s">
        <v>2001</v>
      </c>
      <c r="C971" t="s">
        <v>103</v>
      </c>
      <c r="D971" t="s">
        <v>104</v>
      </c>
      <c r="E971" t="s">
        <v>80</v>
      </c>
      <c r="F971" t="s">
        <v>67</v>
      </c>
      <c r="G971" t="s">
        <v>68</v>
      </c>
      <c r="H971" t="s">
        <v>36</v>
      </c>
      <c r="I971" t="s">
        <v>54</v>
      </c>
      <c r="J971" t="s">
        <v>48</v>
      </c>
      <c r="K971" s="2">
        <v>45995</v>
      </c>
      <c r="L971" s="2">
        <v>46085</v>
      </c>
      <c r="M971" t="s">
        <v>38</v>
      </c>
      <c r="N971" t="s">
        <v>49</v>
      </c>
      <c r="O971">
        <v>2</v>
      </c>
      <c r="P971" t="s">
        <v>111</v>
      </c>
      <c r="Q971" s="2">
        <v>46128</v>
      </c>
      <c r="R971" t="s">
        <v>38</v>
      </c>
    </row>
    <row r="972" spans="1:18" x14ac:dyDescent="0.2">
      <c r="A972" t="s">
        <v>2002</v>
      </c>
      <c r="B972" t="s">
        <v>2003</v>
      </c>
      <c r="C972" t="s">
        <v>103</v>
      </c>
      <c r="D972" t="s">
        <v>104</v>
      </c>
      <c r="E972" t="s">
        <v>44</v>
      </c>
      <c r="F972" t="s">
        <v>34</v>
      </c>
      <c r="G972" t="s">
        <v>35</v>
      </c>
      <c r="H972" t="s">
        <v>47</v>
      </c>
      <c r="I972" t="s">
        <v>54</v>
      </c>
      <c r="J972" t="s">
        <v>48</v>
      </c>
      <c r="K972" s="2">
        <v>46265</v>
      </c>
      <c r="L972" s="2">
        <v>46630</v>
      </c>
      <c r="M972" t="s">
        <v>64</v>
      </c>
      <c r="N972" t="s">
        <v>75</v>
      </c>
      <c r="O972">
        <v>3</v>
      </c>
      <c r="P972" t="s">
        <v>62</v>
      </c>
      <c r="Q972" s="2">
        <v>46399</v>
      </c>
      <c r="R972" t="s">
        <v>84</v>
      </c>
    </row>
    <row r="973" spans="1:18" x14ac:dyDescent="0.2">
      <c r="A973" t="s">
        <v>2004</v>
      </c>
      <c r="B973" t="s">
        <v>2005</v>
      </c>
      <c r="C973" t="s">
        <v>103</v>
      </c>
      <c r="D973" t="s">
        <v>104</v>
      </c>
      <c r="E973" t="s">
        <v>91</v>
      </c>
      <c r="F973" t="s">
        <v>34</v>
      </c>
      <c r="G973" t="s">
        <v>35</v>
      </c>
      <c r="H973" t="s">
        <v>47</v>
      </c>
      <c r="I973" t="s">
        <v>106</v>
      </c>
      <c r="J973" t="s">
        <v>63</v>
      </c>
      <c r="K973" s="2">
        <v>45864</v>
      </c>
      <c r="L973" s="2">
        <v>46044</v>
      </c>
      <c r="M973" t="s">
        <v>38</v>
      </c>
      <c r="N973" t="s">
        <v>75</v>
      </c>
      <c r="O973">
        <v>2</v>
      </c>
      <c r="P973" t="s">
        <v>106</v>
      </c>
      <c r="Q973" s="2">
        <v>46301</v>
      </c>
      <c r="R973" t="s">
        <v>84</v>
      </c>
    </row>
    <row r="974" spans="1:18" x14ac:dyDescent="0.2">
      <c r="A974" t="s">
        <v>2006</v>
      </c>
      <c r="B974" t="s">
        <v>2007</v>
      </c>
      <c r="C974" t="s">
        <v>96</v>
      </c>
      <c r="D974" t="s">
        <v>97</v>
      </c>
      <c r="E974" t="s">
        <v>53</v>
      </c>
      <c r="F974" t="s">
        <v>45</v>
      </c>
      <c r="G974" t="s">
        <v>46</v>
      </c>
      <c r="H974" t="s">
        <v>36</v>
      </c>
      <c r="I974" t="s">
        <v>54</v>
      </c>
      <c r="J974" t="s">
        <v>37</v>
      </c>
      <c r="K974" s="2">
        <v>45868</v>
      </c>
      <c r="L974" s="2">
        <v>46233</v>
      </c>
      <c r="M974" t="s">
        <v>38</v>
      </c>
      <c r="N974" t="s">
        <v>49</v>
      </c>
      <c r="O974">
        <v>1</v>
      </c>
      <c r="P974" t="s">
        <v>70</v>
      </c>
      <c r="Q974" s="2">
        <v>46164</v>
      </c>
      <c r="R974" t="s">
        <v>38</v>
      </c>
    </row>
    <row r="975" spans="1:18" x14ac:dyDescent="0.2">
      <c r="A975" t="s">
        <v>2008</v>
      </c>
      <c r="B975" t="s">
        <v>2009</v>
      </c>
      <c r="C975" t="s">
        <v>96</v>
      </c>
      <c r="D975" t="s">
        <v>97</v>
      </c>
      <c r="E975" t="s">
        <v>91</v>
      </c>
      <c r="F975" t="s">
        <v>34</v>
      </c>
      <c r="G975" t="s">
        <v>35</v>
      </c>
      <c r="H975" t="s">
        <v>88</v>
      </c>
      <c r="I975" t="s">
        <v>54</v>
      </c>
      <c r="J975" t="s">
        <v>63</v>
      </c>
      <c r="K975" s="2">
        <v>46037</v>
      </c>
      <c r="L975" s="2">
        <v>46217</v>
      </c>
      <c r="M975" t="s">
        <v>38</v>
      </c>
      <c r="N975" t="s">
        <v>49</v>
      </c>
      <c r="O975">
        <v>0</v>
      </c>
      <c r="P975" t="s">
        <v>62</v>
      </c>
      <c r="Q975" s="2">
        <v>46350</v>
      </c>
      <c r="R975" t="s">
        <v>57</v>
      </c>
    </row>
    <row r="976" spans="1:18" x14ac:dyDescent="0.2">
      <c r="A976" t="s">
        <v>2010</v>
      </c>
      <c r="B976" t="s">
        <v>2011</v>
      </c>
      <c r="C976" t="s">
        <v>31</v>
      </c>
      <c r="D976" t="s">
        <v>32</v>
      </c>
      <c r="E976" t="s">
        <v>105</v>
      </c>
      <c r="F976" t="s">
        <v>45</v>
      </c>
      <c r="G976" t="s">
        <v>46</v>
      </c>
      <c r="H976" t="s">
        <v>88</v>
      </c>
      <c r="I976" t="s">
        <v>39</v>
      </c>
      <c r="J976" t="s">
        <v>37</v>
      </c>
      <c r="K976" s="2">
        <v>45817</v>
      </c>
      <c r="L976" s="2">
        <v>45997</v>
      </c>
      <c r="M976" t="s">
        <v>38</v>
      </c>
      <c r="N976" t="s">
        <v>75</v>
      </c>
      <c r="O976">
        <v>1</v>
      </c>
      <c r="P976" t="s">
        <v>56</v>
      </c>
      <c r="Q976" s="2">
        <v>46147</v>
      </c>
      <c r="R976" t="s">
        <v>38</v>
      </c>
    </row>
    <row r="977" spans="1:18" x14ac:dyDescent="0.2">
      <c r="A977" t="s">
        <v>2012</v>
      </c>
      <c r="B977" t="s">
        <v>2013</v>
      </c>
      <c r="C977" t="s">
        <v>42</v>
      </c>
      <c r="D977" t="s">
        <v>43</v>
      </c>
      <c r="E977" t="s">
        <v>91</v>
      </c>
      <c r="F977" t="s">
        <v>34</v>
      </c>
      <c r="G977" t="s">
        <v>35</v>
      </c>
      <c r="H977" t="s">
        <v>88</v>
      </c>
      <c r="I977" t="s">
        <v>62</v>
      </c>
      <c r="J977" t="s">
        <v>48</v>
      </c>
      <c r="K977" s="2">
        <v>45915</v>
      </c>
      <c r="L977" s="2">
        <v>46005</v>
      </c>
      <c r="M977" t="s">
        <v>38</v>
      </c>
      <c r="N977" t="s">
        <v>75</v>
      </c>
      <c r="O977">
        <v>1</v>
      </c>
      <c r="P977" t="s">
        <v>62</v>
      </c>
      <c r="Q977" s="2">
        <v>46346</v>
      </c>
      <c r="R977" t="s">
        <v>64</v>
      </c>
    </row>
    <row r="978" spans="1:18" x14ac:dyDescent="0.2">
      <c r="A978" t="s">
        <v>2014</v>
      </c>
      <c r="B978" t="s">
        <v>2015</v>
      </c>
      <c r="C978" t="s">
        <v>31</v>
      </c>
      <c r="D978" t="s">
        <v>32</v>
      </c>
      <c r="E978" t="s">
        <v>105</v>
      </c>
      <c r="F978" t="s">
        <v>45</v>
      </c>
      <c r="G978" t="s">
        <v>61</v>
      </c>
      <c r="H978" t="s">
        <v>98</v>
      </c>
      <c r="I978" t="s">
        <v>39</v>
      </c>
      <c r="J978" t="s">
        <v>37</v>
      </c>
      <c r="K978" s="2">
        <v>45911</v>
      </c>
      <c r="L978" s="2">
        <v>46091</v>
      </c>
      <c r="M978" t="s">
        <v>38</v>
      </c>
      <c r="N978" t="s">
        <v>49</v>
      </c>
      <c r="O978">
        <v>0</v>
      </c>
      <c r="P978" t="s">
        <v>50</v>
      </c>
      <c r="Q978" s="2">
        <v>46151</v>
      </c>
      <c r="R978" t="s">
        <v>57</v>
      </c>
    </row>
    <row r="979" spans="1:18" x14ac:dyDescent="0.2">
      <c r="A979" t="s">
        <v>2016</v>
      </c>
      <c r="B979" t="s">
        <v>2017</v>
      </c>
      <c r="C979" t="s">
        <v>73</v>
      </c>
      <c r="D979" t="s">
        <v>74</v>
      </c>
      <c r="E979" t="s">
        <v>44</v>
      </c>
      <c r="F979" t="s">
        <v>34</v>
      </c>
      <c r="G979" t="s">
        <v>35</v>
      </c>
      <c r="H979" t="s">
        <v>98</v>
      </c>
      <c r="I979" t="s">
        <v>50</v>
      </c>
      <c r="J979" t="s">
        <v>48</v>
      </c>
      <c r="K979" s="2">
        <v>45848</v>
      </c>
      <c r="L979" s="2">
        <v>45938</v>
      </c>
      <c r="M979" t="s">
        <v>38</v>
      </c>
      <c r="N979" t="s">
        <v>55</v>
      </c>
      <c r="O979">
        <v>5</v>
      </c>
      <c r="P979" t="s">
        <v>62</v>
      </c>
      <c r="Q979" s="2">
        <v>46368</v>
      </c>
      <c r="R979" t="s">
        <v>84</v>
      </c>
    </row>
    <row r="980" spans="1:18" x14ac:dyDescent="0.2">
      <c r="A980" t="s">
        <v>2018</v>
      </c>
      <c r="B980" t="s">
        <v>2019</v>
      </c>
      <c r="C980" t="s">
        <v>42</v>
      </c>
      <c r="D980" t="s">
        <v>43</v>
      </c>
      <c r="E980" t="s">
        <v>80</v>
      </c>
      <c r="F980" t="s">
        <v>34</v>
      </c>
      <c r="G980" t="s">
        <v>35</v>
      </c>
      <c r="H980" t="s">
        <v>88</v>
      </c>
      <c r="I980" t="s">
        <v>111</v>
      </c>
      <c r="J980" t="s">
        <v>48</v>
      </c>
      <c r="K980" s="2">
        <v>46205</v>
      </c>
      <c r="L980" s="2">
        <v>46385</v>
      </c>
      <c r="M980" t="s">
        <v>64</v>
      </c>
      <c r="N980" t="s">
        <v>75</v>
      </c>
      <c r="O980">
        <v>2</v>
      </c>
      <c r="P980" t="s">
        <v>50</v>
      </c>
      <c r="Q980" s="2">
        <v>46205</v>
      </c>
      <c r="R980" t="s">
        <v>38</v>
      </c>
    </row>
    <row r="981" spans="1:18" x14ac:dyDescent="0.2">
      <c r="A981" t="s">
        <v>2020</v>
      </c>
      <c r="B981" t="s">
        <v>2021</v>
      </c>
      <c r="C981" t="s">
        <v>31</v>
      </c>
      <c r="D981" t="s">
        <v>87</v>
      </c>
      <c r="E981" t="s">
        <v>44</v>
      </c>
      <c r="F981" t="s">
        <v>67</v>
      </c>
      <c r="G981" t="s">
        <v>118</v>
      </c>
      <c r="H981" t="s">
        <v>47</v>
      </c>
      <c r="I981" t="s">
        <v>70</v>
      </c>
      <c r="J981" t="s">
        <v>48</v>
      </c>
      <c r="K981" s="2">
        <v>46102</v>
      </c>
      <c r="L981" s="2">
        <v>46282</v>
      </c>
      <c r="M981" t="s">
        <v>38</v>
      </c>
      <c r="N981" t="s">
        <v>55</v>
      </c>
      <c r="O981">
        <v>2</v>
      </c>
      <c r="P981" t="s">
        <v>106</v>
      </c>
      <c r="Q981" s="2">
        <v>46125</v>
      </c>
      <c r="R981" t="s">
        <v>38</v>
      </c>
    </row>
    <row r="982" spans="1:18" x14ac:dyDescent="0.2">
      <c r="A982" t="s">
        <v>2022</v>
      </c>
      <c r="B982" t="s">
        <v>2023</v>
      </c>
      <c r="C982" t="s">
        <v>31</v>
      </c>
      <c r="D982" t="s">
        <v>32</v>
      </c>
      <c r="E982" t="s">
        <v>105</v>
      </c>
      <c r="F982" t="s">
        <v>45</v>
      </c>
      <c r="G982" t="s">
        <v>46</v>
      </c>
      <c r="H982" t="s">
        <v>98</v>
      </c>
      <c r="I982" t="s">
        <v>39</v>
      </c>
      <c r="J982" t="s">
        <v>48</v>
      </c>
      <c r="K982" s="2">
        <v>46273</v>
      </c>
      <c r="L982" s="2">
        <v>46453</v>
      </c>
      <c r="M982" t="s">
        <v>64</v>
      </c>
      <c r="N982" t="s">
        <v>55</v>
      </c>
      <c r="O982">
        <v>4</v>
      </c>
      <c r="P982" t="s">
        <v>111</v>
      </c>
      <c r="Q982" s="2">
        <v>46403</v>
      </c>
      <c r="R982" t="s">
        <v>84</v>
      </c>
    </row>
    <row r="983" spans="1:18" x14ac:dyDescent="0.2">
      <c r="A983" t="s">
        <v>2024</v>
      </c>
      <c r="B983" t="s">
        <v>2025</v>
      </c>
      <c r="C983" t="s">
        <v>31</v>
      </c>
      <c r="D983" t="s">
        <v>83</v>
      </c>
      <c r="E983" t="s">
        <v>53</v>
      </c>
      <c r="F983" t="s">
        <v>45</v>
      </c>
      <c r="G983" t="s">
        <v>46</v>
      </c>
      <c r="H983" t="s">
        <v>47</v>
      </c>
      <c r="I983" t="s">
        <v>50</v>
      </c>
      <c r="J983" t="s">
        <v>48</v>
      </c>
      <c r="K983" s="2">
        <v>45968</v>
      </c>
      <c r="L983" s="2">
        <v>46148</v>
      </c>
      <c r="M983" t="s">
        <v>38</v>
      </c>
      <c r="N983" t="s">
        <v>49</v>
      </c>
      <c r="O983">
        <v>1</v>
      </c>
      <c r="P983" t="s">
        <v>111</v>
      </c>
      <c r="Q983" s="2">
        <v>46340</v>
      </c>
      <c r="R983" t="s">
        <v>84</v>
      </c>
    </row>
    <row r="984" spans="1:18" x14ac:dyDescent="0.2">
      <c r="A984" t="s">
        <v>2026</v>
      </c>
      <c r="B984" t="s">
        <v>2027</v>
      </c>
      <c r="C984" t="s">
        <v>31</v>
      </c>
      <c r="D984" t="s">
        <v>83</v>
      </c>
      <c r="E984" t="s">
        <v>60</v>
      </c>
      <c r="F984" t="s">
        <v>45</v>
      </c>
      <c r="G984" t="s">
        <v>46</v>
      </c>
      <c r="H984" t="s">
        <v>36</v>
      </c>
      <c r="I984" t="s">
        <v>70</v>
      </c>
      <c r="J984" t="s">
        <v>63</v>
      </c>
      <c r="K984" s="2">
        <v>45862</v>
      </c>
      <c r="L984" s="2">
        <v>46042</v>
      </c>
      <c r="M984" t="s">
        <v>38</v>
      </c>
      <c r="N984" t="s">
        <v>75</v>
      </c>
      <c r="O984">
        <v>0</v>
      </c>
      <c r="P984" t="s">
        <v>50</v>
      </c>
      <c r="Q984" s="2">
        <v>46293</v>
      </c>
      <c r="R984" t="s">
        <v>57</v>
      </c>
    </row>
    <row r="985" spans="1:18" x14ac:dyDescent="0.2">
      <c r="A985" t="s">
        <v>2028</v>
      </c>
      <c r="B985" t="s">
        <v>2029</v>
      </c>
      <c r="C985" t="s">
        <v>31</v>
      </c>
      <c r="D985" t="s">
        <v>32</v>
      </c>
      <c r="E985" t="s">
        <v>44</v>
      </c>
      <c r="F985" t="s">
        <v>45</v>
      </c>
      <c r="G985" t="s">
        <v>61</v>
      </c>
      <c r="H985" t="s">
        <v>88</v>
      </c>
      <c r="I985" t="s">
        <v>106</v>
      </c>
      <c r="J985" t="s">
        <v>48</v>
      </c>
      <c r="K985" s="2">
        <v>45795</v>
      </c>
      <c r="L985" s="2">
        <v>45975</v>
      </c>
      <c r="M985" t="s">
        <v>38</v>
      </c>
      <c r="N985" t="s">
        <v>49</v>
      </c>
      <c r="O985">
        <v>3</v>
      </c>
      <c r="P985" t="s">
        <v>106</v>
      </c>
      <c r="Q985" s="2">
        <v>46344</v>
      </c>
      <c r="R985" t="s">
        <v>84</v>
      </c>
    </row>
    <row r="986" spans="1:18" x14ac:dyDescent="0.2">
      <c r="A986" t="s">
        <v>2030</v>
      </c>
      <c r="B986" t="s">
        <v>2031</v>
      </c>
      <c r="C986" t="s">
        <v>31</v>
      </c>
      <c r="D986" t="s">
        <v>32</v>
      </c>
      <c r="E986" t="s">
        <v>80</v>
      </c>
      <c r="F986" t="s">
        <v>45</v>
      </c>
      <c r="G986" t="s">
        <v>46</v>
      </c>
      <c r="H986" t="s">
        <v>47</v>
      </c>
      <c r="I986" t="s">
        <v>62</v>
      </c>
      <c r="J986" t="s">
        <v>63</v>
      </c>
      <c r="K986" s="2">
        <v>46254</v>
      </c>
      <c r="L986" s="2">
        <v>46434</v>
      </c>
      <c r="M986" t="s">
        <v>64</v>
      </c>
      <c r="N986" t="s">
        <v>75</v>
      </c>
      <c r="O986">
        <v>0</v>
      </c>
      <c r="P986" t="s">
        <v>106</v>
      </c>
      <c r="Q986" s="2">
        <v>46381</v>
      </c>
      <c r="R986" t="s">
        <v>57</v>
      </c>
    </row>
    <row r="987" spans="1:18" x14ac:dyDescent="0.2">
      <c r="A987" t="s">
        <v>2032</v>
      </c>
      <c r="B987" t="s">
        <v>2033</v>
      </c>
      <c r="C987" t="s">
        <v>78</v>
      </c>
      <c r="D987" t="s">
        <v>79</v>
      </c>
      <c r="E987" t="s">
        <v>60</v>
      </c>
      <c r="F987" t="s">
        <v>34</v>
      </c>
      <c r="G987" t="s">
        <v>35</v>
      </c>
      <c r="H987" t="s">
        <v>88</v>
      </c>
      <c r="I987" t="s">
        <v>56</v>
      </c>
      <c r="J987" t="s">
        <v>37</v>
      </c>
      <c r="K987" s="2">
        <v>46111</v>
      </c>
      <c r="L987" s="2">
        <v>46201</v>
      </c>
      <c r="M987" t="s">
        <v>38</v>
      </c>
      <c r="N987" t="s">
        <v>75</v>
      </c>
      <c r="O987">
        <v>1</v>
      </c>
      <c r="P987" t="s">
        <v>62</v>
      </c>
      <c r="Q987" s="2">
        <v>46264</v>
      </c>
      <c r="R987" t="s">
        <v>38</v>
      </c>
    </row>
    <row r="988" spans="1:18" x14ac:dyDescent="0.2">
      <c r="A988" t="s">
        <v>2034</v>
      </c>
      <c r="B988" t="s">
        <v>2035</v>
      </c>
      <c r="C988" t="s">
        <v>42</v>
      </c>
      <c r="D988" t="s">
        <v>43</v>
      </c>
      <c r="E988" t="s">
        <v>105</v>
      </c>
      <c r="F988" t="s">
        <v>45</v>
      </c>
      <c r="G988" t="s">
        <v>61</v>
      </c>
      <c r="H988" t="s">
        <v>88</v>
      </c>
      <c r="I988" t="s">
        <v>106</v>
      </c>
      <c r="J988" t="s">
        <v>63</v>
      </c>
      <c r="K988" s="2">
        <v>45988</v>
      </c>
      <c r="L988" s="2">
        <v>46168</v>
      </c>
      <c r="M988" t="s">
        <v>38</v>
      </c>
      <c r="N988" t="s">
        <v>49</v>
      </c>
      <c r="O988">
        <v>3</v>
      </c>
      <c r="P988" t="s">
        <v>39</v>
      </c>
      <c r="Q988" s="2">
        <v>46271</v>
      </c>
      <c r="R988" t="s">
        <v>38</v>
      </c>
    </row>
    <row r="989" spans="1:18" x14ac:dyDescent="0.2">
      <c r="A989" t="s">
        <v>2036</v>
      </c>
      <c r="B989" t="s">
        <v>2037</v>
      </c>
      <c r="C989" t="s">
        <v>73</v>
      </c>
      <c r="D989" t="s">
        <v>74</v>
      </c>
      <c r="E989" t="s">
        <v>44</v>
      </c>
      <c r="F989" t="s">
        <v>34</v>
      </c>
      <c r="G989" t="s">
        <v>35</v>
      </c>
      <c r="H989" t="s">
        <v>98</v>
      </c>
      <c r="I989" t="s">
        <v>56</v>
      </c>
      <c r="J989" t="s">
        <v>48</v>
      </c>
      <c r="K989" s="2">
        <v>45819</v>
      </c>
      <c r="L989" s="2">
        <v>46184</v>
      </c>
      <c r="M989" t="s">
        <v>38</v>
      </c>
      <c r="N989" t="s">
        <v>49</v>
      </c>
      <c r="O989">
        <v>4</v>
      </c>
      <c r="P989" t="s">
        <v>39</v>
      </c>
      <c r="Q989" s="2">
        <v>46392</v>
      </c>
      <c r="R989" t="s">
        <v>64</v>
      </c>
    </row>
    <row r="990" spans="1:18" x14ac:dyDescent="0.2">
      <c r="A990" t="s">
        <v>2038</v>
      </c>
      <c r="B990" t="s">
        <v>2039</v>
      </c>
      <c r="C990" t="s">
        <v>31</v>
      </c>
      <c r="D990" t="s">
        <v>87</v>
      </c>
      <c r="E990" t="s">
        <v>80</v>
      </c>
      <c r="F990" t="s">
        <v>45</v>
      </c>
      <c r="G990" t="s">
        <v>61</v>
      </c>
      <c r="H990" t="s">
        <v>47</v>
      </c>
      <c r="I990" t="s">
        <v>39</v>
      </c>
      <c r="J990" t="s">
        <v>48</v>
      </c>
      <c r="K990" s="2">
        <v>45854</v>
      </c>
      <c r="L990" s="2">
        <v>46219</v>
      </c>
      <c r="M990" t="s">
        <v>38</v>
      </c>
      <c r="N990" t="s">
        <v>75</v>
      </c>
      <c r="O990">
        <v>1</v>
      </c>
      <c r="P990" t="s">
        <v>111</v>
      </c>
      <c r="Q990" s="2">
        <v>46375</v>
      </c>
      <c r="R990" t="s">
        <v>84</v>
      </c>
    </row>
    <row r="991" spans="1:18" x14ac:dyDescent="0.2">
      <c r="A991" t="s">
        <v>2040</v>
      </c>
      <c r="B991" t="s">
        <v>2041</v>
      </c>
      <c r="C991" t="s">
        <v>78</v>
      </c>
      <c r="D991" t="s">
        <v>79</v>
      </c>
      <c r="E991" t="s">
        <v>91</v>
      </c>
      <c r="F991" t="s">
        <v>45</v>
      </c>
      <c r="G991" t="s">
        <v>46</v>
      </c>
      <c r="H991" t="s">
        <v>88</v>
      </c>
      <c r="I991" t="s">
        <v>54</v>
      </c>
      <c r="J991" t="s">
        <v>63</v>
      </c>
      <c r="K991" s="2">
        <v>46022</v>
      </c>
      <c r="L991" s="2">
        <v>46112</v>
      </c>
      <c r="M991" t="s">
        <v>38</v>
      </c>
      <c r="N991" t="s">
        <v>49</v>
      </c>
      <c r="O991">
        <v>0</v>
      </c>
      <c r="P991" t="s">
        <v>70</v>
      </c>
      <c r="Q991" s="2">
        <v>46138</v>
      </c>
      <c r="R991" t="s">
        <v>57</v>
      </c>
    </row>
    <row r="992" spans="1:18" x14ac:dyDescent="0.2">
      <c r="A992" t="s">
        <v>2042</v>
      </c>
      <c r="B992" t="s">
        <v>2043</v>
      </c>
      <c r="C992" t="s">
        <v>78</v>
      </c>
      <c r="D992" t="s">
        <v>79</v>
      </c>
      <c r="E992" t="s">
        <v>44</v>
      </c>
      <c r="F992" t="s">
        <v>67</v>
      </c>
      <c r="G992" t="s">
        <v>68</v>
      </c>
      <c r="H992" t="s">
        <v>88</v>
      </c>
      <c r="J992" t="s">
        <v>48</v>
      </c>
      <c r="K992" s="2">
        <v>45807</v>
      </c>
      <c r="L992" s="2">
        <v>45987</v>
      </c>
      <c r="M992" t="s">
        <v>38</v>
      </c>
      <c r="N992" t="s">
        <v>55</v>
      </c>
      <c r="O992">
        <v>3</v>
      </c>
      <c r="P992" t="s">
        <v>50</v>
      </c>
      <c r="Q992" s="2">
        <v>46231</v>
      </c>
      <c r="R992" t="s">
        <v>38</v>
      </c>
    </row>
    <row r="993" spans="1:18" x14ac:dyDescent="0.2">
      <c r="A993" t="s">
        <v>2044</v>
      </c>
      <c r="B993" t="s">
        <v>2045</v>
      </c>
      <c r="C993" t="s">
        <v>42</v>
      </c>
      <c r="D993" t="s">
        <v>43</v>
      </c>
      <c r="E993" t="s">
        <v>60</v>
      </c>
      <c r="F993" t="s">
        <v>34</v>
      </c>
      <c r="G993" t="s">
        <v>35</v>
      </c>
      <c r="H993" t="s">
        <v>88</v>
      </c>
      <c r="I993" t="s">
        <v>62</v>
      </c>
      <c r="J993" t="s">
        <v>63</v>
      </c>
      <c r="K993" s="2">
        <v>45927</v>
      </c>
      <c r="L993" s="2">
        <v>46292</v>
      </c>
      <c r="M993" t="s">
        <v>38</v>
      </c>
      <c r="N993" t="s">
        <v>49</v>
      </c>
      <c r="O993">
        <v>2</v>
      </c>
      <c r="P993" t="s">
        <v>39</v>
      </c>
      <c r="Q993" s="2">
        <v>46219</v>
      </c>
      <c r="R993" t="s">
        <v>38</v>
      </c>
    </row>
    <row r="994" spans="1:18" x14ac:dyDescent="0.2">
      <c r="A994" t="s">
        <v>2046</v>
      </c>
      <c r="B994" t="s">
        <v>2047</v>
      </c>
      <c r="C994" t="s">
        <v>31</v>
      </c>
      <c r="D994" t="s">
        <v>87</v>
      </c>
      <c r="E994" t="s">
        <v>80</v>
      </c>
      <c r="F994" t="s">
        <v>67</v>
      </c>
      <c r="G994" t="s">
        <v>118</v>
      </c>
      <c r="H994" t="s">
        <v>47</v>
      </c>
      <c r="I994" t="s">
        <v>54</v>
      </c>
      <c r="J994" t="s">
        <v>37</v>
      </c>
      <c r="K994" s="2">
        <v>45857</v>
      </c>
      <c r="L994" s="2">
        <v>46037</v>
      </c>
      <c r="M994" t="s">
        <v>38</v>
      </c>
      <c r="N994" t="s">
        <v>75</v>
      </c>
      <c r="O994">
        <v>0</v>
      </c>
      <c r="P994" t="s">
        <v>50</v>
      </c>
      <c r="Q994" s="2">
        <v>46317</v>
      </c>
      <c r="R994" t="s">
        <v>57</v>
      </c>
    </row>
    <row r="995" spans="1:18" x14ac:dyDescent="0.2">
      <c r="A995" t="s">
        <v>2048</v>
      </c>
      <c r="B995" t="s">
        <v>2049</v>
      </c>
      <c r="C995" t="s">
        <v>42</v>
      </c>
      <c r="D995" t="s">
        <v>43</v>
      </c>
      <c r="E995" t="s">
        <v>105</v>
      </c>
      <c r="F995" t="s">
        <v>34</v>
      </c>
      <c r="G995" t="s">
        <v>35</v>
      </c>
      <c r="H995" t="s">
        <v>88</v>
      </c>
      <c r="I995" t="s">
        <v>70</v>
      </c>
      <c r="J995" t="s">
        <v>63</v>
      </c>
      <c r="K995" s="2">
        <v>46194</v>
      </c>
      <c r="L995" s="2">
        <v>46374</v>
      </c>
      <c r="M995" t="s">
        <v>64</v>
      </c>
      <c r="N995" t="s">
        <v>49</v>
      </c>
      <c r="O995">
        <v>2</v>
      </c>
      <c r="P995" t="s">
        <v>62</v>
      </c>
      <c r="Q995" s="2">
        <v>46200</v>
      </c>
      <c r="R995" t="s">
        <v>38</v>
      </c>
    </row>
    <row r="996" spans="1:18" x14ac:dyDescent="0.2">
      <c r="A996" t="s">
        <v>2050</v>
      </c>
      <c r="B996" t="s">
        <v>2051</v>
      </c>
      <c r="C996" t="s">
        <v>96</v>
      </c>
      <c r="D996" t="s">
        <v>97</v>
      </c>
      <c r="E996" t="s">
        <v>53</v>
      </c>
      <c r="F996" t="s">
        <v>67</v>
      </c>
      <c r="G996" t="s">
        <v>118</v>
      </c>
      <c r="H996" t="s">
        <v>36</v>
      </c>
      <c r="I996" t="s">
        <v>56</v>
      </c>
      <c r="J996" t="s">
        <v>48</v>
      </c>
      <c r="K996" s="2">
        <v>46220</v>
      </c>
      <c r="L996" s="2">
        <v>46310</v>
      </c>
      <c r="M996" t="s">
        <v>64</v>
      </c>
      <c r="N996" t="s">
        <v>55</v>
      </c>
      <c r="O996">
        <v>0</v>
      </c>
      <c r="P996" t="s">
        <v>39</v>
      </c>
      <c r="Q996" s="2">
        <v>46399</v>
      </c>
      <c r="R996" t="s">
        <v>57</v>
      </c>
    </row>
    <row r="997" spans="1:18" x14ac:dyDescent="0.2">
      <c r="A997" t="s">
        <v>2052</v>
      </c>
      <c r="B997" t="s">
        <v>2053</v>
      </c>
      <c r="C997" t="s">
        <v>103</v>
      </c>
      <c r="D997" t="s">
        <v>104</v>
      </c>
      <c r="E997" t="s">
        <v>105</v>
      </c>
      <c r="F997" t="s">
        <v>67</v>
      </c>
      <c r="G997" t="s">
        <v>118</v>
      </c>
      <c r="H997" t="s">
        <v>47</v>
      </c>
      <c r="I997" t="s">
        <v>39</v>
      </c>
      <c r="J997" t="s">
        <v>63</v>
      </c>
      <c r="K997" s="2">
        <v>45849</v>
      </c>
      <c r="L997" s="2">
        <v>46029</v>
      </c>
      <c r="M997" t="s">
        <v>38</v>
      </c>
      <c r="N997" t="s">
        <v>55</v>
      </c>
      <c r="O997">
        <v>0</v>
      </c>
      <c r="P997" t="s">
        <v>106</v>
      </c>
      <c r="Q997" s="2">
        <v>46149</v>
      </c>
      <c r="R997" t="s">
        <v>57</v>
      </c>
    </row>
    <row r="998" spans="1:18" x14ac:dyDescent="0.2">
      <c r="A998" t="s">
        <v>2054</v>
      </c>
      <c r="B998" t="s">
        <v>2055</v>
      </c>
      <c r="C998" t="s">
        <v>31</v>
      </c>
      <c r="D998" t="s">
        <v>83</v>
      </c>
      <c r="E998" t="s">
        <v>80</v>
      </c>
      <c r="F998" t="s">
        <v>67</v>
      </c>
      <c r="G998" t="s">
        <v>68</v>
      </c>
      <c r="H998" t="s">
        <v>88</v>
      </c>
      <c r="I998" t="s">
        <v>39</v>
      </c>
      <c r="J998" t="s">
        <v>37</v>
      </c>
      <c r="K998" s="2">
        <v>45936</v>
      </c>
      <c r="L998" s="2">
        <v>46301</v>
      </c>
      <c r="M998" t="s">
        <v>84</v>
      </c>
      <c r="N998" t="s">
        <v>55</v>
      </c>
      <c r="O998">
        <v>2</v>
      </c>
      <c r="P998" t="s">
        <v>50</v>
      </c>
      <c r="Q998" s="2">
        <v>46137</v>
      </c>
      <c r="R998" t="s">
        <v>38</v>
      </c>
    </row>
    <row r="999" spans="1:18" x14ac:dyDescent="0.2">
      <c r="A999" t="s">
        <v>2056</v>
      </c>
      <c r="B999" t="s">
        <v>2057</v>
      </c>
      <c r="C999" t="s">
        <v>31</v>
      </c>
      <c r="D999" t="s">
        <v>83</v>
      </c>
      <c r="E999" t="s">
        <v>44</v>
      </c>
      <c r="F999" t="s">
        <v>67</v>
      </c>
      <c r="G999" t="s">
        <v>118</v>
      </c>
      <c r="H999" t="s">
        <v>36</v>
      </c>
      <c r="I999" t="s">
        <v>39</v>
      </c>
      <c r="J999" t="s">
        <v>48</v>
      </c>
      <c r="K999" s="2">
        <v>46075</v>
      </c>
      <c r="L999" s="2">
        <v>46255</v>
      </c>
      <c r="M999" t="s">
        <v>38</v>
      </c>
      <c r="N999" t="s">
        <v>55</v>
      </c>
      <c r="O999">
        <v>2</v>
      </c>
      <c r="P999" t="s">
        <v>106</v>
      </c>
      <c r="Q999" s="2">
        <v>46373</v>
      </c>
      <c r="R999" t="s">
        <v>64</v>
      </c>
    </row>
    <row r="1000" spans="1:18" x14ac:dyDescent="0.2">
      <c r="A1000" t="s">
        <v>2058</v>
      </c>
      <c r="B1000" t="s">
        <v>2059</v>
      </c>
      <c r="C1000" t="s">
        <v>31</v>
      </c>
      <c r="D1000" t="s">
        <v>83</v>
      </c>
      <c r="E1000" t="s">
        <v>105</v>
      </c>
      <c r="F1000" t="s">
        <v>34</v>
      </c>
      <c r="G1000" t="s">
        <v>35</v>
      </c>
      <c r="H1000" t="s">
        <v>36</v>
      </c>
      <c r="I1000" t="s">
        <v>70</v>
      </c>
      <c r="J1000" t="s">
        <v>37</v>
      </c>
      <c r="K1000" s="2">
        <v>45844</v>
      </c>
      <c r="L1000" s="2">
        <v>45934</v>
      </c>
      <c r="M1000" t="s">
        <v>38</v>
      </c>
      <c r="N1000" t="s">
        <v>49</v>
      </c>
      <c r="O1000">
        <v>4</v>
      </c>
      <c r="P1000" t="s">
        <v>39</v>
      </c>
      <c r="Q1000" s="2">
        <v>46262</v>
      </c>
      <c r="R1000" t="s">
        <v>38</v>
      </c>
    </row>
    <row r="1001" spans="1:18" x14ac:dyDescent="0.2">
      <c r="A1001" t="s">
        <v>2060</v>
      </c>
      <c r="B1001" t="s">
        <v>2061</v>
      </c>
      <c r="C1001" t="s">
        <v>31</v>
      </c>
      <c r="D1001" t="s">
        <v>32</v>
      </c>
      <c r="E1001" t="s">
        <v>80</v>
      </c>
      <c r="F1001" t="s">
        <v>45</v>
      </c>
      <c r="G1001" t="s">
        <v>46</v>
      </c>
      <c r="H1001" t="s">
        <v>88</v>
      </c>
      <c r="I1001" t="s">
        <v>39</v>
      </c>
      <c r="J1001" t="s">
        <v>48</v>
      </c>
      <c r="K1001" s="2">
        <v>45959</v>
      </c>
      <c r="L1001" s="2">
        <v>46324</v>
      </c>
      <c r="M1001" t="s">
        <v>64</v>
      </c>
      <c r="O1001">
        <v>2</v>
      </c>
      <c r="P1001" t="s">
        <v>39</v>
      </c>
      <c r="Q1001" s="2">
        <v>46304</v>
      </c>
      <c r="R1001" t="s">
        <v>64</v>
      </c>
    </row>
    <row r="1002" spans="1:18" x14ac:dyDescent="0.2">
      <c r="A1002" t="s">
        <v>2062</v>
      </c>
      <c r="B1002" t="s">
        <v>2063</v>
      </c>
      <c r="C1002" t="s">
        <v>31</v>
      </c>
      <c r="D1002" t="s">
        <v>32</v>
      </c>
      <c r="E1002" t="s">
        <v>60</v>
      </c>
      <c r="F1002" t="s">
        <v>67</v>
      </c>
      <c r="G1002" t="s">
        <v>68</v>
      </c>
      <c r="H1002" t="s">
        <v>47</v>
      </c>
      <c r="I1002" t="s">
        <v>62</v>
      </c>
      <c r="J1002" t="s">
        <v>63</v>
      </c>
      <c r="K1002" s="2">
        <v>45882</v>
      </c>
      <c r="L1002" s="2">
        <v>46247</v>
      </c>
      <c r="M1002" t="s">
        <v>38</v>
      </c>
      <c r="N1002" t="s">
        <v>55</v>
      </c>
      <c r="O1002">
        <v>1</v>
      </c>
      <c r="P1002" t="s">
        <v>111</v>
      </c>
      <c r="Q1002" s="2">
        <v>46133</v>
      </c>
      <c r="R1002" t="s">
        <v>38</v>
      </c>
    </row>
    <row r="1003" spans="1:18" x14ac:dyDescent="0.2">
      <c r="A1003" t="s">
        <v>2064</v>
      </c>
      <c r="B1003" t="s">
        <v>2065</v>
      </c>
      <c r="C1003" t="s">
        <v>96</v>
      </c>
      <c r="D1003" t="s">
        <v>97</v>
      </c>
      <c r="E1003" t="s">
        <v>53</v>
      </c>
      <c r="F1003" t="s">
        <v>34</v>
      </c>
      <c r="G1003" t="s">
        <v>35</v>
      </c>
      <c r="H1003" t="s">
        <v>88</v>
      </c>
      <c r="I1003" t="s">
        <v>62</v>
      </c>
      <c r="J1003" t="s">
        <v>48</v>
      </c>
      <c r="K1003" s="2">
        <v>46045</v>
      </c>
      <c r="L1003" s="2">
        <v>46410</v>
      </c>
      <c r="M1003" t="s">
        <v>64</v>
      </c>
      <c r="N1003" t="s">
        <v>75</v>
      </c>
      <c r="O1003">
        <v>2</v>
      </c>
      <c r="P1003" t="s">
        <v>111</v>
      </c>
      <c r="Q1003" s="2">
        <v>46291</v>
      </c>
      <c r="R1003" t="s">
        <v>38</v>
      </c>
    </row>
    <row r="1004" spans="1:18" x14ac:dyDescent="0.2">
      <c r="A1004" t="s">
        <v>2066</v>
      </c>
      <c r="B1004" t="s">
        <v>2067</v>
      </c>
      <c r="C1004" t="s">
        <v>42</v>
      </c>
      <c r="D1004" t="s">
        <v>43</v>
      </c>
      <c r="E1004" t="s">
        <v>44</v>
      </c>
      <c r="F1004" t="s">
        <v>34</v>
      </c>
      <c r="G1004" t="s">
        <v>35</v>
      </c>
      <c r="H1004" t="s">
        <v>47</v>
      </c>
      <c r="I1004" t="s">
        <v>50</v>
      </c>
      <c r="J1004" t="s">
        <v>48</v>
      </c>
      <c r="K1004" s="2">
        <v>46077</v>
      </c>
      <c r="L1004" s="2">
        <v>46257</v>
      </c>
      <c r="M1004" t="s">
        <v>38</v>
      </c>
      <c r="N1004" t="s">
        <v>55</v>
      </c>
      <c r="O1004">
        <v>2</v>
      </c>
      <c r="P1004" t="s">
        <v>111</v>
      </c>
      <c r="Q1004" s="2">
        <v>46125</v>
      </c>
      <c r="R1004" t="s">
        <v>38</v>
      </c>
    </row>
    <row r="1005" spans="1:18" x14ac:dyDescent="0.2">
      <c r="A1005" t="s">
        <v>2068</v>
      </c>
      <c r="B1005" t="s">
        <v>2069</v>
      </c>
      <c r="C1005" t="s">
        <v>78</v>
      </c>
      <c r="D1005" t="s">
        <v>79</v>
      </c>
      <c r="E1005" t="s">
        <v>80</v>
      </c>
      <c r="F1005" t="s">
        <v>67</v>
      </c>
      <c r="G1005" t="s">
        <v>68</v>
      </c>
      <c r="H1005" t="s">
        <v>47</v>
      </c>
      <c r="I1005" t="s">
        <v>106</v>
      </c>
      <c r="J1005" t="s">
        <v>37</v>
      </c>
      <c r="K1005" s="2">
        <v>46169</v>
      </c>
      <c r="L1005" s="2">
        <v>46349</v>
      </c>
      <c r="M1005" t="s">
        <v>64</v>
      </c>
      <c r="N1005" t="s">
        <v>75</v>
      </c>
      <c r="O1005">
        <v>3</v>
      </c>
      <c r="P1005" t="s">
        <v>106</v>
      </c>
      <c r="Q1005" s="2">
        <v>46346</v>
      </c>
      <c r="R1005" t="s">
        <v>84</v>
      </c>
    </row>
    <row r="1006" spans="1:18" x14ac:dyDescent="0.2">
      <c r="A1006" t="s">
        <v>2070</v>
      </c>
      <c r="B1006" t="s">
        <v>2071</v>
      </c>
      <c r="C1006" t="s">
        <v>73</v>
      </c>
      <c r="D1006" t="s">
        <v>74</v>
      </c>
      <c r="E1006" t="s">
        <v>44</v>
      </c>
      <c r="F1006" t="s">
        <v>67</v>
      </c>
      <c r="G1006" t="s">
        <v>118</v>
      </c>
      <c r="H1006" t="s">
        <v>36</v>
      </c>
      <c r="I1006" t="s">
        <v>54</v>
      </c>
      <c r="J1006" t="s">
        <v>63</v>
      </c>
      <c r="K1006" s="2">
        <v>46150</v>
      </c>
      <c r="L1006" s="2">
        <v>46240</v>
      </c>
      <c r="M1006" t="s">
        <v>38</v>
      </c>
      <c r="N1006" t="s">
        <v>49</v>
      </c>
      <c r="O1006">
        <v>1</v>
      </c>
      <c r="P1006" t="s">
        <v>62</v>
      </c>
      <c r="Q1006" s="2">
        <v>46406</v>
      </c>
      <c r="R1006" t="s">
        <v>64</v>
      </c>
    </row>
    <row r="1007" spans="1:18" x14ac:dyDescent="0.2">
      <c r="A1007" t="s">
        <v>2072</v>
      </c>
      <c r="B1007" t="s">
        <v>2073</v>
      </c>
      <c r="C1007" t="s">
        <v>73</v>
      </c>
      <c r="D1007" t="s">
        <v>74</v>
      </c>
      <c r="E1007" t="s">
        <v>44</v>
      </c>
      <c r="F1007" t="s">
        <v>67</v>
      </c>
      <c r="G1007" t="s">
        <v>118</v>
      </c>
      <c r="H1007" t="s">
        <v>88</v>
      </c>
      <c r="I1007" t="s">
        <v>111</v>
      </c>
      <c r="J1007" t="s">
        <v>48</v>
      </c>
      <c r="K1007" s="2">
        <v>46220</v>
      </c>
      <c r="L1007" s="2">
        <v>46585</v>
      </c>
      <c r="M1007" t="s">
        <v>69</v>
      </c>
      <c r="N1007" t="s">
        <v>49</v>
      </c>
      <c r="O1007">
        <v>3</v>
      </c>
      <c r="P1007" t="s">
        <v>62</v>
      </c>
      <c r="Q1007" s="2">
        <v>46141</v>
      </c>
      <c r="R1007" t="s">
        <v>64</v>
      </c>
    </row>
    <row r="1008" spans="1:18" x14ac:dyDescent="0.2">
      <c r="A1008" t="s">
        <v>2074</v>
      </c>
      <c r="B1008" t="s">
        <v>2075</v>
      </c>
      <c r="C1008" t="s">
        <v>31</v>
      </c>
      <c r="D1008" t="s">
        <v>83</v>
      </c>
      <c r="E1008" t="s">
        <v>44</v>
      </c>
      <c r="F1008" t="s">
        <v>34</v>
      </c>
      <c r="G1008" t="s">
        <v>35</v>
      </c>
      <c r="H1008" t="s">
        <v>98</v>
      </c>
      <c r="I1008" t="s">
        <v>39</v>
      </c>
      <c r="J1008" t="s">
        <v>37</v>
      </c>
      <c r="K1008" s="2">
        <v>45920</v>
      </c>
      <c r="L1008" s="2">
        <v>46010</v>
      </c>
      <c r="M1008" t="s">
        <v>38</v>
      </c>
      <c r="N1008" t="s">
        <v>75</v>
      </c>
      <c r="O1008">
        <v>4</v>
      </c>
      <c r="P1008" t="s">
        <v>54</v>
      </c>
      <c r="Q1008" s="2">
        <v>46203</v>
      </c>
      <c r="R1008" t="s">
        <v>64</v>
      </c>
    </row>
    <row r="1009" spans="1:18" x14ac:dyDescent="0.2">
      <c r="A1009" t="s">
        <v>2076</v>
      </c>
      <c r="B1009" t="s">
        <v>2077</v>
      </c>
      <c r="C1009" t="s">
        <v>31</v>
      </c>
      <c r="D1009" t="s">
        <v>32</v>
      </c>
      <c r="E1009" t="s">
        <v>53</v>
      </c>
      <c r="F1009" t="s">
        <v>45</v>
      </c>
      <c r="G1009" t="s">
        <v>61</v>
      </c>
      <c r="H1009" t="s">
        <v>88</v>
      </c>
      <c r="I1009" t="s">
        <v>50</v>
      </c>
      <c r="J1009" t="s">
        <v>48</v>
      </c>
      <c r="K1009" s="2">
        <v>45885</v>
      </c>
      <c r="L1009" s="2">
        <v>46065</v>
      </c>
      <c r="M1009" t="s">
        <v>38</v>
      </c>
      <c r="N1009" t="s">
        <v>75</v>
      </c>
      <c r="O1009">
        <v>0</v>
      </c>
      <c r="P1009" t="s">
        <v>39</v>
      </c>
      <c r="Q1009" s="2">
        <v>46164</v>
      </c>
      <c r="R1009" t="s">
        <v>57</v>
      </c>
    </row>
    <row r="1010" spans="1:18" x14ac:dyDescent="0.2">
      <c r="A1010" t="s">
        <v>2078</v>
      </c>
      <c r="B1010" t="s">
        <v>2079</v>
      </c>
      <c r="C1010" t="s">
        <v>73</v>
      </c>
      <c r="D1010" t="s">
        <v>74</v>
      </c>
      <c r="E1010" t="s">
        <v>105</v>
      </c>
      <c r="F1010" t="s">
        <v>45</v>
      </c>
      <c r="G1010" t="s">
        <v>61</v>
      </c>
      <c r="H1010" t="s">
        <v>88</v>
      </c>
      <c r="I1010" t="s">
        <v>106</v>
      </c>
      <c r="J1010" t="s">
        <v>37</v>
      </c>
      <c r="K1010" s="2">
        <v>46172</v>
      </c>
      <c r="L1010" s="2">
        <v>46537</v>
      </c>
      <c r="M1010" t="s">
        <v>64</v>
      </c>
      <c r="N1010" t="s">
        <v>55</v>
      </c>
      <c r="O1010">
        <v>2</v>
      </c>
      <c r="P1010" t="s">
        <v>111</v>
      </c>
      <c r="Q1010" s="2">
        <v>46148</v>
      </c>
      <c r="R1010" t="s">
        <v>38</v>
      </c>
    </row>
    <row r="1011" spans="1:18" x14ac:dyDescent="0.2">
      <c r="A1011" t="s">
        <v>2080</v>
      </c>
      <c r="B1011" t="s">
        <v>2081</v>
      </c>
      <c r="C1011" t="s">
        <v>78</v>
      </c>
      <c r="D1011" t="s">
        <v>79</v>
      </c>
      <c r="E1011" t="s">
        <v>53</v>
      </c>
      <c r="F1011" t="s">
        <v>67</v>
      </c>
      <c r="G1011" t="s">
        <v>68</v>
      </c>
      <c r="H1011" t="s">
        <v>88</v>
      </c>
      <c r="I1011" t="s">
        <v>50</v>
      </c>
      <c r="J1011" t="s">
        <v>63</v>
      </c>
      <c r="K1011" s="2">
        <v>45814</v>
      </c>
      <c r="L1011" s="2">
        <v>45904</v>
      </c>
      <c r="M1011" t="s">
        <v>38</v>
      </c>
      <c r="N1011" t="s">
        <v>55</v>
      </c>
      <c r="O1011">
        <v>3</v>
      </c>
      <c r="P1011" t="s">
        <v>111</v>
      </c>
      <c r="Q1011" s="2">
        <v>46175</v>
      </c>
      <c r="R1011" t="s">
        <v>38</v>
      </c>
    </row>
    <row r="1012" spans="1:18" x14ac:dyDescent="0.2">
      <c r="A1012" t="s">
        <v>2082</v>
      </c>
      <c r="B1012" t="s">
        <v>2083</v>
      </c>
      <c r="C1012" t="s">
        <v>78</v>
      </c>
      <c r="D1012" t="s">
        <v>79</v>
      </c>
      <c r="E1012" t="s">
        <v>91</v>
      </c>
      <c r="F1012" t="s">
        <v>34</v>
      </c>
      <c r="G1012" t="s">
        <v>35</v>
      </c>
      <c r="H1012" t="s">
        <v>36</v>
      </c>
      <c r="I1012" t="s">
        <v>54</v>
      </c>
      <c r="J1012" t="s">
        <v>37</v>
      </c>
      <c r="K1012" s="2">
        <v>46217</v>
      </c>
      <c r="L1012" s="2">
        <v>46582</v>
      </c>
      <c r="M1012" t="s">
        <v>69</v>
      </c>
      <c r="N1012" t="s">
        <v>55</v>
      </c>
      <c r="O1012">
        <v>0</v>
      </c>
      <c r="P1012" t="s">
        <v>111</v>
      </c>
      <c r="Q1012" s="2">
        <v>46184</v>
      </c>
      <c r="R1012" t="s">
        <v>57</v>
      </c>
    </row>
    <row r="1013" spans="1:18" x14ac:dyDescent="0.2">
      <c r="A1013" t="s">
        <v>2084</v>
      </c>
      <c r="B1013" t="s">
        <v>2085</v>
      </c>
      <c r="C1013" t="s">
        <v>96</v>
      </c>
      <c r="D1013" t="s">
        <v>97</v>
      </c>
      <c r="E1013" t="s">
        <v>60</v>
      </c>
      <c r="F1013" t="s">
        <v>45</v>
      </c>
      <c r="G1013" t="s">
        <v>46</v>
      </c>
      <c r="H1013" t="s">
        <v>88</v>
      </c>
      <c r="I1013" t="s">
        <v>106</v>
      </c>
      <c r="J1013" t="s">
        <v>63</v>
      </c>
      <c r="K1013" s="2">
        <v>45799</v>
      </c>
      <c r="L1013" s="2">
        <v>45979</v>
      </c>
      <c r="M1013" t="s">
        <v>38</v>
      </c>
      <c r="N1013" t="s">
        <v>49</v>
      </c>
      <c r="O1013">
        <v>1</v>
      </c>
      <c r="P1013" t="s">
        <v>106</v>
      </c>
      <c r="Q1013" s="2">
        <v>46344</v>
      </c>
      <c r="R1013" t="s">
        <v>84</v>
      </c>
    </row>
    <row r="1014" spans="1:18" x14ac:dyDescent="0.2">
      <c r="A1014" t="s">
        <v>2086</v>
      </c>
      <c r="B1014" t="s">
        <v>2087</v>
      </c>
      <c r="C1014" t="s">
        <v>103</v>
      </c>
      <c r="D1014" t="s">
        <v>104</v>
      </c>
      <c r="E1014" t="s">
        <v>53</v>
      </c>
      <c r="F1014" t="s">
        <v>67</v>
      </c>
      <c r="G1014" t="s">
        <v>68</v>
      </c>
      <c r="H1014" t="s">
        <v>47</v>
      </c>
      <c r="I1014" t="s">
        <v>50</v>
      </c>
      <c r="J1014" t="s">
        <v>37</v>
      </c>
      <c r="K1014" s="2">
        <v>45956</v>
      </c>
      <c r="L1014" s="2">
        <v>46136</v>
      </c>
      <c r="M1014" t="s">
        <v>38</v>
      </c>
      <c r="N1014" t="s">
        <v>49</v>
      </c>
      <c r="O1014">
        <v>3</v>
      </c>
      <c r="P1014" t="s">
        <v>56</v>
      </c>
      <c r="Q1014" s="2">
        <v>46191</v>
      </c>
      <c r="R1014" t="s">
        <v>64</v>
      </c>
    </row>
    <row r="1015" spans="1:18" x14ac:dyDescent="0.2">
      <c r="A1015" t="s">
        <v>2088</v>
      </c>
      <c r="B1015" t="s">
        <v>2089</v>
      </c>
      <c r="C1015" t="s">
        <v>42</v>
      </c>
      <c r="D1015" t="s">
        <v>43</v>
      </c>
      <c r="E1015" t="s">
        <v>53</v>
      </c>
      <c r="F1015" t="s">
        <v>34</v>
      </c>
      <c r="G1015" t="s">
        <v>35</v>
      </c>
      <c r="H1015" t="s">
        <v>88</v>
      </c>
      <c r="I1015" t="s">
        <v>111</v>
      </c>
      <c r="J1015" t="s">
        <v>48</v>
      </c>
      <c r="K1015" s="2">
        <v>46267</v>
      </c>
      <c r="L1015" s="2">
        <v>46632</v>
      </c>
      <c r="M1015" t="s">
        <v>69</v>
      </c>
      <c r="N1015" t="s">
        <v>55</v>
      </c>
      <c r="O1015">
        <v>2</v>
      </c>
      <c r="P1015" t="s">
        <v>111</v>
      </c>
      <c r="Q1015" s="2">
        <v>46244</v>
      </c>
      <c r="R1015" t="s">
        <v>64</v>
      </c>
    </row>
    <row r="1016" spans="1:18" x14ac:dyDescent="0.2">
      <c r="A1016" t="s">
        <v>2090</v>
      </c>
      <c r="B1016" t="s">
        <v>2091</v>
      </c>
      <c r="C1016" t="s">
        <v>73</v>
      </c>
      <c r="D1016" t="s">
        <v>74</v>
      </c>
      <c r="E1016" t="s">
        <v>105</v>
      </c>
      <c r="F1016" t="s">
        <v>67</v>
      </c>
      <c r="G1016" t="s">
        <v>68</v>
      </c>
      <c r="H1016" t="s">
        <v>88</v>
      </c>
      <c r="I1016" t="s">
        <v>56</v>
      </c>
      <c r="J1016" t="s">
        <v>48</v>
      </c>
      <c r="K1016" s="2">
        <v>46141</v>
      </c>
      <c r="L1016" s="2">
        <v>46321</v>
      </c>
      <c r="M1016" t="s">
        <v>69</v>
      </c>
      <c r="N1016" t="s">
        <v>55</v>
      </c>
      <c r="O1016">
        <v>2</v>
      </c>
      <c r="P1016" t="s">
        <v>50</v>
      </c>
      <c r="Q1016" s="2">
        <v>46349</v>
      </c>
      <c r="R1016" t="s">
        <v>84</v>
      </c>
    </row>
    <row r="1017" spans="1:18" x14ac:dyDescent="0.2">
      <c r="A1017" t="s">
        <v>2092</v>
      </c>
      <c r="B1017" t="s">
        <v>2093</v>
      </c>
      <c r="C1017" t="s">
        <v>42</v>
      </c>
      <c r="D1017" t="s">
        <v>43</v>
      </c>
      <c r="E1017" t="s">
        <v>91</v>
      </c>
      <c r="F1017" t="s">
        <v>34</v>
      </c>
      <c r="G1017" t="s">
        <v>35</v>
      </c>
      <c r="H1017" t="s">
        <v>88</v>
      </c>
      <c r="I1017" t="s">
        <v>56</v>
      </c>
      <c r="J1017" t="s">
        <v>37</v>
      </c>
      <c r="K1017" s="2">
        <v>46081</v>
      </c>
      <c r="L1017" s="2">
        <v>46171</v>
      </c>
      <c r="M1017" t="s">
        <v>38</v>
      </c>
      <c r="N1017" t="s">
        <v>75</v>
      </c>
      <c r="O1017">
        <v>3</v>
      </c>
      <c r="P1017" t="s">
        <v>106</v>
      </c>
      <c r="Q1017" s="2">
        <v>46313</v>
      </c>
      <c r="R1017" t="s">
        <v>64</v>
      </c>
    </row>
    <row r="1018" spans="1:18" x14ac:dyDescent="0.2">
      <c r="A1018" t="s">
        <v>2094</v>
      </c>
      <c r="B1018" t="s">
        <v>2095</v>
      </c>
      <c r="C1018" t="s">
        <v>96</v>
      </c>
      <c r="D1018" t="s">
        <v>97</v>
      </c>
      <c r="E1018" t="s">
        <v>80</v>
      </c>
      <c r="F1018" t="s">
        <v>67</v>
      </c>
      <c r="G1018" t="s">
        <v>118</v>
      </c>
      <c r="H1018" t="s">
        <v>36</v>
      </c>
      <c r="I1018" t="s">
        <v>50</v>
      </c>
      <c r="J1018" t="s">
        <v>48</v>
      </c>
      <c r="K1018" s="2">
        <v>46098</v>
      </c>
      <c r="L1018" s="2">
        <v>46463</v>
      </c>
      <c r="M1018" t="s">
        <v>64</v>
      </c>
      <c r="N1018" t="s">
        <v>55</v>
      </c>
      <c r="O1018">
        <v>3</v>
      </c>
      <c r="P1018" t="s">
        <v>106</v>
      </c>
      <c r="Q1018" s="2">
        <v>46259</v>
      </c>
      <c r="R1018" t="s">
        <v>64</v>
      </c>
    </row>
    <row r="1019" spans="1:18" x14ac:dyDescent="0.2">
      <c r="A1019" t="s">
        <v>2096</v>
      </c>
      <c r="B1019" t="s">
        <v>2097</v>
      </c>
      <c r="C1019" t="s">
        <v>103</v>
      </c>
      <c r="D1019" t="s">
        <v>104</v>
      </c>
      <c r="E1019" t="s">
        <v>105</v>
      </c>
      <c r="F1019" t="s">
        <v>34</v>
      </c>
      <c r="G1019" t="s">
        <v>35</v>
      </c>
      <c r="H1019" t="s">
        <v>36</v>
      </c>
      <c r="I1019" t="s">
        <v>70</v>
      </c>
      <c r="J1019" t="s">
        <v>48</v>
      </c>
      <c r="K1019" s="2">
        <v>46151</v>
      </c>
      <c r="L1019" s="2">
        <v>46241</v>
      </c>
      <c r="M1019" t="s">
        <v>38</v>
      </c>
      <c r="N1019" t="s">
        <v>55</v>
      </c>
      <c r="O1019">
        <v>2</v>
      </c>
      <c r="P1019" t="s">
        <v>70</v>
      </c>
      <c r="Q1019" s="2">
        <v>46148</v>
      </c>
      <c r="R1019" t="s">
        <v>64</v>
      </c>
    </row>
    <row r="1020" spans="1:18" x14ac:dyDescent="0.2">
      <c r="A1020" t="s">
        <v>2098</v>
      </c>
      <c r="B1020" t="s">
        <v>2099</v>
      </c>
      <c r="C1020" t="s">
        <v>31</v>
      </c>
      <c r="D1020" t="s">
        <v>87</v>
      </c>
      <c r="E1020" t="s">
        <v>91</v>
      </c>
      <c r="F1020" t="s">
        <v>45</v>
      </c>
      <c r="G1020" t="s">
        <v>46</v>
      </c>
      <c r="H1020" t="s">
        <v>36</v>
      </c>
      <c r="I1020" t="s">
        <v>70</v>
      </c>
      <c r="J1020" t="s">
        <v>48</v>
      </c>
      <c r="K1020" s="2">
        <v>46196</v>
      </c>
      <c r="L1020" s="2">
        <v>46561</v>
      </c>
      <c r="M1020" t="s">
        <v>69</v>
      </c>
      <c r="N1020" t="s">
        <v>49</v>
      </c>
      <c r="O1020">
        <v>2</v>
      </c>
      <c r="P1020" t="s">
        <v>54</v>
      </c>
      <c r="Q1020" s="2">
        <v>46169</v>
      </c>
      <c r="R1020" t="s">
        <v>38</v>
      </c>
    </row>
    <row r="1021" spans="1:18" x14ac:dyDescent="0.2">
      <c r="A1021" t="s">
        <v>2100</v>
      </c>
      <c r="B1021" t="s">
        <v>2101</v>
      </c>
      <c r="C1021" t="s">
        <v>78</v>
      </c>
      <c r="D1021" t="s">
        <v>79</v>
      </c>
      <c r="E1021" t="s">
        <v>44</v>
      </c>
      <c r="F1021" t="s">
        <v>34</v>
      </c>
      <c r="G1021" t="s">
        <v>35</v>
      </c>
      <c r="H1021" t="s">
        <v>47</v>
      </c>
      <c r="I1021" t="s">
        <v>70</v>
      </c>
      <c r="J1021" t="s">
        <v>63</v>
      </c>
      <c r="K1021" s="2">
        <v>46274</v>
      </c>
      <c r="L1021" s="2">
        <v>46454</v>
      </c>
      <c r="M1021" t="s">
        <v>84</v>
      </c>
      <c r="N1021" t="s">
        <v>55</v>
      </c>
      <c r="O1021">
        <v>0</v>
      </c>
      <c r="P1021" t="s">
        <v>54</v>
      </c>
      <c r="Q1021" s="2">
        <v>46155</v>
      </c>
      <c r="R1021" t="s">
        <v>57</v>
      </c>
    </row>
    <row r="1022" spans="1:18" x14ac:dyDescent="0.2">
      <c r="A1022" t="s">
        <v>2102</v>
      </c>
      <c r="B1022" t="s">
        <v>2103</v>
      </c>
      <c r="C1022" t="s">
        <v>31</v>
      </c>
      <c r="D1022" t="s">
        <v>87</v>
      </c>
      <c r="E1022" t="s">
        <v>91</v>
      </c>
      <c r="F1022" t="s">
        <v>67</v>
      </c>
      <c r="G1022" t="s">
        <v>68</v>
      </c>
      <c r="H1022" t="s">
        <v>98</v>
      </c>
      <c r="I1022" t="s">
        <v>50</v>
      </c>
      <c r="J1022" t="s">
        <v>48</v>
      </c>
      <c r="K1022" s="2">
        <v>46035</v>
      </c>
      <c r="L1022" s="2">
        <v>46215</v>
      </c>
      <c r="M1022" t="s">
        <v>38</v>
      </c>
      <c r="N1022" t="s">
        <v>49</v>
      </c>
      <c r="O1022">
        <v>5</v>
      </c>
      <c r="P1022" t="s">
        <v>54</v>
      </c>
      <c r="Q1022" s="2">
        <v>46146</v>
      </c>
      <c r="R1022" t="s">
        <v>38</v>
      </c>
    </row>
    <row r="1023" spans="1:18" x14ac:dyDescent="0.2">
      <c r="A1023" t="s">
        <v>2104</v>
      </c>
      <c r="B1023" t="s">
        <v>2105</v>
      </c>
      <c r="C1023" t="s">
        <v>31</v>
      </c>
      <c r="D1023" t="s">
        <v>83</v>
      </c>
      <c r="E1023" t="s">
        <v>60</v>
      </c>
      <c r="F1023" t="s">
        <v>67</v>
      </c>
      <c r="G1023" t="s">
        <v>68</v>
      </c>
      <c r="H1023" t="s">
        <v>88</v>
      </c>
      <c r="I1023" t="s">
        <v>54</v>
      </c>
      <c r="J1023" t="s">
        <v>37</v>
      </c>
      <c r="K1023" s="2">
        <v>45917</v>
      </c>
      <c r="L1023" s="2">
        <v>46007</v>
      </c>
      <c r="M1023" t="s">
        <v>38</v>
      </c>
      <c r="N1023" t="s">
        <v>49</v>
      </c>
      <c r="O1023">
        <v>0</v>
      </c>
      <c r="P1023" t="s">
        <v>54</v>
      </c>
      <c r="Q1023" s="2">
        <v>46211</v>
      </c>
      <c r="R1023" t="s">
        <v>57</v>
      </c>
    </row>
    <row r="1024" spans="1:18" x14ac:dyDescent="0.2">
      <c r="A1024" t="s">
        <v>2106</v>
      </c>
      <c r="B1024" t="s">
        <v>2107</v>
      </c>
      <c r="C1024" t="s">
        <v>42</v>
      </c>
      <c r="D1024" t="s">
        <v>43</v>
      </c>
      <c r="E1024" t="s">
        <v>91</v>
      </c>
      <c r="F1024" t="s">
        <v>45</v>
      </c>
      <c r="G1024" t="s">
        <v>61</v>
      </c>
      <c r="H1024" t="s">
        <v>36</v>
      </c>
      <c r="I1024" t="s">
        <v>56</v>
      </c>
      <c r="J1024" t="s">
        <v>37</v>
      </c>
      <c r="K1024" s="2">
        <v>45968</v>
      </c>
      <c r="L1024" s="2">
        <v>46148</v>
      </c>
      <c r="M1024" t="s">
        <v>38</v>
      </c>
      <c r="N1024" t="s">
        <v>49</v>
      </c>
      <c r="O1024">
        <v>5</v>
      </c>
      <c r="P1024" t="s">
        <v>54</v>
      </c>
      <c r="Q1024" s="2">
        <v>46261</v>
      </c>
      <c r="R1024" t="s">
        <v>64</v>
      </c>
    </row>
    <row r="1025" spans="1:18" x14ac:dyDescent="0.2">
      <c r="A1025" t="s">
        <v>2108</v>
      </c>
      <c r="B1025" t="s">
        <v>2109</v>
      </c>
      <c r="C1025" t="s">
        <v>96</v>
      </c>
      <c r="D1025" t="s">
        <v>97</v>
      </c>
      <c r="E1025" t="s">
        <v>91</v>
      </c>
      <c r="F1025" t="s">
        <v>34</v>
      </c>
      <c r="G1025" t="s">
        <v>35</v>
      </c>
      <c r="H1025" t="s">
        <v>36</v>
      </c>
      <c r="I1025" t="s">
        <v>56</v>
      </c>
      <c r="J1025" t="s">
        <v>63</v>
      </c>
      <c r="K1025" s="2">
        <v>46131</v>
      </c>
      <c r="L1025" s="2">
        <v>46221</v>
      </c>
      <c r="M1025" t="s">
        <v>38</v>
      </c>
      <c r="N1025" t="s">
        <v>55</v>
      </c>
      <c r="O1025">
        <v>0</v>
      </c>
      <c r="P1025" t="s">
        <v>39</v>
      </c>
      <c r="Q1025" s="2">
        <v>46147</v>
      </c>
      <c r="R1025" t="s">
        <v>57</v>
      </c>
    </row>
    <row r="1026" spans="1:18" x14ac:dyDescent="0.2">
      <c r="A1026" t="s">
        <v>2110</v>
      </c>
      <c r="B1026" t="s">
        <v>2111</v>
      </c>
      <c r="C1026" t="s">
        <v>73</v>
      </c>
      <c r="D1026" t="s">
        <v>74</v>
      </c>
      <c r="E1026" t="s">
        <v>105</v>
      </c>
      <c r="F1026" t="s">
        <v>34</v>
      </c>
      <c r="G1026" t="s">
        <v>35</v>
      </c>
      <c r="H1026" t="s">
        <v>88</v>
      </c>
      <c r="I1026" t="s">
        <v>111</v>
      </c>
      <c r="J1026" t="s">
        <v>37</v>
      </c>
      <c r="K1026" s="2">
        <v>46269</v>
      </c>
      <c r="L1026" s="2">
        <v>46634</v>
      </c>
      <c r="M1026" t="s">
        <v>69</v>
      </c>
      <c r="N1026" t="s">
        <v>49</v>
      </c>
      <c r="O1026">
        <v>2</v>
      </c>
      <c r="P1026" t="s">
        <v>111</v>
      </c>
      <c r="Q1026" s="2">
        <v>46148</v>
      </c>
      <c r="R1026" t="s">
        <v>38</v>
      </c>
    </row>
    <row r="1027" spans="1:18" x14ac:dyDescent="0.2">
      <c r="A1027" t="s">
        <v>2112</v>
      </c>
      <c r="B1027" t="s">
        <v>2113</v>
      </c>
      <c r="C1027" t="s">
        <v>78</v>
      </c>
      <c r="D1027" t="s">
        <v>79</v>
      </c>
      <c r="E1027" t="s">
        <v>1674</v>
      </c>
      <c r="F1027" t="s">
        <v>67</v>
      </c>
      <c r="G1027" t="s">
        <v>118</v>
      </c>
      <c r="H1027" t="s">
        <v>36</v>
      </c>
      <c r="I1027" t="s">
        <v>106</v>
      </c>
      <c r="J1027" t="s">
        <v>37</v>
      </c>
      <c r="K1027" s="2">
        <v>45996</v>
      </c>
      <c r="L1027" s="2">
        <v>46361</v>
      </c>
      <c r="M1027" t="s">
        <v>64</v>
      </c>
      <c r="N1027" t="s">
        <v>49</v>
      </c>
      <c r="O1027">
        <v>1</v>
      </c>
      <c r="P1027" t="s">
        <v>106</v>
      </c>
      <c r="Q1027" s="2">
        <v>46136</v>
      </c>
      <c r="R1027" t="s">
        <v>38</v>
      </c>
    </row>
    <row r="1028" spans="1:18" x14ac:dyDescent="0.2">
      <c r="A1028" t="s">
        <v>2114</v>
      </c>
      <c r="B1028" t="s">
        <v>2115</v>
      </c>
      <c r="C1028" t="s">
        <v>73</v>
      </c>
      <c r="D1028" t="s">
        <v>74</v>
      </c>
      <c r="E1028" t="s">
        <v>80</v>
      </c>
      <c r="F1028" t="s">
        <v>67</v>
      </c>
      <c r="G1028" t="s">
        <v>118</v>
      </c>
      <c r="H1028" t="s">
        <v>88</v>
      </c>
      <c r="I1028" t="s">
        <v>50</v>
      </c>
      <c r="J1028" t="s">
        <v>63</v>
      </c>
      <c r="K1028" s="2">
        <v>45898</v>
      </c>
      <c r="L1028" s="2">
        <v>46078</v>
      </c>
      <c r="M1028" t="s">
        <v>38</v>
      </c>
      <c r="N1028" t="s">
        <v>75</v>
      </c>
      <c r="O1028">
        <v>0</v>
      </c>
      <c r="P1028" t="s">
        <v>50</v>
      </c>
      <c r="Q1028" s="2">
        <v>46186</v>
      </c>
      <c r="R1028" t="s">
        <v>57</v>
      </c>
    </row>
    <row r="1029" spans="1:18" x14ac:dyDescent="0.2">
      <c r="A1029" t="s">
        <v>2116</v>
      </c>
      <c r="B1029" t="s">
        <v>2117</v>
      </c>
      <c r="C1029" t="s">
        <v>96</v>
      </c>
      <c r="D1029" t="s">
        <v>97</v>
      </c>
      <c r="E1029" t="s">
        <v>105</v>
      </c>
      <c r="F1029" t="s">
        <v>67</v>
      </c>
      <c r="G1029" t="s">
        <v>118</v>
      </c>
      <c r="H1029" t="s">
        <v>88</v>
      </c>
      <c r="I1029" t="s">
        <v>50</v>
      </c>
      <c r="J1029" t="s">
        <v>37</v>
      </c>
      <c r="K1029" s="2">
        <v>46198</v>
      </c>
      <c r="L1029" s="2">
        <v>46563</v>
      </c>
      <c r="M1029" t="s">
        <v>84</v>
      </c>
      <c r="N1029" t="s">
        <v>55</v>
      </c>
      <c r="O1029">
        <v>0</v>
      </c>
      <c r="P1029" t="s">
        <v>106</v>
      </c>
      <c r="Q1029" s="2">
        <v>46315</v>
      </c>
      <c r="R1029" t="s">
        <v>57</v>
      </c>
    </row>
    <row r="1030" spans="1:18" x14ac:dyDescent="0.2">
      <c r="A1030" t="s">
        <v>2118</v>
      </c>
      <c r="B1030" t="s">
        <v>2119</v>
      </c>
      <c r="C1030" t="s">
        <v>96</v>
      </c>
      <c r="D1030" t="s">
        <v>97</v>
      </c>
      <c r="E1030" t="s">
        <v>80</v>
      </c>
      <c r="F1030" t="s">
        <v>45</v>
      </c>
      <c r="G1030" t="s">
        <v>1215</v>
      </c>
      <c r="H1030" t="s">
        <v>88</v>
      </c>
      <c r="I1030" t="s">
        <v>56</v>
      </c>
      <c r="J1030" t="s">
        <v>37</v>
      </c>
      <c r="K1030" s="2">
        <v>45851</v>
      </c>
      <c r="L1030" s="2">
        <v>46216</v>
      </c>
      <c r="M1030" t="s">
        <v>38</v>
      </c>
      <c r="N1030" t="s">
        <v>75</v>
      </c>
      <c r="O1030">
        <v>1</v>
      </c>
      <c r="P1030" t="s">
        <v>50</v>
      </c>
      <c r="Q1030" s="2">
        <v>46212</v>
      </c>
      <c r="R1030" t="s">
        <v>38</v>
      </c>
    </row>
    <row r="1031" spans="1:18" x14ac:dyDescent="0.2">
      <c r="A1031" t="s">
        <v>2120</v>
      </c>
      <c r="B1031" t="s">
        <v>2121</v>
      </c>
      <c r="C1031" t="s">
        <v>96</v>
      </c>
      <c r="D1031" t="s">
        <v>97</v>
      </c>
      <c r="E1031" t="s">
        <v>53</v>
      </c>
      <c r="F1031" t="s">
        <v>67</v>
      </c>
      <c r="G1031" t="s">
        <v>68</v>
      </c>
      <c r="H1031" t="s">
        <v>98</v>
      </c>
      <c r="I1031" t="s">
        <v>70</v>
      </c>
      <c r="J1031" t="s">
        <v>48</v>
      </c>
      <c r="K1031" s="2">
        <v>46110</v>
      </c>
      <c r="L1031" s="2">
        <v>46475</v>
      </c>
      <c r="M1031" t="s">
        <v>64</v>
      </c>
      <c r="N1031" t="s">
        <v>75</v>
      </c>
      <c r="O1031">
        <v>1</v>
      </c>
      <c r="P1031" t="s">
        <v>62</v>
      </c>
      <c r="Q1031" s="2">
        <v>46235</v>
      </c>
      <c r="R1031" t="s">
        <v>38</v>
      </c>
    </row>
    <row r="1032" spans="1:18" x14ac:dyDescent="0.2">
      <c r="A1032" t="s">
        <v>2122</v>
      </c>
      <c r="B1032" t="s">
        <v>2123</v>
      </c>
      <c r="C1032" t="s">
        <v>42</v>
      </c>
      <c r="D1032" t="s">
        <v>43</v>
      </c>
      <c r="E1032" t="s">
        <v>53</v>
      </c>
      <c r="F1032" t="s">
        <v>67</v>
      </c>
      <c r="G1032" t="s">
        <v>68</v>
      </c>
      <c r="H1032" t="s">
        <v>88</v>
      </c>
      <c r="I1032" t="s">
        <v>106</v>
      </c>
      <c r="J1032" t="s">
        <v>63</v>
      </c>
      <c r="K1032" s="2">
        <v>45953</v>
      </c>
      <c r="L1032" s="2">
        <v>46133</v>
      </c>
      <c r="M1032" t="s">
        <v>38</v>
      </c>
      <c r="N1032" t="s">
        <v>49</v>
      </c>
      <c r="O1032">
        <v>3</v>
      </c>
      <c r="P1032" t="s">
        <v>106</v>
      </c>
      <c r="Q1032" s="2">
        <v>46177</v>
      </c>
      <c r="R1032" t="s">
        <v>38</v>
      </c>
    </row>
    <row r="1033" spans="1:18" x14ac:dyDescent="0.2">
      <c r="A1033" t="s">
        <v>2124</v>
      </c>
      <c r="B1033" t="s">
        <v>2125</v>
      </c>
      <c r="C1033" t="s">
        <v>103</v>
      </c>
      <c r="D1033" t="s">
        <v>104</v>
      </c>
      <c r="E1033" t="s">
        <v>53</v>
      </c>
      <c r="F1033" t="s">
        <v>34</v>
      </c>
      <c r="G1033" t="s">
        <v>35</v>
      </c>
      <c r="H1033" t="s">
        <v>88</v>
      </c>
      <c r="I1033" t="s">
        <v>111</v>
      </c>
      <c r="J1033" t="s">
        <v>37</v>
      </c>
      <c r="K1033" s="2">
        <v>46243</v>
      </c>
      <c r="L1033" s="2">
        <v>46333</v>
      </c>
      <c r="M1033" t="s">
        <v>64</v>
      </c>
      <c r="N1033" t="s">
        <v>75</v>
      </c>
      <c r="O1033">
        <v>1</v>
      </c>
      <c r="P1033" t="s">
        <v>111</v>
      </c>
      <c r="Q1033" s="2">
        <v>46222</v>
      </c>
      <c r="R1033" t="s">
        <v>38</v>
      </c>
    </row>
    <row r="1034" spans="1:18" x14ac:dyDescent="0.2">
      <c r="A1034" t="s">
        <v>2126</v>
      </c>
      <c r="B1034" t="s">
        <v>2127</v>
      </c>
      <c r="C1034" t="s">
        <v>103</v>
      </c>
      <c r="D1034" t="s">
        <v>104</v>
      </c>
      <c r="E1034" t="s">
        <v>60</v>
      </c>
      <c r="F1034" t="s">
        <v>67</v>
      </c>
      <c r="G1034" t="s">
        <v>118</v>
      </c>
      <c r="H1034" t="s">
        <v>36</v>
      </c>
      <c r="I1034" t="s">
        <v>54</v>
      </c>
      <c r="J1034" t="s">
        <v>63</v>
      </c>
      <c r="K1034" s="2">
        <v>45814</v>
      </c>
      <c r="L1034" s="2">
        <v>45904</v>
      </c>
      <c r="M1034" t="s">
        <v>38</v>
      </c>
      <c r="N1034" t="s">
        <v>75</v>
      </c>
      <c r="O1034">
        <v>5</v>
      </c>
      <c r="P1034" t="s">
        <v>54</v>
      </c>
      <c r="Q1034" s="2">
        <v>46408</v>
      </c>
      <c r="R1034" t="s">
        <v>84</v>
      </c>
    </row>
    <row r="1035" spans="1:18" x14ac:dyDescent="0.2">
      <c r="A1035" t="s">
        <v>2128</v>
      </c>
      <c r="B1035" t="s">
        <v>2129</v>
      </c>
      <c r="C1035" t="s">
        <v>96</v>
      </c>
      <c r="D1035" t="s">
        <v>97</v>
      </c>
      <c r="E1035" t="s">
        <v>60</v>
      </c>
      <c r="F1035" t="s">
        <v>45</v>
      </c>
      <c r="G1035" t="s">
        <v>61</v>
      </c>
      <c r="H1035" t="s">
        <v>88</v>
      </c>
      <c r="I1035" t="s">
        <v>39</v>
      </c>
      <c r="J1035" t="s">
        <v>63</v>
      </c>
      <c r="K1035" s="2">
        <v>46115</v>
      </c>
      <c r="L1035" s="2">
        <v>46480</v>
      </c>
      <c r="M1035" t="s">
        <v>69</v>
      </c>
      <c r="N1035" t="s">
        <v>55</v>
      </c>
      <c r="O1035">
        <v>2</v>
      </c>
      <c r="P1035" t="s">
        <v>56</v>
      </c>
      <c r="Q1035" s="2">
        <v>46156</v>
      </c>
      <c r="R1035" t="s">
        <v>38</v>
      </c>
    </row>
    <row r="1036" spans="1:18" x14ac:dyDescent="0.2">
      <c r="A1036" t="s">
        <v>2130</v>
      </c>
      <c r="B1036" t="s">
        <v>2131</v>
      </c>
      <c r="C1036" t="s">
        <v>103</v>
      </c>
      <c r="D1036" t="s">
        <v>104</v>
      </c>
      <c r="E1036" t="s">
        <v>80</v>
      </c>
      <c r="F1036" t="s">
        <v>45</v>
      </c>
      <c r="G1036" t="s">
        <v>61</v>
      </c>
      <c r="H1036" t="s">
        <v>36</v>
      </c>
      <c r="I1036" t="s">
        <v>56</v>
      </c>
      <c r="J1036" t="s">
        <v>63</v>
      </c>
      <c r="K1036" s="2">
        <v>45911</v>
      </c>
      <c r="L1036" s="2">
        <v>46001</v>
      </c>
      <c r="M1036" t="s">
        <v>38</v>
      </c>
      <c r="N1036" t="s">
        <v>75</v>
      </c>
      <c r="O1036">
        <v>0</v>
      </c>
      <c r="P1036" t="s">
        <v>39</v>
      </c>
      <c r="Q1036" s="2">
        <v>46357</v>
      </c>
      <c r="R1036" t="s">
        <v>57</v>
      </c>
    </row>
    <row r="1037" spans="1:18" x14ac:dyDescent="0.2">
      <c r="A1037" t="s">
        <v>2132</v>
      </c>
      <c r="B1037" t="s">
        <v>2133</v>
      </c>
      <c r="C1037" t="s">
        <v>103</v>
      </c>
      <c r="D1037" t="s">
        <v>104</v>
      </c>
      <c r="E1037" t="s">
        <v>60</v>
      </c>
      <c r="F1037" t="s">
        <v>67</v>
      </c>
      <c r="G1037" t="s">
        <v>118</v>
      </c>
      <c r="H1037" t="s">
        <v>88</v>
      </c>
      <c r="I1037" t="s">
        <v>50</v>
      </c>
      <c r="J1037" t="s">
        <v>63</v>
      </c>
      <c r="K1037" s="2">
        <v>45874</v>
      </c>
      <c r="L1037" s="2">
        <v>46054</v>
      </c>
      <c r="M1037" t="s">
        <v>38</v>
      </c>
      <c r="N1037" t="s">
        <v>75</v>
      </c>
      <c r="O1037">
        <v>3</v>
      </c>
      <c r="P1037" t="s">
        <v>54</v>
      </c>
      <c r="Q1037" s="2">
        <v>46275</v>
      </c>
      <c r="R1037" t="s">
        <v>38</v>
      </c>
    </row>
    <row r="1038" spans="1:18" x14ac:dyDescent="0.2">
      <c r="A1038" t="s">
        <v>2134</v>
      </c>
      <c r="B1038" t="s">
        <v>2135</v>
      </c>
      <c r="C1038" t="s">
        <v>103</v>
      </c>
      <c r="D1038" t="s">
        <v>104</v>
      </c>
      <c r="E1038" t="s">
        <v>53</v>
      </c>
      <c r="F1038" t="s">
        <v>34</v>
      </c>
      <c r="G1038" t="s">
        <v>35</v>
      </c>
      <c r="H1038" t="s">
        <v>36</v>
      </c>
      <c r="I1038" t="s">
        <v>54</v>
      </c>
      <c r="J1038" t="s">
        <v>37</v>
      </c>
      <c r="K1038" s="2">
        <v>46007</v>
      </c>
      <c r="L1038" s="2">
        <v>46372</v>
      </c>
      <c r="M1038" t="s">
        <v>64</v>
      </c>
      <c r="N1038" t="s">
        <v>75</v>
      </c>
      <c r="O1038">
        <v>3</v>
      </c>
      <c r="P1038" t="s">
        <v>39</v>
      </c>
      <c r="Q1038" s="2">
        <v>46120</v>
      </c>
      <c r="R1038" t="s">
        <v>64</v>
      </c>
    </row>
    <row r="1039" spans="1:18" x14ac:dyDescent="0.2">
      <c r="A1039" t="s">
        <v>2136</v>
      </c>
      <c r="B1039" t="s">
        <v>2137</v>
      </c>
      <c r="C1039" t="s">
        <v>96</v>
      </c>
      <c r="D1039" t="s">
        <v>97</v>
      </c>
      <c r="E1039" t="s">
        <v>105</v>
      </c>
      <c r="F1039" t="s">
        <v>45</v>
      </c>
      <c r="G1039" t="s">
        <v>61</v>
      </c>
      <c r="H1039" t="s">
        <v>88</v>
      </c>
      <c r="J1039" t="s">
        <v>37</v>
      </c>
      <c r="K1039" s="2">
        <v>45878</v>
      </c>
      <c r="L1039" s="2">
        <v>45968</v>
      </c>
      <c r="M1039" t="s">
        <v>38</v>
      </c>
      <c r="N1039" t="s">
        <v>75</v>
      </c>
      <c r="O1039">
        <v>3</v>
      </c>
      <c r="P1039" t="s">
        <v>70</v>
      </c>
      <c r="Q1039" s="2">
        <v>46399</v>
      </c>
      <c r="R1039" t="s">
        <v>64</v>
      </c>
    </row>
    <row r="1040" spans="1:18" x14ac:dyDescent="0.2">
      <c r="A1040" t="s">
        <v>2138</v>
      </c>
      <c r="B1040" t="s">
        <v>2139</v>
      </c>
      <c r="C1040" t="s">
        <v>31</v>
      </c>
      <c r="D1040" t="s">
        <v>32</v>
      </c>
      <c r="E1040" t="s">
        <v>53</v>
      </c>
      <c r="F1040" t="s">
        <v>67</v>
      </c>
      <c r="G1040" t="s">
        <v>118</v>
      </c>
      <c r="H1040" t="s">
        <v>47</v>
      </c>
      <c r="I1040" t="s">
        <v>111</v>
      </c>
      <c r="J1040" t="s">
        <v>37</v>
      </c>
      <c r="K1040" s="2">
        <v>46130</v>
      </c>
      <c r="L1040" s="2">
        <v>46220</v>
      </c>
      <c r="M1040" t="s">
        <v>38</v>
      </c>
      <c r="N1040" t="s">
        <v>49</v>
      </c>
      <c r="O1040">
        <v>1</v>
      </c>
      <c r="P1040" t="s">
        <v>111</v>
      </c>
      <c r="Q1040" s="2">
        <v>46280</v>
      </c>
      <c r="R1040" t="s">
        <v>38</v>
      </c>
    </row>
    <row r="1041" spans="1:18" x14ac:dyDescent="0.2">
      <c r="A1041" t="s">
        <v>2140</v>
      </c>
      <c r="B1041" t="s">
        <v>2141</v>
      </c>
      <c r="C1041" t="s">
        <v>73</v>
      </c>
      <c r="D1041" t="s">
        <v>74</v>
      </c>
      <c r="E1041" t="s">
        <v>53</v>
      </c>
      <c r="F1041" t="s">
        <v>67</v>
      </c>
      <c r="G1041" t="s">
        <v>68</v>
      </c>
      <c r="H1041" t="s">
        <v>36</v>
      </c>
      <c r="I1041" t="s">
        <v>62</v>
      </c>
      <c r="J1041" t="s">
        <v>48</v>
      </c>
      <c r="K1041" s="2">
        <v>45994</v>
      </c>
      <c r="L1041" s="2">
        <v>46084</v>
      </c>
      <c r="M1041" t="s">
        <v>38</v>
      </c>
      <c r="N1041" t="s">
        <v>49</v>
      </c>
      <c r="O1041">
        <v>3</v>
      </c>
      <c r="P1041" t="s">
        <v>56</v>
      </c>
      <c r="Q1041" s="2">
        <v>46280</v>
      </c>
      <c r="R1041" t="s">
        <v>38</v>
      </c>
    </row>
    <row r="1042" spans="1:18" x14ac:dyDescent="0.2">
      <c r="A1042" t="s">
        <v>2142</v>
      </c>
      <c r="B1042" t="s">
        <v>2143</v>
      </c>
      <c r="C1042" t="s">
        <v>31</v>
      </c>
      <c r="D1042" t="s">
        <v>83</v>
      </c>
      <c r="E1042" t="s">
        <v>60</v>
      </c>
      <c r="F1042" t="s">
        <v>67</v>
      </c>
      <c r="G1042" t="s">
        <v>68</v>
      </c>
      <c r="H1042" t="s">
        <v>47</v>
      </c>
      <c r="I1042" t="s">
        <v>50</v>
      </c>
      <c r="J1042" t="s">
        <v>48</v>
      </c>
      <c r="K1042" s="2">
        <v>46021</v>
      </c>
      <c r="L1042" s="2">
        <v>46111</v>
      </c>
      <c r="M1042" t="s">
        <v>38</v>
      </c>
      <c r="N1042" t="s">
        <v>55</v>
      </c>
      <c r="O1042">
        <v>1</v>
      </c>
      <c r="P1042" t="s">
        <v>70</v>
      </c>
      <c r="Q1042" s="2">
        <v>46192</v>
      </c>
      <c r="R1042" t="s">
        <v>64</v>
      </c>
    </row>
    <row r="1043" spans="1:18" x14ac:dyDescent="0.2">
      <c r="A1043" t="s">
        <v>2144</v>
      </c>
      <c r="B1043" t="s">
        <v>2145</v>
      </c>
      <c r="C1043" t="s">
        <v>78</v>
      </c>
      <c r="D1043" t="s">
        <v>79</v>
      </c>
      <c r="E1043" t="s">
        <v>53</v>
      </c>
      <c r="F1043" t="s">
        <v>67</v>
      </c>
      <c r="G1043" t="s">
        <v>118</v>
      </c>
      <c r="H1043" t="s">
        <v>47</v>
      </c>
      <c r="I1043" t="s">
        <v>106</v>
      </c>
      <c r="J1043" t="s">
        <v>37</v>
      </c>
      <c r="K1043" s="2">
        <v>45891</v>
      </c>
      <c r="L1043" s="2">
        <v>45981</v>
      </c>
      <c r="M1043" t="s">
        <v>38</v>
      </c>
      <c r="N1043" t="s">
        <v>75</v>
      </c>
      <c r="O1043">
        <v>3</v>
      </c>
      <c r="P1043" t="s">
        <v>50</v>
      </c>
      <c r="Q1043" s="2">
        <v>46394</v>
      </c>
      <c r="R1043" t="s">
        <v>64</v>
      </c>
    </row>
    <row r="1044" spans="1:18" x14ac:dyDescent="0.2">
      <c r="A1044" t="s">
        <v>2146</v>
      </c>
      <c r="B1044" t="s">
        <v>2147</v>
      </c>
      <c r="C1044" t="s">
        <v>31</v>
      </c>
      <c r="D1044" t="s">
        <v>87</v>
      </c>
      <c r="E1044" t="s">
        <v>44</v>
      </c>
      <c r="F1044" t="s">
        <v>34</v>
      </c>
      <c r="G1044" t="s">
        <v>35</v>
      </c>
      <c r="H1044" t="s">
        <v>88</v>
      </c>
      <c r="I1044" t="s">
        <v>70</v>
      </c>
      <c r="J1044" t="s">
        <v>63</v>
      </c>
      <c r="K1044" s="2">
        <v>45885</v>
      </c>
      <c r="L1044" s="2">
        <v>46065</v>
      </c>
      <c r="M1044" t="s">
        <v>38</v>
      </c>
      <c r="N1044" t="s">
        <v>55</v>
      </c>
      <c r="O1044">
        <v>1</v>
      </c>
      <c r="P1044" t="s">
        <v>54</v>
      </c>
      <c r="Q1044" s="2">
        <v>46143</v>
      </c>
      <c r="R1044" t="s">
        <v>38</v>
      </c>
    </row>
    <row r="1045" spans="1:18" x14ac:dyDescent="0.2">
      <c r="A1045" t="s">
        <v>2148</v>
      </c>
      <c r="B1045" t="s">
        <v>2149</v>
      </c>
      <c r="C1045" t="s">
        <v>78</v>
      </c>
      <c r="D1045" t="s">
        <v>79</v>
      </c>
      <c r="E1045" t="s">
        <v>105</v>
      </c>
      <c r="F1045" t="s">
        <v>67</v>
      </c>
      <c r="G1045" t="s">
        <v>68</v>
      </c>
      <c r="H1045" t="s">
        <v>47</v>
      </c>
      <c r="I1045" t="s">
        <v>54</v>
      </c>
      <c r="J1045" t="s">
        <v>63</v>
      </c>
      <c r="K1045" s="2">
        <v>46197</v>
      </c>
      <c r="L1045" s="2">
        <v>46287</v>
      </c>
      <c r="M1045" t="s">
        <v>38</v>
      </c>
      <c r="N1045" t="s">
        <v>49</v>
      </c>
      <c r="O1045">
        <v>2</v>
      </c>
      <c r="P1045" t="s">
        <v>56</v>
      </c>
      <c r="Q1045" s="2">
        <v>46280</v>
      </c>
      <c r="R1045" t="s">
        <v>38</v>
      </c>
    </row>
    <row r="1046" spans="1:18" x14ac:dyDescent="0.2">
      <c r="A1046" t="s">
        <v>2150</v>
      </c>
      <c r="B1046" t="s">
        <v>2151</v>
      </c>
      <c r="C1046" t="s">
        <v>96</v>
      </c>
      <c r="D1046" t="s">
        <v>97</v>
      </c>
      <c r="E1046" t="s">
        <v>91</v>
      </c>
      <c r="F1046" t="s">
        <v>67</v>
      </c>
      <c r="G1046" t="s">
        <v>68</v>
      </c>
      <c r="H1046" t="s">
        <v>36</v>
      </c>
      <c r="I1046" t="s">
        <v>62</v>
      </c>
      <c r="J1046" t="s">
        <v>37</v>
      </c>
      <c r="K1046" s="2">
        <v>45994</v>
      </c>
      <c r="L1046" s="2">
        <v>46084</v>
      </c>
      <c r="M1046" t="s">
        <v>38</v>
      </c>
      <c r="N1046" t="s">
        <v>55</v>
      </c>
      <c r="O1046">
        <v>1</v>
      </c>
      <c r="P1046" t="s">
        <v>70</v>
      </c>
      <c r="Q1046" s="2">
        <v>46133</v>
      </c>
      <c r="R1046" t="s">
        <v>64</v>
      </c>
    </row>
    <row r="1047" spans="1:18" x14ac:dyDescent="0.2">
      <c r="A1047" t="s">
        <v>2152</v>
      </c>
      <c r="B1047" t="s">
        <v>2153</v>
      </c>
      <c r="C1047" t="s">
        <v>42</v>
      </c>
      <c r="D1047" t="s">
        <v>43</v>
      </c>
      <c r="E1047" t="s">
        <v>60</v>
      </c>
      <c r="F1047" t="s">
        <v>34</v>
      </c>
      <c r="G1047" t="s">
        <v>35</v>
      </c>
      <c r="H1047" t="s">
        <v>36</v>
      </c>
      <c r="I1047" t="s">
        <v>50</v>
      </c>
      <c r="J1047" t="s">
        <v>63</v>
      </c>
      <c r="K1047" s="2">
        <v>46072</v>
      </c>
      <c r="L1047" s="2">
        <v>46162</v>
      </c>
      <c r="M1047" t="s">
        <v>38</v>
      </c>
      <c r="N1047" t="s">
        <v>55</v>
      </c>
      <c r="O1047">
        <v>4</v>
      </c>
      <c r="P1047" t="s">
        <v>106</v>
      </c>
      <c r="Q1047" s="2">
        <v>46118</v>
      </c>
      <c r="R1047" t="s">
        <v>38</v>
      </c>
    </row>
    <row r="1048" spans="1:18" x14ac:dyDescent="0.2">
      <c r="A1048" t="s">
        <v>2154</v>
      </c>
      <c r="B1048" t="s">
        <v>2155</v>
      </c>
      <c r="C1048" t="s">
        <v>42</v>
      </c>
      <c r="D1048" t="s">
        <v>43</v>
      </c>
      <c r="E1048" t="s">
        <v>44</v>
      </c>
      <c r="F1048" t="s">
        <v>34</v>
      </c>
      <c r="G1048" t="s">
        <v>35</v>
      </c>
      <c r="H1048" t="s">
        <v>36</v>
      </c>
      <c r="I1048" t="s">
        <v>56</v>
      </c>
      <c r="J1048" t="s">
        <v>48</v>
      </c>
      <c r="K1048" s="2">
        <v>46104</v>
      </c>
      <c r="L1048" s="2">
        <v>46194</v>
      </c>
      <c r="M1048" t="s">
        <v>38</v>
      </c>
      <c r="N1048" t="s">
        <v>75</v>
      </c>
      <c r="O1048">
        <v>2</v>
      </c>
      <c r="P1048" t="s">
        <v>111</v>
      </c>
      <c r="Q1048" s="2">
        <v>46316</v>
      </c>
      <c r="R1048" t="s">
        <v>64</v>
      </c>
    </row>
    <row r="1049" spans="1:18" x14ac:dyDescent="0.2">
      <c r="A1049" t="s">
        <v>2156</v>
      </c>
      <c r="B1049" t="s">
        <v>2157</v>
      </c>
      <c r="C1049" t="s">
        <v>42</v>
      </c>
      <c r="D1049" t="s">
        <v>43</v>
      </c>
      <c r="E1049" t="s">
        <v>44</v>
      </c>
      <c r="F1049" t="s">
        <v>34</v>
      </c>
      <c r="G1049" t="s">
        <v>35</v>
      </c>
      <c r="H1049" t="s">
        <v>47</v>
      </c>
      <c r="I1049" t="s">
        <v>39</v>
      </c>
      <c r="J1049" t="s">
        <v>63</v>
      </c>
      <c r="K1049" s="2">
        <v>46077</v>
      </c>
      <c r="L1049" s="2">
        <v>46167</v>
      </c>
      <c r="M1049" t="s">
        <v>38</v>
      </c>
      <c r="N1049" t="s">
        <v>49</v>
      </c>
      <c r="O1049">
        <v>1</v>
      </c>
      <c r="P1049" t="s">
        <v>54</v>
      </c>
      <c r="Q1049" s="2">
        <v>46217</v>
      </c>
      <c r="R1049" t="s">
        <v>38</v>
      </c>
    </row>
    <row r="1050" spans="1:18" x14ac:dyDescent="0.2">
      <c r="A1050" t="s">
        <v>2158</v>
      </c>
      <c r="B1050" t="s">
        <v>2159</v>
      </c>
      <c r="C1050" t="s">
        <v>31</v>
      </c>
      <c r="D1050" t="s">
        <v>87</v>
      </c>
      <c r="E1050" t="s">
        <v>53</v>
      </c>
      <c r="F1050" t="s">
        <v>34</v>
      </c>
      <c r="G1050" t="s">
        <v>35</v>
      </c>
      <c r="H1050" t="s">
        <v>88</v>
      </c>
      <c r="I1050" t="s">
        <v>54</v>
      </c>
      <c r="J1050" t="s">
        <v>48</v>
      </c>
      <c r="K1050" s="2">
        <v>45985</v>
      </c>
      <c r="L1050" s="2">
        <v>46165</v>
      </c>
      <c r="M1050" t="s">
        <v>38</v>
      </c>
      <c r="N1050" t="s">
        <v>55</v>
      </c>
      <c r="O1050">
        <v>0</v>
      </c>
      <c r="P1050" t="s">
        <v>106</v>
      </c>
      <c r="Q1050" s="2">
        <v>46273</v>
      </c>
      <c r="R1050" t="s">
        <v>57</v>
      </c>
    </row>
    <row r="1051" spans="1:18" x14ac:dyDescent="0.2">
      <c r="A1051" t="s">
        <v>2160</v>
      </c>
      <c r="B1051" t="s">
        <v>2161</v>
      </c>
      <c r="C1051" t="s">
        <v>42</v>
      </c>
      <c r="D1051" t="s">
        <v>43</v>
      </c>
      <c r="E1051" t="s">
        <v>91</v>
      </c>
      <c r="F1051" t="s">
        <v>45</v>
      </c>
      <c r="G1051" t="s">
        <v>61</v>
      </c>
      <c r="H1051" t="s">
        <v>88</v>
      </c>
      <c r="I1051" t="s">
        <v>106</v>
      </c>
      <c r="J1051" t="s">
        <v>63</v>
      </c>
      <c r="K1051" s="2">
        <v>46041</v>
      </c>
      <c r="L1051" s="2">
        <v>46221</v>
      </c>
      <c r="M1051" t="s">
        <v>38</v>
      </c>
      <c r="N1051" t="s">
        <v>49</v>
      </c>
      <c r="O1051">
        <v>1</v>
      </c>
      <c r="P1051" t="s">
        <v>54</v>
      </c>
      <c r="Q1051" s="2">
        <v>46366</v>
      </c>
      <c r="R1051" t="s">
        <v>84</v>
      </c>
    </row>
    <row r="1052" spans="1:18" x14ac:dyDescent="0.2">
      <c r="A1052" t="s">
        <v>2162</v>
      </c>
      <c r="B1052" t="s">
        <v>2163</v>
      </c>
      <c r="C1052" t="s">
        <v>96</v>
      </c>
      <c r="D1052" t="s">
        <v>97</v>
      </c>
      <c r="E1052" t="s">
        <v>105</v>
      </c>
      <c r="F1052" t="s">
        <v>45</v>
      </c>
      <c r="G1052" t="s">
        <v>46</v>
      </c>
      <c r="H1052" t="s">
        <v>36</v>
      </c>
      <c r="I1052" t="s">
        <v>39</v>
      </c>
      <c r="J1052" t="s">
        <v>63</v>
      </c>
      <c r="K1052" s="2">
        <v>45837</v>
      </c>
      <c r="L1052" s="2">
        <v>45927</v>
      </c>
      <c r="M1052" t="s">
        <v>38</v>
      </c>
      <c r="N1052" t="s">
        <v>75</v>
      </c>
      <c r="O1052">
        <v>0</v>
      </c>
      <c r="P1052" t="s">
        <v>50</v>
      </c>
      <c r="Q1052" s="2">
        <v>46270</v>
      </c>
      <c r="R1052" t="s">
        <v>57</v>
      </c>
    </row>
    <row r="1053" spans="1:18" x14ac:dyDescent="0.2">
      <c r="A1053" t="s">
        <v>2164</v>
      </c>
      <c r="B1053" t="s">
        <v>2165</v>
      </c>
      <c r="C1053" t="s">
        <v>31</v>
      </c>
      <c r="D1053" t="s">
        <v>87</v>
      </c>
      <c r="E1053" t="s">
        <v>53</v>
      </c>
      <c r="F1053" t="s">
        <v>45</v>
      </c>
      <c r="G1053" t="s">
        <v>46</v>
      </c>
      <c r="H1053" t="s">
        <v>47</v>
      </c>
      <c r="I1053" t="s">
        <v>54</v>
      </c>
      <c r="J1053" t="s">
        <v>37</v>
      </c>
      <c r="K1053" s="2">
        <v>46059</v>
      </c>
      <c r="L1053" s="2">
        <v>46424</v>
      </c>
      <c r="M1053" t="s">
        <v>84</v>
      </c>
      <c r="N1053" t="s">
        <v>75</v>
      </c>
      <c r="O1053">
        <v>3</v>
      </c>
      <c r="P1053" t="s">
        <v>50</v>
      </c>
      <c r="Q1053" s="2">
        <v>46126</v>
      </c>
      <c r="R1053" t="s">
        <v>64</v>
      </c>
    </row>
    <row r="1054" spans="1:18" x14ac:dyDescent="0.2">
      <c r="A1054" t="s">
        <v>2166</v>
      </c>
      <c r="B1054" t="s">
        <v>2167</v>
      </c>
      <c r="C1054" t="s">
        <v>31</v>
      </c>
      <c r="D1054" t="s">
        <v>32</v>
      </c>
      <c r="E1054" t="s">
        <v>44</v>
      </c>
      <c r="F1054" t="s">
        <v>67</v>
      </c>
      <c r="G1054" t="s">
        <v>118</v>
      </c>
      <c r="H1054" t="s">
        <v>47</v>
      </c>
      <c r="I1054" t="s">
        <v>39</v>
      </c>
      <c r="J1054" t="s">
        <v>48</v>
      </c>
      <c r="K1054" s="2">
        <v>45825</v>
      </c>
      <c r="L1054" s="2">
        <v>46005</v>
      </c>
      <c r="M1054" t="s">
        <v>38</v>
      </c>
      <c r="N1054" t="s">
        <v>55</v>
      </c>
      <c r="O1054">
        <v>0</v>
      </c>
      <c r="P1054" t="s">
        <v>111</v>
      </c>
      <c r="Q1054" s="2">
        <v>46172</v>
      </c>
      <c r="R1054" t="s">
        <v>57</v>
      </c>
    </row>
    <row r="1055" spans="1:18" x14ac:dyDescent="0.2">
      <c r="A1055" t="s">
        <v>2168</v>
      </c>
      <c r="B1055" t="s">
        <v>2169</v>
      </c>
      <c r="C1055" t="s">
        <v>96</v>
      </c>
      <c r="D1055" t="s">
        <v>97</v>
      </c>
      <c r="E1055" t="s">
        <v>53</v>
      </c>
      <c r="F1055" t="s">
        <v>34</v>
      </c>
      <c r="G1055" t="s">
        <v>35</v>
      </c>
      <c r="H1055" t="s">
        <v>47</v>
      </c>
      <c r="I1055" t="s">
        <v>111</v>
      </c>
      <c r="J1055" t="s">
        <v>37</v>
      </c>
      <c r="K1055" s="2">
        <v>46243</v>
      </c>
      <c r="L1055" s="2">
        <v>46608</v>
      </c>
      <c r="M1055" t="s">
        <v>84</v>
      </c>
      <c r="N1055" t="s">
        <v>55</v>
      </c>
      <c r="O1055">
        <v>3</v>
      </c>
      <c r="P1055" t="s">
        <v>62</v>
      </c>
      <c r="Q1055" s="2">
        <v>46308</v>
      </c>
      <c r="R1055" t="s">
        <v>64</v>
      </c>
    </row>
    <row r="1056" spans="1:18" x14ac:dyDescent="0.2">
      <c r="A1056" t="s">
        <v>2170</v>
      </c>
      <c r="B1056" t="s">
        <v>2171</v>
      </c>
      <c r="C1056" t="s">
        <v>42</v>
      </c>
      <c r="D1056" t="s">
        <v>43</v>
      </c>
      <c r="E1056" t="s">
        <v>60</v>
      </c>
      <c r="F1056" t="s">
        <v>45</v>
      </c>
      <c r="G1056" t="s">
        <v>46</v>
      </c>
      <c r="H1056" t="s">
        <v>36</v>
      </c>
      <c r="I1056" t="s">
        <v>70</v>
      </c>
      <c r="J1056" t="s">
        <v>63</v>
      </c>
      <c r="K1056" s="2">
        <v>45881</v>
      </c>
      <c r="L1056" s="2">
        <v>46061</v>
      </c>
      <c r="M1056" t="s">
        <v>38</v>
      </c>
      <c r="N1056" t="s">
        <v>49</v>
      </c>
      <c r="O1056">
        <v>2</v>
      </c>
      <c r="P1056" t="s">
        <v>56</v>
      </c>
      <c r="Q1056" s="2">
        <v>46360</v>
      </c>
      <c r="R1056" t="s">
        <v>64</v>
      </c>
    </row>
    <row r="1057" spans="1:18" x14ac:dyDescent="0.2">
      <c r="A1057" t="s">
        <v>2172</v>
      </c>
      <c r="B1057" t="s">
        <v>2173</v>
      </c>
      <c r="C1057" t="s">
        <v>96</v>
      </c>
      <c r="D1057" t="s">
        <v>97</v>
      </c>
      <c r="E1057" t="s">
        <v>91</v>
      </c>
      <c r="F1057" t="s">
        <v>45</v>
      </c>
      <c r="G1057" t="s">
        <v>46</v>
      </c>
      <c r="H1057" t="s">
        <v>88</v>
      </c>
      <c r="I1057" t="s">
        <v>39</v>
      </c>
      <c r="J1057" t="s">
        <v>48</v>
      </c>
      <c r="K1057" s="2">
        <v>45943</v>
      </c>
      <c r="L1057" s="2">
        <v>46033</v>
      </c>
      <c r="M1057" t="s">
        <v>38</v>
      </c>
      <c r="N1057" t="s">
        <v>49</v>
      </c>
      <c r="O1057">
        <v>3</v>
      </c>
      <c r="P1057" t="s">
        <v>39</v>
      </c>
      <c r="Q1057" s="2">
        <v>46401</v>
      </c>
      <c r="R1057" t="s">
        <v>84</v>
      </c>
    </row>
    <row r="1058" spans="1:18" x14ac:dyDescent="0.2">
      <c r="A1058" t="s">
        <v>2174</v>
      </c>
      <c r="B1058" t="s">
        <v>2175</v>
      </c>
      <c r="C1058" t="s">
        <v>73</v>
      </c>
      <c r="D1058" t="s">
        <v>74</v>
      </c>
      <c r="E1058" t="s">
        <v>105</v>
      </c>
      <c r="F1058" t="s">
        <v>67</v>
      </c>
      <c r="G1058" t="s">
        <v>118</v>
      </c>
      <c r="H1058" t="s">
        <v>88</v>
      </c>
      <c r="I1058" t="s">
        <v>111</v>
      </c>
      <c r="J1058" t="s">
        <v>63</v>
      </c>
      <c r="K1058" s="2">
        <v>45855</v>
      </c>
      <c r="L1058" s="2">
        <v>46035</v>
      </c>
      <c r="M1058" t="s">
        <v>38</v>
      </c>
      <c r="N1058" t="s">
        <v>49</v>
      </c>
      <c r="O1058">
        <v>1</v>
      </c>
      <c r="P1058" t="s">
        <v>50</v>
      </c>
      <c r="Q1058" s="2">
        <v>46306</v>
      </c>
      <c r="R1058" t="s">
        <v>84</v>
      </c>
    </row>
    <row r="1059" spans="1:18" x14ac:dyDescent="0.2">
      <c r="A1059" t="s">
        <v>2176</v>
      </c>
      <c r="B1059" t="s">
        <v>2177</v>
      </c>
      <c r="C1059" t="s">
        <v>96</v>
      </c>
      <c r="D1059" t="s">
        <v>97</v>
      </c>
      <c r="E1059" t="s">
        <v>80</v>
      </c>
      <c r="F1059" t="s">
        <v>67</v>
      </c>
      <c r="G1059" t="s">
        <v>118</v>
      </c>
      <c r="H1059" t="s">
        <v>47</v>
      </c>
      <c r="I1059" t="s">
        <v>62</v>
      </c>
      <c r="J1059" t="s">
        <v>63</v>
      </c>
      <c r="K1059" s="2">
        <v>46085</v>
      </c>
      <c r="L1059" s="2">
        <v>46265</v>
      </c>
      <c r="M1059" t="s">
        <v>38</v>
      </c>
      <c r="N1059" t="s">
        <v>75</v>
      </c>
      <c r="O1059">
        <v>2</v>
      </c>
      <c r="P1059" t="s">
        <v>62</v>
      </c>
      <c r="Q1059" s="2">
        <v>46190</v>
      </c>
      <c r="R1059" t="s">
        <v>38</v>
      </c>
    </row>
    <row r="1060" spans="1:18" x14ac:dyDescent="0.2">
      <c r="A1060" t="s">
        <v>2178</v>
      </c>
      <c r="B1060" t="s">
        <v>2179</v>
      </c>
      <c r="C1060" t="s">
        <v>31</v>
      </c>
      <c r="D1060" t="s">
        <v>83</v>
      </c>
      <c r="E1060" t="s">
        <v>105</v>
      </c>
      <c r="F1060" t="s">
        <v>67</v>
      </c>
      <c r="G1060" t="s">
        <v>118</v>
      </c>
      <c r="H1060" t="s">
        <v>88</v>
      </c>
      <c r="I1060" t="s">
        <v>50</v>
      </c>
      <c r="J1060" t="s">
        <v>37</v>
      </c>
      <c r="K1060" s="2">
        <v>46105</v>
      </c>
      <c r="L1060" s="2">
        <v>46285</v>
      </c>
      <c r="M1060" t="s">
        <v>38</v>
      </c>
      <c r="N1060" t="s">
        <v>49</v>
      </c>
      <c r="O1060">
        <v>3</v>
      </c>
      <c r="P1060" t="s">
        <v>50</v>
      </c>
      <c r="Q1060" s="2">
        <v>46345</v>
      </c>
      <c r="R1060" t="s">
        <v>84</v>
      </c>
    </row>
    <row r="1061" spans="1:18" x14ac:dyDescent="0.2">
      <c r="A1061" t="s">
        <v>2180</v>
      </c>
      <c r="B1061" t="s">
        <v>2181</v>
      </c>
      <c r="C1061" t="s">
        <v>78</v>
      </c>
      <c r="D1061" t="s">
        <v>79</v>
      </c>
      <c r="E1061" t="s">
        <v>60</v>
      </c>
      <c r="F1061" t="s">
        <v>34</v>
      </c>
      <c r="G1061" t="s">
        <v>35</v>
      </c>
      <c r="H1061" t="s">
        <v>88</v>
      </c>
      <c r="I1061" t="s">
        <v>50</v>
      </c>
      <c r="J1061" t="s">
        <v>63</v>
      </c>
      <c r="K1061" s="2">
        <v>45840</v>
      </c>
      <c r="L1061" s="2">
        <v>46205</v>
      </c>
      <c r="M1061" t="s">
        <v>38</v>
      </c>
      <c r="N1061" t="s">
        <v>55</v>
      </c>
      <c r="O1061">
        <v>1</v>
      </c>
      <c r="P1061" t="s">
        <v>39</v>
      </c>
      <c r="Q1061" s="2">
        <v>46317</v>
      </c>
      <c r="R1061" t="s">
        <v>64</v>
      </c>
    </row>
    <row r="1062" spans="1:18" x14ac:dyDescent="0.2">
      <c r="A1062" t="s">
        <v>2182</v>
      </c>
      <c r="B1062" t="s">
        <v>2183</v>
      </c>
      <c r="C1062" t="s">
        <v>73</v>
      </c>
      <c r="D1062" t="s">
        <v>74</v>
      </c>
      <c r="E1062" t="s">
        <v>60</v>
      </c>
      <c r="F1062" t="s">
        <v>34</v>
      </c>
      <c r="G1062" t="s">
        <v>35</v>
      </c>
      <c r="H1062" t="s">
        <v>47</v>
      </c>
      <c r="I1062" t="s">
        <v>50</v>
      </c>
      <c r="J1062" t="s">
        <v>37</v>
      </c>
      <c r="K1062" s="2">
        <v>45897</v>
      </c>
      <c r="L1062" s="2">
        <v>45987</v>
      </c>
      <c r="M1062" t="s">
        <v>38</v>
      </c>
      <c r="N1062" t="s">
        <v>49</v>
      </c>
      <c r="O1062">
        <v>2</v>
      </c>
      <c r="P1062" t="s">
        <v>62</v>
      </c>
      <c r="Q1062" s="2">
        <v>46365</v>
      </c>
      <c r="R1062" t="s">
        <v>64</v>
      </c>
    </row>
    <row r="1063" spans="1:18" x14ac:dyDescent="0.2">
      <c r="A1063" t="s">
        <v>2184</v>
      </c>
      <c r="B1063" t="s">
        <v>2185</v>
      </c>
      <c r="C1063" t="s">
        <v>31</v>
      </c>
      <c r="D1063" t="s">
        <v>32</v>
      </c>
      <c r="E1063" t="s">
        <v>91</v>
      </c>
      <c r="F1063" t="s">
        <v>45</v>
      </c>
      <c r="G1063" t="s">
        <v>61</v>
      </c>
      <c r="H1063" t="s">
        <v>88</v>
      </c>
      <c r="I1063" t="s">
        <v>70</v>
      </c>
      <c r="J1063" t="s">
        <v>48</v>
      </c>
      <c r="K1063" s="2">
        <v>46160</v>
      </c>
      <c r="L1063" s="2">
        <v>46525</v>
      </c>
      <c r="M1063" t="s">
        <v>84</v>
      </c>
      <c r="N1063" t="s">
        <v>49</v>
      </c>
      <c r="O1063">
        <v>1</v>
      </c>
      <c r="P1063" t="s">
        <v>70</v>
      </c>
      <c r="Q1063" s="2">
        <v>46115</v>
      </c>
      <c r="R1063" t="s">
        <v>38</v>
      </c>
    </row>
    <row r="1064" spans="1:18" x14ac:dyDescent="0.2">
      <c r="A1064" t="s">
        <v>2186</v>
      </c>
      <c r="B1064" t="s">
        <v>2187</v>
      </c>
      <c r="C1064" t="s">
        <v>103</v>
      </c>
      <c r="D1064" t="s">
        <v>104</v>
      </c>
      <c r="E1064" t="s">
        <v>44</v>
      </c>
      <c r="F1064" t="s">
        <v>34</v>
      </c>
      <c r="G1064" t="s">
        <v>35</v>
      </c>
      <c r="H1064" t="s">
        <v>36</v>
      </c>
      <c r="I1064" t="s">
        <v>56</v>
      </c>
      <c r="J1064" t="s">
        <v>48</v>
      </c>
      <c r="K1064" s="2">
        <v>45853</v>
      </c>
      <c r="L1064" s="2">
        <v>45943</v>
      </c>
      <c r="M1064" t="s">
        <v>38</v>
      </c>
      <c r="N1064" t="s">
        <v>49</v>
      </c>
      <c r="O1064">
        <v>5</v>
      </c>
      <c r="P1064" t="s">
        <v>39</v>
      </c>
      <c r="Q1064" s="2">
        <v>46164</v>
      </c>
      <c r="R1064" t="s">
        <v>38</v>
      </c>
    </row>
    <row r="1065" spans="1:18" x14ac:dyDescent="0.2">
      <c r="A1065" t="s">
        <v>2188</v>
      </c>
      <c r="B1065" t="s">
        <v>2189</v>
      </c>
      <c r="C1065" t="s">
        <v>31</v>
      </c>
      <c r="D1065" t="s">
        <v>87</v>
      </c>
      <c r="E1065" t="s">
        <v>44</v>
      </c>
      <c r="F1065" t="s">
        <v>67</v>
      </c>
      <c r="G1065" t="s">
        <v>170</v>
      </c>
      <c r="H1065" t="s">
        <v>47</v>
      </c>
      <c r="I1065" t="s">
        <v>70</v>
      </c>
      <c r="J1065" t="s">
        <v>63</v>
      </c>
      <c r="K1065" s="2">
        <v>46241</v>
      </c>
      <c r="L1065" s="2">
        <v>46421</v>
      </c>
      <c r="M1065" t="s">
        <v>64</v>
      </c>
      <c r="N1065" t="s">
        <v>55</v>
      </c>
      <c r="O1065">
        <v>3</v>
      </c>
      <c r="P1065" t="s">
        <v>56</v>
      </c>
      <c r="Q1065" s="2">
        <v>46298</v>
      </c>
      <c r="R1065" t="s">
        <v>84</v>
      </c>
    </row>
    <row r="1066" spans="1:18" x14ac:dyDescent="0.2">
      <c r="A1066" t="s">
        <v>2190</v>
      </c>
      <c r="B1066" t="s">
        <v>2191</v>
      </c>
      <c r="C1066" t="s">
        <v>73</v>
      </c>
      <c r="D1066" t="s">
        <v>74</v>
      </c>
      <c r="E1066" t="s">
        <v>53</v>
      </c>
      <c r="F1066" t="s">
        <v>67</v>
      </c>
      <c r="G1066" t="s">
        <v>118</v>
      </c>
      <c r="H1066" t="s">
        <v>47</v>
      </c>
      <c r="I1066" t="s">
        <v>62</v>
      </c>
      <c r="J1066" t="s">
        <v>37</v>
      </c>
      <c r="K1066" s="2">
        <v>45958</v>
      </c>
      <c r="L1066" s="2">
        <v>46323</v>
      </c>
      <c r="M1066" t="s">
        <v>84</v>
      </c>
      <c r="N1066" t="s">
        <v>49</v>
      </c>
      <c r="O1066">
        <v>3</v>
      </c>
      <c r="P1066" t="s">
        <v>111</v>
      </c>
      <c r="Q1066" s="2">
        <v>46131</v>
      </c>
      <c r="R1066" t="s">
        <v>38</v>
      </c>
    </row>
    <row r="1067" spans="1:18" x14ac:dyDescent="0.2">
      <c r="A1067" t="s">
        <v>2192</v>
      </c>
      <c r="B1067" t="s">
        <v>2193</v>
      </c>
      <c r="C1067" t="s">
        <v>31</v>
      </c>
      <c r="D1067" t="s">
        <v>32</v>
      </c>
      <c r="E1067" t="s">
        <v>80</v>
      </c>
      <c r="F1067" t="s">
        <v>67</v>
      </c>
      <c r="G1067" t="s">
        <v>68</v>
      </c>
      <c r="H1067" t="s">
        <v>88</v>
      </c>
      <c r="I1067" t="s">
        <v>106</v>
      </c>
      <c r="J1067" t="s">
        <v>37</v>
      </c>
      <c r="K1067" s="2">
        <v>45925</v>
      </c>
      <c r="L1067" s="2">
        <v>46105</v>
      </c>
      <c r="M1067" t="s">
        <v>38</v>
      </c>
      <c r="N1067" t="s">
        <v>55</v>
      </c>
      <c r="O1067">
        <v>3</v>
      </c>
      <c r="P1067" t="s">
        <v>70</v>
      </c>
      <c r="Q1067" s="2">
        <v>46134</v>
      </c>
      <c r="R1067" t="s">
        <v>38</v>
      </c>
    </row>
    <row r="1068" spans="1:18" x14ac:dyDescent="0.2">
      <c r="A1068" t="s">
        <v>2194</v>
      </c>
      <c r="B1068" t="s">
        <v>2195</v>
      </c>
      <c r="C1068" t="s">
        <v>96</v>
      </c>
      <c r="D1068" t="s">
        <v>97</v>
      </c>
      <c r="E1068" t="s">
        <v>91</v>
      </c>
      <c r="F1068" t="s">
        <v>45</v>
      </c>
      <c r="G1068" t="s">
        <v>46</v>
      </c>
      <c r="H1068" t="s">
        <v>36</v>
      </c>
      <c r="I1068" t="s">
        <v>70</v>
      </c>
      <c r="J1068" t="s">
        <v>37</v>
      </c>
      <c r="K1068" s="2">
        <v>46043</v>
      </c>
      <c r="L1068" s="2">
        <v>46223</v>
      </c>
      <c r="M1068" t="s">
        <v>38</v>
      </c>
      <c r="N1068" t="s">
        <v>49</v>
      </c>
      <c r="O1068">
        <v>2</v>
      </c>
      <c r="P1068" t="s">
        <v>56</v>
      </c>
      <c r="Q1068" s="2">
        <v>46238</v>
      </c>
      <c r="R1068" t="s">
        <v>38</v>
      </c>
    </row>
    <row r="1069" spans="1:18" x14ac:dyDescent="0.2">
      <c r="A1069" t="s">
        <v>2196</v>
      </c>
      <c r="B1069" t="s">
        <v>2197</v>
      </c>
      <c r="C1069" t="s">
        <v>96</v>
      </c>
      <c r="D1069" t="s">
        <v>97</v>
      </c>
      <c r="E1069" t="s">
        <v>44</v>
      </c>
      <c r="F1069" t="s">
        <v>34</v>
      </c>
      <c r="G1069" t="s">
        <v>35</v>
      </c>
      <c r="H1069" t="s">
        <v>88</v>
      </c>
      <c r="I1069" t="s">
        <v>70</v>
      </c>
      <c r="J1069" t="s">
        <v>63</v>
      </c>
      <c r="K1069" s="2">
        <v>46270</v>
      </c>
      <c r="L1069" s="2">
        <v>46635</v>
      </c>
      <c r="M1069" t="s">
        <v>64</v>
      </c>
      <c r="N1069" t="s">
        <v>49</v>
      </c>
      <c r="O1069">
        <v>0</v>
      </c>
      <c r="P1069" t="s">
        <v>50</v>
      </c>
      <c r="Q1069" s="2">
        <v>46374</v>
      </c>
      <c r="R1069" t="s">
        <v>57</v>
      </c>
    </row>
    <row r="1070" spans="1:18" x14ac:dyDescent="0.2">
      <c r="A1070" t="s">
        <v>2198</v>
      </c>
      <c r="B1070" t="s">
        <v>2199</v>
      </c>
      <c r="C1070" t="s">
        <v>42</v>
      </c>
      <c r="D1070" t="s">
        <v>43</v>
      </c>
      <c r="E1070" t="s">
        <v>91</v>
      </c>
      <c r="F1070" t="s">
        <v>67</v>
      </c>
      <c r="G1070" t="s">
        <v>118</v>
      </c>
      <c r="H1070" t="s">
        <v>88</v>
      </c>
      <c r="I1070" t="s">
        <v>39</v>
      </c>
      <c r="J1070" t="s">
        <v>48</v>
      </c>
      <c r="K1070" s="2">
        <v>46146</v>
      </c>
      <c r="L1070" s="2">
        <v>46511</v>
      </c>
      <c r="M1070" t="s">
        <v>64</v>
      </c>
      <c r="N1070" t="s">
        <v>49</v>
      </c>
      <c r="O1070">
        <v>3</v>
      </c>
      <c r="P1070" t="s">
        <v>39</v>
      </c>
      <c r="Q1070" s="2">
        <v>46204</v>
      </c>
      <c r="R1070" t="s">
        <v>38</v>
      </c>
    </row>
    <row r="1071" spans="1:18" x14ac:dyDescent="0.2">
      <c r="A1071" t="s">
        <v>2200</v>
      </c>
      <c r="B1071" t="s">
        <v>2201</v>
      </c>
      <c r="C1071" t="s">
        <v>78</v>
      </c>
      <c r="D1071" t="s">
        <v>79</v>
      </c>
      <c r="E1071" t="s">
        <v>80</v>
      </c>
      <c r="F1071" t="s">
        <v>67</v>
      </c>
      <c r="G1071" t="s">
        <v>118</v>
      </c>
      <c r="H1071" t="s">
        <v>47</v>
      </c>
      <c r="I1071" t="s">
        <v>50</v>
      </c>
      <c r="J1071" t="s">
        <v>63</v>
      </c>
      <c r="K1071" s="2">
        <v>45847</v>
      </c>
      <c r="L1071" s="2">
        <v>45937</v>
      </c>
      <c r="M1071" t="s">
        <v>38</v>
      </c>
      <c r="N1071" t="s">
        <v>55</v>
      </c>
      <c r="O1071">
        <v>3</v>
      </c>
      <c r="P1071" t="s">
        <v>50</v>
      </c>
      <c r="Q1071" s="2">
        <v>46363</v>
      </c>
      <c r="R1071" t="s">
        <v>64</v>
      </c>
    </row>
    <row r="1072" spans="1:18" x14ac:dyDescent="0.2">
      <c r="A1072" t="s">
        <v>2202</v>
      </c>
      <c r="B1072" t="s">
        <v>2203</v>
      </c>
      <c r="C1072" t="s">
        <v>31</v>
      </c>
      <c r="D1072" t="s">
        <v>32</v>
      </c>
      <c r="E1072" t="s">
        <v>53</v>
      </c>
      <c r="F1072" t="s">
        <v>67</v>
      </c>
      <c r="G1072" t="s">
        <v>68</v>
      </c>
      <c r="H1072" t="s">
        <v>47</v>
      </c>
      <c r="I1072" t="s">
        <v>106</v>
      </c>
      <c r="J1072" t="s">
        <v>48</v>
      </c>
      <c r="K1072" s="2">
        <v>45832</v>
      </c>
      <c r="L1072" s="2">
        <v>46197</v>
      </c>
      <c r="M1072" t="s">
        <v>38</v>
      </c>
      <c r="N1072" t="s">
        <v>49</v>
      </c>
      <c r="O1072">
        <v>3</v>
      </c>
      <c r="P1072" t="s">
        <v>50</v>
      </c>
      <c r="Q1072" s="2">
        <v>46232</v>
      </c>
      <c r="R1072" t="s">
        <v>38</v>
      </c>
    </row>
    <row r="1073" spans="1:18" x14ac:dyDescent="0.2">
      <c r="A1073" t="s">
        <v>2204</v>
      </c>
      <c r="B1073" t="s">
        <v>2205</v>
      </c>
      <c r="C1073" t="s">
        <v>96</v>
      </c>
      <c r="D1073" t="s">
        <v>97</v>
      </c>
      <c r="E1073" t="s">
        <v>80</v>
      </c>
      <c r="F1073" t="s">
        <v>45</v>
      </c>
      <c r="G1073" t="s">
        <v>46</v>
      </c>
      <c r="H1073" t="s">
        <v>88</v>
      </c>
      <c r="I1073" t="s">
        <v>62</v>
      </c>
      <c r="J1073" t="s">
        <v>37</v>
      </c>
      <c r="K1073" s="2">
        <v>46265</v>
      </c>
      <c r="L1073" s="2">
        <v>46630</v>
      </c>
      <c r="M1073" t="s">
        <v>64</v>
      </c>
      <c r="N1073" t="s">
        <v>49</v>
      </c>
      <c r="O1073">
        <v>2</v>
      </c>
      <c r="P1073" t="s">
        <v>62</v>
      </c>
      <c r="Q1073" s="2">
        <v>46393</v>
      </c>
      <c r="R1073" t="s">
        <v>64</v>
      </c>
    </row>
    <row r="1074" spans="1:18" x14ac:dyDescent="0.2">
      <c r="A1074" t="s">
        <v>2206</v>
      </c>
      <c r="B1074" t="s">
        <v>2207</v>
      </c>
      <c r="C1074" t="s">
        <v>103</v>
      </c>
      <c r="D1074" t="s">
        <v>104</v>
      </c>
      <c r="E1074" t="s">
        <v>105</v>
      </c>
      <c r="F1074" t="s">
        <v>34</v>
      </c>
      <c r="G1074" t="s">
        <v>35</v>
      </c>
      <c r="H1074" t="s">
        <v>47</v>
      </c>
      <c r="I1074" t="s">
        <v>56</v>
      </c>
      <c r="J1074" t="s">
        <v>48</v>
      </c>
      <c r="K1074" s="2">
        <v>45826</v>
      </c>
      <c r="L1074" s="2">
        <v>46191</v>
      </c>
      <c r="M1074" t="s">
        <v>38</v>
      </c>
      <c r="N1074" t="s">
        <v>75</v>
      </c>
      <c r="O1074">
        <v>3</v>
      </c>
      <c r="P1074" t="s">
        <v>39</v>
      </c>
      <c r="Q1074" s="2">
        <v>46320</v>
      </c>
      <c r="R1074" t="s">
        <v>84</v>
      </c>
    </row>
    <row r="1075" spans="1:18" x14ac:dyDescent="0.2">
      <c r="A1075" t="s">
        <v>2208</v>
      </c>
      <c r="B1075" t="s">
        <v>2209</v>
      </c>
      <c r="C1075" t="s">
        <v>31</v>
      </c>
      <c r="D1075" t="s">
        <v>83</v>
      </c>
      <c r="E1075" t="s">
        <v>60</v>
      </c>
      <c r="F1075" t="s">
        <v>45</v>
      </c>
      <c r="G1075" t="s">
        <v>46</v>
      </c>
      <c r="H1075" t="s">
        <v>47</v>
      </c>
      <c r="I1075" t="s">
        <v>54</v>
      </c>
      <c r="J1075" t="s">
        <v>37</v>
      </c>
      <c r="K1075" s="2">
        <v>46047</v>
      </c>
      <c r="L1075" s="2">
        <v>46412</v>
      </c>
      <c r="M1075" t="s">
        <v>69</v>
      </c>
      <c r="N1075" t="s">
        <v>49</v>
      </c>
      <c r="O1075">
        <v>2</v>
      </c>
      <c r="P1075" t="s">
        <v>70</v>
      </c>
      <c r="Q1075" s="2">
        <v>46359</v>
      </c>
      <c r="R1075" t="s">
        <v>64</v>
      </c>
    </row>
    <row r="1076" spans="1:18" x14ac:dyDescent="0.2">
      <c r="A1076" t="s">
        <v>2210</v>
      </c>
      <c r="B1076" t="s">
        <v>2211</v>
      </c>
      <c r="C1076" t="s">
        <v>31</v>
      </c>
      <c r="D1076" t="s">
        <v>87</v>
      </c>
      <c r="E1076" t="s">
        <v>44</v>
      </c>
      <c r="F1076" t="s">
        <v>34</v>
      </c>
      <c r="G1076" t="s">
        <v>35</v>
      </c>
      <c r="H1076" t="s">
        <v>47</v>
      </c>
      <c r="I1076" t="s">
        <v>56</v>
      </c>
      <c r="J1076" t="s">
        <v>63</v>
      </c>
      <c r="K1076" s="2">
        <v>46207</v>
      </c>
      <c r="L1076" s="2">
        <v>46572</v>
      </c>
      <c r="M1076" t="s">
        <v>84</v>
      </c>
      <c r="N1076" t="s">
        <v>75</v>
      </c>
      <c r="O1076">
        <v>0</v>
      </c>
      <c r="P1076" t="s">
        <v>56</v>
      </c>
      <c r="Q1076" s="2">
        <v>46376</v>
      </c>
      <c r="R1076" t="s">
        <v>57</v>
      </c>
    </row>
    <row r="1077" spans="1:18" x14ac:dyDescent="0.2">
      <c r="A1077" t="s">
        <v>2212</v>
      </c>
      <c r="B1077" t="s">
        <v>2213</v>
      </c>
      <c r="C1077" t="s">
        <v>96</v>
      </c>
      <c r="D1077" t="s">
        <v>97</v>
      </c>
      <c r="E1077" t="s">
        <v>53</v>
      </c>
      <c r="F1077" t="s">
        <v>34</v>
      </c>
      <c r="G1077" t="s">
        <v>35</v>
      </c>
      <c r="H1077" t="s">
        <v>36</v>
      </c>
      <c r="I1077" t="s">
        <v>50</v>
      </c>
      <c r="J1077" t="s">
        <v>48</v>
      </c>
      <c r="K1077" s="2">
        <v>46112</v>
      </c>
      <c r="L1077" s="2">
        <v>46202</v>
      </c>
      <c r="M1077" t="s">
        <v>38</v>
      </c>
      <c r="N1077" t="s">
        <v>75</v>
      </c>
      <c r="O1077">
        <v>1</v>
      </c>
      <c r="P1077" t="s">
        <v>70</v>
      </c>
      <c r="Q1077" s="2">
        <v>46211</v>
      </c>
      <c r="R1077" t="s">
        <v>38</v>
      </c>
    </row>
    <row r="1078" spans="1:18" x14ac:dyDescent="0.2">
      <c r="A1078" t="s">
        <v>2214</v>
      </c>
      <c r="B1078" t="s">
        <v>2215</v>
      </c>
      <c r="C1078" t="s">
        <v>31</v>
      </c>
      <c r="D1078" t="s">
        <v>32</v>
      </c>
      <c r="E1078" t="s">
        <v>60</v>
      </c>
      <c r="F1078" t="s">
        <v>45</v>
      </c>
      <c r="G1078" t="s">
        <v>61</v>
      </c>
      <c r="H1078" t="s">
        <v>88</v>
      </c>
      <c r="I1078" t="s">
        <v>70</v>
      </c>
      <c r="J1078" t="s">
        <v>48</v>
      </c>
      <c r="K1078" s="2">
        <v>46201</v>
      </c>
      <c r="L1078" s="2">
        <v>46566</v>
      </c>
      <c r="M1078" t="s">
        <v>64</v>
      </c>
      <c r="N1078" t="s">
        <v>49</v>
      </c>
      <c r="O1078">
        <v>1</v>
      </c>
      <c r="P1078" t="s">
        <v>54</v>
      </c>
      <c r="Q1078" s="2">
        <v>46149</v>
      </c>
      <c r="R1078" t="s">
        <v>38</v>
      </c>
    </row>
    <row r="1079" spans="1:18" x14ac:dyDescent="0.2">
      <c r="A1079" t="s">
        <v>2216</v>
      </c>
      <c r="B1079" t="s">
        <v>2217</v>
      </c>
      <c r="C1079" t="s">
        <v>31</v>
      </c>
      <c r="D1079" t="s">
        <v>87</v>
      </c>
      <c r="E1079" t="s">
        <v>91</v>
      </c>
      <c r="F1079" t="s">
        <v>34</v>
      </c>
      <c r="G1079" t="s">
        <v>35</v>
      </c>
      <c r="H1079" t="s">
        <v>88</v>
      </c>
      <c r="I1079" t="s">
        <v>54</v>
      </c>
      <c r="J1079" t="s">
        <v>37</v>
      </c>
      <c r="K1079" s="2">
        <v>45852</v>
      </c>
      <c r="L1079" s="2">
        <v>46032</v>
      </c>
      <c r="M1079" t="s">
        <v>38</v>
      </c>
      <c r="N1079" t="s">
        <v>75</v>
      </c>
      <c r="O1079">
        <v>0</v>
      </c>
      <c r="P1079" t="s">
        <v>62</v>
      </c>
      <c r="Q1079" s="2">
        <v>46336</v>
      </c>
      <c r="R1079" t="s">
        <v>57</v>
      </c>
    </row>
    <row r="1080" spans="1:18" x14ac:dyDescent="0.2">
      <c r="A1080" t="s">
        <v>2218</v>
      </c>
      <c r="B1080" t="s">
        <v>2219</v>
      </c>
      <c r="C1080" t="s">
        <v>78</v>
      </c>
      <c r="D1080" t="s">
        <v>79</v>
      </c>
      <c r="E1080" t="s">
        <v>91</v>
      </c>
      <c r="F1080" t="s">
        <v>45</v>
      </c>
      <c r="G1080" t="s">
        <v>46</v>
      </c>
      <c r="H1080" t="s">
        <v>36</v>
      </c>
      <c r="I1080" t="s">
        <v>106</v>
      </c>
      <c r="J1080" t="s">
        <v>63</v>
      </c>
      <c r="K1080" s="2">
        <v>46075</v>
      </c>
      <c r="L1080" s="2">
        <v>46255</v>
      </c>
      <c r="M1080" t="s">
        <v>38</v>
      </c>
      <c r="N1080" t="s">
        <v>49</v>
      </c>
      <c r="O1080">
        <v>1</v>
      </c>
      <c r="P1080" t="s">
        <v>50</v>
      </c>
      <c r="Q1080" s="2">
        <v>46180</v>
      </c>
      <c r="R1080" t="s">
        <v>38</v>
      </c>
    </row>
    <row r="1081" spans="1:18" x14ac:dyDescent="0.2">
      <c r="A1081" t="s">
        <v>2220</v>
      </c>
      <c r="B1081" t="s">
        <v>2221</v>
      </c>
      <c r="C1081" t="s">
        <v>31</v>
      </c>
      <c r="D1081" t="s">
        <v>32</v>
      </c>
      <c r="E1081" t="s">
        <v>80</v>
      </c>
      <c r="F1081" t="s">
        <v>45</v>
      </c>
      <c r="G1081" t="s">
        <v>61</v>
      </c>
      <c r="H1081" t="s">
        <v>36</v>
      </c>
      <c r="I1081" t="s">
        <v>62</v>
      </c>
      <c r="J1081" t="s">
        <v>48</v>
      </c>
      <c r="K1081" s="2">
        <v>45968</v>
      </c>
      <c r="L1081" s="2">
        <v>46058</v>
      </c>
      <c r="M1081" t="s">
        <v>38</v>
      </c>
      <c r="N1081" t="s">
        <v>75</v>
      </c>
      <c r="O1081">
        <v>0</v>
      </c>
      <c r="P1081" t="s">
        <v>39</v>
      </c>
      <c r="Q1081" s="2">
        <v>46402</v>
      </c>
      <c r="R1081" t="s">
        <v>57</v>
      </c>
    </row>
    <row r="1082" spans="1:18" x14ac:dyDescent="0.2">
      <c r="A1082" t="s">
        <v>2222</v>
      </c>
      <c r="B1082" t="s">
        <v>2223</v>
      </c>
      <c r="C1082" t="s">
        <v>31</v>
      </c>
      <c r="D1082" t="s">
        <v>83</v>
      </c>
      <c r="E1082" t="s">
        <v>80</v>
      </c>
      <c r="F1082" t="s">
        <v>67</v>
      </c>
      <c r="G1082" t="s">
        <v>118</v>
      </c>
      <c r="H1082" t="s">
        <v>47</v>
      </c>
      <c r="I1082" t="s">
        <v>106</v>
      </c>
      <c r="J1082" t="s">
        <v>37</v>
      </c>
      <c r="K1082" s="2">
        <v>46120</v>
      </c>
      <c r="L1082" s="2">
        <v>46485</v>
      </c>
      <c r="M1082" t="s">
        <v>69</v>
      </c>
      <c r="N1082" t="s">
        <v>75</v>
      </c>
      <c r="O1082">
        <v>3</v>
      </c>
      <c r="P1082" t="s">
        <v>70</v>
      </c>
      <c r="Q1082" s="2">
        <v>46312</v>
      </c>
      <c r="R1082" t="s">
        <v>84</v>
      </c>
    </row>
    <row r="1083" spans="1:18" x14ac:dyDescent="0.2">
      <c r="A1083" t="s">
        <v>2224</v>
      </c>
      <c r="B1083" t="s">
        <v>2225</v>
      </c>
      <c r="C1083" t="s">
        <v>73</v>
      </c>
      <c r="D1083" t="s">
        <v>74</v>
      </c>
      <c r="E1083" t="s">
        <v>53</v>
      </c>
      <c r="F1083" t="s">
        <v>34</v>
      </c>
      <c r="G1083" t="s">
        <v>35</v>
      </c>
      <c r="H1083" t="s">
        <v>88</v>
      </c>
      <c r="I1083" t="s">
        <v>70</v>
      </c>
      <c r="J1083" t="s">
        <v>63</v>
      </c>
      <c r="K1083" s="2">
        <v>46147</v>
      </c>
      <c r="L1083" s="2">
        <v>46512</v>
      </c>
      <c r="M1083" t="s">
        <v>64</v>
      </c>
      <c r="N1083" t="s">
        <v>75</v>
      </c>
      <c r="O1083">
        <v>2</v>
      </c>
      <c r="P1083" t="s">
        <v>54</v>
      </c>
      <c r="Q1083" s="2">
        <v>46377</v>
      </c>
      <c r="R1083" t="s">
        <v>64</v>
      </c>
    </row>
    <row r="1084" spans="1:18" x14ac:dyDescent="0.2">
      <c r="A1084" t="s">
        <v>2226</v>
      </c>
      <c r="B1084" t="s">
        <v>2227</v>
      </c>
      <c r="C1084" t="s">
        <v>42</v>
      </c>
      <c r="D1084" t="s">
        <v>43</v>
      </c>
      <c r="E1084" t="s">
        <v>44</v>
      </c>
      <c r="F1084" t="s">
        <v>67</v>
      </c>
      <c r="G1084" t="s">
        <v>118</v>
      </c>
      <c r="H1084" t="s">
        <v>36</v>
      </c>
      <c r="I1084" t="s">
        <v>62</v>
      </c>
      <c r="J1084" t="s">
        <v>63</v>
      </c>
      <c r="K1084" s="2">
        <v>46133</v>
      </c>
      <c r="L1084" s="2">
        <v>46313</v>
      </c>
      <c r="M1084" t="s">
        <v>84</v>
      </c>
      <c r="O1084">
        <v>4</v>
      </c>
      <c r="P1084" t="s">
        <v>106</v>
      </c>
      <c r="Q1084" s="2">
        <v>46186</v>
      </c>
      <c r="R1084" t="s">
        <v>38</v>
      </c>
    </row>
    <row r="1085" spans="1:18" x14ac:dyDescent="0.2">
      <c r="A1085" t="s">
        <v>2228</v>
      </c>
      <c r="B1085" t="s">
        <v>2229</v>
      </c>
      <c r="C1085" t="s">
        <v>73</v>
      </c>
      <c r="D1085" t="s">
        <v>74</v>
      </c>
      <c r="E1085" t="s">
        <v>44</v>
      </c>
      <c r="F1085" t="s">
        <v>34</v>
      </c>
      <c r="G1085" t="s">
        <v>35</v>
      </c>
      <c r="H1085" t="s">
        <v>36</v>
      </c>
      <c r="I1085" t="s">
        <v>50</v>
      </c>
      <c r="J1085" t="s">
        <v>63</v>
      </c>
      <c r="K1085" s="2">
        <v>46215</v>
      </c>
      <c r="L1085" s="2">
        <v>46580</v>
      </c>
      <c r="M1085" t="s">
        <v>69</v>
      </c>
      <c r="N1085" t="s">
        <v>49</v>
      </c>
      <c r="O1085">
        <v>1</v>
      </c>
      <c r="P1085" t="s">
        <v>111</v>
      </c>
      <c r="Q1085" s="2">
        <v>46220</v>
      </c>
      <c r="R1085" t="s">
        <v>38</v>
      </c>
    </row>
    <row r="1086" spans="1:18" x14ac:dyDescent="0.2">
      <c r="A1086" t="s">
        <v>2230</v>
      </c>
      <c r="B1086" t="s">
        <v>2231</v>
      </c>
      <c r="C1086" t="s">
        <v>42</v>
      </c>
      <c r="D1086" t="s">
        <v>43</v>
      </c>
      <c r="E1086" t="s">
        <v>80</v>
      </c>
      <c r="F1086" t="s">
        <v>67</v>
      </c>
      <c r="G1086" t="s">
        <v>68</v>
      </c>
      <c r="H1086" t="s">
        <v>88</v>
      </c>
      <c r="J1086" t="s">
        <v>37</v>
      </c>
      <c r="K1086" s="2">
        <v>46137</v>
      </c>
      <c r="L1086" s="2">
        <v>46502</v>
      </c>
      <c r="M1086" t="s">
        <v>64</v>
      </c>
      <c r="N1086" t="s">
        <v>75</v>
      </c>
      <c r="O1086">
        <v>1</v>
      </c>
      <c r="P1086" t="s">
        <v>62</v>
      </c>
      <c r="Q1086" s="2">
        <v>46245</v>
      </c>
      <c r="R1086" t="s">
        <v>38</v>
      </c>
    </row>
    <row r="1087" spans="1:18" x14ac:dyDescent="0.2">
      <c r="A1087" t="s">
        <v>2232</v>
      </c>
      <c r="B1087" t="s">
        <v>2233</v>
      </c>
      <c r="C1087" t="s">
        <v>78</v>
      </c>
      <c r="D1087" t="s">
        <v>79</v>
      </c>
      <c r="E1087" t="s">
        <v>44</v>
      </c>
      <c r="F1087" t="s">
        <v>45</v>
      </c>
      <c r="G1087" t="s">
        <v>46</v>
      </c>
      <c r="H1087" t="s">
        <v>36</v>
      </c>
      <c r="I1087" t="s">
        <v>56</v>
      </c>
      <c r="J1087" t="s">
        <v>37</v>
      </c>
      <c r="K1087" s="2">
        <v>45800</v>
      </c>
      <c r="L1087" s="2">
        <v>45980</v>
      </c>
      <c r="M1087" t="s">
        <v>38</v>
      </c>
      <c r="N1087" t="s">
        <v>75</v>
      </c>
      <c r="O1087">
        <v>4</v>
      </c>
      <c r="P1087" t="s">
        <v>39</v>
      </c>
      <c r="Q1087" s="2">
        <v>46413</v>
      </c>
      <c r="R1087" t="s">
        <v>84</v>
      </c>
    </row>
    <row r="1088" spans="1:18" x14ac:dyDescent="0.2">
      <c r="A1088" t="s">
        <v>2234</v>
      </c>
      <c r="B1088" t="s">
        <v>2235</v>
      </c>
      <c r="C1088" t="s">
        <v>31</v>
      </c>
      <c r="D1088" t="s">
        <v>87</v>
      </c>
      <c r="E1088" t="s">
        <v>60</v>
      </c>
      <c r="F1088" t="s">
        <v>67</v>
      </c>
      <c r="G1088" t="s">
        <v>118</v>
      </c>
      <c r="H1088" t="s">
        <v>47</v>
      </c>
      <c r="I1088" t="s">
        <v>62</v>
      </c>
      <c r="J1088" t="s">
        <v>48</v>
      </c>
      <c r="K1088" s="2">
        <v>46077</v>
      </c>
      <c r="L1088" s="2">
        <v>46257</v>
      </c>
      <c r="M1088" t="s">
        <v>38</v>
      </c>
      <c r="N1088" t="s">
        <v>55</v>
      </c>
      <c r="O1088">
        <v>1</v>
      </c>
      <c r="P1088" t="s">
        <v>56</v>
      </c>
      <c r="Q1088" s="2">
        <v>46207</v>
      </c>
      <c r="R1088" t="s">
        <v>64</v>
      </c>
    </row>
    <row r="1089" spans="1:18" x14ac:dyDescent="0.2">
      <c r="A1089" t="s">
        <v>2236</v>
      </c>
      <c r="B1089" t="s">
        <v>2237</v>
      </c>
      <c r="C1089" t="s">
        <v>73</v>
      </c>
      <c r="D1089" t="s">
        <v>74</v>
      </c>
      <c r="E1089" t="s">
        <v>44</v>
      </c>
      <c r="F1089" t="s">
        <v>45</v>
      </c>
      <c r="G1089" t="s">
        <v>61</v>
      </c>
      <c r="H1089" t="s">
        <v>36</v>
      </c>
      <c r="I1089" t="s">
        <v>62</v>
      </c>
      <c r="J1089" t="s">
        <v>63</v>
      </c>
      <c r="K1089" s="2">
        <v>46171</v>
      </c>
      <c r="L1089" s="2">
        <v>46261</v>
      </c>
      <c r="M1089" t="s">
        <v>38</v>
      </c>
      <c r="N1089" t="s">
        <v>49</v>
      </c>
      <c r="O1089">
        <v>4</v>
      </c>
      <c r="P1089" t="s">
        <v>56</v>
      </c>
      <c r="Q1089" s="2">
        <v>46145</v>
      </c>
      <c r="R1089" t="s">
        <v>64</v>
      </c>
    </row>
    <row r="1090" spans="1:18" x14ac:dyDescent="0.2">
      <c r="A1090" t="s">
        <v>2238</v>
      </c>
      <c r="B1090" t="s">
        <v>2239</v>
      </c>
      <c r="C1090" t="s">
        <v>73</v>
      </c>
      <c r="D1090" t="s">
        <v>74</v>
      </c>
      <c r="E1090" t="s">
        <v>44</v>
      </c>
      <c r="F1090" t="s">
        <v>67</v>
      </c>
      <c r="G1090" t="s">
        <v>118</v>
      </c>
      <c r="H1090" t="s">
        <v>47</v>
      </c>
      <c r="I1090" t="s">
        <v>56</v>
      </c>
      <c r="J1090" t="s">
        <v>48</v>
      </c>
      <c r="K1090" s="2">
        <v>45800</v>
      </c>
      <c r="L1090" s="2">
        <v>46165</v>
      </c>
      <c r="M1090" t="s">
        <v>38</v>
      </c>
      <c r="N1090" t="s">
        <v>75</v>
      </c>
      <c r="O1090">
        <v>1</v>
      </c>
      <c r="P1090" t="s">
        <v>50</v>
      </c>
      <c r="Q1090" s="2">
        <v>46192</v>
      </c>
      <c r="R1090" t="s">
        <v>64</v>
      </c>
    </row>
    <row r="1091" spans="1:18" x14ac:dyDescent="0.2">
      <c r="A1091" t="s">
        <v>2240</v>
      </c>
      <c r="B1091" t="s">
        <v>2241</v>
      </c>
      <c r="C1091" t="s">
        <v>103</v>
      </c>
      <c r="D1091" t="s">
        <v>104</v>
      </c>
      <c r="E1091" t="s">
        <v>60</v>
      </c>
      <c r="F1091" t="s">
        <v>67</v>
      </c>
      <c r="G1091" t="s">
        <v>68</v>
      </c>
      <c r="H1091" t="s">
        <v>88</v>
      </c>
      <c r="I1091" t="s">
        <v>50</v>
      </c>
      <c r="J1091" t="s">
        <v>37</v>
      </c>
      <c r="K1091" s="2">
        <v>46229</v>
      </c>
      <c r="L1091" s="2">
        <v>46594</v>
      </c>
      <c r="M1091" t="s">
        <v>69</v>
      </c>
      <c r="N1091" t="s">
        <v>75</v>
      </c>
      <c r="O1091">
        <v>0</v>
      </c>
      <c r="P1091" t="s">
        <v>54</v>
      </c>
      <c r="Q1091" s="2">
        <v>46163</v>
      </c>
      <c r="R1091" t="s">
        <v>57</v>
      </c>
    </row>
    <row r="1092" spans="1:18" x14ac:dyDescent="0.2">
      <c r="A1092" t="s">
        <v>2242</v>
      </c>
      <c r="B1092" t="s">
        <v>2243</v>
      </c>
      <c r="C1092" t="s">
        <v>103</v>
      </c>
      <c r="D1092" t="s">
        <v>104</v>
      </c>
      <c r="E1092" t="s">
        <v>60</v>
      </c>
      <c r="F1092" t="s">
        <v>45</v>
      </c>
      <c r="G1092" t="s">
        <v>61</v>
      </c>
      <c r="H1092" t="s">
        <v>47</v>
      </c>
      <c r="I1092" t="s">
        <v>50</v>
      </c>
      <c r="J1092" t="s">
        <v>37</v>
      </c>
      <c r="K1092" s="2">
        <v>45806</v>
      </c>
      <c r="L1092" s="2">
        <v>45896</v>
      </c>
      <c r="M1092" t="s">
        <v>38</v>
      </c>
      <c r="N1092" t="s">
        <v>75</v>
      </c>
      <c r="O1092">
        <v>0</v>
      </c>
      <c r="P1092" t="s">
        <v>62</v>
      </c>
      <c r="Q1092" s="2">
        <v>46116</v>
      </c>
      <c r="R1092" t="s">
        <v>57</v>
      </c>
    </row>
    <row r="1093" spans="1:18" x14ac:dyDescent="0.2">
      <c r="A1093" t="s">
        <v>2244</v>
      </c>
      <c r="B1093" t="s">
        <v>2245</v>
      </c>
      <c r="C1093" t="s">
        <v>78</v>
      </c>
      <c r="D1093" t="s">
        <v>79</v>
      </c>
      <c r="E1093" t="s">
        <v>80</v>
      </c>
      <c r="F1093" t="s">
        <v>34</v>
      </c>
      <c r="G1093" t="s">
        <v>35</v>
      </c>
      <c r="H1093" t="s">
        <v>47</v>
      </c>
      <c r="I1093" t="s">
        <v>70</v>
      </c>
      <c r="J1093" t="s">
        <v>63</v>
      </c>
      <c r="K1093" s="2">
        <v>45842</v>
      </c>
      <c r="L1093" s="2">
        <v>45932</v>
      </c>
      <c r="M1093" t="s">
        <v>38</v>
      </c>
      <c r="N1093" t="s">
        <v>75</v>
      </c>
      <c r="O1093">
        <v>3</v>
      </c>
      <c r="P1093" t="s">
        <v>62</v>
      </c>
      <c r="Q1093" s="2">
        <v>46341</v>
      </c>
      <c r="R1093" t="s">
        <v>64</v>
      </c>
    </row>
    <row r="1094" spans="1:18" x14ac:dyDescent="0.2">
      <c r="A1094" t="s">
        <v>2246</v>
      </c>
      <c r="B1094" t="s">
        <v>2247</v>
      </c>
      <c r="C1094" t="s">
        <v>96</v>
      </c>
      <c r="D1094" t="s">
        <v>97</v>
      </c>
      <c r="E1094" t="s">
        <v>44</v>
      </c>
      <c r="F1094" t="s">
        <v>45</v>
      </c>
      <c r="G1094" t="s">
        <v>61</v>
      </c>
      <c r="H1094" t="s">
        <v>36</v>
      </c>
      <c r="I1094" t="s">
        <v>111</v>
      </c>
      <c r="J1094" t="s">
        <v>48</v>
      </c>
      <c r="K1094" s="2">
        <v>46052</v>
      </c>
      <c r="L1094" s="2">
        <v>46417</v>
      </c>
      <c r="M1094" t="s">
        <v>64</v>
      </c>
      <c r="N1094" t="s">
        <v>55</v>
      </c>
      <c r="O1094">
        <v>3</v>
      </c>
      <c r="P1094" t="s">
        <v>106</v>
      </c>
      <c r="Q1094" s="2">
        <v>46374</v>
      </c>
      <c r="R1094" t="s">
        <v>84</v>
      </c>
    </row>
    <row r="1095" spans="1:18" x14ac:dyDescent="0.2">
      <c r="A1095" t="s">
        <v>2248</v>
      </c>
      <c r="B1095" t="s">
        <v>2249</v>
      </c>
      <c r="C1095" t="s">
        <v>42</v>
      </c>
      <c r="D1095" t="s">
        <v>43</v>
      </c>
      <c r="E1095" t="s">
        <v>60</v>
      </c>
      <c r="F1095" t="s">
        <v>45</v>
      </c>
      <c r="G1095" t="s">
        <v>46</v>
      </c>
      <c r="H1095" t="s">
        <v>36</v>
      </c>
      <c r="I1095" t="s">
        <v>62</v>
      </c>
      <c r="J1095" t="s">
        <v>37</v>
      </c>
      <c r="K1095" s="2">
        <v>46189</v>
      </c>
      <c r="L1095" s="2">
        <v>46369</v>
      </c>
      <c r="M1095" t="s">
        <v>64</v>
      </c>
      <c r="N1095" t="s">
        <v>75</v>
      </c>
      <c r="O1095">
        <v>2</v>
      </c>
      <c r="P1095" t="s">
        <v>111</v>
      </c>
      <c r="Q1095" s="2">
        <v>46322</v>
      </c>
      <c r="R1095" t="s">
        <v>64</v>
      </c>
    </row>
    <row r="1096" spans="1:18" x14ac:dyDescent="0.2">
      <c r="A1096" t="s">
        <v>2250</v>
      </c>
      <c r="B1096" t="s">
        <v>2251</v>
      </c>
      <c r="C1096" t="s">
        <v>96</v>
      </c>
      <c r="D1096" t="s">
        <v>97</v>
      </c>
      <c r="E1096" t="s">
        <v>91</v>
      </c>
      <c r="F1096" t="s">
        <v>45</v>
      </c>
      <c r="G1096" t="s">
        <v>46</v>
      </c>
      <c r="H1096" t="s">
        <v>88</v>
      </c>
      <c r="I1096" t="s">
        <v>111</v>
      </c>
      <c r="J1096" t="s">
        <v>63</v>
      </c>
      <c r="K1096" s="2">
        <v>45910</v>
      </c>
      <c r="L1096" s="2">
        <v>46000</v>
      </c>
      <c r="M1096" t="s">
        <v>38</v>
      </c>
      <c r="N1096" t="s">
        <v>75</v>
      </c>
      <c r="O1096">
        <v>2</v>
      </c>
      <c r="P1096" t="s">
        <v>111</v>
      </c>
      <c r="Q1096" s="2">
        <v>46299</v>
      </c>
      <c r="R1096" t="s">
        <v>84</v>
      </c>
    </row>
    <row r="1097" spans="1:18" x14ac:dyDescent="0.2">
      <c r="A1097" t="s">
        <v>2252</v>
      </c>
      <c r="B1097" t="s">
        <v>2253</v>
      </c>
      <c r="C1097" t="s">
        <v>103</v>
      </c>
      <c r="D1097" t="s">
        <v>104</v>
      </c>
      <c r="E1097" t="s">
        <v>80</v>
      </c>
      <c r="F1097" t="s">
        <v>67</v>
      </c>
      <c r="G1097" t="s">
        <v>68</v>
      </c>
      <c r="H1097" t="s">
        <v>47</v>
      </c>
      <c r="I1097" t="s">
        <v>54</v>
      </c>
      <c r="J1097" t="s">
        <v>48</v>
      </c>
      <c r="K1097" s="2">
        <v>46138</v>
      </c>
      <c r="L1097" s="2">
        <v>46318</v>
      </c>
      <c r="M1097" t="s">
        <v>69</v>
      </c>
      <c r="N1097" t="s">
        <v>75</v>
      </c>
      <c r="O1097">
        <v>1</v>
      </c>
      <c r="P1097" t="s">
        <v>62</v>
      </c>
      <c r="Q1097" s="2">
        <v>46201</v>
      </c>
      <c r="R1097" t="s">
        <v>64</v>
      </c>
    </row>
    <row r="1098" spans="1:18" x14ac:dyDescent="0.2">
      <c r="A1098" t="s">
        <v>2254</v>
      </c>
      <c r="B1098" t="s">
        <v>2255</v>
      </c>
      <c r="C1098" t="s">
        <v>42</v>
      </c>
      <c r="D1098" t="s">
        <v>43</v>
      </c>
      <c r="E1098" t="s">
        <v>44</v>
      </c>
      <c r="F1098" t="s">
        <v>67</v>
      </c>
      <c r="G1098" t="s">
        <v>68</v>
      </c>
      <c r="H1098" t="s">
        <v>47</v>
      </c>
      <c r="I1098" t="s">
        <v>50</v>
      </c>
      <c r="J1098" t="s">
        <v>48</v>
      </c>
      <c r="K1098" s="2">
        <v>46228</v>
      </c>
      <c r="L1098" s="2">
        <v>46593</v>
      </c>
      <c r="M1098" t="s">
        <v>84</v>
      </c>
      <c r="N1098" t="s">
        <v>75</v>
      </c>
      <c r="O1098">
        <v>0</v>
      </c>
      <c r="P1098" t="s">
        <v>56</v>
      </c>
      <c r="Q1098" s="2">
        <v>46383</v>
      </c>
      <c r="R1098" t="s">
        <v>57</v>
      </c>
    </row>
    <row r="1099" spans="1:18" x14ac:dyDescent="0.2">
      <c r="A1099" t="s">
        <v>2256</v>
      </c>
      <c r="B1099" t="s">
        <v>2257</v>
      </c>
      <c r="C1099" t="s">
        <v>31</v>
      </c>
      <c r="D1099" t="s">
        <v>32</v>
      </c>
      <c r="E1099" t="s">
        <v>53</v>
      </c>
      <c r="F1099" t="s">
        <v>45</v>
      </c>
      <c r="G1099" t="s">
        <v>61</v>
      </c>
      <c r="H1099" t="s">
        <v>36</v>
      </c>
      <c r="I1099" t="s">
        <v>50</v>
      </c>
      <c r="J1099" t="s">
        <v>48</v>
      </c>
      <c r="K1099" s="2">
        <v>46158</v>
      </c>
      <c r="L1099" s="2">
        <v>46338</v>
      </c>
      <c r="M1099" t="s">
        <v>64</v>
      </c>
      <c r="N1099" t="s">
        <v>49</v>
      </c>
      <c r="O1099">
        <v>0</v>
      </c>
      <c r="P1099" t="s">
        <v>50</v>
      </c>
      <c r="Q1099" s="2">
        <v>46233</v>
      </c>
      <c r="R1099" t="s">
        <v>57</v>
      </c>
    </row>
    <row r="1100" spans="1:18" x14ac:dyDescent="0.2">
      <c r="A1100" t="s">
        <v>2258</v>
      </c>
      <c r="B1100" t="s">
        <v>2259</v>
      </c>
      <c r="C1100" t="s">
        <v>31</v>
      </c>
      <c r="D1100" t="s">
        <v>83</v>
      </c>
      <c r="E1100" t="s">
        <v>357</v>
      </c>
      <c r="F1100" t="s">
        <v>67</v>
      </c>
      <c r="G1100" t="s">
        <v>118</v>
      </c>
      <c r="H1100" t="s">
        <v>36</v>
      </c>
      <c r="I1100" t="s">
        <v>54</v>
      </c>
      <c r="J1100" t="s">
        <v>48</v>
      </c>
      <c r="K1100" s="2">
        <v>46267</v>
      </c>
      <c r="L1100" s="2">
        <v>46357</v>
      </c>
      <c r="M1100" t="s">
        <v>84</v>
      </c>
      <c r="N1100" t="s">
        <v>55</v>
      </c>
      <c r="O1100">
        <v>0</v>
      </c>
      <c r="P1100" t="s">
        <v>111</v>
      </c>
      <c r="Q1100" s="2">
        <v>46252</v>
      </c>
      <c r="R1100" t="s">
        <v>57</v>
      </c>
    </row>
    <row r="1101" spans="1:18" x14ac:dyDescent="0.2">
      <c r="A1101" t="s">
        <v>2260</v>
      </c>
      <c r="B1101" t="s">
        <v>2261</v>
      </c>
      <c r="C1101" t="s">
        <v>31</v>
      </c>
      <c r="D1101" t="s">
        <v>87</v>
      </c>
      <c r="E1101" t="s">
        <v>91</v>
      </c>
      <c r="F1101" t="s">
        <v>34</v>
      </c>
      <c r="G1101" t="s">
        <v>35</v>
      </c>
      <c r="H1101" t="s">
        <v>47</v>
      </c>
      <c r="I1101" t="s">
        <v>50</v>
      </c>
      <c r="J1101" t="s">
        <v>63</v>
      </c>
      <c r="K1101" s="2">
        <v>46150</v>
      </c>
      <c r="L1101" s="2">
        <v>46240</v>
      </c>
      <c r="M1101" t="s">
        <v>38</v>
      </c>
      <c r="N1101" t="s">
        <v>75</v>
      </c>
      <c r="O1101">
        <v>1</v>
      </c>
      <c r="P1101" t="s">
        <v>39</v>
      </c>
      <c r="Q1101" s="2">
        <v>46254</v>
      </c>
      <c r="R1101" t="s">
        <v>38</v>
      </c>
    </row>
    <row r="1102" spans="1:18" x14ac:dyDescent="0.2">
      <c r="A1102" t="s">
        <v>2262</v>
      </c>
      <c r="B1102" t="s">
        <v>2263</v>
      </c>
      <c r="C1102" t="s">
        <v>96</v>
      </c>
      <c r="D1102" t="s">
        <v>97</v>
      </c>
      <c r="E1102" t="s">
        <v>44</v>
      </c>
      <c r="F1102" t="s">
        <v>67</v>
      </c>
      <c r="G1102" t="s">
        <v>68</v>
      </c>
      <c r="H1102" t="s">
        <v>47</v>
      </c>
      <c r="I1102" t="s">
        <v>50</v>
      </c>
      <c r="J1102" t="s">
        <v>37</v>
      </c>
      <c r="K1102" s="2">
        <v>45842</v>
      </c>
      <c r="L1102" s="2">
        <v>45932</v>
      </c>
      <c r="M1102" t="s">
        <v>38</v>
      </c>
      <c r="N1102" t="s">
        <v>55</v>
      </c>
      <c r="O1102">
        <v>2</v>
      </c>
      <c r="P1102" t="s">
        <v>50</v>
      </c>
      <c r="Q1102" s="2">
        <v>46408</v>
      </c>
      <c r="R1102" t="s">
        <v>84</v>
      </c>
    </row>
    <row r="1103" spans="1:18" x14ac:dyDescent="0.2">
      <c r="A1103" t="s">
        <v>2264</v>
      </c>
      <c r="B1103" t="s">
        <v>2265</v>
      </c>
      <c r="C1103" t="s">
        <v>78</v>
      </c>
      <c r="D1103" t="s">
        <v>79</v>
      </c>
      <c r="E1103" t="s">
        <v>91</v>
      </c>
      <c r="F1103" t="s">
        <v>34</v>
      </c>
      <c r="G1103" t="s">
        <v>35</v>
      </c>
      <c r="H1103" t="s">
        <v>47</v>
      </c>
      <c r="I1103" t="s">
        <v>39</v>
      </c>
      <c r="J1103" t="s">
        <v>63</v>
      </c>
      <c r="K1103" s="2">
        <v>46241</v>
      </c>
      <c r="L1103" s="2">
        <v>46421</v>
      </c>
      <c r="M1103" t="s">
        <v>64</v>
      </c>
      <c r="N1103" t="s">
        <v>75</v>
      </c>
      <c r="O1103">
        <v>3</v>
      </c>
      <c r="P1103" t="s">
        <v>62</v>
      </c>
      <c r="Q1103" s="2">
        <v>46385</v>
      </c>
      <c r="R1103" t="s">
        <v>84</v>
      </c>
    </row>
    <row r="1104" spans="1:18" x14ac:dyDescent="0.2">
      <c r="A1104" t="s">
        <v>2266</v>
      </c>
      <c r="B1104" t="s">
        <v>2267</v>
      </c>
      <c r="C1104" t="s">
        <v>78</v>
      </c>
      <c r="D1104" t="s">
        <v>79</v>
      </c>
      <c r="E1104" t="s">
        <v>91</v>
      </c>
      <c r="F1104" t="s">
        <v>34</v>
      </c>
      <c r="G1104" t="s">
        <v>35</v>
      </c>
      <c r="H1104" t="s">
        <v>98</v>
      </c>
      <c r="I1104" t="s">
        <v>106</v>
      </c>
      <c r="J1104" t="s">
        <v>63</v>
      </c>
      <c r="K1104" s="2">
        <v>45873</v>
      </c>
      <c r="L1104" s="2">
        <v>46238</v>
      </c>
      <c r="M1104" t="s">
        <v>38</v>
      </c>
      <c r="N1104" t="s">
        <v>49</v>
      </c>
      <c r="O1104">
        <v>5</v>
      </c>
      <c r="P1104" t="s">
        <v>111</v>
      </c>
      <c r="Q1104" s="2">
        <v>46322</v>
      </c>
      <c r="R1104" t="s">
        <v>84</v>
      </c>
    </row>
    <row r="1105" spans="1:18" x14ac:dyDescent="0.2">
      <c r="A1105" t="s">
        <v>2268</v>
      </c>
      <c r="B1105" t="s">
        <v>2269</v>
      </c>
      <c r="C1105" t="s">
        <v>73</v>
      </c>
      <c r="D1105" t="s">
        <v>74</v>
      </c>
      <c r="E1105" t="s">
        <v>44</v>
      </c>
      <c r="F1105" t="s">
        <v>45</v>
      </c>
      <c r="G1105" t="s">
        <v>46</v>
      </c>
      <c r="H1105" t="s">
        <v>47</v>
      </c>
      <c r="I1105" t="s">
        <v>106</v>
      </c>
      <c r="J1105" t="s">
        <v>37</v>
      </c>
      <c r="K1105" s="2">
        <v>45844</v>
      </c>
      <c r="L1105" s="2">
        <v>46024</v>
      </c>
      <c r="M1105" t="s">
        <v>38</v>
      </c>
      <c r="N1105" t="s">
        <v>55</v>
      </c>
      <c r="O1105">
        <v>3</v>
      </c>
      <c r="P1105" t="s">
        <v>111</v>
      </c>
      <c r="Q1105" s="2">
        <v>46310</v>
      </c>
      <c r="R1105" t="s">
        <v>84</v>
      </c>
    </row>
    <row r="1106" spans="1:18" x14ac:dyDescent="0.2">
      <c r="A1106" t="s">
        <v>2270</v>
      </c>
      <c r="B1106" t="s">
        <v>2271</v>
      </c>
      <c r="C1106" t="s">
        <v>31</v>
      </c>
      <c r="D1106" t="s">
        <v>87</v>
      </c>
      <c r="E1106" t="s">
        <v>44</v>
      </c>
      <c r="F1106" t="s">
        <v>45</v>
      </c>
      <c r="G1106" t="s">
        <v>46</v>
      </c>
      <c r="H1106" t="s">
        <v>88</v>
      </c>
      <c r="I1106" t="s">
        <v>50</v>
      </c>
      <c r="J1106" t="s">
        <v>37</v>
      </c>
      <c r="K1106" s="2">
        <v>46045</v>
      </c>
      <c r="L1106" s="2">
        <v>46410</v>
      </c>
      <c r="M1106" t="s">
        <v>84</v>
      </c>
      <c r="N1106" t="s">
        <v>49</v>
      </c>
      <c r="O1106">
        <v>2</v>
      </c>
      <c r="P1106" t="s">
        <v>56</v>
      </c>
      <c r="Q1106" s="2">
        <v>46317</v>
      </c>
      <c r="R1106" t="s">
        <v>64</v>
      </c>
    </row>
    <row r="1107" spans="1:18" x14ac:dyDescent="0.2">
      <c r="A1107" t="s">
        <v>2272</v>
      </c>
      <c r="B1107" t="s">
        <v>2273</v>
      </c>
      <c r="C1107" t="s">
        <v>103</v>
      </c>
      <c r="D1107" t="s">
        <v>104</v>
      </c>
      <c r="E1107" t="s">
        <v>80</v>
      </c>
      <c r="F1107" t="s">
        <v>67</v>
      </c>
      <c r="G1107" t="s">
        <v>118</v>
      </c>
      <c r="H1107" t="s">
        <v>36</v>
      </c>
      <c r="I1107" t="s">
        <v>106</v>
      </c>
      <c r="J1107" t="s">
        <v>63</v>
      </c>
      <c r="K1107" s="2">
        <v>45824</v>
      </c>
      <c r="L1107" s="2">
        <v>45914</v>
      </c>
      <c r="M1107" t="s">
        <v>38</v>
      </c>
      <c r="N1107" t="s">
        <v>75</v>
      </c>
      <c r="O1107">
        <v>1</v>
      </c>
      <c r="P1107" t="s">
        <v>70</v>
      </c>
      <c r="Q1107" s="2">
        <v>46327</v>
      </c>
      <c r="R1107" t="s">
        <v>84</v>
      </c>
    </row>
    <row r="1108" spans="1:18" x14ac:dyDescent="0.2">
      <c r="A1108" t="s">
        <v>2274</v>
      </c>
      <c r="B1108" t="s">
        <v>2275</v>
      </c>
      <c r="C1108" t="s">
        <v>73</v>
      </c>
      <c r="D1108" t="s">
        <v>74</v>
      </c>
      <c r="E1108" t="s">
        <v>105</v>
      </c>
      <c r="F1108" t="s">
        <v>67</v>
      </c>
      <c r="G1108" t="s">
        <v>118</v>
      </c>
      <c r="H1108" t="s">
        <v>88</v>
      </c>
      <c r="I1108" t="s">
        <v>62</v>
      </c>
      <c r="J1108" t="s">
        <v>63</v>
      </c>
      <c r="K1108" s="2">
        <v>45821</v>
      </c>
      <c r="L1108" s="2">
        <v>46186</v>
      </c>
      <c r="M1108" t="s">
        <v>38</v>
      </c>
      <c r="N1108" t="s">
        <v>75</v>
      </c>
      <c r="O1108">
        <v>0</v>
      </c>
      <c r="P1108" t="s">
        <v>111</v>
      </c>
      <c r="Q1108" s="2">
        <v>46265</v>
      </c>
      <c r="R1108" t="s">
        <v>57</v>
      </c>
    </row>
    <row r="1109" spans="1:18" x14ac:dyDescent="0.2">
      <c r="A1109" t="s">
        <v>2276</v>
      </c>
      <c r="B1109" t="s">
        <v>2277</v>
      </c>
      <c r="C1109" t="s">
        <v>31</v>
      </c>
      <c r="D1109" t="s">
        <v>87</v>
      </c>
      <c r="E1109" t="s">
        <v>105</v>
      </c>
      <c r="F1109" t="s">
        <v>45</v>
      </c>
      <c r="G1109" t="s">
        <v>61</v>
      </c>
      <c r="H1109" t="s">
        <v>88</v>
      </c>
      <c r="I1109" t="s">
        <v>54</v>
      </c>
      <c r="J1109" t="s">
        <v>48</v>
      </c>
      <c r="K1109" s="2">
        <v>46117</v>
      </c>
      <c r="L1109" s="2">
        <v>46482</v>
      </c>
      <c r="M1109" t="s">
        <v>64</v>
      </c>
      <c r="N1109" t="s">
        <v>55</v>
      </c>
      <c r="O1109">
        <v>1</v>
      </c>
      <c r="P1109" t="s">
        <v>106</v>
      </c>
      <c r="Q1109" s="2">
        <v>46402</v>
      </c>
      <c r="R1109" t="s">
        <v>64</v>
      </c>
    </row>
    <row r="1110" spans="1:18" x14ac:dyDescent="0.2">
      <c r="A1110" t="s">
        <v>2278</v>
      </c>
      <c r="B1110" t="s">
        <v>2279</v>
      </c>
      <c r="C1110" t="s">
        <v>31</v>
      </c>
      <c r="D1110" t="s">
        <v>32</v>
      </c>
      <c r="E1110" t="s">
        <v>80</v>
      </c>
      <c r="F1110" t="s">
        <v>45</v>
      </c>
      <c r="G1110" t="s">
        <v>61</v>
      </c>
      <c r="H1110" t="s">
        <v>88</v>
      </c>
      <c r="I1110" t="s">
        <v>111</v>
      </c>
      <c r="J1110" t="s">
        <v>37</v>
      </c>
      <c r="K1110" s="2">
        <v>46098</v>
      </c>
      <c r="L1110" s="2">
        <v>46463</v>
      </c>
      <c r="M1110" t="s">
        <v>64</v>
      </c>
      <c r="N1110" t="s">
        <v>75</v>
      </c>
      <c r="O1110">
        <v>0</v>
      </c>
      <c r="P1110" t="s">
        <v>62</v>
      </c>
      <c r="Q1110" s="2">
        <v>46379</v>
      </c>
      <c r="R1110" t="s">
        <v>57</v>
      </c>
    </row>
    <row r="1111" spans="1:18" x14ac:dyDescent="0.2">
      <c r="A1111" t="s">
        <v>2280</v>
      </c>
      <c r="B1111" t="s">
        <v>2281</v>
      </c>
      <c r="C1111" t="s">
        <v>103</v>
      </c>
      <c r="D1111" t="s">
        <v>104</v>
      </c>
      <c r="E1111" t="s">
        <v>91</v>
      </c>
      <c r="F1111" t="s">
        <v>34</v>
      </c>
      <c r="G1111" t="s">
        <v>35</v>
      </c>
      <c r="H1111" t="s">
        <v>36</v>
      </c>
      <c r="I1111" t="s">
        <v>70</v>
      </c>
      <c r="J1111" t="s">
        <v>63</v>
      </c>
      <c r="K1111" s="2">
        <v>46197</v>
      </c>
      <c r="L1111" s="2">
        <v>46377</v>
      </c>
      <c r="M1111" t="s">
        <v>64</v>
      </c>
      <c r="N1111" t="s">
        <v>49</v>
      </c>
      <c r="O1111">
        <v>3</v>
      </c>
      <c r="P1111" t="s">
        <v>62</v>
      </c>
      <c r="Q1111" s="2">
        <v>46251</v>
      </c>
      <c r="R1111" t="s">
        <v>64</v>
      </c>
    </row>
    <row r="1112" spans="1:18" x14ac:dyDescent="0.2">
      <c r="A1112" t="s">
        <v>2282</v>
      </c>
      <c r="B1112" t="s">
        <v>2283</v>
      </c>
      <c r="C1112" t="s">
        <v>31</v>
      </c>
      <c r="D1112" t="s">
        <v>83</v>
      </c>
      <c r="E1112" t="s">
        <v>44</v>
      </c>
      <c r="F1112" t="s">
        <v>67</v>
      </c>
      <c r="G1112" t="s">
        <v>118</v>
      </c>
      <c r="H1112" t="s">
        <v>47</v>
      </c>
      <c r="I1112" t="s">
        <v>56</v>
      </c>
      <c r="J1112" t="s">
        <v>63</v>
      </c>
      <c r="K1112" s="2">
        <v>46269</v>
      </c>
      <c r="L1112" s="2">
        <v>46359</v>
      </c>
      <c r="M1112" t="s">
        <v>64</v>
      </c>
      <c r="N1112" t="s">
        <v>49</v>
      </c>
      <c r="O1112">
        <v>1</v>
      </c>
      <c r="P1112" t="s">
        <v>56</v>
      </c>
      <c r="Q1112" s="2">
        <v>46328</v>
      </c>
      <c r="R1112" t="s">
        <v>84</v>
      </c>
    </row>
    <row r="1113" spans="1:18" x14ac:dyDescent="0.2">
      <c r="A1113" t="s">
        <v>2284</v>
      </c>
      <c r="B1113" t="s">
        <v>2285</v>
      </c>
      <c r="C1113" t="s">
        <v>31</v>
      </c>
      <c r="D1113" t="s">
        <v>83</v>
      </c>
      <c r="E1113" t="s">
        <v>105</v>
      </c>
      <c r="F1113" t="s">
        <v>45</v>
      </c>
      <c r="G1113" t="s">
        <v>46</v>
      </c>
      <c r="H1113" t="s">
        <v>47</v>
      </c>
      <c r="I1113" t="s">
        <v>39</v>
      </c>
      <c r="J1113" t="s">
        <v>37</v>
      </c>
      <c r="K1113" s="2">
        <v>46140</v>
      </c>
      <c r="L1113" s="2">
        <v>46505</v>
      </c>
      <c r="M1113" t="s">
        <v>64</v>
      </c>
      <c r="N1113" t="s">
        <v>55</v>
      </c>
      <c r="O1113">
        <v>1</v>
      </c>
      <c r="P1113" t="s">
        <v>70</v>
      </c>
      <c r="Q1113" s="2">
        <v>46354</v>
      </c>
      <c r="R1113" t="s">
        <v>84</v>
      </c>
    </row>
    <row r="1114" spans="1:18" x14ac:dyDescent="0.2">
      <c r="A1114" t="s">
        <v>2286</v>
      </c>
      <c r="B1114" t="s">
        <v>2287</v>
      </c>
      <c r="C1114" t="s">
        <v>42</v>
      </c>
      <c r="D1114" t="s">
        <v>43</v>
      </c>
      <c r="E1114" t="s">
        <v>53</v>
      </c>
      <c r="F1114" t="s">
        <v>45</v>
      </c>
      <c r="G1114" t="s">
        <v>61</v>
      </c>
      <c r="H1114" t="s">
        <v>88</v>
      </c>
      <c r="I1114" t="s">
        <v>106</v>
      </c>
      <c r="J1114" t="s">
        <v>63</v>
      </c>
      <c r="K1114" s="2">
        <v>45840</v>
      </c>
      <c r="L1114" s="2">
        <v>46020</v>
      </c>
      <c r="M1114" t="s">
        <v>38</v>
      </c>
      <c r="N1114" t="s">
        <v>75</v>
      </c>
      <c r="O1114">
        <v>2</v>
      </c>
      <c r="P1114" t="s">
        <v>54</v>
      </c>
      <c r="Q1114" s="2">
        <v>46282</v>
      </c>
      <c r="R1114" t="s">
        <v>38</v>
      </c>
    </row>
    <row r="1115" spans="1:18" x14ac:dyDescent="0.2">
      <c r="A1115" t="s">
        <v>2288</v>
      </c>
      <c r="B1115" t="s">
        <v>2289</v>
      </c>
      <c r="C1115" t="s">
        <v>42</v>
      </c>
      <c r="D1115" t="s">
        <v>43</v>
      </c>
      <c r="E1115" t="s">
        <v>80</v>
      </c>
      <c r="F1115" t="s">
        <v>45</v>
      </c>
      <c r="G1115" t="s">
        <v>46</v>
      </c>
      <c r="H1115" t="s">
        <v>88</v>
      </c>
      <c r="I1115" t="s">
        <v>106</v>
      </c>
      <c r="J1115" t="s">
        <v>37</v>
      </c>
      <c r="K1115" s="2">
        <v>46015</v>
      </c>
      <c r="L1115" s="2">
        <v>46195</v>
      </c>
      <c r="M1115" t="s">
        <v>38</v>
      </c>
      <c r="N1115" t="s">
        <v>75</v>
      </c>
      <c r="O1115">
        <v>3</v>
      </c>
      <c r="P1115" t="s">
        <v>70</v>
      </c>
      <c r="Q1115" s="2">
        <v>46141</v>
      </c>
      <c r="R1115" t="s">
        <v>38</v>
      </c>
    </row>
    <row r="1116" spans="1:18" x14ac:dyDescent="0.2">
      <c r="A1116" t="s">
        <v>2290</v>
      </c>
      <c r="B1116" t="s">
        <v>2291</v>
      </c>
      <c r="C1116" t="s">
        <v>78</v>
      </c>
      <c r="D1116" t="s">
        <v>79</v>
      </c>
      <c r="E1116" t="s">
        <v>44</v>
      </c>
      <c r="F1116" t="s">
        <v>45</v>
      </c>
      <c r="G1116" t="s">
        <v>46</v>
      </c>
      <c r="H1116" t="s">
        <v>36</v>
      </c>
      <c r="I1116" t="s">
        <v>54</v>
      </c>
      <c r="J1116" t="s">
        <v>37</v>
      </c>
      <c r="K1116" s="2">
        <v>46038</v>
      </c>
      <c r="L1116" s="2">
        <v>46128</v>
      </c>
      <c r="M1116" t="s">
        <v>38</v>
      </c>
      <c r="N1116" t="s">
        <v>55</v>
      </c>
      <c r="O1116">
        <v>5</v>
      </c>
      <c r="P1116" t="s">
        <v>62</v>
      </c>
      <c r="Q1116" s="2">
        <v>46392</v>
      </c>
      <c r="R1116" t="s">
        <v>84</v>
      </c>
    </row>
    <row r="1117" spans="1:18" x14ac:dyDescent="0.2">
      <c r="A1117" t="s">
        <v>2292</v>
      </c>
      <c r="B1117" t="s">
        <v>2293</v>
      </c>
      <c r="C1117" t="s">
        <v>31</v>
      </c>
      <c r="D1117" t="s">
        <v>87</v>
      </c>
      <c r="E1117" t="s">
        <v>53</v>
      </c>
      <c r="F1117" t="s">
        <v>34</v>
      </c>
      <c r="G1117" t="s">
        <v>35</v>
      </c>
      <c r="H1117" t="s">
        <v>47</v>
      </c>
      <c r="I1117" t="s">
        <v>50</v>
      </c>
      <c r="J1117" t="s">
        <v>37</v>
      </c>
      <c r="K1117" s="2">
        <v>45956</v>
      </c>
      <c r="L1117" s="2">
        <v>46136</v>
      </c>
      <c r="M1117" t="s">
        <v>38</v>
      </c>
      <c r="N1117" t="s">
        <v>49</v>
      </c>
      <c r="O1117">
        <v>0</v>
      </c>
      <c r="P1117" t="s">
        <v>62</v>
      </c>
      <c r="Q1117" s="2">
        <v>46275</v>
      </c>
      <c r="R1117" t="s">
        <v>57</v>
      </c>
    </row>
    <row r="1118" spans="1:18" x14ac:dyDescent="0.2">
      <c r="A1118" t="s">
        <v>2294</v>
      </c>
      <c r="B1118" t="s">
        <v>2295</v>
      </c>
      <c r="C1118" t="s">
        <v>96</v>
      </c>
      <c r="D1118" t="s">
        <v>97</v>
      </c>
      <c r="E1118" t="s">
        <v>80</v>
      </c>
      <c r="F1118" t="s">
        <v>45</v>
      </c>
      <c r="G1118" t="s">
        <v>61</v>
      </c>
      <c r="H1118" t="s">
        <v>98</v>
      </c>
      <c r="I1118" t="s">
        <v>106</v>
      </c>
      <c r="J1118" t="s">
        <v>63</v>
      </c>
      <c r="K1118" s="2">
        <v>45795</v>
      </c>
      <c r="L1118" s="2">
        <v>45975</v>
      </c>
      <c r="M1118" t="s">
        <v>38</v>
      </c>
      <c r="N1118" t="s">
        <v>55</v>
      </c>
      <c r="O1118">
        <v>2</v>
      </c>
      <c r="P1118" t="s">
        <v>54</v>
      </c>
      <c r="Q1118" s="2">
        <v>46235</v>
      </c>
      <c r="R1118" t="s">
        <v>38</v>
      </c>
    </row>
    <row r="1119" spans="1:18" x14ac:dyDescent="0.2">
      <c r="A1119" t="s">
        <v>2296</v>
      </c>
      <c r="B1119" t="s">
        <v>2297</v>
      </c>
      <c r="C1119" t="s">
        <v>31</v>
      </c>
      <c r="D1119" t="s">
        <v>32</v>
      </c>
      <c r="E1119" t="s">
        <v>44</v>
      </c>
      <c r="F1119" t="s">
        <v>67</v>
      </c>
      <c r="G1119" t="s">
        <v>118</v>
      </c>
      <c r="H1119" t="s">
        <v>47</v>
      </c>
      <c r="I1119" t="s">
        <v>50</v>
      </c>
      <c r="J1119" t="s">
        <v>48</v>
      </c>
      <c r="K1119" s="2">
        <v>46103</v>
      </c>
      <c r="L1119" s="2">
        <v>46193</v>
      </c>
      <c r="M1119" t="s">
        <v>38</v>
      </c>
      <c r="N1119" t="s">
        <v>49</v>
      </c>
      <c r="O1119">
        <v>2</v>
      </c>
      <c r="P1119" t="s">
        <v>39</v>
      </c>
      <c r="Q1119" s="2">
        <v>46307</v>
      </c>
      <c r="R1119" t="s">
        <v>84</v>
      </c>
    </row>
    <row r="1120" spans="1:18" x14ac:dyDescent="0.2">
      <c r="A1120" t="s">
        <v>2298</v>
      </c>
      <c r="B1120" t="s">
        <v>2299</v>
      </c>
      <c r="C1120" t="s">
        <v>73</v>
      </c>
      <c r="D1120" t="s">
        <v>74</v>
      </c>
      <c r="E1120" t="s">
        <v>80</v>
      </c>
      <c r="F1120" t="s">
        <v>45</v>
      </c>
      <c r="G1120" t="s">
        <v>61</v>
      </c>
      <c r="H1120" t="s">
        <v>36</v>
      </c>
      <c r="I1120" t="s">
        <v>50</v>
      </c>
      <c r="J1120" t="s">
        <v>63</v>
      </c>
      <c r="K1120" s="2">
        <v>46249</v>
      </c>
      <c r="L1120" s="2">
        <v>46339</v>
      </c>
      <c r="M1120" t="s">
        <v>64</v>
      </c>
      <c r="N1120" t="s">
        <v>55</v>
      </c>
      <c r="O1120">
        <v>1</v>
      </c>
      <c r="P1120" t="s">
        <v>106</v>
      </c>
      <c r="Q1120" s="2">
        <v>46264</v>
      </c>
      <c r="R1120" t="s">
        <v>38</v>
      </c>
    </row>
    <row r="1121" spans="1:18" x14ac:dyDescent="0.2">
      <c r="A1121" t="s">
        <v>2300</v>
      </c>
      <c r="B1121" t="s">
        <v>2301</v>
      </c>
      <c r="C1121" t="s">
        <v>31</v>
      </c>
      <c r="D1121" t="s">
        <v>87</v>
      </c>
      <c r="E1121" t="s">
        <v>105</v>
      </c>
      <c r="F1121" t="s">
        <v>34</v>
      </c>
      <c r="G1121" t="s">
        <v>35</v>
      </c>
      <c r="H1121" t="s">
        <v>47</v>
      </c>
      <c r="I1121" t="s">
        <v>56</v>
      </c>
      <c r="J1121" t="s">
        <v>48</v>
      </c>
      <c r="K1121" s="2">
        <v>46106</v>
      </c>
      <c r="L1121" s="2">
        <v>46196</v>
      </c>
      <c r="M1121" t="s">
        <v>38</v>
      </c>
      <c r="N1121" t="s">
        <v>55</v>
      </c>
      <c r="O1121">
        <v>0</v>
      </c>
      <c r="P1121" t="s">
        <v>50</v>
      </c>
      <c r="Q1121" s="2">
        <v>46135</v>
      </c>
      <c r="R1121" t="s">
        <v>57</v>
      </c>
    </row>
    <row r="1122" spans="1:18" x14ac:dyDescent="0.2">
      <c r="A1122" t="s">
        <v>2302</v>
      </c>
      <c r="B1122" t="s">
        <v>2303</v>
      </c>
      <c r="C1122" t="s">
        <v>42</v>
      </c>
      <c r="D1122" t="s">
        <v>43</v>
      </c>
      <c r="E1122" t="s">
        <v>105</v>
      </c>
      <c r="F1122" t="s">
        <v>67</v>
      </c>
      <c r="G1122" t="s">
        <v>118</v>
      </c>
      <c r="H1122" t="s">
        <v>47</v>
      </c>
      <c r="I1122" t="s">
        <v>56</v>
      </c>
      <c r="J1122" t="s">
        <v>63</v>
      </c>
      <c r="K1122" s="2">
        <v>45960</v>
      </c>
      <c r="L1122" s="2">
        <v>46325</v>
      </c>
      <c r="M1122" t="s">
        <v>64</v>
      </c>
      <c r="N1122" t="s">
        <v>49</v>
      </c>
      <c r="O1122">
        <v>2</v>
      </c>
      <c r="P1122" t="s">
        <v>70</v>
      </c>
      <c r="Q1122" s="2">
        <v>46185</v>
      </c>
      <c r="R1122" t="s">
        <v>64</v>
      </c>
    </row>
    <row r="1123" spans="1:18" x14ac:dyDescent="0.2">
      <c r="A1123" t="s">
        <v>2304</v>
      </c>
      <c r="B1123" t="s">
        <v>2305</v>
      </c>
      <c r="C1123" t="s">
        <v>73</v>
      </c>
      <c r="D1123" t="s">
        <v>74</v>
      </c>
      <c r="E1123" t="s">
        <v>91</v>
      </c>
      <c r="F1123" t="s">
        <v>67</v>
      </c>
      <c r="G1123" t="s">
        <v>68</v>
      </c>
      <c r="H1123" t="s">
        <v>47</v>
      </c>
      <c r="I1123" t="s">
        <v>62</v>
      </c>
      <c r="J1123" t="s">
        <v>37</v>
      </c>
      <c r="K1123" s="2">
        <v>45839</v>
      </c>
      <c r="L1123" s="2">
        <v>46019</v>
      </c>
      <c r="M1123" t="s">
        <v>38</v>
      </c>
      <c r="N1123" t="s">
        <v>49</v>
      </c>
      <c r="O1123">
        <v>1</v>
      </c>
      <c r="P1123" t="s">
        <v>56</v>
      </c>
      <c r="Q1123" s="2">
        <v>46357</v>
      </c>
      <c r="R1123" t="s">
        <v>84</v>
      </c>
    </row>
    <row r="1124" spans="1:18" x14ac:dyDescent="0.2">
      <c r="A1124" t="s">
        <v>2306</v>
      </c>
      <c r="B1124" t="s">
        <v>2307</v>
      </c>
      <c r="C1124" t="s">
        <v>31</v>
      </c>
      <c r="D1124" t="s">
        <v>83</v>
      </c>
      <c r="E1124" t="s">
        <v>80</v>
      </c>
      <c r="F1124" t="s">
        <v>34</v>
      </c>
      <c r="G1124" t="s">
        <v>35</v>
      </c>
      <c r="H1124" t="s">
        <v>36</v>
      </c>
      <c r="I1124" t="s">
        <v>54</v>
      </c>
      <c r="J1124" t="s">
        <v>48</v>
      </c>
      <c r="K1124" s="2">
        <v>45869</v>
      </c>
      <c r="L1124" s="2">
        <v>46049</v>
      </c>
      <c r="M1124" t="s">
        <v>38</v>
      </c>
      <c r="N1124" t="s">
        <v>49</v>
      </c>
      <c r="O1124">
        <v>2</v>
      </c>
      <c r="P1124" t="s">
        <v>39</v>
      </c>
      <c r="Q1124" s="2">
        <v>46222</v>
      </c>
      <c r="R1124" t="s">
        <v>64</v>
      </c>
    </row>
    <row r="1125" spans="1:18" x14ac:dyDescent="0.2">
      <c r="A1125" t="s">
        <v>2308</v>
      </c>
      <c r="B1125" t="s">
        <v>2309</v>
      </c>
      <c r="C1125" t="s">
        <v>73</v>
      </c>
      <c r="D1125" t="s">
        <v>74</v>
      </c>
      <c r="E1125" t="s">
        <v>60</v>
      </c>
      <c r="F1125" t="s">
        <v>45</v>
      </c>
      <c r="G1125" t="s">
        <v>46</v>
      </c>
      <c r="H1125" t="s">
        <v>36</v>
      </c>
      <c r="I1125" t="s">
        <v>50</v>
      </c>
      <c r="J1125" t="s">
        <v>37</v>
      </c>
      <c r="K1125" s="2">
        <v>46220</v>
      </c>
      <c r="L1125" s="2">
        <v>46400</v>
      </c>
      <c r="M1125" t="s">
        <v>64</v>
      </c>
      <c r="N1125" t="s">
        <v>49</v>
      </c>
      <c r="O1125">
        <v>0</v>
      </c>
      <c r="P1125" t="s">
        <v>54</v>
      </c>
      <c r="Q1125" s="2">
        <v>46259</v>
      </c>
      <c r="R1125" t="s">
        <v>57</v>
      </c>
    </row>
    <row r="1126" spans="1:18" x14ac:dyDescent="0.2">
      <c r="A1126" t="s">
        <v>2310</v>
      </c>
      <c r="B1126" t="s">
        <v>2311</v>
      </c>
      <c r="C1126" t="s">
        <v>78</v>
      </c>
      <c r="D1126" t="s">
        <v>79</v>
      </c>
      <c r="E1126" t="s">
        <v>80</v>
      </c>
      <c r="F1126" t="s">
        <v>34</v>
      </c>
      <c r="G1126" t="s">
        <v>35</v>
      </c>
      <c r="H1126" t="s">
        <v>88</v>
      </c>
      <c r="I1126" t="s">
        <v>56</v>
      </c>
      <c r="J1126" t="s">
        <v>37</v>
      </c>
      <c r="K1126" s="2">
        <v>45796</v>
      </c>
      <c r="L1126" s="2">
        <v>46161</v>
      </c>
      <c r="M1126" t="s">
        <v>38</v>
      </c>
      <c r="N1126" t="s">
        <v>55</v>
      </c>
      <c r="O1126">
        <v>3</v>
      </c>
      <c r="P1126" t="s">
        <v>70</v>
      </c>
      <c r="Q1126" s="2">
        <v>46132</v>
      </c>
      <c r="R1126" t="s">
        <v>38</v>
      </c>
    </row>
    <row r="1127" spans="1:18" x14ac:dyDescent="0.2">
      <c r="A1127" t="s">
        <v>2312</v>
      </c>
      <c r="B1127" t="s">
        <v>2313</v>
      </c>
      <c r="C1127" t="s">
        <v>78</v>
      </c>
      <c r="D1127" t="s">
        <v>79</v>
      </c>
      <c r="E1127" t="s">
        <v>53</v>
      </c>
      <c r="F1127" t="s">
        <v>45</v>
      </c>
      <c r="G1127" t="s">
        <v>46</v>
      </c>
      <c r="H1127" t="s">
        <v>88</v>
      </c>
      <c r="I1127" t="s">
        <v>111</v>
      </c>
      <c r="J1127" t="s">
        <v>37</v>
      </c>
      <c r="K1127" s="2">
        <v>46038</v>
      </c>
      <c r="L1127" s="2">
        <v>46403</v>
      </c>
      <c r="M1127" t="s">
        <v>69</v>
      </c>
      <c r="N1127" t="s">
        <v>75</v>
      </c>
      <c r="O1127">
        <v>1</v>
      </c>
      <c r="P1127" t="s">
        <v>50</v>
      </c>
      <c r="Q1127" s="2">
        <v>46282</v>
      </c>
      <c r="R1127" t="s">
        <v>38</v>
      </c>
    </row>
    <row r="1128" spans="1:18" x14ac:dyDescent="0.2">
      <c r="A1128" t="s">
        <v>2314</v>
      </c>
      <c r="B1128" t="s">
        <v>2315</v>
      </c>
      <c r="C1128" t="s">
        <v>103</v>
      </c>
      <c r="D1128" t="s">
        <v>104</v>
      </c>
      <c r="E1128" t="s">
        <v>53</v>
      </c>
      <c r="F1128" t="s">
        <v>45</v>
      </c>
      <c r="G1128" t="s">
        <v>46</v>
      </c>
      <c r="H1128" t="s">
        <v>88</v>
      </c>
      <c r="I1128" t="s">
        <v>111</v>
      </c>
      <c r="J1128" t="s">
        <v>63</v>
      </c>
      <c r="K1128" s="2">
        <v>45827</v>
      </c>
      <c r="L1128" s="2">
        <v>46007</v>
      </c>
      <c r="M1128" t="s">
        <v>38</v>
      </c>
      <c r="N1128" t="s">
        <v>55</v>
      </c>
      <c r="O1128">
        <v>0</v>
      </c>
      <c r="P1128" t="s">
        <v>111</v>
      </c>
      <c r="Q1128" s="2">
        <v>46186</v>
      </c>
      <c r="R1128" t="s">
        <v>57</v>
      </c>
    </row>
    <row r="1129" spans="1:18" x14ac:dyDescent="0.2">
      <c r="A1129" t="s">
        <v>2316</v>
      </c>
      <c r="B1129" t="s">
        <v>2317</v>
      </c>
      <c r="C1129" t="s">
        <v>73</v>
      </c>
      <c r="D1129" t="s">
        <v>74</v>
      </c>
      <c r="E1129" t="s">
        <v>91</v>
      </c>
      <c r="F1129" t="s">
        <v>67</v>
      </c>
      <c r="G1129" t="s">
        <v>68</v>
      </c>
      <c r="H1129" t="s">
        <v>47</v>
      </c>
      <c r="I1129" t="s">
        <v>39</v>
      </c>
      <c r="J1129" t="s">
        <v>48</v>
      </c>
      <c r="K1129" s="2">
        <v>45881</v>
      </c>
      <c r="L1129" s="2">
        <v>45971</v>
      </c>
      <c r="M1129" t="s">
        <v>38</v>
      </c>
      <c r="N1129" t="s">
        <v>49</v>
      </c>
      <c r="O1129">
        <v>2</v>
      </c>
      <c r="P1129" t="s">
        <v>70</v>
      </c>
      <c r="Q1129" s="2">
        <v>46290</v>
      </c>
      <c r="R1129" t="s">
        <v>38</v>
      </c>
    </row>
    <row r="1130" spans="1:18" x14ac:dyDescent="0.2">
      <c r="A1130" t="s">
        <v>2318</v>
      </c>
      <c r="B1130" t="s">
        <v>2319</v>
      </c>
      <c r="C1130" t="s">
        <v>31</v>
      </c>
      <c r="D1130" t="s">
        <v>87</v>
      </c>
      <c r="E1130" t="s">
        <v>44</v>
      </c>
      <c r="F1130" t="s">
        <v>67</v>
      </c>
      <c r="G1130" t="s">
        <v>68</v>
      </c>
      <c r="H1130" t="s">
        <v>47</v>
      </c>
      <c r="I1130" t="s">
        <v>56</v>
      </c>
      <c r="J1130" t="s">
        <v>63</v>
      </c>
      <c r="K1130" s="2">
        <v>46004</v>
      </c>
      <c r="L1130" s="2">
        <v>46184</v>
      </c>
      <c r="M1130" t="s">
        <v>38</v>
      </c>
      <c r="N1130" t="s">
        <v>49</v>
      </c>
      <c r="O1130">
        <v>1</v>
      </c>
      <c r="P1130" t="s">
        <v>56</v>
      </c>
      <c r="Q1130" s="2">
        <v>46337</v>
      </c>
      <c r="R1130" t="s">
        <v>84</v>
      </c>
    </row>
    <row r="1131" spans="1:18" x14ac:dyDescent="0.2">
      <c r="A1131" t="s">
        <v>2320</v>
      </c>
      <c r="B1131" t="s">
        <v>2321</v>
      </c>
      <c r="C1131" t="s">
        <v>103</v>
      </c>
      <c r="D1131" t="s">
        <v>104</v>
      </c>
      <c r="E1131" t="s">
        <v>105</v>
      </c>
      <c r="F1131" t="s">
        <v>34</v>
      </c>
      <c r="G1131" t="s">
        <v>35</v>
      </c>
      <c r="H1131" t="s">
        <v>47</v>
      </c>
      <c r="I1131" t="s">
        <v>39</v>
      </c>
      <c r="J1131" t="s">
        <v>63</v>
      </c>
      <c r="K1131" s="2">
        <v>46067</v>
      </c>
      <c r="L1131" s="2">
        <v>46432</v>
      </c>
      <c r="M1131" t="s">
        <v>84</v>
      </c>
      <c r="N1131" t="s">
        <v>75</v>
      </c>
      <c r="O1131">
        <v>3</v>
      </c>
      <c r="P1131" t="s">
        <v>54</v>
      </c>
      <c r="Q1131" s="2">
        <v>46352</v>
      </c>
      <c r="R1131" t="s">
        <v>84</v>
      </c>
    </row>
    <row r="1132" spans="1:18" x14ac:dyDescent="0.2">
      <c r="A1132" t="s">
        <v>2322</v>
      </c>
      <c r="B1132" t="s">
        <v>2323</v>
      </c>
      <c r="C1132" t="s">
        <v>31</v>
      </c>
      <c r="D1132" t="s">
        <v>87</v>
      </c>
      <c r="E1132" t="s">
        <v>53</v>
      </c>
      <c r="F1132" t="s">
        <v>67</v>
      </c>
      <c r="G1132" t="s">
        <v>118</v>
      </c>
      <c r="H1132" t="s">
        <v>36</v>
      </c>
      <c r="I1132" t="s">
        <v>39</v>
      </c>
      <c r="J1132" t="s">
        <v>48</v>
      </c>
      <c r="K1132" s="2">
        <v>45857</v>
      </c>
      <c r="L1132" s="2">
        <v>45947</v>
      </c>
      <c r="M1132" t="s">
        <v>38</v>
      </c>
      <c r="N1132" t="s">
        <v>49</v>
      </c>
      <c r="O1132">
        <v>4</v>
      </c>
      <c r="P1132" t="s">
        <v>39</v>
      </c>
      <c r="Q1132" s="2">
        <v>46245</v>
      </c>
      <c r="R1132" t="s">
        <v>38</v>
      </c>
    </row>
    <row r="1133" spans="1:18" x14ac:dyDescent="0.2">
      <c r="A1133" t="s">
        <v>2324</v>
      </c>
      <c r="B1133" t="s">
        <v>2325</v>
      </c>
      <c r="C1133" t="s">
        <v>78</v>
      </c>
      <c r="D1133" t="s">
        <v>79</v>
      </c>
      <c r="E1133" t="s">
        <v>44</v>
      </c>
      <c r="F1133" t="s">
        <v>45</v>
      </c>
      <c r="G1133" t="s">
        <v>61</v>
      </c>
      <c r="H1133" t="s">
        <v>88</v>
      </c>
      <c r="J1133" t="s">
        <v>63</v>
      </c>
      <c r="K1133" s="2">
        <v>46055</v>
      </c>
      <c r="L1133" s="2">
        <v>46145</v>
      </c>
      <c r="M1133" t="s">
        <v>38</v>
      </c>
      <c r="N1133" t="s">
        <v>55</v>
      </c>
      <c r="O1133">
        <v>2</v>
      </c>
      <c r="P1133" t="s">
        <v>56</v>
      </c>
      <c r="Q1133" s="2">
        <v>46389</v>
      </c>
      <c r="R1133" t="s">
        <v>84</v>
      </c>
    </row>
    <row r="1134" spans="1:18" x14ac:dyDescent="0.2">
      <c r="A1134" t="s">
        <v>2326</v>
      </c>
      <c r="B1134" t="s">
        <v>2327</v>
      </c>
      <c r="C1134" t="s">
        <v>31</v>
      </c>
      <c r="D1134" t="s">
        <v>83</v>
      </c>
      <c r="E1134" t="s">
        <v>80</v>
      </c>
      <c r="F1134" t="s">
        <v>34</v>
      </c>
      <c r="G1134" t="s">
        <v>35</v>
      </c>
      <c r="H1134" t="s">
        <v>98</v>
      </c>
      <c r="I1134" t="s">
        <v>54</v>
      </c>
      <c r="J1134" t="s">
        <v>63</v>
      </c>
      <c r="K1134" s="2">
        <v>46002</v>
      </c>
      <c r="L1134" s="2">
        <v>46367</v>
      </c>
      <c r="M1134" t="s">
        <v>84</v>
      </c>
      <c r="N1134" t="s">
        <v>55</v>
      </c>
      <c r="O1134">
        <v>3</v>
      </c>
      <c r="P1134" t="s">
        <v>54</v>
      </c>
      <c r="Q1134" s="2">
        <v>46402</v>
      </c>
      <c r="R1134" t="s">
        <v>84</v>
      </c>
    </row>
    <row r="1135" spans="1:18" x14ac:dyDescent="0.2">
      <c r="A1135" t="s">
        <v>2328</v>
      </c>
      <c r="B1135" t="s">
        <v>2329</v>
      </c>
      <c r="C1135" t="s">
        <v>42</v>
      </c>
      <c r="D1135" t="s">
        <v>43</v>
      </c>
      <c r="E1135" t="s">
        <v>105</v>
      </c>
      <c r="F1135" t="s">
        <v>45</v>
      </c>
      <c r="G1135" t="s">
        <v>61</v>
      </c>
      <c r="H1135" t="s">
        <v>88</v>
      </c>
      <c r="I1135" t="s">
        <v>54</v>
      </c>
      <c r="J1135" t="s">
        <v>37</v>
      </c>
      <c r="K1135" s="2">
        <v>46030</v>
      </c>
      <c r="L1135" s="2">
        <v>46120</v>
      </c>
      <c r="M1135" t="s">
        <v>38</v>
      </c>
      <c r="N1135" t="s">
        <v>55</v>
      </c>
      <c r="O1135">
        <v>1</v>
      </c>
      <c r="P1135" t="s">
        <v>62</v>
      </c>
      <c r="Q1135" s="2">
        <v>46247</v>
      </c>
      <c r="R1135" t="s">
        <v>64</v>
      </c>
    </row>
    <row r="1136" spans="1:18" x14ac:dyDescent="0.2">
      <c r="A1136" t="s">
        <v>2330</v>
      </c>
      <c r="B1136" t="s">
        <v>2331</v>
      </c>
      <c r="C1136" t="s">
        <v>31</v>
      </c>
      <c r="D1136" t="s">
        <v>32</v>
      </c>
      <c r="E1136" t="s">
        <v>44</v>
      </c>
      <c r="F1136" t="s">
        <v>45</v>
      </c>
      <c r="G1136" t="s">
        <v>61</v>
      </c>
      <c r="H1136" t="s">
        <v>36</v>
      </c>
      <c r="I1136" t="s">
        <v>106</v>
      </c>
      <c r="J1136" t="s">
        <v>48</v>
      </c>
      <c r="K1136" s="2">
        <v>46226</v>
      </c>
      <c r="L1136" s="2">
        <v>46406</v>
      </c>
      <c r="M1136" t="s">
        <v>64</v>
      </c>
      <c r="N1136" t="s">
        <v>49</v>
      </c>
      <c r="O1136">
        <v>5</v>
      </c>
      <c r="P1136" t="s">
        <v>39</v>
      </c>
      <c r="Q1136" s="2">
        <v>46395</v>
      </c>
      <c r="R1136" t="s">
        <v>84</v>
      </c>
    </row>
    <row r="1137" spans="1:18" x14ac:dyDescent="0.2">
      <c r="A1137" t="s">
        <v>2332</v>
      </c>
      <c r="B1137" t="s">
        <v>2333</v>
      </c>
      <c r="C1137" t="s">
        <v>96</v>
      </c>
      <c r="D1137" t="s">
        <v>97</v>
      </c>
      <c r="E1137" t="s">
        <v>53</v>
      </c>
      <c r="F1137" t="s">
        <v>45</v>
      </c>
      <c r="G1137" t="s">
        <v>46</v>
      </c>
      <c r="H1137" t="s">
        <v>98</v>
      </c>
      <c r="I1137" t="s">
        <v>70</v>
      </c>
      <c r="J1137" t="s">
        <v>48</v>
      </c>
      <c r="K1137" s="2">
        <v>45884</v>
      </c>
      <c r="L1137" s="2">
        <v>46064</v>
      </c>
      <c r="M1137" t="s">
        <v>38</v>
      </c>
      <c r="N1137" t="s">
        <v>75</v>
      </c>
      <c r="O1137">
        <v>0</v>
      </c>
      <c r="P1137" t="s">
        <v>111</v>
      </c>
      <c r="Q1137" s="2">
        <v>46371</v>
      </c>
      <c r="R1137" t="s">
        <v>57</v>
      </c>
    </row>
    <row r="1138" spans="1:18" x14ac:dyDescent="0.2">
      <c r="A1138" t="s">
        <v>2334</v>
      </c>
      <c r="B1138" t="s">
        <v>2335</v>
      </c>
      <c r="C1138" t="s">
        <v>31</v>
      </c>
      <c r="D1138" t="s">
        <v>87</v>
      </c>
      <c r="E1138" t="s">
        <v>105</v>
      </c>
      <c r="F1138" t="s">
        <v>34</v>
      </c>
      <c r="G1138" t="s">
        <v>35</v>
      </c>
      <c r="H1138" t="s">
        <v>88</v>
      </c>
      <c r="I1138" t="s">
        <v>70</v>
      </c>
      <c r="J1138" t="s">
        <v>48</v>
      </c>
      <c r="K1138" s="2">
        <v>46095</v>
      </c>
      <c r="L1138" s="2">
        <v>46185</v>
      </c>
      <c r="M1138" t="s">
        <v>38</v>
      </c>
      <c r="N1138" t="s">
        <v>75</v>
      </c>
      <c r="O1138">
        <v>1</v>
      </c>
      <c r="P1138" t="s">
        <v>70</v>
      </c>
      <c r="Q1138" s="2">
        <v>46394</v>
      </c>
      <c r="R1138" t="s">
        <v>84</v>
      </c>
    </row>
    <row r="1139" spans="1:18" x14ac:dyDescent="0.2">
      <c r="A1139" t="s">
        <v>2336</v>
      </c>
      <c r="B1139" t="s">
        <v>2337</v>
      </c>
      <c r="C1139" t="s">
        <v>78</v>
      </c>
      <c r="D1139" t="s">
        <v>79</v>
      </c>
      <c r="E1139" t="s">
        <v>53</v>
      </c>
      <c r="F1139" t="s">
        <v>45</v>
      </c>
      <c r="G1139" t="s">
        <v>46</v>
      </c>
      <c r="H1139" t="s">
        <v>47</v>
      </c>
      <c r="I1139" t="s">
        <v>54</v>
      </c>
      <c r="J1139" t="s">
        <v>48</v>
      </c>
      <c r="K1139" s="2">
        <v>46030</v>
      </c>
      <c r="L1139" s="2">
        <v>46395</v>
      </c>
      <c r="M1139" t="s">
        <v>64</v>
      </c>
      <c r="N1139" t="s">
        <v>75</v>
      </c>
      <c r="O1139">
        <v>3</v>
      </c>
      <c r="P1139" t="s">
        <v>54</v>
      </c>
      <c r="Q1139" s="2">
        <v>46336</v>
      </c>
      <c r="R1139" t="s">
        <v>64</v>
      </c>
    </row>
    <row r="1140" spans="1:18" x14ac:dyDescent="0.2">
      <c r="A1140" t="s">
        <v>2338</v>
      </c>
      <c r="B1140" t="s">
        <v>2339</v>
      </c>
      <c r="C1140" t="s">
        <v>78</v>
      </c>
      <c r="D1140" t="s">
        <v>79</v>
      </c>
      <c r="E1140" t="s">
        <v>60</v>
      </c>
      <c r="F1140" t="s">
        <v>34</v>
      </c>
      <c r="G1140" t="s">
        <v>35</v>
      </c>
      <c r="H1140" t="s">
        <v>36</v>
      </c>
      <c r="I1140" t="s">
        <v>70</v>
      </c>
      <c r="J1140" t="s">
        <v>63</v>
      </c>
      <c r="K1140" s="2">
        <v>45894</v>
      </c>
      <c r="L1140" s="2">
        <v>45984</v>
      </c>
      <c r="M1140" t="s">
        <v>38</v>
      </c>
      <c r="N1140" t="s">
        <v>49</v>
      </c>
      <c r="O1140">
        <v>3</v>
      </c>
      <c r="P1140" t="s">
        <v>106</v>
      </c>
      <c r="Q1140" s="2">
        <v>46400</v>
      </c>
      <c r="R1140" t="s">
        <v>84</v>
      </c>
    </row>
    <row r="1141" spans="1:18" x14ac:dyDescent="0.2">
      <c r="A1141" t="s">
        <v>2340</v>
      </c>
      <c r="B1141" t="s">
        <v>2341</v>
      </c>
      <c r="C1141" t="s">
        <v>31</v>
      </c>
      <c r="D1141" t="s">
        <v>87</v>
      </c>
      <c r="E1141" t="s">
        <v>105</v>
      </c>
      <c r="F1141" t="s">
        <v>45</v>
      </c>
      <c r="G1141" t="s">
        <v>46</v>
      </c>
      <c r="H1141" t="s">
        <v>88</v>
      </c>
      <c r="I1141" t="s">
        <v>39</v>
      </c>
      <c r="J1141" t="s">
        <v>37</v>
      </c>
      <c r="K1141" s="2">
        <v>45983</v>
      </c>
      <c r="L1141" s="2">
        <v>46163</v>
      </c>
      <c r="M1141" t="s">
        <v>38</v>
      </c>
      <c r="N1141" t="s">
        <v>55</v>
      </c>
      <c r="O1141">
        <v>2</v>
      </c>
      <c r="P1141" t="s">
        <v>70</v>
      </c>
      <c r="Q1141" s="2">
        <v>46288</v>
      </c>
      <c r="R1141" t="s">
        <v>38</v>
      </c>
    </row>
    <row r="1142" spans="1:18" x14ac:dyDescent="0.2">
      <c r="A1142" t="s">
        <v>2342</v>
      </c>
      <c r="B1142" t="s">
        <v>2343</v>
      </c>
      <c r="C1142" t="s">
        <v>73</v>
      </c>
      <c r="D1142" t="s">
        <v>74</v>
      </c>
      <c r="E1142" t="s">
        <v>60</v>
      </c>
      <c r="F1142" t="s">
        <v>45</v>
      </c>
      <c r="G1142" t="s">
        <v>46</v>
      </c>
      <c r="H1142" t="s">
        <v>88</v>
      </c>
      <c r="I1142" t="s">
        <v>70</v>
      </c>
      <c r="J1142" t="s">
        <v>63</v>
      </c>
      <c r="K1142" s="2">
        <v>45972</v>
      </c>
      <c r="L1142" s="2">
        <v>46062</v>
      </c>
      <c r="M1142" t="s">
        <v>38</v>
      </c>
      <c r="N1142" t="s">
        <v>75</v>
      </c>
      <c r="O1142">
        <v>3</v>
      </c>
      <c r="P1142" t="s">
        <v>39</v>
      </c>
      <c r="Q1142" s="2">
        <v>46398</v>
      </c>
      <c r="R1142" t="s">
        <v>84</v>
      </c>
    </row>
    <row r="1143" spans="1:18" x14ac:dyDescent="0.2">
      <c r="A1143" t="s">
        <v>2344</v>
      </c>
      <c r="B1143" t="s">
        <v>2345</v>
      </c>
      <c r="C1143" t="s">
        <v>31</v>
      </c>
      <c r="D1143" t="s">
        <v>83</v>
      </c>
      <c r="E1143" t="s">
        <v>44</v>
      </c>
      <c r="F1143" t="s">
        <v>34</v>
      </c>
      <c r="G1143" t="s">
        <v>35</v>
      </c>
      <c r="H1143" t="s">
        <v>88</v>
      </c>
      <c r="I1143" t="s">
        <v>62</v>
      </c>
      <c r="J1143" t="s">
        <v>37</v>
      </c>
      <c r="K1143" s="2">
        <v>46125</v>
      </c>
      <c r="L1143" s="2">
        <v>46215</v>
      </c>
      <c r="M1143" t="s">
        <v>38</v>
      </c>
      <c r="N1143" t="s">
        <v>55</v>
      </c>
      <c r="O1143">
        <v>0</v>
      </c>
      <c r="P1143" t="s">
        <v>62</v>
      </c>
      <c r="Q1143" s="2">
        <v>46268</v>
      </c>
      <c r="R1143" t="s">
        <v>57</v>
      </c>
    </row>
    <row r="1144" spans="1:18" x14ac:dyDescent="0.2">
      <c r="A1144" t="s">
        <v>2346</v>
      </c>
      <c r="B1144" t="s">
        <v>2347</v>
      </c>
      <c r="C1144" t="s">
        <v>78</v>
      </c>
      <c r="D1144" t="s">
        <v>79</v>
      </c>
      <c r="E1144" t="s">
        <v>53</v>
      </c>
      <c r="F1144" t="s">
        <v>45</v>
      </c>
      <c r="G1144" t="s">
        <v>61</v>
      </c>
      <c r="H1144" t="s">
        <v>36</v>
      </c>
      <c r="I1144" t="s">
        <v>70</v>
      </c>
      <c r="J1144" t="s">
        <v>48</v>
      </c>
      <c r="K1144" s="2">
        <v>46004</v>
      </c>
      <c r="L1144" s="2">
        <v>46184</v>
      </c>
      <c r="M1144" t="s">
        <v>38</v>
      </c>
      <c r="N1144" t="s">
        <v>55</v>
      </c>
      <c r="O1144">
        <v>3</v>
      </c>
      <c r="P1144" t="s">
        <v>56</v>
      </c>
      <c r="Q1144" s="2">
        <v>46272</v>
      </c>
      <c r="R1144" t="s">
        <v>38</v>
      </c>
    </row>
    <row r="1145" spans="1:18" x14ac:dyDescent="0.2">
      <c r="A1145" t="s">
        <v>2348</v>
      </c>
      <c r="B1145" t="s">
        <v>2349</v>
      </c>
      <c r="C1145" t="s">
        <v>31</v>
      </c>
      <c r="D1145" t="s">
        <v>32</v>
      </c>
      <c r="E1145" t="s">
        <v>91</v>
      </c>
      <c r="F1145" t="s">
        <v>67</v>
      </c>
      <c r="G1145" t="s">
        <v>68</v>
      </c>
      <c r="H1145" t="s">
        <v>47</v>
      </c>
      <c r="I1145" t="s">
        <v>50</v>
      </c>
      <c r="J1145" t="s">
        <v>37</v>
      </c>
      <c r="K1145" s="2">
        <v>45799</v>
      </c>
      <c r="L1145" s="2">
        <v>46164</v>
      </c>
      <c r="M1145" t="s">
        <v>38</v>
      </c>
      <c r="N1145" t="s">
        <v>49</v>
      </c>
      <c r="O1145">
        <v>0</v>
      </c>
      <c r="P1145" t="s">
        <v>106</v>
      </c>
      <c r="Q1145" s="2">
        <v>46300</v>
      </c>
      <c r="R1145" t="s">
        <v>57</v>
      </c>
    </row>
    <row r="1146" spans="1:18" x14ac:dyDescent="0.2">
      <c r="A1146" t="s">
        <v>2350</v>
      </c>
      <c r="B1146" t="s">
        <v>2351</v>
      </c>
      <c r="C1146" t="s">
        <v>31</v>
      </c>
      <c r="D1146" t="s">
        <v>32</v>
      </c>
      <c r="E1146" t="s">
        <v>44</v>
      </c>
      <c r="F1146" t="s">
        <v>67</v>
      </c>
      <c r="G1146" t="s">
        <v>68</v>
      </c>
      <c r="H1146" t="s">
        <v>88</v>
      </c>
      <c r="I1146" t="s">
        <v>70</v>
      </c>
      <c r="J1146" t="s">
        <v>63</v>
      </c>
      <c r="K1146" s="2">
        <v>46157</v>
      </c>
      <c r="L1146" s="2">
        <v>46247</v>
      </c>
      <c r="M1146" t="s">
        <v>38</v>
      </c>
      <c r="N1146" t="s">
        <v>75</v>
      </c>
      <c r="O1146">
        <v>2</v>
      </c>
      <c r="P1146" t="s">
        <v>56</v>
      </c>
      <c r="Q1146" s="2">
        <v>46396</v>
      </c>
      <c r="R1146" t="s">
        <v>84</v>
      </c>
    </row>
    <row r="1147" spans="1:18" x14ac:dyDescent="0.2">
      <c r="A1147" t="s">
        <v>2352</v>
      </c>
      <c r="B1147" t="s">
        <v>2353</v>
      </c>
      <c r="C1147" t="s">
        <v>31</v>
      </c>
      <c r="D1147" t="s">
        <v>32</v>
      </c>
      <c r="E1147" t="s">
        <v>105</v>
      </c>
      <c r="F1147" t="s">
        <v>34</v>
      </c>
      <c r="G1147" t="s">
        <v>35</v>
      </c>
      <c r="H1147" t="s">
        <v>36</v>
      </c>
      <c r="I1147" t="s">
        <v>39</v>
      </c>
      <c r="J1147" t="s">
        <v>48</v>
      </c>
      <c r="K1147" s="2">
        <v>46116</v>
      </c>
      <c r="L1147" s="2">
        <v>46296</v>
      </c>
      <c r="M1147" t="s">
        <v>64</v>
      </c>
      <c r="N1147" t="s">
        <v>75</v>
      </c>
      <c r="O1147">
        <v>2</v>
      </c>
      <c r="P1147" t="s">
        <v>70</v>
      </c>
      <c r="Q1147" s="2">
        <v>46141</v>
      </c>
      <c r="R1147" t="s">
        <v>64</v>
      </c>
    </row>
    <row r="1148" spans="1:18" x14ac:dyDescent="0.2">
      <c r="A1148" t="s">
        <v>2354</v>
      </c>
      <c r="B1148" t="s">
        <v>2355</v>
      </c>
      <c r="C1148" t="s">
        <v>103</v>
      </c>
      <c r="D1148" t="s">
        <v>104</v>
      </c>
      <c r="E1148" t="s">
        <v>80</v>
      </c>
      <c r="F1148" t="s">
        <v>67</v>
      </c>
      <c r="G1148" t="s">
        <v>68</v>
      </c>
      <c r="H1148" t="s">
        <v>36</v>
      </c>
      <c r="I1148" t="s">
        <v>62</v>
      </c>
      <c r="J1148" t="s">
        <v>37</v>
      </c>
      <c r="K1148" s="2">
        <v>45998</v>
      </c>
      <c r="L1148" s="2">
        <v>46088</v>
      </c>
      <c r="M1148" t="s">
        <v>38</v>
      </c>
      <c r="N1148" t="s">
        <v>75</v>
      </c>
      <c r="O1148">
        <v>1</v>
      </c>
      <c r="P1148" t="s">
        <v>50</v>
      </c>
      <c r="Q1148" s="2">
        <v>46402</v>
      </c>
      <c r="R1148" t="s">
        <v>84</v>
      </c>
    </row>
    <row r="1149" spans="1:18" x14ac:dyDescent="0.2">
      <c r="A1149" t="s">
        <v>2356</v>
      </c>
      <c r="B1149" t="s">
        <v>2357</v>
      </c>
      <c r="C1149" t="s">
        <v>78</v>
      </c>
      <c r="D1149" t="s">
        <v>79</v>
      </c>
      <c r="E1149" t="s">
        <v>91</v>
      </c>
      <c r="F1149" t="s">
        <v>45</v>
      </c>
      <c r="G1149" t="s">
        <v>46</v>
      </c>
      <c r="H1149" t="s">
        <v>36</v>
      </c>
      <c r="I1149" t="s">
        <v>111</v>
      </c>
      <c r="J1149" t="s">
        <v>63</v>
      </c>
      <c r="K1149" s="2">
        <v>46164</v>
      </c>
      <c r="L1149" s="2">
        <v>46529</v>
      </c>
      <c r="M1149" t="s">
        <v>84</v>
      </c>
      <c r="N1149" t="s">
        <v>49</v>
      </c>
      <c r="O1149">
        <v>5</v>
      </c>
      <c r="P1149" t="s">
        <v>56</v>
      </c>
      <c r="Q1149" s="2">
        <v>46375</v>
      </c>
      <c r="R1149" t="s">
        <v>64</v>
      </c>
    </row>
    <row r="1150" spans="1:18" x14ac:dyDescent="0.2">
      <c r="A1150" t="s">
        <v>2358</v>
      </c>
      <c r="B1150" t="s">
        <v>2359</v>
      </c>
      <c r="C1150" t="s">
        <v>42</v>
      </c>
      <c r="D1150" t="s">
        <v>43</v>
      </c>
      <c r="E1150" t="s">
        <v>80</v>
      </c>
      <c r="F1150" t="s">
        <v>34</v>
      </c>
      <c r="G1150" t="s">
        <v>35</v>
      </c>
      <c r="H1150" t="s">
        <v>88</v>
      </c>
      <c r="I1150" t="s">
        <v>39</v>
      </c>
      <c r="J1150" t="s">
        <v>48</v>
      </c>
      <c r="K1150" s="2">
        <v>46055</v>
      </c>
      <c r="L1150" s="2">
        <v>46145</v>
      </c>
      <c r="M1150" t="s">
        <v>38</v>
      </c>
      <c r="N1150" t="s">
        <v>49</v>
      </c>
      <c r="O1150">
        <v>3</v>
      </c>
      <c r="P1150" t="s">
        <v>62</v>
      </c>
      <c r="Q1150" s="2">
        <v>46213</v>
      </c>
      <c r="R1150" t="s">
        <v>38</v>
      </c>
    </row>
    <row r="1151" spans="1:18" x14ac:dyDescent="0.2">
      <c r="A1151" t="s">
        <v>2360</v>
      </c>
      <c r="B1151" t="s">
        <v>2361</v>
      </c>
      <c r="C1151" t="s">
        <v>96</v>
      </c>
      <c r="D1151" t="s">
        <v>97</v>
      </c>
      <c r="E1151" t="s">
        <v>60</v>
      </c>
      <c r="F1151" t="s">
        <v>34</v>
      </c>
      <c r="G1151" t="s">
        <v>35</v>
      </c>
      <c r="H1151" t="s">
        <v>47</v>
      </c>
      <c r="I1151" t="s">
        <v>54</v>
      </c>
      <c r="J1151" t="s">
        <v>48</v>
      </c>
      <c r="K1151" s="2">
        <v>45960</v>
      </c>
      <c r="L1151" s="2">
        <v>46050</v>
      </c>
      <c r="M1151" t="s">
        <v>38</v>
      </c>
      <c r="N1151" t="s">
        <v>49</v>
      </c>
      <c r="O1151">
        <v>3</v>
      </c>
      <c r="P1151" t="s">
        <v>62</v>
      </c>
      <c r="Q1151" s="2">
        <v>46245</v>
      </c>
      <c r="R1151" t="s">
        <v>38</v>
      </c>
    </row>
    <row r="1152" spans="1:18" x14ac:dyDescent="0.2">
      <c r="A1152" t="s">
        <v>2362</v>
      </c>
      <c r="B1152" t="s">
        <v>2363</v>
      </c>
      <c r="C1152" t="s">
        <v>31</v>
      </c>
      <c r="D1152" t="s">
        <v>83</v>
      </c>
      <c r="E1152" t="s">
        <v>91</v>
      </c>
      <c r="F1152" t="s">
        <v>34</v>
      </c>
      <c r="G1152" t="s">
        <v>35</v>
      </c>
      <c r="H1152" t="s">
        <v>47</v>
      </c>
      <c r="I1152" t="s">
        <v>50</v>
      </c>
      <c r="J1152" t="s">
        <v>48</v>
      </c>
      <c r="K1152" s="2">
        <v>45980</v>
      </c>
      <c r="L1152" s="2">
        <v>46070</v>
      </c>
      <c r="M1152" t="s">
        <v>38</v>
      </c>
      <c r="N1152" t="s">
        <v>49</v>
      </c>
      <c r="O1152">
        <v>0</v>
      </c>
      <c r="P1152" t="s">
        <v>54</v>
      </c>
      <c r="Q1152" s="2">
        <v>46242</v>
      </c>
      <c r="R1152" t="s">
        <v>57</v>
      </c>
    </row>
    <row r="1153" spans="1:18" x14ac:dyDescent="0.2">
      <c r="A1153" t="s">
        <v>2364</v>
      </c>
      <c r="B1153" t="s">
        <v>2365</v>
      </c>
      <c r="C1153" t="s">
        <v>31</v>
      </c>
      <c r="D1153" t="s">
        <v>32</v>
      </c>
      <c r="E1153" t="s">
        <v>91</v>
      </c>
      <c r="F1153" t="s">
        <v>45</v>
      </c>
      <c r="G1153" t="s">
        <v>1215</v>
      </c>
      <c r="H1153" t="s">
        <v>47</v>
      </c>
      <c r="I1153" t="s">
        <v>62</v>
      </c>
      <c r="J1153" t="s">
        <v>63</v>
      </c>
      <c r="K1153" s="2">
        <v>46207</v>
      </c>
      <c r="L1153" s="2">
        <v>46297</v>
      </c>
      <c r="M1153" t="s">
        <v>64</v>
      </c>
      <c r="N1153" t="s">
        <v>55</v>
      </c>
      <c r="O1153">
        <v>0</v>
      </c>
      <c r="P1153" t="s">
        <v>39</v>
      </c>
      <c r="Q1153" s="2">
        <v>46222</v>
      </c>
      <c r="R1153" t="s">
        <v>57</v>
      </c>
    </row>
    <row r="1154" spans="1:18" x14ac:dyDescent="0.2">
      <c r="A1154" t="s">
        <v>2366</v>
      </c>
      <c r="B1154" t="s">
        <v>2367</v>
      </c>
      <c r="C1154" t="s">
        <v>42</v>
      </c>
      <c r="D1154" t="s">
        <v>43</v>
      </c>
      <c r="E1154" t="s">
        <v>53</v>
      </c>
      <c r="F1154" t="s">
        <v>67</v>
      </c>
      <c r="G1154" t="s">
        <v>68</v>
      </c>
      <c r="H1154" t="s">
        <v>47</v>
      </c>
      <c r="I1154" t="s">
        <v>50</v>
      </c>
      <c r="J1154" t="s">
        <v>63</v>
      </c>
      <c r="K1154" s="2">
        <v>46200</v>
      </c>
      <c r="L1154" s="2">
        <v>46565</v>
      </c>
      <c r="M1154" t="s">
        <v>84</v>
      </c>
      <c r="N1154" t="s">
        <v>75</v>
      </c>
      <c r="O1154">
        <v>2</v>
      </c>
      <c r="P1154" t="s">
        <v>54</v>
      </c>
      <c r="Q1154" s="2">
        <v>46325</v>
      </c>
      <c r="R1154" t="s">
        <v>84</v>
      </c>
    </row>
    <row r="1155" spans="1:18" x14ac:dyDescent="0.2">
      <c r="A1155" t="s">
        <v>2368</v>
      </c>
      <c r="B1155" t="s">
        <v>2369</v>
      </c>
      <c r="C1155" t="s">
        <v>42</v>
      </c>
      <c r="D1155" t="s">
        <v>43</v>
      </c>
      <c r="E1155" t="s">
        <v>44</v>
      </c>
      <c r="F1155" t="s">
        <v>34</v>
      </c>
      <c r="G1155" t="s">
        <v>35</v>
      </c>
      <c r="H1155" t="s">
        <v>88</v>
      </c>
      <c r="I1155" t="s">
        <v>54</v>
      </c>
      <c r="J1155" t="s">
        <v>48</v>
      </c>
      <c r="K1155" s="2">
        <v>45830</v>
      </c>
      <c r="L1155" s="2">
        <v>46195</v>
      </c>
      <c r="M1155" t="s">
        <v>38</v>
      </c>
      <c r="N1155" t="s">
        <v>49</v>
      </c>
      <c r="O1155">
        <v>1</v>
      </c>
      <c r="P1155" t="s">
        <v>56</v>
      </c>
      <c r="Q1155" s="2">
        <v>46365</v>
      </c>
      <c r="R1155" t="s">
        <v>84</v>
      </c>
    </row>
    <row r="1156" spans="1:18" x14ac:dyDescent="0.2">
      <c r="A1156" t="s">
        <v>2370</v>
      </c>
      <c r="B1156" t="s">
        <v>2371</v>
      </c>
      <c r="C1156" t="s">
        <v>42</v>
      </c>
      <c r="D1156" t="s">
        <v>43</v>
      </c>
      <c r="E1156" t="s">
        <v>80</v>
      </c>
      <c r="F1156" t="s">
        <v>45</v>
      </c>
      <c r="G1156" t="s">
        <v>61</v>
      </c>
      <c r="H1156" t="s">
        <v>47</v>
      </c>
      <c r="I1156" t="s">
        <v>39</v>
      </c>
      <c r="J1156" t="s">
        <v>37</v>
      </c>
      <c r="K1156" s="2">
        <v>45892</v>
      </c>
      <c r="L1156" s="2">
        <v>46072</v>
      </c>
      <c r="M1156" t="s">
        <v>38</v>
      </c>
      <c r="N1156" t="s">
        <v>49</v>
      </c>
      <c r="O1156">
        <v>2</v>
      </c>
      <c r="P1156" t="s">
        <v>56</v>
      </c>
      <c r="Q1156" s="2">
        <v>46219</v>
      </c>
      <c r="R1156" t="s">
        <v>38</v>
      </c>
    </row>
    <row r="1157" spans="1:18" x14ac:dyDescent="0.2">
      <c r="A1157" t="s">
        <v>2372</v>
      </c>
      <c r="B1157" t="s">
        <v>2373</v>
      </c>
      <c r="C1157" t="s">
        <v>42</v>
      </c>
      <c r="D1157" t="s">
        <v>43</v>
      </c>
      <c r="E1157" t="s">
        <v>105</v>
      </c>
      <c r="F1157" t="s">
        <v>45</v>
      </c>
      <c r="G1157" t="s">
        <v>61</v>
      </c>
      <c r="H1157" t="s">
        <v>88</v>
      </c>
      <c r="I1157" t="s">
        <v>70</v>
      </c>
      <c r="J1157" t="s">
        <v>37</v>
      </c>
      <c r="K1157" s="2">
        <v>45975</v>
      </c>
      <c r="L1157" s="2">
        <v>46155</v>
      </c>
      <c r="M1157" t="s">
        <v>38</v>
      </c>
      <c r="N1157" t="s">
        <v>75</v>
      </c>
      <c r="O1157">
        <v>2</v>
      </c>
      <c r="P1157" t="s">
        <v>62</v>
      </c>
      <c r="Q1157" s="2">
        <v>46229</v>
      </c>
      <c r="R1157" t="s">
        <v>38</v>
      </c>
    </row>
    <row r="1158" spans="1:18" x14ac:dyDescent="0.2">
      <c r="A1158" t="s">
        <v>2374</v>
      </c>
      <c r="B1158" t="s">
        <v>2375</v>
      </c>
      <c r="C1158" t="s">
        <v>73</v>
      </c>
      <c r="D1158" t="s">
        <v>74</v>
      </c>
      <c r="E1158" t="s">
        <v>80</v>
      </c>
      <c r="F1158" t="s">
        <v>67</v>
      </c>
      <c r="G1158" t="s">
        <v>68</v>
      </c>
      <c r="H1158" t="s">
        <v>47</v>
      </c>
      <c r="I1158" t="s">
        <v>50</v>
      </c>
      <c r="J1158" t="s">
        <v>37</v>
      </c>
      <c r="K1158" s="2">
        <v>46267</v>
      </c>
      <c r="L1158" s="2">
        <v>46357</v>
      </c>
      <c r="M1158" t="s">
        <v>69</v>
      </c>
      <c r="N1158" t="s">
        <v>55</v>
      </c>
      <c r="O1158">
        <v>1</v>
      </c>
      <c r="P1158" t="s">
        <v>70</v>
      </c>
      <c r="Q1158" s="2">
        <v>46171</v>
      </c>
      <c r="R1158" t="s">
        <v>64</v>
      </c>
    </row>
    <row r="1159" spans="1:18" x14ac:dyDescent="0.2">
      <c r="A1159" t="s">
        <v>2376</v>
      </c>
      <c r="B1159" t="s">
        <v>2377</v>
      </c>
      <c r="C1159" t="s">
        <v>31</v>
      </c>
      <c r="D1159" t="s">
        <v>83</v>
      </c>
      <c r="E1159" t="s">
        <v>91</v>
      </c>
      <c r="F1159" t="s">
        <v>67</v>
      </c>
      <c r="G1159" t="s">
        <v>118</v>
      </c>
      <c r="H1159" t="s">
        <v>88</v>
      </c>
      <c r="I1159" t="s">
        <v>70</v>
      </c>
      <c r="J1159" t="s">
        <v>37</v>
      </c>
      <c r="K1159" s="2">
        <v>45985</v>
      </c>
      <c r="L1159" s="2">
        <v>46075</v>
      </c>
      <c r="M1159" t="s">
        <v>38</v>
      </c>
      <c r="N1159" t="s">
        <v>55</v>
      </c>
      <c r="O1159">
        <v>2</v>
      </c>
      <c r="P1159" t="s">
        <v>39</v>
      </c>
      <c r="Q1159" s="2">
        <v>46244</v>
      </c>
      <c r="R1159" t="s">
        <v>38</v>
      </c>
    </row>
    <row r="1160" spans="1:18" x14ac:dyDescent="0.2">
      <c r="A1160" t="s">
        <v>2378</v>
      </c>
      <c r="B1160" t="s">
        <v>2379</v>
      </c>
      <c r="C1160" t="s">
        <v>42</v>
      </c>
      <c r="D1160" t="s">
        <v>43</v>
      </c>
      <c r="E1160" t="s">
        <v>53</v>
      </c>
      <c r="F1160" t="s">
        <v>45</v>
      </c>
      <c r="G1160" t="s">
        <v>46</v>
      </c>
      <c r="H1160" t="s">
        <v>36</v>
      </c>
      <c r="I1160" t="s">
        <v>62</v>
      </c>
      <c r="J1160" t="s">
        <v>37</v>
      </c>
      <c r="K1160" s="2">
        <v>45985</v>
      </c>
      <c r="L1160" s="2">
        <v>46165</v>
      </c>
      <c r="M1160" t="s">
        <v>38</v>
      </c>
      <c r="N1160" t="s">
        <v>55</v>
      </c>
      <c r="O1160">
        <v>3</v>
      </c>
      <c r="P1160" t="s">
        <v>56</v>
      </c>
      <c r="Q1160" s="2">
        <v>46214</v>
      </c>
      <c r="R1160" t="s">
        <v>64</v>
      </c>
    </row>
    <row r="1161" spans="1:18" x14ac:dyDescent="0.2">
      <c r="A1161" t="s">
        <v>2380</v>
      </c>
      <c r="B1161" t="s">
        <v>2381</v>
      </c>
      <c r="C1161" t="s">
        <v>103</v>
      </c>
      <c r="D1161" t="s">
        <v>104</v>
      </c>
      <c r="E1161" t="s">
        <v>60</v>
      </c>
      <c r="F1161" t="s">
        <v>34</v>
      </c>
      <c r="G1161" t="s">
        <v>35</v>
      </c>
      <c r="H1161" t="s">
        <v>47</v>
      </c>
      <c r="I1161" t="s">
        <v>62</v>
      </c>
      <c r="J1161" t="s">
        <v>48</v>
      </c>
      <c r="K1161" s="2">
        <v>45933</v>
      </c>
      <c r="L1161" s="2">
        <v>46298</v>
      </c>
      <c r="M1161" t="s">
        <v>69</v>
      </c>
      <c r="N1161" t="s">
        <v>55</v>
      </c>
      <c r="O1161">
        <v>3</v>
      </c>
      <c r="P1161" t="s">
        <v>106</v>
      </c>
      <c r="Q1161" s="2">
        <v>46356</v>
      </c>
      <c r="R1161" t="s">
        <v>84</v>
      </c>
    </row>
    <row r="1162" spans="1:18" x14ac:dyDescent="0.2">
      <c r="A1162" t="s">
        <v>2382</v>
      </c>
      <c r="B1162" t="s">
        <v>2383</v>
      </c>
      <c r="C1162" t="s">
        <v>31</v>
      </c>
      <c r="D1162" t="s">
        <v>83</v>
      </c>
      <c r="E1162" t="s">
        <v>44</v>
      </c>
      <c r="F1162" t="s">
        <v>67</v>
      </c>
      <c r="G1162" t="s">
        <v>118</v>
      </c>
      <c r="H1162" t="s">
        <v>88</v>
      </c>
      <c r="I1162" t="s">
        <v>111</v>
      </c>
      <c r="J1162" t="s">
        <v>37</v>
      </c>
      <c r="K1162" s="2">
        <v>46159</v>
      </c>
      <c r="L1162" s="2">
        <v>46339</v>
      </c>
      <c r="M1162" t="s">
        <v>84</v>
      </c>
      <c r="N1162" t="s">
        <v>49</v>
      </c>
      <c r="O1162">
        <v>0</v>
      </c>
      <c r="P1162" t="s">
        <v>39</v>
      </c>
      <c r="Q1162" s="2">
        <v>46167</v>
      </c>
      <c r="R1162" t="s">
        <v>57</v>
      </c>
    </row>
    <row r="1163" spans="1:18" x14ac:dyDescent="0.2">
      <c r="A1163" t="s">
        <v>2384</v>
      </c>
      <c r="B1163" t="s">
        <v>2385</v>
      </c>
      <c r="C1163" t="s">
        <v>103</v>
      </c>
      <c r="D1163" t="s">
        <v>104</v>
      </c>
      <c r="E1163" t="s">
        <v>80</v>
      </c>
      <c r="F1163" t="s">
        <v>45</v>
      </c>
      <c r="G1163" t="s">
        <v>61</v>
      </c>
      <c r="H1163" t="s">
        <v>88</v>
      </c>
      <c r="I1163" t="s">
        <v>70</v>
      </c>
      <c r="J1163" t="s">
        <v>48</v>
      </c>
      <c r="K1163" s="2">
        <v>46223</v>
      </c>
      <c r="L1163" s="2">
        <v>46588</v>
      </c>
      <c r="M1163" t="s">
        <v>69</v>
      </c>
      <c r="N1163" t="s">
        <v>49</v>
      </c>
      <c r="O1163">
        <v>1</v>
      </c>
      <c r="P1163" t="s">
        <v>39</v>
      </c>
      <c r="Q1163" s="2">
        <v>46228</v>
      </c>
      <c r="R1163" t="s">
        <v>38</v>
      </c>
    </row>
    <row r="1164" spans="1:18" x14ac:dyDescent="0.2">
      <c r="A1164" t="s">
        <v>2386</v>
      </c>
      <c r="B1164" t="s">
        <v>2387</v>
      </c>
      <c r="C1164" t="s">
        <v>31</v>
      </c>
      <c r="D1164" t="s">
        <v>32</v>
      </c>
      <c r="E1164" t="s">
        <v>60</v>
      </c>
      <c r="F1164" t="s">
        <v>67</v>
      </c>
      <c r="G1164" t="s">
        <v>68</v>
      </c>
      <c r="H1164" t="s">
        <v>88</v>
      </c>
      <c r="I1164" t="s">
        <v>56</v>
      </c>
      <c r="J1164" t="s">
        <v>37</v>
      </c>
      <c r="K1164" s="2">
        <v>45946</v>
      </c>
      <c r="L1164" s="2">
        <v>46311</v>
      </c>
      <c r="M1164" t="s">
        <v>84</v>
      </c>
      <c r="N1164" t="s">
        <v>55</v>
      </c>
      <c r="O1164">
        <v>2</v>
      </c>
      <c r="P1164" t="s">
        <v>54</v>
      </c>
      <c r="Q1164" s="2">
        <v>46236</v>
      </c>
      <c r="R1164" t="s">
        <v>38</v>
      </c>
    </row>
    <row r="1165" spans="1:18" x14ac:dyDescent="0.2">
      <c r="A1165" t="s">
        <v>2388</v>
      </c>
      <c r="B1165" t="s">
        <v>2389</v>
      </c>
      <c r="C1165" t="s">
        <v>103</v>
      </c>
      <c r="D1165" t="s">
        <v>104</v>
      </c>
      <c r="E1165" t="s">
        <v>91</v>
      </c>
      <c r="F1165" t="s">
        <v>45</v>
      </c>
      <c r="G1165" t="s">
        <v>61</v>
      </c>
      <c r="H1165" t="s">
        <v>47</v>
      </c>
      <c r="I1165" t="s">
        <v>50</v>
      </c>
      <c r="J1165" t="s">
        <v>37</v>
      </c>
      <c r="K1165" s="2">
        <v>45939</v>
      </c>
      <c r="L1165" s="2">
        <v>46304</v>
      </c>
      <c r="M1165" t="s">
        <v>69</v>
      </c>
      <c r="N1165" t="s">
        <v>55</v>
      </c>
      <c r="O1165">
        <v>3</v>
      </c>
      <c r="P1165" t="s">
        <v>39</v>
      </c>
      <c r="Q1165" s="2">
        <v>46284</v>
      </c>
      <c r="R1165" t="s">
        <v>64</v>
      </c>
    </row>
    <row r="1166" spans="1:18" x14ac:dyDescent="0.2">
      <c r="A1166" t="s">
        <v>2390</v>
      </c>
      <c r="B1166" t="s">
        <v>2391</v>
      </c>
      <c r="C1166" t="s">
        <v>103</v>
      </c>
      <c r="D1166" t="s">
        <v>104</v>
      </c>
      <c r="E1166" t="s">
        <v>53</v>
      </c>
      <c r="F1166" t="s">
        <v>67</v>
      </c>
      <c r="G1166" t="s">
        <v>118</v>
      </c>
      <c r="H1166" t="s">
        <v>36</v>
      </c>
      <c r="I1166" t="s">
        <v>50</v>
      </c>
      <c r="J1166" t="s">
        <v>48</v>
      </c>
      <c r="K1166" s="2">
        <v>46262</v>
      </c>
      <c r="L1166" s="2">
        <v>46627</v>
      </c>
      <c r="M1166" t="s">
        <v>64</v>
      </c>
      <c r="N1166" t="s">
        <v>49</v>
      </c>
      <c r="O1166">
        <v>4</v>
      </c>
      <c r="P1166" t="s">
        <v>54</v>
      </c>
      <c r="Q1166" s="2">
        <v>46125</v>
      </c>
      <c r="R1166" t="s">
        <v>38</v>
      </c>
    </row>
    <row r="1167" spans="1:18" x14ac:dyDescent="0.2">
      <c r="A1167" t="s">
        <v>2392</v>
      </c>
      <c r="B1167" t="s">
        <v>2393</v>
      </c>
      <c r="C1167" t="s">
        <v>96</v>
      </c>
      <c r="D1167" t="s">
        <v>97</v>
      </c>
      <c r="E1167" t="s">
        <v>91</v>
      </c>
      <c r="F1167" t="s">
        <v>34</v>
      </c>
      <c r="G1167" t="s">
        <v>35</v>
      </c>
      <c r="H1167" t="s">
        <v>47</v>
      </c>
      <c r="I1167" t="s">
        <v>54</v>
      </c>
      <c r="J1167" t="s">
        <v>63</v>
      </c>
      <c r="K1167" s="2">
        <v>46174</v>
      </c>
      <c r="L1167" s="2">
        <v>46264</v>
      </c>
      <c r="M1167" t="s">
        <v>38</v>
      </c>
      <c r="O1167">
        <v>2</v>
      </c>
      <c r="P1167" t="s">
        <v>50</v>
      </c>
      <c r="Q1167" s="2">
        <v>46350</v>
      </c>
      <c r="R1167" t="s">
        <v>64</v>
      </c>
    </row>
    <row r="1168" spans="1:18" x14ac:dyDescent="0.2">
      <c r="A1168" t="s">
        <v>2394</v>
      </c>
      <c r="B1168" t="s">
        <v>2395</v>
      </c>
      <c r="C1168" t="s">
        <v>31</v>
      </c>
      <c r="D1168" t="s">
        <v>83</v>
      </c>
      <c r="E1168" t="s">
        <v>91</v>
      </c>
      <c r="F1168" t="s">
        <v>45</v>
      </c>
      <c r="G1168" t="s">
        <v>46</v>
      </c>
      <c r="H1168" t="s">
        <v>36</v>
      </c>
      <c r="I1168" t="s">
        <v>54</v>
      </c>
      <c r="J1168" t="s">
        <v>37</v>
      </c>
      <c r="K1168" s="2">
        <v>46088</v>
      </c>
      <c r="L1168" s="2">
        <v>46453</v>
      </c>
      <c r="M1168" t="s">
        <v>69</v>
      </c>
      <c r="N1168" t="s">
        <v>49</v>
      </c>
      <c r="O1168">
        <v>3</v>
      </c>
      <c r="P1168" t="s">
        <v>39</v>
      </c>
      <c r="Q1168" s="2">
        <v>46193</v>
      </c>
      <c r="R1168" t="s">
        <v>38</v>
      </c>
    </row>
    <row r="1169" spans="1:18" x14ac:dyDescent="0.2">
      <c r="A1169" t="s">
        <v>2396</v>
      </c>
      <c r="B1169" t="s">
        <v>2397</v>
      </c>
      <c r="C1169" t="s">
        <v>103</v>
      </c>
      <c r="D1169" t="s">
        <v>104</v>
      </c>
      <c r="E1169" t="s">
        <v>105</v>
      </c>
      <c r="F1169" t="s">
        <v>45</v>
      </c>
      <c r="G1169" t="s">
        <v>61</v>
      </c>
      <c r="H1169" t="s">
        <v>88</v>
      </c>
      <c r="I1169" t="s">
        <v>62</v>
      </c>
      <c r="J1169" t="s">
        <v>48</v>
      </c>
      <c r="K1169" s="2">
        <v>46220</v>
      </c>
      <c r="L1169" s="2">
        <v>46310</v>
      </c>
      <c r="M1169" t="s">
        <v>84</v>
      </c>
      <c r="N1169" t="s">
        <v>55</v>
      </c>
      <c r="O1169">
        <v>1</v>
      </c>
      <c r="P1169" t="s">
        <v>56</v>
      </c>
      <c r="Q1169" s="2">
        <v>46327</v>
      </c>
      <c r="R1169" t="s">
        <v>64</v>
      </c>
    </row>
    <row r="1170" spans="1:18" x14ac:dyDescent="0.2">
      <c r="A1170" t="s">
        <v>2398</v>
      </c>
      <c r="B1170" t="s">
        <v>2399</v>
      </c>
      <c r="C1170" t="s">
        <v>103</v>
      </c>
      <c r="D1170" t="s">
        <v>104</v>
      </c>
      <c r="E1170" t="s">
        <v>80</v>
      </c>
      <c r="F1170" t="s">
        <v>34</v>
      </c>
      <c r="G1170" t="s">
        <v>35</v>
      </c>
      <c r="H1170" t="s">
        <v>47</v>
      </c>
      <c r="I1170" t="s">
        <v>54</v>
      </c>
      <c r="J1170" t="s">
        <v>48</v>
      </c>
      <c r="K1170" s="2">
        <v>46046</v>
      </c>
      <c r="L1170" s="2">
        <v>46226</v>
      </c>
      <c r="M1170" t="s">
        <v>38</v>
      </c>
      <c r="N1170" t="s">
        <v>55</v>
      </c>
      <c r="O1170">
        <v>3</v>
      </c>
      <c r="P1170" t="s">
        <v>54</v>
      </c>
      <c r="Q1170" s="2">
        <v>46257</v>
      </c>
      <c r="R1170" t="s">
        <v>64</v>
      </c>
    </row>
    <row r="1171" spans="1:18" x14ac:dyDescent="0.2">
      <c r="A1171" t="s">
        <v>2400</v>
      </c>
      <c r="B1171" t="s">
        <v>2401</v>
      </c>
      <c r="C1171" t="s">
        <v>31</v>
      </c>
      <c r="D1171" t="s">
        <v>87</v>
      </c>
      <c r="E1171" t="s">
        <v>80</v>
      </c>
      <c r="F1171" t="s">
        <v>67</v>
      </c>
      <c r="G1171" t="s">
        <v>118</v>
      </c>
      <c r="H1171" t="s">
        <v>36</v>
      </c>
      <c r="I1171" t="s">
        <v>111</v>
      </c>
      <c r="J1171" t="s">
        <v>63</v>
      </c>
      <c r="K1171" s="2">
        <v>45801</v>
      </c>
      <c r="L1171" s="2">
        <v>45891</v>
      </c>
      <c r="M1171" t="s">
        <v>38</v>
      </c>
      <c r="N1171" t="s">
        <v>49</v>
      </c>
      <c r="O1171">
        <v>0</v>
      </c>
      <c r="P1171" t="s">
        <v>70</v>
      </c>
      <c r="Q1171" s="2">
        <v>46179</v>
      </c>
      <c r="R1171" t="s">
        <v>57</v>
      </c>
    </row>
    <row r="1172" spans="1:18" x14ac:dyDescent="0.2">
      <c r="A1172" t="s">
        <v>2402</v>
      </c>
      <c r="B1172" t="s">
        <v>2403</v>
      </c>
      <c r="C1172" t="s">
        <v>31</v>
      </c>
      <c r="D1172" t="s">
        <v>32</v>
      </c>
      <c r="E1172" t="s">
        <v>80</v>
      </c>
      <c r="F1172" t="s">
        <v>34</v>
      </c>
      <c r="G1172" t="s">
        <v>35</v>
      </c>
      <c r="H1172" t="s">
        <v>36</v>
      </c>
      <c r="I1172" t="s">
        <v>50</v>
      </c>
      <c r="J1172" t="s">
        <v>63</v>
      </c>
      <c r="K1172" s="2">
        <v>46248</v>
      </c>
      <c r="L1172" s="2">
        <v>46613</v>
      </c>
      <c r="M1172" t="s">
        <v>64</v>
      </c>
      <c r="N1172" t="s">
        <v>55</v>
      </c>
      <c r="O1172">
        <v>1</v>
      </c>
      <c r="P1172" t="s">
        <v>70</v>
      </c>
      <c r="Q1172" s="2">
        <v>46238</v>
      </c>
      <c r="R1172" t="s">
        <v>38</v>
      </c>
    </row>
    <row r="1173" spans="1:18" x14ac:dyDescent="0.2">
      <c r="A1173" t="s">
        <v>2404</v>
      </c>
      <c r="B1173" t="s">
        <v>2405</v>
      </c>
      <c r="C1173" t="s">
        <v>103</v>
      </c>
      <c r="D1173" t="s">
        <v>104</v>
      </c>
      <c r="E1173" t="s">
        <v>1674</v>
      </c>
      <c r="F1173" t="s">
        <v>67</v>
      </c>
      <c r="G1173" t="s">
        <v>68</v>
      </c>
      <c r="H1173" t="s">
        <v>47</v>
      </c>
      <c r="I1173" t="s">
        <v>50</v>
      </c>
      <c r="J1173" t="s">
        <v>48</v>
      </c>
      <c r="K1173" s="2">
        <v>45852</v>
      </c>
      <c r="L1173" s="2">
        <v>45942</v>
      </c>
      <c r="M1173" t="s">
        <v>38</v>
      </c>
      <c r="N1173" t="s">
        <v>55</v>
      </c>
      <c r="O1173">
        <v>3</v>
      </c>
      <c r="P1173" t="s">
        <v>70</v>
      </c>
      <c r="Q1173" s="2">
        <v>46366</v>
      </c>
      <c r="R1173" t="s">
        <v>84</v>
      </c>
    </row>
    <row r="1174" spans="1:18" x14ac:dyDescent="0.2">
      <c r="A1174" t="s">
        <v>2406</v>
      </c>
      <c r="B1174" t="s">
        <v>2407</v>
      </c>
      <c r="C1174" t="s">
        <v>96</v>
      </c>
      <c r="D1174" t="s">
        <v>97</v>
      </c>
      <c r="E1174" t="s">
        <v>60</v>
      </c>
      <c r="F1174" t="s">
        <v>34</v>
      </c>
      <c r="G1174" t="s">
        <v>35</v>
      </c>
      <c r="H1174" t="s">
        <v>88</v>
      </c>
      <c r="I1174" t="s">
        <v>62</v>
      </c>
      <c r="J1174" t="s">
        <v>63</v>
      </c>
      <c r="K1174" s="2">
        <v>45906</v>
      </c>
      <c r="L1174" s="2">
        <v>46271</v>
      </c>
      <c r="M1174" t="s">
        <v>38</v>
      </c>
      <c r="N1174" t="s">
        <v>49</v>
      </c>
      <c r="O1174">
        <v>0</v>
      </c>
      <c r="P1174" t="s">
        <v>56</v>
      </c>
      <c r="Q1174" s="2">
        <v>46279</v>
      </c>
      <c r="R1174" t="s">
        <v>57</v>
      </c>
    </row>
    <row r="1175" spans="1:18" x14ac:dyDescent="0.2">
      <c r="A1175" t="s">
        <v>2408</v>
      </c>
      <c r="B1175" t="s">
        <v>2409</v>
      </c>
      <c r="C1175" t="s">
        <v>31</v>
      </c>
      <c r="D1175" t="s">
        <v>32</v>
      </c>
      <c r="E1175" t="s">
        <v>105</v>
      </c>
      <c r="F1175" t="s">
        <v>67</v>
      </c>
      <c r="G1175" t="s">
        <v>68</v>
      </c>
      <c r="H1175" t="s">
        <v>36</v>
      </c>
      <c r="I1175" t="s">
        <v>39</v>
      </c>
      <c r="J1175" t="s">
        <v>48</v>
      </c>
      <c r="K1175" s="2">
        <v>45879</v>
      </c>
      <c r="L1175" s="2">
        <v>46244</v>
      </c>
      <c r="M1175" t="s">
        <v>38</v>
      </c>
      <c r="N1175" t="s">
        <v>49</v>
      </c>
      <c r="O1175">
        <v>0</v>
      </c>
      <c r="P1175" t="s">
        <v>70</v>
      </c>
      <c r="Q1175" s="2">
        <v>46130</v>
      </c>
      <c r="R1175" t="s">
        <v>57</v>
      </c>
    </row>
    <row r="1176" spans="1:18" x14ac:dyDescent="0.2">
      <c r="A1176" t="s">
        <v>2410</v>
      </c>
      <c r="B1176" t="s">
        <v>2411</v>
      </c>
      <c r="C1176" t="s">
        <v>73</v>
      </c>
      <c r="D1176" t="s">
        <v>74</v>
      </c>
      <c r="E1176" t="s">
        <v>80</v>
      </c>
      <c r="F1176" t="s">
        <v>45</v>
      </c>
      <c r="G1176" t="s">
        <v>46</v>
      </c>
      <c r="H1176" t="s">
        <v>98</v>
      </c>
      <c r="I1176" t="s">
        <v>70</v>
      </c>
      <c r="J1176" t="s">
        <v>37</v>
      </c>
      <c r="K1176" s="2">
        <v>46051</v>
      </c>
      <c r="L1176" s="2">
        <v>46416</v>
      </c>
      <c r="M1176" t="s">
        <v>84</v>
      </c>
      <c r="N1176" t="s">
        <v>49</v>
      </c>
      <c r="O1176">
        <v>5</v>
      </c>
      <c r="P1176" t="s">
        <v>70</v>
      </c>
      <c r="Q1176" s="2">
        <v>46128</v>
      </c>
      <c r="R1176" t="s">
        <v>38</v>
      </c>
    </row>
    <row r="1177" spans="1:18" x14ac:dyDescent="0.2">
      <c r="A1177" t="s">
        <v>2412</v>
      </c>
      <c r="B1177" t="s">
        <v>2413</v>
      </c>
      <c r="C1177" t="s">
        <v>31</v>
      </c>
      <c r="D1177" t="s">
        <v>32</v>
      </c>
      <c r="E1177" t="s">
        <v>53</v>
      </c>
      <c r="F1177" t="s">
        <v>34</v>
      </c>
      <c r="G1177" t="s">
        <v>35</v>
      </c>
      <c r="H1177" t="s">
        <v>47</v>
      </c>
      <c r="I1177" t="s">
        <v>70</v>
      </c>
      <c r="J1177" t="s">
        <v>48</v>
      </c>
      <c r="K1177" s="2">
        <v>45996</v>
      </c>
      <c r="L1177" s="2">
        <v>46086</v>
      </c>
      <c r="M1177" t="s">
        <v>38</v>
      </c>
      <c r="N1177" t="s">
        <v>49</v>
      </c>
      <c r="O1177">
        <v>3</v>
      </c>
      <c r="P1177" t="s">
        <v>56</v>
      </c>
      <c r="Q1177" s="2">
        <v>46262</v>
      </c>
      <c r="R1177" t="s">
        <v>38</v>
      </c>
    </row>
    <row r="1178" spans="1:18" x14ac:dyDescent="0.2">
      <c r="A1178" t="s">
        <v>2414</v>
      </c>
      <c r="B1178" t="s">
        <v>2415</v>
      </c>
      <c r="C1178" t="s">
        <v>31</v>
      </c>
      <c r="D1178" t="s">
        <v>87</v>
      </c>
      <c r="E1178" t="s">
        <v>53</v>
      </c>
      <c r="F1178" t="s">
        <v>34</v>
      </c>
      <c r="G1178" t="s">
        <v>35</v>
      </c>
      <c r="H1178" t="s">
        <v>88</v>
      </c>
      <c r="I1178" t="s">
        <v>39</v>
      </c>
      <c r="J1178" t="s">
        <v>63</v>
      </c>
      <c r="K1178" s="2">
        <v>46016</v>
      </c>
      <c r="L1178" s="2">
        <v>46196</v>
      </c>
      <c r="M1178" t="s">
        <v>38</v>
      </c>
      <c r="N1178" t="s">
        <v>75</v>
      </c>
      <c r="O1178">
        <v>0</v>
      </c>
      <c r="P1178" t="s">
        <v>56</v>
      </c>
      <c r="Q1178" s="2">
        <v>46137</v>
      </c>
      <c r="R1178" t="s">
        <v>57</v>
      </c>
    </row>
    <row r="1179" spans="1:18" x14ac:dyDescent="0.2">
      <c r="A1179" t="s">
        <v>2416</v>
      </c>
      <c r="B1179" t="s">
        <v>2417</v>
      </c>
      <c r="C1179" t="s">
        <v>31</v>
      </c>
      <c r="D1179" t="s">
        <v>32</v>
      </c>
      <c r="E1179" t="s">
        <v>53</v>
      </c>
      <c r="F1179" t="s">
        <v>45</v>
      </c>
      <c r="G1179" t="s">
        <v>61</v>
      </c>
      <c r="H1179" t="s">
        <v>88</v>
      </c>
      <c r="I1179" t="s">
        <v>70</v>
      </c>
      <c r="J1179" t="s">
        <v>37</v>
      </c>
      <c r="K1179" s="2">
        <v>46090</v>
      </c>
      <c r="L1179" s="2">
        <v>46455</v>
      </c>
      <c r="M1179" t="s">
        <v>64</v>
      </c>
      <c r="N1179" t="s">
        <v>49</v>
      </c>
      <c r="O1179">
        <v>1</v>
      </c>
      <c r="P1179" t="s">
        <v>50</v>
      </c>
      <c r="Q1179" s="2">
        <v>46322</v>
      </c>
      <c r="R1179" t="s">
        <v>84</v>
      </c>
    </row>
    <row r="1180" spans="1:18" x14ac:dyDescent="0.2">
      <c r="A1180" t="s">
        <v>2418</v>
      </c>
      <c r="B1180" t="s">
        <v>2419</v>
      </c>
      <c r="C1180" t="s">
        <v>31</v>
      </c>
      <c r="D1180" t="s">
        <v>87</v>
      </c>
      <c r="E1180" t="s">
        <v>53</v>
      </c>
      <c r="F1180" t="s">
        <v>67</v>
      </c>
      <c r="G1180" t="s">
        <v>68</v>
      </c>
      <c r="H1180" t="s">
        <v>88</v>
      </c>
      <c r="J1180" t="s">
        <v>37</v>
      </c>
      <c r="K1180" s="2">
        <v>46250</v>
      </c>
      <c r="L1180" s="2">
        <v>46430</v>
      </c>
      <c r="M1180" t="s">
        <v>64</v>
      </c>
      <c r="N1180" t="s">
        <v>55</v>
      </c>
      <c r="O1180">
        <v>3</v>
      </c>
      <c r="P1180" t="s">
        <v>39</v>
      </c>
      <c r="Q1180" s="2">
        <v>46136</v>
      </c>
      <c r="R1180" t="s">
        <v>38</v>
      </c>
    </row>
    <row r="1181" spans="1:18" x14ac:dyDescent="0.2">
      <c r="A1181" t="s">
        <v>2420</v>
      </c>
      <c r="B1181" t="s">
        <v>2421</v>
      </c>
      <c r="C1181" t="s">
        <v>42</v>
      </c>
      <c r="D1181" t="s">
        <v>43</v>
      </c>
      <c r="E1181" t="s">
        <v>44</v>
      </c>
      <c r="F1181" t="s">
        <v>67</v>
      </c>
      <c r="G1181" t="s">
        <v>68</v>
      </c>
      <c r="H1181" t="s">
        <v>88</v>
      </c>
      <c r="I1181" t="s">
        <v>111</v>
      </c>
      <c r="J1181" t="s">
        <v>48</v>
      </c>
      <c r="K1181" s="2">
        <v>45959</v>
      </c>
      <c r="L1181" s="2">
        <v>46139</v>
      </c>
      <c r="M1181" t="s">
        <v>38</v>
      </c>
      <c r="N1181" t="s">
        <v>55</v>
      </c>
      <c r="O1181">
        <v>1</v>
      </c>
      <c r="P1181" t="s">
        <v>70</v>
      </c>
      <c r="Q1181" s="2">
        <v>46179</v>
      </c>
      <c r="R1181" t="s">
        <v>64</v>
      </c>
    </row>
    <row r="1182" spans="1:18" x14ac:dyDescent="0.2">
      <c r="A1182" t="s">
        <v>2422</v>
      </c>
      <c r="B1182" t="s">
        <v>2423</v>
      </c>
      <c r="C1182" t="s">
        <v>103</v>
      </c>
      <c r="D1182" t="s">
        <v>104</v>
      </c>
      <c r="E1182" t="s">
        <v>60</v>
      </c>
      <c r="F1182" t="s">
        <v>67</v>
      </c>
      <c r="G1182" t="s">
        <v>118</v>
      </c>
      <c r="H1182" t="s">
        <v>47</v>
      </c>
      <c r="I1182" t="s">
        <v>39</v>
      </c>
      <c r="J1182" t="s">
        <v>48</v>
      </c>
      <c r="K1182" s="2">
        <v>46142</v>
      </c>
      <c r="L1182" s="2">
        <v>46507</v>
      </c>
      <c r="M1182" t="s">
        <v>84</v>
      </c>
      <c r="N1182" t="s">
        <v>49</v>
      </c>
      <c r="O1182">
        <v>3</v>
      </c>
      <c r="P1182" t="s">
        <v>62</v>
      </c>
      <c r="Q1182" s="2">
        <v>46370</v>
      </c>
      <c r="R1182" t="s">
        <v>84</v>
      </c>
    </row>
    <row r="1183" spans="1:18" x14ac:dyDescent="0.2">
      <c r="A1183" t="s">
        <v>2424</v>
      </c>
      <c r="B1183" t="s">
        <v>2425</v>
      </c>
      <c r="C1183" t="s">
        <v>78</v>
      </c>
      <c r="D1183" t="s">
        <v>79</v>
      </c>
      <c r="E1183" t="s">
        <v>60</v>
      </c>
      <c r="F1183" t="s">
        <v>34</v>
      </c>
      <c r="G1183" t="s">
        <v>35</v>
      </c>
      <c r="H1183" t="s">
        <v>88</v>
      </c>
      <c r="I1183" t="s">
        <v>62</v>
      </c>
      <c r="J1183" t="s">
        <v>63</v>
      </c>
      <c r="K1183" s="2">
        <v>46138</v>
      </c>
      <c r="L1183" s="2">
        <v>46228</v>
      </c>
      <c r="M1183" t="s">
        <v>38</v>
      </c>
      <c r="N1183" t="s">
        <v>55</v>
      </c>
      <c r="O1183">
        <v>0</v>
      </c>
      <c r="P1183" t="s">
        <v>56</v>
      </c>
      <c r="Q1183" s="2">
        <v>46187</v>
      </c>
      <c r="R1183" t="s">
        <v>57</v>
      </c>
    </row>
    <row r="1184" spans="1:18" x14ac:dyDescent="0.2">
      <c r="A1184" t="s">
        <v>2426</v>
      </c>
      <c r="B1184" t="s">
        <v>2427</v>
      </c>
      <c r="C1184" t="s">
        <v>78</v>
      </c>
      <c r="D1184" t="s">
        <v>79</v>
      </c>
      <c r="E1184" t="s">
        <v>60</v>
      </c>
      <c r="F1184" t="s">
        <v>34</v>
      </c>
      <c r="G1184" t="s">
        <v>35</v>
      </c>
      <c r="H1184" t="s">
        <v>88</v>
      </c>
      <c r="I1184" t="s">
        <v>56</v>
      </c>
      <c r="J1184" t="s">
        <v>63</v>
      </c>
      <c r="K1184" s="2">
        <v>46067</v>
      </c>
      <c r="L1184" s="2">
        <v>46247</v>
      </c>
      <c r="M1184" t="s">
        <v>38</v>
      </c>
      <c r="N1184" t="s">
        <v>55</v>
      </c>
      <c r="O1184">
        <v>0</v>
      </c>
      <c r="P1184" t="s">
        <v>50</v>
      </c>
      <c r="Q1184" s="2">
        <v>46239</v>
      </c>
      <c r="R1184" t="s">
        <v>57</v>
      </c>
    </row>
    <row r="1185" spans="1:18" x14ac:dyDescent="0.2">
      <c r="A1185" t="s">
        <v>2428</v>
      </c>
      <c r="B1185" t="s">
        <v>2429</v>
      </c>
      <c r="C1185" t="s">
        <v>73</v>
      </c>
      <c r="D1185" t="s">
        <v>74</v>
      </c>
      <c r="E1185" t="s">
        <v>44</v>
      </c>
      <c r="F1185" t="s">
        <v>67</v>
      </c>
      <c r="G1185" t="s">
        <v>118</v>
      </c>
      <c r="H1185" t="s">
        <v>47</v>
      </c>
      <c r="I1185" t="s">
        <v>56</v>
      </c>
      <c r="J1185" t="s">
        <v>37</v>
      </c>
      <c r="K1185" s="2">
        <v>46233</v>
      </c>
      <c r="L1185" s="2">
        <v>46413</v>
      </c>
      <c r="M1185" t="s">
        <v>69</v>
      </c>
      <c r="N1185" t="s">
        <v>75</v>
      </c>
      <c r="O1185">
        <v>3</v>
      </c>
      <c r="P1185" t="s">
        <v>39</v>
      </c>
      <c r="Q1185" s="2">
        <v>46195</v>
      </c>
      <c r="R1185" t="s">
        <v>38</v>
      </c>
    </row>
    <row r="1186" spans="1:18" x14ac:dyDescent="0.2">
      <c r="A1186" t="s">
        <v>2430</v>
      </c>
      <c r="B1186" t="s">
        <v>2431</v>
      </c>
      <c r="C1186" t="s">
        <v>96</v>
      </c>
      <c r="D1186" t="s">
        <v>97</v>
      </c>
      <c r="E1186" t="s">
        <v>44</v>
      </c>
      <c r="F1186" t="s">
        <v>45</v>
      </c>
      <c r="G1186" t="s">
        <v>61</v>
      </c>
      <c r="H1186" t="s">
        <v>36</v>
      </c>
      <c r="I1186" t="s">
        <v>106</v>
      </c>
      <c r="J1186" t="s">
        <v>37</v>
      </c>
      <c r="K1186" s="2">
        <v>46101</v>
      </c>
      <c r="L1186" s="2">
        <v>46466</v>
      </c>
      <c r="M1186" t="s">
        <v>69</v>
      </c>
      <c r="N1186" t="s">
        <v>55</v>
      </c>
      <c r="O1186">
        <v>5</v>
      </c>
      <c r="P1186" t="s">
        <v>62</v>
      </c>
      <c r="Q1186" s="2">
        <v>46126</v>
      </c>
      <c r="R1186" t="s">
        <v>38</v>
      </c>
    </row>
    <row r="1187" spans="1:18" x14ac:dyDescent="0.2">
      <c r="A1187" t="s">
        <v>2432</v>
      </c>
      <c r="B1187" t="s">
        <v>2433</v>
      </c>
      <c r="C1187" t="s">
        <v>103</v>
      </c>
      <c r="D1187" t="s">
        <v>104</v>
      </c>
      <c r="E1187" t="s">
        <v>60</v>
      </c>
      <c r="F1187" t="s">
        <v>67</v>
      </c>
      <c r="G1187" t="s">
        <v>118</v>
      </c>
      <c r="H1187" t="s">
        <v>88</v>
      </c>
      <c r="I1187" t="s">
        <v>39</v>
      </c>
      <c r="J1187" t="s">
        <v>63</v>
      </c>
      <c r="K1187" s="2">
        <v>45880</v>
      </c>
      <c r="L1187" s="2">
        <v>45970</v>
      </c>
      <c r="M1187" t="s">
        <v>38</v>
      </c>
      <c r="N1187" t="s">
        <v>49</v>
      </c>
      <c r="O1187">
        <v>0</v>
      </c>
      <c r="P1187" t="s">
        <v>50</v>
      </c>
      <c r="Q1187" s="2">
        <v>46303</v>
      </c>
      <c r="R1187" t="s">
        <v>57</v>
      </c>
    </row>
    <row r="1188" spans="1:18" x14ac:dyDescent="0.2">
      <c r="A1188" t="s">
        <v>2434</v>
      </c>
      <c r="B1188" t="s">
        <v>2435</v>
      </c>
      <c r="C1188" t="s">
        <v>31</v>
      </c>
      <c r="D1188" t="s">
        <v>87</v>
      </c>
      <c r="E1188" t="s">
        <v>91</v>
      </c>
      <c r="F1188" t="s">
        <v>67</v>
      </c>
      <c r="G1188" t="s">
        <v>118</v>
      </c>
      <c r="H1188" t="s">
        <v>98</v>
      </c>
      <c r="I1188" t="s">
        <v>111</v>
      </c>
      <c r="J1188" t="s">
        <v>37</v>
      </c>
      <c r="K1188" s="2">
        <v>45963</v>
      </c>
      <c r="L1188" s="2">
        <v>46328</v>
      </c>
      <c r="M1188" t="s">
        <v>64</v>
      </c>
      <c r="N1188" t="s">
        <v>49</v>
      </c>
      <c r="O1188">
        <v>2</v>
      </c>
      <c r="P1188" t="s">
        <v>54</v>
      </c>
      <c r="Q1188" s="2">
        <v>46134</v>
      </c>
      <c r="R1188" t="s">
        <v>64</v>
      </c>
    </row>
    <row r="1189" spans="1:18" x14ac:dyDescent="0.2">
      <c r="A1189" t="s">
        <v>2436</v>
      </c>
      <c r="B1189" t="s">
        <v>2437</v>
      </c>
      <c r="C1189" t="s">
        <v>103</v>
      </c>
      <c r="D1189" t="s">
        <v>104</v>
      </c>
      <c r="E1189" t="s">
        <v>44</v>
      </c>
      <c r="F1189" t="s">
        <v>45</v>
      </c>
      <c r="G1189" t="s">
        <v>46</v>
      </c>
      <c r="H1189" t="s">
        <v>98</v>
      </c>
      <c r="I1189" t="s">
        <v>106</v>
      </c>
      <c r="J1189" t="s">
        <v>48</v>
      </c>
      <c r="K1189" s="2">
        <v>46176</v>
      </c>
      <c r="L1189" s="2">
        <v>46541</v>
      </c>
      <c r="M1189" t="s">
        <v>64</v>
      </c>
      <c r="N1189" t="s">
        <v>75</v>
      </c>
      <c r="O1189">
        <v>5</v>
      </c>
      <c r="P1189" t="s">
        <v>70</v>
      </c>
      <c r="Q1189" s="2">
        <v>46177</v>
      </c>
      <c r="R1189" t="s">
        <v>38</v>
      </c>
    </row>
    <row r="1190" spans="1:18" x14ac:dyDescent="0.2">
      <c r="A1190" t="s">
        <v>2438</v>
      </c>
      <c r="B1190" t="s">
        <v>2439</v>
      </c>
      <c r="C1190" t="s">
        <v>103</v>
      </c>
      <c r="D1190" t="s">
        <v>104</v>
      </c>
      <c r="E1190" t="s">
        <v>91</v>
      </c>
      <c r="F1190" t="s">
        <v>45</v>
      </c>
      <c r="G1190" t="s">
        <v>46</v>
      </c>
      <c r="H1190" t="s">
        <v>88</v>
      </c>
      <c r="I1190" t="s">
        <v>111</v>
      </c>
      <c r="J1190" t="s">
        <v>48</v>
      </c>
      <c r="K1190" s="2">
        <v>45906</v>
      </c>
      <c r="L1190" s="2">
        <v>45996</v>
      </c>
      <c r="M1190" t="s">
        <v>38</v>
      </c>
      <c r="N1190" t="s">
        <v>49</v>
      </c>
      <c r="O1190">
        <v>0</v>
      </c>
      <c r="P1190" t="s">
        <v>54</v>
      </c>
      <c r="Q1190" s="2">
        <v>46216</v>
      </c>
      <c r="R1190" t="s">
        <v>57</v>
      </c>
    </row>
    <row r="1191" spans="1:18" x14ac:dyDescent="0.2">
      <c r="A1191" t="s">
        <v>2440</v>
      </c>
      <c r="B1191" t="s">
        <v>2441</v>
      </c>
      <c r="C1191" t="s">
        <v>31</v>
      </c>
      <c r="D1191" t="s">
        <v>32</v>
      </c>
      <c r="E1191" t="s">
        <v>44</v>
      </c>
      <c r="F1191" t="s">
        <v>67</v>
      </c>
      <c r="G1191" t="s">
        <v>68</v>
      </c>
      <c r="H1191" t="s">
        <v>88</v>
      </c>
      <c r="I1191" t="s">
        <v>106</v>
      </c>
      <c r="J1191" t="s">
        <v>63</v>
      </c>
      <c r="K1191" s="2">
        <v>46160</v>
      </c>
      <c r="L1191" s="2">
        <v>46250</v>
      </c>
      <c r="M1191" t="s">
        <v>38</v>
      </c>
      <c r="N1191" t="s">
        <v>75</v>
      </c>
      <c r="O1191">
        <v>0</v>
      </c>
      <c r="P1191" t="s">
        <v>111</v>
      </c>
      <c r="Q1191" s="2">
        <v>46154</v>
      </c>
      <c r="R1191" t="s">
        <v>57</v>
      </c>
    </row>
    <row r="1192" spans="1:18" x14ac:dyDescent="0.2">
      <c r="A1192" t="s">
        <v>2442</v>
      </c>
      <c r="B1192" t="s">
        <v>2443</v>
      </c>
      <c r="C1192" t="s">
        <v>31</v>
      </c>
      <c r="D1192" t="s">
        <v>83</v>
      </c>
      <c r="E1192" t="s">
        <v>105</v>
      </c>
      <c r="F1192" t="s">
        <v>67</v>
      </c>
      <c r="G1192" t="s">
        <v>118</v>
      </c>
      <c r="H1192" t="s">
        <v>88</v>
      </c>
      <c r="I1192" t="s">
        <v>62</v>
      </c>
      <c r="J1192" t="s">
        <v>48</v>
      </c>
      <c r="K1192" s="2">
        <v>45877</v>
      </c>
      <c r="L1192" s="2">
        <v>46242</v>
      </c>
      <c r="M1192" t="s">
        <v>38</v>
      </c>
      <c r="N1192" t="s">
        <v>49</v>
      </c>
      <c r="O1192">
        <v>0</v>
      </c>
      <c r="P1192" t="s">
        <v>39</v>
      </c>
      <c r="Q1192" s="2">
        <v>46120</v>
      </c>
      <c r="R1192" t="s">
        <v>57</v>
      </c>
    </row>
    <row r="1193" spans="1:18" x14ac:dyDescent="0.2">
      <c r="A1193" t="s">
        <v>2444</v>
      </c>
      <c r="B1193" t="s">
        <v>2445</v>
      </c>
      <c r="C1193" t="s">
        <v>78</v>
      </c>
      <c r="D1193" t="s">
        <v>79</v>
      </c>
      <c r="E1193" t="s">
        <v>53</v>
      </c>
      <c r="F1193" t="s">
        <v>34</v>
      </c>
      <c r="G1193" t="s">
        <v>35</v>
      </c>
      <c r="H1193" t="s">
        <v>36</v>
      </c>
      <c r="I1193" t="s">
        <v>70</v>
      </c>
      <c r="J1193" t="s">
        <v>37</v>
      </c>
      <c r="K1193" s="2">
        <v>45994</v>
      </c>
      <c r="L1193" s="2">
        <v>46084</v>
      </c>
      <c r="M1193" t="s">
        <v>38</v>
      </c>
      <c r="N1193" t="s">
        <v>49</v>
      </c>
      <c r="O1193">
        <v>4</v>
      </c>
      <c r="P1193" t="s">
        <v>111</v>
      </c>
      <c r="Q1193" s="2">
        <v>46121</v>
      </c>
      <c r="R1193" t="s">
        <v>64</v>
      </c>
    </row>
    <row r="1194" spans="1:18" x14ac:dyDescent="0.2">
      <c r="A1194" t="s">
        <v>2446</v>
      </c>
      <c r="B1194" t="s">
        <v>2447</v>
      </c>
      <c r="C1194" t="s">
        <v>73</v>
      </c>
      <c r="D1194" t="s">
        <v>74</v>
      </c>
      <c r="E1194" t="s">
        <v>60</v>
      </c>
      <c r="F1194" t="s">
        <v>67</v>
      </c>
      <c r="G1194" t="s">
        <v>118</v>
      </c>
      <c r="H1194" t="s">
        <v>47</v>
      </c>
      <c r="I1194" t="s">
        <v>62</v>
      </c>
      <c r="J1194" t="s">
        <v>48</v>
      </c>
      <c r="K1194" s="2">
        <v>45806</v>
      </c>
      <c r="L1194" s="2">
        <v>45896</v>
      </c>
      <c r="M1194" t="s">
        <v>38</v>
      </c>
      <c r="N1194" t="s">
        <v>49</v>
      </c>
      <c r="O1194">
        <v>1</v>
      </c>
      <c r="P1194" t="s">
        <v>70</v>
      </c>
      <c r="Q1194" s="2">
        <v>46315</v>
      </c>
      <c r="R1194" t="s">
        <v>84</v>
      </c>
    </row>
    <row r="1195" spans="1:18" x14ac:dyDescent="0.2">
      <c r="A1195" t="s">
        <v>2448</v>
      </c>
      <c r="B1195" t="s">
        <v>2449</v>
      </c>
      <c r="C1195" t="s">
        <v>31</v>
      </c>
      <c r="D1195" t="s">
        <v>87</v>
      </c>
      <c r="E1195" t="s">
        <v>105</v>
      </c>
      <c r="F1195" t="s">
        <v>67</v>
      </c>
      <c r="G1195" t="s">
        <v>68</v>
      </c>
      <c r="H1195" t="s">
        <v>36</v>
      </c>
      <c r="I1195" t="s">
        <v>56</v>
      </c>
      <c r="J1195" t="s">
        <v>48</v>
      </c>
      <c r="K1195" s="2">
        <v>46220</v>
      </c>
      <c r="L1195" s="2">
        <v>46585</v>
      </c>
      <c r="M1195" t="s">
        <v>64</v>
      </c>
      <c r="N1195" t="s">
        <v>55</v>
      </c>
      <c r="O1195">
        <v>3</v>
      </c>
      <c r="P1195" t="s">
        <v>62</v>
      </c>
      <c r="Q1195" s="2">
        <v>46386</v>
      </c>
      <c r="R1195" t="s">
        <v>84</v>
      </c>
    </row>
    <row r="1196" spans="1:18" x14ac:dyDescent="0.2">
      <c r="A1196" t="s">
        <v>2450</v>
      </c>
      <c r="B1196" t="s">
        <v>2451</v>
      </c>
      <c r="C1196" t="s">
        <v>73</v>
      </c>
      <c r="D1196" t="s">
        <v>74</v>
      </c>
      <c r="E1196" t="s">
        <v>91</v>
      </c>
      <c r="F1196" t="s">
        <v>45</v>
      </c>
      <c r="G1196" t="s">
        <v>46</v>
      </c>
      <c r="H1196" t="s">
        <v>47</v>
      </c>
      <c r="I1196" t="s">
        <v>54</v>
      </c>
      <c r="J1196" t="s">
        <v>48</v>
      </c>
      <c r="K1196" s="2">
        <v>45965</v>
      </c>
      <c r="L1196" s="2">
        <v>46330</v>
      </c>
      <c r="M1196" t="s">
        <v>64</v>
      </c>
      <c r="N1196" t="s">
        <v>55</v>
      </c>
      <c r="O1196">
        <v>1</v>
      </c>
      <c r="P1196" t="s">
        <v>70</v>
      </c>
      <c r="Q1196" s="2">
        <v>46346</v>
      </c>
      <c r="R1196" t="s">
        <v>64</v>
      </c>
    </row>
    <row r="1197" spans="1:18" x14ac:dyDescent="0.2">
      <c r="A1197" t="s">
        <v>2452</v>
      </c>
      <c r="B1197" t="s">
        <v>2453</v>
      </c>
      <c r="C1197" t="s">
        <v>31</v>
      </c>
      <c r="D1197" t="s">
        <v>87</v>
      </c>
      <c r="E1197" t="s">
        <v>91</v>
      </c>
      <c r="F1197" t="s">
        <v>67</v>
      </c>
      <c r="G1197" t="s">
        <v>68</v>
      </c>
      <c r="H1197" t="s">
        <v>36</v>
      </c>
      <c r="I1197" t="s">
        <v>56</v>
      </c>
      <c r="J1197" t="s">
        <v>37</v>
      </c>
      <c r="K1197" s="2">
        <v>46209</v>
      </c>
      <c r="L1197" s="2">
        <v>46574</v>
      </c>
      <c r="M1197" t="s">
        <v>64</v>
      </c>
      <c r="N1197" t="s">
        <v>49</v>
      </c>
      <c r="O1197">
        <v>0</v>
      </c>
      <c r="P1197" t="s">
        <v>54</v>
      </c>
      <c r="Q1197" s="2">
        <v>46302</v>
      </c>
      <c r="R1197" t="s">
        <v>57</v>
      </c>
    </row>
    <row r="1198" spans="1:18" x14ac:dyDescent="0.2">
      <c r="A1198" t="s">
        <v>2454</v>
      </c>
      <c r="B1198" t="s">
        <v>2455</v>
      </c>
      <c r="C1198" t="s">
        <v>31</v>
      </c>
      <c r="D1198" t="s">
        <v>87</v>
      </c>
      <c r="E1198" t="s">
        <v>80</v>
      </c>
      <c r="F1198" t="s">
        <v>67</v>
      </c>
      <c r="G1198" t="s">
        <v>118</v>
      </c>
      <c r="H1198" t="s">
        <v>88</v>
      </c>
      <c r="I1198" t="s">
        <v>39</v>
      </c>
      <c r="J1198" t="s">
        <v>48</v>
      </c>
      <c r="K1198" s="2">
        <v>46010</v>
      </c>
      <c r="L1198" s="2">
        <v>46375</v>
      </c>
      <c r="M1198" t="s">
        <v>64</v>
      </c>
      <c r="N1198" t="s">
        <v>49</v>
      </c>
      <c r="O1198">
        <v>1</v>
      </c>
      <c r="P1198" t="s">
        <v>39</v>
      </c>
      <c r="Q1198" s="2">
        <v>46333</v>
      </c>
      <c r="R1198" t="s">
        <v>84</v>
      </c>
    </row>
    <row r="1199" spans="1:18" x14ac:dyDescent="0.2">
      <c r="A1199" t="s">
        <v>2456</v>
      </c>
      <c r="B1199" t="s">
        <v>2457</v>
      </c>
      <c r="C1199" t="s">
        <v>103</v>
      </c>
      <c r="D1199" t="s">
        <v>104</v>
      </c>
      <c r="E1199" t="s">
        <v>53</v>
      </c>
      <c r="F1199" t="s">
        <v>34</v>
      </c>
      <c r="G1199" t="s">
        <v>35</v>
      </c>
      <c r="H1199" t="s">
        <v>88</v>
      </c>
      <c r="I1199" t="s">
        <v>70</v>
      </c>
      <c r="J1199" t="s">
        <v>48</v>
      </c>
      <c r="K1199" s="2">
        <v>45857</v>
      </c>
      <c r="L1199" s="2">
        <v>45947</v>
      </c>
      <c r="M1199" t="s">
        <v>38</v>
      </c>
      <c r="N1199" t="s">
        <v>75</v>
      </c>
      <c r="O1199">
        <v>1</v>
      </c>
      <c r="P1199" t="s">
        <v>54</v>
      </c>
      <c r="Q1199" s="2">
        <v>46348</v>
      </c>
      <c r="R1199" t="s">
        <v>64</v>
      </c>
    </row>
    <row r="1200" spans="1:18" x14ac:dyDescent="0.2">
      <c r="A1200" t="s">
        <v>2458</v>
      </c>
      <c r="B1200" t="s">
        <v>2459</v>
      </c>
      <c r="C1200" t="s">
        <v>96</v>
      </c>
      <c r="D1200" t="s">
        <v>97</v>
      </c>
      <c r="E1200" t="s">
        <v>53</v>
      </c>
      <c r="F1200" t="s">
        <v>67</v>
      </c>
      <c r="G1200" t="s">
        <v>118</v>
      </c>
      <c r="H1200" t="s">
        <v>47</v>
      </c>
      <c r="I1200" t="s">
        <v>62</v>
      </c>
      <c r="J1200" t="s">
        <v>63</v>
      </c>
      <c r="K1200" s="2">
        <v>46015</v>
      </c>
      <c r="L1200" s="2">
        <v>46380</v>
      </c>
      <c r="M1200" t="s">
        <v>64</v>
      </c>
      <c r="N1200" t="s">
        <v>49</v>
      </c>
      <c r="O1200">
        <v>0</v>
      </c>
      <c r="P1200" t="s">
        <v>50</v>
      </c>
      <c r="Q1200" s="2">
        <v>46363</v>
      </c>
      <c r="R1200" t="s">
        <v>57</v>
      </c>
    </row>
    <row r="1201" spans="1:18" x14ac:dyDescent="0.2">
      <c r="A1201" t="s">
        <v>2460</v>
      </c>
      <c r="B1201" t="s">
        <v>2461</v>
      </c>
      <c r="C1201" t="s">
        <v>31</v>
      </c>
      <c r="D1201" t="s">
        <v>87</v>
      </c>
      <c r="E1201" t="s">
        <v>60</v>
      </c>
      <c r="F1201" t="s">
        <v>34</v>
      </c>
      <c r="G1201" t="s">
        <v>35</v>
      </c>
      <c r="H1201" t="s">
        <v>36</v>
      </c>
      <c r="I1201" t="s">
        <v>56</v>
      </c>
      <c r="J1201" t="s">
        <v>63</v>
      </c>
      <c r="K1201" s="2">
        <v>45892</v>
      </c>
      <c r="L1201" s="2">
        <v>45982</v>
      </c>
      <c r="M1201" t="s">
        <v>38</v>
      </c>
      <c r="N1201" t="s">
        <v>55</v>
      </c>
      <c r="O1201">
        <v>1</v>
      </c>
      <c r="P1201" t="s">
        <v>111</v>
      </c>
      <c r="Q1201" s="2">
        <v>46270</v>
      </c>
      <c r="R1201" t="s">
        <v>38</v>
      </c>
    </row>
    <row r="1202" spans="1:18" x14ac:dyDescent="0.2">
      <c r="A1202" t="s">
        <v>2462</v>
      </c>
      <c r="B1202" t="s">
        <v>2463</v>
      </c>
      <c r="C1202" t="s">
        <v>31</v>
      </c>
      <c r="D1202" t="s">
        <v>32</v>
      </c>
      <c r="E1202" t="s">
        <v>53</v>
      </c>
      <c r="F1202" t="s">
        <v>45</v>
      </c>
      <c r="G1202" t="s">
        <v>61</v>
      </c>
      <c r="H1202" t="s">
        <v>47</v>
      </c>
      <c r="I1202" t="s">
        <v>50</v>
      </c>
      <c r="J1202" t="s">
        <v>48</v>
      </c>
      <c r="K1202" s="2">
        <v>46067</v>
      </c>
      <c r="L1202" s="2">
        <v>46157</v>
      </c>
      <c r="M1202" t="s">
        <v>38</v>
      </c>
      <c r="N1202" t="s">
        <v>55</v>
      </c>
      <c r="O1202">
        <v>1</v>
      </c>
      <c r="P1202" t="s">
        <v>106</v>
      </c>
      <c r="Q1202" s="2">
        <v>46306</v>
      </c>
      <c r="R1202" t="s">
        <v>84</v>
      </c>
    </row>
    <row r="1203" spans="1:18" x14ac:dyDescent="0.2">
      <c r="A1203" t="s">
        <v>2464</v>
      </c>
      <c r="B1203" t="s">
        <v>2465</v>
      </c>
      <c r="C1203" t="s">
        <v>96</v>
      </c>
      <c r="D1203" t="s">
        <v>97</v>
      </c>
      <c r="E1203" t="s">
        <v>60</v>
      </c>
      <c r="F1203" t="s">
        <v>67</v>
      </c>
      <c r="G1203" t="s">
        <v>68</v>
      </c>
      <c r="H1203" t="s">
        <v>36</v>
      </c>
      <c r="I1203" t="s">
        <v>106</v>
      </c>
      <c r="J1203" t="s">
        <v>63</v>
      </c>
      <c r="K1203" s="2">
        <v>45986</v>
      </c>
      <c r="L1203" s="2">
        <v>46351</v>
      </c>
      <c r="M1203" t="s">
        <v>69</v>
      </c>
      <c r="N1203" t="s">
        <v>75</v>
      </c>
      <c r="O1203">
        <v>4</v>
      </c>
      <c r="P1203" t="s">
        <v>50</v>
      </c>
      <c r="Q1203" s="2">
        <v>46208</v>
      </c>
      <c r="R1203" t="s">
        <v>38</v>
      </c>
    </row>
    <row r="1204" spans="1:18" x14ac:dyDescent="0.2">
      <c r="A1204" t="s">
        <v>2466</v>
      </c>
      <c r="B1204" t="s">
        <v>2467</v>
      </c>
      <c r="C1204" t="s">
        <v>42</v>
      </c>
      <c r="D1204" t="s">
        <v>43</v>
      </c>
      <c r="E1204" t="s">
        <v>60</v>
      </c>
      <c r="F1204" t="s">
        <v>67</v>
      </c>
      <c r="G1204" t="s">
        <v>118</v>
      </c>
      <c r="H1204" t="s">
        <v>88</v>
      </c>
      <c r="I1204" t="s">
        <v>62</v>
      </c>
      <c r="J1204" t="s">
        <v>63</v>
      </c>
      <c r="K1204" s="2">
        <v>45830</v>
      </c>
      <c r="L1204" s="2">
        <v>46195</v>
      </c>
      <c r="M1204" t="s">
        <v>38</v>
      </c>
      <c r="N1204" t="s">
        <v>75</v>
      </c>
      <c r="O1204">
        <v>3</v>
      </c>
      <c r="P1204" t="s">
        <v>106</v>
      </c>
      <c r="Q1204" s="2">
        <v>46160</v>
      </c>
      <c r="R1204" t="s">
        <v>38</v>
      </c>
    </row>
    <row r="1205" spans="1:18" x14ac:dyDescent="0.2">
      <c r="A1205" t="s">
        <v>2468</v>
      </c>
      <c r="B1205" t="s">
        <v>2469</v>
      </c>
      <c r="C1205" t="s">
        <v>103</v>
      </c>
      <c r="D1205" t="s">
        <v>104</v>
      </c>
      <c r="E1205" t="s">
        <v>91</v>
      </c>
      <c r="F1205" t="s">
        <v>34</v>
      </c>
      <c r="G1205" t="s">
        <v>35</v>
      </c>
      <c r="H1205" t="s">
        <v>98</v>
      </c>
      <c r="I1205" t="s">
        <v>54</v>
      </c>
      <c r="J1205" t="s">
        <v>48</v>
      </c>
      <c r="K1205" s="2">
        <v>46200</v>
      </c>
      <c r="L1205" s="2">
        <v>46380</v>
      </c>
      <c r="M1205" t="s">
        <v>69</v>
      </c>
      <c r="N1205" t="s">
        <v>55</v>
      </c>
      <c r="O1205">
        <v>4</v>
      </c>
      <c r="P1205" t="s">
        <v>70</v>
      </c>
      <c r="Q1205" s="2">
        <v>46273</v>
      </c>
      <c r="R1205" t="s">
        <v>38</v>
      </c>
    </row>
    <row r="1206" spans="1:18" x14ac:dyDescent="0.2">
      <c r="A1206" t="s">
        <v>2470</v>
      </c>
      <c r="B1206" t="s">
        <v>2471</v>
      </c>
      <c r="C1206" t="s">
        <v>96</v>
      </c>
      <c r="D1206" t="s">
        <v>97</v>
      </c>
      <c r="E1206" t="s">
        <v>53</v>
      </c>
      <c r="F1206" t="s">
        <v>45</v>
      </c>
      <c r="G1206" t="s">
        <v>46</v>
      </c>
      <c r="H1206" t="s">
        <v>36</v>
      </c>
      <c r="I1206" t="s">
        <v>62</v>
      </c>
      <c r="J1206" t="s">
        <v>37</v>
      </c>
      <c r="K1206" s="2">
        <v>46069</v>
      </c>
      <c r="L1206" s="2">
        <v>46434</v>
      </c>
      <c r="M1206" t="s">
        <v>84</v>
      </c>
      <c r="N1206" t="s">
        <v>75</v>
      </c>
      <c r="O1206">
        <v>4</v>
      </c>
      <c r="P1206" t="s">
        <v>70</v>
      </c>
      <c r="Q1206" s="2">
        <v>46126</v>
      </c>
      <c r="R1206" t="s">
        <v>38</v>
      </c>
    </row>
    <row r="1207" spans="1:18" x14ac:dyDescent="0.2">
      <c r="A1207" t="s">
        <v>2472</v>
      </c>
      <c r="B1207" t="s">
        <v>2473</v>
      </c>
      <c r="C1207" t="s">
        <v>73</v>
      </c>
      <c r="D1207" t="s">
        <v>74</v>
      </c>
      <c r="E1207" t="s">
        <v>105</v>
      </c>
      <c r="F1207" t="s">
        <v>67</v>
      </c>
      <c r="G1207" t="s">
        <v>118</v>
      </c>
      <c r="H1207" t="s">
        <v>88</v>
      </c>
      <c r="I1207" t="s">
        <v>50</v>
      </c>
      <c r="J1207" t="s">
        <v>63</v>
      </c>
      <c r="K1207" s="2">
        <v>45892</v>
      </c>
      <c r="L1207" s="2">
        <v>45982</v>
      </c>
      <c r="M1207" t="s">
        <v>38</v>
      </c>
      <c r="N1207" t="s">
        <v>75</v>
      </c>
      <c r="O1207">
        <v>1</v>
      </c>
      <c r="P1207" t="s">
        <v>106</v>
      </c>
      <c r="Q1207" s="2">
        <v>46381</v>
      </c>
      <c r="R1207" t="s">
        <v>84</v>
      </c>
    </row>
    <row r="1208" spans="1:18" x14ac:dyDescent="0.2">
      <c r="A1208" t="s">
        <v>2474</v>
      </c>
      <c r="B1208" t="s">
        <v>2475</v>
      </c>
      <c r="C1208" t="s">
        <v>31</v>
      </c>
      <c r="D1208" t="s">
        <v>32</v>
      </c>
      <c r="E1208" t="s">
        <v>60</v>
      </c>
      <c r="F1208" t="s">
        <v>34</v>
      </c>
      <c r="G1208" t="s">
        <v>35</v>
      </c>
      <c r="H1208" t="s">
        <v>47</v>
      </c>
      <c r="I1208" t="s">
        <v>39</v>
      </c>
      <c r="J1208" t="s">
        <v>63</v>
      </c>
      <c r="K1208" s="2">
        <v>45847</v>
      </c>
      <c r="L1208" s="2">
        <v>46027</v>
      </c>
      <c r="M1208" t="s">
        <v>38</v>
      </c>
      <c r="N1208" t="s">
        <v>55</v>
      </c>
      <c r="O1208">
        <v>2</v>
      </c>
      <c r="P1208" t="s">
        <v>62</v>
      </c>
      <c r="Q1208" s="2">
        <v>46323</v>
      </c>
      <c r="R1208" t="s">
        <v>84</v>
      </c>
    </row>
    <row r="1209" spans="1:18" x14ac:dyDescent="0.2">
      <c r="A1209" t="s">
        <v>2476</v>
      </c>
      <c r="B1209" t="s">
        <v>2477</v>
      </c>
      <c r="C1209" t="s">
        <v>78</v>
      </c>
      <c r="D1209" t="s">
        <v>79</v>
      </c>
      <c r="E1209" t="s">
        <v>60</v>
      </c>
      <c r="F1209" t="s">
        <v>67</v>
      </c>
      <c r="G1209" t="s">
        <v>68</v>
      </c>
      <c r="H1209" t="s">
        <v>36</v>
      </c>
      <c r="I1209" t="s">
        <v>50</v>
      </c>
      <c r="J1209" t="s">
        <v>37</v>
      </c>
      <c r="K1209" s="2">
        <v>46068</v>
      </c>
      <c r="L1209" s="2">
        <v>46433</v>
      </c>
      <c r="M1209" t="s">
        <v>84</v>
      </c>
      <c r="N1209" t="s">
        <v>75</v>
      </c>
      <c r="O1209">
        <v>5</v>
      </c>
      <c r="P1209" t="s">
        <v>106</v>
      </c>
      <c r="Q1209" s="2">
        <v>46251</v>
      </c>
      <c r="R1209" t="s">
        <v>64</v>
      </c>
    </row>
    <row r="1210" spans="1:18" x14ac:dyDescent="0.2">
      <c r="A1210" t="s">
        <v>2478</v>
      </c>
      <c r="B1210" t="s">
        <v>2479</v>
      </c>
      <c r="C1210" t="s">
        <v>73</v>
      </c>
      <c r="D1210" t="s">
        <v>74</v>
      </c>
      <c r="E1210" t="s">
        <v>44</v>
      </c>
      <c r="F1210" t="s">
        <v>67</v>
      </c>
      <c r="G1210" t="s">
        <v>68</v>
      </c>
      <c r="H1210" t="s">
        <v>47</v>
      </c>
      <c r="I1210" t="s">
        <v>111</v>
      </c>
      <c r="J1210" t="s">
        <v>37</v>
      </c>
      <c r="K1210" s="2">
        <v>45861</v>
      </c>
      <c r="L1210" s="2">
        <v>46041</v>
      </c>
      <c r="M1210" t="s">
        <v>38</v>
      </c>
      <c r="N1210" t="s">
        <v>55</v>
      </c>
      <c r="O1210">
        <v>1</v>
      </c>
      <c r="P1210" t="s">
        <v>70</v>
      </c>
      <c r="Q1210" s="2">
        <v>46212</v>
      </c>
      <c r="R1210" t="s">
        <v>38</v>
      </c>
    </row>
    <row r="1211" spans="1:18" x14ac:dyDescent="0.2">
      <c r="A1211" t="s">
        <v>2480</v>
      </c>
      <c r="B1211" t="s">
        <v>2481</v>
      </c>
      <c r="C1211" t="s">
        <v>31</v>
      </c>
      <c r="D1211" t="s">
        <v>83</v>
      </c>
      <c r="E1211" t="s">
        <v>53</v>
      </c>
      <c r="F1211" t="s">
        <v>67</v>
      </c>
      <c r="G1211" t="s">
        <v>68</v>
      </c>
      <c r="H1211" t="s">
        <v>88</v>
      </c>
      <c r="I1211" t="s">
        <v>50</v>
      </c>
      <c r="J1211" t="s">
        <v>48</v>
      </c>
      <c r="K1211" s="2">
        <v>46152</v>
      </c>
      <c r="L1211" s="2">
        <v>46517</v>
      </c>
      <c r="M1211" t="s">
        <v>69</v>
      </c>
      <c r="N1211" t="s">
        <v>49</v>
      </c>
      <c r="O1211">
        <v>2</v>
      </c>
      <c r="P1211" t="s">
        <v>39</v>
      </c>
      <c r="Q1211" s="2">
        <v>46135</v>
      </c>
      <c r="R1211" t="s">
        <v>38</v>
      </c>
    </row>
    <row r="1212" spans="1:18" x14ac:dyDescent="0.2">
      <c r="A1212" t="s">
        <v>2482</v>
      </c>
      <c r="B1212" t="s">
        <v>2483</v>
      </c>
      <c r="C1212" t="s">
        <v>103</v>
      </c>
      <c r="D1212" t="s">
        <v>104</v>
      </c>
      <c r="E1212" t="s">
        <v>60</v>
      </c>
      <c r="F1212" t="s">
        <v>45</v>
      </c>
      <c r="G1212" t="s">
        <v>61</v>
      </c>
      <c r="H1212" t="s">
        <v>88</v>
      </c>
      <c r="I1212" t="s">
        <v>62</v>
      </c>
      <c r="J1212" t="s">
        <v>63</v>
      </c>
      <c r="K1212" s="2">
        <v>46243</v>
      </c>
      <c r="L1212" s="2">
        <v>46333</v>
      </c>
      <c r="M1212" t="s">
        <v>64</v>
      </c>
      <c r="N1212" t="s">
        <v>75</v>
      </c>
      <c r="O1212">
        <v>1</v>
      </c>
      <c r="P1212" t="s">
        <v>106</v>
      </c>
      <c r="Q1212" s="2">
        <v>46153</v>
      </c>
      <c r="R1212" t="s">
        <v>64</v>
      </c>
    </row>
    <row r="1213" spans="1:18" x14ac:dyDescent="0.2">
      <c r="A1213" t="s">
        <v>2484</v>
      </c>
      <c r="B1213" t="s">
        <v>2485</v>
      </c>
      <c r="C1213" t="s">
        <v>31</v>
      </c>
      <c r="D1213" t="s">
        <v>87</v>
      </c>
      <c r="E1213" t="s">
        <v>105</v>
      </c>
      <c r="F1213" t="s">
        <v>45</v>
      </c>
      <c r="G1213" t="s">
        <v>46</v>
      </c>
      <c r="H1213" t="s">
        <v>88</v>
      </c>
      <c r="I1213" t="s">
        <v>39</v>
      </c>
      <c r="J1213" t="s">
        <v>37</v>
      </c>
      <c r="K1213" s="2">
        <v>45962</v>
      </c>
      <c r="L1213" s="2">
        <v>46327</v>
      </c>
      <c r="M1213" t="s">
        <v>64</v>
      </c>
      <c r="N1213" t="s">
        <v>75</v>
      </c>
      <c r="O1213">
        <v>0</v>
      </c>
      <c r="P1213" t="s">
        <v>50</v>
      </c>
      <c r="Q1213" s="2">
        <v>46279</v>
      </c>
      <c r="R1213" t="s">
        <v>57</v>
      </c>
    </row>
    <row r="1214" spans="1:18" x14ac:dyDescent="0.2">
      <c r="A1214" t="s">
        <v>2486</v>
      </c>
      <c r="B1214" t="s">
        <v>2487</v>
      </c>
      <c r="C1214" t="s">
        <v>42</v>
      </c>
      <c r="D1214" t="s">
        <v>43</v>
      </c>
      <c r="E1214" t="s">
        <v>60</v>
      </c>
      <c r="F1214" t="s">
        <v>34</v>
      </c>
      <c r="G1214" t="s">
        <v>35</v>
      </c>
      <c r="H1214" t="s">
        <v>98</v>
      </c>
      <c r="I1214" t="s">
        <v>62</v>
      </c>
      <c r="J1214" t="s">
        <v>48</v>
      </c>
      <c r="K1214" s="2">
        <v>45954</v>
      </c>
      <c r="L1214" s="2">
        <v>46044</v>
      </c>
      <c r="M1214" t="s">
        <v>38</v>
      </c>
      <c r="N1214" t="s">
        <v>55</v>
      </c>
      <c r="O1214">
        <v>5</v>
      </c>
      <c r="P1214" t="s">
        <v>111</v>
      </c>
      <c r="Q1214" s="2">
        <v>46303</v>
      </c>
      <c r="R1214" t="s">
        <v>64</v>
      </c>
    </row>
    <row r="1215" spans="1:18" x14ac:dyDescent="0.2">
      <c r="A1215" t="s">
        <v>2488</v>
      </c>
      <c r="B1215" t="s">
        <v>2489</v>
      </c>
      <c r="C1215" t="s">
        <v>31</v>
      </c>
      <c r="D1215" t="s">
        <v>83</v>
      </c>
      <c r="E1215" t="s">
        <v>60</v>
      </c>
      <c r="F1215" t="s">
        <v>67</v>
      </c>
      <c r="G1215" t="s">
        <v>118</v>
      </c>
      <c r="H1215" t="s">
        <v>47</v>
      </c>
      <c r="I1215" t="s">
        <v>50</v>
      </c>
      <c r="J1215" t="s">
        <v>48</v>
      </c>
      <c r="K1215" s="2">
        <v>46246</v>
      </c>
      <c r="L1215" s="2">
        <v>46611</v>
      </c>
      <c r="M1215" t="s">
        <v>84</v>
      </c>
      <c r="N1215" t="s">
        <v>49</v>
      </c>
      <c r="O1215">
        <v>3</v>
      </c>
      <c r="P1215" t="s">
        <v>70</v>
      </c>
      <c r="Q1215" s="2">
        <v>46325</v>
      </c>
      <c r="R1215" t="s">
        <v>84</v>
      </c>
    </row>
    <row r="1216" spans="1:18" x14ac:dyDescent="0.2">
      <c r="A1216" t="s">
        <v>2490</v>
      </c>
      <c r="B1216" t="s">
        <v>2491</v>
      </c>
      <c r="C1216" t="s">
        <v>31</v>
      </c>
      <c r="D1216" t="s">
        <v>32</v>
      </c>
      <c r="E1216" t="s">
        <v>91</v>
      </c>
      <c r="F1216" t="s">
        <v>34</v>
      </c>
      <c r="G1216" t="s">
        <v>35</v>
      </c>
      <c r="H1216" t="s">
        <v>88</v>
      </c>
      <c r="I1216" t="s">
        <v>111</v>
      </c>
      <c r="J1216" t="s">
        <v>37</v>
      </c>
      <c r="K1216" s="2">
        <v>45803</v>
      </c>
      <c r="L1216" s="2">
        <v>45983</v>
      </c>
      <c r="M1216" t="s">
        <v>38</v>
      </c>
      <c r="N1216" t="s">
        <v>55</v>
      </c>
      <c r="O1216">
        <v>1</v>
      </c>
      <c r="P1216" t="s">
        <v>39</v>
      </c>
      <c r="Q1216" s="2">
        <v>46404</v>
      </c>
      <c r="R1216" t="s">
        <v>84</v>
      </c>
    </row>
    <row r="1217" spans="1:18" x14ac:dyDescent="0.2">
      <c r="A1217" t="s">
        <v>2492</v>
      </c>
      <c r="B1217" t="s">
        <v>2493</v>
      </c>
      <c r="C1217" t="s">
        <v>31</v>
      </c>
      <c r="D1217" t="s">
        <v>83</v>
      </c>
      <c r="E1217" t="s">
        <v>105</v>
      </c>
      <c r="F1217" t="s">
        <v>67</v>
      </c>
      <c r="G1217" t="s">
        <v>118</v>
      </c>
      <c r="H1217" t="s">
        <v>98</v>
      </c>
      <c r="I1217" t="s">
        <v>54</v>
      </c>
      <c r="J1217" t="s">
        <v>37</v>
      </c>
      <c r="K1217" s="2">
        <v>46172</v>
      </c>
      <c r="L1217" s="2">
        <v>46352</v>
      </c>
      <c r="M1217" t="s">
        <v>64</v>
      </c>
      <c r="N1217" t="s">
        <v>55</v>
      </c>
      <c r="O1217">
        <v>2</v>
      </c>
      <c r="P1217" t="s">
        <v>62</v>
      </c>
      <c r="Q1217" s="2">
        <v>46298</v>
      </c>
      <c r="R1217" t="s">
        <v>84</v>
      </c>
    </row>
    <row r="1218" spans="1:18" x14ac:dyDescent="0.2">
      <c r="A1218" t="s">
        <v>2494</v>
      </c>
      <c r="B1218" t="s">
        <v>2495</v>
      </c>
      <c r="C1218" t="s">
        <v>31</v>
      </c>
      <c r="D1218" t="s">
        <v>83</v>
      </c>
      <c r="E1218" t="s">
        <v>60</v>
      </c>
      <c r="F1218" t="s">
        <v>45</v>
      </c>
      <c r="G1218" t="s">
        <v>61</v>
      </c>
      <c r="H1218" t="s">
        <v>98</v>
      </c>
      <c r="I1218" t="s">
        <v>111</v>
      </c>
      <c r="J1218" t="s">
        <v>37</v>
      </c>
      <c r="K1218" s="2">
        <v>46270</v>
      </c>
      <c r="L1218" s="2">
        <v>46360</v>
      </c>
      <c r="M1218" t="s">
        <v>84</v>
      </c>
      <c r="N1218" t="s">
        <v>49</v>
      </c>
      <c r="O1218">
        <v>0</v>
      </c>
      <c r="P1218" t="s">
        <v>70</v>
      </c>
      <c r="Q1218" s="2">
        <v>46155</v>
      </c>
      <c r="R1218" t="s">
        <v>57</v>
      </c>
    </row>
    <row r="1219" spans="1:18" x14ac:dyDescent="0.2">
      <c r="A1219" t="s">
        <v>2496</v>
      </c>
      <c r="B1219" t="s">
        <v>2497</v>
      </c>
      <c r="C1219" t="s">
        <v>103</v>
      </c>
      <c r="D1219" t="s">
        <v>104</v>
      </c>
      <c r="E1219" t="s">
        <v>44</v>
      </c>
      <c r="F1219" t="s">
        <v>45</v>
      </c>
      <c r="G1219" t="s">
        <v>61</v>
      </c>
      <c r="H1219" t="s">
        <v>36</v>
      </c>
      <c r="I1219" t="s">
        <v>106</v>
      </c>
      <c r="J1219" t="s">
        <v>48</v>
      </c>
      <c r="K1219" s="2">
        <v>46208</v>
      </c>
      <c r="L1219" s="2">
        <v>46388</v>
      </c>
      <c r="M1219" t="s">
        <v>64</v>
      </c>
      <c r="N1219" t="s">
        <v>49</v>
      </c>
      <c r="O1219">
        <v>2</v>
      </c>
      <c r="P1219" t="s">
        <v>56</v>
      </c>
      <c r="Q1219" s="2">
        <v>46307</v>
      </c>
      <c r="R1219" t="s">
        <v>64</v>
      </c>
    </row>
    <row r="1220" spans="1:18" x14ac:dyDescent="0.2">
      <c r="A1220" t="s">
        <v>2498</v>
      </c>
      <c r="B1220" t="s">
        <v>2499</v>
      </c>
      <c r="C1220" t="s">
        <v>78</v>
      </c>
      <c r="D1220" t="s">
        <v>79</v>
      </c>
      <c r="E1220" t="s">
        <v>60</v>
      </c>
      <c r="F1220" t="s">
        <v>67</v>
      </c>
      <c r="G1220" t="s">
        <v>118</v>
      </c>
      <c r="H1220" t="s">
        <v>47</v>
      </c>
      <c r="I1220" t="s">
        <v>50</v>
      </c>
      <c r="J1220" t="s">
        <v>63</v>
      </c>
      <c r="K1220" s="2">
        <v>45833</v>
      </c>
      <c r="L1220" s="2">
        <v>46198</v>
      </c>
      <c r="M1220" t="s">
        <v>38</v>
      </c>
      <c r="N1220" t="s">
        <v>75</v>
      </c>
      <c r="O1220">
        <v>0</v>
      </c>
      <c r="P1220" t="s">
        <v>39</v>
      </c>
      <c r="Q1220" s="2">
        <v>46187</v>
      </c>
      <c r="R1220" t="s">
        <v>57</v>
      </c>
    </row>
    <row r="1221" spans="1:18" x14ac:dyDescent="0.2">
      <c r="A1221" t="s">
        <v>2500</v>
      </c>
      <c r="B1221" t="s">
        <v>2501</v>
      </c>
      <c r="C1221" t="s">
        <v>96</v>
      </c>
      <c r="D1221" t="s">
        <v>97</v>
      </c>
      <c r="E1221" t="s">
        <v>53</v>
      </c>
      <c r="F1221" t="s">
        <v>45</v>
      </c>
      <c r="G1221" t="s">
        <v>61</v>
      </c>
      <c r="H1221" t="s">
        <v>47</v>
      </c>
      <c r="I1221" t="s">
        <v>39</v>
      </c>
      <c r="J1221" t="s">
        <v>48</v>
      </c>
      <c r="K1221" s="2">
        <v>46154</v>
      </c>
      <c r="L1221" s="2">
        <v>46334</v>
      </c>
      <c r="M1221" t="s">
        <v>64</v>
      </c>
      <c r="N1221" t="s">
        <v>75</v>
      </c>
      <c r="O1221">
        <v>0</v>
      </c>
      <c r="P1221" t="s">
        <v>50</v>
      </c>
      <c r="Q1221" s="2">
        <v>46318</v>
      </c>
      <c r="R1221" t="s">
        <v>57</v>
      </c>
    </row>
    <row r="1222" spans="1:18" x14ac:dyDescent="0.2">
      <c r="A1222" t="s">
        <v>2502</v>
      </c>
      <c r="B1222" t="s">
        <v>2503</v>
      </c>
      <c r="C1222" t="s">
        <v>42</v>
      </c>
      <c r="D1222" t="s">
        <v>43</v>
      </c>
      <c r="E1222" t="s">
        <v>91</v>
      </c>
      <c r="F1222" t="s">
        <v>67</v>
      </c>
      <c r="G1222" t="s">
        <v>118</v>
      </c>
      <c r="H1222" t="s">
        <v>88</v>
      </c>
      <c r="I1222" t="s">
        <v>50</v>
      </c>
      <c r="J1222" t="s">
        <v>37</v>
      </c>
      <c r="K1222" s="2">
        <v>46237</v>
      </c>
      <c r="L1222" s="2">
        <v>46327</v>
      </c>
      <c r="M1222" t="s">
        <v>84</v>
      </c>
      <c r="N1222" t="s">
        <v>75</v>
      </c>
      <c r="O1222">
        <v>1</v>
      </c>
      <c r="P1222" t="s">
        <v>50</v>
      </c>
      <c r="Q1222" s="2">
        <v>46167</v>
      </c>
      <c r="R1222" t="s">
        <v>38</v>
      </c>
    </row>
    <row r="1223" spans="1:18" x14ac:dyDescent="0.2">
      <c r="A1223" t="s">
        <v>2504</v>
      </c>
      <c r="B1223" t="s">
        <v>2505</v>
      </c>
      <c r="C1223" t="s">
        <v>31</v>
      </c>
      <c r="D1223" t="s">
        <v>83</v>
      </c>
      <c r="E1223" t="s">
        <v>91</v>
      </c>
      <c r="F1223" t="s">
        <v>34</v>
      </c>
      <c r="G1223" t="s">
        <v>35</v>
      </c>
      <c r="H1223" t="s">
        <v>36</v>
      </c>
      <c r="I1223" t="s">
        <v>111</v>
      </c>
      <c r="J1223" t="s">
        <v>63</v>
      </c>
      <c r="K1223" s="2">
        <v>46156</v>
      </c>
      <c r="L1223" s="2">
        <v>46336</v>
      </c>
      <c r="M1223" t="s">
        <v>84</v>
      </c>
      <c r="N1223" t="s">
        <v>49</v>
      </c>
      <c r="O1223">
        <v>1</v>
      </c>
      <c r="P1223" t="s">
        <v>106</v>
      </c>
      <c r="Q1223" s="2">
        <v>46173</v>
      </c>
      <c r="R1223" t="s">
        <v>38</v>
      </c>
    </row>
    <row r="1224" spans="1:18" x14ac:dyDescent="0.2">
      <c r="A1224" t="s">
        <v>2506</v>
      </c>
      <c r="B1224" t="s">
        <v>2507</v>
      </c>
      <c r="C1224" t="s">
        <v>31</v>
      </c>
      <c r="D1224" t="s">
        <v>32</v>
      </c>
      <c r="E1224" t="s">
        <v>53</v>
      </c>
      <c r="F1224" t="s">
        <v>67</v>
      </c>
      <c r="G1224" t="s">
        <v>170</v>
      </c>
      <c r="H1224" t="s">
        <v>47</v>
      </c>
      <c r="I1224" t="s">
        <v>111</v>
      </c>
      <c r="J1224" t="s">
        <v>37</v>
      </c>
      <c r="K1224" s="2">
        <v>45897</v>
      </c>
      <c r="L1224" s="2">
        <v>45987</v>
      </c>
      <c r="M1224" t="s">
        <v>38</v>
      </c>
      <c r="N1224" t="s">
        <v>75</v>
      </c>
      <c r="O1224">
        <v>3</v>
      </c>
      <c r="P1224" t="s">
        <v>39</v>
      </c>
      <c r="Q1224" s="2">
        <v>46321</v>
      </c>
      <c r="R1224" t="s">
        <v>84</v>
      </c>
    </row>
    <row r="1225" spans="1:18" x14ac:dyDescent="0.2">
      <c r="A1225" t="s">
        <v>2508</v>
      </c>
      <c r="B1225" t="s">
        <v>2509</v>
      </c>
      <c r="C1225" t="s">
        <v>31</v>
      </c>
      <c r="D1225" t="s">
        <v>83</v>
      </c>
      <c r="E1225" t="s">
        <v>44</v>
      </c>
      <c r="F1225" t="s">
        <v>67</v>
      </c>
      <c r="G1225" t="s">
        <v>118</v>
      </c>
      <c r="H1225" t="s">
        <v>36</v>
      </c>
      <c r="I1225" t="s">
        <v>50</v>
      </c>
      <c r="J1225" t="s">
        <v>63</v>
      </c>
      <c r="K1225" s="2">
        <v>45835</v>
      </c>
      <c r="L1225" s="2">
        <v>45925</v>
      </c>
      <c r="M1225" t="s">
        <v>38</v>
      </c>
      <c r="N1225" t="s">
        <v>75</v>
      </c>
      <c r="O1225">
        <v>0</v>
      </c>
      <c r="P1225" t="s">
        <v>50</v>
      </c>
      <c r="Q1225" s="2">
        <v>46307</v>
      </c>
      <c r="R1225" t="s">
        <v>57</v>
      </c>
    </row>
    <row r="1226" spans="1:18" x14ac:dyDescent="0.2">
      <c r="A1226" t="s">
        <v>2510</v>
      </c>
      <c r="B1226" t="s">
        <v>2511</v>
      </c>
      <c r="C1226" t="s">
        <v>31</v>
      </c>
      <c r="D1226" t="s">
        <v>32</v>
      </c>
      <c r="E1226" t="s">
        <v>91</v>
      </c>
      <c r="F1226" t="s">
        <v>45</v>
      </c>
      <c r="G1226" t="s">
        <v>46</v>
      </c>
      <c r="H1226" t="s">
        <v>88</v>
      </c>
      <c r="I1226" t="s">
        <v>50</v>
      </c>
      <c r="J1226" t="s">
        <v>37</v>
      </c>
      <c r="K1226" s="2">
        <v>46231</v>
      </c>
      <c r="L1226" s="2">
        <v>46411</v>
      </c>
      <c r="M1226" t="s">
        <v>69</v>
      </c>
      <c r="N1226" t="s">
        <v>55</v>
      </c>
      <c r="O1226">
        <v>2</v>
      </c>
      <c r="P1226" t="s">
        <v>62</v>
      </c>
      <c r="Q1226" s="2">
        <v>46391</v>
      </c>
      <c r="R1226" t="s">
        <v>84</v>
      </c>
    </row>
    <row r="1227" spans="1:18" x14ac:dyDescent="0.2">
      <c r="A1227" t="s">
        <v>2512</v>
      </c>
      <c r="B1227" t="s">
        <v>2513</v>
      </c>
      <c r="C1227" t="s">
        <v>96</v>
      </c>
      <c r="D1227" t="s">
        <v>97</v>
      </c>
      <c r="E1227" t="s">
        <v>91</v>
      </c>
      <c r="F1227" t="s">
        <v>34</v>
      </c>
      <c r="G1227" t="s">
        <v>35</v>
      </c>
      <c r="H1227" t="s">
        <v>47</v>
      </c>
      <c r="J1227" t="s">
        <v>63</v>
      </c>
      <c r="K1227" s="2">
        <v>45942</v>
      </c>
      <c r="L1227" s="2">
        <v>46032</v>
      </c>
      <c r="M1227" t="s">
        <v>38</v>
      </c>
      <c r="N1227" t="s">
        <v>55</v>
      </c>
      <c r="O1227">
        <v>1</v>
      </c>
      <c r="P1227" t="s">
        <v>39</v>
      </c>
      <c r="Q1227" s="2">
        <v>46282</v>
      </c>
      <c r="R1227" t="s">
        <v>38</v>
      </c>
    </row>
    <row r="1228" spans="1:18" x14ac:dyDescent="0.2">
      <c r="A1228" t="s">
        <v>2514</v>
      </c>
      <c r="B1228" t="s">
        <v>2515</v>
      </c>
      <c r="C1228" t="s">
        <v>31</v>
      </c>
      <c r="D1228" t="s">
        <v>87</v>
      </c>
      <c r="E1228" t="s">
        <v>44</v>
      </c>
      <c r="F1228" t="s">
        <v>34</v>
      </c>
      <c r="G1228" t="s">
        <v>35</v>
      </c>
      <c r="H1228" t="s">
        <v>88</v>
      </c>
      <c r="I1228" t="s">
        <v>56</v>
      </c>
      <c r="J1228" t="s">
        <v>37</v>
      </c>
      <c r="K1228" s="2">
        <v>45874</v>
      </c>
      <c r="L1228" s="2">
        <v>46239</v>
      </c>
      <c r="M1228" t="s">
        <v>38</v>
      </c>
      <c r="N1228" t="s">
        <v>55</v>
      </c>
      <c r="O1228">
        <v>1</v>
      </c>
      <c r="P1228" t="s">
        <v>39</v>
      </c>
      <c r="Q1228" s="2">
        <v>46179</v>
      </c>
      <c r="R1228" t="s">
        <v>38</v>
      </c>
    </row>
    <row r="1229" spans="1:18" x14ac:dyDescent="0.2">
      <c r="A1229" t="s">
        <v>2516</v>
      </c>
      <c r="B1229" t="s">
        <v>2517</v>
      </c>
      <c r="C1229" t="s">
        <v>42</v>
      </c>
      <c r="D1229" t="s">
        <v>43</v>
      </c>
      <c r="E1229" t="s">
        <v>91</v>
      </c>
      <c r="F1229" t="s">
        <v>34</v>
      </c>
      <c r="G1229" t="s">
        <v>35</v>
      </c>
      <c r="H1229" t="s">
        <v>36</v>
      </c>
      <c r="I1229" t="s">
        <v>62</v>
      </c>
      <c r="J1229" t="s">
        <v>48</v>
      </c>
      <c r="K1229" s="2">
        <v>45907</v>
      </c>
      <c r="L1229" s="2">
        <v>46272</v>
      </c>
      <c r="M1229" t="s">
        <v>38</v>
      </c>
      <c r="N1229" t="s">
        <v>49</v>
      </c>
      <c r="O1229">
        <v>5</v>
      </c>
      <c r="P1229" t="s">
        <v>56</v>
      </c>
      <c r="Q1229" s="2">
        <v>46243</v>
      </c>
      <c r="R1229" t="s">
        <v>38</v>
      </c>
    </row>
    <row r="1230" spans="1:18" x14ac:dyDescent="0.2">
      <c r="A1230" t="s">
        <v>2518</v>
      </c>
      <c r="B1230" t="s">
        <v>2519</v>
      </c>
      <c r="C1230" t="s">
        <v>96</v>
      </c>
      <c r="D1230" t="s">
        <v>97</v>
      </c>
      <c r="E1230" t="s">
        <v>91</v>
      </c>
      <c r="F1230" t="s">
        <v>34</v>
      </c>
      <c r="G1230" t="s">
        <v>35</v>
      </c>
      <c r="H1230" t="s">
        <v>88</v>
      </c>
      <c r="I1230" t="s">
        <v>70</v>
      </c>
      <c r="J1230" t="s">
        <v>48</v>
      </c>
      <c r="K1230" s="2">
        <v>45944</v>
      </c>
      <c r="L1230" s="2">
        <v>46034</v>
      </c>
      <c r="M1230" t="s">
        <v>38</v>
      </c>
      <c r="N1230" t="s">
        <v>75</v>
      </c>
      <c r="O1230">
        <v>2</v>
      </c>
      <c r="P1230" t="s">
        <v>111</v>
      </c>
      <c r="Q1230" s="2">
        <v>46346</v>
      </c>
      <c r="R1230" t="s">
        <v>84</v>
      </c>
    </row>
    <row r="1231" spans="1:18" x14ac:dyDescent="0.2">
      <c r="A1231" t="s">
        <v>2520</v>
      </c>
      <c r="B1231" t="s">
        <v>2521</v>
      </c>
      <c r="C1231" t="s">
        <v>31</v>
      </c>
      <c r="D1231" t="s">
        <v>83</v>
      </c>
      <c r="E1231" t="s">
        <v>44</v>
      </c>
      <c r="F1231" t="s">
        <v>45</v>
      </c>
      <c r="G1231" t="s">
        <v>61</v>
      </c>
      <c r="H1231" t="s">
        <v>47</v>
      </c>
      <c r="I1231" t="s">
        <v>62</v>
      </c>
      <c r="J1231" t="s">
        <v>63</v>
      </c>
      <c r="K1231" s="2">
        <v>46046</v>
      </c>
      <c r="L1231" s="2">
        <v>46226</v>
      </c>
      <c r="M1231" t="s">
        <v>38</v>
      </c>
      <c r="N1231" t="s">
        <v>75</v>
      </c>
      <c r="O1231">
        <v>1</v>
      </c>
      <c r="P1231" t="s">
        <v>111</v>
      </c>
      <c r="Q1231" s="2">
        <v>46391</v>
      </c>
      <c r="R1231" t="s">
        <v>84</v>
      </c>
    </row>
    <row r="1232" spans="1:18" x14ac:dyDescent="0.2">
      <c r="A1232" t="s">
        <v>2522</v>
      </c>
      <c r="B1232" t="s">
        <v>2523</v>
      </c>
      <c r="C1232" t="s">
        <v>96</v>
      </c>
      <c r="D1232" t="s">
        <v>97</v>
      </c>
      <c r="E1232" t="s">
        <v>105</v>
      </c>
      <c r="F1232" t="s">
        <v>67</v>
      </c>
      <c r="G1232" t="s">
        <v>118</v>
      </c>
      <c r="H1232" t="s">
        <v>98</v>
      </c>
      <c r="I1232" t="s">
        <v>70</v>
      </c>
      <c r="J1232" t="s">
        <v>63</v>
      </c>
      <c r="K1232" s="2">
        <v>45907</v>
      </c>
      <c r="L1232" s="2">
        <v>46272</v>
      </c>
      <c r="M1232" t="s">
        <v>38</v>
      </c>
      <c r="N1232" t="s">
        <v>49</v>
      </c>
      <c r="O1232">
        <v>3</v>
      </c>
      <c r="P1232" t="s">
        <v>50</v>
      </c>
      <c r="Q1232" s="2">
        <v>46368</v>
      </c>
      <c r="R1232" t="s">
        <v>84</v>
      </c>
    </row>
    <row r="1233" spans="1:18" x14ac:dyDescent="0.2">
      <c r="A1233" t="s">
        <v>2524</v>
      </c>
      <c r="B1233" t="s">
        <v>2525</v>
      </c>
      <c r="C1233" t="s">
        <v>31</v>
      </c>
      <c r="D1233" t="s">
        <v>87</v>
      </c>
      <c r="E1233" t="s">
        <v>60</v>
      </c>
      <c r="F1233" t="s">
        <v>34</v>
      </c>
      <c r="G1233" t="s">
        <v>35</v>
      </c>
      <c r="H1233" t="s">
        <v>88</v>
      </c>
      <c r="I1233" t="s">
        <v>50</v>
      </c>
      <c r="J1233" t="s">
        <v>63</v>
      </c>
      <c r="K1233" s="2">
        <v>45847</v>
      </c>
      <c r="L1233" s="2">
        <v>45937</v>
      </c>
      <c r="M1233" t="s">
        <v>38</v>
      </c>
      <c r="N1233" t="s">
        <v>75</v>
      </c>
      <c r="O1233">
        <v>1</v>
      </c>
      <c r="P1233" t="s">
        <v>106</v>
      </c>
      <c r="Q1233" s="2">
        <v>46367</v>
      </c>
      <c r="R1233" t="s">
        <v>84</v>
      </c>
    </row>
    <row r="1234" spans="1:18" x14ac:dyDescent="0.2">
      <c r="A1234" t="s">
        <v>2526</v>
      </c>
      <c r="B1234" t="s">
        <v>2527</v>
      </c>
      <c r="C1234" t="s">
        <v>73</v>
      </c>
      <c r="D1234" t="s">
        <v>74</v>
      </c>
      <c r="E1234" t="s">
        <v>80</v>
      </c>
      <c r="F1234" t="s">
        <v>34</v>
      </c>
      <c r="G1234" t="s">
        <v>35</v>
      </c>
      <c r="H1234" t="s">
        <v>88</v>
      </c>
      <c r="I1234" t="s">
        <v>54</v>
      </c>
      <c r="J1234" t="s">
        <v>37</v>
      </c>
      <c r="K1234" s="2">
        <v>46087</v>
      </c>
      <c r="L1234" s="2">
        <v>46177</v>
      </c>
      <c r="M1234" t="s">
        <v>38</v>
      </c>
      <c r="N1234" t="s">
        <v>49</v>
      </c>
      <c r="O1234">
        <v>2</v>
      </c>
      <c r="P1234" t="s">
        <v>62</v>
      </c>
      <c r="Q1234" s="2">
        <v>46130</v>
      </c>
      <c r="R1234" t="s">
        <v>38</v>
      </c>
    </row>
    <row r="1235" spans="1:18" x14ac:dyDescent="0.2">
      <c r="A1235" t="s">
        <v>2528</v>
      </c>
      <c r="B1235" t="s">
        <v>2529</v>
      </c>
      <c r="C1235" t="s">
        <v>42</v>
      </c>
      <c r="D1235" t="s">
        <v>43</v>
      </c>
      <c r="E1235" t="s">
        <v>91</v>
      </c>
      <c r="F1235" t="s">
        <v>34</v>
      </c>
      <c r="G1235" t="s">
        <v>35</v>
      </c>
      <c r="H1235" t="s">
        <v>88</v>
      </c>
      <c r="I1235" t="s">
        <v>39</v>
      </c>
      <c r="J1235" t="s">
        <v>48</v>
      </c>
      <c r="K1235" s="2">
        <v>46260</v>
      </c>
      <c r="L1235" s="2">
        <v>46625</v>
      </c>
      <c r="M1235" t="s">
        <v>64</v>
      </c>
      <c r="N1235" t="s">
        <v>75</v>
      </c>
      <c r="O1235">
        <v>1</v>
      </c>
      <c r="P1235" t="s">
        <v>62</v>
      </c>
      <c r="Q1235" s="2">
        <v>46290</v>
      </c>
      <c r="R1235" t="s">
        <v>38</v>
      </c>
    </row>
    <row r="1236" spans="1:18" x14ac:dyDescent="0.2">
      <c r="A1236" t="s">
        <v>2530</v>
      </c>
      <c r="B1236" t="s">
        <v>2531</v>
      </c>
      <c r="C1236" t="s">
        <v>103</v>
      </c>
      <c r="D1236" t="s">
        <v>104</v>
      </c>
      <c r="E1236" t="s">
        <v>44</v>
      </c>
      <c r="F1236" t="s">
        <v>67</v>
      </c>
      <c r="G1236" t="s">
        <v>118</v>
      </c>
      <c r="H1236" t="s">
        <v>47</v>
      </c>
      <c r="I1236" t="s">
        <v>56</v>
      </c>
      <c r="J1236" t="s">
        <v>48</v>
      </c>
      <c r="K1236" s="2">
        <v>46180</v>
      </c>
      <c r="L1236" s="2">
        <v>46545</v>
      </c>
      <c r="M1236" t="s">
        <v>64</v>
      </c>
      <c r="N1236" t="s">
        <v>55</v>
      </c>
      <c r="O1236">
        <v>2</v>
      </c>
      <c r="P1236" t="s">
        <v>70</v>
      </c>
      <c r="Q1236" s="2">
        <v>46315</v>
      </c>
      <c r="R1236" t="s">
        <v>84</v>
      </c>
    </row>
    <row r="1237" spans="1:18" x14ac:dyDescent="0.2">
      <c r="A1237" t="s">
        <v>2532</v>
      </c>
      <c r="B1237" t="s">
        <v>2533</v>
      </c>
      <c r="C1237" t="s">
        <v>31</v>
      </c>
      <c r="D1237" t="s">
        <v>83</v>
      </c>
      <c r="E1237" t="s">
        <v>44</v>
      </c>
      <c r="F1237" t="s">
        <v>67</v>
      </c>
      <c r="G1237" t="s">
        <v>118</v>
      </c>
      <c r="H1237" t="s">
        <v>47</v>
      </c>
      <c r="I1237" t="s">
        <v>106</v>
      </c>
      <c r="J1237" t="s">
        <v>63</v>
      </c>
      <c r="K1237" s="2">
        <v>46180</v>
      </c>
      <c r="L1237" s="2">
        <v>46545</v>
      </c>
      <c r="M1237" t="s">
        <v>69</v>
      </c>
      <c r="N1237" t="s">
        <v>55</v>
      </c>
      <c r="O1237">
        <v>2</v>
      </c>
      <c r="P1237" t="s">
        <v>54</v>
      </c>
      <c r="Q1237" s="2">
        <v>46314</v>
      </c>
      <c r="R1237" t="s">
        <v>64</v>
      </c>
    </row>
    <row r="1238" spans="1:18" x14ac:dyDescent="0.2">
      <c r="A1238" t="s">
        <v>2534</v>
      </c>
      <c r="B1238" t="s">
        <v>2535</v>
      </c>
      <c r="C1238" t="s">
        <v>96</v>
      </c>
      <c r="D1238" t="s">
        <v>97</v>
      </c>
      <c r="E1238" t="s">
        <v>53</v>
      </c>
      <c r="F1238" t="s">
        <v>34</v>
      </c>
      <c r="G1238" t="s">
        <v>35</v>
      </c>
      <c r="H1238" t="s">
        <v>88</v>
      </c>
      <c r="I1238" t="s">
        <v>106</v>
      </c>
      <c r="J1238" t="s">
        <v>37</v>
      </c>
      <c r="K1238" s="2">
        <v>46223</v>
      </c>
      <c r="L1238" s="2">
        <v>46313</v>
      </c>
      <c r="M1238" t="s">
        <v>84</v>
      </c>
      <c r="N1238" t="s">
        <v>49</v>
      </c>
      <c r="O1238">
        <v>3</v>
      </c>
      <c r="P1238" t="s">
        <v>62</v>
      </c>
      <c r="Q1238" s="2">
        <v>46304</v>
      </c>
      <c r="R1238" t="s">
        <v>84</v>
      </c>
    </row>
    <row r="1239" spans="1:18" x14ac:dyDescent="0.2">
      <c r="A1239" t="s">
        <v>2536</v>
      </c>
      <c r="B1239" t="s">
        <v>2537</v>
      </c>
      <c r="C1239" t="s">
        <v>42</v>
      </c>
      <c r="D1239" t="s">
        <v>43</v>
      </c>
      <c r="E1239" t="s">
        <v>105</v>
      </c>
      <c r="F1239" t="s">
        <v>34</v>
      </c>
      <c r="G1239" t="s">
        <v>35</v>
      </c>
      <c r="H1239" t="s">
        <v>88</v>
      </c>
      <c r="I1239" t="s">
        <v>111</v>
      </c>
      <c r="J1239" t="s">
        <v>63</v>
      </c>
      <c r="K1239" s="2">
        <v>45880</v>
      </c>
      <c r="L1239" s="2">
        <v>46245</v>
      </c>
      <c r="M1239" t="s">
        <v>38</v>
      </c>
      <c r="N1239" t="s">
        <v>75</v>
      </c>
      <c r="O1239">
        <v>2</v>
      </c>
      <c r="P1239" t="s">
        <v>70</v>
      </c>
      <c r="Q1239" s="2">
        <v>46229</v>
      </c>
      <c r="R1239" t="s">
        <v>64</v>
      </c>
    </row>
    <row r="1240" spans="1:18" x14ac:dyDescent="0.2">
      <c r="A1240" t="s">
        <v>2538</v>
      </c>
      <c r="B1240" t="s">
        <v>2539</v>
      </c>
      <c r="C1240" t="s">
        <v>42</v>
      </c>
      <c r="D1240" t="s">
        <v>43</v>
      </c>
      <c r="E1240" t="s">
        <v>105</v>
      </c>
      <c r="F1240" t="s">
        <v>34</v>
      </c>
      <c r="G1240" t="s">
        <v>35</v>
      </c>
      <c r="H1240" t="s">
        <v>36</v>
      </c>
      <c r="I1240" t="s">
        <v>111</v>
      </c>
      <c r="J1240" t="s">
        <v>48</v>
      </c>
      <c r="K1240" s="2">
        <v>46191</v>
      </c>
      <c r="L1240" s="2">
        <v>46281</v>
      </c>
      <c r="M1240" t="s">
        <v>38</v>
      </c>
      <c r="N1240" t="s">
        <v>55</v>
      </c>
      <c r="O1240">
        <v>4</v>
      </c>
      <c r="P1240" t="s">
        <v>70</v>
      </c>
      <c r="Q1240" s="2">
        <v>46285</v>
      </c>
      <c r="R1240" t="s">
        <v>38</v>
      </c>
    </row>
    <row r="1241" spans="1:18" x14ac:dyDescent="0.2">
      <c r="A1241" t="s">
        <v>2540</v>
      </c>
      <c r="B1241" t="s">
        <v>2541</v>
      </c>
      <c r="C1241" t="s">
        <v>31</v>
      </c>
      <c r="D1241" t="s">
        <v>83</v>
      </c>
      <c r="E1241" t="s">
        <v>80</v>
      </c>
      <c r="F1241" t="s">
        <v>67</v>
      </c>
      <c r="G1241" t="s">
        <v>68</v>
      </c>
      <c r="H1241" t="s">
        <v>88</v>
      </c>
      <c r="I1241" t="s">
        <v>106</v>
      </c>
      <c r="J1241" t="s">
        <v>63</v>
      </c>
      <c r="K1241" s="2">
        <v>46125</v>
      </c>
      <c r="L1241" s="2">
        <v>46305</v>
      </c>
      <c r="M1241" t="s">
        <v>64</v>
      </c>
      <c r="N1241" t="s">
        <v>75</v>
      </c>
      <c r="O1241">
        <v>1</v>
      </c>
      <c r="P1241" t="s">
        <v>54</v>
      </c>
      <c r="Q1241" s="2">
        <v>46169</v>
      </c>
      <c r="R1241" t="s">
        <v>64</v>
      </c>
    </row>
    <row r="1242" spans="1:18" x14ac:dyDescent="0.2">
      <c r="A1242" t="s">
        <v>2542</v>
      </c>
      <c r="B1242" t="s">
        <v>2543</v>
      </c>
      <c r="C1242" t="s">
        <v>42</v>
      </c>
      <c r="D1242" t="s">
        <v>43</v>
      </c>
      <c r="E1242" t="s">
        <v>91</v>
      </c>
      <c r="F1242" t="s">
        <v>67</v>
      </c>
      <c r="G1242" t="s">
        <v>118</v>
      </c>
      <c r="H1242" t="s">
        <v>36</v>
      </c>
      <c r="I1242" t="s">
        <v>70</v>
      </c>
      <c r="J1242" t="s">
        <v>48</v>
      </c>
      <c r="K1242" s="2">
        <v>46154</v>
      </c>
      <c r="L1242" s="2">
        <v>46334</v>
      </c>
      <c r="M1242" t="s">
        <v>64</v>
      </c>
      <c r="N1242" t="s">
        <v>75</v>
      </c>
      <c r="O1242">
        <v>0</v>
      </c>
      <c r="P1242" t="s">
        <v>70</v>
      </c>
      <c r="Q1242" s="2">
        <v>46123</v>
      </c>
      <c r="R1242" t="s">
        <v>57</v>
      </c>
    </row>
    <row r="1243" spans="1:18" x14ac:dyDescent="0.2">
      <c r="A1243" t="s">
        <v>2544</v>
      </c>
      <c r="B1243" t="s">
        <v>2545</v>
      </c>
      <c r="C1243" t="s">
        <v>96</v>
      </c>
      <c r="D1243" t="s">
        <v>97</v>
      </c>
      <c r="E1243" t="s">
        <v>105</v>
      </c>
      <c r="F1243" t="s">
        <v>67</v>
      </c>
      <c r="G1243" t="s">
        <v>68</v>
      </c>
      <c r="H1243" t="s">
        <v>36</v>
      </c>
      <c r="I1243" t="s">
        <v>50</v>
      </c>
      <c r="J1243" t="s">
        <v>48</v>
      </c>
      <c r="K1243" s="2">
        <v>46042</v>
      </c>
      <c r="L1243" s="2">
        <v>46222</v>
      </c>
      <c r="M1243" t="s">
        <v>38</v>
      </c>
      <c r="N1243" t="s">
        <v>49</v>
      </c>
      <c r="O1243">
        <v>4</v>
      </c>
      <c r="P1243" t="s">
        <v>50</v>
      </c>
      <c r="Q1243" s="2">
        <v>46177</v>
      </c>
      <c r="R1243" t="s">
        <v>38</v>
      </c>
    </row>
    <row r="1244" spans="1:18" x14ac:dyDescent="0.2">
      <c r="A1244" t="s">
        <v>2546</v>
      </c>
      <c r="B1244" t="s">
        <v>2547</v>
      </c>
      <c r="C1244" t="s">
        <v>31</v>
      </c>
      <c r="D1244" t="s">
        <v>83</v>
      </c>
      <c r="E1244" t="s">
        <v>53</v>
      </c>
      <c r="F1244" t="s">
        <v>67</v>
      </c>
      <c r="G1244" t="s">
        <v>68</v>
      </c>
      <c r="H1244" t="s">
        <v>88</v>
      </c>
      <c r="I1244" t="s">
        <v>54</v>
      </c>
      <c r="J1244" t="s">
        <v>63</v>
      </c>
      <c r="K1244" s="2">
        <v>45843</v>
      </c>
      <c r="L1244" s="2">
        <v>46208</v>
      </c>
      <c r="M1244" t="s">
        <v>38</v>
      </c>
      <c r="N1244" t="s">
        <v>49</v>
      </c>
      <c r="O1244">
        <v>2</v>
      </c>
      <c r="P1244" t="s">
        <v>62</v>
      </c>
      <c r="Q1244" s="2">
        <v>46320</v>
      </c>
      <c r="R1244" t="s">
        <v>64</v>
      </c>
    </row>
    <row r="1245" spans="1:18" x14ac:dyDescent="0.2">
      <c r="A1245" t="s">
        <v>2548</v>
      </c>
      <c r="B1245" t="s">
        <v>2549</v>
      </c>
      <c r="C1245" t="s">
        <v>31</v>
      </c>
      <c r="D1245" t="s">
        <v>83</v>
      </c>
      <c r="E1245" t="s">
        <v>53</v>
      </c>
      <c r="F1245" t="s">
        <v>67</v>
      </c>
      <c r="G1245" t="s">
        <v>68</v>
      </c>
      <c r="H1245" t="s">
        <v>36</v>
      </c>
      <c r="I1245" t="s">
        <v>62</v>
      </c>
      <c r="J1245" t="s">
        <v>37</v>
      </c>
      <c r="K1245" s="2">
        <v>45870</v>
      </c>
      <c r="L1245" s="2">
        <v>46050</v>
      </c>
      <c r="M1245" t="s">
        <v>38</v>
      </c>
      <c r="N1245" t="s">
        <v>49</v>
      </c>
      <c r="O1245">
        <v>3</v>
      </c>
      <c r="P1245" t="s">
        <v>106</v>
      </c>
      <c r="Q1245" s="2">
        <v>46258</v>
      </c>
      <c r="R1245" t="s">
        <v>64</v>
      </c>
    </row>
    <row r="1246" spans="1:18" x14ac:dyDescent="0.2">
      <c r="A1246" t="s">
        <v>2550</v>
      </c>
      <c r="B1246" t="s">
        <v>2551</v>
      </c>
      <c r="C1246" t="s">
        <v>73</v>
      </c>
      <c r="D1246" t="s">
        <v>74</v>
      </c>
      <c r="E1246" t="s">
        <v>650</v>
      </c>
      <c r="F1246" t="s">
        <v>34</v>
      </c>
      <c r="G1246" t="s">
        <v>35</v>
      </c>
      <c r="H1246" t="s">
        <v>36</v>
      </c>
      <c r="I1246" t="s">
        <v>56</v>
      </c>
      <c r="J1246" t="s">
        <v>63</v>
      </c>
      <c r="K1246" s="2">
        <v>45998</v>
      </c>
      <c r="L1246" s="2">
        <v>46363</v>
      </c>
      <c r="M1246" t="s">
        <v>64</v>
      </c>
      <c r="N1246" t="s">
        <v>49</v>
      </c>
      <c r="O1246">
        <v>3</v>
      </c>
      <c r="P1246" t="s">
        <v>56</v>
      </c>
      <c r="Q1246" s="2">
        <v>46301</v>
      </c>
      <c r="R1246" t="s">
        <v>84</v>
      </c>
    </row>
    <row r="1247" spans="1:18" x14ac:dyDescent="0.2">
      <c r="A1247" t="s">
        <v>2552</v>
      </c>
      <c r="B1247" t="s">
        <v>2553</v>
      </c>
      <c r="C1247" t="s">
        <v>31</v>
      </c>
      <c r="D1247" t="s">
        <v>87</v>
      </c>
      <c r="E1247" t="s">
        <v>53</v>
      </c>
      <c r="F1247" t="s">
        <v>45</v>
      </c>
      <c r="G1247" t="s">
        <v>46</v>
      </c>
      <c r="H1247" t="s">
        <v>98</v>
      </c>
      <c r="I1247" t="s">
        <v>70</v>
      </c>
      <c r="J1247" t="s">
        <v>48</v>
      </c>
      <c r="K1247" s="2">
        <v>46233</v>
      </c>
      <c r="L1247" s="2">
        <v>46598</v>
      </c>
      <c r="M1247" t="s">
        <v>64</v>
      </c>
      <c r="N1247" t="s">
        <v>75</v>
      </c>
      <c r="O1247">
        <v>0</v>
      </c>
      <c r="P1247" t="s">
        <v>50</v>
      </c>
      <c r="Q1247" s="2">
        <v>46184</v>
      </c>
      <c r="R1247" t="s">
        <v>57</v>
      </c>
    </row>
    <row r="1248" spans="1:18" x14ac:dyDescent="0.2">
      <c r="A1248" t="s">
        <v>2554</v>
      </c>
      <c r="B1248" t="s">
        <v>2555</v>
      </c>
      <c r="C1248" t="s">
        <v>31</v>
      </c>
      <c r="D1248" t="s">
        <v>87</v>
      </c>
      <c r="E1248" t="s">
        <v>91</v>
      </c>
      <c r="F1248" t="s">
        <v>67</v>
      </c>
      <c r="G1248" t="s">
        <v>118</v>
      </c>
      <c r="H1248" t="s">
        <v>47</v>
      </c>
      <c r="I1248" t="s">
        <v>54</v>
      </c>
      <c r="J1248" t="s">
        <v>37</v>
      </c>
      <c r="K1248" s="2">
        <v>46238</v>
      </c>
      <c r="L1248" s="2">
        <v>46328</v>
      </c>
      <c r="M1248" t="s">
        <v>64</v>
      </c>
      <c r="N1248" t="s">
        <v>55</v>
      </c>
      <c r="O1248">
        <v>2</v>
      </c>
      <c r="P1248" t="s">
        <v>111</v>
      </c>
      <c r="Q1248" s="2">
        <v>46277</v>
      </c>
      <c r="R1248" t="s">
        <v>64</v>
      </c>
    </row>
    <row r="1249" spans="1:18" x14ac:dyDescent="0.2">
      <c r="A1249" t="s">
        <v>2556</v>
      </c>
      <c r="B1249" t="s">
        <v>2557</v>
      </c>
      <c r="C1249" t="s">
        <v>78</v>
      </c>
      <c r="D1249" t="s">
        <v>79</v>
      </c>
      <c r="E1249" t="s">
        <v>91</v>
      </c>
      <c r="F1249" t="s">
        <v>45</v>
      </c>
      <c r="G1249" t="s">
        <v>46</v>
      </c>
      <c r="H1249" t="s">
        <v>88</v>
      </c>
      <c r="I1249" t="s">
        <v>50</v>
      </c>
      <c r="J1249" t="s">
        <v>63</v>
      </c>
      <c r="K1249" s="2">
        <v>45926</v>
      </c>
      <c r="L1249" s="2">
        <v>46016</v>
      </c>
      <c r="M1249" t="s">
        <v>38</v>
      </c>
      <c r="N1249" t="s">
        <v>75</v>
      </c>
      <c r="O1249">
        <v>2</v>
      </c>
      <c r="P1249" t="s">
        <v>111</v>
      </c>
      <c r="Q1249" s="2">
        <v>46260</v>
      </c>
      <c r="R1249" t="s">
        <v>38</v>
      </c>
    </row>
    <row r="1250" spans="1:18" x14ac:dyDescent="0.2">
      <c r="A1250" t="s">
        <v>2558</v>
      </c>
      <c r="B1250" t="s">
        <v>2559</v>
      </c>
      <c r="C1250" t="s">
        <v>42</v>
      </c>
      <c r="D1250" t="s">
        <v>43</v>
      </c>
      <c r="E1250" t="s">
        <v>91</v>
      </c>
      <c r="F1250" t="s">
        <v>45</v>
      </c>
      <c r="G1250" t="s">
        <v>61</v>
      </c>
      <c r="H1250" t="s">
        <v>98</v>
      </c>
      <c r="I1250" t="s">
        <v>54</v>
      </c>
      <c r="J1250" t="s">
        <v>37</v>
      </c>
      <c r="K1250" s="2">
        <v>46059</v>
      </c>
      <c r="L1250" s="2">
        <v>46239</v>
      </c>
      <c r="M1250" t="s">
        <v>38</v>
      </c>
      <c r="O1250">
        <v>5</v>
      </c>
      <c r="P1250" t="s">
        <v>50</v>
      </c>
      <c r="Q1250" s="2">
        <v>46340</v>
      </c>
      <c r="R1250" t="s">
        <v>84</v>
      </c>
    </row>
    <row r="1251" spans="1:18" x14ac:dyDescent="0.2">
      <c r="A1251" t="s">
        <v>2560</v>
      </c>
      <c r="B1251" t="s">
        <v>2561</v>
      </c>
      <c r="C1251" t="s">
        <v>31</v>
      </c>
      <c r="D1251" t="s">
        <v>83</v>
      </c>
      <c r="E1251" t="s">
        <v>44</v>
      </c>
      <c r="F1251" t="s">
        <v>34</v>
      </c>
      <c r="G1251" t="s">
        <v>35</v>
      </c>
      <c r="H1251" t="s">
        <v>88</v>
      </c>
      <c r="I1251" t="s">
        <v>50</v>
      </c>
      <c r="J1251" t="s">
        <v>63</v>
      </c>
      <c r="K1251" s="2">
        <v>45805</v>
      </c>
      <c r="L1251" s="2">
        <v>45985</v>
      </c>
      <c r="M1251" t="s">
        <v>38</v>
      </c>
      <c r="N1251" t="s">
        <v>75</v>
      </c>
      <c r="O1251">
        <v>1</v>
      </c>
      <c r="P1251" t="s">
        <v>70</v>
      </c>
      <c r="Q1251" s="2">
        <v>46150</v>
      </c>
      <c r="R1251" t="s">
        <v>38</v>
      </c>
    </row>
    <row r="1252" spans="1:18" x14ac:dyDescent="0.2">
      <c r="A1252" t="s">
        <v>2562</v>
      </c>
      <c r="B1252" t="s">
        <v>2563</v>
      </c>
      <c r="C1252" t="s">
        <v>31</v>
      </c>
      <c r="D1252" t="s">
        <v>32</v>
      </c>
      <c r="E1252" t="s">
        <v>44</v>
      </c>
      <c r="F1252" t="s">
        <v>34</v>
      </c>
      <c r="G1252" t="s">
        <v>35</v>
      </c>
      <c r="H1252" t="s">
        <v>36</v>
      </c>
      <c r="I1252" t="s">
        <v>50</v>
      </c>
      <c r="J1252" t="s">
        <v>37</v>
      </c>
      <c r="K1252" s="2">
        <v>46173</v>
      </c>
      <c r="L1252" s="2">
        <v>46538</v>
      </c>
      <c r="M1252" t="s">
        <v>64</v>
      </c>
      <c r="N1252" t="s">
        <v>49</v>
      </c>
      <c r="O1252">
        <v>0</v>
      </c>
      <c r="P1252" t="s">
        <v>39</v>
      </c>
      <c r="Q1252" s="2">
        <v>46271</v>
      </c>
      <c r="R1252" t="s">
        <v>57</v>
      </c>
    </row>
    <row r="1253" spans="1:18" x14ac:dyDescent="0.2">
      <c r="A1253" t="s">
        <v>2564</v>
      </c>
      <c r="B1253" t="s">
        <v>2565</v>
      </c>
      <c r="C1253" t="s">
        <v>31</v>
      </c>
      <c r="D1253" t="s">
        <v>32</v>
      </c>
      <c r="E1253" t="s">
        <v>80</v>
      </c>
      <c r="F1253" t="s">
        <v>45</v>
      </c>
      <c r="G1253" t="s">
        <v>46</v>
      </c>
      <c r="H1253" t="s">
        <v>47</v>
      </c>
      <c r="I1253" t="s">
        <v>50</v>
      </c>
      <c r="J1253" t="s">
        <v>37</v>
      </c>
      <c r="K1253" s="2">
        <v>46171</v>
      </c>
      <c r="L1253" s="2">
        <v>46536</v>
      </c>
      <c r="M1253" t="s">
        <v>69</v>
      </c>
      <c r="N1253" t="s">
        <v>55</v>
      </c>
      <c r="O1253">
        <v>1</v>
      </c>
      <c r="P1253" t="s">
        <v>50</v>
      </c>
      <c r="Q1253" s="2">
        <v>46356</v>
      </c>
      <c r="R1253" t="s">
        <v>84</v>
      </c>
    </row>
    <row r="1254" spans="1:18" x14ac:dyDescent="0.2">
      <c r="A1254" t="s">
        <v>2566</v>
      </c>
      <c r="B1254" t="s">
        <v>2567</v>
      </c>
      <c r="C1254" t="s">
        <v>31</v>
      </c>
      <c r="D1254" t="s">
        <v>83</v>
      </c>
      <c r="E1254" t="s">
        <v>80</v>
      </c>
      <c r="F1254" t="s">
        <v>45</v>
      </c>
      <c r="G1254" t="s">
        <v>61</v>
      </c>
      <c r="H1254" t="s">
        <v>88</v>
      </c>
      <c r="I1254" t="s">
        <v>56</v>
      </c>
      <c r="J1254" t="s">
        <v>63</v>
      </c>
      <c r="K1254" s="2">
        <v>45893</v>
      </c>
      <c r="L1254" s="2">
        <v>46073</v>
      </c>
      <c r="M1254" t="s">
        <v>38</v>
      </c>
      <c r="N1254" t="s">
        <v>49</v>
      </c>
      <c r="O1254">
        <v>2</v>
      </c>
      <c r="P1254" t="s">
        <v>39</v>
      </c>
      <c r="Q1254" s="2">
        <v>46362</v>
      </c>
      <c r="R1254" t="s">
        <v>64</v>
      </c>
    </row>
    <row r="1255" spans="1:18" x14ac:dyDescent="0.2">
      <c r="A1255" t="s">
        <v>2568</v>
      </c>
      <c r="B1255" t="s">
        <v>2569</v>
      </c>
      <c r="C1255" t="s">
        <v>31</v>
      </c>
      <c r="D1255" t="s">
        <v>83</v>
      </c>
      <c r="E1255" t="s">
        <v>60</v>
      </c>
      <c r="F1255" t="s">
        <v>67</v>
      </c>
      <c r="G1255" t="s">
        <v>68</v>
      </c>
      <c r="H1255" t="s">
        <v>47</v>
      </c>
      <c r="I1255" t="s">
        <v>111</v>
      </c>
      <c r="J1255" t="s">
        <v>37</v>
      </c>
      <c r="K1255" s="2">
        <v>46080</v>
      </c>
      <c r="L1255" s="2">
        <v>46445</v>
      </c>
      <c r="M1255" t="s">
        <v>84</v>
      </c>
      <c r="N1255" t="s">
        <v>75</v>
      </c>
      <c r="O1255">
        <v>0</v>
      </c>
      <c r="P1255" t="s">
        <v>70</v>
      </c>
      <c r="Q1255" s="2">
        <v>46396</v>
      </c>
      <c r="R1255" t="s">
        <v>57</v>
      </c>
    </row>
    <row r="1256" spans="1:18" x14ac:dyDescent="0.2">
      <c r="A1256" t="s">
        <v>2570</v>
      </c>
      <c r="B1256" t="s">
        <v>2571</v>
      </c>
      <c r="C1256" t="s">
        <v>31</v>
      </c>
      <c r="D1256" t="s">
        <v>83</v>
      </c>
      <c r="E1256" t="s">
        <v>44</v>
      </c>
      <c r="F1256" t="s">
        <v>34</v>
      </c>
      <c r="G1256" t="s">
        <v>35</v>
      </c>
      <c r="H1256" t="s">
        <v>47</v>
      </c>
      <c r="I1256" t="s">
        <v>54</v>
      </c>
      <c r="J1256" t="s">
        <v>63</v>
      </c>
      <c r="K1256" s="2">
        <v>46174</v>
      </c>
      <c r="L1256" s="2">
        <v>46354</v>
      </c>
      <c r="M1256" t="s">
        <v>84</v>
      </c>
      <c r="N1256" t="s">
        <v>49</v>
      </c>
      <c r="O1256">
        <v>1</v>
      </c>
      <c r="P1256" t="s">
        <v>54</v>
      </c>
      <c r="Q1256" s="2">
        <v>46129</v>
      </c>
      <c r="R1256" t="s">
        <v>64</v>
      </c>
    </row>
    <row r="1257" spans="1:18" x14ac:dyDescent="0.2">
      <c r="A1257" t="s">
        <v>2572</v>
      </c>
      <c r="B1257" t="s">
        <v>2573</v>
      </c>
      <c r="C1257" t="s">
        <v>103</v>
      </c>
      <c r="D1257" t="s">
        <v>104</v>
      </c>
      <c r="E1257" t="s">
        <v>44</v>
      </c>
      <c r="F1257" t="s">
        <v>34</v>
      </c>
      <c r="G1257" t="s">
        <v>35</v>
      </c>
      <c r="H1257" t="s">
        <v>98</v>
      </c>
      <c r="I1257" t="s">
        <v>62</v>
      </c>
      <c r="J1257" t="s">
        <v>63</v>
      </c>
      <c r="K1257" s="2">
        <v>45866</v>
      </c>
      <c r="L1257" s="2">
        <v>46046</v>
      </c>
      <c r="M1257" t="s">
        <v>38</v>
      </c>
      <c r="N1257" t="s">
        <v>49</v>
      </c>
      <c r="O1257">
        <v>4</v>
      </c>
      <c r="P1257" t="s">
        <v>50</v>
      </c>
      <c r="Q1257" s="2">
        <v>46153</v>
      </c>
      <c r="R1257" t="s">
        <v>38</v>
      </c>
    </row>
    <row r="1258" spans="1:18" x14ac:dyDescent="0.2">
      <c r="A1258" t="s">
        <v>2574</v>
      </c>
      <c r="B1258" t="s">
        <v>2575</v>
      </c>
      <c r="C1258" t="s">
        <v>42</v>
      </c>
      <c r="D1258" t="s">
        <v>43</v>
      </c>
      <c r="E1258" t="s">
        <v>53</v>
      </c>
      <c r="F1258" t="s">
        <v>45</v>
      </c>
      <c r="G1258" t="s">
        <v>46</v>
      </c>
      <c r="H1258" t="s">
        <v>88</v>
      </c>
      <c r="I1258" t="s">
        <v>54</v>
      </c>
      <c r="J1258" t="s">
        <v>37</v>
      </c>
      <c r="K1258" s="2">
        <v>45871</v>
      </c>
      <c r="L1258" s="2">
        <v>46236</v>
      </c>
      <c r="M1258" t="s">
        <v>38</v>
      </c>
      <c r="N1258" t="s">
        <v>49</v>
      </c>
      <c r="O1258">
        <v>1</v>
      </c>
      <c r="P1258" t="s">
        <v>70</v>
      </c>
      <c r="Q1258" s="2">
        <v>46278</v>
      </c>
      <c r="R1258" t="s">
        <v>38</v>
      </c>
    </row>
    <row r="1259" spans="1:18" x14ac:dyDescent="0.2">
      <c r="A1259" t="s">
        <v>2576</v>
      </c>
      <c r="B1259" t="s">
        <v>2577</v>
      </c>
      <c r="C1259" t="s">
        <v>73</v>
      </c>
      <c r="D1259" t="s">
        <v>74</v>
      </c>
      <c r="E1259" t="s">
        <v>91</v>
      </c>
      <c r="F1259" t="s">
        <v>67</v>
      </c>
      <c r="G1259" t="s">
        <v>118</v>
      </c>
      <c r="H1259" t="s">
        <v>36</v>
      </c>
      <c r="I1259" t="s">
        <v>111</v>
      </c>
      <c r="J1259" t="s">
        <v>37</v>
      </c>
      <c r="K1259" s="2">
        <v>46163</v>
      </c>
      <c r="L1259" s="2">
        <v>46253</v>
      </c>
      <c r="M1259" t="s">
        <v>38</v>
      </c>
      <c r="N1259" t="s">
        <v>75</v>
      </c>
      <c r="O1259">
        <v>2</v>
      </c>
      <c r="P1259" t="s">
        <v>111</v>
      </c>
      <c r="Q1259" s="2">
        <v>46241</v>
      </c>
      <c r="R1259" t="s">
        <v>38</v>
      </c>
    </row>
    <row r="1260" spans="1:18" x14ac:dyDescent="0.2">
      <c r="A1260" t="s">
        <v>2578</v>
      </c>
      <c r="B1260" t="s">
        <v>2579</v>
      </c>
      <c r="C1260" t="s">
        <v>96</v>
      </c>
      <c r="D1260" t="s">
        <v>97</v>
      </c>
      <c r="E1260" t="s">
        <v>44</v>
      </c>
      <c r="F1260" t="s">
        <v>34</v>
      </c>
      <c r="G1260" t="s">
        <v>35</v>
      </c>
      <c r="H1260" t="s">
        <v>36</v>
      </c>
      <c r="I1260" t="s">
        <v>111</v>
      </c>
      <c r="J1260" t="s">
        <v>63</v>
      </c>
      <c r="K1260" s="2">
        <v>46274</v>
      </c>
      <c r="L1260" s="2">
        <v>46364</v>
      </c>
      <c r="M1260" t="s">
        <v>69</v>
      </c>
      <c r="N1260" t="s">
        <v>55</v>
      </c>
      <c r="O1260">
        <v>1</v>
      </c>
      <c r="P1260" t="s">
        <v>111</v>
      </c>
      <c r="Q1260" s="2">
        <v>46143</v>
      </c>
      <c r="R1260" t="s">
        <v>64</v>
      </c>
    </row>
    <row r="1261" spans="1:18" x14ac:dyDescent="0.2">
      <c r="A1261" t="s">
        <v>2580</v>
      </c>
      <c r="B1261" t="s">
        <v>2581</v>
      </c>
      <c r="C1261" t="s">
        <v>31</v>
      </c>
      <c r="D1261" t="s">
        <v>32</v>
      </c>
      <c r="E1261" t="s">
        <v>44</v>
      </c>
      <c r="F1261" t="s">
        <v>34</v>
      </c>
      <c r="G1261" t="s">
        <v>35</v>
      </c>
      <c r="H1261" t="s">
        <v>88</v>
      </c>
      <c r="I1261" t="s">
        <v>106</v>
      </c>
      <c r="J1261" t="s">
        <v>37</v>
      </c>
      <c r="K1261" s="2">
        <v>46205</v>
      </c>
      <c r="L1261" s="2">
        <v>46570</v>
      </c>
      <c r="M1261" t="s">
        <v>84</v>
      </c>
      <c r="N1261" t="s">
        <v>55</v>
      </c>
      <c r="O1261">
        <v>1</v>
      </c>
      <c r="P1261" t="s">
        <v>62</v>
      </c>
      <c r="Q1261" s="2">
        <v>46129</v>
      </c>
      <c r="R1261" t="s">
        <v>38</v>
      </c>
    </row>
    <row r="1262" spans="1:18" x14ac:dyDescent="0.2">
      <c r="A1262" t="s">
        <v>2582</v>
      </c>
      <c r="B1262" t="s">
        <v>2583</v>
      </c>
      <c r="C1262" t="s">
        <v>96</v>
      </c>
      <c r="D1262" t="s">
        <v>97</v>
      </c>
      <c r="E1262" t="s">
        <v>60</v>
      </c>
      <c r="F1262" t="s">
        <v>34</v>
      </c>
      <c r="G1262" t="s">
        <v>35</v>
      </c>
      <c r="H1262" t="s">
        <v>47</v>
      </c>
      <c r="I1262" t="s">
        <v>39</v>
      </c>
      <c r="J1262" t="s">
        <v>63</v>
      </c>
      <c r="K1262" s="2">
        <v>45823</v>
      </c>
      <c r="L1262" s="2">
        <v>45913</v>
      </c>
      <c r="M1262" t="s">
        <v>38</v>
      </c>
      <c r="N1262" t="s">
        <v>75</v>
      </c>
      <c r="O1262">
        <v>3</v>
      </c>
      <c r="P1262" t="s">
        <v>54</v>
      </c>
      <c r="Q1262" s="2">
        <v>46353</v>
      </c>
      <c r="R1262" t="s">
        <v>84</v>
      </c>
    </row>
    <row r="1263" spans="1:18" x14ac:dyDescent="0.2">
      <c r="A1263" t="s">
        <v>2584</v>
      </c>
      <c r="B1263" t="s">
        <v>2585</v>
      </c>
      <c r="C1263" t="s">
        <v>31</v>
      </c>
      <c r="D1263" t="s">
        <v>87</v>
      </c>
      <c r="E1263" t="s">
        <v>91</v>
      </c>
      <c r="F1263" t="s">
        <v>34</v>
      </c>
      <c r="G1263" t="s">
        <v>35</v>
      </c>
      <c r="H1263" t="s">
        <v>88</v>
      </c>
      <c r="I1263" t="s">
        <v>50</v>
      </c>
      <c r="J1263" t="s">
        <v>37</v>
      </c>
      <c r="K1263" s="2">
        <v>46154</v>
      </c>
      <c r="L1263" s="2">
        <v>46519</v>
      </c>
      <c r="M1263" t="s">
        <v>64</v>
      </c>
      <c r="N1263" t="s">
        <v>55</v>
      </c>
      <c r="O1263">
        <v>0</v>
      </c>
      <c r="P1263" t="s">
        <v>54</v>
      </c>
      <c r="Q1263" s="2">
        <v>46218</v>
      </c>
      <c r="R1263" t="s">
        <v>57</v>
      </c>
    </row>
    <row r="1264" spans="1:18" x14ac:dyDescent="0.2">
      <c r="A1264" t="s">
        <v>2586</v>
      </c>
      <c r="B1264" t="s">
        <v>2587</v>
      </c>
      <c r="C1264" t="s">
        <v>31</v>
      </c>
      <c r="D1264" t="s">
        <v>32</v>
      </c>
      <c r="E1264" t="s">
        <v>60</v>
      </c>
      <c r="F1264" t="s">
        <v>67</v>
      </c>
      <c r="G1264" t="s">
        <v>68</v>
      </c>
      <c r="H1264" t="s">
        <v>36</v>
      </c>
      <c r="I1264" t="s">
        <v>106</v>
      </c>
      <c r="J1264" t="s">
        <v>48</v>
      </c>
      <c r="K1264" s="2">
        <v>46219</v>
      </c>
      <c r="L1264" s="2">
        <v>46399</v>
      </c>
      <c r="M1264" t="s">
        <v>64</v>
      </c>
      <c r="N1264" t="s">
        <v>55</v>
      </c>
      <c r="O1264">
        <v>1</v>
      </c>
      <c r="P1264" t="s">
        <v>50</v>
      </c>
      <c r="Q1264" s="2">
        <v>46407</v>
      </c>
      <c r="R1264" t="s">
        <v>84</v>
      </c>
    </row>
    <row r="1265" spans="1:18" x14ac:dyDescent="0.2">
      <c r="A1265" t="s">
        <v>2588</v>
      </c>
      <c r="B1265" t="s">
        <v>2589</v>
      </c>
      <c r="C1265" t="s">
        <v>103</v>
      </c>
      <c r="D1265" t="s">
        <v>104</v>
      </c>
      <c r="E1265" t="s">
        <v>91</v>
      </c>
      <c r="F1265" t="s">
        <v>34</v>
      </c>
      <c r="G1265" t="s">
        <v>35</v>
      </c>
      <c r="H1265" t="s">
        <v>47</v>
      </c>
      <c r="I1265" t="s">
        <v>56</v>
      </c>
      <c r="J1265" t="s">
        <v>63</v>
      </c>
      <c r="K1265" s="2">
        <v>46174</v>
      </c>
      <c r="L1265" s="2">
        <v>46354</v>
      </c>
      <c r="M1265" t="s">
        <v>64</v>
      </c>
      <c r="N1265" t="s">
        <v>49</v>
      </c>
      <c r="O1265">
        <v>1</v>
      </c>
      <c r="P1265" t="s">
        <v>62</v>
      </c>
      <c r="Q1265" s="2">
        <v>46144</v>
      </c>
      <c r="R1265" t="s">
        <v>38</v>
      </c>
    </row>
    <row r="1266" spans="1:18" x14ac:dyDescent="0.2">
      <c r="A1266" t="s">
        <v>2590</v>
      </c>
      <c r="B1266" t="s">
        <v>2591</v>
      </c>
      <c r="C1266" t="s">
        <v>31</v>
      </c>
      <c r="D1266" t="s">
        <v>83</v>
      </c>
      <c r="E1266" t="s">
        <v>44</v>
      </c>
      <c r="F1266" t="s">
        <v>67</v>
      </c>
      <c r="G1266" t="s">
        <v>68</v>
      </c>
      <c r="H1266" t="s">
        <v>88</v>
      </c>
      <c r="I1266" t="s">
        <v>111</v>
      </c>
      <c r="J1266" t="s">
        <v>48</v>
      </c>
      <c r="K1266" s="2">
        <v>46228</v>
      </c>
      <c r="L1266" s="2">
        <v>46593</v>
      </c>
      <c r="M1266" t="s">
        <v>84</v>
      </c>
      <c r="N1266" t="s">
        <v>75</v>
      </c>
      <c r="O1266">
        <v>0</v>
      </c>
      <c r="P1266" t="s">
        <v>50</v>
      </c>
      <c r="Q1266" s="2">
        <v>46192</v>
      </c>
      <c r="R1266" t="s">
        <v>57</v>
      </c>
    </row>
    <row r="1267" spans="1:18" x14ac:dyDescent="0.2">
      <c r="A1267" t="s">
        <v>2592</v>
      </c>
      <c r="B1267" t="s">
        <v>2593</v>
      </c>
      <c r="C1267" t="s">
        <v>78</v>
      </c>
      <c r="D1267" t="s">
        <v>79</v>
      </c>
      <c r="E1267" t="s">
        <v>80</v>
      </c>
      <c r="F1267" t="s">
        <v>45</v>
      </c>
      <c r="G1267" t="s">
        <v>61</v>
      </c>
      <c r="H1267" t="s">
        <v>88</v>
      </c>
      <c r="I1267" t="s">
        <v>50</v>
      </c>
      <c r="J1267" t="s">
        <v>48</v>
      </c>
      <c r="K1267" s="2">
        <v>46248</v>
      </c>
      <c r="L1267" s="2">
        <v>46338</v>
      </c>
      <c r="M1267" t="s">
        <v>84</v>
      </c>
      <c r="N1267" t="s">
        <v>55</v>
      </c>
      <c r="O1267">
        <v>0</v>
      </c>
      <c r="P1267" t="s">
        <v>50</v>
      </c>
      <c r="Q1267" s="2">
        <v>46310</v>
      </c>
      <c r="R1267" t="s">
        <v>57</v>
      </c>
    </row>
    <row r="1268" spans="1:18" x14ac:dyDescent="0.2">
      <c r="A1268" t="s">
        <v>2594</v>
      </c>
      <c r="B1268" t="s">
        <v>2595</v>
      </c>
      <c r="C1268" t="s">
        <v>103</v>
      </c>
      <c r="D1268" t="s">
        <v>104</v>
      </c>
      <c r="E1268" t="s">
        <v>60</v>
      </c>
      <c r="F1268" t="s">
        <v>45</v>
      </c>
      <c r="G1268" t="s">
        <v>46</v>
      </c>
      <c r="H1268" t="s">
        <v>36</v>
      </c>
      <c r="I1268" t="s">
        <v>111</v>
      </c>
      <c r="J1268" t="s">
        <v>63</v>
      </c>
      <c r="K1268" s="2">
        <v>46206</v>
      </c>
      <c r="L1268" s="2">
        <v>46571</v>
      </c>
      <c r="M1268" t="s">
        <v>64</v>
      </c>
      <c r="N1268" t="s">
        <v>49</v>
      </c>
      <c r="O1268">
        <v>4</v>
      </c>
      <c r="P1268" t="s">
        <v>54</v>
      </c>
      <c r="Q1268" s="2">
        <v>46339</v>
      </c>
      <c r="R1268" t="s">
        <v>84</v>
      </c>
    </row>
    <row r="1269" spans="1:18" x14ac:dyDescent="0.2">
      <c r="A1269" t="s">
        <v>2596</v>
      </c>
      <c r="B1269" t="s">
        <v>2597</v>
      </c>
      <c r="C1269" t="s">
        <v>96</v>
      </c>
      <c r="D1269" t="s">
        <v>97</v>
      </c>
      <c r="E1269" t="s">
        <v>60</v>
      </c>
      <c r="F1269" t="s">
        <v>45</v>
      </c>
      <c r="G1269" t="s">
        <v>61</v>
      </c>
      <c r="H1269" t="s">
        <v>47</v>
      </c>
      <c r="I1269" t="s">
        <v>62</v>
      </c>
      <c r="J1269" t="s">
        <v>63</v>
      </c>
      <c r="K1269" s="2">
        <v>46103</v>
      </c>
      <c r="L1269" s="2">
        <v>46193</v>
      </c>
      <c r="M1269" t="s">
        <v>38</v>
      </c>
      <c r="N1269" t="s">
        <v>49</v>
      </c>
      <c r="O1269">
        <v>0</v>
      </c>
      <c r="P1269" t="s">
        <v>56</v>
      </c>
      <c r="Q1269" s="2">
        <v>46206</v>
      </c>
      <c r="R1269" t="s">
        <v>57</v>
      </c>
    </row>
    <row r="1270" spans="1:18" x14ac:dyDescent="0.2">
      <c r="A1270" t="s">
        <v>2598</v>
      </c>
      <c r="B1270" t="s">
        <v>2599</v>
      </c>
      <c r="C1270" t="s">
        <v>78</v>
      </c>
      <c r="D1270" t="s">
        <v>79</v>
      </c>
      <c r="E1270" t="s">
        <v>44</v>
      </c>
      <c r="F1270" t="s">
        <v>34</v>
      </c>
      <c r="G1270" t="s">
        <v>35</v>
      </c>
      <c r="H1270" t="s">
        <v>36</v>
      </c>
      <c r="I1270" t="s">
        <v>56</v>
      </c>
      <c r="J1270" t="s">
        <v>63</v>
      </c>
      <c r="K1270" s="2">
        <v>46185</v>
      </c>
      <c r="L1270" s="2">
        <v>46275</v>
      </c>
      <c r="M1270" t="s">
        <v>38</v>
      </c>
      <c r="N1270" t="s">
        <v>55</v>
      </c>
      <c r="O1270">
        <v>2</v>
      </c>
      <c r="P1270" t="s">
        <v>50</v>
      </c>
      <c r="Q1270" s="2">
        <v>46126</v>
      </c>
      <c r="R1270" t="s">
        <v>38</v>
      </c>
    </row>
    <row r="1271" spans="1:18" x14ac:dyDescent="0.2">
      <c r="A1271" t="s">
        <v>2600</v>
      </c>
      <c r="B1271" t="s">
        <v>2601</v>
      </c>
      <c r="C1271" t="s">
        <v>73</v>
      </c>
      <c r="D1271" t="s">
        <v>74</v>
      </c>
      <c r="E1271" t="s">
        <v>60</v>
      </c>
      <c r="F1271" t="s">
        <v>67</v>
      </c>
      <c r="G1271" t="s">
        <v>68</v>
      </c>
      <c r="H1271" t="s">
        <v>88</v>
      </c>
      <c r="I1271" t="s">
        <v>50</v>
      </c>
      <c r="J1271" t="s">
        <v>63</v>
      </c>
      <c r="K1271" s="2">
        <v>46199</v>
      </c>
      <c r="L1271" s="2">
        <v>46564</v>
      </c>
      <c r="M1271" t="s">
        <v>64</v>
      </c>
      <c r="N1271" t="s">
        <v>55</v>
      </c>
      <c r="O1271">
        <v>0</v>
      </c>
      <c r="P1271" t="s">
        <v>62</v>
      </c>
      <c r="Q1271" s="2">
        <v>46214</v>
      </c>
      <c r="R1271" t="s">
        <v>57</v>
      </c>
    </row>
    <row r="1272" spans="1:18" x14ac:dyDescent="0.2">
      <c r="A1272" t="s">
        <v>2602</v>
      </c>
      <c r="B1272" t="s">
        <v>2603</v>
      </c>
      <c r="C1272" t="s">
        <v>42</v>
      </c>
      <c r="D1272" t="s">
        <v>43</v>
      </c>
      <c r="E1272" t="s">
        <v>44</v>
      </c>
      <c r="F1272" t="s">
        <v>45</v>
      </c>
      <c r="G1272" t="s">
        <v>46</v>
      </c>
      <c r="H1272" t="s">
        <v>36</v>
      </c>
      <c r="I1272" t="s">
        <v>106</v>
      </c>
      <c r="J1272" t="s">
        <v>37</v>
      </c>
      <c r="K1272" s="2">
        <v>46210</v>
      </c>
      <c r="L1272" s="2">
        <v>46575</v>
      </c>
      <c r="M1272" t="s">
        <v>84</v>
      </c>
      <c r="N1272" t="s">
        <v>55</v>
      </c>
      <c r="O1272">
        <v>1</v>
      </c>
      <c r="P1272" t="s">
        <v>106</v>
      </c>
      <c r="Q1272" s="2">
        <v>46347</v>
      </c>
      <c r="R1272" t="s">
        <v>64</v>
      </c>
    </row>
    <row r="1273" spans="1:18" x14ac:dyDescent="0.2">
      <c r="A1273" t="s">
        <v>2604</v>
      </c>
      <c r="B1273" t="s">
        <v>2605</v>
      </c>
      <c r="C1273" t="s">
        <v>31</v>
      </c>
      <c r="D1273" t="s">
        <v>32</v>
      </c>
      <c r="E1273" t="s">
        <v>60</v>
      </c>
      <c r="F1273" t="s">
        <v>34</v>
      </c>
      <c r="G1273" t="s">
        <v>35</v>
      </c>
      <c r="H1273" t="s">
        <v>88</v>
      </c>
      <c r="I1273" t="s">
        <v>56</v>
      </c>
      <c r="J1273" t="s">
        <v>48</v>
      </c>
      <c r="K1273" s="2">
        <v>45885</v>
      </c>
      <c r="L1273" s="2">
        <v>45975</v>
      </c>
      <c r="M1273" t="s">
        <v>38</v>
      </c>
      <c r="N1273" t="s">
        <v>55</v>
      </c>
      <c r="O1273">
        <v>0</v>
      </c>
      <c r="P1273" t="s">
        <v>39</v>
      </c>
      <c r="Q1273" s="2">
        <v>46247</v>
      </c>
      <c r="R1273" t="s">
        <v>57</v>
      </c>
    </row>
    <row r="1274" spans="1:18" x14ac:dyDescent="0.2">
      <c r="A1274" t="s">
        <v>2606</v>
      </c>
      <c r="B1274" t="s">
        <v>2607</v>
      </c>
      <c r="C1274" t="s">
        <v>31</v>
      </c>
      <c r="D1274" t="s">
        <v>87</v>
      </c>
      <c r="E1274" t="s">
        <v>105</v>
      </c>
      <c r="F1274" t="s">
        <v>45</v>
      </c>
      <c r="G1274" t="s">
        <v>61</v>
      </c>
      <c r="H1274" t="s">
        <v>88</v>
      </c>
      <c r="J1274" t="s">
        <v>63</v>
      </c>
      <c r="K1274" s="2">
        <v>46090</v>
      </c>
      <c r="L1274" s="2">
        <v>46455</v>
      </c>
      <c r="M1274" t="s">
        <v>64</v>
      </c>
      <c r="N1274" t="s">
        <v>55</v>
      </c>
      <c r="O1274">
        <v>3</v>
      </c>
      <c r="P1274" t="s">
        <v>70</v>
      </c>
      <c r="Q1274" s="2">
        <v>46257</v>
      </c>
      <c r="R1274" t="s">
        <v>64</v>
      </c>
    </row>
    <row r="1275" spans="1:18" x14ac:dyDescent="0.2">
      <c r="A1275" t="s">
        <v>2608</v>
      </c>
      <c r="B1275" t="s">
        <v>2609</v>
      </c>
      <c r="C1275" t="s">
        <v>31</v>
      </c>
      <c r="D1275" t="s">
        <v>83</v>
      </c>
      <c r="E1275" t="s">
        <v>60</v>
      </c>
      <c r="F1275" t="s">
        <v>67</v>
      </c>
      <c r="G1275" t="s">
        <v>118</v>
      </c>
      <c r="H1275" t="s">
        <v>47</v>
      </c>
      <c r="I1275" t="s">
        <v>54</v>
      </c>
      <c r="J1275" t="s">
        <v>63</v>
      </c>
      <c r="K1275" s="2">
        <v>46209</v>
      </c>
      <c r="L1275" s="2">
        <v>46299</v>
      </c>
      <c r="M1275" t="s">
        <v>84</v>
      </c>
      <c r="N1275" t="s">
        <v>75</v>
      </c>
      <c r="O1275">
        <v>2</v>
      </c>
      <c r="P1275" t="s">
        <v>39</v>
      </c>
      <c r="Q1275" s="2">
        <v>46248</v>
      </c>
      <c r="R1275" t="s">
        <v>38</v>
      </c>
    </row>
    <row r="1276" spans="1:18" x14ac:dyDescent="0.2">
      <c r="A1276" t="s">
        <v>2610</v>
      </c>
      <c r="B1276" t="s">
        <v>2611</v>
      </c>
      <c r="C1276" t="s">
        <v>96</v>
      </c>
      <c r="D1276" t="s">
        <v>97</v>
      </c>
      <c r="E1276" t="s">
        <v>105</v>
      </c>
      <c r="F1276" t="s">
        <v>45</v>
      </c>
      <c r="G1276" t="s">
        <v>61</v>
      </c>
      <c r="H1276" t="s">
        <v>47</v>
      </c>
      <c r="I1276" t="s">
        <v>70</v>
      </c>
      <c r="J1276" t="s">
        <v>37</v>
      </c>
      <c r="K1276" s="2">
        <v>46267</v>
      </c>
      <c r="L1276" s="2">
        <v>46632</v>
      </c>
      <c r="M1276" t="s">
        <v>64</v>
      </c>
      <c r="N1276" t="s">
        <v>75</v>
      </c>
      <c r="O1276">
        <v>3</v>
      </c>
      <c r="P1276" t="s">
        <v>56</v>
      </c>
      <c r="Q1276" s="2">
        <v>46403</v>
      </c>
      <c r="R1276" t="s">
        <v>84</v>
      </c>
    </row>
    <row r="1277" spans="1:18" x14ac:dyDescent="0.2">
      <c r="A1277" t="s">
        <v>2612</v>
      </c>
      <c r="B1277" t="s">
        <v>2613</v>
      </c>
      <c r="C1277" t="s">
        <v>31</v>
      </c>
      <c r="D1277" t="s">
        <v>32</v>
      </c>
      <c r="E1277" t="s">
        <v>53</v>
      </c>
      <c r="F1277" t="s">
        <v>34</v>
      </c>
      <c r="G1277" t="s">
        <v>35</v>
      </c>
      <c r="H1277" t="s">
        <v>88</v>
      </c>
      <c r="I1277" t="s">
        <v>106</v>
      </c>
      <c r="J1277" t="s">
        <v>37</v>
      </c>
      <c r="K1277" s="2">
        <v>46085</v>
      </c>
      <c r="L1277" s="2">
        <v>46265</v>
      </c>
      <c r="M1277" t="s">
        <v>38</v>
      </c>
      <c r="N1277" t="s">
        <v>75</v>
      </c>
      <c r="O1277">
        <v>1</v>
      </c>
      <c r="P1277" t="s">
        <v>111</v>
      </c>
      <c r="Q1277" s="2">
        <v>46241</v>
      </c>
      <c r="R1277" t="s">
        <v>64</v>
      </c>
    </row>
    <row r="1278" spans="1:18" x14ac:dyDescent="0.2">
      <c r="A1278" t="s">
        <v>2614</v>
      </c>
      <c r="B1278" t="s">
        <v>2615</v>
      </c>
      <c r="C1278" t="s">
        <v>103</v>
      </c>
      <c r="D1278" t="s">
        <v>104</v>
      </c>
      <c r="E1278" t="s">
        <v>105</v>
      </c>
      <c r="F1278" t="s">
        <v>67</v>
      </c>
      <c r="G1278" t="s">
        <v>68</v>
      </c>
      <c r="H1278" t="s">
        <v>47</v>
      </c>
      <c r="I1278" t="s">
        <v>39</v>
      </c>
      <c r="J1278" t="s">
        <v>63</v>
      </c>
      <c r="K1278" s="2">
        <v>45882</v>
      </c>
      <c r="L1278" s="2">
        <v>45972</v>
      </c>
      <c r="M1278" t="s">
        <v>38</v>
      </c>
      <c r="N1278" t="s">
        <v>49</v>
      </c>
      <c r="O1278">
        <v>0</v>
      </c>
      <c r="P1278" t="s">
        <v>62</v>
      </c>
      <c r="Q1278" s="2">
        <v>46134</v>
      </c>
      <c r="R1278" t="s">
        <v>57</v>
      </c>
    </row>
    <row r="1279" spans="1:18" x14ac:dyDescent="0.2">
      <c r="A1279" t="s">
        <v>2616</v>
      </c>
      <c r="B1279" t="s">
        <v>2617</v>
      </c>
      <c r="C1279" t="s">
        <v>31</v>
      </c>
      <c r="D1279" t="s">
        <v>87</v>
      </c>
      <c r="E1279" t="s">
        <v>105</v>
      </c>
      <c r="F1279" t="s">
        <v>34</v>
      </c>
      <c r="G1279" t="s">
        <v>35</v>
      </c>
      <c r="H1279" t="s">
        <v>88</v>
      </c>
      <c r="I1279" t="s">
        <v>56</v>
      </c>
      <c r="J1279" t="s">
        <v>48</v>
      </c>
      <c r="K1279" s="2">
        <v>45885</v>
      </c>
      <c r="L1279" s="2">
        <v>45975</v>
      </c>
      <c r="M1279" t="s">
        <v>38</v>
      </c>
      <c r="N1279" t="s">
        <v>75</v>
      </c>
      <c r="O1279">
        <v>1</v>
      </c>
      <c r="P1279" t="s">
        <v>106</v>
      </c>
      <c r="Q1279" s="2">
        <v>46331</v>
      </c>
      <c r="R1279" t="s">
        <v>84</v>
      </c>
    </row>
    <row r="1280" spans="1:18" x14ac:dyDescent="0.2">
      <c r="A1280" t="s">
        <v>2618</v>
      </c>
      <c r="B1280" t="s">
        <v>2619</v>
      </c>
      <c r="C1280" t="s">
        <v>96</v>
      </c>
      <c r="D1280" t="s">
        <v>97</v>
      </c>
      <c r="E1280" t="s">
        <v>44</v>
      </c>
      <c r="F1280" t="s">
        <v>67</v>
      </c>
      <c r="G1280" t="s">
        <v>68</v>
      </c>
      <c r="H1280" t="s">
        <v>88</v>
      </c>
      <c r="I1280" t="s">
        <v>70</v>
      </c>
      <c r="J1280" t="s">
        <v>48</v>
      </c>
      <c r="K1280" s="2">
        <v>46100</v>
      </c>
      <c r="L1280" s="2">
        <v>46465</v>
      </c>
      <c r="M1280" t="s">
        <v>64</v>
      </c>
      <c r="N1280" t="s">
        <v>55</v>
      </c>
      <c r="O1280">
        <v>1</v>
      </c>
      <c r="P1280" t="s">
        <v>39</v>
      </c>
      <c r="Q1280" s="2">
        <v>46375</v>
      </c>
      <c r="R1280" t="s">
        <v>64</v>
      </c>
    </row>
    <row r="1281" spans="1:18" x14ac:dyDescent="0.2">
      <c r="A1281" t="s">
        <v>2620</v>
      </c>
      <c r="B1281" t="s">
        <v>2621</v>
      </c>
      <c r="C1281" t="s">
        <v>78</v>
      </c>
      <c r="D1281" t="s">
        <v>79</v>
      </c>
      <c r="E1281" t="s">
        <v>53</v>
      </c>
      <c r="F1281" t="s">
        <v>67</v>
      </c>
      <c r="G1281" t="s">
        <v>68</v>
      </c>
      <c r="H1281" t="s">
        <v>47</v>
      </c>
      <c r="I1281" t="s">
        <v>39</v>
      </c>
      <c r="J1281" t="s">
        <v>48</v>
      </c>
      <c r="K1281" s="2">
        <v>45859</v>
      </c>
      <c r="L1281" s="2">
        <v>46039</v>
      </c>
      <c r="M1281" t="s">
        <v>38</v>
      </c>
      <c r="N1281" t="s">
        <v>75</v>
      </c>
      <c r="O1281">
        <v>2</v>
      </c>
      <c r="P1281" t="s">
        <v>54</v>
      </c>
      <c r="Q1281" s="2">
        <v>46366</v>
      </c>
      <c r="R1281" t="s">
        <v>64</v>
      </c>
    </row>
    <row r="1282" spans="1:18" x14ac:dyDescent="0.2">
      <c r="A1282" t="s">
        <v>2622</v>
      </c>
      <c r="B1282" t="s">
        <v>2623</v>
      </c>
      <c r="C1282" t="s">
        <v>103</v>
      </c>
      <c r="D1282" t="s">
        <v>104</v>
      </c>
      <c r="E1282" t="s">
        <v>60</v>
      </c>
      <c r="F1282" t="s">
        <v>45</v>
      </c>
      <c r="G1282" t="s">
        <v>46</v>
      </c>
      <c r="H1282" t="s">
        <v>88</v>
      </c>
      <c r="I1282" t="s">
        <v>106</v>
      </c>
      <c r="J1282" t="s">
        <v>63</v>
      </c>
      <c r="K1282" s="2">
        <v>46003</v>
      </c>
      <c r="L1282" s="2">
        <v>46368</v>
      </c>
      <c r="M1282" t="s">
        <v>69</v>
      </c>
      <c r="N1282" t="s">
        <v>75</v>
      </c>
      <c r="O1282">
        <v>3</v>
      </c>
      <c r="P1282" t="s">
        <v>39</v>
      </c>
      <c r="Q1282" s="2">
        <v>46244</v>
      </c>
      <c r="R1282" t="s">
        <v>38</v>
      </c>
    </row>
    <row r="1283" spans="1:18" x14ac:dyDescent="0.2">
      <c r="A1283" t="s">
        <v>2624</v>
      </c>
      <c r="B1283" t="s">
        <v>2625</v>
      </c>
      <c r="C1283" t="s">
        <v>78</v>
      </c>
      <c r="D1283" t="s">
        <v>79</v>
      </c>
      <c r="E1283" t="s">
        <v>91</v>
      </c>
      <c r="F1283" t="s">
        <v>67</v>
      </c>
      <c r="G1283" t="s">
        <v>68</v>
      </c>
      <c r="H1283" t="s">
        <v>36</v>
      </c>
      <c r="I1283" t="s">
        <v>54</v>
      </c>
      <c r="J1283" t="s">
        <v>48</v>
      </c>
      <c r="K1283" s="2">
        <v>45965</v>
      </c>
      <c r="L1283" s="2">
        <v>46145</v>
      </c>
      <c r="M1283" t="s">
        <v>38</v>
      </c>
      <c r="N1283" t="s">
        <v>55</v>
      </c>
      <c r="O1283">
        <v>3</v>
      </c>
      <c r="P1283" t="s">
        <v>70</v>
      </c>
      <c r="Q1283" s="2">
        <v>46245</v>
      </c>
      <c r="R1283" t="s">
        <v>38</v>
      </c>
    </row>
    <row r="1284" spans="1:18" x14ac:dyDescent="0.2">
      <c r="A1284" t="s">
        <v>2626</v>
      </c>
      <c r="B1284" t="s">
        <v>2627</v>
      </c>
      <c r="C1284" t="s">
        <v>42</v>
      </c>
      <c r="D1284" t="s">
        <v>43</v>
      </c>
      <c r="E1284" t="s">
        <v>60</v>
      </c>
      <c r="F1284" t="s">
        <v>67</v>
      </c>
      <c r="G1284" t="s">
        <v>68</v>
      </c>
      <c r="H1284" t="s">
        <v>47</v>
      </c>
      <c r="I1284" t="s">
        <v>50</v>
      </c>
      <c r="J1284" t="s">
        <v>37</v>
      </c>
      <c r="K1284" s="2">
        <v>45917</v>
      </c>
      <c r="L1284" s="2">
        <v>46097</v>
      </c>
      <c r="M1284" t="s">
        <v>38</v>
      </c>
      <c r="N1284" t="s">
        <v>55</v>
      </c>
      <c r="O1284">
        <v>0</v>
      </c>
      <c r="P1284" t="s">
        <v>62</v>
      </c>
      <c r="Q1284" s="2">
        <v>46144</v>
      </c>
      <c r="R1284" t="s">
        <v>57</v>
      </c>
    </row>
    <row r="1285" spans="1:18" x14ac:dyDescent="0.2">
      <c r="A1285" t="s">
        <v>2628</v>
      </c>
      <c r="B1285" t="s">
        <v>2629</v>
      </c>
      <c r="C1285" t="s">
        <v>96</v>
      </c>
      <c r="D1285" t="s">
        <v>97</v>
      </c>
      <c r="E1285" t="s">
        <v>53</v>
      </c>
      <c r="F1285" t="s">
        <v>45</v>
      </c>
      <c r="G1285" t="s">
        <v>61</v>
      </c>
      <c r="H1285" t="s">
        <v>88</v>
      </c>
      <c r="I1285" t="s">
        <v>39</v>
      </c>
      <c r="J1285" t="s">
        <v>37</v>
      </c>
      <c r="K1285" s="2">
        <v>45889</v>
      </c>
      <c r="L1285" s="2">
        <v>45979</v>
      </c>
      <c r="M1285" t="s">
        <v>38</v>
      </c>
      <c r="N1285" t="s">
        <v>55</v>
      </c>
      <c r="O1285">
        <v>0</v>
      </c>
      <c r="P1285" t="s">
        <v>70</v>
      </c>
      <c r="Q1285" s="2">
        <v>46343</v>
      </c>
      <c r="R1285" t="s">
        <v>57</v>
      </c>
    </row>
    <row r="1286" spans="1:18" x14ac:dyDescent="0.2">
      <c r="A1286" t="s">
        <v>2630</v>
      </c>
      <c r="B1286" t="s">
        <v>2631</v>
      </c>
      <c r="C1286" t="s">
        <v>42</v>
      </c>
      <c r="D1286" t="s">
        <v>43</v>
      </c>
      <c r="E1286" t="s">
        <v>105</v>
      </c>
      <c r="F1286" t="s">
        <v>67</v>
      </c>
      <c r="G1286" t="s">
        <v>68</v>
      </c>
      <c r="H1286" t="s">
        <v>36</v>
      </c>
      <c r="I1286" t="s">
        <v>56</v>
      </c>
      <c r="J1286" t="s">
        <v>48</v>
      </c>
      <c r="K1286" s="2">
        <v>45976</v>
      </c>
      <c r="L1286" s="2">
        <v>46066</v>
      </c>
      <c r="M1286" t="s">
        <v>38</v>
      </c>
      <c r="N1286" t="s">
        <v>49</v>
      </c>
      <c r="O1286">
        <v>4</v>
      </c>
      <c r="P1286" t="s">
        <v>106</v>
      </c>
      <c r="Q1286" s="2">
        <v>46149</v>
      </c>
      <c r="R1286" t="s">
        <v>38</v>
      </c>
    </row>
    <row r="1287" spans="1:18" x14ac:dyDescent="0.2">
      <c r="A1287" t="s">
        <v>2632</v>
      </c>
      <c r="B1287" t="s">
        <v>2633</v>
      </c>
      <c r="C1287" t="s">
        <v>78</v>
      </c>
      <c r="D1287" t="s">
        <v>79</v>
      </c>
      <c r="E1287" t="s">
        <v>53</v>
      </c>
      <c r="F1287" t="s">
        <v>45</v>
      </c>
      <c r="G1287" t="s">
        <v>46</v>
      </c>
      <c r="H1287" t="s">
        <v>36</v>
      </c>
      <c r="I1287" t="s">
        <v>39</v>
      </c>
      <c r="J1287" t="s">
        <v>63</v>
      </c>
      <c r="K1287" s="2">
        <v>46145</v>
      </c>
      <c r="L1287" s="2">
        <v>46510</v>
      </c>
      <c r="M1287" t="s">
        <v>84</v>
      </c>
      <c r="N1287" t="s">
        <v>49</v>
      </c>
      <c r="O1287">
        <v>2</v>
      </c>
      <c r="P1287" t="s">
        <v>111</v>
      </c>
      <c r="Q1287" s="2">
        <v>46369</v>
      </c>
      <c r="R1287" t="s">
        <v>84</v>
      </c>
    </row>
    <row r="1288" spans="1:18" x14ac:dyDescent="0.2">
      <c r="A1288" t="s">
        <v>2634</v>
      </c>
      <c r="B1288" t="s">
        <v>2635</v>
      </c>
      <c r="C1288" t="s">
        <v>78</v>
      </c>
      <c r="D1288" t="s">
        <v>79</v>
      </c>
      <c r="E1288" t="s">
        <v>91</v>
      </c>
      <c r="F1288" t="s">
        <v>34</v>
      </c>
      <c r="G1288" t="s">
        <v>35</v>
      </c>
      <c r="H1288" t="s">
        <v>47</v>
      </c>
      <c r="I1288" t="s">
        <v>111</v>
      </c>
      <c r="J1288" t="s">
        <v>63</v>
      </c>
      <c r="K1288" s="2">
        <v>45973</v>
      </c>
      <c r="L1288" s="2">
        <v>46153</v>
      </c>
      <c r="M1288" t="s">
        <v>38</v>
      </c>
      <c r="N1288" t="s">
        <v>49</v>
      </c>
      <c r="O1288">
        <v>0</v>
      </c>
      <c r="P1288" t="s">
        <v>56</v>
      </c>
      <c r="Q1288" s="2">
        <v>46327</v>
      </c>
      <c r="R1288" t="s">
        <v>57</v>
      </c>
    </row>
    <row r="1289" spans="1:18" x14ac:dyDescent="0.2">
      <c r="A1289" t="s">
        <v>2636</v>
      </c>
      <c r="B1289" t="s">
        <v>2637</v>
      </c>
      <c r="C1289" t="s">
        <v>103</v>
      </c>
      <c r="D1289" t="s">
        <v>104</v>
      </c>
      <c r="E1289" t="s">
        <v>80</v>
      </c>
      <c r="F1289" t="s">
        <v>45</v>
      </c>
      <c r="G1289" t="s">
        <v>61</v>
      </c>
      <c r="H1289" t="s">
        <v>98</v>
      </c>
      <c r="I1289" t="s">
        <v>50</v>
      </c>
      <c r="J1289" t="s">
        <v>48</v>
      </c>
      <c r="K1289" s="2">
        <v>46165</v>
      </c>
      <c r="L1289" s="2">
        <v>46345</v>
      </c>
      <c r="M1289" t="s">
        <v>64</v>
      </c>
      <c r="N1289" t="s">
        <v>55</v>
      </c>
      <c r="O1289">
        <v>3</v>
      </c>
      <c r="P1289" t="s">
        <v>106</v>
      </c>
      <c r="Q1289" s="2">
        <v>46360</v>
      </c>
      <c r="R1289" t="s">
        <v>84</v>
      </c>
    </row>
    <row r="1290" spans="1:18" x14ac:dyDescent="0.2">
      <c r="A1290" t="s">
        <v>2638</v>
      </c>
      <c r="B1290" t="s">
        <v>2639</v>
      </c>
      <c r="C1290" t="s">
        <v>31</v>
      </c>
      <c r="D1290" t="s">
        <v>83</v>
      </c>
      <c r="E1290" t="s">
        <v>44</v>
      </c>
      <c r="F1290" t="s">
        <v>67</v>
      </c>
      <c r="G1290" t="s">
        <v>68</v>
      </c>
      <c r="H1290" t="s">
        <v>36</v>
      </c>
      <c r="I1290" t="s">
        <v>56</v>
      </c>
      <c r="J1290" t="s">
        <v>63</v>
      </c>
      <c r="K1290" s="2">
        <v>45977</v>
      </c>
      <c r="L1290" s="2">
        <v>46342</v>
      </c>
      <c r="M1290" t="s">
        <v>69</v>
      </c>
      <c r="N1290" t="s">
        <v>55</v>
      </c>
      <c r="O1290">
        <v>0</v>
      </c>
      <c r="P1290" t="s">
        <v>50</v>
      </c>
      <c r="Q1290" s="2">
        <v>46250</v>
      </c>
      <c r="R1290" t="s">
        <v>57</v>
      </c>
    </row>
    <row r="1291" spans="1:18" x14ac:dyDescent="0.2">
      <c r="A1291" t="s">
        <v>2640</v>
      </c>
      <c r="B1291" t="s">
        <v>2641</v>
      </c>
      <c r="C1291" t="s">
        <v>78</v>
      </c>
      <c r="D1291" t="s">
        <v>79</v>
      </c>
      <c r="E1291" t="s">
        <v>80</v>
      </c>
      <c r="F1291" t="s">
        <v>45</v>
      </c>
      <c r="G1291" t="s">
        <v>46</v>
      </c>
      <c r="H1291" t="s">
        <v>47</v>
      </c>
      <c r="I1291" t="s">
        <v>111</v>
      </c>
      <c r="J1291" t="s">
        <v>48</v>
      </c>
      <c r="K1291" s="2">
        <v>45856</v>
      </c>
      <c r="L1291" s="2">
        <v>46221</v>
      </c>
      <c r="M1291" t="s">
        <v>38</v>
      </c>
      <c r="N1291" t="s">
        <v>55</v>
      </c>
      <c r="O1291">
        <v>0</v>
      </c>
      <c r="P1291" t="s">
        <v>39</v>
      </c>
      <c r="Q1291" s="2">
        <v>46160</v>
      </c>
      <c r="R1291" t="s">
        <v>57</v>
      </c>
    </row>
    <row r="1292" spans="1:18" x14ac:dyDescent="0.2">
      <c r="A1292" t="s">
        <v>2642</v>
      </c>
      <c r="B1292" t="s">
        <v>2643</v>
      </c>
      <c r="C1292" t="s">
        <v>96</v>
      </c>
      <c r="D1292" t="s">
        <v>97</v>
      </c>
      <c r="E1292" t="s">
        <v>105</v>
      </c>
      <c r="F1292" t="s">
        <v>34</v>
      </c>
      <c r="G1292" t="s">
        <v>35</v>
      </c>
      <c r="H1292" t="s">
        <v>36</v>
      </c>
      <c r="I1292" t="s">
        <v>70</v>
      </c>
      <c r="J1292" t="s">
        <v>63</v>
      </c>
      <c r="K1292" s="2">
        <v>46155</v>
      </c>
      <c r="L1292" s="2">
        <v>46335</v>
      </c>
      <c r="M1292" t="s">
        <v>69</v>
      </c>
      <c r="N1292" t="s">
        <v>55</v>
      </c>
      <c r="O1292">
        <v>0</v>
      </c>
      <c r="P1292" t="s">
        <v>56</v>
      </c>
      <c r="Q1292" s="2">
        <v>46157</v>
      </c>
      <c r="R1292" t="s">
        <v>57</v>
      </c>
    </row>
    <row r="1293" spans="1:18" x14ac:dyDescent="0.2">
      <c r="A1293" t="s">
        <v>2644</v>
      </c>
      <c r="B1293" t="s">
        <v>2645</v>
      </c>
      <c r="C1293" t="s">
        <v>31</v>
      </c>
      <c r="D1293" t="s">
        <v>32</v>
      </c>
      <c r="E1293" t="s">
        <v>105</v>
      </c>
      <c r="F1293" t="s">
        <v>34</v>
      </c>
      <c r="G1293" t="s">
        <v>35</v>
      </c>
      <c r="H1293" t="s">
        <v>98</v>
      </c>
      <c r="I1293" t="s">
        <v>62</v>
      </c>
      <c r="J1293" t="s">
        <v>37</v>
      </c>
      <c r="K1293" s="2">
        <v>45818</v>
      </c>
      <c r="L1293" s="2">
        <v>45998</v>
      </c>
      <c r="M1293" t="s">
        <v>38</v>
      </c>
      <c r="N1293" t="s">
        <v>75</v>
      </c>
      <c r="O1293">
        <v>4</v>
      </c>
      <c r="P1293" t="s">
        <v>54</v>
      </c>
      <c r="Q1293" s="2">
        <v>46185</v>
      </c>
      <c r="R1293" t="s">
        <v>64</v>
      </c>
    </row>
    <row r="1294" spans="1:18" x14ac:dyDescent="0.2">
      <c r="A1294" t="s">
        <v>2646</v>
      </c>
      <c r="B1294" t="s">
        <v>2647</v>
      </c>
      <c r="C1294" t="s">
        <v>31</v>
      </c>
      <c r="D1294" t="s">
        <v>87</v>
      </c>
      <c r="E1294" t="s">
        <v>60</v>
      </c>
      <c r="F1294" t="s">
        <v>34</v>
      </c>
      <c r="G1294" t="s">
        <v>35</v>
      </c>
      <c r="H1294" t="s">
        <v>88</v>
      </c>
      <c r="I1294" t="s">
        <v>39</v>
      </c>
      <c r="J1294" t="s">
        <v>37</v>
      </c>
      <c r="K1294" s="2">
        <v>45999</v>
      </c>
      <c r="L1294" s="2">
        <v>46089</v>
      </c>
      <c r="M1294" t="s">
        <v>38</v>
      </c>
      <c r="N1294" t="s">
        <v>55</v>
      </c>
      <c r="O1294">
        <v>0</v>
      </c>
      <c r="P1294" t="s">
        <v>106</v>
      </c>
      <c r="Q1294" s="2">
        <v>46247</v>
      </c>
      <c r="R1294" t="s">
        <v>57</v>
      </c>
    </row>
    <row r="1295" spans="1:18" x14ac:dyDescent="0.2">
      <c r="A1295" t="s">
        <v>2648</v>
      </c>
      <c r="B1295" t="s">
        <v>2649</v>
      </c>
      <c r="C1295" t="s">
        <v>31</v>
      </c>
      <c r="D1295" t="s">
        <v>32</v>
      </c>
      <c r="E1295" t="s">
        <v>44</v>
      </c>
      <c r="F1295" t="s">
        <v>67</v>
      </c>
      <c r="G1295" t="s">
        <v>68</v>
      </c>
      <c r="H1295" t="s">
        <v>36</v>
      </c>
      <c r="I1295" t="s">
        <v>62</v>
      </c>
      <c r="J1295" t="s">
        <v>63</v>
      </c>
      <c r="K1295" s="2">
        <v>45987</v>
      </c>
      <c r="L1295" s="2">
        <v>46077</v>
      </c>
      <c r="M1295" t="s">
        <v>38</v>
      </c>
      <c r="N1295" t="s">
        <v>75</v>
      </c>
      <c r="O1295">
        <v>4</v>
      </c>
      <c r="P1295" t="s">
        <v>111</v>
      </c>
      <c r="Q1295" s="2">
        <v>46321</v>
      </c>
      <c r="R1295" t="s">
        <v>64</v>
      </c>
    </row>
    <row r="1296" spans="1:18" x14ac:dyDescent="0.2">
      <c r="A1296" t="s">
        <v>2650</v>
      </c>
      <c r="B1296" t="s">
        <v>2651</v>
      </c>
      <c r="C1296" t="s">
        <v>96</v>
      </c>
      <c r="D1296" t="s">
        <v>97</v>
      </c>
      <c r="E1296" t="s">
        <v>44</v>
      </c>
      <c r="F1296" t="s">
        <v>34</v>
      </c>
      <c r="G1296" t="s">
        <v>35</v>
      </c>
      <c r="H1296" t="s">
        <v>88</v>
      </c>
      <c r="I1296" t="s">
        <v>62</v>
      </c>
      <c r="J1296" t="s">
        <v>63</v>
      </c>
      <c r="K1296" s="2">
        <v>45989</v>
      </c>
      <c r="L1296" s="2">
        <v>46354</v>
      </c>
      <c r="M1296" t="s">
        <v>64</v>
      </c>
      <c r="N1296" t="s">
        <v>49</v>
      </c>
      <c r="O1296">
        <v>3</v>
      </c>
      <c r="P1296" t="s">
        <v>39</v>
      </c>
      <c r="Q1296" s="2">
        <v>46411</v>
      </c>
      <c r="R1296" t="s">
        <v>84</v>
      </c>
    </row>
    <row r="1297" spans="1:18" x14ac:dyDescent="0.2">
      <c r="A1297" t="s">
        <v>2652</v>
      </c>
      <c r="B1297" t="s">
        <v>2653</v>
      </c>
      <c r="C1297" t="s">
        <v>31</v>
      </c>
      <c r="D1297" t="s">
        <v>87</v>
      </c>
      <c r="E1297" t="s">
        <v>60</v>
      </c>
      <c r="F1297" t="s">
        <v>67</v>
      </c>
      <c r="G1297" t="s">
        <v>68</v>
      </c>
      <c r="H1297" t="s">
        <v>88</v>
      </c>
      <c r="I1297" t="s">
        <v>70</v>
      </c>
      <c r="J1297" t="s">
        <v>63</v>
      </c>
      <c r="K1297" s="2">
        <v>46143</v>
      </c>
      <c r="L1297" s="2">
        <v>46233</v>
      </c>
      <c r="M1297" t="s">
        <v>38</v>
      </c>
      <c r="N1297" t="s">
        <v>49</v>
      </c>
      <c r="O1297">
        <v>3</v>
      </c>
      <c r="P1297" t="s">
        <v>54</v>
      </c>
      <c r="Q1297" s="2">
        <v>46172</v>
      </c>
      <c r="R1297" t="s">
        <v>38</v>
      </c>
    </row>
    <row r="1298" spans="1:18" x14ac:dyDescent="0.2">
      <c r="A1298" t="s">
        <v>2654</v>
      </c>
      <c r="B1298" t="s">
        <v>2655</v>
      </c>
      <c r="C1298" t="s">
        <v>78</v>
      </c>
      <c r="D1298" t="s">
        <v>79</v>
      </c>
      <c r="E1298" t="s">
        <v>53</v>
      </c>
      <c r="F1298" t="s">
        <v>45</v>
      </c>
      <c r="G1298" t="s">
        <v>61</v>
      </c>
      <c r="H1298" t="s">
        <v>88</v>
      </c>
      <c r="I1298" t="s">
        <v>54</v>
      </c>
      <c r="J1298" t="s">
        <v>37</v>
      </c>
      <c r="K1298" s="2">
        <v>46105</v>
      </c>
      <c r="L1298" s="2">
        <v>46470</v>
      </c>
      <c r="M1298" t="s">
        <v>64</v>
      </c>
      <c r="N1298" t="s">
        <v>55</v>
      </c>
      <c r="O1298">
        <v>3</v>
      </c>
      <c r="P1298" t="s">
        <v>39</v>
      </c>
      <c r="Q1298" s="2">
        <v>46412</v>
      </c>
      <c r="R1298" t="s">
        <v>84</v>
      </c>
    </row>
    <row r="1299" spans="1:18" x14ac:dyDescent="0.2">
      <c r="A1299" t="s">
        <v>2656</v>
      </c>
      <c r="B1299" t="s">
        <v>2657</v>
      </c>
      <c r="C1299" t="s">
        <v>42</v>
      </c>
      <c r="D1299" t="s">
        <v>43</v>
      </c>
      <c r="E1299" t="s">
        <v>91</v>
      </c>
      <c r="F1299" t="s">
        <v>34</v>
      </c>
      <c r="G1299" t="s">
        <v>35</v>
      </c>
      <c r="H1299" t="s">
        <v>88</v>
      </c>
      <c r="I1299" t="s">
        <v>62</v>
      </c>
      <c r="J1299" t="s">
        <v>48</v>
      </c>
      <c r="K1299" s="2">
        <v>46079</v>
      </c>
      <c r="L1299" s="2">
        <v>46444</v>
      </c>
      <c r="M1299" t="s">
        <v>64</v>
      </c>
      <c r="N1299" t="s">
        <v>75</v>
      </c>
      <c r="O1299">
        <v>3</v>
      </c>
      <c r="P1299" t="s">
        <v>111</v>
      </c>
      <c r="Q1299" s="2">
        <v>46128</v>
      </c>
      <c r="R1299" t="s">
        <v>64</v>
      </c>
    </row>
    <row r="1300" spans="1:18" x14ac:dyDescent="0.2">
      <c r="A1300" t="s">
        <v>2658</v>
      </c>
      <c r="B1300" t="s">
        <v>2659</v>
      </c>
      <c r="C1300" t="s">
        <v>31</v>
      </c>
      <c r="D1300" t="s">
        <v>83</v>
      </c>
      <c r="E1300" t="s">
        <v>60</v>
      </c>
      <c r="F1300" t="s">
        <v>45</v>
      </c>
      <c r="G1300" t="s">
        <v>46</v>
      </c>
      <c r="H1300" t="s">
        <v>88</v>
      </c>
      <c r="I1300" t="s">
        <v>62</v>
      </c>
      <c r="J1300" t="s">
        <v>63</v>
      </c>
      <c r="K1300" s="2">
        <v>46203</v>
      </c>
      <c r="L1300" s="2">
        <v>46293</v>
      </c>
      <c r="M1300" t="s">
        <v>38</v>
      </c>
      <c r="N1300" t="s">
        <v>75</v>
      </c>
      <c r="O1300">
        <v>1</v>
      </c>
      <c r="P1300" t="s">
        <v>54</v>
      </c>
      <c r="Q1300" s="2">
        <v>46323</v>
      </c>
      <c r="R1300" t="s">
        <v>64</v>
      </c>
    </row>
    <row r="1301" spans="1:18" x14ac:dyDescent="0.2">
      <c r="A1301" t="s">
        <v>2660</v>
      </c>
      <c r="B1301" t="s">
        <v>2661</v>
      </c>
      <c r="C1301" t="s">
        <v>31</v>
      </c>
      <c r="D1301" t="s">
        <v>83</v>
      </c>
      <c r="E1301" t="s">
        <v>60</v>
      </c>
      <c r="F1301" t="s">
        <v>67</v>
      </c>
      <c r="G1301" t="s">
        <v>118</v>
      </c>
      <c r="H1301" t="s">
        <v>88</v>
      </c>
      <c r="I1301" t="s">
        <v>54</v>
      </c>
      <c r="J1301" t="s">
        <v>63</v>
      </c>
      <c r="K1301" s="2">
        <v>45961</v>
      </c>
      <c r="L1301" s="2">
        <v>46051</v>
      </c>
      <c r="M1301" t="s">
        <v>38</v>
      </c>
      <c r="N1301" t="s">
        <v>75</v>
      </c>
      <c r="O1301">
        <v>1</v>
      </c>
      <c r="P1301" t="s">
        <v>111</v>
      </c>
      <c r="Q1301" s="2">
        <v>46247</v>
      </c>
      <c r="R1301" t="s">
        <v>38</v>
      </c>
    </row>
    <row r="1302" spans="1:18" x14ac:dyDescent="0.2">
      <c r="A1302" t="s">
        <v>2662</v>
      </c>
      <c r="B1302" t="s">
        <v>2663</v>
      </c>
      <c r="C1302" t="s">
        <v>31</v>
      </c>
      <c r="D1302" t="s">
        <v>83</v>
      </c>
      <c r="E1302" t="s">
        <v>80</v>
      </c>
      <c r="F1302" t="s">
        <v>34</v>
      </c>
      <c r="G1302" t="s">
        <v>35</v>
      </c>
      <c r="H1302" t="s">
        <v>47</v>
      </c>
      <c r="I1302" t="s">
        <v>70</v>
      </c>
      <c r="J1302" t="s">
        <v>48</v>
      </c>
      <c r="K1302" s="2">
        <v>46230</v>
      </c>
      <c r="L1302" s="2">
        <v>46410</v>
      </c>
      <c r="M1302" t="s">
        <v>64</v>
      </c>
      <c r="N1302" t="s">
        <v>55</v>
      </c>
      <c r="O1302">
        <v>1</v>
      </c>
      <c r="P1302" t="s">
        <v>62</v>
      </c>
      <c r="Q1302" s="2">
        <v>46298</v>
      </c>
      <c r="R1302" t="s">
        <v>84</v>
      </c>
    </row>
    <row r="1303" spans="1:18" x14ac:dyDescent="0.2">
      <c r="A1303" t="s">
        <v>2664</v>
      </c>
      <c r="B1303" t="s">
        <v>2665</v>
      </c>
      <c r="C1303" t="s">
        <v>42</v>
      </c>
      <c r="D1303" t="s">
        <v>43</v>
      </c>
      <c r="E1303" t="s">
        <v>44</v>
      </c>
      <c r="F1303" t="s">
        <v>45</v>
      </c>
      <c r="G1303" t="s">
        <v>46</v>
      </c>
      <c r="H1303" t="s">
        <v>88</v>
      </c>
      <c r="I1303" t="s">
        <v>62</v>
      </c>
      <c r="J1303" t="s">
        <v>63</v>
      </c>
      <c r="K1303" s="2">
        <v>45818</v>
      </c>
      <c r="L1303" s="2">
        <v>45908</v>
      </c>
      <c r="M1303" t="s">
        <v>38</v>
      </c>
      <c r="N1303" t="s">
        <v>75</v>
      </c>
      <c r="O1303">
        <v>1</v>
      </c>
      <c r="P1303" t="s">
        <v>70</v>
      </c>
      <c r="Q1303" s="2">
        <v>46242</v>
      </c>
      <c r="R1303" t="s">
        <v>64</v>
      </c>
    </row>
    <row r="1304" spans="1:18" x14ac:dyDescent="0.2">
      <c r="A1304" t="s">
        <v>2666</v>
      </c>
      <c r="B1304" t="s">
        <v>2667</v>
      </c>
      <c r="C1304" t="s">
        <v>31</v>
      </c>
      <c r="D1304" t="s">
        <v>32</v>
      </c>
      <c r="E1304" t="s">
        <v>91</v>
      </c>
      <c r="F1304" t="s">
        <v>67</v>
      </c>
      <c r="G1304" t="s">
        <v>118</v>
      </c>
      <c r="H1304" t="s">
        <v>47</v>
      </c>
      <c r="I1304" t="s">
        <v>50</v>
      </c>
      <c r="J1304" t="s">
        <v>37</v>
      </c>
      <c r="K1304" s="2">
        <v>46091</v>
      </c>
      <c r="L1304" s="2">
        <v>46271</v>
      </c>
      <c r="M1304" t="s">
        <v>38</v>
      </c>
      <c r="N1304" t="s">
        <v>75</v>
      </c>
      <c r="O1304">
        <v>3</v>
      </c>
      <c r="P1304" t="s">
        <v>39</v>
      </c>
      <c r="Q1304" s="2">
        <v>46189</v>
      </c>
      <c r="R1304" t="s">
        <v>64</v>
      </c>
    </row>
    <row r="1305" spans="1:18" x14ac:dyDescent="0.2">
      <c r="A1305" t="s">
        <v>2668</v>
      </c>
      <c r="B1305" t="s">
        <v>2669</v>
      </c>
      <c r="C1305" t="s">
        <v>31</v>
      </c>
      <c r="D1305" t="s">
        <v>83</v>
      </c>
      <c r="E1305" t="s">
        <v>53</v>
      </c>
      <c r="F1305" t="s">
        <v>45</v>
      </c>
      <c r="G1305" t="s">
        <v>61</v>
      </c>
      <c r="H1305" t="s">
        <v>47</v>
      </c>
      <c r="I1305" t="s">
        <v>62</v>
      </c>
      <c r="J1305" t="s">
        <v>37</v>
      </c>
      <c r="K1305" s="2">
        <v>46070</v>
      </c>
      <c r="L1305" s="2">
        <v>46160</v>
      </c>
      <c r="M1305" t="s">
        <v>38</v>
      </c>
      <c r="N1305" t="s">
        <v>75</v>
      </c>
      <c r="O1305">
        <v>3</v>
      </c>
      <c r="P1305" t="s">
        <v>39</v>
      </c>
      <c r="Q1305" s="2">
        <v>46148</v>
      </c>
      <c r="R1305" t="s">
        <v>38</v>
      </c>
    </row>
    <row r="1306" spans="1:18" x14ac:dyDescent="0.2">
      <c r="A1306" t="s">
        <v>2670</v>
      </c>
      <c r="B1306" t="s">
        <v>2671</v>
      </c>
      <c r="C1306" t="s">
        <v>31</v>
      </c>
      <c r="D1306" t="s">
        <v>32</v>
      </c>
      <c r="E1306" t="s">
        <v>80</v>
      </c>
      <c r="F1306" t="s">
        <v>34</v>
      </c>
      <c r="G1306" t="s">
        <v>35</v>
      </c>
      <c r="H1306" t="s">
        <v>88</v>
      </c>
      <c r="I1306" t="s">
        <v>50</v>
      </c>
      <c r="J1306" t="s">
        <v>48</v>
      </c>
      <c r="K1306" s="2">
        <v>46226</v>
      </c>
      <c r="L1306" s="2">
        <v>46406</v>
      </c>
      <c r="M1306" t="s">
        <v>64</v>
      </c>
      <c r="N1306" t="s">
        <v>75</v>
      </c>
      <c r="O1306">
        <v>3</v>
      </c>
      <c r="P1306" t="s">
        <v>106</v>
      </c>
      <c r="Q1306" s="2">
        <v>46379</v>
      </c>
      <c r="R1306" t="s">
        <v>84</v>
      </c>
    </row>
    <row r="1307" spans="1:18" x14ac:dyDescent="0.2">
      <c r="A1307" t="s">
        <v>2672</v>
      </c>
      <c r="B1307" t="s">
        <v>2673</v>
      </c>
      <c r="C1307" t="s">
        <v>96</v>
      </c>
      <c r="D1307" t="s">
        <v>97</v>
      </c>
      <c r="E1307" t="s">
        <v>80</v>
      </c>
      <c r="F1307" t="s">
        <v>34</v>
      </c>
      <c r="G1307" t="s">
        <v>35</v>
      </c>
      <c r="H1307" t="s">
        <v>88</v>
      </c>
      <c r="I1307" t="s">
        <v>56</v>
      </c>
      <c r="J1307" t="s">
        <v>63</v>
      </c>
      <c r="K1307" s="2">
        <v>45996</v>
      </c>
      <c r="L1307" s="2">
        <v>46176</v>
      </c>
      <c r="M1307" t="s">
        <v>38</v>
      </c>
      <c r="N1307" t="s">
        <v>49</v>
      </c>
      <c r="O1307">
        <v>1</v>
      </c>
      <c r="P1307" t="s">
        <v>62</v>
      </c>
      <c r="Q1307" s="2">
        <v>46412</v>
      </c>
      <c r="R1307" t="s">
        <v>84</v>
      </c>
    </row>
    <row r="1308" spans="1:18" x14ac:dyDescent="0.2">
      <c r="A1308" t="s">
        <v>2674</v>
      </c>
      <c r="B1308" t="s">
        <v>2675</v>
      </c>
      <c r="C1308" t="s">
        <v>31</v>
      </c>
      <c r="D1308" t="s">
        <v>87</v>
      </c>
      <c r="E1308" t="s">
        <v>91</v>
      </c>
      <c r="F1308" t="s">
        <v>34</v>
      </c>
      <c r="G1308" t="s">
        <v>35</v>
      </c>
      <c r="H1308" t="s">
        <v>36</v>
      </c>
      <c r="I1308" t="s">
        <v>70</v>
      </c>
      <c r="J1308" t="s">
        <v>48</v>
      </c>
      <c r="K1308" s="2">
        <v>46108</v>
      </c>
      <c r="L1308" s="2">
        <v>46288</v>
      </c>
      <c r="M1308" t="s">
        <v>38</v>
      </c>
      <c r="N1308" t="s">
        <v>49</v>
      </c>
      <c r="O1308">
        <v>2</v>
      </c>
      <c r="P1308" t="s">
        <v>50</v>
      </c>
      <c r="Q1308" s="2">
        <v>46275</v>
      </c>
      <c r="R1308" t="s">
        <v>38</v>
      </c>
    </row>
    <row r="1309" spans="1:18" x14ac:dyDescent="0.2">
      <c r="A1309" t="s">
        <v>2676</v>
      </c>
      <c r="B1309" t="s">
        <v>2677</v>
      </c>
      <c r="C1309" t="s">
        <v>31</v>
      </c>
      <c r="D1309" t="s">
        <v>32</v>
      </c>
      <c r="E1309" t="s">
        <v>105</v>
      </c>
      <c r="F1309" t="s">
        <v>34</v>
      </c>
      <c r="G1309" t="s">
        <v>35</v>
      </c>
      <c r="H1309" t="s">
        <v>36</v>
      </c>
      <c r="I1309" t="s">
        <v>111</v>
      </c>
      <c r="J1309" t="s">
        <v>48</v>
      </c>
      <c r="K1309" s="2">
        <v>46091</v>
      </c>
      <c r="L1309" s="2">
        <v>46181</v>
      </c>
      <c r="M1309" t="s">
        <v>38</v>
      </c>
      <c r="N1309" t="s">
        <v>49</v>
      </c>
      <c r="O1309">
        <v>3</v>
      </c>
      <c r="P1309" t="s">
        <v>62</v>
      </c>
      <c r="Q1309" s="2">
        <v>46137</v>
      </c>
      <c r="R1309" t="s">
        <v>38</v>
      </c>
    </row>
    <row r="1310" spans="1:18" x14ac:dyDescent="0.2">
      <c r="A1310" t="s">
        <v>2678</v>
      </c>
      <c r="B1310" t="s">
        <v>2679</v>
      </c>
      <c r="C1310" t="s">
        <v>42</v>
      </c>
      <c r="D1310" t="s">
        <v>43</v>
      </c>
      <c r="E1310" t="s">
        <v>44</v>
      </c>
      <c r="F1310" t="s">
        <v>34</v>
      </c>
      <c r="G1310" t="s">
        <v>35</v>
      </c>
      <c r="H1310" t="s">
        <v>36</v>
      </c>
      <c r="I1310" t="s">
        <v>62</v>
      </c>
      <c r="J1310" t="s">
        <v>37</v>
      </c>
      <c r="K1310" s="2">
        <v>46169</v>
      </c>
      <c r="L1310" s="2">
        <v>46349</v>
      </c>
      <c r="M1310" t="s">
        <v>64</v>
      </c>
      <c r="N1310" t="s">
        <v>75</v>
      </c>
      <c r="O1310">
        <v>5</v>
      </c>
      <c r="P1310" t="s">
        <v>39</v>
      </c>
      <c r="Q1310" s="2">
        <v>46179</v>
      </c>
      <c r="R1310" t="s">
        <v>64</v>
      </c>
    </row>
    <row r="1311" spans="1:18" x14ac:dyDescent="0.2">
      <c r="A1311" t="s">
        <v>2680</v>
      </c>
      <c r="B1311" t="s">
        <v>2681</v>
      </c>
      <c r="C1311" t="s">
        <v>78</v>
      </c>
      <c r="D1311" t="s">
        <v>79</v>
      </c>
      <c r="E1311" t="s">
        <v>105</v>
      </c>
      <c r="F1311" t="s">
        <v>67</v>
      </c>
      <c r="G1311" t="s">
        <v>118</v>
      </c>
      <c r="H1311" t="s">
        <v>47</v>
      </c>
      <c r="I1311" t="s">
        <v>56</v>
      </c>
      <c r="J1311" t="s">
        <v>63</v>
      </c>
      <c r="K1311" s="2">
        <v>45862</v>
      </c>
      <c r="L1311" s="2">
        <v>45952</v>
      </c>
      <c r="M1311" t="s">
        <v>38</v>
      </c>
      <c r="N1311" t="s">
        <v>75</v>
      </c>
      <c r="O1311">
        <v>2</v>
      </c>
      <c r="P1311" t="s">
        <v>56</v>
      </c>
      <c r="Q1311" s="2">
        <v>46206</v>
      </c>
      <c r="R1311" t="s">
        <v>64</v>
      </c>
    </row>
    <row r="1312" spans="1:18" x14ac:dyDescent="0.2">
      <c r="A1312" t="s">
        <v>2682</v>
      </c>
      <c r="B1312" t="s">
        <v>2683</v>
      </c>
      <c r="C1312" t="s">
        <v>42</v>
      </c>
      <c r="D1312" t="s">
        <v>43</v>
      </c>
      <c r="E1312" t="s">
        <v>80</v>
      </c>
      <c r="F1312" t="s">
        <v>34</v>
      </c>
      <c r="G1312" t="s">
        <v>35</v>
      </c>
      <c r="H1312" t="s">
        <v>88</v>
      </c>
      <c r="I1312" t="s">
        <v>39</v>
      </c>
      <c r="J1312" t="s">
        <v>37</v>
      </c>
      <c r="K1312" s="2">
        <v>46108</v>
      </c>
      <c r="L1312" s="2">
        <v>46288</v>
      </c>
      <c r="M1312" t="s">
        <v>38</v>
      </c>
      <c r="N1312" t="s">
        <v>75</v>
      </c>
      <c r="O1312">
        <v>1</v>
      </c>
      <c r="P1312" t="s">
        <v>106</v>
      </c>
      <c r="Q1312" s="2">
        <v>46122</v>
      </c>
      <c r="R1312" t="s">
        <v>38</v>
      </c>
    </row>
    <row r="1313" spans="1:18" x14ac:dyDescent="0.2">
      <c r="A1313" t="s">
        <v>2684</v>
      </c>
      <c r="B1313" t="s">
        <v>2685</v>
      </c>
      <c r="C1313" t="s">
        <v>31</v>
      </c>
      <c r="D1313" t="s">
        <v>87</v>
      </c>
      <c r="E1313" t="s">
        <v>53</v>
      </c>
      <c r="F1313" t="s">
        <v>67</v>
      </c>
      <c r="G1313" t="s">
        <v>118</v>
      </c>
      <c r="H1313" t="s">
        <v>88</v>
      </c>
      <c r="I1313" t="s">
        <v>39</v>
      </c>
      <c r="J1313" t="s">
        <v>48</v>
      </c>
      <c r="K1313" s="2">
        <v>45983</v>
      </c>
      <c r="L1313" s="2">
        <v>46163</v>
      </c>
      <c r="M1313" t="s">
        <v>38</v>
      </c>
      <c r="N1313" t="s">
        <v>75</v>
      </c>
      <c r="O1313">
        <v>2</v>
      </c>
      <c r="P1313" t="s">
        <v>54</v>
      </c>
      <c r="Q1313" s="2">
        <v>46228</v>
      </c>
      <c r="R1313" t="s">
        <v>64</v>
      </c>
    </row>
    <row r="1314" spans="1:18" x14ac:dyDescent="0.2">
      <c r="A1314" t="s">
        <v>2686</v>
      </c>
      <c r="B1314" t="s">
        <v>2687</v>
      </c>
      <c r="C1314" t="s">
        <v>31</v>
      </c>
      <c r="D1314" t="s">
        <v>87</v>
      </c>
      <c r="E1314" t="s">
        <v>80</v>
      </c>
      <c r="F1314" t="s">
        <v>67</v>
      </c>
      <c r="G1314" t="s">
        <v>118</v>
      </c>
      <c r="H1314" t="s">
        <v>36</v>
      </c>
      <c r="I1314" t="s">
        <v>50</v>
      </c>
      <c r="J1314" t="s">
        <v>37</v>
      </c>
      <c r="K1314" s="2">
        <v>45838</v>
      </c>
      <c r="L1314" s="2">
        <v>46203</v>
      </c>
      <c r="M1314" t="s">
        <v>38</v>
      </c>
      <c r="N1314" t="s">
        <v>55</v>
      </c>
      <c r="O1314">
        <v>3</v>
      </c>
      <c r="P1314" t="s">
        <v>106</v>
      </c>
      <c r="Q1314" s="2">
        <v>46287</v>
      </c>
      <c r="R1314" t="s">
        <v>38</v>
      </c>
    </row>
    <row r="1315" spans="1:18" x14ac:dyDescent="0.2">
      <c r="A1315" t="s">
        <v>2688</v>
      </c>
      <c r="B1315" t="s">
        <v>2689</v>
      </c>
      <c r="C1315" t="s">
        <v>31</v>
      </c>
      <c r="D1315" t="s">
        <v>83</v>
      </c>
      <c r="E1315" t="s">
        <v>44</v>
      </c>
      <c r="F1315" t="s">
        <v>34</v>
      </c>
      <c r="G1315" t="s">
        <v>35</v>
      </c>
      <c r="H1315" t="s">
        <v>98</v>
      </c>
      <c r="I1315" t="s">
        <v>39</v>
      </c>
      <c r="J1315" t="s">
        <v>48</v>
      </c>
      <c r="K1315" s="2">
        <v>45920</v>
      </c>
      <c r="L1315" s="2">
        <v>46285</v>
      </c>
      <c r="M1315" t="s">
        <v>38</v>
      </c>
      <c r="N1315" t="s">
        <v>75</v>
      </c>
      <c r="O1315">
        <v>1</v>
      </c>
      <c r="P1315" t="s">
        <v>111</v>
      </c>
      <c r="Q1315" s="2">
        <v>46210</v>
      </c>
      <c r="R1315" t="s">
        <v>64</v>
      </c>
    </row>
    <row r="1316" spans="1:18" x14ac:dyDescent="0.2">
      <c r="A1316" t="s">
        <v>2690</v>
      </c>
      <c r="B1316" t="s">
        <v>2691</v>
      </c>
      <c r="C1316" t="s">
        <v>31</v>
      </c>
      <c r="D1316" t="s">
        <v>87</v>
      </c>
      <c r="E1316" t="s">
        <v>91</v>
      </c>
      <c r="F1316" t="s">
        <v>67</v>
      </c>
      <c r="G1316" t="s">
        <v>118</v>
      </c>
      <c r="H1316" t="s">
        <v>88</v>
      </c>
      <c r="I1316" t="s">
        <v>56</v>
      </c>
      <c r="J1316" t="s">
        <v>48</v>
      </c>
      <c r="K1316" s="2">
        <v>46070</v>
      </c>
      <c r="L1316" s="2">
        <v>46160</v>
      </c>
      <c r="M1316" t="s">
        <v>38</v>
      </c>
      <c r="N1316" t="s">
        <v>75</v>
      </c>
      <c r="O1316">
        <v>0</v>
      </c>
      <c r="P1316" t="s">
        <v>50</v>
      </c>
      <c r="Q1316" s="2">
        <v>46314</v>
      </c>
      <c r="R1316" t="s">
        <v>57</v>
      </c>
    </row>
    <row r="1317" spans="1:18" x14ac:dyDescent="0.2">
      <c r="A1317" t="s">
        <v>2692</v>
      </c>
      <c r="B1317" t="s">
        <v>2693</v>
      </c>
      <c r="C1317" t="s">
        <v>96</v>
      </c>
      <c r="D1317" t="s">
        <v>97</v>
      </c>
      <c r="E1317" t="s">
        <v>105</v>
      </c>
      <c r="F1317" t="s">
        <v>67</v>
      </c>
      <c r="G1317" t="s">
        <v>68</v>
      </c>
      <c r="H1317" t="s">
        <v>88</v>
      </c>
      <c r="I1317" t="s">
        <v>56</v>
      </c>
      <c r="J1317" t="s">
        <v>63</v>
      </c>
      <c r="K1317" s="2">
        <v>46002</v>
      </c>
      <c r="L1317" s="2">
        <v>46367</v>
      </c>
      <c r="M1317" t="s">
        <v>84</v>
      </c>
      <c r="N1317" t="s">
        <v>55</v>
      </c>
      <c r="O1317">
        <v>0</v>
      </c>
      <c r="P1317" t="s">
        <v>62</v>
      </c>
      <c r="Q1317" s="2">
        <v>46170</v>
      </c>
      <c r="R1317" t="s">
        <v>57</v>
      </c>
    </row>
    <row r="1318" spans="1:18" x14ac:dyDescent="0.2">
      <c r="A1318" t="s">
        <v>2694</v>
      </c>
      <c r="B1318" t="s">
        <v>2695</v>
      </c>
      <c r="C1318" t="s">
        <v>96</v>
      </c>
      <c r="D1318" t="s">
        <v>97</v>
      </c>
      <c r="E1318" t="s">
        <v>60</v>
      </c>
      <c r="F1318" t="s">
        <v>67</v>
      </c>
      <c r="G1318" t="s">
        <v>118</v>
      </c>
      <c r="H1318" t="s">
        <v>47</v>
      </c>
      <c r="I1318" t="s">
        <v>70</v>
      </c>
      <c r="J1318" t="s">
        <v>63</v>
      </c>
      <c r="K1318" s="2">
        <v>46187</v>
      </c>
      <c r="L1318" s="2">
        <v>46552</v>
      </c>
      <c r="M1318" t="s">
        <v>69</v>
      </c>
      <c r="N1318" t="s">
        <v>75</v>
      </c>
      <c r="O1318">
        <v>0</v>
      </c>
      <c r="P1318" t="s">
        <v>62</v>
      </c>
      <c r="Q1318" s="2">
        <v>46254</v>
      </c>
      <c r="R1318" t="s">
        <v>57</v>
      </c>
    </row>
    <row r="1319" spans="1:18" x14ac:dyDescent="0.2">
      <c r="A1319" t="s">
        <v>2696</v>
      </c>
      <c r="B1319" t="s">
        <v>2697</v>
      </c>
      <c r="C1319" t="s">
        <v>42</v>
      </c>
      <c r="D1319" t="s">
        <v>43</v>
      </c>
      <c r="E1319" t="s">
        <v>650</v>
      </c>
      <c r="F1319" t="s">
        <v>67</v>
      </c>
      <c r="G1319" t="s">
        <v>68</v>
      </c>
      <c r="H1319" t="s">
        <v>36</v>
      </c>
      <c r="I1319" t="s">
        <v>70</v>
      </c>
      <c r="J1319" t="s">
        <v>63</v>
      </c>
      <c r="K1319" s="2">
        <v>46200</v>
      </c>
      <c r="L1319" s="2">
        <v>46565</v>
      </c>
      <c r="M1319" t="s">
        <v>64</v>
      </c>
      <c r="N1319" t="s">
        <v>55</v>
      </c>
      <c r="O1319">
        <v>0</v>
      </c>
      <c r="P1319" t="s">
        <v>111</v>
      </c>
      <c r="Q1319" s="2">
        <v>46219</v>
      </c>
      <c r="R1319" t="s">
        <v>57</v>
      </c>
    </row>
    <row r="1320" spans="1:18" x14ac:dyDescent="0.2">
      <c r="A1320" t="s">
        <v>2698</v>
      </c>
      <c r="B1320" t="s">
        <v>2699</v>
      </c>
      <c r="C1320" t="s">
        <v>31</v>
      </c>
      <c r="D1320" t="s">
        <v>83</v>
      </c>
      <c r="E1320" t="s">
        <v>80</v>
      </c>
      <c r="F1320" t="s">
        <v>67</v>
      </c>
      <c r="G1320" t="s">
        <v>68</v>
      </c>
      <c r="H1320" t="s">
        <v>88</v>
      </c>
      <c r="I1320" t="s">
        <v>62</v>
      </c>
      <c r="J1320" t="s">
        <v>37</v>
      </c>
      <c r="K1320" s="2">
        <v>45832</v>
      </c>
      <c r="L1320" s="2">
        <v>46197</v>
      </c>
      <c r="M1320" t="s">
        <v>38</v>
      </c>
      <c r="N1320" t="s">
        <v>55</v>
      </c>
      <c r="O1320">
        <v>3</v>
      </c>
      <c r="P1320" t="s">
        <v>50</v>
      </c>
      <c r="Q1320" s="2">
        <v>46398</v>
      </c>
      <c r="R1320" t="s">
        <v>84</v>
      </c>
    </row>
    <row r="1321" spans="1:18" x14ac:dyDescent="0.2">
      <c r="A1321" t="s">
        <v>2700</v>
      </c>
      <c r="B1321" t="s">
        <v>2701</v>
      </c>
      <c r="C1321" t="s">
        <v>42</v>
      </c>
      <c r="D1321" t="s">
        <v>43</v>
      </c>
      <c r="E1321" t="s">
        <v>105</v>
      </c>
      <c r="F1321" t="s">
        <v>67</v>
      </c>
      <c r="G1321" t="s">
        <v>68</v>
      </c>
      <c r="H1321" t="s">
        <v>88</v>
      </c>
      <c r="J1321" t="s">
        <v>48</v>
      </c>
      <c r="K1321" s="2">
        <v>45920</v>
      </c>
      <c r="L1321" s="2">
        <v>46010</v>
      </c>
      <c r="M1321" t="s">
        <v>38</v>
      </c>
      <c r="N1321" t="s">
        <v>49</v>
      </c>
      <c r="O1321">
        <v>2</v>
      </c>
      <c r="P1321" t="s">
        <v>62</v>
      </c>
      <c r="Q1321" s="2">
        <v>46244</v>
      </c>
      <c r="R1321" t="s">
        <v>38</v>
      </c>
    </row>
    <row r="1322" spans="1:18" x14ac:dyDescent="0.2">
      <c r="A1322" t="s">
        <v>2702</v>
      </c>
      <c r="B1322" t="s">
        <v>2703</v>
      </c>
      <c r="C1322" t="s">
        <v>31</v>
      </c>
      <c r="D1322" t="s">
        <v>83</v>
      </c>
      <c r="E1322" t="s">
        <v>91</v>
      </c>
      <c r="F1322" t="s">
        <v>67</v>
      </c>
      <c r="G1322" t="s">
        <v>118</v>
      </c>
      <c r="H1322" t="s">
        <v>88</v>
      </c>
      <c r="I1322" t="s">
        <v>111</v>
      </c>
      <c r="J1322" t="s">
        <v>48</v>
      </c>
      <c r="K1322" s="2">
        <v>46102</v>
      </c>
      <c r="L1322" s="2">
        <v>46467</v>
      </c>
      <c r="M1322" t="s">
        <v>64</v>
      </c>
      <c r="N1322" t="s">
        <v>55</v>
      </c>
      <c r="O1322">
        <v>0</v>
      </c>
      <c r="P1322" t="s">
        <v>111</v>
      </c>
      <c r="Q1322" s="2">
        <v>46172</v>
      </c>
      <c r="R1322" t="s">
        <v>57</v>
      </c>
    </row>
    <row r="1323" spans="1:18" x14ac:dyDescent="0.2">
      <c r="A1323" t="s">
        <v>2704</v>
      </c>
      <c r="B1323" t="s">
        <v>2705</v>
      </c>
      <c r="C1323" t="s">
        <v>31</v>
      </c>
      <c r="D1323" t="s">
        <v>83</v>
      </c>
      <c r="E1323" t="s">
        <v>91</v>
      </c>
      <c r="F1323" t="s">
        <v>67</v>
      </c>
      <c r="G1323" t="s">
        <v>118</v>
      </c>
      <c r="H1323" t="s">
        <v>98</v>
      </c>
      <c r="I1323" t="s">
        <v>70</v>
      </c>
      <c r="J1323" t="s">
        <v>48</v>
      </c>
      <c r="K1323" s="2">
        <v>46045</v>
      </c>
      <c r="L1323" s="2">
        <v>46225</v>
      </c>
      <c r="M1323" t="s">
        <v>38</v>
      </c>
      <c r="N1323" t="s">
        <v>75</v>
      </c>
      <c r="O1323">
        <v>1</v>
      </c>
      <c r="P1323" t="s">
        <v>39</v>
      </c>
      <c r="Q1323" s="2">
        <v>46239</v>
      </c>
      <c r="R1323" t="s">
        <v>38</v>
      </c>
    </row>
    <row r="1324" spans="1:18" x14ac:dyDescent="0.2">
      <c r="A1324" t="s">
        <v>2706</v>
      </c>
      <c r="B1324" t="s">
        <v>2707</v>
      </c>
      <c r="C1324" t="s">
        <v>31</v>
      </c>
      <c r="D1324" t="s">
        <v>87</v>
      </c>
      <c r="E1324" t="s">
        <v>91</v>
      </c>
      <c r="F1324" t="s">
        <v>45</v>
      </c>
      <c r="G1324" t="s">
        <v>61</v>
      </c>
      <c r="H1324" t="s">
        <v>47</v>
      </c>
      <c r="I1324" t="s">
        <v>70</v>
      </c>
      <c r="J1324" t="s">
        <v>48</v>
      </c>
      <c r="K1324" s="2">
        <v>45816</v>
      </c>
      <c r="L1324" s="2">
        <v>45996</v>
      </c>
      <c r="M1324" t="s">
        <v>38</v>
      </c>
      <c r="N1324" t="s">
        <v>75</v>
      </c>
      <c r="O1324">
        <v>0</v>
      </c>
      <c r="P1324" t="s">
        <v>62</v>
      </c>
      <c r="Q1324" s="2">
        <v>46392</v>
      </c>
      <c r="R1324" t="s">
        <v>57</v>
      </c>
    </row>
    <row r="1325" spans="1:18" x14ac:dyDescent="0.2">
      <c r="A1325" t="s">
        <v>2708</v>
      </c>
      <c r="B1325" t="s">
        <v>2709</v>
      </c>
      <c r="C1325" t="s">
        <v>103</v>
      </c>
      <c r="D1325" t="s">
        <v>104</v>
      </c>
      <c r="E1325" t="s">
        <v>53</v>
      </c>
      <c r="F1325" t="s">
        <v>45</v>
      </c>
      <c r="G1325" t="s">
        <v>46</v>
      </c>
      <c r="H1325" t="s">
        <v>88</v>
      </c>
      <c r="I1325" t="s">
        <v>54</v>
      </c>
      <c r="J1325" t="s">
        <v>48</v>
      </c>
      <c r="K1325" s="2">
        <v>46259</v>
      </c>
      <c r="L1325" s="2">
        <v>46439</v>
      </c>
      <c r="M1325" t="s">
        <v>84</v>
      </c>
      <c r="N1325" t="s">
        <v>75</v>
      </c>
      <c r="O1325">
        <v>1</v>
      </c>
      <c r="P1325" t="s">
        <v>56</v>
      </c>
      <c r="Q1325" s="2">
        <v>46251</v>
      </c>
      <c r="R1325" t="s">
        <v>38</v>
      </c>
    </row>
    <row r="1326" spans="1:18" x14ac:dyDescent="0.2">
      <c r="A1326" t="s">
        <v>2710</v>
      </c>
      <c r="B1326" t="s">
        <v>2711</v>
      </c>
      <c r="C1326" t="s">
        <v>42</v>
      </c>
      <c r="D1326" t="s">
        <v>43</v>
      </c>
      <c r="E1326" t="s">
        <v>91</v>
      </c>
      <c r="F1326" t="s">
        <v>45</v>
      </c>
      <c r="G1326" t="s">
        <v>46</v>
      </c>
      <c r="H1326" t="s">
        <v>36</v>
      </c>
      <c r="I1326" t="s">
        <v>70</v>
      </c>
      <c r="J1326" t="s">
        <v>48</v>
      </c>
      <c r="K1326" s="2">
        <v>46012</v>
      </c>
      <c r="L1326" s="2">
        <v>46102</v>
      </c>
      <c r="M1326" t="s">
        <v>38</v>
      </c>
      <c r="N1326" t="s">
        <v>49</v>
      </c>
      <c r="O1326">
        <v>3</v>
      </c>
      <c r="P1326" t="s">
        <v>62</v>
      </c>
      <c r="Q1326" s="2">
        <v>46340</v>
      </c>
      <c r="R1326" t="s">
        <v>84</v>
      </c>
    </row>
    <row r="1327" spans="1:18" x14ac:dyDescent="0.2">
      <c r="A1327" t="s">
        <v>2712</v>
      </c>
      <c r="B1327" t="s">
        <v>2713</v>
      </c>
      <c r="C1327" t="s">
        <v>31</v>
      </c>
      <c r="D1327" t="s">
        <v>32</v>
      </c>
      <c r="E1327" t="s">
        <v>53</v>
      </c>
      <c r="F1327" t="s">
        <v>67</v>
      </c>
      <c r="G1327" t="s">
        <v>68</v>
      </c>
      <c r="H1327" t="s">
        <v>47</v>
      </c>
      <c r="I1327" t="s">
        <v>106</v>
      </c>
      <c r="J1327" t="s">
        <v>63</v>
      </c>
      <c r="K1327" s="2">
        <v>46142</v>
      </c>
      <c r="L1327" s="2">
        <v>46322</v>
      </c>
      <c r="M1327" t="s">
        <v>64</v>
      </c>
      <c r="N1327" t="s">
        <v>49</v>
      </c>
      <c r="O1327">
        <v>1</v>
      </c>
      <c r="P1327" t="s">
        <v>54</v>
      </c>
      <c r="Q1327" s="2">
        <v>46388</v>
      </c>
      <c r="R1327" t="s">
        <v>84</v>
      </c>
    </row>
    <row r="1328" spans="1:18" x14ac:dyDescent="0.2">
      <c r="A1328" t="s">
        <v>2714</v>
      </c>
      <c r="B1328" t="s">
        <v>2715</v>
      </c>
      <c r="C1328" t="s">
        <v>42</v>
      </c>
      <c r="D1328" t="s">
        <v>43</v>
      </c>
      <c r="E1328" t="s">
        <v>105</v>
      </c>
      <c r="F1328" t="s">
        <v>67</v>
      </c>
      <c r="G1328" t="s">
        <v>68</v>
      </c>
      <c r="H1328" t="s">
        <v>88</v>
      </c>
      <c r="I1328" t="s">
        <v>106</v>
      </c>
      <c r="J1328" t="s">
        <v>63</v>
      </c>
      <c r="K1328" s="2">
        <v>46152</v>
      </c>
      <c r="L1328" s="2">
        <v>46517</v>
      </c>
      <c r="M1328" t="s">
        <v>84</v>
      </c>
      <c r="N1328" t="s">
        <v>49</v>
      </c>
      <c r="O1328">
        <v>3</v>
      </c>
      <c r="P1328" t="s">
        <v>62</v>
      </c>
      <c r="Q1328" s="2">
        <v>46372</v>
      </c>
      <c r="R1328" t="s">
        <v>84</v>
      </c>
    </row>
    <row r="1329" spans="1:18" x14ac:dyDescent="0.2">
      <c r="A1329" t="s">
        <v>2716</v>
      </c>
      <c r="B1329" t="s">
        <v>2717</v>
      </c>
      <c r="C1329" t="s">
        <v>73</v>
      </c>
      <c r="D1329" t="s">
        <v>74</v>
      </c>
      <c r="E1329" t="s">
        <v>60</v>
      </c>
      <c r="F1329" t="s">
        <v>34</v>
      </c>
      <c r="G1329" t="s">
        <v>35</v>
      </c>
      <c r="H1329" t="s">
        <v>88</v>
      </c>
      <c r="I1329" t="s">
        <v>50</v>
      </c>
      <c r="J1329" t="s">
        <v>63</v>
      </c>
      <c r="K1329" s="2">
        <v>45822</v>
      </c>
      <c r="L1329" s="2">
        <v>46187</v>
      </c>
      <c r="M1329" t="s">
        <v>38</v>
      </c>
      <c r="N1329" t="s">
        <v>49</v>
      </c>
      <c r="O1329">
        <v>0</v>
      </c>
      <c r="P1329" t="s">
        <v>50</v>
      </c>
      <c r="Q1329" s="2">
        <v>46271</v>
      </c>
      <c r="R1329" t="s">
        <v>57</v>
      </c>
    </row>
    <row r="1330" spans="1:18" x14ac:dyDescent="0.2">
      <c r="A1330" t="s">
        <v>2718</v>
      </c>
      <c r="B1330" t="s">
        <v>2719</v>
      </c>
      <c r="C1330" t="s">
        <v>78</v>
      </c>
      <c r="D1330" t="s">
        <v>79</v>
      </c>
      <c r="E1330" t="s">
        <v>53</v>
      </c>
      <c r="F1330" t="s">
        <v>67</v>
      </c>
      <c r="G1330" t="s">
        <v>170</v>
      </c>
      <c r="H1330" t="s">
        <v>36</v>
      </c>
      <c r="I1330" t="s">
        <v>50</v>
      </c>
      <c r="J1330" t="s">
        <v>37</v>
      </c>
      <c r="K1330" s="2">
        <v>46146</v>
      </c>
      <c r="L1330" s="2">
        <v>46326</v>
      </c>
      <c r="M1330" t="s">
        <v>64</v>
      </c>
      <c r="N1330" t="s">
        <v>55</v>
      </c>
      <c r="O1330">
        <v>5</v>
      </c>
      <c r="P1330" t="s">
        <v>50</v>
      </c>
      <c r="Q1330" s="2">
        <v>46391</v>
      </c>
      <c r="R1330" t="s">
        <v>84</v>
      </c>
    </row>
    <row r="1331" spans="1:18" x14ac:dyDescent="0.2">
      <c r="A1331" t="s">
        <v>2720</v>
      </c>
      <c r="B1331" t="s">
        <v>2721</v>
      </c>
      <c r="C1331" t="s">
        <v>31</v>
      </c>
      <c r="D1331" t="s">
        <v>32</v>
      </c>
      <c r="E1331" t="s">
        <v>44</v>
      </c>
      <c r="F1331" t="s">
        <v>67</v>
      </c>
      <c r="G1331" t="s">
        <v>68</v>
      </c>
      <c r="H1331" t="s">
        <v>36</v>
      </c>
      <c r="I1331" t="s">
        <v>54</v>
      </c>
      <c r="J1331" t="s">
        <v>48</v>
      </c>
      <c r="K1331" s="2">
        <v>45972</v>
      </c>
      <c r="L1331" s="2">
        <v>46152</v>
      </c>
      <c r="M1331" t="s">
        <v>38</v>
      </c>
      <c r="N1331" t="s">
        <v>55</v>
      </c>
      <c r="O1331">
        <v>4</v>
      </c>
      <c r="P1331" t="s">
        <v>111</v>
      </c>
      <c r="Q1331" s="2">
        <v>46235</v>
      </c>
      <c r="R1331" t="s">
        <v>64</v>
      </c>
    </row>
    <row r="1332" spans="1:18" x14ac:dyDescent="0.2">
      <c r="A1332" t="s">
        <v>2722</v>
      </c>
      <c r="B1332" t="s">
        <v>2723</v>
      </c>
      <c r="C1332" t="s">
        <v>31</v>
      </c>
      <c r="D1332" t="s">
        <v>83</v>
      </c>
      <c r="E1332" t="s">
        <v>44</v>
      </c>
      <c r="F1332" t="s">
        <v>45</v>
      </c>
      <c r="G1332" t="s">
        <v>61</v>
      </c>
      <c r="H1332" t="s">
        <v>98</v>
      </c>
      <c r="I1332" t="s">
        <v>54</v>
      </c>
      <c r="J1332" t="s">
        <v>48</v>
      </c>
      <c r="K1332" s="2">
        <v>46187</v>
      </c>
      <c r="L1332" s="2">
        <v>46552</v>
      </c>
      <c r="M1332" t="s">
        <v>84</v>
      </c>
      <c r="N1332" t="s">
        <v>49</v>
      </c>
      <c r="O1332">
        <v>4</v>
      </c>
      <c r="P1332" t="s">
        <v>39</v>
      </c>
      <c r="Q1332" s="2">
        <v>46400</v>
      </c>
      <c r="R1332" t="s">
        <v>84</v>
      </c>
    </row>
    <row r="1333" spans="1:18" x14ac:dyDescent="0.2">
      <c r="A1333" t="s">
        <v>2724</v>
      </c>
      <c r="B1333" t="s">
        <v>2725</v>
      </c>
      <c r="C1333" t="s">
        <v>31</v>
      </c>
      <c r="D1333" t="s">
        <v>87</v>
      </c>
      <c r="E1333" t="s">
        <v>44</v>
      </c>
      <c r="F1333" t="s">
        <v>45</v>
      </c>
      <c r="G1333" t="s">
        <v>46</v>
      </c>
      <c r="H1333" t="s">
        <v>47</v>
      </c>
      <c r="I1333" t="s">
        <v>39</v>
      </c>
      <c r="J1333" t="s">
        <v>63</v>
      </c>
      <c r="K1333" s="2">
        <v>46267</v>
      </c>
      <c r="L1333" s="2">
        <v>46357</v>
      </c>
      <c r="M1333" t="s">
        <v>69</v>
      </c>
      <c r="O1333">
        <v>3</v>
      </c>
      <c r="P1333" t="s">
        <v>111</v>
      </c>
      <c r="Q1333" s="2">
        <v>46337</v>
      </c>
      <c r="R1333" t="s">
        <v>84</v>
      </c>
    </row>
    <row r="1334" spans="1:18" x14ac:dyDescent="0.2">
      <c r="A1334" t="s">
        <v>2726</v>
      </c>
      <c r="B1334" t="s">
        <v>2727</v>
      </c>
      <c r="C1334" t="s">
        <v>42</v>
      </c>
      <c r="D1334" t="s">
        <v>43</v>
      </c>
      <c r="E1334" t="s">
        <v>105</v>
      </c>
      <c r="F1334" t="s">
        <v>34</v>
      </c>
      <c r="G1334" t="s">
        <v>35</v>
      </c>
      <c r="H1334" t="s">
        <v>47</v>
      </c>
      <c r="I1334" t="s">
        <v>70</v>
      </c>
      <c r="J1334" t="s">
        <v>63</v>
      </c>
      <c r="K1334" s="2">
        <v>45857</v>
      </c>
      <c r="L1334" s="2">
        <v>46037</v>
      </c>
      <c r="M1334" t="s">
        <v>38</v>
      </c>
      <c r="N1334" t="s">
        <v>55</v>
      </c>
      <c r="O1334">
        <v>2</v>
      </c>
      <c r="P1334" t="s">
        <v>54</v>
      </c>
      <c r="Q1334" s="2">
        <v>46311</v>
      </c>
      <c r="R1334" t="s">
        <v>84</v>
      </c>
    </row>
    <row r="1335" spans="1:18" x14ac:dyDescent="0.2">
      <c r="A1335" t="s">
        <v>2728</v>
      </c>
      <c r="B1335" t="s">
        <v>2729</v>
      </c>
      <c r="C1335" t="s">
        <v>103</v>
      </c>
      <c r="D1335" t="s">
        <v>104</v>
      </c>
      <c r="E1335" t="s">
        <v>53</v>
      </c>
      <c r="F1335" t="s">
        <v>34</v>
      </c>
      <c r="G1335" t="s">
        <v>35</v>
      </c>
      <c r="H1335" t="s">
        <v>88</v>
      </c>
      <c r="I1335" t="s">
        <v>70</v>
      </c>
      <c r="J1335" t="s">
        <v>37</v>
      </c>
      <c r="K1335" s="2">
        <v>45974</v>
      </c>
      <c r="L1335" s="2">
        <v>46339</v>
      </c>
      <c r="M1335" t="s">
        <v>69</v>
      </c>
      <c r="N1335" t="s">
        <v>75</v>
      </c>
      <c r="O1335">
        <v>3</v>
      </c>
      <c r="P1335" t="s">
        <v>62</v>
      </c>
      <c r="Q1335" s="2">
        <v>46396</v>
      </c>
      <c r="R1335" t="s">
        <v>84</v>
      </c>
    </row>
    <row r="1336" spans="1:18" x14ac:dyDescent="0.2">
      <c r="A1336" t="s">
        <v>2730</v>
      </c>
      <c r="B1336" t="s">
        <v>2731</v>
      </c>
      <c r="C1336" t="s">
        <v>42</v>
      </c>
      <c r="D1336" t="s">
        <v>43</v>
      </c>
      <c r="E1336" t="s">
        <v>91</v>
      </c>
      <c r="F1336" t="s">
        <v>34</v>
      </c>
      <c r="G1336" t="s">
        <v>35</v>
      </c>
      <c r="H1336" t="s">
        <v>36</v>
      </c>
      <c r="I1336" t="s">
        <v>39</v>
      </c>
      <c r="J1336" t="s">
        <v>63</v>
      </c>
      <c r="K1336" s="2">
        <v>46274</v>
      </c>
      <c r="L1336" s="2">
        <v>46364</v>
      </c>
      <c r="M1336" t="s">
        <v>84</v>
      </c>
      <c r="N1336" t="s">
        <v>75</v>
      </c>
      <c r="O1336">
        <v>3</v>
      </c>
      <c r="P1336" t="s">
        <v>62</v>
      </c>
      <c r="Q1336" s="2">
        <v>46208</v>
      </c>
      <c r="R1336" t="s">
        <v>64</v>
      </c>
    </row>
    <row r="1337" spans="1:18" x14ac:dyDescent="0.2">
      <c r="A1337" t="s">
        <v>2732</v>
      </c>
      <c r="B1337" t="s">
        <v>2733</v>
      </c>
      <c r="C1337" t="s">
        <v>31</v>
      </c>
      <c r="D1337" t="s">
        <v>32</v>
      </c>
      <c r="E1337" t="s">
        <v>53</v>
      </c>
      <c r="F1337" t="s">
        <v>67</v>
      </c>
      <c r="G1337" t="s">
        <v>68</v>
      </c>
      <c r="H1337" t="s">
        <v>47</v>
      </c>
      <c r="I1337" t="s">
        <v>39</v>
      </c>
      <c r="J1337" t="s">
        <v>63</v>
      </c>
      <c r="K1337" s="2">
        <v>46052</v>
      </c>
      <c r="L1337" s="2">
        <v>46232</v>
      </c>
      <c r="M1337" t="s">
        <v>38</v>
      </c>
      <c r="N1337" t="s">
        <v>49</v>
      </c>
      <c r="O1337">
        <v>3</v>
      </c>
      <c r="P1337" t="s">
        <v>62</v>
      </c>
      <c r="Q1337" s="2">
        <v>46331</v>
      </c>
      <c r="R1337" t="s">
        <v>64</v>
      </c>
    </row>
    <row r="1338" spans="1:18" x14ac:dyDescent="0.2">
      <c r="A1338" t="s">
        <v>2734</v>
      </c>
      <c r="B1338" t="s">
        <v>2735</v>
      </c>
      <c r="C1338" t="s">
        <v>42</v>
      </c>
      <c r="D1338" t="s">
        <v>43</v>
      </c>
      <c r="E1338" t="s">
        <v>105</v>
      </c>
      <c r="F1338" t="s">
        <v>67</v>
      </c>
      <c r="G1338" t="s">
        <v>118</v>
      </c>
      <c r="H1338" t="s">
        <v>36</v>
      </c>
      <c r="I1338" t="s">
        <v>54</v>
      </c>
      <c r="J1338" t="s">
        <v>63</v>
      </c>
      <c r="K1338" s="2">
        <v>46131</v>
      </c>
      <c r="L1338" s="2">
        <v>46221</v>
      </c>
      <c r="M1338" t="s">
        <v>38</v>
      </c>
      <c r="N1338" t="s">
        <v>75</v>
      </c>
      <c r="O1338">
        <v>4</v>
      </c>
      <c r="P1338" t="s">
        <v>111</v>
      </c>
      <c r="Q1338" s="2">
        <v>46280</v>
      </c>
      <c r="R1338" t="s">
        <v>64</v>
      </c>
    </row>
    <row r="1339" spans="1:18" x14ac:dyDescent="0.2">
      <c r="A1339" t="s">
        <v>2736</v>
      </c>
      <c r="B1339" t="s">
        <v>2737</v>
      </c>
      <c r="C1339" t="s">
        <v>78</v>
      </c>
      <c r="D1339" t="s">
        <v>79</v>
      </c>
      <c r="E1339" t="s">
        <v>53</v>
      </c>
      <c r="F1339" t="s">
        <v>45</v>
      </c>
      <c r="G1339" t="s">
        <v>46</v>
      </c>
      <c r="H1339" t="s">
        <v>36</v>
      </c>
      <c r="I1339" t="s">
        <v>54</v>
      </c>
      <c r="J1339" t="s">
        <v>63</v>
      </c>
      <c r="K1339" s="2">
        <v>46055</v>
      </c>
      <c r="L1339" s="2">
        <v>46235</v>
      </c>
      <c r="M1339" t="s">
        <v>38</v>
      </c>
      <c r="N1339" t="s">
        <v>49</v>
      </c>
      <c r="O1339">
        <v>1</v>
      </c>
      <c r="P1339" t="s">
        <v>62</v>
      </c>
      <c r="Q1339" s="2">
        <v>46265</v>
      </c>
      <c r="R1339" t="s">
        <v>38</v>
      </c>
    </row>
    <row r="1340" spans="1:18" x14ac:dyDescent="0.2">
      <c r="A1340" t="s">
        <v>2738</v>
      </c>
      <c r="B1340" t="s">
        <v>2739</v>
      </c>
      <c r="C1340" t="s">
        <v>31</v>
      </c>
      <c r="D1340" t="s">
        <v>32</v>
      </c>
      <c r="E1340" t="s">
        <v>60</v>
      </c>
      <c r="F1340" t="s">
        <v>45</v>
      </c>
      <c r="G1340" t="s">
        <v>61</v>
      </c>
      <c r="H1340" t="s">
        <v>88</v>
      </c>
      <c r="I1340" t="s">
        <v>39</v>
      </c>
      <c r="J1340" t="s">
        <v>63</v>
      </c>
      <c r="K1340" s="2">
        <v>46005</v>
      </c>
      <c r="L1340" s="2">
        <v>46095</v>
      </c>
      <c r="M1340" t="s">
        <v>38</v>
      </c>
      <c r="N1340" t="s">
        <v>49</v>
      </c>
      <c r="O1340">
        <v>3</v>
      </c>
      <c r="P1340" t="s">
        <v>111</v>
      </c>
      <c r="Q1340" s="2">
        <v>46400</v>
      </c>
      <c r="R1340" t="s">
        <v>84</v>
      </c>
    </row>
    <row r="1341" spans="1:18" x14ac:dyDescent="0.2">
      <c r="A1341" t="s">
        <v>2740</v>
      </c>
      <c r="B1341" t="s">
        <v>2741</v>
      </c>
      <c r="C1341" t="s">
        <v>103</v>
      </c>
      <c r="D1341" t="s">
        <v>104</v>
      </c>
      <c r="E1341" t="s">
        <v>53</v>
      </c>
      <c r="F1341" t="s">
        <v>34</v>
      </c>
      <c r="G1341" t="s">
        <v>35</v>
      </c>
      <c r="H1341" t="s">
        <v>47</v>
      </c>
      <c r="I1341" t="s">
        <v>62</v>
      </c>
      <c r="J1341" t="s">
        <v>48</v>
      </c>
      <c r="K1341" s="2">
        <v>46183</v>
      </c>
      <c r="L1341" s="2">
        <v>46363</v>
      </c>
      <c r="M1341" t="s">
        <v>64</v>
      </c>
      <c r="N1341" t="s">
        <v>55</v>
      </c>
      <c r="O1341">
        <v>3</v>
      </c>
      <c r="P1341" t="s">
        <v>70</v>
      </c>
      <c r="Q1341" s="2">
        <v>46308</v>
      </c>
      <c r="R1341" t="s">
        <v>64</v>
      </c>
    </row>
    <row r="1342" spans="1:18" x14ac:dyDescent="0.2">
      <c r="A1342" t="s">
        <v>2742</v>
      </c>
      <c r="B1342" t="s">
        <v>2743</v>
      </c>
      <c r="C1342" t="s">
        <v>31</v>
      </c>
      <c r="D1342" t="s">
        <v>32</v>
      </c>
      <c r="E1342" t="s">
        <v>91</v>
      </c>
      <c r="F1342" t="s">
        <v>45</v>
      </c>
      <c r="G1342" t="s">
        <v>61</v>
      </c>
      <c r="H1342" t="s">
        <v>36</v>
      </c>
      <c r="I1342" t="s">
        <v>106</v>
      </c>
      <c r="J1342" t="s">
        <v>48</v>
      </c>
      <c r="K1342" s="2">
        <v>46043</v>
      </c>
      <c r="L1342" s="2">
        <v>46408</v>
      </c>
      <c r="M1342" t="s">
        <v>64</v>
      </c>
      <c r="N1342" t="s">
        <v>49</v>
      </c>
      <c r="O1342">
        <v>1</v>
      </c>
      <c r="P1342" t="s">
        <v>106</v>
      </c>
      <c r="Q1342" s="2">
        <v>46309</v>
      </c>
      <c r="R1342" t="s">
        <v>64</v>
      </c>
    </row>
    <row r="1343" spans="1:18" x14ac:dyDescent="0.2">
      <c r="A1343" t="s">
        <v>2744</v>
      </c>
      <c r="B1343" t="s">
        <v>2745</v>
      </c>
      <c r="C1343" t="s">
        <v>96</v>
      </c>
      <c r="D1343" t="s">
        <v>97</v>
      </c>
      <c r="E1343" t="s">
        <v>80</v>
      </c>
      <c r="F1343" t="s">
        <v>45</v>
      </c>
      <c r="G1343" t="s">
        <v>46</v>
      </c>
      <c r="H1343" t="s">
        <v>88</v>
      </c>
      <c r="I1343" t="s">
        <v>106</v>
      </c>
      <c r="J1343" t="s">
        <v>37</v>
      </c>
      <c r="K1343" s="2">
        <v>46215</v>
      </c>
      <c r="L1343" s="2">
        <v>46395</v>
      </c>
      <c r="M1343" t="s">
        <v>64</v>
      </c>
      <c r="N1343" t="s">
        <v>75</v>
      </c>
      <c r="O1343">
        <v>0</v>
      </c>
      <c r="P1343" t="s">
        <v>50</v>
      </c>
      <c r="Q1343" s="2">
        <v>46185</v>
      </c>
      <c r="R1343" t="s">
        <v>57</v>
      </c>
    </row>
    <row r="1344" spans="1:18" x14ac:dyDescent="0.2">
      <c r="A1344" t="s">
        <v>2746</v>
      </c>
      <c r="B1344" t="s">
        <v>2747</v>
      </c>
      <c r="C1344" t="s">
        <v>31</v>
      </c>
      <c r="D1344" t="s">
        <v>83</v>
      </c>
      <c r="E1344" t="s">
        <v>60</v>
      </c>
      <c r="F1344" t="s">
        <v>45</v>
      </c>
      <c r="G1344" t="s">
        <v>46</v>
      </c>
      <c r="H1344" t="s">
        <v>88</v>
      </c>
      <c r="I1344" t="s">
        <v>50</v>
      </c>
      <c r="J1344" t="s">
        <v>48</v>
      </c>
      <c r="K1344" s="2">
        <v>46132</v>
      </c>
      <c r="L1344" s="2">
        <v>46222</v>
      </c>
      <c r="M1344" t="s">
        <v>38</v>
      </c>
      <c r="N1344" t="s">
        <v>49</v>
      </c>
      <c r="O1344">
        <v>3</v>
      </c>
      <c r="P1344" t="s">
        <v>111</v>
      </c>
      <c r="Q1344" s="2">
        <v>46185</v>
      </c>
      <c r="R1344" t="s">
        <v>38</v>
      </c>
    </row>
    <row r="1345" spans="1:18" x14ac:dyDescent="0.2">
      <c r="A1345" t="s">
        <v>2748</v>
      </c>
      <c r="B1345" t="s">
        <v>2749</v>
      </c>
      <c r="C1345" t="s">
        <v>73</v>
      </c>
      <c r="D1345" t="s">
        <v>74</v>
      </c>
      <c r="E1345" t="s">
        <v>80</v>
      </c>
      <c r="F1345" t="s">
        <v>67</v>
      </c>
      <c r="G1345" t="s">
        <v>68</v>
      </c>
      <c r="H1345" t="s">
        <v>47</v>
      </c>
      <c r="I1345" t="s">
        <v>56</v>
      </c>
      <c r="J1345" t="s">
        <v>37</v>
      </c>
      <c r="K1345" s="2">
        <v>45906</v>
      </c>
      <c r="L1345" s="2">
        <v>46271</v>
      </c>
      <c r="M1345" t="s">
        <v>38</v>
      </c>
      <c r="N1345" t="s">
        <v>75</v>
      </c>
      <c r="O1345">
        <v>2</v>
      </c>
      <c r="P1345" t="s">
        <v>106</v>
      </c>
      <c r="Q1345" s="2">
        <v>46182</v>
      </c>
      <c r="R1345" t="s">
        <v>64</v>
      </c>
    </row>
    <row r="1346" spans="1:18" x14ac:dyDescent="0.2">
      <c r="A1346" t="s">
        <v>2750</v>
      </c>
      <c r="B1346" t="s">
        <v>2751</v>
      </c>
      <c r="C1346" t="s">
        <v>31</v>
      </c>
      <c r="D1346" t="s">
        <v>87</v>
      </c>
      <c r="E1346" t="s">
        <v>53</v>
      </c>
      <c r="F1346" t="s">
        <v>67</v>
      </c>
      <c r="G1346" t="s">
        <v>68</v>
      </c>
      <c r="H1346" t="s">
        <v>88</v>
      </c>
      <c r="I1346" t="s">
        <v>50</v>
      </c>
      <c r="J1346" t="s">
        <v>48</v>
      </c>
      <c r="K1346" s="2">
        <v>46274</v>
      </c>
      <c r="L1346" s="2">
        <v>46639</v>
      </c>
      <c r="M1346" t="s">
        <v>64</v>
      </c>
      <c r="N1346" t="s">
        <v>75</v>
      </c>
      <c r="O1346">
        <v>3</v>
      </c>
      <c r="P1346" t="s">
        <v>70</v>
      </c>
      <c r="Q1346" s="2">
        <v>46115</v>
      </c>
      <c r="R1346" t="s">
        <v>38</v>
      </c>
    </row>
    <row r="1347" spans="1:18" x14ac:dyDescent="0.2">
      <c r="A1347" t="s">
        <v>2752</v>
      </c>
      <c r="B1347" t="s">
        <v>2753</v>
      </c>
      <c r="C1347" t="s">
        <v>31</v>
      </c>
      <c r="D1347" t="s">
        <v>83</v>
      </c>
      <c r="E1347" t="s">
        <v>44</v>
      </c>
      <c r="F1347" t="s">
        <v>34</v>
      </c>
      <c r="G1347" t="s">
        <v>35</v>
      </c>
      <c r="H1347" t="s">
        <v>98</v>
      </c>
      <c r="I1347" t="s">
        <v>106</v>
      </c>
      <c r="J1347" t="s">
        <v>37</v>
      </c>
      <c r="K1347" s="2">
        <v>46066</v>
      </c>
      <c r="L1347" s="2">
        <v>46246</v>
      </c>
      <c r="M1347" t="s">
        <v>38</v>
      </c>
      <c r="N1347" t="s">
        <v>55</v>
      </c>
      <c r="O1347">
        <v>3</v>
      </c>
      <c r="P1347" t="s">
        <v>50</v>
      </c>
      <c r="Q1347" s="2">
        <v>46202</v>
      </c>
      <c r="R1347" t="s">
        <v>64</v>
      </c>
    </row>
    <row r="1348" spans="1:18" x14ac:dyDescent="0.2">
      <c r="A1348" t="s">
        <v>2754</v>
      </c>
      <c r="B1348" t="s">
        <v>2755</v>
      </c>
      <c r="C1348" t="s">
        <v>96</v>
      </c>
      <c r="D1348" t="s">
        <v>97</v>
      </c>
      <c r="E1348" t="s">
        <v>60</v>
      </c>
      <c r="F1348" t="s">
        <v>34</v>
      </c>
      <c r="G1348" t="s">
        <v>35</v>
      </c>
      <c r="H1348" t="s">
        <v>88</v>
      </c>
      <c r="I1348" t="s">
        <v>56</v>
      </c>
      <c r="J1348" t="s">
        <v>48</v>
      </c>
      <c r="K1348" s="2">
        <v>46273</v>
      </c>
      <c r="L1348" s="2">
        <v>46363</v>
      </c>
      <c r="M1348" t="s">
        <v>64</v>
      </c>
      <c r="N1348" t="s">
        <v>49</v>
      </c>
      <c r="O1348">
        <v>1</v>
      </c>
      <c r="P1348" t="s">
        <v>50</v>
      </c>
      <c r="Q1348" s="2">
        <v>46197</v>
      </c>
      <c r="R1348" t="s">
        <v>38</v>
      </c>
    </row>
    <row r="1349" spans="1:18" x14ac:dyDescent="0.2">
      <c r="A1349" t="s">
        <v>2756</v>
      </c>
      <c r="B1349" t="s">
        <v>2757</v>
      </c>
      <c r="C1349" t="s">
        <v>73</v>
      </c>
      <c r="D1349" t="s">
        <v>74</v>
      </c>
      <c r="E1349" t="s">
        <v>80</v>
      </c>
      <c r="F1349" t="s">
        <v>67</v>
      </c>
      <c r="G1349" t="s">
        <v>68</v>
      </c>
      <c r="H1349" t="s">
        <v>98</v>
      </c>
      <c r="I1349" t="s">
        <v>106</v>
      </c>
      <c r="J1349" t="s">
        <v>63</v>
      </c>
      <c r="K1349" s="2">
        <v>46272</v>
      </c>
      <c r="L1349" s="2">
        <v>46452</v>
      </c>
      <c r="M1349" t="s">
        <v>64</v>
      </c>
      <c r="N1349" t="s">
        <v>75</v>
      </c>
      <c r="O1349">
        <v>4</v>
      </c>
      <c r="P1349" t="s">
        <v>50</v>
      </c>
      <c r="Q1349" s="2">
        <v>46145</v>
      </c>
      <c r="R1349" t="s">
        <v>64</v>
      </c>
    </row>
    <row r="1350" spans="1:18" x14ac:dyDescent="0.2">
      <c r="A1350" t="s">
        <v>2758</v>
      </c>
      <c r="B1350" t="s">
        <v>2759</v>
      </c>
      <c r="C1350" t="s">
        <v>103</v>
      </c>
      <c r="D1350" t="s">
        <v>104</v>
      </c>
      <c r="E1350" t="s">
        <v>91</v>
      </c>
      <c r="F1350" t="s">
        <v>67</v>
      </c>
      <c r="G1350" t="s">
        <v>68</v>
      </c>
      <c r="H1350" t="s">
        <v>47</v>
      </c>
      <c r="I1350" t="s">
        <v>50</v>
      </c>
      <c r="J1350" t="s">
        <v>37</v>
      </c>
      <c r="K1350" s="2">
        <v>46057</v>
      </c>
      <c r="L1350" s="2">
        <v>46147</v>
      </c>
      <c r="M1350" t="s">
        <v>38</v>
      </c>
      <c r="N1350" t="s">
        <v>49</v>
      </c>
      <c r="O1350">
        <v>0</v>
      </c>
      <c r="P1350" t="s">
        <v>39</v>
      </c>
      <c r="Q1350" s="2">
        <v>46300</v>
      </c>
      <c r="R1350" t="s">
        <v>57</v>
      </c>
    </row>
    <row r="1351" spans="1:18" x14ac:dyDescent="0.2">
      <c r="A1351" t="s">
        <v>2760</v>
      </c>
      <c r="B1351" t="s">
        <v>2761</v>
      </c>
      <c r="C1351" t="s">
        <v>31</v>
      </c>
      <c r="D1351" t="s">
        <v>32</v>
      </c>
      <c r="E1351" t="s">
        <v>44</v>
      </c>
      <c r="F1351" t="s">
        <v>34</v>
      </c>
      <c r="G1351" t="s">
        <v>35</v>
      </c>
      <c r="H1351" t="s">
        <v>47</v>
      </c>
      <c r="I1351" t="s">
        <v>111</v>
      </c>
      <c r="J1351" t="s">
        <v>63</v>
      </c>
      <c r="K1351" s="2">
        <v>46239</v>
      </c>
      <c r="L1351" s="2">
        <v>46419</v>
      </c>
      <c r="M1351" t="s">
        <v>84</v>
      </c>
      <c r="N1351" t="s">
        <v>55</v>
      </c>
      <c r="O1351">
        <v>3</v>
      </c>
      <c r="P1351" t="s">
        <v>56</v>
      </c>
      <c r="Q1351" s="2">
        <v>46246</v>
      </c>
      <c r="R1351" t="s">
        <v>38</v>
      </c>
    </row>
    <row r="1352" spans="1:18" x14ac:dyDescent="0.2">
      <c r="A1352" t="s">
        <v>2762</v>
      </c>
      <c r="B1352" t="s">
        <v>2763</v>
      </c>
      <c r="C1352" t="s">
        <v>103</v>
      </c>
      <c r="D1352" t="s">
        <v>104</v>
      </c>
      <c r="E1352" t="s">
        <v>91</v>
      </c>
      <c r="F1352" t="s">
        <v>34</v>
      </c>
      <c r="G1352" t="s">
        <v>35</v>
      </c>
      <c r="H1352" t="s">
        <v>47</v>
      </c>
      <c r="I1352" t="s">
        <v>50</v>
      </c>
      <c r="J1352" t="s">
        <v>37</v>
      </c>
      <c r="K1352" s="2">
        <v>45867</v>
      </c>
      <c r="L1352" s="2">
        <v>46232</v>
      </c>
      <c r="M1352" t="s">
        <v>38</v>
      </c>
      <c r="N1352" t="s">
        <v>49</v>
      </c>
      <c r="O1352">
        <v>3</v>
      </c>
      <c r="P1352" t="s">
        <v>106</v>
      </c>
      <c r="Q1352" s="2">
        <v>46326</v>
      </c>
      <c r="R1352" t="s">
        <v>84</v>
      </c>
    </row>
    <row r="1353" spans="1:18" x14ac:dyDescent="0.2">
      <c r="A1353" t="s">
        <v>2764</v>
      </c>
      <c r="B1353" t="s">
        <v>2765</v>
      </c>
      <c r="C1353" t="s">
        <v>96</v>
      </c>
      <c r="D1353" t="s">
        <v>97</v>
      </c>
      <c r="E1353" t="s">
        <v>53</v>
      </c>
      <c r="F1353" t="s">
        <v>45</v>
      </c>
      <c r="G1353" t="s">
        <v>61</v>
      </c>
      <c r="H1353" t="s">
        <v>98</v>
      </c>
      <c r="I1353" t="s">
        <v>70</v>
      </c>
      <c r="J1353" t="s">
        <v>37</v>
      </c>
      <c r="K1353" s="2">
        <v>46064</v>
      </c>
      <c r="L1353" s="2">
        <v>46429</v>
      </c>
      <c r="M1353" t="s">
        <v>64</v>
      </c>
      <c r="N1353" t="s">
        <v>49</v>
      </c>
      <c r="O1353">
        <v>5</v>
      </c>
      <c r="P1353" t="s">
        <v>70</v>
      </c>
      <c r="Q1353" s="2">
        <v>46378</v>
      </c>
      <c r="R1353" t="s">
        <v>84</v>
      </c>
    </row>
    <row r="1354" spans="1:18" x14ac:dyDescent="0.2">
      <c r="A1354" t="s">
        <v>2766</v>
      </c>
      <c r="B1354" t="s">
        <v>2767</v>
      </c>
      <c r="C1354" t="s">
        <v>42</v>
      </c>
      <c r="D1354" t="s">
        <v>43</v>
      </c>
      <c r="E1354" t="s">
        <v>105</v>
      </c>
      <c r="F1354" t="s">
        <v>45</v>
      </c>
      <c r="G1354" t="s">
        <v>46</v>
      </c>
      <c r="H1354" t="s">
        <v>47</v>
      </c>
      <c r="I1354" t="s">
        <v>39</v>
      </c>
      <c r="J1354" t="s">
        <v>63</v>
      </c>
      <c r="K1354" s="2">
        <v>46197</v>
      </c>
      <c r="L1354" s="2">
        <v>46377</v>
      </c>
      <c r="M1354" t="s">
        <v>69</v>
      </c>
      <c r="N1354" t="s">
        <v>55</v>
      </c>
      <c r="O1354">
        <v>1</v>
      </c>
      <c r="P1354" t="s">
        <v>106</v>
      </c>
      <c r="Q1354" s="2">
        <v>46150</v>
      </c>
      <c r="R1354" t="s">
        <v>38</v>
      </c>
    </row>
    <row r="1355" spans="1:18" x14ac:dyDescent="0.2">
      <c r="A1355" t="s">
        <v>2768</v>
      </c>
      <c r="B1355" t="s">
        <v>2769</v>
      </c>
      <c r="C1355" t="s">
        <v>42</v>
      </c>
      <c r="D1355" t="s">
        <v>43</v>
      </c>
      <c r="E1355" t="s">
        <v>60</v>
      </c>
      <c r="F1355" t="s">
        <v>67</v>
      </c>
      <c r="G1355" t="s">
        <v>118</v>
      </c>
      <c r="H1355" t="s">
        <v>36</v>
      </c>
      <c r="I1355" t="s">
        <v>54</v>
      </c>
      <c r="J1355" t="s">
        <v>37</v>
      </c>
      <c r="K1355" s="2">
        <v>46103</v>
      </c>
      <c r="L1355" s="2">
        <v>46193</v>
      </c>
      <c r="M1355" t="s">
        <v>38</v>
      </c>
      <c r="N1355" t="s">
        <v>75</v>
      </c>
      <c r="O1355">
        <v>4</v>
      </c>
      <c r="P1355" t="s">
        <v>39</v>
      </c>
      <c r="Q1355" s="2">
        <v>46145</v>
      </c>
      <c r="R1355" t="s">
        <v>38</v>
      </c>
    </row>
    <row r="1356" spans="1:18" x14ac:dyDescent="0.2">
      <c r="A1356" t="s">
        <v>2770</v>
      </c>
      <c r="B1356" t="s">
        <v>2771</v>
      </c>
      <c r="C1356" t="s">
        <v>31</v>
      </c>
      <c r="D1356" t="s">
        <v>83</v>
      </c>
      <c r="E1356" t="s">
        <v>80</v>
      </c>
      <c r="F1356" t="s">
        <v>34</v>
      </c>
      <c r="G1356" t="s">
        <v>35</v>
      </c>
      <c r="H1356" t="s">
        <v>47</v>
      </c>
      <c r="I1356" t="s">
        <v>54</v>
      </c>
      <c r="J1356" t="s">
        <v>48</v>
      </c>
      <c r="K1356" s="2">
        <v>45908</v>
      </c>
      <c r="L1356" s="2">
        <v>46088</v>
      </c>
      <c r="M1356" t="s">
        <v>38</v>
      </c>
      <c r="N1356" t="s">
        <v>75</v>
      </c>
      <c r="O1356">
        <v>1</v>
      </c>
      <c r="P1356" t="s">
        <v>62</v>
      </c>
      <c r="Q1356" s="2">
        <v>46395</v>
      </c>
      <c r="R1356" t="s">
        <v>64</v>
      </c>
    </row>
    <row r="1357" spans="1:18" x14ac:dyDescent="0.2">
      <c r="A1357" t="s">
        <v>2772</v>
      </c>
      <c r="B1357" t="s">
        <v>2773</v>
      </c>
      <c r="C1357" t="s">
        <v>31</v>
      </c>
      <c r="D1357" t="s">
        <v>87</v>
      </c>
      <c r="E1357" t="s">
        <v>80</v>
      </c>
      <c r="F1357" t="s">
        <v>34</v>
      </c>
      <c r="G1357" t="s">
        <v>35</v>
      </c>
      <c r="H1357" t="s">
        <v>36</v>
      </c>
      <c r="I1357" t="s">
        <v>39</v>
      </c>
      <c r="J1357" t="s">
        <v>37</v>
      </c>
      <c r="K1357" s="2">
        <v>46106</v>
      </c>
      <c r="L1357" s="2">
        <v>46286</v>
      </c>
      <c r="M1357" t="s">
        <v>38</v>
      </c>
      <c r="N1357" t="s">
        <v>55</v>
      </c>
      <c r="O1357">
        <v>3</v>
      </c>
      <c r="P1357" t="s">
        <v>111</v>
      </c>
      <c r="Q1357" s="2">
        <v>46342</v>
      </c>
      <c r="R1357" t="s">
        <v>84</v>
      </c>
    </row>
    <row r="1358" spans="1:18" x14ac:dyDescent="0.2">
      <c r="A1358" t="s">
        <v>2774</v>
      </c>
      <c r="B1358" t="s">
        <v>2775</v>
      </c>
      <c r="C1358" t="s">
        <v>73</v>
      </c>
      <c r="D1358" t="s">
        <v>74</v>
      </c>
      <c r="E1358" t="s">
        <v>53</v>
      </c>
      <c r="F1358" t="s">
        <v>34</v>
      </c>
      <c r="G1358" t="s">
        <v>35</v>
      </c>
      <c r="H1358" t="s">
        <v>47</v>
      </c>
      <c r="I1358" t="s">
        <v>62</v>
      </c>
      <c r="J1358" t="s">
        <v>37</v>
      </c>
      <c r="K1358" s="2">
        <v>46194</v>
      </c>
      <c r="L1358" s="2">
        <v>46284</v>
      </c>
      <c r="M1358" t="s">
        <v>38</v>
      </c>
      <c r="N1358" t="s">
        <v>49</v>
      </c>
      <c r="O1358">
        <v>1</v>
      </c>
      <c r="P1358" t="s">
        <v>70</v>
      </c>
      <c r="Q1358" s="2">
        <v>46119</v>
      </c>
      <c r="R1358" t="s">
        <v>38</v>
      </c>
    </row>
    <row r="1359" spans="1:18" x14ac:dyDescent="0.2">
      <c r="A1359" t="s">
        <v>2776</v>
      </c>
      <c r="B1359" t="s">
        <v>2777</v>
      </c>
      <c r="C1359" t="s">
        <v>31</v>
      </c>
      <c r="D1359" t="s">
        <v>32</v>
      </c>
      <c r="E1359" t="s">
        <v>91</v>
      </c>
      <c r="F1359" t="s">
        <v>45</v>
      </c>
      <c r="G1359" t="s">
        <v>61</v>
      </c>
      <c r="H1359" t="s">
        <v>88</v>
      </c>
      <c r="I1359" t="s">
        <v>39</v>
      </c>
      <c r="J1359" t="s">
        <v>63</v>
      </c>
      <c r="K1359" s="2">
        <v>45934</v>
      </c>
      <c r="L1359" s="2">
        <v>46299</v>
      </c>
      <c r="M1359" t="s">
        <v>64</v>
      </c>
      <c r="N1359" t="s">
        <v>55</v>
      </c>
      <c r="O1359">
        <v>0</v>
      </c>
      <c r="P1359" t="s">
        <v>62</v>
      </c>
      <c r="Q1359" s="2">
        <v>46157</v>
      </c>
      <c r="R1359" t="s">
        <v>57</v>
      </c>
    </row>
    <row r="1360" spans="1:18" x14ac:dyDescent="0.2">
      <c r="A1360" t="s">
        <v>2778</v>
      </c>
      <c r="B1360" t="s">
        <v>2779</v>
      </c>
      <c r="C1360" t="s">
        <v>31</v>
      </c>
      <c r="D1360" t="s">
        <v>83</v>
      </c>
      <c r="E1360" t="s">
        <v>44</v>
      </c>
      <c r="F1360" t="s">
        <v>45</v>
      </c>
      <c r="G1360" t="s">
        <v>46</v>
      </c>
      <c r="H1360" t="s">
        <v>88</v>
      </c>
      <c r="I1360" t="s">
        <v>56</v>
      </c>
      <c r="J1360" t="s">
        <v>63</v>
      </c>
      <c r="K1360" s="2">
        <v>45915</v>
      </c>
      <c r="L1360" s="2">
        <v>46095</v>
      </c>
      <c r="M1360" t="s">
        <v>38</v>
      </c>
      <c r="N1360" t="s">
        <v>49</v>
      </c>
      <c r="O1360">
        <v>3</v>
      </c>
      <c r="P1360" t="s">
        <v>39</v>
      </c>
      <c r="Q1360" s="2">
        <v>46142</v>
      </c>
      <c r="R1360" t="s">
        <v>38</v>
      </c>
    </row>
    <row r="1361" spans="1:18" x14ac:dyDescent="0.2">
      <c r="A1361" t="s">
        <v>2780</v>
      </c>
      <c r="B1361" t="s">
        <v>2781</v>
      </c>
      <c r="C1361" t="s">
        <v>31</v>
      </c>
      <c r="D1361" t="s">
        <v>83</v>
      </c>
      <c r="E1361" t="s">
        <v>44</v>
      </c>
      <c r="F1361" t="s">
        <v>67</v>
      </c>
      <c r="G1361" t="s">
        <v>118</v>
      </c>
      <c r="H1361" t="s">
        <v>88</v>
      </c>
      <c r="I1361" t="s">
        <v>56</v>
      </c>
      <c r="J1361" t="s">
        <v>37</v>
      </c>
      <c r="K1361" s="2">
        <v>45918</v>
      </c>
      <c r="L1361" s="2">
        <v>46008</v>
      </c>
      <c r="M1361" t="s">
        <v>38</v>
      </c>
      <c r="N1361" t="s">
        <v>49</v>
      </c>
      <c r="O1361">
        <v>1</v>
      </c>
      <c r="P1361" t="s">
        <v>106</v>
      </c>
      <c r="Q1361" s="2">
        <v>46115</v>
      </c>
      <c r="R1361" t="s">
        <v>38</v>
      </c>
    </row>
    <row r="1362" spans="1:18" x14ac:dyDescent="0.2">
      <c r="A1362" t="s">
        <v>2782</v>
      </c>
      <c r="B1362" t="s">
        <v>2783</v>
      </c>
      <c r="C1362" t="s">
        <v>31</v>
      </c>
      <c r="D1362" t="s">
        <v>32</v>
      </c>
      <c r="E1362" t="s">
        <v>105</v>
      </c>
      <c r="F1362" t="s">
        <v>34</v>
      </c>
      <c r="G1362" t="s">
        <v>35</v>
      </c>
      <c r="H1362" t="s">
        <v>47</v>
      </c>
      <c r="I1362" t="s">
        <v>62</v>
      </c>
      <c r="J1362" t="s">
        <v>48</v>
      </c>
      <c r="K1362" s="2">
        <v>45887</v>
      </c>
      <c r="L1362" s="2">
        <v>46252</v>
      </c>
      <c r="M1362" t="s">
        <v>38</v>
      </c>
      <c r="N1362" t="s">
        <v>55</v>
      </c>
      <c r="O1362">
        <v>0</v>
      </c>
      <c r="P1362" t="s">
        <v>50</v>
      </c>
      <c r="Q1362" s="2">
        <v>46278</v>
      </c>
      <c r="R1362" t="s">
        <v>57</v>
      </c>
    </row>
    <row r="1363" spans="1:18" x14ac:dyDescent="0.2">
      <c r="A1363" t="s">
        <v>2784</v>
      </c>
      <c r="B1363" t="s">
        <v>2785</v>
      </c>
      <c r="C1363" t="s">
        <v>103</v>
      </c>
      <c r="D1363" t="s">
        <v>104</v>
      </c>
      <c r="E1363" t="s">
        <v>80</v>
      </c>
      <c r="F1363" t="s">
        <v>67</v>
      </c>
      <c r="G1363" t="s">
        <v>118</v>
      </c>
      <c r="H1363" t="s">
        <v>88</v>
      </c>
      <c r="I1363" t="s">
        <v>106</v>
      </c>
      <c r="J1363" t="s">
        <v>48</v>
      </c>
      <c r="K1363" s="2">
        <v>46259</v>
      </c>
      <c r="L1363" s="2">
        <v>46439</v>
      </c>
      <c r="M1363" t="s">
        <v>64</v>
      </c>
      <c r="N1363" t="s">
        <v>75</v>
      </c>
      <c r="O1363">
        <v>0</v>
      </c>
      <c r="P1363" t="s">
        <v>111</v>
      </c>
      <c r="Q1363" s="2">
        <v>46341</v>
      </c>
      <c r="R1363" t="s">
        <v>57</v>
      </c>
    </row>
    <row r="1364" spans="1:18" x14ac:dyDescent="0.2">
      <c r="A1364" t="s">
        <v>2786</v>
      </c>
      <c r="B1364" t="s">
        <v>2787</v>
      </c>
      <c r="C1364" t="s">
        <v>78</v>
      </c>
      <c r="D1364" t="s">
        <v>79</v>
      </c>
      <c r="E1364" t="s">
        <v>53</v>
      </c>
      <c r="F1364" t="s">
        <v>34</v>
      </c>
      <c r="G1364" t="s">
        <v>35</v>
      </c>
      <c r="H1364" t="s">
        <v>36</v>
      </c>
      <c r="I1364" t="s">
        <v>106</v>
      </c>
      <c r="J1364" t="s">
        <v>63</v>
      </c>
      <c r="K1364" s="2">
        <v>45946</v>
      </c>
      <c r="L1364" s="2">
        <v>46036</v>
      </c>
      <c r="M1364" t="s">
        <v>38</v>
      </c>
      <c r="N1364" t="s">
        <v>55</v>
      </c>
      <c r="O1364">
        <v>5</v>
      </c>
      <c r="P1364" t="s">
        <v>54</v>
      </c>
      <c r="Q1364" s="2">
        <v>46148</v>
      </c>
      <c r="R1364" t="s">
        <v>64</v>
      </c>
    </row>
    <row r="1365" spans="1:18" x14ac:dyDescent="0.2">
      <c r="A1365" t="s">
        <v>2788</v>
      </c>
      <c r="B1365" t="s">
        <v>2789</v>
      </c>
      <c r="C1365" t="s">
        <v>42</v>
      </c>
      <c r="D1365" t="s">
        <v>43</v>
      </c>
      <c r="E1365" t="s">
        <v>44</v>
      </c>
      <c r="F1365" t="s">
        <v>67</v>
      </c>
      <c r="G1365" t="s">
        <v>68</v>
      </c>
      <c r="H1365" t="s">
        <v>88</v>
      </c>
      <c r="I1365" t="s">
        <v>70</v>
      </c>
      <c r="J1365" t="s">
        <v>48</v>
      </c>
      <c r="K1365" s="2">
        <v>46274</v>
      </c>
      <c r="L1365" s="2">
        <v>46454</v>
      </c>
      <c r="M1365" t="s">
        <v>64</v>
      </c>
      <c r="N1365" t="s">
        <v>55</v>
      </c>
      <c r="O1365">
        <v>1</v>
      </c>
      <c r="P1365" t="s">
        <v>56</v>
      </c>
      <c r="Q1365" s="2">
        <v>46334</v>
      </c>
      <c r="R1365" t="s">
        <v>64</v>
      </c>
    </row>
    <row r="1366" spans="1:18" x14ac:dyDescent="0.2">
      <c r="A1366" t="s">
        <v>2790</v>
      </c>
      <c r="B1366" t="s">
        <v>2791</v>
      </c>
      <c r="C1366" t="s">
        <v>103</v>
      </c>
      <c r="D1366" t="s">
        <v>104</v>
      </c>
      <c r="E1366" t="s">
        <v>44</v>
      </c>
      <c r="F1366" t="s">
        <v>34</v>
      </c>
      <c r="G1366" t="s">
        <v>35</v>
      </c>
      <c r="H1366" t="s">
        <v>98</v>
      </c>
      <c r="I1366" t="s">
        <v>106</v>
      </c>
      <c r="J1366" t="s">
        <v>63</v>
      </c>
      <c r="K1366" s="2">
        <v>45825</v>
      </c>
      <c r="L1366" s="2">
        <v>46190</v>
      </c>
      <c r="M1366" t="s">
        <v>38</v>
      </c>
      <c r="N1366" t="s">
        <v>49</v>
      </c>
      <c r="O1366">
        <v>1</v>
      </c>
      <c r="P1366" t="s">
        <v>106</v>
      </c>
      <c r="Q1366" s="2">
        <v>46394</v>
      </c>
      <c r="R1366" t="s">
        <v>84</v>
      </c>
    </row>
    <row r="1367" spans="1:18" x14ac:dyDescent="0.2">
      <c r="A1367" t="s">
        <v>2792</v>
      </c>
      <c r="B1367" t="s">
        <v>2793</v>
      </c>
      <c r="C1367" t="s">
        <v>78</v>
      </c>
      <c r="D1367" t="s">
        <v>79</v>
      </c>
      <c r="E1367" t="s">
        <v>53</v>
      </c>
      <c r="F1367" t="s">
        <v>45</v>
      </c>
      <c r="G1367" t="s">
        <v>46</v>
      </c>
      <c r="H1367" t="s">
        <v>88</v>
      </c>
      <c r="I1367" t="s">
        <v>39</v>
      </c>
      <c r="J1367" t="s">
        <v>63</v>
      </c>
      <c r="K1367" s="2">
        <v>46245</v>
      </c>
      <c r="L1367" s="2">
        <v>46425</v>
      </c>
      <c r="M1367" t="s">
        <v>84</v>
      </c>
      <c r="N1367" t="s">
        <v>49</v>
      </c>
      <c r="O1367">
        <v>0</v>
      </c>
      <c r="P1367" t="s">
        <v>39</v>
      </c>
      <c r="Q1367" s="2">
        <v>46318</v>
      </c>
      <c r="R1367" t="s">
        <v>57</v>
      </c>
    </row>
    <row r="1368" spans="1:18" x14ac:dyDescent="0.2">
      <c r="A1368" t="s">
        <v>2794</v>
      </c>
      <c r="B1368" t="s">
        <v>2795</v>
      </c>
      <c r="C1368" t="s">
        <v>31</v>
      </c>
      <c r="D1368" t="s">
        <v>83</v>
      </c>
      <c r="E1368" t="s">
        <v>91</v>
      </c>
      <c r="F1368" t="s">
        <v>45</v>
      </c>
      <c r="G1368" t="s">
        <v>61</v>
      </c>
      <c r="H1368" t="s">
        <v>88</v>
      </c>
      <c r="J1368" t="s">
        <v>48</v>
      </c>
      <c r="K1368" s="2">
        <v>46141</v>
      </c>
      <c r="L1368" s="2">
        <v>46231</v>
      </c>
      <c r="M1368" t="s">
        <v>38</v>
      </c>
      <c r="N1368" t="s">
        <v>49</v>
      </c>
      <c r="O1368">
        <v>1</v>
      </c>
      <c r="P1368" t="s">
        <v>54</v>
      </c>
      <c r="Q1368" s="2">
        <v>46360</v>
      </c>
      <c r="R1368" t="s">
        <v>84</v>
      </c>
    </row>
    <row r="1369" spans="1:18" x14ac:dyDescent="0.2">
      <c r="A1369" t="s">
        <v>2796</v>
      </c>
      <c r="B1369" t="s">
        <v>2797</v>
      </c>
      <c r="C1369" t="s">
        <v>96</v>
      </c>
      <c r="D1369" t="s">
        <v>97</v>
      </c>
      <c r="E1369" t="s">
        <v>53</v>
      </c>
      <c r="F1369" t="s">
        <v>34</v>
      </c>
      <c r="G1369" t="s">
        <v>35</v>
      </c>
      <c r="H1369" t="s">
        <v>88</v>
      </c>
      <c r="I1369" t="s">
        <v>106</v>
      </c>
      <c r="J1369" t="s">
        <v>37</v>
      </c>
      <c r="K1369" s="2">
        <v>45834</v>
      </c>
      <c r="L1369" s="2">
        <v>45924</v>
      </c>
      <c r="M1369" t="s">
        <v>38</v>
      </c>
      <c r="N1369" t="s">
        <v>55</v>
      </c>
      <c r="O1369">
        <v>0</v>
      </c>
      <c r="P1369" t="s">
        <v>50</v>
      </c>
      <c r="Q1369" s="2">
        <v>46316</v>
      </c>
      <c r="R1369" t="s">
        <v>57</v>
      </c>
    </row>
    <row r="1370" spans="1:18" x14ac:dyDescent="0.2">
      <c r="A1370" t="s">
        <v>2798</v>
      </c>
      <c r="B1370" t="s">
        <v>2799</v>
      </c>
      <c r="C1370" t="s">
        <v>73</v>
      </c>
      <c r="D1370" t="s">
        <v>74</v>
      </c>
      <c r="E1370" t="s">
        <v>105</v>
      </c>
      <c r="F1370" t="s">
        <v>67</v>
      </c>
      <c r="G1370" t="s">
        <v>118</v>
      </c>
      <c r="H1370" t="s">
        <v>47</v>
      </c>
      <c r="I1370" t="s">
        <v>106</v>
      </c>
      <c r="J1370" t="s">
        <v>48</v>
      </c>
      <c r="K1370" s="2">
        <v>45851</v>
      </c>
      <c r="L1370" s="2">
        <v>45941</v>
      </c>
      <c r="M1370" t="s">
        <v>38</v>
      </c>
      <c r="N1370" t="s">
        <v>55</v>
      </c>
      <c r="O1370">
        <v>3</v>
      </c>
      <c r="P1370" t="s">
        <v>62</v>
      </c>
      <c r="Q1370" s="2">
        <v>46223</v>
      </c>
      <c r="R1370" t="s">
        <v>38</v>
      </c>
    </row>
    <row r="1371" spans="1:18" x14ac:dyDescent="0.2">
      <c r="A1371" t="s">
        <v>2800</v>
      </c>
      <c r="B1371" t="s">
        <v>2801</v>
      </c>
      <c r="C1371" t="s">
        <v>42</v>
      </c>
      <c r="D1371" t="s">
        <v>43</v>
      </c>
      <c r="E1371" t="s">
        <v>105</v>
      </c>
      <c r="F1371" t="s">
        <v>45</v>
      </c>
      <c r="G1371" t="s">
        <v>61</v>
      </c>
      <c r="H1371" t="s">
        <v>88</v>
      </c>
      <c r="I1371" t="s">
        <v>56</v>
      </c>
      <c r="J1371" t="s">
        <v>48</v>
      </c>
      <c r="K1371" s="2">
        <v>46181</v>
      </c>
      <c r="L1371" s="2">
        <v>46546</v>
      </c>
      <c r="M1371" t="s">
        <v>64</v>
      </c>
      <c r="N1371" t="s">
        <v>55</v>
      </c>
      <c r="O1371">
        <v>1</v>
      </c>
      <c r="P1371" t="s">
        <v>70</v>
      </c>
      <c r="Q1371" s="2">
        <v>46227</v>
      </c>
      <c r="R1371" t="s">
        <v>38</v>
      </c>
    </row>
    <row r="1372" spans="1:18" x14ac:dyDescent="0.2">
      <c r="A1372" t="s">
        <v>2802</v>
      </c>
      <c r="B1372" t="s">
        <v>2803</v>
      </c>
      <c r="C1372" t="s">
        <v>78</v>
      </c>
      <c r="D1372" t="s">
        <v>79</v>
      </c>
      <c r="E1372" t="s">
        <v>60</v>
      </c>
      <c r="F1372" t="s">
        <v>45</v>
      </c>
      <c r="G1372" t="s">
        <v>46</v>
      </c>
      <c r="H1372" t="s">
        <v>47</v>
      </c>
      <c r="I1372" t="s">
        <v>62</v>
      </c>
      <c r="J1372" t="s">
        <v>37</v>
      </c>
      <c r="K1372" s="2">
        <v>45846</v>
      </c>
      <c r="L1372" s="2">
        <v>46211</v>
      </c>
      <c r="M1372" t="s">
        <v>38</v>
      </c>
      <c r="N1372" t="s">
        <v>55</v>
      </c>
      <c r="O1372">
        <v>2</v>
      </c>
      <c r="P1372" t="s">
        <v>54</v>
      </c>
      <c r="Q1372" s="2">
        <v>46240</v>
      </c>
      <c r="R1372" t="s">
        <v>64</v>
      </c>
    </row>
    <row r="1373" spans="1:18" x14ac:dyDescent="0.2">
      <c r="A1373" t="s">
        <v>2804</v>
      </c>
      <c r="B1373" t="s">
        <v>2805</v>
      </c>
      <c r="C1373" t="s">
        <v>73</v>
      </c>
      <c r="D1373" t="s">
        <v>74</v>
      </c>
      <c r="E1373" t="s">
        <v>105</v>
      </c>
      <c r="F1373" t="s">
        <v>45</v>
      </c>
      <c r="G1373" t="s">
        <v>46</v>
      </c>
      <c r="H1373" t="s">
        <v>47</v>
      </c>
      <c r="I1373" t="s">
        <v>62</v>
      </c>
      <c r="J1373" t="s">
        <v>37</v>
      </c>
      <c r="K1373" s="2">
        <v>46048</v>
      </c>
      <c r="L1373" s="2">
        <v>46138</v>
      </c>
      <c r="M1373" t="s">
        <v>38</v>
      </c>
      <c r="N1373" t="s">
        <v>55</v>
      </c>
      <c r="O1373">
        <v>0</v>
      </c>
      <c r="P1373" t="s">
        <v>111</v>
      </c>
      <c r="Q1373" s="2">
        <v>46259</v>
      </c>
      <c r="R1373" t="s">
        <v>57</v>
      </c>
    </row>
    <row r="1374" spans="1:18" x14ac:dyDescent="0.2">
      <c r="A1374" t="s">
        <v>2806</v>
      </c>
      <c r="B1374" t="s">
        <v>2807</v>
      </c>
      <c r="C1374" t="s">
        <v>103</v>
      </c>
      <c r="D1374" t="s">
        <v>104</v>
      </c>
      <c r="E1374" t="s">
        <v>105</v>
      </c>
      <c r="F1374" t="s">
        <v>67</v>
      </c>
      <c r="G1374" t="s">
        <v>68</v>
      </c>
      <c r="H1374" t="s">
        <v>47</v>
      </c>
      <c r="I1374" t="s">
        <v>62</v>
      </c>
      <c r="J1374" t="s">
        <v>63</v>
      </c>
      <c r="K1374" s="2">
        <v>46116</v>
      </c>
      <c r="L1374" s="2">
        <v>46206</v>
      </c>
      <c r="M1374" t="s">
        <v>38</v>
      </c>
      <c r="N1374" t="s">
        <v>75</v>
      </c>
      <c r="O1374">
        <v>0</v>
      </c>
      <c r="P1374" t="s">
        <v>50</v>
      </c>
      <c r="Q1374" s="2">
        <v>46233</v>
      </c>
      <c r="R1374" t="s">
        <v>57</v>
      </c>
    </row>
    <row r="1375" spans="1:18" x14ac:dyDescent="0.2">
      <c r="A1375" t="s">
        <v>2808</v>
      </c>
      <c r="B1375" t="s">
        <v>2809</v>
      </c>
      <c r="C1375" t="s">
        <v>31</v>
      </c>
      <c r="D1375" t="s">
        <v>87</v>
      </c>
      <c r="E1375" t="s">
        <v>80</v>
      </c>
      <c r="F1375" t="s">
        <v>45</v>
      </c>
      <c r="G1375" t="s">
        <v>46</v>
      </c>
      <c r="H1375" t="s">
        <v>88</v>
      </c>
      <c r="I1375" t="s">
        <v>50</v>
      </c>
      <c r="J1375" t="s">
        <v>48</v>
      </c>
      <c r="K1375" s="2">
        <v>46236</v>
      </c>
      <c r="L1375" s="2">
        <v>46416</v>
      </c>
      <c r="M1375" t="s">
        <v>64</v>
      </c>
      <c r="N1375" t="s">
        <v>75</v>
      </c>
      <c r="O1375">
        <v>0</v>
      </c>
      <c r="P1375" t="s">
        <v>70</v>
      </c>
      <c r="Q1375" s="2">
        <v>46179</v>
      </c>
      <c r="R1375" t="s">
        <v>57</v>
      </c>
    </row>
    <row r="1376" spans="1:18" x14ac:dyDescent="0.2">
      <c r="A1376" t="s">
        <v>2810</v>
      </c>
      <c r="B1376" t="s">
        <v>2811</v>
      </c>
      <c r="C1376" t="s">
        <v>31</v>
      </c>
      <c r="D1376" t="s">
        <v>83</v>
      </c>
      <c r="E1376" t="s">
        <v>44</v>
      </c>
      <c r="F1376" t="s">
        <v>67</v>
      </c>
      <c r="G1376" t="s">
        <v>68</v>
      </c>
      <c r="H1376" t="s">
        <v>36</v>
      </c>
      <c r="I1376" t="s">
        <v>39</v>
      </c>
      <c r="J1376" t="s">
        <v>37</v>
      </c>
      <c r="K1376" s="2">
        <v>46183</v>
      </c>
      <c r="L1376" s="2">
        <v>46273</v>
      </c>
      <c r="M1376" t="s">
        <v>38</v>
      </c>
      <c r="N1376" t="s">
        <v>75</v>
      </c>
      <c r="O1376">
        <v>5</v>
      </c>
      <c r="P1376" t="s">
        <v>70</v>
      </c>
      <c r="Q1376" s="2">
        <v>46201</v>
      </c>
      <c r="R1376" t="s">
        <v>64</v>
      </c>
    </row>
    <row r="1377" spans="1:18" x14ac:dyDescent="0.2">
      <c r="A1377" t="s">
        <v>2812</v>
      </c>
      <c r="B1377" t="s">
        <v>2813</v>
      </c>
      <c r="C1377" t="s">
        <v>78</v>
      </c>
      <c r="D1377" t="s">
        <v>79</v>
      </c>
      <c r="E1377" t="s">
        <v>91</v>
      </c>
      <c r="F1377" t="s">
        <v>34</v>
      </c>
      <c r="G1377" t="s">
        <v>35</v>
      </c>
      <c r="H1377" t="s">
        <v>47</v>
      </c>
      <c r="I1377" t="s">
        <v>106</v>
      </c>
      <c r="J1377" t="s">
        <v>63</v>
      </c>
      <c r="K1377" s="2">
        <v>45986</v>
      </c>
      <c r="L1377" s="2">
        <v>46076</v>
      </c>
      <c r="M1377" t="s">
        <v>38</v>
      </c>
      <c r="N1377" t="s">
        <v>75</v>
      </c>
      <c r="O1377">
        <v>0</v>
      </c>
      <c r="P1377" t="s">
        <v>106</v>
      </c>
      <c r="Q1377" s="2">
        <v>46172</v>
      </c>
      <c r="R1377" t="s">
        <v>57</v>
      </c>
    </row>
    <row r="1378" spans="1:18" x14ac:dyDescent="0.2">
      <c r="A1378" t="s">
        <v>2814</v>
      </c>
      <c r="B1378" t="s">
        <v>2815</v>
      </c>
      <c r="C1378" t="s">
        <v>31</v>
      </c>
      <c r="D1378" t="s">
        <v>87</v>
      </c>
      <c r="E1378" t="s">
        <v>91</v>
      </c>
      <c r="F1378" t="s">
        <v>67</v>
      </c>
      <c r="G1378" t="s">
        <v>68</v>
      </c>
      <c r="H1378" t="s">
        <v>88</v>
      </c>
      <c r="I1378" t="s">
        <v>106</v>
      </c>
      <c r="J1378" t="s">
        <v>48</v>
      </c>
      <c r="K1378" s="2">
        <v>45984</v>
      </c>
      <c r="L1378" s="2">
        <v>46349</v>
      </c>
      <c r="M1378" t="s">
        <v>64</v>
      </c>
      <c r="N1378" t="s">
        <v>75</v>
      </c>
      <c r="O1378">
        <v>1</v>
      </c>
      <c r="P1378" t="s">
        <v>106</v>
      </c>
      <c r="Q1378" s="2">
        <v>46163</v>
      </c>
      <c r="R1378" t="s">
        <v>38</v>
      </c>
    </row>
    <row r="1379" spans="1:18" x14ac:dyDescent="0.2">
      <c r="A1379" t="s">
        <v>2816</v>
      </c>
      <c r="B1379" t="s">
        <v>2817</v>
      </c>
      <c r="C1379" t="s">
        <v>42</v>
      </c>
      <c r="D1379" t="s">
        <v>43</v>
      </c>
      <c r="E1379" t="s">
        <v>60</v>
      </c>
      <c r="F1379" t="s">
        <v>45</v>
      </c>
      <c r="G1379" t="s">
        <v>61</v>
      </c>
      <c r="H1379" t="s">
        <v>36</v>
      </c>
      <c r="I1379" t="s">
        <v>54</v>
      </c>
      <c r="J1379" t="s">
        <v>37</v>
      </c>
      <c r="K1379" s="2">
        <v>46241</v>
      </c>
      <c r="L1379" s="2">
        <v>46606</v>
      </c>
      <c r="M1379" t="s">
        <v>84</v>
      </c>
      <c r="N1379" t="s">
        <v>49</v>
      </c>
      <c r="O1379">
        <v>4</v>
      </c>
      <c r="P1379" t="s">
        <v>39</v>
      </c>
      <c r="Q1379" s="2">
        <v>46360</v>
      </c>
      <c r="R1379" t="s">
        <v>84</v>
      </c>
    </row>
    <row r="1380" spans="1:18" x14ac:dyDescent="0.2">
      <c r="A1380" t="s">
        <v>2818</v>
      </c>
      <c r="B1380" t="s">
        <v>2819</v>
      </c>
      <c r="C1380" t="s">
        <v>42</v>
      </c>
      <c r="D1380" t="s">
        <v>43</v>
      </c>
      <c r="E1380" t="s">
        <v>60</v>
      </c>
      <c r="F1380" t="s">
        <v>34</v>
      </c>
      <c r="G1380" t="s">
        <v>35</v>
      </c>
      <c r="H1380" t="s">
        <v>47</v>
      </c>
      <c r="I1380" t="s">
        <v>111</v>
      </c>
      <c r="J1380" t="s">
        <v>48</v>
      </c>
      <c r="K1380" s="2">
        <v>46192</v>
      </c>
      <c r="L1380" s="2">
        <v>46282</v>
      </c>
      <c r="M1380" t="s">
        <v>38</v>
      </c>
      <c r="N1380" t="s">
        <v>55</v>
      </c>
      <c r="O1380">
        <v>1</v>
      </c>
      <c r="P1380" t="s">
        <v>54</v>
      </c>
      <c r="Q1380" s="2">
        <v>46397</v>
      </c>
      <c r="R1380" t="s">
        <v>64</v>
      </c>
    </row>
    <row r="1381" spans="1:18" x14ac:dyDescent="0.2">
      <c r="A1381" t="s">
        <v>2820</v>
      </c>
      <c r="B1381" t="s">
        <v>2821</v>
      </c>
      <c r="C1381" t="s">
        <v>31</v>
      </c>
      <c r="D1381" t="s">
        <v>32</v>
      </c>
      <c r="E1381" t="s">
        <v>105</v>
      </c>
      <c r="F1381" t="s">
        <v>45</v>
      </c>
      <c r="G1381" t="s">
        <v>46</v>
      </c>
      <c r="H1381" t="s">
        <v>47</v>
      </c>
      <c r="I1381" t="s">
        <v>56</v>
      </c>
      <c r="J1381" t="s">
        <v>37</v>
      </c>
      <c r="K1381" s="2">
        <v>46133</v>
      </c>
      <c r="L1381" s="2">
        <v>46313</v>
      </c>
      <c r="M1381" t="s">
        <v>84</v>
      </c>
      <c r="N1381" t="s">
        <v>49</v>
      </c>
      <c r="O1381">
        <v>1</v>
      </c>
      <c r="P1381" t="s">
        <v>54</v>
      </c>
      <c r="Q1381" s="2">
        <v>46383</v>
      </c>
      <c r="R1381" t="s">
        <v>84</v>
      </c>
    </row>
    <row r="1382" spans="1:18" x14ac:dyDescent="0.2">
      <c r="A1382" t="s">
        <v>2822</v>
      </c>
      <c r="B1382" t="s">
        <v>2823</v>
      </c>
      <c r="C1382" t="s">
        <v>31</v>
      </c>
      <c r="D1382" t="s">
        <v>83</v>
      </c>
      <c r="E1382" t="s">
        <v>91</v>
      </c>
      <c r="F1382" t="s">
        <v>34</v>
      </c>
      <c r="G1382" t="s">
        <v>35</v>
      </c>
      <c r="H1382" t="s">
        <v>47</v>
      </c>
      <c r="I1382" t="s">
        <v>39</v>
      </c>
      <c r="J1382" t="s">
        <v>37</v>
      </c>
      <c r="K1382" s="2">
        <v>46210</v>
      </c>
      <c r="L1382" s="2">
        <v>46300</v>
      </c>
      <c r="M1382" t="s">
        <v>84</v>
      </c>
      <c r="N1382" t="s">
        <v>75</v>
      </c>
      <c r="O1382">
        <v>1</v>
      </c>
      <c r="P1382" t="s">
        <v>111</v>
      </c>
      <c r="Q1382" s="2">
        <v>46227</v>
      </c>
      <c r="R1382" t="s">
        <v>38</v>
      </c>
    </row>
    <row r="1383" spans="1:18" x14ac:dyDescent="0.2">
      <c r="A1383" t="s">
        <v>2824</v>
      </c>
      <c r="B1383" t="s">
        <v>2825</v>
      </c>
      <c r="C1383" t="s">
        <v>31</v>
      </c>
      <c r="D1383" t="s">
        <v>87</v>
      </c>
      <c r="E1383" t="s">
        <v>91</v>
      </c>
      <c r="F1383" t="s">
        <v>67</v>
      </c>
      <c r="G1383" t="s">
        <v>170</v>
      </c>
      <c r="H1383" t="s">
        <v>36</v>
      </c>
      <c r="I1383" t="s">
        <v>54</v>
      </c>
      <c r="J1383" t="s">
        <v>37</v>
      </c>
      <c r="K1383" s="2">
        <v>46085</v>
      </c>
      <c r="L1383" s="2">
        <v>46450</v>
      </c>
      <c r="M1383" t="s">
        <v>64</v>
      </c>
      <c r="N1383" t="s">
        <v>55</v>
      </c>
      <c r="O1383">
        <v>4</v>
      </c>
      <c r="P1383" t="s">
        <v>62</v>
      </c>
      <c r="Q1383" s="2">
        <v>46162</v>
      </c>
      <c r="R1383" t="s">
        <v>38</v>
      </c>
    </row>
    <row r="1384" spans="1:18" x14ac:dyDescent="0.2">
      <c r="A1384" t="s">
        <v>2826</v>
      </c>
      <c r="B1384" t="s">
        <v>2827</v>
      </c>
      <c r="C1384" t="s">
        <v>31</v>
      </c>
      <c r="D1384" t="s">
        <v>32</v>
      </c>
      <c r="E1384" t="s">
        <v>91</v>
      </c>
      <c r="F1384" t="s">
        <v>45</v>
      </c>
      <c r="G1384" t="s">
        <v>46</v>
      </c>
      <c r="H1384" t="s">
        <v>98</v>
      </c>
      <c r="I1384" t="s">
        <v>39</v>
      </c>
      <c r="J1384" t="s">
        <v>63</v>
      </c>
      <c r="K1384" s="2">
        <v>46099</v>
      </c>
      <c r="L1384" s="2">
        <v>46464</v>
      </c>
      <c r="M1384" t="s">
        <v>84</v>
      </c>
      <c r="N1384" t="s">
        <v>75</v>
      </c>
      <c r="O1384">
        <v>3</v>
      </c>
      <c r="P1384" t="s">
        <v>54</v>
      </c>
      <c r="Q1384" s="2">
        <v>46350</v>
      </c>
      <c r="R1384" t="s">
        <v>84</v>
      </c>
    </row>
    <row r="1385" spans="1:18" x14ac:dyDescent="0.2">
      <c r="A1385" t="s">
        <v>2828</v>
      </c>
      <c r="B1385" t="s">
        <v>2829</v>
      </c>
      <c r="C1385" t="s">
        <v>42</v>
      </c>
      <c r="D1385" t="s">
        <v>43</v>
      </c>
      <c r="E1385" t="s">
        <v>91</v>
      </c>
      <c r="F1385" t="s">
        <v>45</v>
      </c>
      <c r="G1385" t="s">
        <v>46</v>
      </c>
      <c r="H1385" t="s">
        <v>47</v>
      </c>
      <c r="I1385" t="s">
        <v>50</v>
      </c>
      <c r="J1385" t="s">
        <v>63</v>
      </c>
      <c r="K1385" s="2">
        <v>45969</v>
      </c>
      <c r="L1385" s="2">
        <v>46059</v>
      </c>
      <c r="M1385" t="s">
        <v>38</v>
      </c>
      <c r="N1385" t="s">
        <v>75</v>
      </c>
      <c r="O1385">
        <v>0</v>
      </c>
      <c r="P1385" t="s">
        <v>39</v>
      </c>
      <c r="Q1385" s="2">
        <v>46355</v>
      </c>
      <c r="R1385" t="s">
        <v>57</v>
      </c>
    </row>
    <row r="1386" spans="1:18" x14ac:dyDescent="0.2">
      <c r="A1386" t="s">
        <v>2830</v>
      </c>
      <c r="B1386" t="s">
        <v>2831</v>
      </c>
      <c r="C1386" t="s">
        <v>78</v>
      </c>
      <c r="D1386" t="s">
        <v>79</v>
      </c>
      <c r="E1386" t="s">
        <v>105</v>
      </c>
      <c r="F1386" t="s">
        <v>45</v>
      </c>
      <c r="G1386" t="s">
        <v>46</v>
      </c>
      <c r="H1386" t="s">
        <v>98</v>
      </c>
      <c r="I1386" t="s">
        <v>39</v>
      </c>
      <c r="J1386" t="s">
        <v>48</v>
      </c>
      <c r="K1386" s="2">
        <v>46141</v>
      </c>
      <c r="L1386" s="2">
        <v>46231</v>
      </c>
      <c r="M1386" t="s">
        <v>38</v>
      </c>
      <c r="N1386" t="s">
        <v>49</v>
      </c>
      <c r="O1386">
        <v>4</v>
      </c>
      <c r="P1386" t="s">
        <v>50</v>
      </c>
      <c r="Q1386" s="2">
        <v>46256</v>
      </c>
      <c r="R1386" t="s">
        <v>64</v>
      </c>
    </row>
    <row r="1387" spans="1:18" x14ac:dyDescent="0.2">
      <c r="A1387" t="s">
        <v>2832</v>
      </c>
      <c r="B1387" t="s">
        <v>2833</v>
      </c>
      <c r="C1387" t="s">
        <v>78</v>
      </c>
      <c r="D1387" t="s">
        <v>79</v>
      </c>
      <c r="E1387" t="s">
        <v>44</v>
      </c>
      <c r="F1387" t="s">
        <v>34</v>
      </c>
      <c r="G1387" t="s">
        <v>35</v>
      </c>
      <c r="H1387" t="s">
        <v>98</v>
      </c>
      <c r="I1387" t="s">
        <v>62</v>
      </c>
      <c r="J1387" t="s">
        <v>37</v>
      </c>
      <c r="K1387" s="2">
        <v>46026</v>
      </c>
      <c r="L1387" s="2">
        <v>46116</v>
      </c>
      <c r="M1387" t="s">
        <v>38</v>
      </c>
      <c r="N1387" t="s">
        <v>49</v>
      </c>
      <c r="O1387">
        <v>0</v>
      </c>
      <c r="P1387" t="s">
        <v>62</v>
      </c>
      <c r="Q1387" s="2">
        <v>46302</v>
      </c>
      <c r="R1387" t="s">
        <v>57</v>
      </c>
    </row>
    <row r="1388" spans="1:18" x14ac:dyDescent="0.2">
      <c r="A1388" t="s">
        <v>2834</v>
      </c>
      <c r="B1388" t="s">
        <v>2835</v>
      </c>
      <c r="C1388" t="s">
        <v>42</v>
      </c>
      <c r="D1388" t="s">
        <v>43</v>
      </c>
      <c r="E1388" t="s">
        <v>105</v>
      </c>
      <c r="F1388" t="s">
        <v>67</v>
      </c>
      <c r="G1388" t="s">
        <v>118</v>
      </c>
      <c r="H1388" t="s">
        <v>88</v>
      </c>
      <c r="I1388" t="s">
        <v>62</v>
      </c>
      <c r="J1388" t="s">
        <v>37</v>
      </c>
      <c r="K1388" s="2">
        <v>45799</v>
      </c>
      <c r="L1388" s="2">
        <v>45889</v>
      </c>
      <c r="M1388" t="s">
        <v>38</v>
      </c>
      <c r="N1388" t="s">
        <v>55</v>
      </c>
      <c r="O1388">
        <v>3</v>
      </c>
      <c r="P1388" t="s">
        <v>56</v>
      </c>
      <c r="Q1388" s="2">
        <v>46300</v>
      </c>
      <c r="R1388" t="s">
        <v>84</v>
      </c>
    </row>
    <row r="1389" spans="1:18" x14ac:dyDescent="0.2">
      <c r="A1389" t="s">
        <v>2836</v>
      </c>
      <c r="B1389" t="s">
        <v>2837</v>
      </c>
      <c r="C1389" t="s">
        <v>73</v>
      </c>
      <c r="D1389" t="s">
        <v>74</v>
      </c>
      <c r="E1389" t="s">
        <v>80</v>
      </c>
      <c r="F1389" t="s">
        <v>67</v>
      </c>
      <c r="G1389" t="s">
        <v>68</v>
      </c>
      <c r="H1389" t="s">
        <v>98</v>
      </c>
      <c r="I1389" t="s">
        <v>62</v>
      </c>
      <c r="J1389" t="s">
        <v>37</v>
      </c>
      <c r="K1389" s="2">
        <v>46175</v>
      </c>
      <c r="L1389" s="2">
        <v>46540</v>
      </c>
      <c r="M1389" t="s">
        <v>64</v>
      </c>
      <c r="N1389" t="s">
        <v>55</v>
      </c>
      <c r="O1389">
        <v>5</v>
      </c>
      <c r="P1389" t="s">
        <v>62</v>
      </c>
      <c r="Q1389" s="2">
        <v>46230</v>
      </c>
      <c r="R1389" t="s">
        <v>38</v>
      </c>
    </row>
    <row r="1390" spans="1:18" x14ac:dyDescent="0.2">
      <c r="A1390" t="s">
        <v>2838</v>
      </c>
      <c r="B1390" t="s">
        <v>2839</v>
      </c>
      <c r="C1390" t="s">
        <v>42</v>
      </c>
      <c r="D1390" t="s">
        <v>43</v>
      </c>
      <c r="E1390" t="s">
        <v>44</v>
      </c>
      <c r="F1390" t="s">
        <v>45</v>
      </c>
      <c r="G1390" t="s">
        <v>61</v>
      </c>
      <c r="H1390" t="s">
        <v>47</v>
      </c>
      <c r="I1390" t="s">
        <v>50</v>
      </c>
      <c r="J1390" t="s">
        <v>37</v>
      </c>
      <c r="K1390" s="2">
        <v>46078</v>
      </c>
      <c r="L1390" s="2">
        <v>46168</v>
      </c>
      <c r="M1390" t="s">
        <v>38</v>
      </c>
      <c r="N1390" t="s">
        <v>75</v>
      </c>
      <c r="O1390">
        <v>0</v>
      </c>
      <c r="P1390" t="s">
        <v>54</v>
      </c>
      <c r="Q1390" s="2">
        <v>46160</v>
      </c>
      <c r="R1390" t="s">
        <v>57</v>
      </c>
    </row>
    <row r="1391" spans="1:18" x14ac:dyDescent="0.2">
      <c r="A1391" t="s">
        <v>2840</v>
      </c>
      <c r="B1391" t="s">
        <v>2841</v>
      </c>
      <c r="C1391" t="s">
        <v>96</v>
      </c>
      <c r="D1391" t="s">
        <v>97</v>
      </c>
      <c r="E1391" t="s">
        <v>91</v>
      </c>
      <c r="F1391" t="s">
        <v>67</v>
      </c>
      <c r="G1391" t="s">
        <v>68</v>
      </c>
      <c r="H1391" t="s">
        <v>88</v>
      </c>
      <c r="I1391" t="s">
        <v>106</v>
      </c>
      <c r="J1391" t="s">
        <v>63</v>
      </c>
      <c r="K1391" s="2">
        <v>46139</v>
      </c>
      <c r="L1391" s="2">
        <v>46504</v>
      </c>
      <c r="M1391" t="s">
        <v>64</v>
      </c>
      <c r="N1391" t="s">
        <v>49</v>
      </c>
      <c r="O1391">
        <v>0</v>
      </c>
      <c r="P1391" t="s">
        <v>70</v>
      </c>
      <c r="Q1391" s="2">
        <v>46388</v>
      </c>
      <c r="R1391" t="s">
        <v>57</v>
      </c>
    </row>
    <row r="1392" spans="1:18" x14ac:dyDescent="0.2">
      <c r="A1392" t="s">
        <v>2842</v>
      </c>
      <c r="B1392" t="s">
        <v>2843</v>
      </c>
      <c r="C1392" t="s">
        <v>73</v>
      </c>
      <c r="D1392" t="s">
        <v>74</v>
      </c>
      <c r="E1392" t="s">
        <v>1967</v>
      </c>
      <c r="F1392" t="s">
        <v>34</v>
      </c>
      <c r="G1392" t="s">
        <v>35</v>
      </c>
      <c r="H1392" t="s">
        <v>88</v>
      </c>
      <c r="I1392" t="s">
        <v>56</v>
      </c>
      <c r="J1392" t="s">
        <v>48</v>
      </c>
      <c r="K1392" s="2">
        <v>45811</v>
      </c>
      <c r="L1392" s="2">
        <v>46176</v>
      </c>
      <c r="M1392" t="s">
        <v>38</v>
      </c>
      <c r="N1392" t="s">
        <v>55</v>
      </c>
      <c r="O1392">
        <v>3</v>
      </c>
      <c r="P1392" t="s">
        <v>50</v>
      </c>
      <c r="Q1392" s="2">
        <v>46249</v>
      </c>
      <c r="R1392" t="s">
        <v>64</v>
      </c>
    </row>
    <row r="1393" spans="1:18" x14ac:dyDescent="0.2">
      <c r="A1393" t="s">
        <v>2844</v>
      </c>
      <c r="B1393" t="s">
        <v>2845</v>
      </c>
      <c r="C1393" t="s">
        <v>103</v>
      </c>
      <c r="D1393" t="s">
        <v>104</v>
      </c>
      <c r="E1393" t="s">
        <v>80</v>
      </c>
      <c r="F1393" t="s">
        <v>34</v>
      </c>
      <c r="G1393" t="s">
        <v>35</v>
      </c>
      <c r="H1393" t="s">
        <v>98</v>
      </c>
      <c r="I1393" t="s">
        <v>50</v>
      </c>
      <c r="J1393" t="s">
        <v>48</v>
      </c>
      <c r="K1393" s="2">
        <v>45820</v>
      </c>
      <c r="L1393" s="2">
        <v>46000</v>
      </c>
      <c r="M1393" t="s">
        <v>38</v>
      </c>
      <c r="N1393" t="s">
        <v>49</v>
      </c>
      <c r="O1393">
        <v>0</v>
      </c>
      <c r="P1393" t="s">
        <v>56</v>
      </c>
      <c r="Q1393" s="2">
        <v>46301</v>
      </c>
      <c r="R1393" t="s">
        <v>57</v>
      </c>
    </row>
    <row r="1394" spans="1:18" x14ac:dyDescent="0.2">
      <c r="A1394" t="s">
        <v>2846</v>
      </c>
      <c r="B1394" t="s">
        <v>2847</v>
      </c>
      <c r="C1394" t="s">
        <v>42</v>
      </c>
      <c r="D1394" t="s">
        <v>43</v>
      </c>
      <c r="E1394" t="s">
        <v>91</v>
      </c>
      <c r="F1394" t="s">
        <v>45</v>
      </c>
      <c r="G1394" t="s">
        <v>46</v>
      </c>
      <c r="H1394" t="s">
        <v>47</v>
      </c>
      <c r="I1394" t="s">
        <v>70</v>
      </c>
      <c r="J1394" t="s">
        <v>37</v>
      </c>
      <c r="K1394" s="2">
        <v>45914</v>
      </c>
      <c r="L1394" s="2">
        <v>46094</v>
      </c>
      <c r="M1394" t="s">
        <v>38</v>
      </c>
      <c r="N1394" t="s">
        <v>49</v>
      </c>
      <c r="O1394">
        <v>3</v>
      </c>
      <c r="P1394" t="s">
        <v>62</v>
      </c>
      <c r="Q1394" s="2">
        <v>46322</v>
      </c>
      <c r="R1394" t="s">
        <v>64</v>
      </c>
    </row>
    <row r="1395" spans="1:18" x14ac:dyDescent="0.2">
      <c r="A1395" t="s">
        <v>2848</v>
      </c>
      <c r="B1395" t="s">
        <v>2849</v>
      </c>
      <c r="C1395" t="s">
        <v>103</v>
      </c>
      <c r="D1395" t="s">
        <v>104</v>
      </c>
      <c r="E1395" t="s">
        <v>80</v>
      </c>
      <c r="F1395" t="s">
        <v>34</v>
      </c>
      <c r="G1395" t="s">
        <v>35</v>
      </c>
      <c r="H1395" t="s">
        <v>88</v>
      </c>
      <c r="I1395" t="s">
        <v>111</v>
      </c>
      <c r="J1395" t="s">
        <v>37</v>
      </c>
      <c r="K1395" s="2">
        <v>46070</v>
      </c>
      <c r="L1395" s="2">
        <v>46435</v>
      </c>
      <c r="M1395" t="s">
        <v>69</v>
      </c>
      <c r="N1395" t="s">
        <v>49</v>
      </c>
      <c r="O1395">
        <v>2</v>
      </c>
      <c r="P1395" t="s">
        <v>111</v>
      </c>
      <c r="Q1395" s="2">
        <v>46217</v>
      </c>
      <c r="R1395" t="s">
        <v>38</v>
      </c>
    </row>
    <row r="1396" spans="1:18" x14ac:dyDescent="0.2">
      <c r="A1396" t="s">
        <v>2850</v>
      </c>
      <c r="B1396" t="s">
        <v>2851</v>
      </c>
      <c r="C1396" t="s">
        <v>31</v>
      </c>
      <c r="D1396" t="s">
        <v>83</v>
      </c>
      <c r="E1396" t="s">
        <v>80</v>
      </c>
      <c r="F1396" t="s">
        <v>67</v>
      </c>
      <c r="G1396" t="s">
        <v>118</v>
      </c>
      <c r="H1396" t="s">
        <v>98</v>
      </c>
      <c r="I1396" t="s">
        <v>62</v>
      </c>
      <c r="J1396" t="s">
        <v>37</v>
      </c>
      <c r="K1396" s="2">
        <v>45862</v>
      </c>
      <c r="L1396" s="2">
        <v>45952</v>
      </c>
      <c r="M1396" t="s">
        <v>38</v>
      </c>
      <c r="N1396" t="s">
        <v>75</v>
      </c>
      <c r="O1396">
        <v>1</v>
      </c>
      <c r="P1396" t="s">
        <v>106</v>
      </c>
      <c r="Q1396" s="2">
        <v>46258</v>
      </c>
      <c r="R1396" t="s">
        <v>64</v>
      </c>
    </row>
    <row r="1397" spans="1:18" x14ac:dyDescent="0.2">
      <c r="A1397" t="s">
        <v>2852</v>
      </c>
      <c r="B1397" t="s">
        <v>2853</v>
      </c>
      <c r="C1397" t="s">
        <v>73</v>
      </c>
      <c r="D1397" t="s">
        <v>74</v>
      </c>
      <c r="E1397" t="s">
        <v>60</v>
      </c>
      <c r="F1397" t="s">
        <v>45</v>
      </c>
      <c r="G1397" t="s">
        <v>46</v>
      </c>
      <c r="H1397" t="s">
        <v>88</v>
      </c>
      <c r="I1397" t="s">
        <v>56</v>
      </c>
      <c r="J1397" t="s">
        <v>37</v>
      </c>
      <c r="K1397" s="2">
        <v>46015</v>
      </c>
      <c r="L1397" s="2">
        <v>46105</v>
      </c>
      <c r="M1397" t="s">
        <v>38</v>
      </c>
      <c r="N1397" t="s">
        <v>75</v>
      </c>
      <c r="O1397">
        <v>1</v>
      </c>
      <c r="P1397" t="s">
        <v>62</v>
      </c>
      <c r="Q1397" s="2">
        <v>46319</v>
      </c>
      <c r="R1397" t="s">
        <v>84</v>
      </c>
    </row>
    <row r="1398" spans="1:18" x14ac:dyDescent="0.2">
      <c r="A1398" t="s">
        <v>2854</v>
      </c>
      <c r="B1398" t="s">
        <v>2855</v>
      </c>
      <c r="C1398" t="s">
        <v>31</v>
      </c>
      <c r="D1398" t="s">
        <v>32</v>
      </c>
      <c r="E1398" t="s">
        <v>80</v>
      </c>
      <c r="F1398" t="s">
        <v>67</v>
      </c>
      <c r="G1398" t="s">
        <v>118</v>
      </c>
      <c r="H1398" t="s">
        <v>47</v>
      </c>
      <c r="I1398" t="s">
        <v>54</v>
      </c>
      <c r="J1398" t="s">
        <v>48</v>
      </c>
      <c r="K1398" s="2">
        <v>46269</v>
      </c>
      <c r="L1398" s="2">
        <v>46449</v>
      </c>
      <c r="M1398" t="s">
        <v>69</v>
      </c>
      <c r="N1398" t="s">
        <v>55</v>
      </c>
      <c r="O1398">
        <v>1</v>
      </c>
      <c r="P1398" t="s">
        <v>62</v>
      </c>
      <c r="Q1398" s="2">
        <v>46303</v>
      </c>
      <c r="R1398" t="s">
        <v>84</v>
      </c>
    </row>
    <row r="1399" spans="1:18" x14ac:dyDescent="0.2">
      <c r="A1399" t="s">
        <v>2856</v>
      </c>
      <c r="B1399" t="s">
        <v>2857</v>
      </c>
      <c r="C1399" t="s">
        <v>73</v>
      </c>
      <c r="D1399" t="s">
        <v>74</v>
      </c>
      <c r="E1399" t="s">
        <v>105</v>
      </c>
      <c r="F1399" t="s">
        <v>45</v>
      </c>
      <c r="G1399" t="s">
        <v>61</v>
      </c>
      <c r="H1399" t="s">
        <v>98</v>
      </c>
      <c r="I1399" t="s">
        <v>56</v>
      </c>
      <c r="J1399" t="s">
        <v>48</v>
      </c>
      <c r="K1399" s="2">
        <v>45942</v>
      </c>
      <c r="L1399" s="2">
        <v>46307</v>
      </c>
      <c r="M1399" t="s">
        <v>84</v>
      </c>
      <c r="N1399" t="s">
        <v>55</v>
      </c>
      <c r="O1399">
        <v>3</v>
      </c>
      <c r="P1399" t="s">
        <v>39</v>
      </c>
      <c r="Q1399" s="2">
        <v>46174</v>
      </c>
      <c r="R1399" t="s">
        <v>64</v>
      </c>
    </row>
    <row r="1400" spans="1:18" x14ac:dyDescent="0.2">
      <c r="A1400" t="s">
        <v>2858</v>
      </c>
      <c r="B1400" t="s">
        <v>2859</v>
      </c>
      <c r="C1400" t="s">
        <v>31</v>
      </c>
      <c r="D1400" t="s">
        <v>32</v>
      </c>
      <c r="E1400" t="s">
        <v>44</v>
      </c>
      <c r="F1400" t="s">
        <v>67</v>
      </c>
      <c r="G1400" t="s">
        <v>118</v>
      </c>
      <c r="H1400" t="s">
        <v>88</v>
      </c>
      <c r="I1400" t="s">
        <v>111</v>
      </c>
      <c r="J1400" t="s">
        <v>63</v>
      </c>
      <c r="K1400" s="2">
        <v>46160</v>
      </c>
      <c r="L1400" s="2">
        <v>46250</v>
      </c>
      <c r="M1400" t="s">
        <v>38</v>
      </c>
      <c r="N1400" t="s">
        <v>49</v>
      </c>
      <c r="O1400">
        <v>0</v>
      </c>
      <c r="P1400" t="s">
        <v>106</v>
      </c>
      <c r="Q1400" s="2">
        <v>46130</v>
      </c>
      <c r="R1400" t="s">
        <v>57</v>
      </c>
    </row>
    <row r="1401" spans="1:18" x14ac:dyDescent="0.2">
      <c r="A1401" t="s">
        <v>2860</v>
      </c>
      <c r="B1401" t="s">
        <v>2861</v>
      </c>
      <c r="C1401" t="s">
        <v>42</v>
      </c>
      <c r="D1401" t="s">
        <v>43</v>
      </c>
      <c r="E1401" t="s">
        <v>105</v>
      </c>
      <c r="F1401" t="s">
        <v>45</v>
      </c>
      <c r="G1401" t="s">
        <v>46</v>
      </c>
      <c r="H1401" t="s">
        <v>47</v>
      </c>
      <c r="I1401" t="s">
        <v>111</v>
      </c>
      <c r="J1401" t="s">
        <v>48</v>
      </c>
      <c r="K1401" s="2">
        <v>46228</v>
      </c>
      <c r="L1401" s="2">
        <v>46593</v>
      </c>
      <c r="M1401" t="s">
        <v>64</v>
      </c>
      <c r="N1401" t="s">
        <v>55</v>
      </c>
      <c r="O1401">
        <v>1</v>
      </c>
      <c r="P1401" t="s">
        <v>62</v>
      </c>
      <c r="Q1401" s="2">
        <v>46300</v>
      </c>
      <c r="R1401" t="s">
        <v>84</v>
      </c>
    </row>
    <row r="1402" spans="1:18" x14ac:dyDescent="0.2">
      <c r="A1402" t="s">
        <v>2862</v>
      </c>
      <c r="B1402" t="s">
        <v>2863</v>
      </c>
      <c r="C1402" t="s">
        <v>78</v>
      </c>
      <c r="D1402" t="s">
        <v>79</v>
      </c>
      <c r="E1402" t="s">
        <v>53</v>
      </c>
      <c r="F1402" t="s">
        <v>34</v>
      </c>
      <c r="G1402" t="s">
        <v>35</v>
      </c>
      <c r="H1402" t="s">
        <v>47</v>
      </c>
      <c r="I1402" t="s">
        <v>111</v>
      </c>
      <c r="J1402" t="s">
        <v>37</v>
      </c>
      <c r="K1402" s="2">
        <v>46251</v>
      </c>
      <c r="L1402" s="2">
        <v>46341</v>
      </c>
      <c r="M1402" t="s">
        <v>64</v>
      </c>
      <c r="N1402" t="s">
        <v>49</v>
      </c>
      <c r="O1402">
        <v>1</v>
      </c>
      <c r="P1402" t="s">
        <v>50</v>
      </c>
      <c r="Q1402" s="2">
        <v>46127</v>
      </c>
      <c r="R1402" t="s">
        <v>38</v>
      </c>
    </row>
    <row r="1403" spans="1:18" x14ac:dyDescent="0.2">
      <c r="A1403" t="s">
        <v>2864</v>
      </c>
      <c r="B1403" t="s">
        <v>2865</v>
      </c>
      <c r="C1403" t="s">
        <v>42</v>
      </c>
      <c r="D1403" t="s">
        <v>43</v>
      </c>
      <c r="E1403" t="s">
        <v>80</v>
      </c>
      <c r="F1403" t="s">
        <v>45</v>
      </c>
      <c r="G1403" t="s">
        <v>61</v>
      </c>
      <c r="H1403" t="s">
        <v>88</v>
      </c>
      <c r="I1403" t="s">
        <v>62</v>
      </c>
      <c r="J1403" t="s">
        <v>63</v>
      </c>
      <c r="K1403" s="2">
        <v>46071</v>
      </c>
      <c r="L1403" s="2">
        <v>46436</v>
      </c>
      <c r="M1403" t="s">
        <v>64</v>
      </c>
      <c r="N1403" t="s">
        <v>55</v>
      </c>
      <c r="O1403">
        <v>1</v>
      </c>
      <c r="P1403" t="s">
        <v>39</v>
      </c>
      <c r="Q1403" s="2">
        <v>46354</v>
      </c>
      <c r="R1403" t="s">
        <v>64</v>
      </c>
    </row>
    <row r="1404" spans="1:18" x14ac:dyDescent="0.2">
      <c r="A1404" t="s">
        <v>2866</v>
      </c>
      <c r="B1404" t="s">
        <v>2867</v>
      </c>
      <c r="C1404" t="s">
        <v>31</v>
      </c>
      <c r="D1404" t="s">
        <v>83</v>
      </c>
      <c r="E1404" t="s">
        <v>44</v>
      </c>
      <c r="F1404" t="s">
        <v>34</v>
      </c>
      <c r="G1404" t="s">
        <v>35</v>
      </c>
      <c r="H1404" t="s">
        <v>36</v>
      </c>
      <c r="I1404" t="s">
        <v>70</v>
      </c>
      <c r="J1404" t="s">
        <v>63</v>
      </c>
      <c r="K1404" s="2">
        <v>46263</v>
      </c>
      <c r="L1404" s="2">
        <v>46443</v>
      </c>
      <c r="M1404" t="s">
        <v>64</v>
      </c>
      <c r="N1404" t="s">
        <v>49</v>
      </c>
      <c r="O1404">
        <v>5</v>
      </c>
      <c r="P1404" t="s">
        <v>50</v>
      </c>
      <c r="Q1404" s="2">
        <v>46138</v>
      </c>
      <c r="R1404" t="s">
        <v>64</v>
      </c>
    </row>
    <row r="1405" spans="1:18" x14ac:dyDescent="0.2">
      <c r="A1405" t="s">
        <v>2868</v>
      </c>
      <c r="B1405" t="s">
        <v>2869</v>
      </c>
      <c r="C1405" t="s">
        <v>103</v>
      </c>
      <c r="D1405" t="s">
        <v>104</v>
      </c>
      <c r="E1405" t="s">
        <v>105</v>
      </c>
      <c r="F1405" t="s">
        <v>34</v>
      </c>
      <c r="G1405" t="s">
        <v>35</v>
      </c>
      <c r="H1405" t="s">
        <v>88</v>
      </c>
      <c r="I1405" t="s">
        <v>106</v>
      </c>
      <c r="J1405" t="s">
        <v>63</v>
      </c>
      <c r="K1405" s="2">
        <v>46038</v>
      </c>
      <c r="L1405" s="2">
        <v>46403</v>
      </c>
      <c r="M1405" t="s">
        <v>84</v>
      </c>
      <c r="N1405" t="s">
        <v>55</v>
      </c>
      <c r="O1405">
        <v>3</v>
      </c>
      <c r="P1405" t="s">
        <v>70</v>
      </c>
      <c r="Q1405" s="2">
        <v>46128</v>
      </c>
      <c r="R1405" t="s">
        <v>38</v>
      </c>
    </row>
    <row r="1406" spans="1:18" x14ac:dyDescent="0.2">
      <c r="A1406" t="s">
        <v>2870</v>
      </c>
      <c r="B1406" t="s">
        <v>2871</v>
      </c>
      <c r="C1406" t="s">
        <v>73</v>
      </c>
      <c r="D1406" t="s">
        <v>74</v>
      </c>
      <c r="E1406" t="s">
        <v>60</v>
      </c>
      <c r="F1406" t="s">
        <v>45</v>
      </c>
      <c r="G1406" t="s">
        <v>61</v>
      </c>
      <c r="H1406" t="s">
        <v>36</v>
      </c>
      <c r="I1406" t="s">
        <v>70</v>
      </c>
      <c r="J1406" t="s">
        <v>63</v>
      </c>
      <c r="K1406" s="2">
        <v>46022</v>
      </c>
      <c r="L1406" s="2">
        <v>46112</v>
      </c>
      <c r="M1406" t="s">
        <v>38</v>
      </c>
      <c r="N1406" t="s">
        <v>55</v>
      </c>
      <c r="O1406">
        <v>1</v>
      </c>
      <c r="P1406" t="s">
        <v>50</v>
      </c>
      <c r="Q1406" s="2">
        <v>46177</v>
      </c>
      <c r="R1406" t="s">
        <v>64</v>
      </c>
    </row>
    <row r="1407" spans="1:18" x14ac:dyDescent="0.2">
      <c r="A1407" t="s">
        <v>2872</v>
      </c>
      <c r="B1407" t="s">
        <v>2873</v>
      </c>
      <c r="C1407" t="s">
        <v>73</v>
      </c>
      <c r="D1407" t="s">
        <v>74</v>
      </c>
      <c r="E1407" t="s">
        <v>44</v>
      </c>
      <c r="F1407" t="s">
        <v>34</v>
      </c>
      <c r="G1407" t="s">
        <v>35</v>
      </c>
      <c r="H1407" t="s">
        <v>36</v>
      </c>
      <c r="I1407" t="s">
        <v>39</v>
      </c>
      <c r="J1407" t="s">
        <v>63</v>
      </c>
      <c r="K1407" s="2">
        <v>45968</v>
      </c>
      <c r="L1407" s="2">
        <v>46333</v>
      </c>
      <c r="M1407" t="s">
        <v>64</v>
      </c>
      <c r="N1407" t="s">
        <v>49</v>
      </c>
      <c r="O1407">
        <v>5</v>
      </c>
      <c r="P1407" t="s">
        <v>106</v>
      </c>
      <c r="Q1407" s="2">
        <v>46363</v>
      </c>
      <c r="R1407" t="s">
        <v>84</v>
      </c>
    </row>
    <row r="1408" spans="1:18" x14ac:dyDescent="0.2">
      <c r="A1408" t="s">
        <v>2874</v>
      </c>
      <c r="B1408" t="s">
        <v>2875</v>
      </c>
      <c r="C1408" t="s">
        <v>103</v>
      </c>
      <c r="D1408" t="s">
        <v>104</v>
      </c>
      <c r="E1408" t="s">
        <v>91</v>
      </c>
      <c r="F1408" t="s">
        <v>34</v>
      </c>
      <c r="G1408" t="s">
        <v>35</v>
      </c>
      <c r="H1408" t="s">
        <v>88</v>
      </c>
      <c r="I1408" t="s">
        <v>54</v>
      </c>
      <c r="J1408" t="s">
        <v>63</v>
      </c>
      <c r="K1408" s="2">
        <v>46200</v>
      </c>
      <c r="L1408" s="2">
        <v>46290</v>
      </c>
      <c r="M1408" t="s">
        <v>38</v>
      </c>
      <c r="N1408" t="s">
        <v>55</v>
      </c>
      <c r="O1408">
        <v>3</v>
      </c>
      <c r="P1408" t="s">
        <v>50</v>
      </c>
      <c r="Q1408" s="2">
        <v>46231</v>
      </c>
      <c r="R1408" t="s">
        <v>38</v>
      </c>
    </row>
    <row r="1409" spans="1:18" x14ac:dyDescent="0.2">
      <c r="A1409" t="s">
        <v>2876</v>
      </c>
      <c r="B1409" t="s">
        <v>2877</v>
      </c>
      <c r="C1409" t="s">
        <v>31</v>
      </c>
      <c r="D1409" t="s">
        <v>32</v>
      </c>
      <c r="E1409" t="s">
        <v>53</v>
      </c>
      <c r="F1409" t="s">
        <v>45</v>
      </c>
      <c r="G1409" t="s">
        <v>61</v>
      </c>
      <c r="H1409" t="s">
        <v>36</v>
      </c>
      <c r="I1409" t="s">
        <v>54</v>
      </c>
      <c r="J1409" t="s">
        <v>37</v>
      </c>
      <c r="K1409" s="2">
        <v>45875</v>
      </c>
      <c r="L1409" s="2">
        <v>46055</v>
      </c>
      <c r="M1409" t="s">
        <v>38</v>
      </c>
      <c r="N1409" t="s">
        <v>55</v>
      </c>
      <c r="O1409">
        <v>1</v>
      </c>
      <c r="P1409" t="s">
        <v>39</v>
      </c>
      <c r="Q1409" s="2">
        <v>46231</v>
      </c>
      <c r="R1409" t="s">
        <v>38</v>
      </c>
    </row>
    <row r="1410" spans="1:18" x14ac:dyDescent="0.2">
      <c r="A1410" t="s">
        <v>2878</v>
      </c>
      <c r="B1410" t="s">
        <v>2879</v>
      </c>
      <c r="C1410" t="s">
        <v>31</v>
      </c>
      <c r="D1410" t="s">
        <v>83</v>
      </c>
      <c r="E1410" t="s">
        <v>105</v>
      </c>
      <c r="F1410" t="s">
        <v>67</v>
      </c>
      <c r="G1410" t="s">
        <v>118</v>
      </c>
      <c r="H1410" t="s">
        <v>36</v>
      </c>
      <c r="I1410" t="s">
        <v>111</v>
      </c>
      <c r="J1410" t="s">
        <v>48</v>
      </c>
      <c r="K1410" s="2">
        <v>46252</v>
      </c>
      <c r="L1410" s="2">
        <v>46617</v>
      </c>
      <c r="M1410" t="s">
        <v>64</v>
      </c>
      <c r="N1410" t="s">
        <v>49</v>
      </c>
      <c r="O1410">
        <v>3</v>
      </c>
      <c r="P1410" t="s">
        <v>62</v>
      </c>
      <c r="Q1410" s="2">
        <v>46176</v>
      </c>
      <c r="R1410" t="s">
        <v>38</v>
      </c>
    </row>
    <row r="1411" spans="1:18" x14ac:dyDescent="0.2">
      <c r="A1411" t="s">
        <v>2880</v>
      </c>
      <c r="B1411" t="s">
        <v>2881</v>
      </c>
      <c r="C1411" t="s">
        <v>31</v>
      </c>
      <c r="D1411" t="s">
        <v>83</v>
      </c>
      <c r="E1411" t="s">
        <v>105</v>
      </c>
      <c r="F1411" t="s">
        <v>45</v>
      </c>
      <c r="G1411" t="s">
        <v>46</v>
      </c>
      <c r="H1411" t="s">
        <v>88</v>
      </c>
      <c r="I1411" t="s">
        <v>50</v>
      </c>
      <c r="J1411" t="s">
        <v>48</v>
      </c>
      <c r="K1411" s="2">
        <v>46073</v>
      </c>
      <c r="L1411" s="2">
        <v>46163</v>
      </c>
      <c r="M1411" t="s">
        <v>38</v>
      </c>
      <c r="N1411" t="s">
        <v>75</v>
      </c>
      <c r="O1411">
        <v>1</v>
      </c>
      <c r="P1411" t="s">
        <v>111</v>
      </c>
      <c r="Q1411" s="2">
        <v>46400</v>
      </c>
      <c r="R1411" t="s">
        <v>84</v>
      </c>
    </row>
    <row r="1412" spans="1:18" x14ac:dyDescent="0.2">
      <c r="A1412" t="s">
        <v>2882</v>
      </c>
      <c r="B1412" t="s">
        <v>2883</v>
      </c>
      <c r="C1412" t="s">
        <v>42</v>
      </c>
      <c r="D1412" t="s">
        <v>43</v>
      </c>
      <c r="E1412" t="s">
        <v>91</v>
      </c>
      <c r="F1412" t="s">
        <v>34</v>
      </c>
      <c r="G1412" t="s">
        <v>35</v>
      </c>
      <c r="H1412" t="s">
        <v>36</v>
      </c>
      <c r="I1412" t="s">
        <v>56</v>
      </c>
      <c r="J1412" t="s">
        <v>48</v>
      </c>
      <c r="K1412" s="2">
        <v>45876</v>
      </c>
      <c r="L1412" s="2">
        <v>46056</v>
      </c>
      <c r="M1412" t="s">
        <v>38</v>
      </c>
      <c r="N1412" t="s">
        <v>75</v>
      </c>
      <c r="O1412">
        <v>1</v>
      </c>
      <c r="P1412" t="s">
        <v>54</v>
      </c>
      <c r="Q1412" s="2">
        <v>46281</v>
      </c>
      <c r="R1412" t="s">
        <v>38</v>
      </c>
    </row>
    <row r="1413" spans="1:18" x14ac:dyDescent="0.2">
      <c r="A1413" t="s">
        <v>2884</v>
      </c>
      <c r="B1413" t="s">
        <v>2885</v>
      </c>
      <c r="C1413" t="s">
        <v>73</v>
      </c>
      <c r="D1413" t="s">
        <v>74</v>
      </c>
      <c r="E1413" t="s">
        <v>44</v>
      </c>
      <c r="F1413" t="s">
        <v>45</v>
      </c>
      <c r="G1413" t="s">
        <v>46</v>
      </c>
      <c r="H1413" t="s">
        <v>98</v>
      </c>
      <c r="I1413" t="s">
        <v>39</v>
      </c>
      <c r="J1413" t="s">
        <v>63</v>
      </c>
      <c r="K1413" s="2">
        <v>45951</v>
      </c>
      <c r="L1413" s="2">
        <v>46041</v>
      </c>
      <c r="M1413" t="s">
        <v>38</v>
      </c>
      <c r="N1413" t="s">
        <v>49</v>
      </c>
      <c r="O1413">
        <v>2</v>
      </c>
      <c r="P1413" t="s">
        <v>50</v>
      </c>
      <c r="Q1413" s="2">
        <v>46244</v>
      </c>
      <c r="R1413" t="s">
        <v>38</v>
      </c>
    </row>
    <row r="1414" spans="1:18" x14ac:dyDescent="0.2">
      <c r="A1414" t="s">
        <v>2886</v>
      </c>
      <c r="B1414" t="s">
        <v>2887</v>
      </c>
      <c r="C1414" t="s">
        <v>31</v>
      </c>
      <c r="D1414" t="s">
        <v>87</v>
      </c>
      <c r="E1414" t="s">
        <v>44</v>
      </c>
      <c r="F1414" t="s">
        <v>34</v>
      </c>
      <c r="G1414" t="s">
        <v>35</v>
      </c>
      <c r="H1414" t="s">
        <v>36</v>
      </c>
      <c r="I1414" t="s">
        <v>106</v>
      </c>
      <c r="J1414" t="s">
        <v>48</v>
      </c>
      <c r="K1414" s="2">
        <v>46068</v>
      </c>
      <c r="L1414" s="2">
        <v>46158</v>
      </c>
      <c r="M1414" t="s">
        <v>38</v>
      </c>
      <c r="N1414" t="s">
        <v>75</v>
      </c>
      <c r="O1414">
        <v>1</v>
      </c>
      <c r="P1414" t="s">
        <v>111</v>
      </c>
      <c r="Q1414" s="2">
        <v>46287</v>
      </c>
      <c r="R1414" t="s">
        <v>64</v>
      </c>
    </row>
    <row r="1415" spans="1:18" x14ac:dyDescent="0.2">
      <c r="A1415" t="s">
        <v>2888</v>
      </c>
      <c r="B1415" t="s">
        <v>2889</v>
      </c>
      <c r="C1415" t="s">
        <v>31</v>
      </c>
      <c r="D1415" t="s">
        <v>87</v>
      </c>
      <c r="E1415" t="s">
        <v>91</v>
      </c>
      <c r="F1415" t="s">
        <v>45</v>
      </c>
      <c r="G1415" t="s">
        <v>46</v>
      </c>
      <c r="H1415" t="s">
        <v>47</v>
      </c>
      <c r="J1415" t="s">
        <v>63</v>
      </c>
      <c r="K1415" s="2">
        <v>46247</v>
      </c>
      <c r="L1415" s="2">
        <v>46427</v>
      </c>
      <c r="M1415" t="s">
        <v>64</v>
      </c>
      <c r="N1415" t="s">
        <v>75</v>
      </c>
      <c r="O1415">
        <v>2</v>
      </c>
      <c r="P1415" t="s">
        <v>106</v>
      </c>
      <c r="Q1415" s="2">
        <v>46168</v>
      </c>
      <c r="R1415" t="s">
        <v>38</v>
      </c>
    </row>
    <row r="1416" spans="1:18" x14ac:dyDescent="0.2">
      <c r="A1416" t="s">
        <v>2890</v>
      </c>
      <c r="B1416" t="s">
        <v>2891</v>
      </c>
      <c r="C1416" t="s">
        <v>78</v>
      </c>
      <c r="D1416" t="s">
        <v>79</v>
      </c>
      <c r="E1416" t="s">
        <v>105</v>
      </c>
      <c r="F1416" t="s">
        <v>45</v>
      </c>
      <c r="G1416" t="s">
        <v>61</v>
      </c>
      <c r="H1416" t="s">
        <v>88</v>
      </c>
      <c r="I1416" t="s">
        <v>106</v>
      </c>
      <c r="J1416" t="s">
        <v>37</v>
      </c>
      <c r="K1416" s="2">
        <v>46199</v>
      </c>
      <c r="L1416" s="2">
        <v>46289</v>
      </c>
      <c r="M1416" t="s">
        <v>38</v>
      </c>
      <c r="O1416">
        <v>0</v>
      </c>
      <c r="P1416" t="s">
        <v>39</v>
      </c>
      <c r="Q1416" s="2">
        <v>46227</v>
      </c>
      <c r="R1416" t="s">
        <v>57</v>
      </c>
    </row>
    <row r="1417" spans="1:18" x14ac:dyDescent="0.2">
      <c r="A1417" t="s">
        <v>2892</v>
      </c>
      <c r="B1417" t="s">
        <v>2893</v>
      </c>
      <c r="C1417" t="s">
        <v>42</v>
      </c>
      <c r="D1417" t="s">
        <v>43</v>
      </c>
      <c r="E1417" t="s">
        <v>91</v>
      </c>
      <c r="F1417" t="s">
        <v>34</v>
      </c>
      <c r="G1417" t="s">
        <v>35</v>
      </c>
      <c r="H1417" t="s">
        <v>88</v>
      </c>
      <c r="I1417" t="s">
        <v>111</v>
      </c>
      <c r="J1417" t="s">
        <v>37</v>
      </c>
      <c r="K1417" s="2">
        <v>45939</v>
      </c>
      <c r="L1417" s="2">
        <v>46119</v>
      </c>
      <c r="M1417" t="s">
        <v>38</v>
      </c>
      <c r="N1417" t="s">
        <v>75</v>
      </c>
      <c r="O1417">
        <v>0</v>
      </c>
      <c r="P1417" t="s">
        <v>39</v>
      </c>
      <c r="Q1417" s="2">
        <v>46275</v>
      </c>
      <c r="R1417" t="s">
        <v>57</v>
      </c>
    </row>
    <row r="1418" spans="1:18" x14ac:dyDescent="0.2">
      <c r="A1418" t="s">
        <v>2894</v>
      </c>
      <c r="B1418" t="s">
        <v>2895</v>
      </c>
      <c r="C1418" t="s">
        <v>31</v>
      </c>
      <c r="D1418" t="s">
        <v>32</v>
      </c>
      <c r="E1418" t="s">
        <v>53</v>
      </c>
      <c r="F1418" t="s">
        <v>67</v>
      </c>
      <c r="G1418" t="s">
        <v>118</v>
      </c>
      <c r="H1418" t="s">
        <v>88</v>
      </c>
      <c r="I1418" t="s">
        <v>50</v>
      </c>
      <c r="J1418" t="s">
        <v>63</v>
      </c>
      <c r="K1418" s="2">
        <v>45796</v>
      </c>
      <c r="L1418" s="2">
        <v>46161</v>
      </c>
      <c r="M1418" t="s">
        <v>38</v>
      </c>
      <c r="N1418" t="s">
        <v>49</v>
      </c>
      <c r="O1418">
        <v>0</v>
      </c>
      <c r="P1418" t="s">
        <v>56</v>
      </c>
      <c r="Q1418" s="2">
        <v>46303</v>
      </c>
      <c r="R1418" t="s">
        <v>57</v>
      </c>
    </row>
    <row r="1419" spans="1:18" x14ac:dyDescent="0.2">
      <c r="A1419" t="s">
        <v>2896</v>
      </c>
      <c r="B1419" t="s">
        <v>2897</v>
      </c>
      <c r="C1419" t="s">
        <v>31</v>
      </c>
      <c r="D1419" t="s">
        <v>32</v>
      </c>
      <c r="E1419" t="s">
        <v>60</v>
      </c>
      <c r="F1419" t="s">
        <v>45</v>
      </c>
      <c r="G1419" t="s">
        <v>46</v>
      </c>
      <c r="H1419" t="s">
        <v>36</v>
      </c>
      <c r="I1419" t="s">
        <v>106</v>
      </c>
      <c r="J1419" t="s">
        <v>63</v>
      </c>
      <c r="K1419" s="2">
        <v>46107</v>
      </c>
      <c r="L1419" s="2">
        <v>46287</v>
      </c>
      <c r="M1419" t="s">
        <v>38</v>
      </c>
      <c r="N1419" t="s">
        <v>75</v>
      </c>
      <c r="O1419">
        <v>0</v>
      </c>
      <c r="P1419" t="s">
        <v>62</v>
      </c>
      <c r="Q1419" s="2">
        <v>46406</v>
      </c>
      <c r="R1419" t="s">
        <v>57</v>
      </c>
    </row>
    <row r="1420" spans="1:18" x14ac:dyDescent="0.2">
      <c r="A1420" t="s">
        <v>2898</v>
      </c>
      <c r="B1420" t="s">
        <v>2899</v>
      </c>
      <c r="C1420" t="s">
        <v>31</v>
      </c>
      <c r="D1420" t="s">
        <v>87</v>
      </c>
      <c r="E1420" t="s">
        <v>60</v>
      </c>
      <c r="F1420" t="s">
        <v>34</v>
      </c>
      <c r="G1420" t="s">
        <v>35</v>
      </c>
      <c r="H1420" t="s">
        <v>88</v>
      </c>
      <c r="I1420" t="s">
        <v>111</v>
      </c>
      <c r="J1420" t="s">
        <v>48</v>
      </c>
      <c r="K1420" s="2">
        <v>46092</v>
      </c>
      <c r="L1420" s="2">
        <v>46182</v>
      </c>
      <c r="M1420" t="s">
        <v>38</v>
      </c>
      <c r="N1420" t="s">
        <v>55</v>
      </c>
      <c r="O1420">
        <v>3</v>
      </c>
      <c r="P1420" t="s">
        <v>62</v>
      </c>
      <c r="Q1420" s="2">
        <v>46115</v>
      </c>
      <c r="R1420" t="s">
        <v>38</v>
      </c>
    </row>
    <row r="1421" spans="1:18" x14ac:dyDescent="0.2">
      <c r="A1421" t="s">
        <v>2900</v>
      </c>
      <c r="B1421" t="s">
        <v>2901</v>
      </c>
      <c r="C1421" t="s">
        <v>103</v>
      </c>
      <c r="D1421" t="s">
        <v>104</v>
      </c>
      <c r="E1421" t="s">
        <v>105</v>
      </c>
      <c r="F1421" t="s">
        <v>45</v>
      </c>
      <c r="G1421" t="s">
        <v>46</v>
      </c>
      <c r="H1421" t="s">
        <v>88</v>
      </c>
      <c r="I1421" t="s">
        <v>111</v>
      </c>
      <c r="J1421" t="s">
        <v>63</v>
      </c>
      <c r="K1421" s="2">
        <v>46226</v>
      </c>
      <c r="L1421" s="2">
        <v>46316</v>
      </c>
      <c r="M1421" t="s">
        <v>84</v>
      </c>
      <c r="N1421" t="s">
        <v>55</v>
      </c>
      <c r="O1421">
        <v>2</v>
      </c>
      <c r="P1421" t="s">
        <v>62</v>
      </c>
      <c r="Q1421" s="2">
        <v>46152</v>
      </c>
      <c r="R1421" t="s">
        <v>38</v>
      </c>
    </row>
    <row r="1422" spans="1:18" x14ac:dyDescent="0.2">
      <c r="A1422" t="s">
        <v>2902</v>
      </c>
      <c r="B1422" t="s">
        <v>2903</v>
      </c>
      <c r="C1422" t="s">
        <v>78</v>
      </c>
      <c r="D1422" t="s">
        <v>79</v>
      </c>
      <c r="E1422" t="s">
        <v>80</v>
      </c>
      <c r="F1422" t="s">
        <v>34</v>
      </c>
      <c r="G1422" t="s">
        <v>35</v>
      </c>
      <c r="H1422" t="s">
        <v>88</v>
      </c>
      <c r="I1422" t="s">
        <v>111</v>
      </c>
      <c r="J1422" t="s">
        <v>37</v>
      </c>
      <c r="K1422" s="2">
        <v>46068</v>
      </c>
      <c r="L1422" s="2">
        <v>46158</v>
      </c>
      <c r="M1422" t="s">
        <v>38</v>
      </c>
      <c r="N1422" t="s">
        <v>49</v>
      </c>
      <c r="O1422">
        <v>3</v>
      </c>
      <c r="P1422" t="s">
        <v>54</v>
      </c>
      <c r="Q1422" s="2">
        <v>46225</v>
      </c>
      <c r="R1422" t="s">
        <v>64</v>
      </c>
    </row>
    <row r="1423" spans="1:18" x14ac:dyDescent="0.2">
      <c r="A1423" t="s">
        <v>2904</v>
      </c>
      <c r="B1423" t="s">
        <v>2905</v>
      </c>
      <c r="C1423" t="s">
        <v>96</v>
      </c>
      <c r="D1423" t="s">
        <v>97</v>
      </c>
      <c r="E1423" t="s">
        <v>44</v>
      </c>
      <c r="F1423" t="s">
        <v>45</v>
      </c>
      <c r="G1423" t="s">
        <v>46</v>
      </c>
      <c r="H1423" t="s">
        <v>88</v>
      </c>
      <c r="I1423" t="s">
        <v>62</v>
      </c>
      <c r="J1423" t="s">
        <v>63</v>
      </c>
      <c r="K1423" s="2">
        <v>45930</v>
      </c>
      <c r="L1423" s="2">
        <v>46020</v>
      </c>
      <c r="M1423" t="s">
        <v>38</v>
      </c>
      <c r="N1423" t="s">
        <v>75</v>
      </c>
      <c r="O1423">
        <v>2</v>
      </c>
      <c r="P1423" t="s">
        <v>62</v>
      </c>
      <c r="Q1423" s="2">
        <v>46410</v>
      </c>
      <c r="R1423" t="s">
        <v>84</v>
      </c>
    </row>
    <row r="1424" spans="1:18" x14ac:dyDescent="0.2">
      <c r="A1424" t="s">
        <v>2906</v>
      </c>
      <c r="B1424" t="s">
        <v>2907</v>
      </c>
      <c r="C1424" t="s">
        <v>73</v>
      </c>
      <c r="D1424" t="s">
        <v>74</v>
      </c>
      <c r="E1424" t="s">
        <v>91</v>
      </c>
      <c r="F1424" t="s">
        <v>67</v>
      </c>
      <c r="G1424" t="s">
        <v>68</v>
      </c>
      <c r="H1424" t="s">
        <v>98</v>
      </c>
      <c r="I1424" t="s">
        <v>56</v>
      </c>
      <c r="J1424" t="s">
        <v>48</v>
      </c>
      <c r="K1424" s="2">
        <v>46172</v>
      </c>
      <c r="L1424" s="2">
        <v>46262</v>
      </c>
      <c r="M1424" t="s">
        <v>38</v>
      </c>
      <c r="N1424" t="s">
        <v>49</v>
      </c>
      <c r="O1424">
        <v>0</v>
      </c>
      <c r="P1424" t="s">
        <v>39</v>
      </c>
      <c r="Q1424" s="2">
        <v>46310</v>
      </c>
      <c r="R1424" t="s">
        <v>57</v>
      </c>
    </row>
    <row r="1425" spans="1:18" x14ac:dyDescent="0.2">
      <c r="A1425" t="s">
        <v>2908</v>
      </c>
      <c r="B1425" t="s">
        <v>2909</v>
      </c>
      <c r="C1425" t="s">
        <v>96</v>
      </c>
      <c r="D1425" t="s">
        <v>97</v>
      </c>
      <c r="E1425" t="s">
        <v>44</v>
      </c>
      <c r="F1425" t="s">
        <v>34</v>
      </c>
      <c r="G1425" t="s">
        <v>35</v>
      </c>
      <c r="H1425" t="s">
        <v>47</v>
      </c>
      <c r="I1425" t="s">
        <v>50</v>
      </c>
      <c r="J1425" t="s">
        <v>37</v>
      </c>
      <c r="K1425" s="2">
        <v>46252</v>
      </c>
      <c r="L1425" s="2">
        <v>46342</v>
      </c>
      <c r="M1425" t="s">
        <v>64</v>
      </c>
      <c r="N1425" t="s">
        <v>55</v>
      </c>
      <c r="O1425">
        <v>2</v>
      </c>
      <c r="P1425" t="s">
        <v>56</v>
      </c>
      <c r="Q1425" s="2">
        <v>46127</v>
      </c>
      <c r="R1425" t="s">
        <v>38</v>
      </c>
    </row>
    <row r="1426" spans="1:18" x14ac:dyDescent="0.2">
      <c r="A1426" t="s">
        <v>2910</v>
      </c>
      <c r="B1426" t="s">
        <v>2911</v>
      </c>
      <c r="C1426" t="s">
        <v>78</v>
      </c>
      <c r="D1426" t="s">
        <v>79</v>
      </c>
      <c r="E1426" t="s">
        <v>53</v>
      </c>
      <c r="F1426" t="s">
        <v>67</v>
      </c>
      <c r="G1426" t="s">
        <v>118</v>
      </c>
      <c r="H1426" t="s">
        <v>88</v>
      </c>
      <c r="I1426" t="s">
        <v>39</v>
      </c>
      <c r="J1426" t="s">
        <v>37</v>
      </c>
      <c r="K1426" s="2">
        <v>46275</v>
      </c>
      <c r="L1426" s="2">
        <v>46365</v>
      </c>
      <c r="M1426" t="s">
        <v>64</v>
      </c>
      <c r="N1426" t="s">
        <v>49</v>
      </c>
      <c r="O1426">
        <v>3</v>
      </c>
      <c r="P1426" t="s">
        <v>56</v>
      </c>
      <c r="Q1426" s="2">
        <v>46317</v>
      </c>
      <c r="R1426" t="s">
        <v>64</v>
      </c>
    </row>
    <row r="1427" spans="1:18" x14ac:dyDescent="0.2">
      <c r="A1427" t="s">
        <v>2912</v>
      </c>
      <c r="B1427" t="s">
        <v>2913</v>
      </c>
      <c r="C1427" t="s">
        <v>78</v>
      </c>
      <c r="D1427" t="s">
        <v>79</v>
      </c>
      <c r="E1427" t="s">
        <v>60</v>
      </c>
      <c r="F1427" t="s">
        <v>34</v>
      </c>
      <c r="G1427" t="s">
        <v>35</v>
      </c>
      <c r="H1427" t="s">
        <v>88</v>
      </c>
      <c r="I1427" t="s">
        <v>56</v>
      </c>
      <c r="J1427" t="s">
        <v>48</v>
      </c>
      <c r="K1427" s="2">
        <v>45822</v>
      </c>
      <c r="L1427" s="2">
        <v>45912</v>
      </c>
      <c r="M1427" t="s">
        <v>38</v>
      </c>
      <c r="N1427" t="s">
        <v>75</v>
      </c>
      <c r="O1427">
        <v>1</v>
      </c>
      <c r="P1427" t="s">
        <v>56</v>
      </c>
      <c r="Q1427" s="2">
        <v>46312</v>
      </c>
      <c r="R1427" t="s">
        <v>84</v>
      </c>
    </row>
    <row r="1428" spans="1:18" x14ac:dyDescent="0.2">
      <c r="A1428" t="s">
        <v>2914</v>
      </c>
      <c r="B1428" t="s">
        <v>2915</v>
      </c>
      <c r="C1428" t="s">
        <v>42</v>
      </c>
      <c r="D1428" t="s">
        <v>43</v>
      </c>
      <c r="E1428" t="s">
        <v>105</v>
      </c>
      <c r="F1428" t="s">
        <v>67</v>
      </c>
      <c r="G1428" t="s">
        <v>68</v>
      </c>
      <c r="H1428" t="s">
        <v>88</v>
      </c>
      <c r="I1428" t="s">
        <v>106</v>
      </c>
      <c r="J1428" t="s">
        <v>37</v>
      </c>
      <c r="K1428" s="2">
        <v>46114</v>
      </c>
      <c r="L1428" s="2">
        <v>46479</v>
      </c>
      <c r="M1428" t="s">
        <v>64</v>
      </c>
      <c r="N1428" t="s">
        <v>55</v>
      </c>
      <c r="O1428">
        <v>0</v>
      </c>
      <c r="P1428" t="s">
        <v>50</v>
      </c>
      <c r="Q1428" s="2">
        <v>46312</v>
      </c>
      <c r="R1428" t="s">
        <v>57</v>
      </c>
    </row>
    <row r="1429" spans="1:18" x14ac:dyDescent="0.2">
      <c r="A1429" t="s">
        <v>2916</v>
      </c>
      <c r="B1429" t="s">
        <v>2917</v>
      </c>
      <c r="C1429" t="s">
        <v>96</v>
      </c>
      <c r="D1429" t="s">
        <v>97</v>
      </c>
      <c r="E1429" t="s">
        <v>105</v>
      </c>
      <c r="F1429" t="s">
        <v>67</v>
      </c>
      <c r="G1429" t="s">
        <v>118</v>
      </c>
      <c r="H1429" t="s">
        <v>47</v>
      </c>
      <c r="I1429" t="s">
        <v>106</v>
      </c>
      <c r="J1429" t="s">
        <v>48</v>
      </c>
      <c r="K1429" s="2">
        <v>46205</v>
      </c>
      <c r="L1429" s="2">
        <v>46570</v>
      </c>
      <c r="M1429" t="s">
        <v>84</v>
      </c>
      <c r="N1429" t="s">
        <v>75</v>
      </c>
      <c r="O1429">
        <v>1</v>
      </c>
      <c r="P1429" t="s">
        <v>50</v>
      </c>
      <c r="Q1429" s="2">
        <v>46140</v>
      </c>
      <c r="R1429" t="s">
        <v>38</v>
      </c>
    </row>
    <row r="1430" spans="1:18" x14ac:dyDescent="0.2">
      <c r="A1430" t="s">
        <v>2918</v>
      </c>
      <c r="B1430" t="s">
        <v>2919</v>
      </c>
      <c r="C1430" t="s">
        <v>31</v>
      </c>
      <c r="D1430" t="s">
        <v>32</v>
      </c>
      <c r="E1430" t="s">
        <v>105</v>
      </c>
      <c r="F1430" t="s">
        <v>67</v>
      </c>
      <c r="G1430" t="s">
        <v>118</v>
      </c>
      <c r="H1430" t="s">
        <v>47</v>
      </c>
      <c r="I1430" t="s">
        <v>50</v>
      </c>
      <c r="J1430" t="s">
        <v>37</v>
      </c>
      <c r="K1430" s="2">
        <v>46039</v>
      </c>
      <c r="L1430" s="2">
        <v>46219</v>
      </c>
      <c r="M1430" t="s">
        <v>38</v>
      </c>
      <c r="N1430" t="s">
        <v>49</v>
      </c>
      <c r="O1430">
        <v>1</v>
      </c>
      <c r="P1430" t="s">
        <v>56</v>
      </c>
      <c r="Q1430" s="2">
        <v>46333</v>
      </c>
      <c r="R1430" t="s">
        <v>64</v>
      </c>
    </row>
    <row r="1431" spans="1:18" x14ac:dyDescent="0.2">
      <c r="A1431" t="s">
        <v>2920</v>
      </c>
      <c r="B1431" t="s">
        <v>2921</v>
      </c>
      <c r="C1431" t="s">
        <v>42</v>
      </c>
      <c r="D1431" t="s">
        <v>43</v>
      </c>
      <c r="E1431" t="s">
        <v>60</v>
      </c>
      <c r="F1431" t="s">
        <v>34</v>
      </c>
      <c r="G1431" t="s">
        <v>35</v>
      </c>
      <c r="H1431" t="s">
        <v>88</v>
      </c>
      <c r="I1431" t="s">
        <v>56</v>
      </c>
      <c r="J1431" t="s">
        <v>48</v>
      </c>
      <c r="K1431" s="2">
        <v>46064</v>
      </c>
      <c r="L1431" s="2">
        <v>46429</v>
      </c>
      <c r="M1431" t="s">
        <v>64</v>
      </c>
      <c r="N1431" t="s">
        <v>75</v>
      </c>
      <c r="O1431">
        <v>2</v>
      </c>
      <c r="P1431" t="s">
        <v>56</v>
      </c>
      <c r="Q1431" s="2">
        <v>46249</v>
      </c>
      <c r="R1431" t="s">
        <v>38</v>
      </c>
    </row>
    <row r="1432" spans="1:18" x14ac:dyDescent="0.2">
      <c r="A1432" t="s">
        <v>2922</v>
      </c>
      <c r="B1432" t="s">
        <v>2923</v>
      </c>
      <c r="C1432" t="s">
        <v>103</v>
      </c>
      <c r="D1432" t="s">
        <v>104</v>
      </c>
      <c r="E1432" t="s">
        <v>105</v>
      </c>
      <c r="F1432" t="s">
        <v>34</v>
      </c>
      <c r="G1432" t="s">
        <v>35</v>
      </c>
      <c r="H1432" t="s">
        <v>36</v>
      </c>
      <c r="I1432" t="s">
        <v>56</v>
      </c>
      <c r="J1432" t="s">
        <v>63</v>
      </c>
      <c r="K1432" s="2">
        <v>45962</v>
      </c>
      <c r="L1432" s="2">
        <v>46052</v>
      </c>
      <c r="M1432" t="s">
        <v>38</v>
      </c>
      <c r="N1432" t="s">
        <v>75</v>
      </c>
      <c r="O1432">
        <v>4</v>
      </c>
      <c r="P1432" t="s">
        <v>56</v>
      </c>
      <c r="Q1432" s="2">
        <v>46240</v>
      </c>
      <c r="R1432" t="s">
        <v>38</v>
      </c>
    </row>
    <row r="1433" spans="1:18" x14ac:dyDescent="0.2">
      <c r="A1433" t="s">
        <v>2924</v>
      </c>
      <c r="B1433" t="s">
        <v>2925</v>
      </c>
      <c r="C1433" t="s">
        <v>31</v>
      </c>
      <c r="D1433" t="s">
        <v>83</v>
      </c>
      <c r="E1433" t="s">
        <v>53</v>
      </c>
      <c r="F1433" t="s">
        <v>67</v>
      </c>
      <c r="G1433" t="s">
        <v>118</v>
      </c>
      <c r="H1433" t="s">
        <v>47</v>
      </c>
      <c r="I1433" t="s">
        <v>56</v>
      </c>
      <c r="J1433" t="s">
        <v>48</v>
      </c>
      <c r="K1433" s="2">
        <v>45826</v>
      </c>
      <c r="L1433" s="2">
        <v>46006</v>
      </c>
      <c r="M1433" t="s">
        <v>38</v>
      </c>
      <c r="N1433" t="s">
        <v>75</v>
      </c>
      <c r="O1433">
        <v>0</v>
      </c>
      <c r="P1433" t="s">
        <v>39</v>
      </c>
      <c r="Q1433" s="2">
        <v>46384</v>
      </c>
      <c r="R1433" t="s">
        <v>57</v>
      </c>
    </row>
    <row r="1434" spans="1:18" x14ac:dyDescent="0.2">
      <c r="A1434" t="s">
        <v>2926</v>
      </c>
      <c r="B1434" t="s">
        <v>2927</v>
      </c>
      <c r="C1434" t="s">
        <v>31</v>
      </c>
      <c r="D1434" t="s">
        <v>32</v>
      </c>
      <c r="E1434" t="s">
        <v>60</v>
      </c>
      <c r="F1434" t="s">
        <v>34</v>
      </c>
      <c r="G1434" t="s">
        <v>35</v>
      </c>
      <c r="H1434" t="s">
        <v>88</v>
      </c>
      <c r="I1434" t="s">
        <v>111</v>
      </c>
      <c r="J1434" t="s">
        <v>63</v>
      </c>
      <c r="K1434" s="2">
        <v>45905</v>
      </c>
      <c r="L1434" s="2">
        <v>45995</v>
      </c>
      <c r="M1434" t="s">
        <v>38</v>
      </c>
      <c r="N1434" t="s">
        <v>49</v>
      </c>
      <c r="O1434">
        <v>2</v>
      </c>
      <c r="P1434" t="s">
        <v>111</v>
      </c>
      <c r="Q1434" s="2">
        <v>46166</v>
      </c>
      <c r="R1434" t="s">
        <v>64</v>
      </c>
    </row>
    <row r="1435" spans="1:18" x14ac:dyDescent="0.2">
      <c r="A1435" t="s">
        <v>2928</v>
      </c>
      <c r="B1435" t="s">
        <v>2929</v>
      </c>
      <c r="C1435" t="s">
        <v>73</v>
      </c>
      <c r="D1435" t="s">
        <v>74</v>
      </c>
      <c r="E1435" t="s">
        <v>91</v>
      </c>
      <c r="F1435" t="s">
        <v>45</v>
      </c>
      <c r="G1435" t="s">
        <v>46</v>
      </c>
      <c r="H1435" t="s">
        <v>47</v>
      </c>
      <c r="I1435" t="s">
        <v>111</v>
      </c>
      <c r="J1435" t="s">
        <v>37</v>
      </c>
      <c r="K1435" s="2">
        <v>45886</v>
      </c>
      <c r="L1435" s="2">
        <v>45976</v>
      </c>
      <c r="M1435" t="s">
        <v>38</v>
      </c>
      <c r="N1435" t="s">
        <v>75</v>
      </c>
      <c r="O1435">
        <v>2</v>
      </c>
      <c r="P1435" t="s">
        <v>62</v>
      </c>
      <c r="Q1435" s="2">
        <v>46269</v>
      </c>
      <c r="R1435" t="s">
        <v>38</v>
      </c>
    </row>
    <row r="1436" spans="1:18" x14ac:dyDescent="0.2">
      <c r="A1436" t="s">
        <v>2930</v>
      </c>
      <c r="B1436" t="s">
        <v>2931</v>
      </c>
      <c r="C1436" t="s">
        <v>42</v>
      </c>
      <c r="D1436" t="s">
        <v>43</v>
      </c>
      <c r="E1436" t="s">
        <v>80</v>
      </c>
      <c r="F1436" t="s">
        <v>67</v>
      </c>
      <c r="G1436" t="s">
        <v>118</v>
      </c>
      <c r="H1436" t="s">
        <v>36</v>
      </c>
      <c r="I1436" t="s">
        <v>50</v>
      </c>
      <c r="J1436" t="s">
        <v>37</v>
      </c>
      <c r="K1436" s="2">
        <v>45836</v>
      </c>
      <c r="L1436" s="2">
        <v>45926</v>
      </c>
      <c r="M1436" t="s">
        <v>38</v>
      </c>
      <c r="N1436" t="s">
        <v>55</v>
      </c>
      <c r="O1436">
        <v>1</v>
      </c>
      <c r="P1436" t="s">
        <v>56</v>
      </c>
      <c r="Q1436" s="2">
        <v>46120</v>
      </c>
      <c r="R1436" t="s">
        <v>64</v>
      </c>
    </row>
    <row r="1437" spans="1:18" x14ac:dyDescent="0.2">
      <c r="A1437" t="s">
        <v>2932</v>
      </c>
      <c r="B1437" t="s">
        <v>2933</v>
      </c>
      <c r="C1437" t="s">
        <v>31</v>
      </c>
      <c r="D1437" t="s">
        <v>32</v>
      </c>
      <c r="E1437" t="s">
        <v>44</v>
      </c>
      <c r="F1437" t="s">
        <v>67</v>
      </c>
      <c r="G1437" t="s">
        <v>68</v>
      </c>
      <c r="H1437" t="s">
        <v>36</v>
      </c>
      <c r="I1437" t="s">
        <v>54</v>
      </c>
      <c r="J1437" t="s">
        <v>63</v>
      </c>
      <c r="K1437" s="2">
        <v>45985</v>
      </c>
      <c r="L1437" s="2">
        <v>46075</v>
      </c>
      <c r="M1437" t="s">
        <v>38</v>
      </c>
      <c r="N1437" t="s">
        <v>55</v>
      </c>
      <c r="O1437">
        <v>1</v>
      </c>
      <c r="P1437" t="s">
        <v>111</v>
      </c>
      <c r="Q1437" s="2">
        <v>46297</v>
      </c>
      <c r="R1437" t="s">
        <v>64</v>
      </c>
    </row>
    <row r="1438" spans="1:18" x14ac:dyDescent="0.2">
      <c r="A1438" t="s">
        <v>2934</v>
      </c>
      <c r="B1438" t="s">
        <v>2935</v>
      </c>
      <c r="C1438" t="s">
        <v>103</v>
      </c>
      <c r="D1438" t="s">
        <v>104</v>
      </c>
      <c r="E1438" t="s">
        <v>53</v>
      </c>
      <c r="F1438" t="s">
        <v>67</v>
      </c>
      <c r="G1438" t="s">
        <v>118</v>
      </c>
      <c r="H1438" t="s">
        <v>88</v>
      </c>
      <c r="I1438" t="s">
        <v>62</v>
      </c>
      <c r="J1438" t="s">
        <v>37</v>
      </c>
      <c r="K1438" s="2">
        <v>46178</v>
      </c>
      <c r="L1438" s="2">
        <v>46358</v>
      </c>
      <c r="M1438" t="s">
        <v>69</v>
      </c>
      <c r="N1438" t="s">
        <v>55</v>
      </c>
      <c r="O1438">
        <v>3</v>
      </c>
      <c r="P1438" t="s">
        <v>106</v>
      </c>
      <c r="Q1438" s="2">
        <v>46155</v>
      </c>
      <c r="R1438" t="s">
        <v>38</v>
      </c>
    </row>
    <row r="1439" spans="1:18" x14ac:dyDescent="0.2">
      <c r="A1439" t="s">
        <v>2936</v>
      </c>
      <c r="B1439" t="s">
        <v>2937</v>
      </c>
      <c r="C1439" t="s">
        <v>103</v>
      </c>
      <c r="D1439" t="s">
        <v>104</v>
      </c>
      <c r="E1439" t="s">
        <v>44</v>
      </c>
      <c r="F1439" t="s">
        <v>34</v>
      </c>
      <c r="G1439" t="s">
        <v>35</v>
      </c>
      <c r="H1439" t="s">
        <v>47</v>
      </c>
      <c r="I1439" t="s">
        <v>106</v>
      </c>
      <c r="J1439" t="s">
        <v>63</v>
      </c>
      <c r="K1439" s="2">
        <v>46072</v>
      </c>
      <c r="L1439" s="2">
        <v>46252</v>
      </c>
      <c r="M1439" t="s">
        <v>38</v>
      </c>
      <c r="N1439" t="s">
        <v>55</v>
      </c>
      <c r="O1439">
        <v>0</v>
      </c>
      <c r="P1439" t="s">
        <v>106</v>
      </c>
      <c r="Q1439" s="2">
        <v>46152</v>
      </c>
      <c r="R1439" t="s">
        <v>57</v>
      </c>
    </row>
    <row r="1440" spans="1:18" x14ac:dyDescent="0.2">
      <c r="A1440" t="s">
        <v>2938</v>
      </c>
      <c r="B1440" t="s">
        <v>2939</v>
      </c>
      <c r="C1440" t="s">
        <v>103</v>
      </c>
      <c r="D1440" t="s">
        <v>104</v>
      </c>
      <c r="E1440" t="s">
        <v>53</v>
      </c>
      <c r="F1440" t="s">
        <v>45</v>
      </c>
      <c r="G1440" t="s">
        <v>1215</v>
      </c>
      <c r="H1440" t="s">
        <v>36</v>
      </c>
      <c r="I1440" t="s">
        <v>54</v>
      </c>
      <c r="J1440" t="s">
        <v>37</v>
      </c>
      <c r="K1440" s="2">
        <v>45851</v>
      </c>
      <c r="L1440" s="2">
        <v>46031</v>
      </c>
      <c r="M1440" t="s">
        <v>38</v>
      </c>
      <c r="N1440" t="s">
        <v>55</v>
      </c>
      <c r="O1440">
        <v>5</v>
      </c>
      <c r="P1440" t="s">
        <v>111</v>
      </c>
      <c r="Q1440" s="2">
        <v>46184</v>
      </c>
      <c r="R1440" t="s">
        <v>64</v>
      </c>
    </row>
    <row r="1441" spans="1:18" x14ac:dyDescent="0.2">
      <c r="A1441" t="s">
        <v>2940</v>
      </c>
      <c r="B1441" t="s">
        <v>2941</v>
      </c>
      <c r="C1441" t="s">
        <v>78</v>
      </c>
      <c r="D1441" t="s">
        <v>79</v>
      </c>
      <c r="E1441" t="s">
        <v>53</v>
      </c>
      <c r="F1441" t="s">
        <v>67</v>
      </c>
      <c r="G1441" t="s">
        <v>68</v>
      </c>
      <c r="H1441" t="s">
        <v>88</v>
      </c>
      <c r="I1441" t="s">
        <v>70</v>
      </c>
      <c r="J1441" t="s">
        <v>63</v>
      </c>
      <c r="K1441" s="2">
        <v>46266</v>
      </c>
      <c r="L1441" s="2">
        <v>46446</v>
      </c>
      <c r="M1441" t="s">
        <v>64</v>
      </c>
      <c r="N1441" t="s">
        <v>75</v>
      </c>
      <c r="O1441">
        <v>3</v>
      </c>
      <c r="P1441" t="s">
        <v>39</v>
      </c>
      <c r="Q1441" s="2">
        <v>46373</v>
      </c>
      <c r="R1441" t="s">
        <v>84</v>
      </c>
    </row>
    <row r="1442" spans="1:18" x14ac:dyDescent="0.2">
      <c r="A1442" t="s">
        <v>2942</v>
      </c>
      <c r="B1442" t="s">
        <v>2943</v>
      </c>
      <c r="C1442" t="s">
        <v>31</v>
      </c>
      <c r="D1442" t="s">
        <v>32</v>
      </c>
      <c r="E1442" t="s">
        <v>91</v>
      </c>
      <c r="F1442" t="s">
        <v>45</v>
      </c>
      <c r="G1442" t="s">
        <v>61</v>
      </c>
      <c r="H1442" t="s">
        <v>36</v>
      </c>
      <c r="I1442" t="s">
        <v>50</v>
      </c>
      <c r="J1442" t="s">
        <v>63</v>
      </c>
      <c r="K1442" s="2">
        <v>45984</v>
      </c>
      <c r="L1442" s="2">
        <v>46164</v>
      </c>
      <c r="M1442" t="s">
        <v>38</v>
      </c>
      <c r="N1442" t="s">
        <v>75</v>
      </c>
      <c r="O1442">
        <v>4</v>
      </c>
      <c r="P1442" t="s">
        <v>111</v>
      </c>
      <c r="Q1442" s="2">
        <v>46140</v>
      </c>
      <c r="R1442" t="s">
        <v>64</v>
      </c>
    </row>
    <row r="1443" spans="1:18" x14ac:dyDescent="0.2">
      <c r="A1443" t="s">
        <v>2944</v>
      </c>
      <c r="B1443" t="s">
        <v>2945</v>
      </c>
      <c r="C1443" t="s">
        <v>103</v>
      </c>
      <c r="D1443" t="s">
        <v>104</v>
      </c>
      <c r="E1443" t="s">
        <v>105</v>
      </c>
      <c r="F1443" t="s">
        <v>67</v>
      </c>
      <c r="G1443" t="s">
        <v>118</v>
      </c>
      <c r="H1443" t="s">
        <v>88</v>
      </c>
      <c r="I1443" t="s">
        <v>54</v>
      </c>
      <c r="J1443" t="s">
        <v>37</v>
      </c>
      <c r="K1443" s="2">
        <v>46256</v>
      </c>
      <c r="L1443" s="2">
        <v>46436</v>
      </c>
      <c r="M1443" t="s">
        <v>64</v>
      </c>
      <c r="N1443" t="s">
        <v>75</v>
      </c>
      <c r="O1443">
        <v>0</v>
      </c>
      <c r="P1443" t="s">
        <v>39</v>
      </c>
      <c r="Q1443" s="2">
        <v>46194</v>
      </c>
      <c r="R1443" t="s">
        <v>57</v>
      </c>
    </row>
    <row r="1444" spans="1:18" x14ac:dyDescent="0.2">
      <c r="A1444" t="s">
        <v>2946</v>
      </c>
      <c r="B1444" t="s">
        <v>2947</v>
      </c>
      <c r="C1444" t="s">
        <v>31</v>
      </c>
      <c r="D1444" t="s">
        <v>83</v>
      </c>
      <c r="E1444" t="s">
        <v>60</v>
      </c>
      <c r="F1444" t="s">
        <v>45</v>
      </c>
      <c r="G1444" t="s">
        <v>46</v>
      </c>
      <c r="H1444" t="s">
        <v>88</v>
      </c>
      <c r="I1444" t="s">
        <v>56</v>
      </c>
      <c r="J1444" t="s">
        <v>48</v>
      </c>
      <c r="K1444" s="2">
        <v>46059</v>
      </c>
      <c r="L1444" s="2">
        <v>46239</v>
      </c>
      <c r="M1444" t="s">
        <v>38</v>
      </c>
      <c r="N1444" t="s">
        <v>75</v>
      </c>
      <c r="O1444">
        <v>1</v>
      </c>
      <c r="P1444" t="s">
        <v>50</v>
      </c>
      <c r="Q1444" s="2">
        <v>46344</v>
      </c>
      <c r="R1444" t="s">
        <v>84</v>
      </c>
    </row>
    <row r="1445" spans="1:18" x14ac:dyDescent="0.2">
      <c r="A1445" t="s">
        <v>2948</v>
      </c>
      <c r="B1445" t="s">
        <v>2949</v>
      </c>
      <c r="C1445" t="s">
        <v>31</v>
      </c>
      <c r="D1445" t="s">
        <v>87</v>
      </c>
      <c r="E1445" t="s">
        <v>60</v>
      </c>
      <c r="F1445" t="s">
        <v>34</v>
      </c>
      <c r="G1445" t="s">
        <v>35</v>
      </c>
      <c r="H1445" t="s">
        <v>36</v>
      </c>
      <c r="I1445" t="s">
        <v>39</v>
      </c>
      <c r="J1445" t="s">
        <v>48</v>
      </c>
      <c r="K1445" s="2">
        <v>46206</v>
      </c>
      <c r="L1445" s="2">
        <v>46296</v>
      </c>
      <c r="M1445" t="s">
        <v>64</v>
      </c>
      <c r="N1445" t="s">
        <v>75</v>
      </c>
      <c r="O1445">
        <v>4</v>
      </c>
      <c r="P1445" t="s">
        <v>54</v>
      </c>
      <c r="Q1445" s="2">
        <v>46170</v>
      </c>
      <c r="R1445" t="s">
        <v>64</v>
      </c>
    </row>
    <row r="1446" spans="1:18" x14ac:dyDescent="0.2">
      <c r="A1446" t="s">
        <v>2950</v>
      </c>
      <c r="B1446" t="s">
        <v>2951</v>
      </c>
      <c r="C1446" t="s">
        <v>31</v>
      </c>
      <c r="D1446" t="s">
        <v>87</v>
      </c>
      <c r="E1446" t="s">
        <v>80</v>
      </c>
      <c r="F1446" t="s">
        <v>45</v>
      </c>
      <c r="G1446" t="s">
        <v>61</v>
      </c>
      <c r="H1446" t="s">
        <v>88</v>
      </c>
      <c r="I1446" t="s">
        <v>70</v>
      </c>
      <c r="J1446" t="s">
        <v>37</v>
      </c>
      <c r="K1446" s="2">
        <v>45900</v>
      </c>
      <c r="L1446" s="2">
        <v>46265</v>
      </c>
      <c r="M1446" t="s">
        <v>38</v>
      </c>
      <c r="N1446" t="s">
        <v>55</v>
      </c>
      <c r="O1446">
        <v>3</v>
      </c>
      <c r="P1446" t="s">
        <v>50</v>
      </c>
      <c r="Q1446" s="2">
        <v>46348</v>
      </c>
      <c r="R1446" t="s">
        <v>84</v>
      </c>
    </row>
    <row r="1447" spans="1:18" x14ac:dyDescent="0.2">
      <c r="A1447" t="s">
        <v>2952</v>
      </c>
      <c r="B1447" t="s">
        <v>2953</v>
      </c>
      <c r="C1447" t="s">
        <v>103</v>
      </c>
      <c r="D1447" t="s">
        <v>104</v>
      </c>
      <c r="E1447" t="s">
        <v>53</v>
      </c>
      <c r="F1447" t="s">
        <v>67</v>
      </c>
      <c r="G1447" t="s">
        <v>118</v>
      </c>
      <c r="H1447" t="s">
        <v>47</v>
      </c>
      <c r="I1447" t="s">
        <v>39</v>
      </c>
      <c r="J1447" t="s">
        <v>63</v>
      </c>
      <c r="K1447" s="2">
        <v>46187</v>
      </c>
      <c r="L1447" s="2">
        <v>46367</v>
      </c>
      <c r="M1447" t="s">
        <v>84</v>
      </c>
      <c r="N1447" t="s">
        <v>55</v>
      </c>
      <c r="O1447">
        <v>0</v>
      </c>
      <c r="P1447" t="s">
        <v>56</v>
      </c>
      <c r="Q1447" s="2">
        <v>46203</v>
      </c>
      <c r="R1447" t="s">
        <v>57</v>
      </c>
    </row>
    <row r="1448" spans="1:18" x14ac:dyDescent="0.2">
      <c r="A1448" t="s">
        <v>2954</v>
      </c>
      <c r="B1448" t="s">
        <v>2955</v>
      </c>
      <c r="C1448" t="s">
        <v>31</v>
      </c>
      <c r="D1448" t="s">
        <v>32</v>
      </c>
      <c r="E1448" t="s">
        <v>44</v>
      </c>
      <c r="F1448" t="s">
        <v>67</v>
      </c>
      <c r="G1448" t="s">
        <v>68</v>
      </c>
      <c r="H1448" t="s">
        <v>47</v>
      </c>
      <c r="I1448" t="s">
        <v>56</v>
      </c>
      <c r="J1448" t="s">
        <v>63</v>
      </c>
      <c r="K1448" s="2">
        <v>45909</v>
      </c>
      <c r="L1448" s="2">
        <v>45999</v>
      </c>
      <c r="M1448" t="s">
        <v>38</v>
      </c>
      <c r="N1448" t="s">
        <v>55</v>
      </c>
      <c r="O1448">
        <v>1</v>
      </c>
      <c r="P1448" t="s">
        <v>39</v>
      </c>
      <c r="Q1448" s="2">
        <v>46391</v>
      </c>
      <c r="R1448" t="s">
        <v>64</v>
      </c>
    </row>
    <row r="1449" spans="1:18" x14ac:dyDescent="0.2">
      <c r="A1449" t="s">
        <v>2956</v>
      </c>
      <c r="B1449" t="s">
        <v>2957</v>
      </c>
      <c r="C1449" t="s">
        <v>31</v>
      </c>
      <c r="D1449" t="s">
        <v>87</v>
      </c>
      <c r="E1449" t="s">
        <v>91</v>
      </c>
      <c r="F1449" t="s">
        <v>45</v>
      </c>
      <c r="G1449" t="s">
        <v>61</v>
      </c>
      <c r="H1449" t="s">
        <v>47</v>
      </c>
      <c r="I1449" t="s">
        <v>50</v>
      </c>
      <c r="J1449" t="s">
        <v>63</v>
      </c>
      <c r="K1449" s="2">
        <v>45937</v>
      </c>
      <c r="L1449" s="2">
        <v>46027</v>
      </c>
      <c r="M1449" t="s">
        <v>38</v>
      </c>
      <c r="N1449" t="s">
        <v>75</v>
      </c>
      <c r="O1449">
        <v>0</v>
      </c>
      <c r="P1449" t="s">
        <v>62</v>
      </c>
      <c r="Q1449" s="2">
        <v>46306</v>
      </c>
      <c r="R1449" t="s">
        <v>57</v>
      </c>
    </row>
    <row r="1450" spans="1:18" x14ac:dyDescent="0.2">
      <c r="A1450" t="s">
        <v>2958</v>
      </c>
      <c r="B1450" t="s">
        <v>2959</v>
      </c>
      <c r="C1450" t="s">
        <v>42</v>
      </c>
      <c r="D1450" t="s">
        <v>43</v>
      </c>
      <c r="E1450" t="s">
        <v>91</v>
      </c>
      <c r="F1450" t="s">
        <v>67</v>
      </c>
      <c r="G1450" t="s">
        <v>118</v>
      </c>
      <c r="H1450" t="s">
        <v>36</v>
      </c>
      <c r="I1450" t="s">
        <v>70</v>
      </c>
      <c r="J1450" t="s">
        <v>48</v>
      </c>
      <c r="K1450" s="2">
        <v>45850</v>
      </c>
      <c r="L1450" s="2">
        <v>46030</v>
      </c>
      <c r="M1450" t="s">
        <v>38</v>
      </c>
      <c r="N1450" t="s">
        <v>49</v>
      </c>
      <c r="O1450">
        <v>5</v>
      </c>
      <c r="P1450" t="s">
        <v>50</v>
      </c>
      <c r="Q1450" s="2">
        <v>46368</v>
      </c>
      <c r="R1450" t="s">
        <v>64</v>
      </c>
    </row>
    <row r="1451" spans="1:18" x14ac:dyDescent="0.2">
      <c r="A1451" t="s">
        <v>2960</v>
      </c>
      <c r="B1451" t="s">
        <v>2961</v>
      </c>
      <c r="C1451" t="s">
        <v>31</v>
      </c>
      <c r="D1451" t="s">
        <v>32</v>
      </c>
      <c r="E1451" t="s">
        <v>80</v>
      </c>
      <c r="F1451" t="s">
        <v>67</v>
      </c>
      <c r="G1451" t="s">
        <v>68</v>
      </c>
      <c r="H1451" t="s">
        <v>88</v>
      </c>
      <c r="I1451" t="s">
        <v>54</v>
      </c>
      <c r="J1451" t="s">
        <v>48</v>
      </c>
      <c r="K1451" s="2">
        <v>46001</v>
      </c>
      <c r="L1451" s="2">
        <v>46181</v>
      </c>
      <c r="M1451" t="s">
        <v>38</v>
      </c>
      <c r="N1451" t="s">
        <v>55</v>
      </c>
      <c r="O1451">
        <v>3</v>
      </c>
      <c r="P1451" t="s">
        <v>106</v>
      </c>
      <c r="Q1451" s="2">
        <v>46190</v>
      </c>
      <c r="R1451" t="s">
        <v>64</v>
      </c>
    </row>
    <row r="1452" spans="1:18" x14ac:dyDescent="0.2">
      <c r="A1452" t="s">
        <v>2962</v>
      </c>
      <c r="B1452" t="s">
        <v>2963</v>
      </c>
      <c r="C1452" t="s">
        <v>31</v>
      </c>
      <c r="D1452" t="s">
        <v>83</v>
      </c>
      <c r="E1452" t="s">
        <v>60</v>
      </c>
      <c r="F1452" t="s">
        <v>34</v>
      </c>
      <c r="G1452" t="s">
        <v>35</v>
      </c>
      <c r="H1452" t="s">
        <v>36</v>
      </c>
      <c r="I1452" t="s">
        <v>106</v>
      </c>
      <c r="J1452" t="s">
        <v>37</v>
      </c>
      <c r="K1452" s="2">
        <v>46078</v>
      </c>
      <c r="L1452" s="2">
        <v>46258</v>
      </c>
      <c r="M1452" t="s">
        <v>38</v>
      </c>
      <c r="N1452" t="s">
        <v>49</v>
      </c>
      <c r="O1452">
        <v>2</v>
      </c>
      <c r="P1452" t="s">
        <v>54</v>
      </c>
      <c r="Q1452" s="2">
        <v>46245</v>
      </c>
      <c r="R1452" t="s">
        <v>38</v>
      </c>
    </row>
    <row r="1453" spans="1:18" x14ac:dyDescent="0.2">
      <c r="A1453" t="s">
        <v>2964</v>
      </c>
      <c r="B1453" t="s">
        <v>2965</v>
      </c>
      <c r="C1453" t="s">
        <v>31</v>
      </c>
      <c r="D1453" t="s">
        <v>87</v>
      </c>
      <c r="E1453" t="s">
        <v>80</v>
      </c>
      <c r="F1453" t="s">
        <v>34</v>
      </c>
      <c r="G1453" t="s">
        <v>35</v>
      </c>
      <c r="H1453" t="s">
        <v>88</v>
      </c>
      <c r="I1453" t="s">
        <v>70</v>
      </c>
      <c r="J1453" t="s">
        <v>63</v>
      </c>
      <c r="K1453" s="2">
        <v>45869</v>
      </c>
      <c r="L1453" s="2">
        <v>45959</v>
      </c>
      <c r="M1453" t="s">
        <v>38</v>
      </c>
      <c r="N1453" t="s">
        <v>55</v>
      </c>
      <c r="O1453">
        <v>1</v>
      </c>
      <c r="P1453" t="s">
        <v>111</v>
      </c>
      <c r="Q1453" s="2">
        <v>46158</v>
      </c>
      <c r="R1453" t="s">
        <v>64</v>
      </c>
    </row>
    <row r="1454" spans="1:18" x14ac:dyDescent="0.2">
      <c r="A1454" t="s">
        <v>2966</v>
      </c>
      <c r="B1454" t="s">
        <v>2967</v>
      </c>
      <c r="C1454" t="s">
        <v>96</v>
      </c>
      <c r="D1454" t="s">
        <v>97</v>
      </c>
      <c r="E1454" t="s">
        <v>44</v>
      </c>
      <c r="F1454" t="s">
        <v>34</v>
      </c>
      <c r="G1454" t="s">
        <v>35</v>
      </c>
      <c r="H1454" t="s">
        <v>88</v>
      </c>
      <c r="I1454" t="s">
        <v>62</v>
      </c>
      <c r="J1454" t="s">
        <v>48</v>
      </c>
      <c r="K1454" s="2">
        <v>45862</v>
      </c>
      <c r="L1454" s="2">
        <v>46227</v>
      </c>
      <c r="M1454" t="s">
        <v>38</v>
      </c>
      <c r="N1454" t="s">
        <v>49</v>
      </c>
      <c r="O1454">
        <v>0</v>
      </c>
      <c r="P1454" t="s">
        <v>111</v>
      </c>
      <c r="Q1454" s="2">
        <v>46152</v>
      </c>
      <c r="R1454" t="s">
        <v>57</v>
      </c>
    </row>
    <row r="1455" spans="1:18" x14ac:dyDescent="0.2">
      <c r="A1455" t="s">
        <v>2968</v>
      </c>
      <c r="B1455" t="s">
        <v>2969</v>
      </c>
      <c r="C1455" t="s">
        <v>31</v>
      </c>
      <c r="D1455" t="s">
        <v>83</v>
      </c>
      <c r="E1455" t="s">
        <v>91</v>
      </c>
      <c r="F1455" t="s">
        <v>67</v>
      </c>
      <c r="G1455" t="s">
        <v>68</v>
      </c>
      <c r="H1455" t="s">
        <v>98</v>
      </c>
      <c r="I1455" t="s">
        <v>50</v>
      </c>
      <c r="J1455" t="s">
        <v>37</v>
      </c>
      <c r="K1455" s="2">
        <v>46095</v>
      </c>
      <c r="L1455" s="2">
        <v>46185</v>
      </c>
      <c r="M1455" t="s">
        <v>38</v>
      </c>
      <c r="N1455" t="s">
        <v>49</v>
      </c>
      <c r="O1455">
        <v>4</v>
      </c>
      <c r="P1455" t="s">
        <v>70</v>
      </c>
      <c r="Q1455" s="2">
        <v>46243</v>
      </c>
      <c r="R1455" t="s">
        <v>38</v>
      </c>
    </row>
    <row r="1456" spans="1:18" x14ac:dyDescent="0.2">
      <c r="A1456" t="s">
        <v>2970</v>
      </c>
      <c r="B1456" t="s">
        <v>2971</v>
      </c>
      <c r="C1456" t="s">
        <v>73</v>
      </c>
      <c r="D1456" t="s">
        <v>74</v>
      </c>
      <c r="E1456" t="s">
        <v>44</v>
      </c>
      <c r="F1456" t="s">
        <v>67</v>
      </c>
      <c r="G1456" t="s">
        <v>68</v>
      </c>
      <c r="H1456" t="s">
        <v>47</v>
      </c>
      <c r="I1456" t="s">
        <v>111</v>
      </c>
      <c r="J1456" t="s">
        <v>37</v>
      </c>
      <c r="K1456" s="2">
        <v>46077</v>
      </c>
      <c r="L1456" s="2">
        <v>46442</v>
      </c>
      <c r="M1456" t="s">
        <v>64</v>
      </c>
      <c r="N1456" t="s">
        <v>55</v>
      </c>
      <c r="O1456">
        <v>3</v>
      </c>
      <c r="P1456" t="s">
        <v>50</v>
      </c>
      <c r="Q1456" s="2">
        <v>46208</v>
      </c>
      <c r="R1456" t="s">
        <v>64</v>
      </c>
    </row>
    <row r="1457" spans="1:18" x14ac:dyDescent="0.2">
      <c r="A1457" t="s">
        <v>2972</v>
      </c>
      <c r="B1457" t="s">
        <v>2973</v>
      </c>
      <c r="C1457" t="s">
        <v>31</v>
      </c>
      <c r="D1457" t="s">
        <v>87</v>
      </c>
      <c r="E1457" t="s">
        <v>80</v>
      </c>
      <c r="F1457" t="s">
        <v>45</v>
      </c>
      <c r="G1457" t="s">
        <v>46</v>
      </c>
      <c r="H1457" t="s">
        <v>47</v>
      </c>
      <c r="I1457" t="s">
        <v>106</v>
      </c>
      <c r="J1457" t="s">
        <v>63</v>
      </c>
      <c r="K1457" s="2">
        <v>45925</v>
      </c>
      <c r="L1457" s="2">
        <v>46105</v>
      </c>
      <c r="M1457" t="s">
        <v>38</v>
      </c>
      <c r="N1457" t="s">
        <v>49</v>
      </c>
      <c r="O1457">
        <v>3</v>
      </c>
      <c r="P1457" t="s">
        <v>54</v>
      </c>
      <c r="Q1457" s="2">
        <v>46213</v>
      </c>
      <c r="R1457" t="s">
        <v>38</v>
      </c>
    </row>
    <row r="1458" spans="1:18" x14ac:dyDescent="0.2">
      <c r="A1458" t="s">
        <v>2974</v>
      </c>
      <c r="B1458" t="s">
        <v>2975</v>
      </c>
      <c r="C1458" t="s">
        <v>31</v>
      </c>
      <c r="D1458" t="s">
        <v>87</v>
      </c>
      <c r="E1458" t="s">
        <v>53</v>
      </c>
      <c r="F1458" t="s">
        <v>45</v>
      </c>
      <c r="G1458" t="s">
        <v>61</v>
      </c>
      <c r="H1458" t="s">
        <v>88</v>
      </c>
      <c r="I1458" t="s">
        <v>39</v>
      </c>
      <c r="J1458" t="s">
        <v>48</v>
      </c>
      <c r="K1458" s="2">
        <v>46119</v>
      </c>
      <c r="L1458" s="2">
        <v>46484</v>
      </c>
      <c r="M1458" t="s">
        <v>69</v>
      </c>
      <c r="N1458" t="s">
        <v>49</v>
      </c>
      <c r="O1458">
        <v>2</v>
      </c>
      <c r="P1458" t="s">
        <v>39</v>
      </c>
      <c r="Q1458" s="2">
        <v>46121</v>
      </c>
      <c r="R1458" t="s">
        <v>64</v>
      </c>
    </row>
    <row r="1459" spans="1:18" x14ac:dyDescent="0.2">
      <c r="A1459" t="s">
        <v>2976</v>
      </c>
      <c r="B1459" t="s">
        <v>2977</v>
      </c>
      <c r="C1459" t="s">
        <v>31</v>
      </c>
      <c r="D1459" t="s">
        <v>83</v>
      </c>
      <c r="E1459" t="s">
        <v>60</v>
      </c>
      <c r="F1459" t="s">
        <v>67</v>
      </c>
      <c r="G1459" t="s">
        <v>118</v>
      </c>
      <c r="H1459" t="s">
        <v>88</v>
      </c>
      <c r="I1459" t="s">
        <v>70</v>
      </c>
      <c r="J1459" t="s">
        <v>37</v>
      </c>
      <c r="K1459" s="2">
        <v>45962</v>
      </c>
      <c r="L1459" s="2">
        <v>46142</v>
      </c>
      <c r="M1459" t="s">
        <v>38</v>
      </c>
      <c r="N1459" t="s">
        <v>55</v>
      </c>
      <c r="O1459">
        <v>3</v>
      </c>
      <c r="P1459" t="s">
        <v>54</v>
      </c>
      <c r="Q1459" s="2">
        <v>46369</v>
      </c>
      <c r="R1459" t="s">
        <v>64</v>
      </c>
    </row>
    <row r="1460" spans="1:18" x14ac:dyDescent="0.2">
      <c r="A1460" t="s">
        <v>2978</v>
      </c>
      <c r="B1460" t="s">
        <v>2979</v>
      </c>
      <c r="C1460" t="s">
        <v>73</v>
      </c>
      <c r="D1460" t="s">
        <v>74</v>
      </c>
      <c r="E1460" t="s">
        <v>80</v>
      </c>
      <c r="F1460" t="s">
        <v>45</v>
      </c>
      <c r="G1460" t="s">
        <v>61</v>
      </c>
      <c r="H1460" t="s">
        <v>47</v>
      </c>
      <c r="I1460" t="s">
        <v>50</v>
      </c>
      <c r="J1460" t="s">
        <v>48</v>
      </c>
      <c r="K1460" s="2">
        <v>46044</v>
      </c>
      <c r="L1460" s="2">
        <v>46224</v>
      </c>
      <c r="M1460" t="s">
        <v>38</v>
      </c>
      <c r="N1460" t="s">
        <v>75</v>
      </c>
      <c r="O1460">
        <v>2</v>
      </c>
      <c r="P1460" t="s">
        <v>39</v>
      </c>
      <c r="Q1460" s="2">
        <v>46202</v>
      </c>
      <c r="R1460" t="s">
        <v>64</v>
      </c>
    </row>
    <row r="1461" spans="1:18" x14ac:dyDescent="0.2">
      <c r="A1461" t="s">
        <v>2980</v>
      </c>
      <c r="B1461" t="s">
        <v>2981</v>
      </c>
      <c r="C1461" t="s">
        <v>31</v>
      </c>
      <c r="D1461" t="s">
        <v>83</v>
      </c>
      <c r="E1461" t="s">
        <v>80</v>
      </c>
      <c r="F1461" t="s">
        <v>67</v>
      </c>
      <c r="G1461" t="s">
        <v>68</v>
      </c>
      <c r="H1461" t="s">
        <v>88</v>
      </c>
      <c r="I1461" t="s">
        <v>70</v>
      </c>
      <c r="J1461" t="s">
        <v>63</v>
      </c>
      <c r="K1461" s="2">
        <v>46203</v>
      </c>
      <c r="L1461" s="2">
        <v>46568</v>
      </c>
      <c r="M1461" t="s">
        <v>64</v>
      </c>
      <c r="N1461" t="s">
        <v>49</v>
      </c>
      <c r="O1461">
        <v>2</v>
      </c>
      <c r="P1461" t="s">
        <v>56</v>
      </c>
      <c r="Q1461" s="2">
        <v>46408</v>
      </c>
      <c r="R1461" t="s">
        <v>84</v>
      </c>
    </row>
    <row r="1462" spans="1:18" x14ac:dyDescent="0.2">
      <c r="A1462" t="s">
        <v>2982</v>
      </c>
      <c r="B1462" t="s">
        <v>2983</v>
      </c>
      <c r="C1462" t="s">
        <v>73</v>
      </c>
      <c r="D1462" t="s">
        <v>74</v>
      </c>
      <c r="E1462" t="s">
        <v>53</v>
      </c>
      <c r="F1462" t="s">
        <v>45</v>
      </c>
      <c r="G1462" t="s">
        <v>46</v>
      </c>
      <c r="H1462" t="s">
        <v>98</v>
      </c>
      <c r="J1462" t="s">
        <v>63</v>
      </c>
      <c r="K1462" s="2">
        <v>45800</v>
      </c>
      <c r="L1462" s="2">
        <v>45980</v>
      </c>
      <c r="M1462" t="s">
        <v>38</v>
      </c>
      <c r="N1462" t="s">
        <v>55</v>
      </c>
      <c r="O1462">
        <v>0</v>
      </c>
      <c r="P1462" t="s">
        <v>62</v>
      </c>
      <c r="Q1462" s="2">
        <v>46192</v>
      </c>
      <c r="R1462" t="s">
        <v>57</v>
      </c>
    </row>
    <row r="1463" spans="1:18" x14ac:dyDescent="0.2">
      <c r="A1463" t="s">
        <v>2984</v>
      </c>
      <c r="B1463" t="s">
        <v>2985</v>
      </c>
      <c r="C1463" t="s">
        <v>78</v>
      </c>
      <c r="D1463" t="s">
        <v>79</v>
      </c>
      <c r="E1463" t="s">
        <v>44</v>
      </c>
      <c r="F1463" t="s">
        <v>45</v>
      </c>
      <c r="G1463" t="s">
        <v>61</v>
      </c>
      <c r="H1463" t="s">
        <v>88</v>
      </c>
      <c r="I1463" t="s">
        <v>50</v>
      </c>
      <c r="J1463" t="s">
        <v>37</v>
      </c>
      <c r="K1463" s="2">
        <v>45945</v>
      </c>
      <c r="L1463" s="2">
        <v>46125</v>
      </c>
      <c r="M1463" t="s">
        <v>38</v>
      </c>
      <c r="N1463" t="s">
        <v>55</v>
      </c>
      <c r="O1463">
        <v>2</v>
      </c>
      <c r="P1463" t="s">
        <v>56</v>
      </c>
      <c r="Q1463" s="2">
        <v>46207</v>
      </c>
      <c r="R1463" t="s">
        <v>64</v>
      </c>
    </row>
    <row r="1464" spans="1:18" x14ac:dyDescent="0.2">
      <c r="A1464" t="s">
        <v>2986</v>
      </c>
      <c r="B1464" t="s">
        <v>2987</v>
      </c>
      <c r="C1464" t="s">
        <v>31</v>
      </c>
      <c r="D1464" t="s">
        <v>87</v>
      </c>
      <c r="E1464" t="s">
        <v>91</v>
      </c>
      <c r="F1464" t="s">
        <v>34</v>
      </c>
      <c r="G1464" t="s">
        <v>35</v>
      </c>
      <c r="H1464" t="s">
        <v>88</v>
      </c>
      <c r="I1464" t="s">
        <v>106</v>
      </c>
      <c r="J1464" t="s">
        <v>37</v>
      </c>
      <c r="K1464" s="2">
        <v>46226</v>
      </c>
      <c r="L1464" s="2">
        <v>46316</v>
      </c>
      <c r="M1464" t="s">
        <v>64</v>
      </c>
      <c r="N1464" t="s">
        <v>55</v>
      </c>
      <c r="O1464">
        <v>1</v>
      </c>
      <c r="P1464" t="s">
        <v>54</v>
      </c>
      <c r="Q1464" s="2">
        <v>46390</v>
      </c>
      <c r="R1464" t="s">
        <v>84</v>
      </c>
    </row>
    <row r="1465" spans="1:18" x14ac:dyDescent="0.2">
      <c r="A1465" t="s">
        <v>2988</v>
      </c>
      <c r="B1465" t="s">
        <v>2989</v>
      </c>
      <c r="C1465" t="s">
        <v>42</v>
      </c>
      <c r="D1465" t="s">
        <v>43</v>
      </c>
      <c r="E1465" t="s">
        <v>33</v>
      </c>
      <c r="F1465" t="s">
        <v>34</v>
      </c>
      <c r="G1465" t="s">
        <v>35</v>
      </c>
      <c r="H1465" t="s">
        <v>36</v>
      </c>
      <c r="I1465" t="s">
        <v>70</v>
      </c>
      <c r="J1465" t="s">
        <v>63</v>
      </c>
      <c r="K1465" s="2">
        <v>46185</v>
      </c>
      <c r="L1465" s="2">
        <v>46275</v>
      </c>
      <c r="M1465" t="s">
        <v>38</v>
      </c>
      <c r="N1465" t="s">
        <v>55</v>
      </c>
      <c r="O1465">
        <v>1</v>
      </c>
      <c r="P1465" t="s">
        <v>70</v>
      </c>
      <c r="Q1465" s="2">
        <v>46154</v>
      </c>
      <c r="R1465" t="s">
        <v>38</v>
      </c>
    </row>
    <row r="1466" spans="1:18" x14ac:dyDescent="0.2">
      <c r="A1466" t="s">
        <v>2990</v>
      </c>
      <c r="B1466" t="s">
        <v>2991</v>
      </c>
      <c r="C1466" t="s">
        <v>31</v>
      </c>
      <c r="D1466" t="s">
        <v>87</v>
      </c>
      <c r="E1466" t="s">
        <v>60</v>
      </c>
      <c r="F1466" t="s">
        <v>34</v>
      </c>
      <c r="G1466" t="s">
        <v>35</v>
      </c>
      <c r="H1466" t="s">
        <v>47</v>
      </c>
      <c r="I1466" t="s">
        <v>62</v>
      </c>
      <c r="J1466" t="s">
        <v>63</v>
      </c>
      <c r="K1466" s="2">
        <v>45997</v>
      </c>
      <c r="L1466" s="2">
        <v>46177</v>
      </c>
      <c r="M1466" t="s">
        <v>38</v>
      </c>
      <c r="N1466" t="s">
        <v>49</v>
      </c>
      <c r="O1466">
        <v>3</v>
      </c>
      <c r="P1466" t="s">
        <v>70</v>
      </c>
      <c r="Q1466" s="2">
        <v>46320</v>
      </c>
      <c r="R1466" t="s">
        <v>64</v>
      </c>
    </row>
    <row r="1467" spans="1:18" x14ac:dyDescent="0.2">
      <c r="A1467" t="s">
        <v>2992</v>
      </c>
      <c r="B1467" t="s">
        <v>2993</v>
      </c>
      <c r="C1467" t="s">
        <v>78</v>
      </c>
      <c r="D1467" t="s">
        <v>79</v>
      </c>
      <c r="E1467" t="s">
        <v>53</v>
      </c>
      <c r="F1467" t="s">
        <v>34</v>
      </c>
      <c r="G1467" t="s">
        <v>35</v>
      </c>
      <c r="H1467" t="s">
        <v>88</v>
      </c>
      <c r="I1467" t="s">
        <v>39</v>
      </c>
      <c r="J1467" t="s">
        <v>63</v>
      </c>
      <c r="K1467" s="2">
        <v>46076</v>
      </c>
      <c r="L1467" s="2">
        <v>46256</v>
      </c>
      <c r="M1467" t="s">
        <v>38</v>
      </c>
      <c r="N1467" t="s">
        <v>75</v>
      </c>
      <c r="O1467">
        <v>1</v>
      </c>
      <c r="P1467" t="s">
        <v>111</v>
      </c>
      <c r="Q1467" s="2">
        <v>46115</v>
      </c>
      <c r="R1467" t="s">
        <v>64</v>
      </c>
    </row>
    <row r="1468" spans="1:18" x14ac:dyDescent="0.2">
      <c r="A1468" t="s">
        <v>2994</v>
      </c>
      <c r="B1468" t="s">
        <v>2995</v>
      </c>
      <c r="C1468" t="s">
        <v>78</v>
      </c>
      <c r="D1468" t="s">
        <v>79</v>
      </c>
      <c r="E1468" t="s">
        <v>44</v>
      </c>
      <c r="F1468" t="s">
        <v>67</v>
      </c>
      <c r="G1468" t="s">
        <v>118</v>
      </c>
      <c r="H1468" t="s">
        <v>36</v>
      </c>
      <c r="I1468" t="s">
        <v>106</v>
      </c>
      <c r="J1468" t="s">
        <v>37</v>
      </c>
      <c r="K1468" s="2">
        <v>45878</v>
      </c>
      <c r="L1468" s="2">
        <v>46243</v>
      </c>
      <c r="M1468" t="s">
        <v>38</v>
      </c>
      <c r="N1468" t="s">
        <v>75</v>
      </c>
      <c r="O1468">
        <v>5</v>
      </c>
      <c r="P1468" t="s">
        <v>70</v>
      </c>
      <c r="Q1468" s="2">
        <v>46320</v>
      </c>
      <c r="R1468" t="s">
        <v>64</v>
      </c>
    </row>
    <row r="1469" spans="1:18" x14ac:dyDescent="0.2">
      <c r="A1469" t="s">
        <v>2996</v>
      </c>
      <c r="B1469" t="s">
        <v>2997</v>
      </c>
      <c r="C1469" t="s">
        <v>31</v>
      </c>
      <c r="D1469" t="s">
        <v>83</v>
      </c>
      <c r="E1469" t="s">
        <v>91</v>
      </c>
      <c r="F1469" t="s">
        <v>34</v>
      </c>
      <c r="G1469" t="s">
        <v>35</v>
      </c>
      <c r="H1469" t="s">
        <v>47</v>
      </c>
      <c r="I1469" t="s">
        <v>56</v>
      </c>
      <c r="J1469" t="s">
        <v>48</v>
      </c>
      <c r="K1469" s="2">
        <v>45938</v>
      </c>
      <c r="L1469" s="2">
        <v>46028</v>
      </c>
      <c r="M1469" t="s">
        <v>38</v>
      </c>
      <c r="N1469" t="s">
        <v>55</v>
      </c>
      <c r="O1469">
        <v>1</v>
      </c>
      <c r="P1469" t="s">
        <v>50</v>
      </c>
      <c r="Q1469" s="2">
        <v>46338</v>
      </c>
      <c r="R1469" t="s">
        <v>84</v>
      </c>
    </row>
    <row r="1470" spans="1:18" x14ac:dyDescent="0.2">
      <c r="A1470" t="s">
        <v>2998</v>
      </c>
      <c r="B1470" t="s">
        <v>2999</v>
      </c>
      <c r="C1470" t="s">
        <v>96</v>
      </c>
      <c r="D1470" t="s">
        <v>97</v>
      </c>
      <c r="E1470" t="s">
        <v>91</v>
      </c>
      <c r="F1470" t="s">
        <v>45</v>
      </c>
      <c r="G1470" t="s">
        <v>61</v>
      </c>
      <c r="H1470" t="s">
        <v>47</v>
      </c>
      <c r="I1470" t="s">
        <v>56</v>
      </c>
      <c r="J1470" t="s">
        <v>63</v>
      </c>
      <c r="K1470" s="2">
        <v>46192</v>
      </c>
      <c r="L1470" s="2">
        <v>46557</v>
      </c>
      <c r="M1470" t="s">
        <v>64</v>
      </c>
      <c r="N1470" t="s">
        <v>55</v>
      </c>
      <c r="O1470">
        <v>0</v>
      </c>
      <c r="P1470" t="s">
        <v>70</v>
      </c>
      <c r="Q1470" s="2">
        <v>46259</v>
      </c>
      <c r="R1470" t="s">
        <v>57</v>
      </c>
    </row>
    <row r="1471" spans="1:18" x14ac:dyDescent="0.2">
      <c r="A1471" t="s">
        <v>3000</v>
      </c>
      <c r="B1471" t="s">
        <v>3001</v>
      </c>
      <c r="C1471" t="s">
        <v>103</v>
      </c>
      <c r="D1471" t="s">
        <v>104</v>
      </c>
      <c r="E1471" t="s">
        <v>60</v>
      </c>
      <c r="F1471" t="s">
        <v>45</v>
      </c>
      <c r="G1471" t="s">
        <v>61</v>
      </c>
      <c r="H1471" t="s">
        <v>88</v>
      </c>
      <c r="I1471" t="s">
        <v>62</v>
      </c>
      <c r="J1471" t="s">
        <v>63</v>
      </c>
      <c r="K1471" s="2">
        <v>45974</v>
      </c>
      <c r="L1471" s="2">
        <v>46339</v>
      </c>
      <c r="M1471" t="s">
        <v>69</v>
      </c>
      <c r="N1471" t="s">
        <v>49</v>
      </c>
      <c r="O1471">
        <v>0</v>
      </c>
      <c r="P1471" t="s">
        <v>39</v>
      </c>
      <c r="Q1471" s="2">
        <v>46197</v>
      </c>
      <c r="R1471" t="s">
        <v>57</v>
      </c>
    </row>
    <row r="1472" spans="1:18" x14ac:dyDescent="0.2">
      <c r="A1472" t="s">
        <v>3002</v>
      </c>
      <c r="B1472" t="s">
        <v>3003</v>
      </c>
      <c r="C1472" t="s">
        <v>73</v>
      </c>
      <c r="D1472" t="s">
        <v>74</v>
      </c>
      <c r="E1472" t="s">
        <v>80</v>
      </c>
      <c r="F1472" t="s">
        <v>45</v>
      </c>
      <c r="G1472" t="s">
        <v>46</v>
      </c>
      <c r="H1472" t="s">
        <v>88</v>
      </c>
      <c r="I1472" t="s">
        <v>39</v>
      </c>
      <c r="J1472" t="s">
        <v>63</v>
      </c>
      <c r="K1472" s="2">
        <v>45898</v>
      </c>
      <c r="L1472" s="2">
        <v>46263</v>
      </c>
      <c r="M1472" t="s">
        <v>38</v>
      </c>
      <c r="N1472" t="s">
        <v>49</v>
      </c>
      <c r="O1472">
        <v>1</v>
      </c>
      <c r="P1472" t="s">
        <v>50</v>
      </c>
      <c r="Q1472" s="2">
        <v>46116</v>
      </c>
      <c r="R1472" t="s">
        <v>64</v>
      </c>
    </row>
    <row r="1473" spans="1:18" x14ac:dyDescent="0.2">
      <c r="A1473" t="s">
        <v>3004</v>
      </c>
      <c r="B1473" t="s">
        <v>3005</v>
      </c>
      <c r="C1473" t="s">
        <v>31</v>
      </c>
      <c r="D1473" t="s">
        <v>83</v>
      </c>
      <c r="E1473" t="s">
        <v>44</v>
      </c>
      <c r="F1473" t="s">
        <v>34</v>
      </c>
      <c r="G1473" t="s">
        <v>35</v>
      </c>
      <c r="H1473" t="s">
        <v>88</v>
      </c>
      <c r="I1473" t="s">
        <v>54</v>
      </c>
      <c r="J1473" t="s">
        <v>48</v>
      </c>
      <c r="K1473" s="2">
        <v>45829</v>
      </c>
      <c r="L1473" s="2">
        <v>45919</v>
      </c>
      <c r="M1473" t="s">
        <v>38</v>
      </c>
      <c r="N1473" t="s">
        <v>55</v>
      </c>
      <c r="O1473">
        <v>2</v>
      </c>
      <c r="P1473" t="s">
        <v>54</v>
      </c>
      <c r="Q1473" s="2">
        <v>46138</v>
      </c>
      <c r="R1473" t="s">
        <v>64</v>
      </c>
    </row>
    <row r="1474" spans="1:18" x14ac:dyDescent="0.2">
      <c r="A1474" t="s">
        <v>3006</v>
      </c>
      <c r="B1474" t="s">
        <v>3007</v>
      </c>
      <c r="C1474" t="s">
        <v>31</v>
      </c>
      <c r="D1474" t="s">
        <v>87</v>
      </c>
      <c r="E1474" t="s">
        <v>53</v>
      </c>
      <c r="F1474" t="s">
        <v>34</v>
      </c>
      <c r="G1474" t="s">
        <v>35</v>
      </c>
      <c r="H1474" t="s">
        <v>88</v>
      </c>
      <c r="I1474" t="s">
        <v>50</v>
      </c>
      <c r="J1474" t="s">
        <v>37</v>
      </c>
      <c r="K1474" s="2">
        <v>45802</v>
      </c>
      <c r="L1474" s="2">
        <v>45982</v>
      </c>
      <c r="M1474" t="s">
        <v>38</v>
      </c>
      <c r="N1474" t="s">
        <v>49</v>
      </c>
      <c r="O1474">
        <v>1</v>
      </c>
      <c r="P1474" t="s">
        <v>62</v>
      </c>
      <c r="Q1474" s="2">
        <v>46404</v>
      </c>
      <c r="R1474" t="s">
        <v>84</v>
      </c>
    </row>
    <row r="1475" spans="1:18" x14ac:dyDescent="0.2">
      <c r="A1475" t="s">
        <v>3008</v>
      </c>
      <c r="B1475" t="s">
        <v>3009</v>
      </c>
      <c r="C1475" t="s">
        <v>103</v>
      </c>
      <c r="D1475" t="s">
        <v>104</v>
      </c>
      <c r="E1475" t="s">
        <v>44</v>
      </c>
      <c r="F1475" t="s">
        <v>34</v>
      </c>
      <c r="G1475" t="s">
        <v>35</v>
      </c>
      <c r="H1475" t="s">
        <v>36</v>
      </c>
      <c r="I1475" t="s">
        <v>62</v>
      </c>
      <c r="J1475" t="s">
        <v>63</v>
      </c>
      <c r="K1475" s="2">
        <v>45798</v>
      </c>
      <c r="L1475" s="2">
        <v>45888</v>
      </c>
      <c r="M1475" t="s">
        <v>38</v>
      </c>
      <c r="N1475" t="s">
        <v>55</v>
      </c>
      <c r="O1475">
        <v>1</v>
      </c>
      <c r="P1475" t="s">
        <v>62</v>
      </c>
      <c r="Q1475" s="2">
        <v>46399</v>
      </c>
      <c r="R1475" t="s">
        <v>84</v>
      </c>
    </row>
    <row r="1476" spans="1:18" x14ac:dyDescent="0.2">
      <c r="A1476" t="s">
        <v>3010</v>
      </c>
      <c r="B1476" t="s">
        <v>3011</v>
      </c>
      <c r="C1476" t="s">
        <v>78</v>
      </c>
      <c r="D1476" t="s">
        <v>79</v>
      </c>
      <c r="E1476" t="s">
        <v>44</v>
      </c>
      <c r="F1476" t="s">
        <v>34</v>
      </c>
      <c r="G1476" t="s">
        <v>35</v>
      </c>
      <c r="H1476" t="s">
        <v>36</v>
      </c>
      <c r="I1476" t="s">
        <v>62</v>
      </c>
      <c r="J1476" t="s">
        <v>37</v>
      </c>
      <c r="K1476" s="2">
        <v>45815</v>
      </c>
      <c r="L1476" s="2">
        <v>46180</v>
      </c>
      <c r="M1476" t="s">
        <v>38</v>
      </c>
      <c r="N1476" t="s">
        <v>55</v>
      </c>
      <c r="O1476">
        <v>4</v>
      </c>
      <c r="P1476" t="s">
        <v>111</v>
      </c>
      <c r="Q1476" s="2">
        <v>46287</v>
      </c>
      <c r="R1476" t="s">
        <v>38</v>
      </c>
    </row>
    <row r="1477" spans="1:18" x14ac:dyDescent="0.2">
      <c r="A1477" t="s">
        <v>3012</v>
      </c>
      <c r="B1477" t="s">
        <v>3013</v>
      </c>
      <c r="C1477" t="s">
        <v>31</v>
      </c>
      <c r="D1477" t="s">
        <v>83</v>
      </c>
      <c r="E1477" t="s">
        <v>80</v>
      </c>
      <c r="F1477" t="s">
        <v>45</v>
      </c>
      <c r="G1477" t="s">
        <v>46</v>
      </c>
      <c r="H1477" t="s">
        <v>88</v>
      </c>
      <c r="I1477" t="s">
        <v>70</v>
      </c>
      <c r="J1477" t="s">
        <v>63</v>
      </c>
      <c r="K1477" s="2">
        <v>46275</v>
      </c>
      <c r="L1477" s="2">
        <v>46365</v>
      </c>
      <c r="M1477" t="s">
        <v>64</v>
      </c>
      <c r="N1477" t="s">
        <v>49</v>
      </c>
      <c r="O1477">
        <v>1</v>
      </c>
      <c r="P1477" t="s">
        <v>54</v>
      </c>
      <c r="Q1477" s="2">
        <v>46217</v>
      </c>
      <c r="R1477" t="s">
        <v>38</v>
      </c>
    </row>
    <row r="1478" spans="1:18" x14ac:dyDescent="0.2">
      <c r="A1478" t="s">
        <v>3014</v>
      </c>
      <c r="B1478" t="s">
        <v>3015</v>
      </c>
      <c r="C1478" t="s">
        <v>96</v>
      </c>
      <c r="D1478" t="s">
        <v>97</v>
      </c>
      <c r="E1478" t="s">
        <v>80</v>
      </c>
      <c r="F1478" t="s">
        <v>67</v>
      </c>
      <c r="G1478" t="s">
        <v>68</v>
      </c>
      <c r="H1478" t="s">
        <v>36</v>
      </c>
      <c r="I1478" t="s">
        <v>70</v>
      </c>
      <c r="J1478" t="s">
        <v>37</v>
      </c>
      <c r="K1478" s="2">
        <v>46005</v>
      </c>
      <c r="L1478" s="2">
        <v>46185</v>
      </c>
      <c r="M1478" t="s">
        <v>38</v>
      </c>
      <c r="N1478" t="s">
        <v>75</v>
      </c>
      <c r="O1478">
        <v>5</v>
      </c>
      <c r="P1478" t="s">
        <v>70</v>
      </c>
      <c r="Q1478" s="2">
        <v>46125</v>
      </c>
      <c r="R1478" t="s">
        <v>38</v>
      </c>
    </row>
    <row r="1479" spans="1:18" x14ac:dyDescent="0.2">
      <c r="A1479" t="s">
        <v>3016</v>
      </c>
      <c r="B1479" t="s">
        <v>3017</v>
      </c>
      <c r="C1479" t="s">
        <v>31</v>
      </c>
      <c r="D1479" t="s">
        <v>32</v>
      </c>
      <c r="E1479" t="s">
        <v>80</v>
      </c>
      <c r="F1479" t="s">
        <v>34</v>
      </c>
      <c r="G1479" t="s">
        <v>35</v>
      </c>
      <c r="H1479" t="s">
        <v>36</v>
      </c>
      <c r="I1479" t="s">
        <v>106</v>
      </c>
      <c r="J1479" t="s">
        <v>63</v>
      </c>
      <c r="K1479" s="2">
        <v>45853</v>
      </c>
      <c r="L1479" s="2">
        <v>46218</v>
      </c>
      <c r="M1479" t="s">
        <v>38</v>
      </c>
      <c r="N1479" t="s">
        <v>55</v>
      </c>
      <c r="O1479">
        <v>0</v>
      </c>
      <c r="P1479" t="s">
        <v>56</v>
      </c>
      <c r="Q1479" s="2">
        <v>46390</v>
      </c>
      <c r="R1479" t="s">
        <v>57</v>
      </c>
    </row>
    <row r="1480" spans="1:18" x14ac:dyDescent="0.2">
      <c r="A1480" t="s">
        <v>3018</v>
      </c>
      <c r="B1480" t="s">
        <v>3019</v>
      </c>
      <c r="C1480" t="s">
        <v>78</v>
      </c>
      <c r="D1480" t="s">
        <v>79</v>
      </c>
      <c r="E1480" t="s">
        <v>60</v>
      </c>
      <c r="F1480" t="s">
        <v>45</v>
      </c>
      <c r="G1480" t="s">
        <v>46</v>
      </c>
      <c r="H1480" t="s">
        <v>47</v>
      </c>
      <c r="I1480" t="s">
        <v>111</v>
      </c>
      <c r="J1480" t="s">
        <v>63</v>
      </c>
      <c r="K1480" s="2">
        <v>46066</v>
      </c>
      <c r="L1480" s="2">
        <v>46156</v>
      </c>
      <c r="M1480" t="s">
        <v>38</v>
      </c>
      <c r="N1480" t="s">
        <v>75</v>
      </c>
      <c r="O1480">
        <v>0</v>
      </c>
      <c r="P1480" t="s">
        <v>54</v>
      </c>
      <c r="Q1480" s="2">
        <v>46295</v>
      </c>
      <c r="R1480" t="s">
        <v>57</v>
      </c>
    </row>
    <row r="1481" spans="1:18" x14ac:dyDescent="0.2">
      <c r="A1481" t="s">
        <v>3020</v>
      </c>
      <c r="B1481" t="s">
        <v>3021</v>
      </c>
      <c r="C1481" t="s">
        <v>78</v>
      </c>
      <c r="D1481" t="s">
        <v>79</v>
      </c>
      <c r="E1481" t="s">
        <v>53</v>
      </c>
      <c r="F1481" t="s">
        <v>34</v>
      </c>
      <c r="G1481" t="s">
        <v>35</v>
      </c>
      <c r="H1481" t="s">
        <v>88</v>
      </c>
      <c r="I1481" t="s">
        <v>50</v>
      </c>
      <c r="J1481" t="s">
        <v>37</v>
      </c>
      <c r="K1481" s="2">
        <v>45899</v>
      </c>
      <c r="L1481" s="2">
        <v>46264</v>
      </c>
      <c r="M1481" t="s">
        <v>38</v>
      </c>
      <c r="N1481" t="s">
        <v>55</v>
      </c>
      <c r="O1481">
        <v>1</v>
      </c>
      <c r="P1481" t="s">
        <v>50</v>
      </c>
      <c r="Q1481" s="2">
        <v>46315</v>
      </c>
      <c r="R1481" t="s">
        <v>84</v>
      </c>
    </row>
    <row r="1482" spans="1:18" x14ac:dyDescent="0.2">
      <c r="A1482" t="s">
        <v>3022</v>
      </c>
      <c r="B1482" t="s">
        <v>3023</v>
      </c>
      <c r="C1482" t="s">
        <v>31</v>
      </c>
      <c r="D1482" t="s">
        <v>83</v>
      </c>
      <c r="E1482" t="s">
        <v>60</v>
      </c>
      <c r="F1482" t="s">
        <v>34</v>
      </c>
      <c r="G1482" t="s">
        <v>35</v>
      </c>
      <c r="H1482" t="s">
        <v>36</v>
      </c>
      <c r="I1482" t="s">
        <v>50</v>
      </c>
      <c r="J1482" t="s">
        <v>37</v>
      </c>
      <c r="K1482" s="2">
        <v>46110</v>
      </c>
      <c r="L1482" s="2">
        <v>46290</v>
      </c>
      <c r="M1482" t="s">
        <v>38</v>
      </c>
      <c r="N1482" t="s">
        <v>55</v>
      </c>
      <c r="O1482">
        <v>2</v>
      </c>
      <c r="P1482" t="s">
        <v>54</v>
      </c>
      <c r="Q1482" s="2">
        <v>46374</v>
      </c>
      <c r="R1482" t="s">
        <v>84</v>
      </c>
    </row>
    <row r="1483" spans="1:18" x14ac:dyDescent="0.2">
      <c r="A1483" t="s">
        <v>3024</v>
      </c>
      <c r="B1483" t="s">
        <v>3025</v>
      </c>
      <c r="C1483" t="s">
        <v>31</v>
      </c>
      <c r="D1483" t="s">
        <v>87</v>
      </c>
      <c r="E1483" t="s">
        <v>91</v>
      </c>
      <c r="F1483" t="s">
        <v>34</v>
      </c>
      <c r="G1483" t="s">
        <v>35</v>
      </c>
      <c r="H1483" t="s">
        <v>88</v>
      </c>
      <c r="I1483" t="s">
        <v>39</v>
      </c>
      <c r="J1483" t="s">
        <v>37</v>
      </c>
      <c r="K1483" s="2">
        <v>45884</v>
      </c>
      <c r="L1483" s="2">
        <v>46064</v>
      </c>
      <c r="M1483" t="s">
        <v>38</v>
      </c>
      <c r="N1483" t="s">
        <v>49</v>
      </c>
      <c r="O1483">
        <v>2</v>
      </c>
      <c r="P1483" t="s">
        <v>111</v>
      </c>
      <c r="Q1483" s="2">
        <v>46184</v>
      </c>
      <c r="R1483" t="s">
        <v>38</v>
      </c>
    </row>
    <row r="1484" spans="1:18" x14ac:dyDescent="0.2">
      <c r="A1484" t="s">
        <v>3026</v>
      </c>
      <c r="B1484" t="s">
        <v>3027</v>
      </c>
      <c r="C1484" t="s">
        <v>31</v>
      </c>
      <c r="D1484" t="s">
        <v>87</v>
      </c>
      <c r="E1484" t="s">
        <v>80</v>
      </c>
      <c r="F1484" t="s">
        <v>45</v>
      </c>
      <c r="G1484" t="s">
        <v>61</v>
      </c>
      <c r="H1484" t="s">
        <v>88</v>
      </c>
      <c r="I1484" t="s">
        <v>56</v>
      </c>
      <c r="J1484" t="s">
        <v>63</v>
      </c>
      <c r="K1484" s="2">
        <v>46243</v>
      </c>
      <c r="L1484" s="2">
        <v>46423</v>
      </c>
      <c r="M1484" t="s">
        <v>69</v>
      </c>
      <c r="N1484" t="s">
        <v>75</v>
      </c>
      <c r="O1484">
        <v>0</v>
      </c>
      <c r="P1484" t="s">
        <v>111</v>
      </c>
      <c r="Q1484" s="2">
        <v>46402</v>
      </c>
      <c r="R1484" t="s">
        <v>57</v>
      </c>
    </row>
    <row r="1485" spans="1:18" x14ac:dyDescent="0.2">
      <c r="A1485" t="s">
        <v>3028</v>
      </c>
      <c r="B1485" t="s">
        <v>3029</v>
      </c>
      <c r="C1485" t="s">
        <v>31</v>
      </c>
      <c r="D1485" t="s">
        <v>32</v>
      </c>
      <c r="E1485" t="s">
        <v>53</v>
      </c>
      <c r="F1485" t="s">
        <v>67</v>
      </c>
      <c r="G1485" t="s">
        <v>118</v>
      </c>
      <c r="H1485" t="s">
        <v>88</v>
      </c>
      <c r="I1485" t="s">
        <v>56</v>
      </c>
      <c r="J1485" t="s">
        <v>37</v>
      </c>
      <c r="K1485" s="2">
        <v>46068</v>
      </c>
      <c r="L1485" s="2">
        <v>46248</v>
      </c>
      <c r="M1485" t="s">
        <v>38</v>
      </c>
      <c r="N1485" t="s">
        <v>55</v>
      </c>
      <c r="O1485">
        <v>1</v>
      </c>
      <c r="P1485" t="s">
        <v>54</v>
      </c>
      <c r="Q1485" s="2">
        <v>46373</v>
      </c>
      <c r="R1485" t="s">
        <v>84</v>
      </c>
    </row>
    <row r="1486" spans="1:18" x14ac:dyDescent="0.2">
      <c r="A1486" t="s">
        <v>3030</v>
      </c>
      <c r="B1486" t="s">
        <v>3031</v>
      </c>
      <c r="C1486" t="s">
        <v>42</v>
      </c>
      <c r="D1486" t="s">
        <v>43</v>
      </c>
      <c r="E1486" t="s">
        <v>60</v>
      </c>
      <c r="F1486" t="s">
        <v>67</v>
      </c>
      <c r="G1486" t="s">
        <v>118</v>
      </c>
      <c r="H1486" t="s">
        <v>98</v>
      </c>
      <c r="I1486" t="s">
        <v>106</v>
      </c>
      <c r="J1486" t="s">
        <v>37</v>
      </c>
      <c r="K1486" s="2">
        <v>46170</v>
      </c>
      <c r="L1486" s="2">
        <v>46350</v>
      </c>
      <c r="M1486" t="s">
        <v>84</v>
      </c>
      <c r="N1486" t="s">
        <v>75</v>
      </c>
      <c r="O1486">
        <v>2</v>
      </c>
      <c r="P1486" t="s">
        <v>39</v>
      </c>
      <c r="Q1486" s="2">
        <v>46414</v>
      </c>
      <c r="R1486" t="s">
        <v>84</v>
      </c>
    </row>
    <row r="1487" spans="1:18" x14ac:dyDescent="0.2">
      <c r="A1487" t="s">
        <v>3032</v>
      </c>
      <c r="B1487" t="s">
        <v>3033</v>
      </c>
      <c r="C1487" t="s">
        <v>31</v>
      </c>
      <c r="D1487" t="s">
        <v>87</v>
      </c>
      <c r="E1487" t="s">
        <v>91</v>
      </c>
      <c r="F1487" t="s">
        <v>34</v>
      </c>
      <c r="G1487" t="s">
        <v>35</v>
      </c>
      <c r="H1487" t="s">
        <v>88</v>
      </c>
      <c r="I1487" t="s">
        <v>62</v>
      </c>
      <c r="J1487" t="s">
        <v>37</v>
      </c>
      <c r="K1487" s="2">
        <v>45827</v>
      </c>
      <c r="L1487" s="2">
        <v>45917</v>
      </c>
      <c r="M1487" t="s">
        <v>38</v>
      </c>
      <c r="N1487" t="s">
        <v>75</v>
      </c>
      <c r="O1487">
        <v>1</v>
      </c>
      <c r="P1487" t="s">
        <v>50</v>
      </c>
      <c r="Q1487" s="2">
        <v>46175</v>
      </c>
      <c r="R1487" t="s">
        <v>38</v>
      </c>
    </row>
    <row r="1488" spans="1:18" x14ac:dyDescent="0.2">
      <c r="A1488" t="s">
        <v>3034</v>
      </c>
      <c r="B1488" t="s">
        <v>3035</v>
      </c>
      <c r="C1488" t="s">
        <v>103</v>
      </c>
      <c r="D1488" t="s">
        <v>104</v>
      </c>
      <c r="E1488" t="s">
        <v>80</v>
      </c>
      <c r="F1488" t="s">
        <v>67</v>
      </c>
      <c r="G1488" t="s">
        <v>68</v>
      </c>
      <c r="H1488" t="s">
        <v>88</v>
      </c>
      <c r="I1488" t="s">
        <v>39</v>
      </c>
      <c r="J1488" t="s">
        <v>63</v>
      </c>
      <c r="K1488" s="2">
        <v>46266</v>
      </c>
      <c r="L1488" s="2">
        <v>46631</v>
      </c>
      <c r="M1488" t="s">
        <v>64</v>
      </c>
      <c r="N1488" t="s">
        <v>49</v>
      </c>
      <c r="O1488">
        <v>2</v>
      </c>
      <c r="P1488" t="s">
        <v>54</v>
      </c>
      <c r="Q1488" s="2">
        <v>46298</v>
      </c>
      <c r="R1488" t="s">
        <v>84</v>
      </c>
    </row>
    <row r="1489" spans="1:18" x14ac:dyDescent="0.2">
      <c r="A1489" t="s">
        <v>3036</v>
      </c>
      <c r="B1489" t="s">
        <v>3037</v>
      </c>
      <c r="C1489" t="s">
        <v>73</v>
      </c>
      <c r="D1489" t="s">
        <v>74</v>
      </c>
      <c r="E1489" t="s">
        <v>53</v>
      </c>
      <c r="F1489" t="s">
        <v>34</v>
      </c>
      <c r="G1489" t="s">
        <v>35</v>
      </c>
      <c r="H1489" t="s">
        <v>88</v>
      </c>
      <c r="I1489" t="s">
        <v>54</v>
      </c>
      <c r="J1489" t="s">
        <v>48</v>
      </c>
      <c r="K1489" s="2">
        <v>45959</v>
      </c>
      <c r="L1489" s="2">
        <v>46324</v>
      </c>
      <c r="M1489" t="s">
        <v>69</v>
      </c>
      <c r="N1489" t="s">
        <v>49</v>
      </c>
      <c r="O1489">
        <v>0</v>
      </c>
      <c r="P1489" t="s">
        <v>39</v>
      </c>
      <c r="Q1489" s="2">
        <v>46398</v>
      </c>
      <c r="R1489" t="s">
        <v>57</v>
      </c>
    </row>
    <row r="1490" spans="1:18" x14ac:dyDescent="0.2">
      <c r="A1490" t="s">
        <v>3038</v>
      </c>
      <c r="B1490" t="s">
        <v>3039</v>
      </c>
      <c r="C1490" t="s">
        <v>78</v>
      </c>
      <c r="D1490" t="s">
        <v>79</v>
      </c>
      <c r="E1490" t="s">
        <v>53</v>
      </c>
      <c r="F1490" t="s">
        <v>45</v>
      </c>
      <c r="G1490" t="s">
        <v>61</v>
      </c>
      <c r="H1490" t="s">
        <v>36</v>
      </c>
      <c r="I1490" t="s">
        <v>39</v>
      </c>
      <c r="J1490" t="s">
        <v>63</v>
      </c>
      <c r="K1490" s="2">
        <v>46275</v>
      </c>
      <c r="L1490" s="2">
        <v>46365</v>
      </c>
      <c r="M1490" t="s">
        <v>64</v>
      </c>
      <c r="N1490" t="s">
        <v>75</v>
      </c>
      <c r="O1490">
        <v>5</v>
      </c>
      <c r="P1490" t="s">
        <v>106</v>
      </c>
      <c r="Q1490" s="2">
        <v>46314</v>
      </c>
      <c r="R1490" t="s">
        <v>84</v>
      </c>
    </row>
    <row r="1491" spans="1:18" x14ac:dyDescent="0.2">
      <c r="A1491" t="s">
        <v>3040</v>
      </c>
      <c r="B1491" t="s">
        <v>3041</v>
      </c>
      <c r="C1491" t="s">
        <v>103</v>
      </c>
      <c r="D1491" t="s">
        <v>104</v>
      </c>
      <c r="E1491" t="s">
        <v>105</v>
      </c>
      <c r="F1491" t="s">
        <v>34</v>
      </c>
      <c r="G1491" t="s">
        <v>35</v>
      </c>
      <c r="H1491" t="s">
        <v>36</v>
      </c>
      <c r="I1491" t="s">
        <v>106</v>
      </c>
      <c r="J1491" t="s">
        <v>37</v>
      </c>
      <c r="K1491" s="2">
        <v>46077</v>
      </c>
      <c r="L1491" s="2">
        <v>46257</v>
      </c>
      <c r="M1491" t="s">
        <v>38</v>
      </c>
      <c r="N1491" t="s">
        <v>55</v>
      </c>
      <c r="O1491">
        <v>4</v>
      </c>
      <c r="P1491" t="s">
        <v>56</v>
      </c>
      <c r="Q1491" s="2">
        <v>46248</v>
      </c>
      <c r="R1491" t="s">
        <v>38</v>
      </c>
    </row>
    <row r="1492" spans="1:18" x14ac:dyDescent="0.2">
      <c r="A1492" t="s">
        <v>3042</v>
      </c>
      <c r="B1492" t="s">
        <v>3043</v>
      </c>
      <c r="C1492" t="s">
        <v>96</v>
      </c>
      <c r="D1492" t="s">
        <v>97</v>
      </c>
      <c r="E1492" t="s">
        <v>60</v>
      </c>
      <c r="F1492" t="s">
        <v>67</v>
      </c>
      <c r="G1492" t="s">
        <v>118</v>
      </c>
      <c r="H1492" t="s">
        <v>47</v>
      </c>
      <c r="I1492" t="s">
        <v>111</v>
      </c>
      <c r="J1492" t="s">
        <v>37</v>
      </c>
      <c r="K1492" s="2">
        <v>45808</v>
      </c>
      <c r="L1492" s="2">
        <v>46173</v>
      </c>
      <c r="M1492" t="s">
        <v>38</v>
      </c>
      <c r="N1492" t="s">
        <v>55</v>
      </c>
      <c r="O1492">
        <v>0</v>
      </c>
      <c r="P1492" t="s">
        <v>39</v>
      </c>
      <c r="Q1492" s="2">
        <v>46386</v>
      </c>
      <c r="R1492" t="s">
        <v>57</v>
      </c>
    </row>
    <row r="1493" spans="1:18" x14ac:dyDescent="0.2">
      <c r="A1493" t="s">
        <v>3044</v>
      </c>
      <c r="B1493" t="s">
        <v>3045</v>
      </c>
      <c r="C1493" t="s">
        <v>42</v>
      </c>
      <c r="D1493" t="s">
        <v>43</v>
      </c>
      <c r="E1493" t="s">
        <v>91</v>
      </c>
      <c r="F1493" t="s">
        <v>45</v>
      </c>
      <c r="G1493" t="s">
        <v>46</v>
      </c>
      <c r="H1493" t="s">
        <v>36</v>
      </c>
      <c r="I1493" t="s">
        <v>62</v>
      </c>
      <c r="J1493" t="s">
        <v>63</v>
      </c>
      <c r="K1493" s="2">
        <v>46085</v>
      </c>
      <c r="L1493" s="2">
        <v>46450</v>
      </c>
      <c r="M1493" t="s">
        <v>64</v>
      </c>
      <c r="N1493" t="s">
        <v>55</v>
      </c>
      <c r="O1493">
        <v>2</v>
      </c>
      <c r="P1493" t="s">
        <v>39</v>
      </c>
      <c r="Q1493" s="2">
        <v>46266</v>
      </c>
      <c r="R1493" t="s">
        <v>64</v>
      </c>
    </row>
    <row r="1494" spans="1:18" x14ac:dyDescent="0.2">
      <c r="A1494" t="s">
        <v>3046</v>
      </c>
      <c r="B1494" t="s">
        <v>3047</v>
      </c>
      <c r="C1494" t="s">
        <v>78</v>
      </c>
      <c r="D1494" t="s">
        <v>79</v>
      </c>
      <c r="E1494" t="s">
        <v>53</v>
      </c>
      <c r="F1494" t="s">
        <v>67</v>
      </c>
      <c r="G1494" t="s">
        <v>118</v>
      </c>
      <c r="H1494" t="s">
        <v>88</v>
      </c>
      <c r="I1494" t="s">
        <v>62</v>
      </c>
      <c r="J1494" t="s">
        <v>48</v>
      </c>
      <c r="K1494" s="2">
        <v>45989</v>
      </c>
      <c r="L1494" s="2">
        <v>46169</v>
      </c>
      <c r="M1494" t="s">
        <v>38</v>
      </c>
      <c r="N1494" t="s">
        <v>75</v>
      </c>
      <c r="O1494">
        <v>1</v>
      </c>
      <c r="P1494" t="s">
        <v>70</v>
      </c>
      <c r="Q1494" s="2">
        <v>46269</v>
      </c>
      <c r="R1494" t="s">
        <v>38</v>
      </c>
    </row>
    <row r="1495" spans="1:18" x14ac:dyDescent="0.2">
      <c r="A1495" t="s">
        <v>3048</v>
      </c>
      <c r="B1495" t="s">
        <v>3049</v>
      </c>
      <c r="C1495" t="s">
        <v>73</v>
      </c>
      <c r="D1495" t="s">
        <v>74</v>
      </c>
      <c r="E1495" t="s">
        <v>60</v>
      </c>
      <c r="F1495" t="s">
        <v>67</v>
      </c>
      <c r="G1495" t="s">
        <v>118</v>
      </c>
      <c r="H1495" t="s">
        <v>88</v>
      </c>
      <c r="I1495" t="s">
        <v>111</v>
      </c>
      <c r="J1495" t="s">
        <v>48</v>
      </c>
      <c r="K1495" s="2">
        <v>46205</v>
      </c>
      <c r="L1495" s="2">
        <v>46385</v>
      </c>
      <c r="M1495" t="s">
        <v>84</v>
      </c>
      <c r="N1495" t="s">
        <v>55</v>
      </c>
      <c r="O1495">
        <v>1</v>
      </c>
      <c r="P1495" t="s">
        <v>56</v>
      </c>
      <c r="Q1495" s="2">
        <v>46178</v>
      </c>
      <c r="R1495" t="s">
        <v>38</v>
      </c>
    </row>
    <row r="1496" spans="1:18" x14ac:dyDescent="0.2">
      <c r="A1496" t="s">
        <v>3050</v>
      </c>
      <c r="B1496" t="s">
        <v>3051</v>
      </c>
      <c r="C1496" t="s">
        <v>103</v>
      </c>
      <c r="D1496" t="s">
        <v>104</v>
      </c>
      <c r="E1496" t="s">
        <v>53</v>
      </c>
      <c r="F1496" t="s">
        <v>67</v>
      </c>
      <c r="G1496" t="s">
        <v>68</v>
      </c>
      <c r="H1496" t="s">
        <v>88</v>
      </c>
      <c r="I1496" t="s">
        <v>111</v>
      </c>
      <c r="J1496" t="s">
        <v>37</v>
      </c>
      <c r="K1496" s="2">
        <v>45814</v>
      </c>
      <c r="L1496" s="2">
        <v>45994</v>
      </c>
      <c r="M1496" t="s">
        <v>38</v>
      </c>
      <c r="N1496" t="s">
        <v>75</v>
      </c>
      <c r="O1496">
        <v>2</v>
      </c>
      <c r="P1496" t="s">
        <v>106</v>
      </c>
      <c r="Q1496" s="2">
        <v>46281</v>
      </c>
      <c r="R1496" t="s">
        <v>38</v>
      </c>
    </row>
    <row r="1497" spans="1:18" x14ac:dyDescent="0.2">
      <c r="A1497" t="s">
        <v>3052</v>
      </c>
      <c r="B1497" t="s">
        <v>3053</v>
      </c>
      <c r="C1497" t="s">
        <v>31</v>
      </c>
      <c r="D1497" t="s">
        <v>83</v>
      </c>
      <c r="E1497" t="s">
        <v>44</v>
      </c>
      <c r="F1497" t="s">
        <v>45</v>
      </c>
      <c r="G1497" t="s">
        <v>46</v>
      </c>
      <c r="H1497" t="s">
        <v>88</v>
      </c>
      <c r="I1497" t="s">
        <v>106</v>
      </c>
      <c r="J1497" t="s">
        <v>63</v>
      </c>
      <c r="K1497" s="2">
        <v>46272</v>
      </c>
      <c r="L1497" s="2">
        <v>46452</v>
      </c>
      <c r="M1497" t="s">
        <v>84</v>
      </c>
      <c r="N1497" t="s">
        <v>75</v>
      </c>
      <c r="O1497">
        <v>2</v>
      </c>
      <c r="P1497" t="s">
        <v>39</v>
      </c>
      <c r="Q1497" s="2">
        <v>46293</v>
      </c>
      <c r="R1497" t="s">
        <v>64</v>
      </c>
    </row>
    <row r="1498" spans="1:18" x14ac:dyDescent="0.2">
      <c r="A1498" t="s">
        <v>3054</v>
      </c>
      <c r="B1498" t="s">
        <v>3055</v>
      </c>
      <c r="C1498" t="s">
        <v>78</v>
      </c>
      <c r="D1498" t="s">
        <v>79</v>
      </c>
      <c r="E1498" t="s">
        <v>80</v>
      </c>
      <c r="F1498" t="s">
        <v>45</v>
      </c>
      <c r="G1498" t="s">
        <v>46</v>
      </c>
      <c r="H1498" t="s">
        <v>47</v>
      </c>
      <c r="I1498" t="s">
        <v>50</v>
      </c>
      <c r="J1498" t="s">
        <v>37</v>
      </c>
      <c r="K1498" s="2">
        <v>46229</v>
      </c>
      <c r="L1498" s="2">
        <v>46319</v>
      </c>
      <c r="M1498" t="s">
        <v>69</v>
      </c>
      <c r="N1498" t="s">
        <v>55</v>
      </c>
      <c r="O1498">
        <v>1</v>
      </c>
      <c r="P1498" t="s">
        <v>54</v>
      </c>
      <c r="Q1498" s="2">
        <v>46352</v>
      </c>
      <c r="R1498" t="s">
        <v>84</v>
      </c>
    </row>
    <row r="1499" spans="1:18" x14ac:dyDescent="0.2">
      <c r="A1499" t="s">
        <v>3056</v>
      </c>
      <c r="B1499" t="s">
        <v>3057</v>
      </c>
      <c r="C1499" t="s">
        <v>42</v>
      </c>
      <c r="D1499" t="s">
        <v>43</v>
      </c>
      <c r="E1499" t="s">
        <v>60</v>
      </c>
      <c r="F1499" t="s">
        <v>34</v>
      </c>
      <c r="G1499" t="s">
        <v>35</v>
      </c>
      <c r="H1499" t="s">
        <v>88</v>
      </c>
      <c r="I1499" t="s">
        <v>106</v>
      </c>
      <c r="J1499" t="s">
        <v>63</v>
      </c>
      <c r="K1499" s="2">
        <v>45992</v>
      </c>
      <c r="L1499" s="2">
        <v>46172</v>
      </c>
      <c r="M1499" t="s">
        <v>38</v>
      </c>
      <c r="O1499">
        <v>1</v>
      </c>
      <c r="P1499" t="s">
        <v>106</v>
      </c>
      <c r="Q1499" s="2">
        <v>46207</v>
      </c>
      <c r="R1499" t="s">
        <v>38</v>
      </c>
    </row>
    <row r="1500" spans="1:18" x14ac:dyDescent="0.2">
      <c r="A1500" t="s">
        <v>3058</v>
      </c>
      <c r="B1500" t="s">
        <v>3059</v>
      </c>
      <c r="C1500" t="s">
        <v>31</v>
      </c>
      <c r="D1500" t="s">
        <v>32</v>
      </c>
      <c r="E1500" t="s">
        <v>105</v>
      </c>
      <c r="F1500" t="s">
        <v>45</v>
      </c>
      <c r="G1500" t="s">
        <v>61</v>
      </c>
      <c r="H1500" t="s">
        <v>88</v>
      </c>
      <c r="I1500" t="s">
        <v>106</v>
      </c>
      <c r="J1500" t="s">
        <v>37</v>
      </c>
      <c r="K1500" s="2">
        <v>46025</v>
      </c>
      <c r="L1500" s="2">
        <v>46205</v>
      </c>
      <c r="M1500" t="s">
        <v>38</v>
      </c>
      <c r="N1500" t="s">
        <v>49</v>
      </c>
      <c r="O1500">
        <v>0</v>
      </c>
      <c r="P1500" t="s">
        <v>39</v>
      </c>
      <c r="Q1500" s="2">
        <v>46344</v>
      </c>
      <c r="R1500" t="s">
        <v>57</v>
      </c>
    </row>
    <row r="1501" spans="1:18" x14ac:dyDescent="0.2">
      <c r="A1501" t="s">
        <v>3060</v>
      </c>
      <c r="B1501" t="s">
        <v>3061</v>
      </c>
      <c r="C1501" t="s">
        <v>103</v>
      </c>
      <c r="D1501" t="s">
        <v>104</v>
      </c>
      <c r="E1501" t="s">
        <v>53</v>
      </c>
      <c r="F1501" t="s">
        <v>34</v>
      </c>
      <c r="G1501" t="s">
        <v>35</v>
      </c>
      <c r="H1501" t="s">
        <v>88</v>
      </c>
      <c r="I1501" t="s">
        <v>70</v>
      </c>
      <c r="J1501" t="s">
        <v>48</v>
      </c>
      <c r="K1501" s="2">
        <v>46143</v>
      </c>
      <c r="L1501" s="2">
        <v>46323</v>
      </c>
      <c r="M1501" t="s">
        <v>64</v>
      </c>
      <c r="N1501" t="s">
        <v>75</v>
      </c>
      <c r="O1501">
        <v>3</v>
      </c>
      <c r="P1501" t="s">
        <v>56</v>
      </c>
      <c r="Q1501" s="2">
        <v>46232</v>
      </c>
      <c r="R1501" t="s">
        <v>38</v>
      </c>
    </row>
    <row r="1502" spans="1:18" x14ac:dyDescent="0.2">
      <c r="A1502" t="s">
        <v>3062</v>
      </c>
      <c r="B1502" t="s">
        <v>3063</v>
      </c>
      <c r="C1502" t="s">
        <v>103</v>
      </c>
      <c r="D1502" t="s">
        <v>104</v>
      </c>
      <c r="E1502" t="s">
        <v>105</v>
      </c>
      <c r="F1502" t="s">
        <v>67</v>
      </c>
      <c r="G1502" t="s">
        <v>118</v>
      </c>
      <c r="H1502" t="s">
        <v>36</v>
      </c>
      <c r="I1502" t="s">
        <v>111</v>
      </c>
      <c r="J1502" t="s">
        <v>37</v>
      </c>
      <c r="K1502" s="2">
        <v>46215</v>
      </c>
      <c r="L1502" s="2">
        <v>46395</v>
      </c>
      <c r="M1502" t="s">
        <v>69</v>
      </c>
      <c r="N1502" t="s">
        <v>55</v>
      </c>
      <c r="O1502">
        <v>2</v>
      </c>
      <c r="P1502" t="s">
        <v>54</v>
      </c>
      <c r="Q1502" s="2">
        <v>46263</v>
      </c>
      <c r="R1502" t="s">
        <v>38</v>
      </c>
    </row>
    <row r="1503" spans="1:18" x14ac:dyDescent="0.2">
      <c r="A1503" t="s">
        <v>3064</v>
      </c>
      <c r="B1503" t="s">
        <v>3065</v>
      </c>
      <c r="C1503" t="s">
        <v>31</v>
      </c>
      <c r="D1503" t="s">
        <v>83</v>
      </c>
      <c r="E1503" t="s">
        <v>44</v>
      </c>
      <c r="F1503" t="s">
        <v>67</v>
      </c>
      <c r="G1503" t="s">
        <v>68</v>
      </c>
      <c r="H1503" t="s">
        <v>47</v>
      </c>
      <c r="I1503" t="s">
        <v>54</v>
      </c>
      <c r="J1503" t="s">
        <v>48</v>
      </c>
      <c r="K1503" s="2">
        <v>46060</v>
      </c>
      <c r="L1503" s="2">
        <v>46150</v>
      </c>
      <c r="M1503" t="s">
        <v>38</v>
      </c>
      <c r="N1503" t="s">
        <v>55</v>
      </c>
      <c r="O1503">
        <v>1</v>
      </c>
      <c r="P1503" t="s">
        <v>111</v>
      </c>
      <c r="Q1503" s="2">
        <v>46237</v>
      </c>
      <c r="R1503" t="s">
        <v>38</v>
      </c>
    </row>
    <row r="1504" spans="1:18" x14ac:dyDescent="0.2">
      <c r="A1504" t="s">
        <v>3066</v>
      </c>
      <c r="B1504" t="s">
        <v>3067</v>
      </c>
      <c r="C1504" t="s">
        <v>73</v>
      </c>
      <c r="D1504" t="s">
        <v>74</v>
      </c>
      <c r="E1504" t="s">
        <v>60</v>
      </c>
      <c r="F1504" t="s">
        <v>34</v>
      </c>
      <c r="G1504" t="s">
        <v>35</v>
      </c>
      <c r="H1504" t="s">
        <v>47</v>
      </c>
      <c r="I1504" t="s">
        <v>50</v>
      </c>
      <c r="J1504" t="s">
        <v>48</v>
      </c>
      <c r="K1504" s="2">
        <v>46030</v>
      </c>
      <c r="L1504" s="2">
        <v>46395</v>
      </c>
      <c r="M1504" t="s">
        <v>64</v>
      </c>
      <c r="N1504" t="s">
        <v>55</v>
      </c>
      <c r="O1504">
        <v>2</v>
      </c>
      <c r="P1504" t="s">
        <v>106</v>
      </c>
      <c r="Q1504" s="2">
        <v>46399</v>
      </c>
      <c r="R1504" t="s">
        <v>84</v>
      </c>
    </row>
  </sheetData>
  <mergeCells count="1">
    <mergeCell ref="A1:R1"/>
  </mergeCells>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504"/>
  <sheetViews>
    <sheetView workbookViewId="0">
      <pane ySplit="4" topLeftCell="A5" activePane="bottomLeft" state="frozen"/>
      <selection pane="bottomLeft" sqref="A1:R1"/>
    </sheetView>
  </sheetViews>
  <sheetFormatPr baseColWidth="10" defaultColWidth="8.83203125" defaultRowHeight="15" x14ac:dyDescent="0.2"/>
  <cols>
    <col min="1" max="1" width="16" customWidth="1"/>
    <col min="2" max="2" width="32" customWidth="1"/>
    <col min="3" max="18" width="16" customWidth="1"/>
  </cols>
  <sheetData>
    <row r="1" spans="1:18" ht="28" customHeight="1" x14ac:dyDescent="0.2">
      <c r="A1" s="5" t="s">
        <v>3068</v>
      </c>
      <c r="B1" s="6"/>
      <c r="C1" s="6"/>
      <c r="D1" s="6"/>
      <c r="E1" s="6"/>
      <c r="F1" s="6"/>
      <c r="G1" s="6"/>
      <c r="H1" s="6"/>
      <c r="I1" s="6"/>
      <c r="J1" s="6"/>
      <c r="K1" s="6"/>
      <c r="L1" s="6"/>
      <c r="M1" s="6"/>
      <c r="N1" s="6"/>
      <c r="O1" s="6"/>
      <c r="P1" s="6"/>
      <c r="Q1" s="6"/>
      <c r="R1" s="6"/>
    </row>
    <row r="4" spans="1:18" ht="32" x14ac:dyDescent="0.2">
      <c r="A4" s="3" t="s">
        <v>11</v>
      </c>
      <c r="B4" s="3" t="s">
        <v>12</v>
      </c>
      <c r="C4" s="3" t="s">
        <v>13</v>
      </c>
      <c r="D4" s="3" t="s">
        <v>14</v>
      </c>
      <c r="E4" s="3" t="s">
        <v>15</v>
      </c>
      <c r="F4" s="3" t="s">
        <v>16</v>
      </c>
      <c r="G4" s="3" t="s">
        <v>17</v>
      </c>
      <c r="H4" s="3" t="s">
        <v>18</v>
      </c>
      <c r="I4" s="3" t="s">
        <v>19</v>
      </c>
      <c r="J4" s="3" t="s">
        <v>20</v>
      </c>
      <c r="K4" s="3" t="s">
        <v>21</v>
      </c>
      <c r="L4" s="3" t="s">
        <v>22</v>
      </c>
      <c r="M4" s="3" t="s">
        <v>23</v>
      </c>
      <c r="N4" s="3" t="s">
        <v>24</v>
      </c>
      <c r="O4" s="3" t="s">
        <v>25</v>
      </c>
      <c r="P4" s="3" t="s">
        <v>26</v>
      </c>
      <c r="Q4" s="3" t="s">
        <v>27</v>
      </c>
      <c r="R4" s="3" t="s">
        <v>28</v>
      </c>
    </row>
    <row r="5" spans="1:18" x14ac:dyDescent="0.2">
      <c r="A5" t="s">
        <v>29</v>
      </c>
      <c r="B5" t="s">
        <v>30</v>
      </c>
      <c r="C5" t="s">
        <v>31</v>
      </c>
      <c r="D5" t="s">
        <v>32</v>
      </c>
      <c r="E5" t="s">
        <v>105</v>
      </c>
      <c r="F5" t="s">
        <v>34</v>
      </c>
      <c r="G5" t="s">
        <v>35</v>
      </c>
      <c r="H5" t="s">
        <v>36</v>
      </c>
      <c r="J5" t="s">
        <v>37</v>
      </c>
      <c r="K5" s="2">
        <v>46150</v>
      </c>
      <c r="L5" s="2">
        <v>46240</v>
      </c>
      <c r="M5" t="s">
        <v>38</v>
      </c>
      <c r="O5">
        <v>1</v>
      </c>
      <c r="P5" t="s">
        <v>39</v>
      </c>
      <c r="Q5" s="2">
        <v>46167</v>
      </c>
      <c r="R5" t="s">
        <v>38</v>
      </c>
    </row>
    <row r="6" spans="1:18" x14ac:dyDescent="0.2">
      <c r="A6" t="s">
        <v>40</v>
      </c>
      <c r="B6" t="s">
        <v>41</v>
      </c>
      <c r="C6" t="s">
        <v>42</v>
      </c>
      <c r="D6" t="s">
        <v>43</v>
      </c>
      <c r="E6" t="s">
        <v>44</v>
      </c>
      <c r="F6" t="s">
        <v>45</v>
      </c>
      <c r="G6" t="s">
        <v>46</v>
      </c>
      <c r="H6" t="s">
        <v>47</v>
      </c>
      <c r="I6" t="s">
        <v>39</v>
      </c>
      <c r="J6" t="s">
        <v>48</v>
      </c>
      <c r="K6" s="2">
        <v>45988</v>
      </c>
      <c r="L6" s="2">
        <v>46078</v>
      </c>
      <c r="M6" t="s">
        <v>38</v>
      </c>
      <c r="N6" t="s">
        <v>49</v>
      </c>
      <c r="O6">
        <v>3</v>
      </c>
      <c r="P6" t="s">
        <v>50</v>
      </c>
      <c r="Q6" s="2">
        <v>46227</v>
      </c>
      <c r="R6" t="s">
        <v>38</v>
      </c>
    </row>
    <row r="7" spans="1:18" x14ac:dyDescent="0.2">
      <c r="A7" t="s">
        <v>51</v>
      </c>
      <c r="B7" t="s">
        <v>52</v>
      </c>
      <c r="C7" t="s">
        <v>31</v>
      </c>
      <c r="D7" t="s">
        <v>32</v>
      </c>
      <c r="E7" t="s">
        <v>53</v>
      </c>
      <c r="F7" t="s">
        <v>34</v>
      </c>
      <c r="G7" t="s">
        <v>35</v>
      </c>
      <c r="H7" t="s">
        <v>47</v>
      </c>
      <c r="I7" t="s">
        <v>54</v>
      </c>
      <c r="J7" t="s">
        <v>37</v>
      </c>
      <c r="K7" s="2">
        <v>45885</v>
      </c>
      <c r="L7" s="2">
        <v>46065</v>
      </c>
      <c r="M7" t="s">
        <v>38</v>
      </c>
      <c r="N7" t="s">
        <v>55</v>
      </c>
      <c r="O7">
        <v>0</v>
      </c>
      <c r="P7" t="s">
        <v>56</v>
      </c>
      <c r="Q7" s="2">
        <v>46309</v>
      </c>
      <c r="R7" t="s">
        <v>57</v>
      </c>
    </row>
    <row r="8" spans="1:18" x14ac:dyDescent="0.2">
      <c r="A8" t="s">
        <v>58</v>
      </c>
      <c r="B8" t="s">
        <v>59</v>
      </c>
      <c r="C8" t="s">
        <v>31</v>
      </c>
      <c r="D8" t="s">
        <v>32</v>
      </c>
      <c r="E8" t="s">
        <v>60</v>
      </c>
      <c r="F8" t="s">
        <v>45</v>
      </c>
      <c r="G8" t="s">
        <v>61</v>
      </c>
      <c r="H8" t="s">
        <v>47</v>
      </c>
      <c r="I8" t="s">
        <v>62</v>
      </c>
      <c r="J8" t="s">
        <v>63</v>
      </c>
      <c r="K8" s="2">
        <v>46235</v>
      </c>
      <c r="L8" s="2">
        <v>46600</v>
      </c>
      <c r="M8" t="s">
        <v>64</v>
      </c>
      <c r="N8" t="s">
        <v>49</v>
      </c>
      <c r="O8">
        <v>2</v>
      </c>
      <c r="P8" t="s">
        <v>54</v>
      </c>
      <c r="Q8" s="2">
        <v>46410</v>
      </c>
      <c r="R8" t="s">
        <v>64</v>
      </c>
    </row>
    <row r="9" spans="1:18" x14ac:dyDescent="0.2">
      <c r="A9" t="s">
        <v>65</v>
      </c>
      <c r="B9" t="s">
        <v>66</v>
      </c>
      <c r="C9" t="s">
        <v>42</v>
      </c>
      <c r="D9" t="s">
        <v>43</v>
      </c>
      <c r="E9" t="s">
        <v>44</v>
      </c>
      <c r="F9" t="s">
        <v>67</v>
      </c>
      <c r="G9" t="s">
        <v>68</v>
      </c>
      <c r="H9" t="s">
        <v>36</v>
      </c>
      <c r="I9" t="s">
        <v>62</v>
      </c>
      <c r="J9" t="s">
        <v>63</v>
      </c>
      <c r="K9" s="2">
        <v>46133</v>
      </c>
      <c r="L9" s="2">
        <v>46313</v>
      </c>
      <c r="M9" t="s">
        <v>69</v>
      </c>
      <c r="N9" t="s">
        <v>55</v>
      </c>
      <c r="O9">
        <v>2</v>
      </c>
      <c r="P9" t="s">
        <v>70</v>
      </c>
      <c r="Q9" s="2">
        <v>46296</v>
      </c>
      <c r="R9" t="s">
        <v>64</v>
      </c>
    </row>
    <row r="10" spans="1:18" x14ac:dyDescent="0.2">
      <c r="A10" t="s">
        <v>71</v>
      </c>
      <c r="B10" t="s">
        <v>72</v>
      </c>
      <c r="C10" t="s">
        <v>73</v>
      </c>
      <c r="D10" t="s">
        <v>74</v>
      </c>
      <c r="E10" t="s">
        <v>60</v>
      </c>
      <c r="F10" t="s">
        <v>34</v>
      </c>
      <c r="G10" t="s">
        <v>35</v>
      </c>
      <c r="H10" t="s">
        <v>36</v>
      </c>
      <c r="I10" t="s">
        <v>50</v>
      </c>
      <c r="J10" t="s">
        <v>48</v>
      </c>
      <c r="K10" s="2">
        <v>46039</v>
      </c>
      <c r="L10" s="2">
        <v>46219</v>
      </c>
      <c r="M10" t="s">
        <v>38</v>
      </c>
      <c r="N10" t="s">
        <v>75</v>
      </c>
      <c r="O10">
        <v>5</v>
      </c>
      <c r="P10" t="s">
        <v>54</v>
      </c>
      <c r="Q10" s="2">
        <v>46400</v>
      </c>
      <c r="R10" t="s">
        <v>64</v>
      </c>
    </row>
    <row r="11" spans="1:18" x14ac:dyDescent="0.2">
      <c r="A11" t="s">
        <v>76</v>
      </c>
      <c r="B11" t="s">
        <v>77</v>
      </c>
      <c r="C11" t="s">
        <v>78</v>
      </c>
      <c r="D11" t="s">
        <v>79</v>
      </c>
      <c r="E11" t="s">
        <v>80</v>
      </c>
      <c r="F11" t="s">
        <v>45</v>
      </c>
      <c r="G11" t="s">
        <v>61</v>
      </c>
      <c r="H11" t="s">
        <v>47</v>
      </c>
      <c r="I11" t="s">
        <v>54</v>
      </c>
      <c r="J11" t="s">
        <v>37</v>
      </c>
      <c r="K11" s="2">
        <v>45808</v>
      </c>
      <c r="L11" s="2">
        <v>46173</v>
      </c>
      <c r="M11" t="s">
        <v>38</v>
      </c>
      <c r="N11" t="s">
        <v>49</v>
      </c>
      <c r="O11">
        <v>2</v>
      </c>
      <c r="P11" t="s">
        <v>50</v>
      </c>
      <c r="Q11" s="2">
        <v>46223</v>
      </c>
      <c r="R11" t="s">
        <v>38</v>
      </c>
    </row>
    <row r="12" spans="1:18" x14ac:dyDescent="0.2">
      <c r="A12" t="s">
        <v>81</v>
      </c>
      <c r="B12" t="s">
        <v>82</v>
      </c>
      <c r="C12" t="s">
        <v>31</v>
      </c>
      <c r="D12" t="s">
        <v>83</v>
      </c>
      <c r="E12" t="s">
        <v>44</v>
      </c>
      <c r="F12" t="s">
        <v>67</v>
      </c>
      <c r="G12" t="s">
        <v>68</v>
      </c>
      <c r="H12" t="s">
        <v>36</v>
      </c>
      <c r="I12" t="s">
        <v>56</v>
      </c>
      <c r="J12" t="s">
        <v>37</v>
      </c>
      <c r="K12" s="2">
        <v>45893</v>
      </c>
      <c r="L12" s="2">
        <v>46258</v>
      </c>
      <c r="M12" t="s">
        <v>38</v>
      </c>
      <c r="N12" t="s">
        <v>75</v>
      </c>
      <c r="O12">
        <v>4</v>
      </c>
      <c r="P12" t="s">
        <v>70</v>
      </c>
      <c r="Q12" s="2">
        <v>46319</v>
      </c>
      <c r="R12" t="s">
        <v>84</v>
      </c>
    </row>
    <row r="13" spans="1:18" x14ac:dyDescent="0.2">
      <c r="A13" t="s">
        <v>85</v>
      </c>
      <c r="B13" t="s">
        <v>86</v>
      </c>
      <c r="C13" t="s">
        <v>31</v>
      </c>
      <c r="D13" t="s">
        <v>87</v>
      </c>
      <c r="E13" t="s">
        <v>44</v>
      </c>
      <c r="F13" t="s">
        <v>45</v>
      </c>
      <c r="G13" t="s">
        <v>46</v>
      </c>
      <c r="H13" t="s">
        <v>88</v>
      </c>
      <c r="I13" t="s">
        <v>62</v>
      </c>
      <c r="J13" t="s">
        <v>63</v>
      </c>
      <c r="K13" s="2">
        <v>45970</v>
      </c>
      <c r="L13" s="2">
        <v>46060</v>
      </c>
      <c r="M13" t="s">
        <v>38</v>
      </c>
      <c r="N13" t="s">
        <v>75</v>
      </c>
      <c r="O13">
        <v>3</v>
      </c>
      <c r="P13" t="s">
        <v>70</v>
      </c>
      <c r="Q13" s="2">
        <v>46354</v>
      </c>
      <c r="R13" t="s">
        <v>84</v>
      </c>
    </row>
    <row r="14" spans="1:18" x14ac:dyDescent="0.2">
      <c r="A14" t="s">
        <v>89</v>
      </c>
      <c r="B14" t="s">
        <v>90</v>
      </c>
      <c r="C14" t="s">
        <v>31</v>
      </c>
      <c r="D14" t="s">
        <v>83</v>
      </c>
      <c r="E14" t="s">
        <v>91</v>
      </c>
      <c r="F14" t="s">
        <v>34</v>
      </c>
      <c r="G14" t="s">
        <v>35</v>
      </c>
      <c r="H14" t="s">
        <v>88</v>
      </c>
      <c r="I14" t="s">
        <v>56</v>
      </c>
      <c r="J14" t="s">
        <v>48</v>
      </c>
      <c r="K14" s="2">
        <v>46053</v>
      </c>
      <c r="L14" s="2">
        <v>46143</v>
      </c>
      <c r="M14" t="s">
        <v>38</v>
      </c>
      <c r="N14" t="s">
        <v>75</v>
      </c>
      <c r="O14">
        <v>0</v>
      </c>
      <c r="P14" t="s">
        <v>56</v>
      </c>
      <c r="Q14" s="2">
        <v>46249</v>
      </c>
      <c r="R14" t="s">
        <v>57</v>
      </c>
    </row>
    <row r="15" spans="1:18" x14ac:dyDescent="0.2">
      <c r="A15" t="s">
        <v>92</v>
      </c>
      <c r="B15" t="s">
        <v>93</v>
      </c>
      <c r="C15" t="s">
        <v>73</v>
      </c>
      <c r="D15" t="s">
        <v>74</v>
      </c>
      <c r="E15" t="s">
        <v>44</v>
      </c>
      <c r="F15" t="s">
        <v>34</v>
      </c>
      <c r="G15" t="s">
        <v>35</v>
      </c>
      <c r="H15" t="s">
        <v>88</v>
      </c>
      <c r="I15" t="s">
        <v>50</v>
      </c>
      <c r="J15" t="s">
        <v>37</v>
      </c>
      <c r="K15" s="2">
        <v>45999</v>
      </c>
      <c r="L15" s="2">
        <v>46364</v>
      </c>
      <c r="M15" t="s">
        <v>69</v>
      </c>
      <c r="N15" t="s">
        <v>75</v>
      </c>
      <c r="O15">
        <v>0</v>
      </c>
      <c r="P15" t="s">
        <v>54</v>
      </c>
      <c r="Q15" s="2">
        <v>46172</v>
      </c>
      <c r="R15" t="s">
        <v>57</v>
      </c>
    </row>
    <row r="16" spans="1:18" x14ac:dyDescent="0.2">
      <c r="A16" t="s">
        <v>94</v>
      </c>
      <c r="B16" t="s">
        <v>95</v>
      </c>
      <c r="C16" t="s">
        <v>96</v>
      </c>
      <c r="D16" t="s">
        <v>97</v>
      </c>
      <c r="E16" t="s">
        <v>60</v>
      </c>
      <c r="F16" t="s">
        <v>45</v>
      </c>
      <c r="G16" t="s">
        <v>46</v>
      </c>
      <c r="H16" t="s">
        <v>98</v>
      </c>
      <c r="I16" t="s">
        <v>70</v>
      </c>
      <c r="J16" t="s">
        <v>48</v>
      </c>
      <c r="K16" s="2">
        <v>45901</v>
      </c>
      <c r="L16" s="2">
        <v>46081</v>
      </c>
      <c r="M16" t="s">
        <v>38</v>
      </c>
      <c r="N16" t="s">
        <v>55</v>
      </c>
      <c r="O16">
        <v>4</v>
      </c>
      <c r="P16" t="s">
        <v>56</v>
      </c>
      <c r="Q16" s="2">
        <v>46179</v>
      </c>
      <c r="R16" t="s">
        <v>64</v>
      </c>
    </row>
    <row r="17" spans="1:18" x14ac:dyDescent="0.2">
      <c r="A17" t="s">
        <v>99</v>
      </c>
      <c r="B17" t="s">
        <v>100</v>
      </c>
      <c r="C17" t="s">
        <v>96</v>
      </c>
      <c r="D17" t="s">
        <v>97</v>
      </c>
      <c r="E17" t="s">
        <v>44</v>
      </c>
      <c r="F17" t="s">
        <v>34</v>
      </c>
      <c r="G17" t="s">
        <v>35</v>
      </c>
      <c r="H17" t="s">
        <v>98</v>
      </c>
      <c r="I17" t="s">
        <v>54</v>
      </c>
      <c r="J17" t="s">
        <v>48</v>
      </c>
      <c r="K17" s="2">
        <v>45910</v>
      </c>
      <c r="L17" s="2">
        <v>46090</v>
      </c>
      <c r="M17" t="s">
        <v>38</v>
      </c>
      <c r="N17" t="s">
        <v>75</v>
      </c>
      <c r="O17">
        <v>5</v>
      </c>
      <c r="P17" t="s">
        <v>54</v>
      </c>
      <c r="Q17" s="2">
        <v>46306</v>
      </c>
      <c r="R17" t="s">
        <v>84</v>
      </c>
    </row>
    <row r="18" spans="1:18" x14ac:dyDescent="0.2">
      <c r="A18" t="s">
        <v>101</v>
      </c>
      <c r="B18" t="s">
        <v>102</v>
      </c>
      <c r="C18" t="s">
        <v>103</v>
      </c>
      <c r="D18" t="s">
        <v>104</v>
      </c>
      <c r="E18" t="s">
        <v>105</v>
      </c>
      <c r="F18" t="s">
        <v>45</v>
      </c>
      <c r="G18" t="s">
        <v>61</v>
      </c>
      <c r="H18" t="s">
        <v>88</v>
      </c>
      <c r="I18" t="s">
        <v>54</v>
      </c>
      <c r="J18" t="s">
        <v>48</v>
      </c>
      <c r="K18" s="2">
        <v>45974</v>
      </c>
      <c r="L18" s="2">
        <v>46064</v>
      </c>
      <c r="M18" t="s">
        <v>38</v>
      </c>
      <c r="N18" t="s">
        <v>55</v>
      </c>
      <c r="O18">
        <v>0</v>
      </c>
      <c r="P18" t="s">
        <v>106</v>
      </c>
      <c r="Q18" s="2">
        <v>46145</v>
      </c>
      <c r="R18" t="s">
        <v>57</v>
      </c>
    </row>
    <row r="19" spans="1:18" x14ac:dyDescent="0.2">
      <c r="A19" t="s">
        <v>107</v>
      </c>
      <c r="B19" t="s">
        <v>108</v>
      </c>
      <c r="C19" t="s">
        <v>78</v>
      </c>
      <c r="D19" t="s">
        <v>79</v>
      </c>
      <c r="E19" t="s">
        <v>53</v>
      </c>
      <c r="F19" t="s">
        <v>45</v>
      </c>
      <c r="G19" t="s">
        <v>46</v>
      </c>
      <c r="H19" t="s">
        <v>88</v>
      </c>
      <c r="I19" t="s">
        <v>54</v>
      </c>
      <c r="J19" t="s">
        <v>48</v>
      </c>
      <c r="K19" s="2">
        <v>45999</v>
      </c>
      <c r="L19" s="2">
        <v>46089</v>
      </c>
      <c r="M19" t="s">
        <v>38</v>
      </c>
      <c r="N19" t="s">
        <v>49</v>
      </c>
      <c r="O19">
        <v>3</v>
      </c>
      <c r="P19" t="s">
        <v>70</v>
      </c>
      <c r="Q19" s="2">
        <v>46239</v>
      </c>
      <c r="R19" t="s">
        <v>38</v>
      </c>
    </row>
    <row r="20" spans="1:18" x14ac:dyDescent="0.2">
      <c r="A20" t="s">
        <v>109</v>
      </c>
      <c r="B20" t="s">
        <v>110</v>
      </c>
      <c r="C20" t="s">
        <v>78</v>
      </c>
      <c r="D20" t="s">
        <v>79</v>
      </c>
      <c r="E20" t="s">
        <v>53</v>
      </c>
      <c r="F20" t="s">
        <v>34</v>
      </c>
      <c r="G20" t="s">
        <v>35</v>
      </c>
      <c r="H20" t="s">
        <v>88</v>
      </c>
      <c r="I20" t="s">
        <v>111</v>
      </c>
      <c r="J20" t="s">
        <v>37</v>
      </c>
      <c r="K20" s="2">
        <v>45833</v>
      </c>
      <c r="L20" s="2">
        <v>46198</v>
      </c>
      <c r="M20" t="s">
        <v>38</v>
      </c>
      <c r="N20" t="s">
        <v>55</v>
      </c>
      <c r="O20">
        <v>0</v>
      </c>
      <c r="P20" t="s">
        <v>70</v>
      </c>
      <c r="Q20" s="2">
        <v>46146</v>
      </c>
      <c r="R20" t="s">
        <v>57</v>
      </c>
    </row>
    <row r="21" spans="1:18" x14ac:dyDescent="0.2">
      <c r="A21" t="s">
        <v>112</v>
      </c>
      <c r="B21" t="s">
        <v>113</v>
      </c>
      <c r="C21" t="s">
        <v>31</v>
      </c>
      <c r="D21" t="s">
        <v>32</v>
      </c>
      <c r="E21" t="s">
        <v>44</v>
      </c>
      <c r="F21" t="s">
        <v>45</v>
      </c>
      <c r="G21" t="s">
        <v>46</v>
      </c>
      <c r="H21" t="s">
        <v>88</v>
      </c>
      <c r="I21" t="s">
        <v>50</v>
      </c>
      <c r="J21" t="s">
        <v>63</v>
      </c>
      <c r="K21" s="2">
        <v>46059</v>
      </c>
      <c r="L21" s="2">
        <v>46149</v>
      </c>
      <c r="M21" t="s">
        <v>38</v>
      </c>
      <c r="N21" t="s">
        <v>75</v>
      </c>
      <c r="O21">
        <v>3</v>
      </c>
      <c r="P21" t="s">
        <v>70</v>
      </c>
      <c r="Q21" s="2">
        <v>46242</v>
      </c>
      <c r="R21" t="s">
        <v>38</v>
      </c>
    </row>
    <row r="22" spans="1:18" x14ac:dyDescent="0.2">
      <c r="A22" t="s">
        <v>114</v>
      </c>
      <c r="B22" t="s">
        <v>115</v>
      </c>
      <c r="C22" t="s">
        <v>31</v>
      </c>
      <c r="D22" t="s">
        <v>87</v>
      </c>
      <c r="E22" t="s">
        <v>105</v>
      </c>
      <c r="F22" t="s">
        <v>45</v>
      </c>
      <c r="G22" t="s">
        <v>46</v>
      </c>
      <c r="H22" t="s">
        <v>98</v>
      </c>
      <c r="I22" t="s">
        <v>54</v>
      </c>
      <c r="J22" t="s">
        <v>37</v>
      </c>
      <c r="K22" s="2">
        <v>46190</v>
      </c>
      <c r="L22" s="2">
        <v>46370</v>
      </c>
      <c r="M22" t="s">
        <v>64</v>
      </c>
      <c r="N22" t="s">
        <v>55</v>
      </c>
      <c r="O22">
        <v>3</v>
      </c>
      <c r="P22" t="s">
        <v>111</v>
      </c>
      <c r="Q22" s="2">
        <v>46145</v>
      </c>
      <c r="R22" t="s">
        <v>64</v>
      </c>
    </row>
    <row r="23" spans="1:18" x14ac:dyDescent="0.2">
      <c r="A23" t="s">
        <v>116</v>
      </c>
      <c r="B23" t="s">
        <v>117</v>
      </c>
      <c r="C23" t="s">
        <v>31</v>
      </c>
      <c r="D23" t="s">
        <v>87</v>
      </c>
      <c r="E23" t="s">
        <v>91</v>
      </c>
      <c r="F23" t="s">
        <v>67</v>
      </c>
      <c r="G23" t="s">
        <v>118</v>
      </c>
      <c r="H23" t="s">
        <v>98</v>
      </c>
      <c r="I23" t="s">
        <v>111</v>
      </c>
      <c r="J23" t="s">
        <v>37</v>
      </c>
      <c r="K23" s="2">
        <v>46196</v>
      </c>
      <c r="L23" s="2">
        <v>46286</v>
      </c>
      <c r="M23" t="s">
        <v>38</v>
      </c>
      <c r="N23" t="s">
        <v>75</v>
      </c>
      <c r="O23">
        <v>1</v>
      </c>
      <c r="P23" t="s">
        <v>39</v>
      </c>
      <c r="Q23" s="2">
        <v>46144</v>
      </c>
      <c r="R23" t="s">
        <v>38</v>
      </c>
    </row>
    <row r="24" spans="1:18" x14ac:dyDescent="0.2">
      <c r="A24" t="s">
        <v>119</v>
      </c>
      <c r="B24" t="s">
        <v>120</v>
      </c>
      <c r="C24" t="s">
        <v>103</v>
      </c>
      <c r="D24" t="s">
        <v>104</v>
      </c>
      <c r="E24" t="s">
        <v>60</v>
      </c>
      <c r="F24" t="s">
        <v>45</v>
      </c>
      <c r="G24" t="s">
        <v>61</v>
      </c>
      <c r="H24" t="s">
        <v>36</v>
      </c>
      <c r="I24" t="s">
        <v>50</v>
      </c>
      <c r="J24" t="s">
        <v>48</v>
      </c>
      <c r="K24" s="2">
        <v>46246</v>
      </c>
      <c r="L24" s="2">
        <v>46611</v>
      </c>
      <c r="M24" t="s">
        <v>64</v>
      </c>
      <c r="N24" t="s">
        <v>55</v>
      </c>
      <c r="O24">
        <v>0</v>
      </c>
      <c r="P24" t="s">
        <v>54</v>
      </c>
      <c r="Q24" s="2">
        <v>46149</v>
      </c>
      <c r="R24" t="s">
        <v>57</v>
      </c>
    </row>
    <row r="25" spans="1:18" x14ac:dyDescent="0.2">
      <c r="A25" t="s">
        <v>121</v>
      </c>
      <c r="B25" t="s">
        <v>122</v>
      </c>
      <c r="C25" t="s">
        <v>31</v>
      </c>
      <c r="D25" t="s">
        <v>83</v>
      </c>
      <c r="E25" t="s">
        <v>60</v>
      </c>
      <c r="F25" t="s">
        <v>34</v>
      </c>
      <c r="G25" t="s">
        <v>35</v>
      </c>
      <c r="H25" t="s">
        <v>47</v>
      </c>
      <c r="I25" t="s">
        <v>106</v>
      </c>
      <c r="J25" t="s">
        <v>63</v>
      </c>
      <c r="K25" s="2">
        <v>45797</v>
      </c>
      <c r="L25" s="2">
        <v>45977</v>
      </c>
      <c r="M25" t="s">
        <v>38</v>
      </c>
      <c r="N25" t="s">
        <v>55</v>
      </c>
      <c r="O25">
        <v>2</v>
      </c>
      <c r="P25" t="s">
        <v>56</v>
      </c>
      <c r="Q25" s="2">
        <v>46237</v>
      </c>
      <c r="R25" t="s">
        <v>64</v>
      </c>
    </row>
    <row r="26" spans="1:18" x14ac:dyDescent="0.2">
      <c r="A26" t="s">
        <v>123</v>
      </c>
      <c r="B26" t="s">
        <v>124</v>
      </c>
      <c r="C26" t="s">
        <v>103</v>
      </c>
      <c r="D26" t="s">
        <v>104</v>
      </c>
      <c r="E26" t="s">
        <v>105</v>
      </c>
      <c r="F26" t="s">
        <v>67</v>
      </c>
      <c r="G26" t="s">
        <v>118</v>
      </c>
      <c r="H26" t="s">
        <v>47</v>
      </c>
      <c r="I26" t="s">
        <v>70</v>
      </c>
      <c r="J26" t="s">
        <v>37</v>
      </c>
      <c r="K26" s="2">
        <v>46238</v>
      </c>
      <c r="L26" s="2">
        <v>46603</v>
      </c>
      <c r="M26" t="s">
        <v>64</v>
      </c>
      <c r="N26" t="s">
        <v>75</v>
      </c>
      <c r="O26">
        <v>1</v>
      </c>
      <c r="P26" t="s">
        <v>50</v>
      </c>
      <c r="Q26" s="2">
        <v>46293</v>
      </c>
      <c r="R26" t="s">
        <v>38</v>
      </c>
    </row>
    <row r="27" spans="1:18" x14ac:dyDescent="0.2">
      <c r="A27" t="s">
        <v>125</v>
      </c>
      <c r="B27" t="s">
        <v>126</v>
      </c>
      <c r="C27" t="s">
        <v>42</v>
      </c>
      <c r="D27" t="s">
        <v>43</v>
      </c>
      <c r="E27" t="s">
        <v>60</v>
      </c>
      <c r="F27" t="s">
        <v>67</v>
      </c>
      <c r="G27" t="s">
        <v>118</v>
      </c>
      <c r="H27" t="s">
        <v>98</v>
      </c>
      <c r="I27" t="s">
        <v>39</v>
      </c>
      <c r="J27" t="s">
        <v>48</v>
      </c>
      <c r="K27" s="2">
        <v>45934</v>
      </c>
      <c r="L27" s="2">
        <v>46299</v>
      </c>
      <c r="M27" t="s">
        <v>64</v>
      </c>
      <c r="N27" t="s">
        <v>49</v>
      </c>
      <c r="O27">
        <v>0</v>
      </c>
      <c r="P27" t="s">
        <v>50</v>
      </c>
      <c r="Q27" s="2">
        <v>46183</v>
      </c>
      <c r="R27" t="s">
        <v>57</v>
      </c>
    </row>
    <row r="28" spans="1:18" x14ac:dyDescent="0.2">
      <c r="A28" t="s">
        <v>127</v>
      </c>
      <c r="B28" t="s">
        <v>128</v>
      </c>
      <c r="C28" t="s">
        <v>31</v>
      </c>
      <c r="D28" t="s">
        <v>87</v>
      </c>
      <c r="E28" t="s">
        <v>60</v>
      </c>
      <c r="F28" t="s">
        <v>67</v>
      </c>
      <c r="G28" t="s">
        <v>118</v>
      </c>
      <c r="H28" t="s">
        <v>47</v>
      </c>
      <c r="I28" t="s">
        <v>106</v>
      </c>
      <c r="J28" t="s">
        <v>63</v>
      </c>
      <c r="K28" s="2">
        <v>46171</v>
      </c>
      <c r="L28" s="2">
        <v>46536</v>
      </c>
      <c r="M28" t="s">
        <v>69</v>
      </c>
      <c r="N28" t="s">
        <v>49</v>
      </c>
      <c r="O28">
        <v>3</v>
      </c>
      <c r="P28" t="s">
        <v>62</v>
      </c>
      <c r="Q28" s="2">
        <v>46243</v>
      </c>
      <c r="R28" t="s">
        <v>38</v>
      </c>
    </row>
    <row r="29" spans="1:18" x14ac:dyDescent="0.2">
      <c r="A29" t="s">
        <v>129</v>
      </c>
      <c r="B29" t="s">
        <v>130</v>
      </c>
      <c r="C29" t="s">
        <v>31</v>
      </c>
      <c r="D29" t="s">
        <v>87</v>
      </c>
      <c r="E29" t="s">
        <v>105</v>
      </c>
      <c r="F29" t="s">
        <v>67</v>
      </c>
      <c r="G29" t="s">
        <v>68</v>
      </c>
      <c r="H29" t="s">
        <v>88</v>
      </c>
      <c r="I29" t="s">
        <v>50</v>
      </c>
      <c r="J29" t="s">
        <v>48</v>
      </c>
      <c r="K29" s="2">
        <v>45949</v>
      </c>
      <c r="L29" s="2">
        <v>46129</v>
      </c>
      <c r="M29" t="s">
        <v>38</v>
      </c>
      <c r="N29" t="s">
        <v>55</v>
      </c>
      <c r="O29">
        <v>3</v>
      </c>
      <c r="P29" t="s">
        <v>50</v>
      </c>
      <c r="Q29" s="2">
        <v>46397</v>
      </c>
      <c r="R29" t="s">
        <v>84</v>
      </c>
    </row>
    <row r="30" spans="1:18" x14ac:dyDescent="0.2">
      <c r="A30" t="s">
        <v>131</v>
      </c>
      <c r="B30" t="s">
        <v>132</v>
      </c>
      <c r="C30" t="s">
        <v>31</v>
      </c>
      <c r="D30" t="s">
        <v>87</v>
      </c>
      <c r="E30" t="s">
        <v>53</v>
      </c>
      <c r="F30" t="s">
        <v>34</v>
      </c>
      <c r="G30" t="s">
        <v>35</v>
      </c>
      <c r="H30" t="s">
        <v>88</v>
      </c>
      <c r="I30" t="s">
        <v>50</v>
      </c>
      <c r="J30" t="s">
        <v>48</v>
      </c>
      <c r="K30" s="2">
        <v>46055</v>
      </c>
      <c r="L30" s="2">
        <v>46145</v>
      </c>
      <c r="M30" t="s">
        <v>38</v>
      </c>
      <c r="N30" t="s">
        <v>55</v>
      </c>
      <c r="O30">
        <v>2</v>
      </c>
      <c r="P30" t="s">
        <v>54</v>
      </c>
      <c r="Q30" s="2">
        <v>46301</v>
      </c>
      <c r="R30" t="s">
        <v>84</v>
      </c>
    </row>
    <row r="31" spans="1:18" x14ac:dyDescent="0.2">
      <c r="A31" t="s">
        <v>133</v>
      </c>
      <c r="B31" t="s">
        <v>134</v>
      </c>
      <c r="C31" t="s">
        <v>31</v>
      </c>
      <c r="D31" t="s">
        <v>87</v>
      </c>
      <c r="E31" t="s">
        <v>53</v>
      </c>
      <c r="F31" t="s">
        <v>34</v>
      </c>
      <c r="G31" t="s">
        <v>35</v>
      </c>
      <c r="H31" t="s">
        <v>36</v>
      </c>
      <c r="I31" t="s">
        <v>62</v>
      </c>
      <c r="J31" t="s">
        <v>63</v>
      </c>
      <c r="K31" s="2">
        <v>45958</v>
      </c>
      <c r="L31" s="2">
        <v>46323</v>
      </c>
      <c r="M31" t="s">
        <v>64</v>
      </c>
      <c r="N31" t="s">
        <v>55</v>
      </c>
      <c r="O31">
        <v>1</v>
      </c>
      <c r="P31" t="s">
        <v>106</v>
      </c>
      <c r="Q31" s="2">
        <v>46205</v>
      </c>
      <c r="R31" t="s">
        <v>38</v>
      </c>
    </row>
    <row r="32" spans="1:18" x14ac:dyDescent="0.2">
      <c r="A32" t="s">
        <v>135</v>
      </c>
      <c r="B32" t="s">
        <v>136</v>
      </c>
      <c r="C32" t="s">
        <v>96</v>
      </c>
      <c r="D32" t="s">
        <v>97</v>
      </c>
      <c r="E32" t="s">
        <v>53</v>
      </c>
      <c r="F32" t="s">
        <v>67</v>
      </c>
      <c r="G32" t="s">
        <v>68</v>
      </c>
      <c r="H32" t="s">
        <v>47</v>
      </c>
      <c r="I32" t="s">
        <v>70</v>
      </c>
      <c r="J32" t="s">
        <v>37</v>
      </c>
      <c r="K32" s="2">
        <v>46080</v>
      </c>
      <c r="L32" s="2">
        <v>46170</v>
      </c>
      <c r="M32" t="s">
        <v>38</v>
      </c>
      <c r="N32" t="s">
        <v>75</v>
      </c>
      <c r="O32">
        <v>1</v>
      </c>
      <c r="P32" t="s">
        <v>54</v>
      </c>
      <c r="Q32" s="2">
        <v>46217</v>
      </c>
      <c r="R32" t="s">
        <v>38</v>
      </c>
    </row>
    <row r="33" spans="1:18" x14ac:dyDescent="0.2">
      <c r="A33" t="s">
        <v>137</v>
      </c>
      <c r="B33" t="s">
        <v>138</v>
      </c>
      <c r="C33" t="s">
        <v>73</v>
      </c>
      <c r="D33" t="s">
        <v>74</v>
      </c>
      <c r="E33" t="s">
        <v>91</v>
      </c>
      <c r="F33" t="s">
        <v>45</v>
      </c>
      <c r="G33" t="s">
        <v>46</v>
      </c>
      <c r="H33" t="s">
        <v>47</v>
      </c>
      <c r="I33" t="s">
        <v>106</v>
      </c>
      <c r="J33" t="s">
        <v>48</v>
      </c>
      <c r="K33" s="2">
        <v>46133</v>
      </c>
      <c r="L33" s="2">
        <v>46223</v>
      </c>
      <c r="M33" t="s">
        <v>38</v>
      </c>
      <c r="N33" t="s">
        <v>75</v>
      </c>
      <c r="O33">
        <v>2</v>
      </c>
      <c r="P33" t="s">
        <v>56</v>
      </c>
      <c r="Q33" s="2">
        <v>46375</v>
      </c>
      <c r="R33" t="s">
        <v>84</v>
      </c>
    </row>
    <row r="34" spans="1:18" x14ac:dyDescent="0.2">
      <c r="A34" t="s">
        <v>139</v>
      </c>
      <c r="B34" t="s">
        <v>140</v>
      </c>
      <c r="C34" t="s">
        <v>103</v>
      </c>
      <c r="D34" t="s">
        <v>104</v>
      </c>
      <c r="E34" t="s">
        <v>105</v>
      </c>
      <c r="F34" t="s">
        <v>45</v>
      </c>
      <c r="G34" t="s">
        <v>61</v>
      </c>
      <c r="H34" t="s">
        <v>47</v>
      </c>
      <c r="I34" t="s">
        <v>62</v>
      </c>
      <c r="J34" t="s">
        <v>48</v>
      </c>
      <c r="K34" s="2">
        <v>46099</v>
      </c>
      <c r="L34" s="2">
        <v>46464</v>
      </c>
      <c r="M34" t="s">
        <v>69</v>
      </c>
      <c r="N34" t="s">
        <v>49</v>
      </c>
      <c r="O34">
        <v>0</v>
      </c>
      <c r="P34" t="s">
        <v>62</v>
      </c>
      <c r="Q34" s="2">
        <v>46312</v>
      </c>
      <c r="R34" t="s">
        <v>57</v>
      </c>
    </row>
    <row r="35" spans="1:18" x14ac:dyDescent="0.2">
      <c r="A35" t="s">
        <v>141</v>
      </c>
      <c r="B35" t="s">
        <v>142</v>
      </c>
      <c r="C35" t="s">
        <v>42</v>
      </c>
      <c r="D35" t="s">
        <v>43</v>
      </c>
      <c r="E35" t="s">
        <v>53</v>
      </c>
      <c r="F35" t="s">
        <v>45</v>
      </c>
      <c r="G35" t="s">
        <v>46</v>
      </c>
      <c r="H35" t="s">
        <v>88</v>
      </c>
      <c r="I35" t="s">
        <v>106</v>
      </c>
      <c r="J35" t="s">
        <v>37</v>
      </c>
      <c r="K35" s="2">
        <v>45956</v>
      </c>
      <c r="L35" s="2">
        <v>46136</v>
      </c>
      <c r="M35" t="s">
        <v>38</v>
      </c>
      <c r="N35" t="s">
        <v>49</v>
      </c>
      <c r="O35">
        <v>0</v>
      </c>
      <c r="P35" t="s">
        <v>106</v>
      </c>
      <c r="Q35" s="2">
        <v>46268</v>
      </c>
      <c r="R35" t="s">
        <v>57</v>
      </c>
    </row>
    <row r="36" spans="1:18" x14ac:dyDescent="0.2">
      <c r="A36" t="s">
        <v>143</v>
      </c>
      <c r="B36" t="s">
        <v>144</v>
      </c>
      <c r="C36" t="s">
        <v>31</v>
      </c>
      <c r="D36" t="s">
        <v>87</v>
      </c>
      <c r="E36" t="s">
        <v>60</v>
      </c>
      <c r="F36" t="s">
        <v>67</v>
      </c>
      <c r="G36" t="s">
        <v>118</v>
      </c>
      <c r="H36" t="s">
        <v>47</v>
      </c>
      <c r="I36" t="s">
        <v>62</v>
      </c>
      <c r="J36" t="s">
        <v>37</v>
      </c>
      <c r="K36" s="2">
        <v>45935</v>
      </c>
      <c r="L36" s="2">
        <v>46115</v>
      </c>
      <c r="M36" t="s">
        <v>38</v>
      </c>
      <c r="N36" t="s">
        <v>49</v>
      </c>
      <c r="O36">
        <v>1</v>
      </c>
      <c r="P36" t="s">
        <v>54</v>
      </c>
      <c r="Q36" s="2">
        <v>46406</v>
      </c>
      <c r="R36" t="s">
        <v>64</v>
      </c>
    </row>
    <row r="37" spans="1:18" x14ac:dyDescent="0.2">
      <c r="A37" t="s">
        <v>145</v>
      </c>
      <c r="B37" t="s">
        <v>146</v>
      </c>
      <c r="C37" t="s">
        <v>73</v>
      </c>
      <c r="D37" t="s">
        <v>74</v>
      </c>
      <c r="E37" t="s">
        <v>80</v>
      </c>
      <c r="F37" t="s">
        <v>67</v>
      </c>
      <c r="G37" t="s">
        <v>118</v>
      </c>
      <c r="H37" t="s">
        <v>88</v>
      </c>
      <c r="I37" t="s">
        <v>54</v>
      </c>
      <c r="J37" t="s">
        <v>48</v>
      </c>
      <c r="K37" s="2">
        <v>46014</v>
      </c>
      <c r="L37" s="2">
        <v>46194</v>
      </c>
      <c r="M37" t="s">
        <v>38</v>
      </c>
      <c r="N37" t="s">
        <v>49</v>
      </c>
      <c r="O37">
        <v>1</v>
      </c>
      <c r="P37" t="s">
        <v>56</v>
      </c>
      <c r="Q37" s="2">
        <v>46158</v>
      </c>
      <c r="R37" t="s">
        <v>64</v>
      </c>
    </row>
    <row r="38" spans="1:18" x14ac:dyDescent="0.2">
      <c r="A38" t="s">
        <v>147</v>
      </c>
      <c r="B38" t="s">
        <v>148</v>
      </c>
      <c r="C38" t="s">
        <v>78</v>
      </c>
      <c r="D38" t="s">
        <v>79</v>
      </c>
      <c r="E38" t="s">
        <v>44</v>
      </c>
      <c r="F38" t="s">
        <v>45</v>
      </c>
      <c r="G38" t="s">
        <v>46</v>
      </c>
      <c r="H38" t="s">
        <v>47</v>
      </c>
      <c r="I38" t="s">
        <v>54</v>
      </c>
      <c r="J38" t="s">
        <v>37</v>
      </c>
      <c r="K38" s="2">
        <v>46032</v>
      </c>
      <c r="L38" s="2">
        <v>46397</v>
      </c>
      <c r="M38" t="s">
        <v>84</v>
      </c>
      <c r="N38" t="s">
        <v>75</v>
      </c>
      <c r="O38">
        <v>3</v>
      </c>
      <c r="P38" t="s">
        <v>54</v>
      </c>
      <c r="Q38" s="2">
        <v>46409</v>
      </c>
      <c r="R38" t="s">
        <v>64</v>
      </c>
    </row>
    <row r="39" spans="1:18" x14ac:dyDescent="0.2">
      <c r="A39" t="s">
        <v>149</v>
      </c>
      <c r="B39" t="s">
        <v>150</v>
      </c>
      <c r="C39" t="s">
        <v>31</v>
      </c>
      <c r="D39" t="s">
        <v>32</v>
      </c>
      <c r="E39" t="s">
        <v>105</v>
      </c>
      <c r="F39" t="s">
        <v>45</v>
      </c>
      <c r="G39" t="s">
        <v>46</v>
      </c>
      <c r="H39" t="s">
        <v>36</v>
      </c>
      <c r="I39" t="s">
        <v>54</v>
      </c>
      <c r="J39" t="s">
        <v>48</v>
      </c>
      <c r="K39" s="2">
        <v>46185</v>
      </c>
      <c r="L39" s="2">
        <v>46550</v>
      </c>
      <c r="M39" t="s">
        <v>64</v>
      </c>
      <c r="N39" t="s">
        <v>55</v>
      </c>
      <c r="O39">
        <v>4</v>
      </c>
      <c r="P39" t="s">
        <v>111</v>
      </c>
      <c r="Q39" s="2">
        <v>46242</v>
      </c>
      <c r="R39" t="s">
        <v>38</v>
      </c>
    </row>
    <row r="40" spans="1:18" x14ac:dyDescent="0.2">
      <c r="A40" t="s">
        <v>29</v>
      </c>
      <c r="B40" t="s">
        <v>151</v>
      </c>
      <c r="C40" t="s">
        <v>103</v>
      </c>
      <c r="D40" t="s">
        <v>104</v>
      </c>
      <c r="E40" t="s">
        <v>80</v>
      </c>
      <c r="F40" t="s">
        <v>34</v>
      </c>
      <c r="G40" t="s">
        <v>35</v>
      </c>
      <c r="H40" t="s">
        <v>88</v>
      </c>
      <c r="I40" t="s">
        <v>62</v>
      </c>
      <c r="J40" t="s">
        <v>63</v>
      </c>
      <c r="K40" s="2">
        <v>45850</v>
      </c>
      <c r="L40" s="2">
        <v>46215</v>
      </c>
      <c r="M40" t="s">
        <v>38</v>
      </c>
      <c r="N40" t="s">
        <v>75</v>
      </c>
      <c r="O40">
        <v>1</v>
      </c>
      <c r="P40" t="s">
        <v>56</v>
      </c>
      <c r="Q40" s="2">
        <v>46358</v>
      </c>
      <c r="R40" t="s">
        <v>84</v>
      </c>
    </row>
    <row r="41" spans="1:18" x14ac:dyDescent="0.2">
      <c r="A41" t="s">
        <v>40</v>
      </c>
      <c r="B41" t="s">
        <v>152</v>
      </c>
      <c r="C41" t="s">
        <v>31</v>
      </c>
      <c r="D41" t="s">
        <v>32</v>
      </c>
      <c r="E41" t="s">
        <v>91</v>
      </c>
      <c r="F41" t="s">
        <v>34</v>
      </c>
      <c r="G41" t="s">
        <v>35</v>
      </c>
      <c r="H41" t="s">
        <v>47</v>
      </c>
      <c r="I41" t="s">
        <v>111</v>
      </c>
      <c r="J41" t="s">
        <v>48</v>
      </c>
      <c r="K41" s="2">
        <v>46236</v>
      </c>
      <c r="L41" s="2">
        <v>46601</v>
      </c>
      <c r="M41" t="s">
        <v>64</v>
      </c>
      <c r="N41" t="s">
        <v>75</v>
      </c>
      <c r="O41">
        <v>2</v>
      </c>
      <c r="P41" t="s">
        <v>54</v>
      </c>
      <c r="Q41" s="2">
        <v>46278</v>
      </c>
      <c r="R41" t="s">
        <v>38</v>
      </c>
    </row>
    <row r="42" spans="1:18" x14ac:dyDescent="0.2">
      <c r="A42" t="s">
        <v>51</v>
      </c>
      <c r="B42" t="s">
        <v>153</v>
      </c>
      <c r="C42" t="s">
        <v>78</v>
      </c>
      <c r="D42" t="s">
        <v>79</v>
      </c>
      <c r="E42" t="s">
        <v>91</v>
      </c>
      <c r="F42" t="s">
        <v>67</v>
      </c>
      <c r="G42" t="s">
        <v>68</v>
      </c>
      <c r="H42" t="s">
        <v>47</v>
      </c>
      <c r="I42" t="s">
        <v>62</v>
      </c>
      <c r="J42" t="s">
        <v>63</v>
      </c>
      <c r="K42" s="2">
        <v>46067</v>
      </c>
      <c r="L42" s="2">
        <v>46247</v>
      </c>
      <c r="M42" t="s">
        <v>38</v>
      </c>
      <c r="N42" t="s">
        <v>49</v>
      </c>
      <c r="O42">
        <v>3</v>
      </c>
      <c r="P42" t="s">
        <v>39</v>
      </c>
      <c r="Q42" s="2">
        <v>46327</v>
      </c>
      <c r="R42" t="s">
        <v>64</v>
      </c>
    </row>
    <row r="43" spans="1:18" x14ac:dyDescent="0.2">
      <c r="A43" t="s">
        <v>58</v>
      </c>
      <c r="B43" t="s">
        <v>154</v>
      </c>
      <c r="C43" t="s">
        <v>78</v>
      </c>
      <c r="D43" t="s">
        <v>79</v>
      </c>
      <c r="E43" t="s">
        <v>80</v>
      </c>
      <c r="F43" t="s">
        <v>34</v>
      </c>
      <c r="G43" t="s">
        <v>35</v>
      </c>
      <c r="H43" t="s">
        <v>47</v>
      </c>
      <c r="I43" t="s">
        <v>106</v>
      </c>
      <c r="J43" t="s">
        <v>48</v>
      </c>
      <c r="K43" s="2">
        <v>46123</v>
      </c>
      <c r="L43" s="2">
        <v>46303</v>
      </c>
      <c r="M43" t="s">
        <v>69</v>
      </c>
      <c r="N43" t="s">
        <v>49</v>
      </c>
      <c r="O43">
        <v>1</v>
      </c>
      <c r="P43" t="s">
        <v>62</v>
      </c>
      <c r="Q43" s="2">
        <v>46364</v>
      </c>
      <c r="R43" t="s">
        <v>64</v>
      </c>
    </row>
    <row r="44" spans="1:18" x14ac:dyDescent="0.2">
      <c r="A44" t="s">
        <v>65</v>
      </c>
      <c r="B44" t="s">
        <v>155</v>
      </c>
      <c r="C44" t="s">
        <v>31</v>
      </c>
      <c r="D44" t="s">
        <v>87</v>
      </c>
      <c r="E44" t="s">
        <v>91</v>
      </c>
      <c r="F44" t="s">
        <v>67</v>
      </c>
      <c r="G44" t="s">
        <v>118</v>
      </c>
      <c r="H44" t="s">
        <v>47</v>
      </c>
      <c r="I44" t="s">
        <v>111</v>
      </c>
      <c r="J44" t="s">
        <v>63</v>
      </c>
      <c r="K44" s="2">
        <v>45805</v>
      </c>
      <c r="L44" s="2">
        <v>45895</v>
      </c>
      <c r="M44" t="s">
        <v>38</v>
      </c>
      <c r="N44" t="s">
        <v>49</v>
      </c>
      <c r="O44">
        <v>0</v>
      </c>
      <c r="P44" t="s">
        <v>62</v>
      </c>
      <c r="Q44" s="2">
        <v>46316</v>
      </c>
      <c r="R44" t="s">
        <v>57</v>
      </c>
    </row>
    <row r="45" spans="1:18" x14ac:dyDescent="0.2">
      <c r="A45" t="s">
        <v>71</v>
      </c>
      <c r="B45" t="s">
        <v>156</v>
      </c>
      <c r="C45" t="s">
        <v>78</v>
      </c>
      <c r="D45" t="s">
        <v>79</v>
      </c>
      <c r="E45" t="s">
        <v>44</v>
      </c>
      <c r="F45" t="s">
        <v>45</v>
      </c>
      <c r="G45" t="s">
        <v>61</v>
      </c>
      <c r="H45" t="s">
        <v>47</v>
      </c>
      <c r="I45" t="s">
        <v>62</v>
      </c>
      <c r="J45" t="s">
        <v>37</v>
      </c>
      <c r="K45" s="2">
        <v>46108</v>
      </c>
      <c r="L45" s="2">
        <v>46198</v>
      </c>
      <c r="M45" t="s">
        <v>38</v>
      </c>
      <c r="N45" t="s">
        <v>75</v>
      </c>
      <c r="O45">
        <v>2</v>
      </c>
      <c r="P45" t="s">
        <v>56</v>
      </c>
      <c r="Q45" s="2">
        <v>46287</v>
      </c>
      <c r="R45" t="s">
        <v>38</v>
      </c>
    </row>
    <row r="46" spans="1:18" x14ac:dyDescent="0.2">
      <c r="A46" t="s">
        <v>76</v>
      </c>
      <c r="B46" t="s">
        <v>157</v>
      </c>
      <c r="C46" t="s">
        <v>31</v>
      </c>
      <c r="D46" t="s">
        <v>87</v>
      </c>
      <c r="E46" t="s">
        <v>105</v>
      </c>
      <c r="F46" t="s">
        <v>45</v>
      </c>
      <c r="G46" t="s">
        <v>61</v>
      </c>
      <c r="H46" t="s">
        <v>36</v>
      </c>
      <c r="I46" t="s">
        <v>39</v>
      </c>
      <c r="J46" t="s">
        <v>48</v>
      </c>
      <c r="K46" s="2">
        <v>46096</v>
      </c>
      <c r="L46" s="2">
        <v>46186</v>
      </c>
      <c r="M46" t="s">
        <v>38</v>
      </c>
      <c r="N46" t="s">
        <v>49</v>
      </c>
      <c r="O46">
        <v>0</v>
      </c>
      <c r="P46" t="s">
        <v>39</v>
      </c>
      <c r="Q46" s="2">
        <v>46135</v>
      </c>
      <c r="R46" t="s">
        <v>57</v>
      </c>
    </row>
    <row r="47" spans="1:18" x14ac:dyDescent="0.2">
      <c r="A47" t="s">
        <v>81</v>
      </c>
      <c r="B47" t="s">
        <v>158</v>
      </c>
      <c r="C47" t="s">
        <v>31</v>
      </c>
      <c r="D47" t="s">
        <v>32</v>
      </c>
      <c r="E47" t="s">
        <v>44</v>
      </c>
      <c r="F47" t="s">
        <v>34</v>
      </c>
      <c r="G47" t="s">
        <v>35</v>
      </c>
      <c r="H47" t="s">
        <v>47</v>
      </c>
      <c r="I47" t="s">
        <v>70</v>
      </c>
      <c r="J47" t="s">
        <v>48</v>
      </c>
      <c r="K47" s="2">
        <v>45987</v>
      </c>
      <c r="L47" s="2">
        <v>46077</v>
      </c>
      <c r="M47" t="s">
        <v>38</v>
      </c>
      <c r="N47" t="s">
        <v>75</v>
      </c>
      <c r="O47">
        <v>2</v>
      </c>
      <c r="P47" t="s">
        <v>56</v>
      </c>
      <c r="Q47" s="2">
        <v>46303</v>
      </c>
      <c r="R47" t="s">
        <v>64</v>
      </c>
    </row>
    <row r="48" spans="1:18" x14ac:dyDescent="0.2">
      <c r="A48" t="s">
        <v>85</v>
      </c>
      <c r="B48" t="s">
        <v>159</v>
      </c>
      <c r="C48" t="s">
        <v>42</v>
      </c>
      <c r="D48" t="s">
        <v>43</v>
      </c>
      <c r="E48" t="s">
        <v>53</v>
      </c>
      <c r="F48" t="s">
        <v>45</v>
      </c>
      <c r="G48" t="s">
        <v>46</v>
      </c>
      <c r="H48" t="s">
        <v>88</v>
      </c>
      <c r="I48" t="s">
        <v>62</v>
      </c>
      <c r="J48" t="s">
        <v>63</v>
      </c>
      <c r="K48" s="2">
        <v>46072</v>
      </c>
      <c r="L48" s="2">
        <v>46437</v>
      </c>
      <c r="M48" t="s">
        <v>64</v>
      </c>
      <c r="N48" t="s">
        <v>49</v>
      </c>
      <c r="O48">
        <v>1</v>
      </c>
      <c r="P48" t="s">
        <v>70</v>
      </c>
      <c r="Q48" s="2">
        <v>46167</v>
      </c>
      <c r="R48" t="s">
        <v>38</v>
      </c>
    </row>
    <row r="49" spans="1:18" x14ac:dyDescent="0.2">
      <c r="A49" t="s">
        <v>89</v>
      </c>
      <c r="B49" t="s">
        <v>160</v>
      </c>
      <c r="C49" t="s">
        <v>73</v>
      </c>
      <c r="D49" t="s">
        <v>74</v>
      </c>
      <c r="E49" t="s">
        <v>53</v>
      </c>
      <c r="F49" t="s">
        <v>34</v>
      </c>
      <c r="G49" t="s">
        <v>35</v>
      </c>
      <c r="H49" t="s">
        <v>88</v>
      </c>
      <c r="I49" t="s">
        <v>106</v>
      </c>
      <c r="J49" t="s">
        <v>37</v>
      </c>
      <c r="K49" s="2">
        <v>46240</v>
      </c>
      <c r="L49" s="2">
        <v>46605</v>
      </c>
      <c r="M49" t="s">
        <v>84</v>
      </c>
      <c r="N49" t="s">
        <v>75</v>
      </c>
      <c r="O49">
        <v>3</v>
      </c>
      <c r="P49" t="s">
        <v>50</v>
      </c>
      <c r="Q49" s="2">
        <v>46169</v>
      </c>
      <c r="R49" t="s">
        <v>38</v>
      </c>
    </row>
    <row r="50" spans="1:18" x14ac:dyDescent="0.2">
      <c r="A50" t="s">
        <v>92</v>
      </c>
      <c r="B50" t="s">
        <v>161</v>
      </c>
      <c r="C50" t="s">
        <v>31</v>
      </c>
      <c r="D50" t="s">
        <v>32</v>
      </c>
      <c r="E50" t="s">
        <v>91</v>
      </c>
      <c r="F50" t="s">
        <v>67</v>
      </c>
      <c r="G50" t="s">
        <v>68</v>
      </c>
      <c r="H50" t="s">
        <v>88</v>
      </c>
      <c r="I50" t="s">
        <v>56</v>
      </c>
      <c r="J50" t="s">
        <v>37</v>
      </c>
      <c r="K50" s="2">
        <v>45960</v>
      </c>
      <c r="L50" s="2">
        <v>46325</v>
      </c>
      <c r="M50" t="s">
        <v>69</v>
      </c>
      <c r="N50" t="s">
        <v>75</v>
      </c>
      <c r="O50">
        <v>2</v>
      </c>
      <c r="P50" t="s">
        <v>54</v>
      </c>
      <c r="Q50" s="2">
        <v>46280</v>
      </c>
      <c r="R50" t="s">
        <v>38</v>
      </c>
    </row>
    <row r="51" spans="1:18" x14ac:dyDescent="0.2">
      <c r="A51" t="s">
        <v>94</v>
      </c>
      <c r="B51" t="s">
        <v>162</v>
      </c>
      <c r="C51" t="s">
        <v>42</v>
      </c>
      <c r="D51" t="s">
        <v>43</v>
      </c>
      <c r="E51" t="s">
        <v>53</v>
      </c>
      <c r="F51" t="s">
        <v>67</v>
      </c>
      <c r="G51" t="s">
        <v>118</v>
      </c>
      <c r="H51" t="s">
        <v>47</v>
      </c>
      <c r="I51" t="s">
        <v>106</v>
      </c>
      <c r="J51" t="s">
        <v>48</v>
      </c>
      <c r="K51" s="2">
        <v>46182</v>
      </c>
      <c r="L51" s="2">
        <v>46362</v>
      </c>
      <c r="M51" t="s">
        <v>64</v>
      </c>
      <c r="N51" t="s">
        <v>75</v>
      </c>
      <c r="O51">
        <v>2</v>
      </c>
      <c r="P51" t="s">
        <v>54</v>
      </c>
      <c r="Q51" s="2">
        <v>46258</v>
      </c>
      <c r="R51" t="s">
        <v>38</v>
      </c>
    </row>
    <row r="52" spans="1:18" x14ac:dyDescent="0.2">
      <c r="A52" t="s">
        <v>99</v>
      </c>
      <c r="B52" t="s">
        <v>163</v>
      </c>
      <c r="C52" t="s">
        <v>31</v>
      </c>
      <c r="D52" t="s">
        <v>87</v>
      </c>
      <c r="E52" t="s">
        <v>91</v>
      </c>
      <c r="F52" t="s">
        <v>45</v>
      </c>
      <c r="G52" t="s">
        <v>46</v>
      </c>
      <c r="H52" t="s">
        <v>88</v>
      </c>
      <c r="J52" t="s">
        <v>37</v>
      </c>
      <c r="K52" s="2">
        <v>45991</v>
      </c>
      <c r="L52" s="2">
        <v>46081</v>
      </c>
      <c r="M52" t="s">
        <v>38</v>
      </c>
      <c r="N52" t="s">
        <v>49</v>
      </c>
      <c r="O52">
        <v>3</v>
      </c>
      <c r="P52" t="s">
        <v>54</v>
      </c>
      <c r="Q52" s="2">
        <v>46366</v>
      </c>
      <c r="R52" t="s">
        <v>84</v>
      </c>
    </row>
    <row r="53" spans="1:18" x14ac:dyDescent="0.2">
      <c r="A53" t="s">
        <v>101</v>
      </c>
      <c r="B53" t="s">
        <v>164</v>
      </c>
      <c r="C53" t="s">
        <v>42</v>
      </c>
      <c r="D53" t="s">
        <v>43</v>
      </c>
      <c r="E53" t="s">
        <v>53</v>
      </c>
      <c r="F53" t="s">
        <v>67</v>
      </c>
      <c r="G53" t="s">
        <v>68</v>
      </c>
      <c r="H53" t="s">
        <v>88</v>
      </c>
      <c r="I53" t="s">
        <v>106</v>
      </c>
      <c r="J53" t="s">
        <v>37</v>
      </c>
      <c r="K53" s="2">
        <v>46033</v>
      </c>
      <c r="L53" s="2">
        <v>46398</v>
      </c>
      <c r="M53" t="s">
        <v>64</v>
      </c>
      <c r="N53" t="s">
        <v>75</v>
      </c>
      <c r="O53">
        <v>2</v>
      </c>
      <c r="P53" t="s">
        <v>54</v>
      </c>
      <c r="Q53" s="2">
        <v>46295</v>
      </c>
      <c r="R53" t="s">
        <v>84</v>
      </c>
    </row>
    <row r="54" spans="1:18" x14ac:dyDescent="0.2">
      <c r="A54" t="s">
        <v>107</v>
      </c>
      <c r="B54" t="s">
        <v>165</v>
      </c>
      <c r="C54" t="s">
        <v>42</v>
      </c>
      <c r="D54" t="s">
        <v>43</v>
      </c>
      <c r="E54" t="s">
        <v>53</v>
      </c>
      <c r="F54" t="s">
        <v>45</v>
      </c>
      <c r="G54" t="s">
        <v>46</v>
      </c>
      <c r="H54" t="s">
        <v>47</v>
      </c>
      <c r="I54" t="s">
        <v>50</v>
      </c>
      <c r="J54" t="s">
        <v>48</v>
      </c>
      <c r="K54" s="2">
        <v>46177</v>
      </c>
      <c r="L54" s="2">
        <v>46267</v>
      </c>
      <c r="M54" t="s">
        <v>38</v>
      </c>
      <c r="N54" t="s">
        <v>49</v>
      </c>
      <c r="O54">
        <v>3</v>
      </c>
      <c r="P54" t="s">
        <v>56</v>
      </c>
      <c r="Q54" s="2">
        <v>46256</v>
      </c>
      <c r="R54" t="s">
        <v>38</v>
      </c>
    </row>
    <row r="55" spans="1:18" x14ac:dyDescent="0.2">
      <c r="A55" t="s">
        <v>109</v>
      </c>
      <c r="B55" t="s">
        <v>166</v>
      </c>
      <c r="C55" t="s">
        <v>96</v>
      </c>
      <c r="D55" t="s">
        <v>97</v>
      </c>
      <c r="E55" t="s">
        <v>44</v>
      </c>
      <c r="F55" t="s">
        <v>45</v>
      </c>
      <c r="G55" t="s">
        <v>61</v>
      </c>
      <c r="H55" t="s">
        <v>88</v>
      </c>
      <c r="I55" t="s">
        <v>50</v>
      </c>
      <c r="J55" t="s">
        <v>48</v>
      </c>
      <c r="K55" s="2">
        <v>46135</v>
      </c>
      <c r="L55" s="2">
        <v>46225</v>
      </c>
      <c r="M55" t="s">
        <v>38</v>
      </c>
      <c r="N55" t="s">
        <v>55</v>
      </c>
      <c r="O55">
        <v>2</v>
      </c>
      <c r="P55" t="s">
        <v>56</v>
      </c>
      <c r="Q55" s="2">
        <v>46179</v>
      </c>
      <c r="R55" t="s">
        <v>38</v>
      </c>
    </row>
    <row r="56" spans="1:18" x14ac:dyDescent="0.2">
      <c r="A56" t="s">
        <v>112</v>
      </c>
      <c r="B56" t="s">
        <v>167</v>
      </c>
      <c r="C56" t="s">
        <v>31</v>
      </c>
      <c r="D56" t="s">
        <v>87</v>
      </c>
      <c r="E56" t="s">
        <v>80</v>
      </c>
      <c r="F56" t="s">
        <v>67</v>
      </c>
      <c r="G56" t="s">
        <v>118</v>
      </c>
      <c r="H56" t="s">
        <v>88</v>
      </c>
      <c r="I56" t="s">
        <v>39</v>
      </c>
      <c r="J56" t="s">
        <v>48</v>
      </c>
      <c r="K56" s="2">
        <v>46146</v>
      </c>
      <c r="L56" s="2">
        <v>46326</v>
      </c>
      <c r="M56" t="s">
        <v>64</v>
      </c>
      <c r="N56" t="s">
        <v>55</v>
      </c>
      <c r="O56">
        <v>3</v>
      </c>
      <c r="P56" t="s">
        <v>56</v>
      </c>
      <c r="Q56" s="2">
        <v>46366</v>
      </c>
      <c r="R56" t="s">
        <v>64</v>
      </c>
    </row>
    <row r="57" spans="1:18" x14ac:dyDescent="0.2">
      <c r="A57" t="s">
        <v>114</v>
      </c>
      <c r="B57" t="s">
        <v>168</v>
      </c>
      <c r="C57" t="s">
        <v>42</v>
      </c>
      <c r="D57" t="s">
        <v>43</v>
      </c>
      <c r="E57" t="s">
        <v>105</v>
      </c>
      <c r="F57" t="s">
        <v>45</v>
      </c>
      <c r="G57" t="s">
        <v>46</v>
      </c>
      <c r="H57" t="s">
        <v>88</v>
      </c>
      <c r="I57" t="s">
        <v>62</v>
      </c>
      <c r="J57" t="s">
        <v>63</v>
      </c>
      <c r="K57" s="2">
        <v>45965</v>
      </c>
      <c r="L57" s="2">
        <v>46330</v>
      </c>
      <c r="M57" t="s">
        <v>84</v>
      </c>
      <c r="N57" t="s">
        <v>49</v>
      </c>
      <c r="O57">
        <v>3</v>
      </c>
      <c r="P57" t="s">
        <v>62</v>
      </c>
      <c r="Q57" s="2">
        <v>46345</v>
      </c>
      <c r="R57" t="s">
        <v>84</v>
      </c>
    </row>
    <row r="58" spans="1:18" x14ac:dyDescent="0.2">
      <c r="A58" t="s">
        <v>116</v>
      </c>
      <c r="B58" t="s">
        <v>169</v>
      </c>
      <c r="C58" t="s">
        <v>31</v>
      </c>
      <c r="D58" t="s">
        <v>83</v>
      </c>
      <c r="E58" t="s">
        <v>60</v>
      </c>
      <c r="F58" t="s">
        <v>67</v>
      </c>
      <c r="G58" t="s">
        <v>68</v>
      </c>
      <c r="H58" t="s">
        <v>98</v>
      </c>
      <c r="I58" t="s">
        <v>70</v>
      </c>
      <c r="J58" t="s">
        <v>48</v>
      </c>
      <c r="K58" s="2">
        <v>45885</v>
      </c>
      <c r="L58" s="2">
        <v>45975</v>
      </c>
      <c r="M58" t="s">
        <v>38</v>
      </c>
      <c r="N58" t="s">
        <v>49</v>
      </c>
      <c r="O58">
        <v>1</v>
      </c>
      <c r="P58" t="s">
        <v>70</v>
      </c>
      <c r="Q58" s="2">
        <v>46250</v>
      </c>
      <c r="R58" t="s">
        <v>38</v>
      </c>
    </row>
    <row r="59" spans="1:18" x14ac:dyDescent="0.2">
      <c r="A59" t="s">
        <v>119</v>
      </c>
      <c r="B59" t="s">
        <v>171</v>
      </c>
      <c r="C59" t="s">
        <v>96</v>
      </c>
      <c r="D59" t="s">
        <v>97</v>
      </c>
      <c r="E59" t="s">
        <v>80</v>
      </c>
      <c r="F59" t="s">
        <v>45</v>
      </c>
      <c r="G59" t="s">
        <v>46</v>
      </c>
      <c r="H59" t="s">
        <v>88</v>
      </c>
      <c r="I59" t="s">
        <v>111</v>
      </c>
      <c r="J59" t="s">
        <v>63</v>
      </c>
      <c r="K59" s="2">
        <v>46126</v>
      </c>
      <c r="L59" s="2">
        <v>46216</v>
      </c>
      <c r="M59" t="s">
        <v>38</v>
      </c>
      <c r="N59" t="s">
        <v>55</v>
      </c>
      <c r="O59">
        <v>2</v>
      </c>
      <c r="P59" t="s">
        <v>54</v>
      </c>
      <c r="Q59" s="2">
        <v>46259</v>
      </c>
      <c r="R59" t="s">
        <v>38</v>
      </c>
    </row>
    <row r="60" spans="1:18" x14ac:dyDescent="0.2">
      <c r="A60" t="s">
        <v>172</v>
      </c>
      <c r="B60" t="s">
        <v>173</v>
      </c>
      <c r="C60" t="s">
        <v>42</v>
      </c>
      <c r="D60" t="s">
        <v>43</v>
      </c>
      <c r="E60" t="s">
        <v>80</v>
      </c>
      <c r="F60" t="s">
        <v>67</v>
      </c>
      <c r="G60" t="s">
        <v>68</v>
      </c>
      <c r="H60" t="s">
        <v>47</v>
      </c>
      <c r="I60" t="s">
        <v>54</v>
      </c>
      <c r="J60" t="s">
        <v>63</v>
      </c>
      <c r="K60" s="2">
        <v>45944</v>
      </c>
      <c r="L60" s="2">
        <v>46034</v>
      </c>
      <c r="M60" t="s">
        <v>38</v>
      </c>
      <c r="N60" t="s">
        <v>75</v>
      </c>
      <c r="O60">
        <v>1</v>
      </c>
      <c r="P60" t="s">
        <v>56</v>
      </c>
      <c r="Q60" s="2">
        <v>46151</v>
      </c>
      <c r="R60" t="s">
        <v>64</v>
      </c>
    </row>
    <row r="61" spans="1:18" x14ac:dyDescent="0.2">
      <c r="A61" t="s">
        <v>174</v>
      </c>
      <c r="B61" t="s">
        <v>175</v>
      </c>
      <c r="C61" t="s">
        <v>78</v>
      </c>
      <c r="D61" t="s">
        <v>79</v>
      </c>
      <c r="E61" t="s">
        <v>80</v>
      </c>
      <c r="F61" t="s">
        <v>67</v>
      </c>
      <c r="G61" t="s">
        <v>68</v>
      </c>
      <c r="H61" t="s">
        <v>88</v>
      </c>
      <c r="I61" t="s">
        <v>62</v>
      </c>
      <c r="J61" t="s">
        <v>37</v>
      </c>
      <c r="K61" s="2">
        <v>46136</v>
      </c>
      <c r="L61" s="2">
        <v>46501</v>
      </c>
      <c r="M61" t="s">
        <v>64</v>
      </c>
      <c r="N61" t="s">
        <v>75</v>
      </c>
      <c r="O61">
        <v>0</v>
      </c>
      <c r="P61" t="s">
        <v>56</v>
      </c>
      <c r="Q61" s="2">
        <v>46135</v>
      </c>
      <c r="R61" t="s">
        <v>57</v>
      </c>
    </row>
    <row r="62" spans="1:18" x14ac:dyDescent="0.2">
      <c r="A62" t="s">
        <v>176</v>
      </c>
      <c r="B62" t="s">
        <v>177</v>
      </c>
      <c r="C62" t="s">
        <v>31</v>
      </c>
      <c r="D62" t="s">
        <v>83</v>
      </c>
      <c r="E62" t="s">
        <v>44</v>
      </c>
      <c r="F62" t="s">
        <v>45</v>
      </c>
      <c r="G62" t="s">
        <v>46</v>
      </c>
      <c r="H62" t="s">
        <v>98</v>
      </c>
      <c r="I62" t="s">
        <v>39</v>
      </c>
      <c r="J62" t="s">
        <v>63</v>
      </c>
      <c r="K62" s="2">
        <v>45884</v>
      </c>
      <c r="L62" s="2">
        <v>46249</v>
      </c>
      <c r="M62" t="s">
        <v>38</v>
      </c>
      <c r="N62" t="s">
        <v>75</v>
      </c>
      <c r="O62">
        <v>4</v>
      </c>
      <c r="P62" t="s">
        <v>111</v>
      </c>
      <c r="Q62" s="2">
        <v>46135</v>
      </c>
      <c r="R62" t="s">
        <v>38</v>
      </c>
    </row>
    <row r="63" spans="1:18" x14ac:dyDescent="0.2">
      <c r="A63" t="s">
        <v>178</v>
      </c>
      <c r="B63" t="s">
        <v>179</v>
      </c>
      <c r="C63" t="s">
        <v>73</v>
      </c>
      <c r="D63" t="s">
        <v>74</v>
      </c>
      <c r="E63" t="s">
        <v>60</v>
      </c>
      <c r="F63" t="s">
        <v>67</v>
      </c>
      <c r="G63" t="s">
        <v>68</v>
      </c>
      <c r="H63" t="s">
        <v>88</v>
      </c>
      <c r="I63" t="s">
        <v>111</v>
      </c>
      <c r="J63" t="s">
        <v>63</v>
      </c>
      <c r="K63" s="2">
        <v>46229</v>
      </c>
      <c r="L63" s="2">
        <v>46409</v>
      </c>
      <c r="M63" t="s">
        <v>64</v>
      </c>
      <c r="N63" t="s">
        <v>75</v>
      </c>
      <c r="O63">
        <v>2</v>
      </c>
      <c r="P63" t="s">
        <v>111</v>
      </c>
      <c r="Q63" s="2">
        <v>46168</v>
      </c>
      <c r="R63" t="s">
        <v>38</v>
      </c>
    </row>
    <row r="64" spans="1:18" x14ac:dyDescent="0.2">
      <c r="A64" t="s">
        <v>180</v>
      </c>
      <c r="B64" t="s">
        <v>181</v>
      </c>
      <c r="C64" t="s">
        <v>31</v>
      </c>
      <c r="D64" t="s">
        <v>87</v>
      </c>
      <c r="E64" t="s">
        <v>60</v>
      </c>
      <c r="F64" t="s">
        <v>67</v>
      </c>
      <c r="G64" t="s">
        <v>118</v>
      </c>
      <c r="H64" t="s">
        <v>47</v>
      </c>
      <c r="I64" t="s">
        <v>70</v>
      </c>
      <c r="J64" t="s">
        <v>63</v>
      </c>
      <c r="K64" s="2">
        <v>46114</v>
      </c>
      <c r="L64" s="2">
        <v>46294</v>
      </c>
      <c r="M64" t="s">
        <v>38</v>
      </c>
      <c r="N64" t="s">
        <v>75</v>
      </c>
      <c r="O64">
        <v>0</v>
      </c>
      <c r="P64" t="s">
        <v>111</v>
      </c>
      <c r="Q64" s="2">
        <v>46321</v>
      </c>
      <c r="R64" t="s">
        <v>57</v>
      </c>
    </row>
    <row r="65" spans="1:18" x14ac:dyDescent="0.2">
      <c r="A65" t="s">
        <v>182</v>
      </c>
      <c r="B65" t="s">
        <v>183</v>
      </c>
      <c r="C65" t="s">
        <v>42</v>
      </c>
      <c r="D65" t="s">
        <v>43</v>
      </c>
      <c r="E65" t="s">
        <v>44</v>
      </c>
      <c r="F65" t="s">
        <v>67</v>
      </c>
      <c r="G65" t="s">
        <v>68</v>
      </c>
      <c r="H65" t="s">
        <v>88</v>
      </c>
      <c r="I65" t="s">
        <v>111</v>
      </c>
      <c r="J65" t="s">
        <v>63</v>
      </c>
      <c r="K65" s="2">
        <v>45955</v>
      </c>
      <c r="L65" s="2">
        <v>46135</v>
      </c>
      <c r="M65" t="s">
        <v>38</v>
      </c>
      <c r="N65" t="s">
        <v>55</v>
      </c>
      <c r="O65">
        <v>1</v>
      </c>
      <c r="P65" t="s">
        <v>111</v>
      </c>
      <c r="Q65" s="2">
        <v>46251</v>
      </c>
      <c r="R65" t="s">
        <v>38</v>
      </c>
    </row>
    <row r="66" spans="1:18" x14ac:dyDescent="0.2">
      <c r="A66" t="s">
        <v>184</v>
      </c>
      <c r="B66" t="s">
        <v>185</v>
      </c>
      <c r="C66" t="s">
        <v>78</v>
      </c>
      <c r="D66" t="s">
        <v>79</v>
      </c>
      <c r="E66" t="s">
        <v>91</v>
      </c>
      <c r="F66" t="s">
        <v>45</v>
      </c>
      <c r="G66" t="s">
        <v>46</v>
      </c>
      <c r="H66" t="s">
        <v>88</v>
      </c>
      <c r="I66" t="s">
        <v>54</v>
      </c>
      <c r="J66" t="s">
        <v>48</v>
      </c>
      <c r="K66" s="2">
        <v>45912</v>
      </c>
      <c r="L66" s="2">
        <v>46002</v>
      </c>
      <c r="M66" t="s">
        <v>38</v>
      </c>
      <c r="N66" t="s">
        <v>75</v>
      </c>
      <c r="O66">
        <v>0</v>
      </c>
      <c r="P66" t="s">
        <v>70</v>
      </c>
      <c r="Q66" s="2">
        <v>46397</v>
      </c>
      <c r="R66" t="s">
        <v>57</v>
      </c>
    </row>
    <row r="67" spans="1:18" x14ac:dyDescent="0.2">
      <c r="A67" t="s">
        <v>186</v>
      </c>
      <c r="B67" t="s">
        <v>187</v>
      </c>
      <c r="C67" t="s">
        <v>96</v>
      </c>
      <c r="D67" t="s">
        <v>97</v>
      </c>
      <c r="E67" t="s">
        <v>91</v>
      </c>
      <c r="F67" t="s">
        <v>67</v>
      </c>
      <c r="G67" t="s">
        <v>68</v>
      </c>
      <c r="H67" t="s">
        <v>36</v>
      </c>
      <c r="I67" t="s">
        <v>111</v>
      </c>
      <c r="J67" t="s">
        <v>48</v>
      </c>
      <c r="K67" s="2">
        <v>45798</v>
      </c>
      <c r="L67" s="2">
        <v>46163</v>
      </c>
      <c r="M67" t="s">
        <v>38</v>
      </c>
      <c r="N67" t="s">
        <v>75</v>
      </c>
      <c r="O67">
        <v>4</v>
      </c>
      <c r="P67" t="s">
        <v>111</v>
      </c>
      <c r="Q67" s="2">
        <v>46254</v>
      </c>
      <c r="R67" t="s">
        <v>38</v>
      </c>
    </row>
    <row r="68" spans="1:18" x14ac:dyDescent="0.2">
      <c r="A68" t="s">
        <v>188</v>
      </c>
      <c r="B68" t="s">
        <v>189</v>
      </c>
      <c r="C68" t="s">
        <v>42</v>
      </c>
      <c r="D68" t="s">
        <v>43</v>
      </c>
      <c r="E68" t="s">
        <v>80</v>
      </c>
      <c r="F68" t="s">
        <v>34</v>
      </c>
      <c r="G68" t="s">
        <v>35</v>
      </c>
      <c r="H68" t="s">
        <v>47</v>
      </c>
      <c r="I68" t="s">
        <v>50</v>
      </c>
      <c r="J68" t="s">
        <v>48</v>
      </c>
      <c r="K68" s="2">
        <v>45833</v>
      </c>
      <c r="L68" s="2">
        <v>45923</v>
      </c>
      <c r="M68" t="s">
        <v>38</v>
      </c>
      <c r="N68" t="s">
        <v>75</v>
      </c>
      <c r="O68">
        <v>3</v>
      </c>
      <c r="P68" t="s">
        <v>56</v>
      </c>
      <c r="Q68" s="2">
        <v>46289</v>
      </c>
      <c r="R68" t="s">
        <v>38</v>
      </c>
    </row>
    <row r="69" spans="1:18" x14ac:dyDescent="0.2">
      <c r="A69" t="s">
        <v>190</v>
      </c>
      <c r="B69" t="s">
        <v>191</v>
      </c>
      <c r="C69" t="s">
        <v>78</v>
      </c>
      <c r="D69" t="s">
        <v>79</v>
      </c>
      <c r="E69" t="s">
        <v>60</v>
      </c>
      <c r="F69" t="s">
        <v>34</v>
      </c>
      <c r="G69" t="s">
        <v>35</v>
      </c>
      <c r="H69" t="s">
        <v>88</v>
      </c>
      <c r="I69" t="s">
        <v>111</v>
      </c>
      <c r="J69" t="s">
        <v>37</v>
      </c>
      <c r="K69" s="2">
        <v>45832</v>
      </c>
      <c r="L69" s="2">
        <v>45922</v>
      </c>
      <c r="M69" t="s">
        <v>38</v>
      </c>
      <c r="N69" t="s">
        <v>75</v>
      </c>
      <c r="O69">
        <v>3</v>
      </c>
      <c r="P69" t="s">
        <v>54</v>
      </c>
      <c r="Q69" s="2">
        <v>46291</v>
      </c>
      <c r="R69" t="s">
        <v>64</v>
      </c>
    </row>
    <row r="70" spans="1:18" x14ac:dyDescent="0.2">
      <c r="A70" t="s">
        <v>192</v>
      </c>
      <c r="B70" t="s">
        <v>193</v>
      </c>
      <c r="C70" t="s">
        <v>31</v>
      </c>
      <c r="D70" t="s">
        <v>83</v>
      </c>
      <c r="E70" t="s">
        <v>60</v>
      </c>
      <c r="F70" t="s">
        <v>34</v>
      </c>
      <c r="G70" t="s">
        <v>35</v>
      </c>
      <c r="H70" t="s">
        <v>88</v>
      </c>
      <c r="I70" t="s">
        <v>62</v>
      </c>
      <c r="J70" t="s">
        <v>63</v>
      </c>
      <c r="K70" s="2">
        <v>46253</v>
      </c>
      <c r="L70" s="2">
        <v>46433</v>
      </c>
      <c r="M70" t="s">
        <v>69</v>
      </c>
      <c r="N70" t="s">
        <v>75</v>
      </c>
      <c r="O70">
        <v>1</v>
      </c>
      <c r="P70" t="s">
        <v>106</v>
      </c>
      <c r="Q70" s="2">
        <v>46368</v>
      </c>
      <c r="R70" t="s">
        <v>84</v>
      </c>
    </row>
    <row r="71" spans="1:18" x14ac:dyDescent="0.2">
      <c r="A71" t="s">
        <v>194</v>
      </c>
      <c r="B71" t="s">
        <v>195</v>
      </c>
      <c r="C71" t="s">
        <v>42</v>
      </c>
      <c r="D71" t="s">
        <v>43</v>
      </c>
      <c r="E71" t="s">
        <v>105</v>
      </c>
      <c r="F71" t="s">
        <v>45</v>
      </c>
      <c r="G71" t="s">
        <v>61</v>
      </c>
      <c r="H71" t="s">
        <v>88</v>
      </c>
      <c r="I71" t="s">
        <v>111</v>
      </c>
      <c r="J71" t="s">
        <v>63</v>
      </c>
      <c r="K71" s="2">
        <v>46268</v>
      </c>
      <c r="L71" s="2">
        <v>46633</v>
      </c>
      <c r="M71" t="s">
        <v>64</v>
      </c>
      <c r="N71" t="s">
        <v>49</v>
      </c>
      <c r="O71">
        <v>1</v>
      </c>
      <c r="P71" t="s">
        <v>62</v>
      </c>
      <c r="Q71" s="2">
        <v>46153</v>
      </c>
      <c r="R71" t="s">
        <v>38</v>
      </c>
    </row>
    <row r="72" spans="1:18" x14ac:dyDescent="0.2">
      <c r="A72" t="s">
        <v>196</v>
      </c>
      <c r="B72" t="s">
        <v>197</v>
      </c>
      <c r="C72" t="s">
        <v>103</v>
      </c>
      <c r="D72" t="s">
        <v>104</v>
      </c>
      <c r="E72" t="s">
        <v>53</v>
      </c>
      <c r="F72" t="s">
        <v>34</v>
      </c>
      <c r="G72" t="s">
        <v>35</v>
      </c>
      <c r="H72" t="s">
        <v>36</v>
      </c>
      <c r="I72" t="s">
        <v>62</v>
      </c>
      <c r="J72" t="s">
        <v>63</v>
      </c>
      <c r="K72" s="2">
        <v>46113</v>
      </c>
      <c r="L72" s="2">
        <v>46478</v>
      </c>
      <c r="M72" t="s">
        <v>69</v>
      </c>
      <c r="N72" t="s">
        <v>49</v>
      </c>
      <c r="O72">
        <v>0</v>
      </c>
      <c r="P72" t="s">
        <v>56</v>
      </c>
      <c r="Q72" s="2">
        <v>46150</v>
      </c>
      <c r="R72" t="s">
        <v>57</v>
      </c>
    </row>
    <row r="73" spans="1:18" x14ac:dyDescent="0.2">
      <c r="A73" t="s">
        <v>198</v>
      </c>
      <c r="B73" t="s">
        <v>199</v>
      </c>
      <c r="C73" t="s">
        <v>31</v>
      </c>
      <c r="D73" t="s">
        <v>87</v>
      </c>
      <c r="E73" t="s">
        <v>80</v>
      </c>
      <c r="F73" t="s">
        <v>45</v>
      </c>
      <c r="G73" t="s">
        <v>46</v>
      </c>
      <c r="H73" t="s">
        <v>98</v>
      </c>
      <c r="I73" t="s">
        <v>70</v>
      </c>
      <c r="J73" t="s">
        <v>37</v>
      </c>
      <c r="K73" s="2">
        <v>46048</v>
      </c>
      <c r="L73" s="2">
        <v>46138</v>
      </c>
      <c r="M73" t="s">
        <v>38</v>
      </c>
      <c r="N73" t="s">
        <v>49</v>
      </c>
      <c r="O73">
        <v>2</v>
      </c>
      <c r="P73" t="s">
        <v>106</v>
      </c>
      <c r="Q73" s="2">
        <v>46129</v>
      </c>
      <c r="R73" t="s">
        <v>64</v>
      </c>
    </row>
    <row r="74" spans="1:18" x14ac:dyDescent="0.2">
      <c r="A74" t="s">
        <v>200</v>
      </c>
      <c r="B74" t="s">
        <v>201</v>
      </c>
      <c r="C74" t="s">
        <v>31</v>
      </c>
      <c r="D74" t="s">
        <v>83</v>
      </c>
      <c r="E74" t="s">
        <v>44</v>
      </c>
      <c r="F74" t="s">
        <v>67</v>
      </c>
      <c r="G74" t="s">
        <v>68</v>
      </c>
      <c r="H74" t="s">
        <v>88</v>
      </c>
      <c r="I74" t="s">
        <v>50</v>
      </c>
      <c r="J74" t="s">
        <v>37</v>
      </c>
      <c r="K74" s="2">
        <v>46188</v>
      </c>
      <c r="L74" s="2">
        <v>46278</v>
      </c>
      <c r="M74" t="s">
        <v>38</v>
      </c>
      <c r="N74" t="s">
        <v>55</v>
      </c>
      <c r="O74">
        <v>3</v>
      </c>
      <c r="P74" t="s">
        <v>56</v>
      </c>
      <c r="Q74" s="2">
        <v>46238</v>
      </c>
      <c r="R74" t="s">
        <v>38</v>
      </c>
    </row>
    <row r="75" spans="1:18" x14ac:dyDescent="0.2">
      <c r="A75" t="s">
        <v>202</v>
      </c>
      <c r="B75" t="s">
        <v>203</v>
      </c>
      <c r="C75" t="s">
        <v>73</v>
      </c>
      <c r="D75" t="s">
        <v>74</v>
      </c>
      <c r="E75" t="s">
        <v>91</v>
      </c>
      <c r="F75" t="s">
        <v>67</v>
      </c>
      <c r="G75" t="s">
        <v>118</v>
      </c>
      <c r="H75" t="s">
        <v>47</v>
      </c>
      <c r="I75" t="s">
        <v>111</v>
      </c>
      <c r="J75" t="s">
        <v>37</v>
      </c>
      <c r="K75" s="2">
        <v>45814</v>
      </c>
      <c r="L75" s="2">
        <v>45994</v>
      </c>
      <c r="M75" t="s">
        <v>38</v>
      </c>
      <c r="N75" t="s">
        <v>49</v>
      </c>
      <c r="O75">
        <v>1</v>
      </c>
      <c r="P75" t="s">
        <v>62</v>
      </c>
      <c r="Q75" s="2">
        <v>46152</v>
      </c>
      <c r="R75" t="s">
        <v>38</v>
      </c>
    </row>
    <row r="76" spans="1:18" x14ac:dyDescent="0.2">
      <c r="A76" t="s">
        <v>204</v>
      </c>
      <c r="B76" t="s">
        <v>205</v>
      </c>
      <c r="C76" t="s">
        <v>42</v>
      </c>
      <c r="D76" t="s">
        <v>43</v>
      </c>
      <c r="E76" t="s">
        <v>80</v>
      </c>
      <c r="F76" t="s">
        <v>34</v>
      </c>
      <c r="G76" t="s">
        <v>35</v>
      </c>
      <c r="H76" t="s">
        <v>36</v>
      </c>
      <c r="I76" t="s">
        <v>54</v>
      </c>
      <c r="J76" t="s">
        <v>37</v>
      </c>
      <c r="K76" s="2">
        <v>46079</v>
      </c>
      <c r="L76" s="2">
        <v>46259</v>
      </c>
      <c r="M76" t="s">
        <v>38</v>
      </c>
      <c r="N76" t="s">
        <v>55</v>
      </c>
      <c r="O76">
        <v>1</v>
      </c>
      <c r="P76" t="s">
        <v>39</v>
      </c>
      <c r="Q76" s="2">
        <v>46310</v>
      </c>
      <c r="R76" t="s">
        <v>84</v>
      </c>
    </row>
    <row r="77" spans="1:18" x14ac:dyDescent="0.2">
      <c r="A77" t="s">
        <v>206</v>
      </c>
      <c r="B77" t="s">
        <v>207</v>
      </c>
      <c r="C77" t="s">
        <v>103</v>
      </c>
      <c r="D77" t="s">
        <v>104</v>
      </c>
      <c r="E77" t="s">
        <v>53</v>
      </c>
      <c r="F77" t="s">
        <v>34</v>
      </c>
      <c r="G77" t="s">
        <v>35</v>
      </c>
      <c r="H77" t="s">
        <v>47</v>
      </c>
      <c r="I77" t="s">
        <v>39</v>
      </c>
      <c r="J77" t="s">
        <v>37</v>
      </c>
      <c r="K77" s="2">
        <v>45809</v>
      </c>
      <c r="L77" s="2">
        <v>46174</v>
      </c>
      <c r="M77" t="s">
        <v>38</v>
      </c>
      <c r="N77" t="s">
        <v>49</v>
      </c>
      <c r="O77">
        <v>3</v>
      </c>
      <c r="P77" t="s">
        <v>54</v>
      </c>
      <c r="Q77" s="2">
        <v>46261</v>
      </c>
      <c r="R77" t="s">
        <v>38</v>
      </c>
    </row>
    <row r="78" spans="1:18" x14ac:dyDescent="0.2">
      <c r="A78" t="s">
        <v>208</v>
      </c>
      <c r="B78" t="s">
        <v>209</v>
      </c>
      <c r="C78" t="s">
        <v>96</v>
      </c>
      <c r="D78" t="s">
        <v>97</v>
      </c>
      <c r="E78" t="s">
        <v>60</v>
      </c>
      <c r="F78" t="s">
        <v>34</v>
      </c>
      <c r="G78" t="s">
        <v>35</v>
      </c>
      <c r="H78" t="s">
        <v>47</v>
      </c>
      <c r="I78" t="s">
        <v>50</v>
      </c>
      <c r="J78" t="s">
        <v>63</v>
      </c>
      <c r="K78" s="2">
        <v>45954</v>
      </c>
      <c r="L78" s="2">
        <v>46044</v>
      </c>
      <c r="M78" t="s">
        <v>38</v>
      </c>
      <c r="N78" t="s">
        <v>49</v>
      </c>
      <c r="O78">
        <v>0</v>
      </c>
      <c r="P78" t="s">
        <v>106</v>
      </c>
      <c r="Q78" s="2">
        <v>46273</v>
      </c>
      <c r="R78" t="s">
        <v>57</v>
      </c>
    </row>
    <row r="79" spans="1:18" x14ac:dyDescent="0.2">
      <c r="A79" t="s">
        <v>211</v>
      </c>
      <c r="B79" t="s">
        <v>212</v>
      </c>
      <c r="C79" t="s">
        <v>73</v>
      </c>
      <c r="D79" t="s">
        <v>74</v>
      </c>
      <c r="E79" t="s">
        <v>105</v>
      </c>
      <c r="F79" t="s">
        <v>34</v>
      </c>
      <c r="G79" t="s">
        <v>35</v>
      </c>
      <c r="H79" t="s">
        <v>36</v>
      </c>
      <c r="I79" t="s">
        <v>106</v>
      </c>
      <c r="J79" t="s">
        <v>63</v>
      </c>
      <c r="K79" s="2">
        <v>45893</v>
      </c>
      <c r="L79" s="2">
        <v>46073</v>
      </c>
      <c r="M79" t="s">
        <v>38</v>
      </c>
      <c r="N79" t="s">
        <v>55</v>
      </c>
      <c r="O79">
        <v>1</v>
      </c>
      <c r="P79" t="s">
        <v>56</v>
      </c>
      <c r="Q79" s="2">
        <v>46182</v>
      </c>
      <c r="R79" t="s">
        <v>38</v>
      </c>
    </row>
    <row r="80" spans="1:18" x14ac:dyDescent="0.2">
      <c r="A80" t="s">
        <v>213</v>
      </c>
      <c r="B80" t="s">
        <v>214</v>
      </c>
      <c r="C80" t="s">
        <v>103</v>
      </c>
      <c r="D80" t="s">
        <v>104</v>
      </c>
      <c r="E80" t="s">
        <v>80</v>
      </c>
      <c r="F80" t="s">
        <v>45</v>
      </c>
      <c r="G80" t="s">
        <v>61</v>
      </c>
      <c r="H80" t="s">
        <v>98</v>
      </c>
      <c r="I80" t="s">
        <v>56</v>
      </c>
      <c r="J80" t="s">
        <v>63</v>
      </c>
      <c r="K80" s="2">
        <v>45893</v>
      </c>
      <c r="L80" s="2">
        <v>46073</v>
      </c>
      <c r="M80" t="s">
        <v>38</v>
      </c>
      <c r="N80" t="s">
        <v>55</v>
      </c>
      <c r="O80">
        <v>3</v>
      </c>
      <c r="P80" t="s">
        <v>62</v>
      </c>
      <c r="Q80" s="2">
        <v>46153</v>
      </c>
      <c r="R80" t="s">
        <v>64</v>
      </c>
    </row>
    <row r="81" spans="1:18" x14ac:dyDescent="0.2">
      <c r="A81" t="s">
        <v>215</v>
      </c>
      <c r="B81" t="s">
        <v>216</v>
      </c>
      <c r="C81" t="s">
        <v>73</v>
      </c>
      <c r="D81" t="s">
        <v>74</v>
      </c>
      <c r="E81" t="s">
        <v>105</v>
      </c>
      <c r="F81" t="s">
        <v>34</v>
      </c>
      <c r="G81" t="s">
        <v>35</v>
      </c>
      <c r="H81" t="s">
        <v>36</v>
      </c>
      <c r="I81" t="s">
        <v>39</v>
      </c>
      <c r="J81" t="s">
        <v>63</v>
      </c>
      <c r="K81" s="2">
        <v>46140</v>
      </c>
      <c r="L81" s="2">
        <v>46505</v>
      </c>
      <c r="M81" t="s">
        <v>64</v>
      </c>
      <c r="N81" t="s">
        <v>75</v>
      </c>
      <c r="O81">
        <v>5</v>
      </c>
      <c r="P81" t="s">
        <v>54</v>
      </c>
      <c r="Q81" s="2">
        <v>46249</v>
      </c>
      <c r="R81" t="s">
        <v>38</v>
      </c>
    </row>
    <row r="82" spans="1:18" x14ac:dyDescent="0.2">
      <c r="A82" t="s">
        <v>217</v>
      </c>
      <c r="B82" t="s">
        <v>218</v>
      </c>
      <c r="C82" t="s">
        <v>96</v>
      </c>
      <c r="D82" t="s">
        <v>97</v>
      </c>
      <c r="E82" t="s">
        <v>60</v>
      </c>
      <c r="F82" t="s">
        <v>67</v>
      </c>
      <c r="G82" t="s">
        <v>68</v>
      </c>
      <c r="H82" t="s">
        <v>36</v>
      </c>
      <c r="I82" t="s">
        <v>106</v>
      </c>
      <c r="J82" t="s">
        <v>37</v>
      </c>
      <c r="K82" s="2">
        <v>45807</v>
      </c>
      <c r="L82" s="2">
        <v>46172</v>
      </c>
      <c r="M82" t="s">
        <v>38</v>
      </c>
      <c r="N82" t="s">
        <v>55</v>
      </c>
      <c r="O82">
        <v>5</v>
      </c>
      <c r="P82" t="s">
        <v>62</v>
      </c>
      <c r="Q82" s="2">
        <v>46147</v>
      </c>
      <c r="R82" t="s">
        <v>38</v>
      </c>
    </row>
    <row r="83" spans="1:18" x14ac:dyDescent="0.2">
      <c r="A83" t="s">
        <v>219</v>
      </c>
      <c r="B83" t="s">
        <v>220</v>
      </c>
      <c r="C83" t="s">
        <v>96</v>
      </c>
      <c r="D83" t="s">
        <v>97</v>
      </c>
      <c r="E83" t="s">
        <v>105</v>
      </c>
      <c r="F83" t="s">
        <v>45</v>
      </c>
      <c r="G83" t="s">
        <v>46</v>
      </c>
      <c r="H83" t="s">
        <v>98</v>
      </c>
      <c r="I83" t="s">
        <v>56</v>
      </c>
      <c r="J83" t="s">
        <v>63</v>
      </c>
      <c r="K83" s="2">
        <v>46023</v>
      </c>
      <c r="L83" s="2">
        <v>46113</v>
      </c>
      <c r="M83" t="s">
        <v>38</v>
      </c>
      <c r="N83" t="s">
        <v>55</v>
      </c>
      <c r="O83">
        <v>1</v>
      </c>
      <c r="P83" t="s">
        <v>62</v>
      </c>
      <c r="Q83" s="2">
        <v>46390</v>
      </c>
      <c r="R83" t="s">
        <v>64</v>
      </c>
    </row>
    <row r="84" spans="1:18" x14ac:dyDescent="0.2">
      <c r="A84" t="s">
        <v>221</v>
      </c>
      <c r="B84" t="s">
        <v>222</v>
      </c>
      <c r="C84" t="s">
        <v>103</v>
      </c>
      <c r="D84" t="s">
        <v>104</v>
      </c>
      <c r="E84" t="s">
        <v>80</v>
      </c>
      <c r="F84" t="s">
        <v>34</v>
      </c>
      <c r="G84" t="s">
        <v>35</v>
      </c>
      <c r="H84" t="s">
        <v>88</v>
      </c>
      <c r="I84" t="s">
        <v>111</v>
      </c>
      <c r="J84" t="s">
        <v>37</v>
      </c>
      <c r="K84" s="2">
        <v>45960</v>
      </c>
      <c r="L84" s="2">
        <v>46140</v>
      </c>
      <c r="M84" t="s">
        <v>38</v>
      </c>
      <c r="N84" t="s">
        <v>75</v>
      </c>
      <c r="O84">
        <v>0</v>
      </c>
      <c r="P84" t="s">
        <v>54</v>
      </c>
      <c r="Q84" s="2">
        <v>46304</v>
      </c>
      <c r="R84" t="s">
        <v>57</v>
      </c>
    </row>
    <row r="85" spans="1:18" x14ac:dyDescent="0.2">
      <c r="A85" t="s">
        <v>223</v>
      </c>
      <c r="B85" t="s">
        <v>224</v>
      </c>
      <c r="C85" t="s">
        <v>31</v>
      </c>
      <c r="D85" t="s">
        <v>87</v>
      </c>
      <c r="E85" t="s">
        <v>91</v>
      </c>
      <c r="F85" t="s">
        <v>67</v>
      </c>
      <c r="G85" t="s">
        <v>68</v>
      </c>
      <c r="H85" t="s">
        <v>88</v>
      </c>
      <c r="I85" t="s">
        <v>106</v>
      </c>
      <c r="J85" t="s">
        <v>37</v>
      </c>
      <c r="K85" s="2">
        <v>46244</v>
      </c>
      <c r="L85" s="2">
        <v>46424</v>
      </c>
      <c r="M85" t="s">
        <v>64</v>
      </c>
      <c r="N85" t="s">
        <v>55</v>
      </c>
      <c r="O85">
        <v>3</v>
      </c>
      <c r="P85" t="s">
        <v>54</v>
      </c>
      <c r="Q85" s="2">
        <v>46161</v>
      </c>
      <c r="R85" t="s">
        <v>38</v>
      </c>
    </row>
    <row r="86" spans="1:18" x14ac:dyDescent="0.2">
      <c r="A86" t="s">
        <v>225</v>
      </c>
      <c r="B86" t="s">
        <v>226</v>
      </c>
      <c r="C86" t="s">
        <v>31</v>
      </c>
      <c r="D86" t="s">
        <v>87</v>
      </c>
      <c r="E86" t="s">
        <v>105</v>
      </c>
      <c r="F86" t="s">
        <v>45</v>
      </c>
      <c r="G86" t="s">
        <v>46</v>
      </c>
      <c r="H86" t="s">
        <v>36</v>
      </c>
      <c r="I86" t="s">
        <v>54</v>
      </c>
      <c r="J86" t="s">
        <v>48</v>
      </c>
      <c r="K86" s="2">
        <v>45975</v>
      </c>
      <c r="L86" s="2">
        <v>46065</v>
      </c>
      <c r="M86" t="s">
        <v>38</v>
      </c>
      <c r="N86" t="s">
        <v>55</v>
      </c>
      <c r="O86">
        <v>2</v>
      </c>
      <c r="P86" t="s">
        <v>50</v>
      </c>
      <c r="Q86" s="2">
        <v>46190</v>
      </c>
      <c r="R86" t="s">
        <v>38</v>
      </c>
    </row>
    <row r="87" spans="1:18" x14ac:dyDescent="0.2">
      <c r="A87" t="s">
        <v>227</v>
      </c>
      <c r="B87" t="s">
        <v>228</v>
      </c>
      <c r="C87" t="s">
        <v>31</v>
      </c>
      <c r="D87" t="s">
        <v>87</v>
      </c>
      <c r="E87" t="s">
        <v>44</v>
      </c>
      <c r="F87" t="s">
        <v>34</v>
      </c>
      <c r="G87" t="s">
        <v>35</v>
      </c>
      <c r="H87" t="s">
        <v>47</v>
      </c>
      <c r="I87" t="s">
        <v>39</v>
      </c>
      <c r="J87" t="s">
        <v>63</v>
      </c>
      <c r="K87" s="2">
        <v>46208</v>
      </c>
      <c r="L87" s="2">
        <v>46298</v>
      </c>
      <c r="M87" t="s">
        <v>64</v>
      </c>
      <c r="N87" t="s">
        <v>55</v>
      </c>
      <c r="O87">
        <v>2</v>
      </c>
      <c r="P87" t="s">
        <v>62</v>
      </c>
      <c r="Q87" s="2">
        <v>46123</v>
      </c>
      <c r="R87" t="s">
        <v>64</v>
      </c>
    </row>
    <row r="88" spans="1:18" x14ac:dyDescent="0.2">
      <c r="A88" t="s">
        <v>229</v>
      </c>
      <c r="B88" t="s">
        <v>230</v>
      </c>
      <c r="C88" t="s">
        <v>103</v>
      </c>
      <c r="D88" t="s">
        <v>104</v>
      </c>
      <c r="E88" t="s">
        <v>91</v>
      </c>
      <c r="F88" t="s">
        <v>34</v>
      </c>
      <c r="G88" t="s">
        <v>35</v>
      </c>
      <c r="H88" t="s">
        <v>47</v>
      </c>
      <c r="I88" t="s">
        <v>111</v>
      </c>
      <c r="J88" t="s">
        <v>48</v>
      </c>
      <c r="K88" s="2">
        <v>45877</v>
      </c>
      <c r="L88" s="2">
        <v>46057</v>
      </c>
      <c r="M88" t="s">
        <v>38</v>
      </c>
      <c r="O88">
        <v>0</v>
      </c>
      <c r="P88" t="s">
        <v>56</v>
      </c>
      <c r="Q88" s="2">
        <v>46346</v>
      </c>
      <c r="R88" t="s">
        <v>57</v>
      </c>
    </row>
    <row r="89" spans="1:18" x14ac:dyDescent="0.2">
      <c r="A89" t="s">
        <v>231</v>
      </c>
      <c r="B89" t="s">
        <v>232</v>
      </c>
      <c r="C89" t="s">
        <v>73</v>
      </c>
      <c r="D89" t="s">
        <v>74</v>
      </c>
      <c r="E89" t="s">
        <v>105</v>
      </c>
      <c r="F89" t="s">
        <v>67</v>
      </c>
      <c r="G89" t="s">
        <v>68</v>
      </c>
      <c r="H89" t="s">
        <v>98</v>
      </c>
      <c r="I89" t="s">
        <v>62</v>
      </c>
      <c r="J89" t="s">
        <v>48</v>
      </c>
      <c r="K89" s="2">
        <v>46057</v>
      </c>
      <c r="L89" s="2">
        <v>46422</v>
      </c>
      <c r="M89" t="s">
        <v>64</v>
      </c>
      <c r="N89" t="s">
        <v>49</v>
      </c>
      <c r="O89">
        <v>3</v>
      </c>
      <c r="P89" t="s">
        <v>70</v>
      </c>
      <c r="Q89" s="2">
        <v>46152</v>
      </c>
      <c r="R89" t="s">
        <v>38</v>
      </c>
    </row>
    <row r="90" spans="1:18" x14ac:dyDescent="0.2">
      <c r="A90" t="s">
        <v>233</v>
      </c>
      <c r="B90" t="s">
        <v>234</v>
      </c>
      <c r="C90" t="s">
        <v>31</v>
      </c>
      <c r="D90" t="s">
        <v>32</v>
      </c>
      <c r="E90" t="s">
        <v>60</v>
      </c>
      <c r="F90" t="s">
        <v>45</v>
      </c>
      <c r="G90" t="s">
        <v>61</v>
      </c>
      <c r="H90" t="s">
        <v>88</v>
      </c>
      <c r="I90" t="s">
        <v>106</v>
      </c>
      <c r="J90" t="s">
        <v>63</v>
      </c>
      <c r="K90" s="2">
        <v>46080</v>
      </c>
      <c r="L90" s="2">
        <v>46445</v>
      </c>
      <c r="M90" t="s">
        <v>64</v>
      </c>
      <c r="N90" t="s">
        <v>75</v>
      </c>
      <c r="O90">
        <v>3</v>
      </c>
      <c r="P90" t="s">
        <v>54</v>
      </c>
      <c r="Q90" s="2">
        <v>46165</v>
      </c>
      <c r="R90" t="s">
        <v>38</v>
      </c>
    </row>
    <row r="91" spans="1:18" x14ac:dyDescent="0.2">
      <c r="A91" t="s">
        <v>235</v>
      </c>
      <c r="B91" t="s">
        <v>236</v>
      </c>
      <c r="C91" t="s">
        <v>78</v>
      </c>
      <c r="D91" t="s">
        <v>79</v>
      </c>
      <c r="E91" t="s">
        <v>44</v>
      </c>
      <c r="F91" t="s">
        <v>67</v>
      </c>
      <c r="G91" t="s">
        <v>118</v>
      </c>
      <c r="H91" t="s">
        <v>88</v>
      </c>
      <c r="I91" t="s">
        <v>111</v>
      </c>
      <c r="J91" t="s">
        <v>63</v>
      </c>
      <c r="K91" s="2">
        <v>46071</v>
      </c>
      <c r="L91" s="2">
        <v>46251</v>
      </c>
      <c r="M91" t="s">
        <v>38</v>
      </c>
      <c r="N91" t="s">
        <v>49</v>
      </c>
      <c r="O91">
        <v>0</v>
      </c>
      <c r="P91" t="s">
        <v>56</v>
      </c>
      <c r="Q91" s="2">
        <v>46275</v>
      </c>
      <c r="R91" t="s">
        <v>57</v>
      </c>
    </row>
    <row r="92" spans="1:18" x14ac:dyDescent="0.2">
      <c r="A92" t="s">
        <v>237</v>
      </c>
      <c r="B92" t="s">
        <v>238</v>
      </c>
      <c r="C92" t="s">
        <v>31</v>
      </c>
      <c r="D92" t="s">
        <v>87</v>
      </c>
      <c r="E92" t="s">
        <v>91</v>
      </c>
      <c r="F92" t="s">
        <v>67</v>
      </c>
      <c r="G92" t="s">
        <v>68</v>
      </c>
      <c r="H92" t="s">
        <v>98</v>
      </c>
      <c r="I92" t="s">
        <v>70</v>
      </c>
      <c r="J92" t="s">
        <v>63</v>
      </c>
      <c r="K92" s="2">
        <v>46229</v>
      </c>
      <c r="L92" s="2">
        <v>46319</v>
      </c>
      <c r="M92" t="s">
        <v>64</v>
      </c>
      <c r="N92" t="s">
        <v>55</v>
      </c>
      <c r="O92">
        <v>5</v>
      </c>
      <c r="P92" t="s">
        <v>106</v>
      </c>
      <c r="Q92" s="2">
        <v>46305</v>
      </c>
      <c r="R92" t="s">
        <v>84</v>
      </c>
    </row>
    <row r="93" spans="1:18" x14ac:dyDescent="0.2">
      <c r="A93" t="s">
        <v>239</v>
      </c>
      <c r="B93" t="s">
        <v>240</v>
      </c>
      <c r="C93" t="s">
        <v>103</v>
      </c>
      <c r="D93" t="s">
        <v>104</v>
      </c>
      <c r="E93" t="s">
        <v>80</v>
      </c>
      <c r="F93" t="s">
        <v>34</v>
      </c>
      <c r="G93" t="s">
        <v>35</v>
      </c>
      <c r="H93" t="s">
        <v>88</v>
      </c>
      <c r="I93" t="s">
        <v>62</v>
      </c>
      <c r="J93" t="s">
        <v>63</v>
      </c>
      <c r="K93" s="2">
        <v>45831</v>
      </c>
      <c r="L93" s="2">
        <v>46196</v>
      </c>
      <c r="M93" t="s">
        <v>38</v>
      </c>
      <c r="N93" t="s">
        <v>55</v>
      </c>
      <c r="O93">
        <v>2</v>
      </c>
      <c r="P93" t="s">
        <v>111</v>
      </c>
      <c r="Q93" s="2">
        <v>46274</v>
      </c>
      <c r="R93" t="s">
        <v>38</v>
      </c>
    </row>
    <row r="94" spans="1:18" x14ac:dyDescent="0.2">
      <c r="A94" t="s">
        <v>241</v>
      </c>
      <c r="B94" t="s">
        <v>242</v>
      </c>
      <c r="C94" t="s">
        <v>42</v>
      </c>
      <c r="D94" t="s">
        <v>43</v>
      </c>
      <c r="E94" t="s">
        <v>53</v>
      </c>
      <c r="F94" t="s">
        <v>45</v>
      </c>
      <c r="G94" t="s">
        <v>46</v>
      </c>
      <c r="H94" t="s">
        <v>36</v>
      </c>
      <c r="I94" t="s">
        <v>106</v>
      </c>
      <c r="J94" t="s">
        <v>48</v>
      </c>
      <c r="K94" s="2">
        <v>46217</v>
      </c>
      <c r="L94" s="2">
        <v>46397</v>
      </c>
      <c r="M94" t="s">
        <v>69</v>
      </c>
      <c r="N94" t="s">
        <v>49</v>
      </c>
      <c r="O94">
        <v>4</v>
      </c>
      <c r="P94" t="s">
        <v>56</v>
      </c>
      <c r="Q94" s="2">
        <v>46400</v>
      </c>
      <c r="R94" t="s">
        <v>64</v>
      </c>
    </row>
    <row r="95" spans="1:18" x14ac:dyDescent="0.2">
      <c r="A95" t="s">
        <v>243</v>
      </c>
      <c r="B95" t="s">
        <v>244</v>
      </c>
      <c r="C95" t="s">
        <v>31</v>
      </c>
      <c r="D95" t="s">
        <v>87</v>
      </c>
      <c r="E95" t="s">
        <v>53</v>
      </c>
      <c r="F95" t="s">
        <v>34</v>
      </c>
      <c r="G95" t="s">
        <v>35</v>
      </c>
      <c r="H95" t="s">
        <v>88</v>
      </c>
      <c r="I95" t="s">
        <v>50</v>
      </c>
      <c r="J95" t="s">
        <v>63</v>
      </c>
      <c r="K95" s="2">
        <v>45830</v>
      </c>
      <c r="L95" s="2">
        <v>45920</v>
      </c>
      <c r="M95" t="s">
        <v>38</v>
      </c>
      <c r="N95" t="s">
        <v>49</v>
      </c>
      <c r="O95">
        <v>3</v>
      </c>
      <c r="P95" t="s">
        <v>54</v>
      </c>
      <c r="Q95" s="2">
        <v>46150</v>
      </c>
      <c r="R95" t="s">
        <v>64</v>
      </c>
    </row>
    <row r="96" spans="1:18" x14ac:dyDescent="0.2">
      <c r="A96" t="s">
        <v>245</v>
      </c>
      <c r="B96" t="s">
        <v>246</v>
      </c>
      <c r="C96" t="s">
        <v>31</v>
      </c>
      <c r="D96" t="s">
        <v>83</v>
      </c>
      <c r="E96" t="s">
        <v>80</v>
      </c>
      <c r="F96" t="s">
        <v>67</v>
      </c>
      <c r="G96" t="s">
        <v>118</v>
      </c>
      <c r="H96" t="s">
        <v>88</v>
      </c>
      <c r="I96" t="s">
        <v>106</v>
      </c>
      <c r="J96" t="s">
        <v>63</v>
      </c>
      <c r="K96" s="2">
        <v>46116</v>
      </c>
      <c r="L96" s="2">
        <v>46481</v>
      </c>
      <c r="M96" t="s">
        <v>64</v>
      </c>
      <c r="N96" t="s">
        <v>49</v>
      </c>
      <c r="O96">
        <v>0</v>
      </c>
      <c r="P96" t="s">
        <v>39</v>
      </c>
      <c r="Q96" s="2">
        <v>46141</v>
      </c>
      <c r="R96" t="s">
        <v>57</v>
      </c>
    </row>
    <row r="97" spans="1:18" x14ac:dyDescent="0.2">
      <c r="A97" t="s">
        <v>247</v>
      </c>
      <c r="B97" t="s">
        <v>248</v>
      </c>
      <c r="C97" t="s">
        <v>78</v>
      </c>
      <c r="D97" t="s">
        <v>79</v>
      </c>
      <c r="E97" t="s">
        <v>53</v>
      </c>
      <c r="F97" t="s">
        <v>34</v>
      </c>
      <c r="G97" t="s">
        <v>35</v>
      </c>
      <c r="H97" t="s">
        <v>88</v>
      </c>
      <c r="I97" t="s">
        <v>62</v>
      </c>
      <c r="J97" t="s">
        <v>37</v>
      </c>
      <c r="K97" s="2">
        <v>46027</v>
      </c>
      <c r="L97" s="2">
        <v>46392</v>
      </c>
      <c r="M97" t="s">
        <v>64</v>
      </c>
      <c r="N97" t="s">
        <v>75</v>
      </c>
      <c r="O97">
        <v>1</v>
      </c>
      <c r="P97" t="s">
        <v>111</v>
      </c>
      <c r="Q97" s="2">
        <v>46377</v>
      </c>
      <c r="R97" t="s">
        <v>64</v>
      </c>
    </row>
    <row r="98" spans="1:18" x14ac:dyDescent="0.2">
      <c r="A98" t="s">
        <v>249</v>
      </c>
      <c r="B98" t="s">
        <v>250</v>
      </c>
      <c r="C98" t="s">
        <v>31</v>
      </c>
      <c r="D98" t="s">
        <v>32</v>
      </c>
      <c r="E98" t="s">
        <v>105</v>
      </c>
      <c r="F98" t="s">
        <v>34</v>
      </c>
      <c r="G98" t="s">
        <v>35</v>
      </c>
      <c r="H98" t="s">
        <v>47</v>
      </c>
      <c r="I98" t="s">
        <v>39</v>
      </c>
      <c r="J98" t="s">
        <v>37</v>
      </c>
      <c r="K98" s="2">
        <v>46272</v>
      </c>
      <c r="L98" s="2">
        <v>46362</v>
      </c>
      <c r="M98" t="s">
        <v>64</v>
      </c>
      <c r="N98" t="s">
        <v>55</v>
      </c>
      <c r="O98">
        <v>1</v>
      </c>
      <c r="P98" t="s">
        <v>62</v>
      </c>
      <c r="Q98" s="2">
        <v>46245</v>
      </c>
      <c r="R98" t="s">
        <v>64</v>
      </c>
    </row>
    <row r="99" spans="1:18" x14ac:dyDescent="0.2">
      <c r="A99" t="s">
        <v>251</v>
      </c>
      <c r="B99" t="s">
        <v>252</v>
      </c>
      <c r="C99" t="s">
        <v>96</v>
      </c>
      <c r="D99" t="s">
        <v>97</v>
      </c>
      <c r="E99" t="s">
        <v>80</v>
      </c>
      <c r="F99" t="s">
        <v>45</v>
      </c>
      <c r="G99" t="s">
        <v>46</v>
      </c>
      <c r="H99" t="s">
        <v>88</v>
      </c>
      <c r="J99" t="s">
        <v>37</v>
      </c>
      <c r="K99" s="2">
        <v>46158</v>
      </c>
      <c r="L99" s="2">
        <v>46523</v>
      </c>
      <c r="M99" t="s">
        <v>69</v>
      </c>
      <c r="N99" t="s">
        <v>55</v>
      </c>
      <c r="O99">
        <v>3</v>
      </c>
      <c r="P99" t="s">
        <v>62</v>
      </c>
      <c r="Q99" s="2">
        <v>46136</v>
      </c>
      <c r="R99" t="s">
        <v>38</v>
      </c>
    </row>
    <row r="100" spans="1:18" x14ac:dyDescent="0.2">
      <c r="A100" t="s">
        <v>253</v>
      </c>
      <c r="B100" t="s">
        <v>254</v>
      </c>
      <c r="C100" t="s">
        <v>73</v>
      </c>
      <c r="D100" t="s">
        <v>74</v>
      </c>
      <c r="E100" t="s">
        <v>91</v>
      </c>
      <c r="F100" t="s">
        <v>34</v>
      </c>
      <c r="G100" t="s">
        <v>35</v>
      </c>
      <c r="H100" t="s">
        <v>88</v>
      </c>
      <c r="I100" t="s">
        <v>56</v>
      </c>
      <c r="J100" t="s">
        <v>37</v>
      </c>
      <c r="K100" s="2">
        <v>46217</v>
      </c>
      <c r="L100" s="2">
        <v>46397</v>
      </c>
      <c r="M100" t="s">
        <v>64</v>
      </c>
      <c r="N100" t="s">
        <v>75</v>
      </c>
      <c r="O100">
        <v>1</v>
      </c>
      <c r="P100" t="s">
        <v>70</v>
      </c>
      <c r="Q100" s="2">
        <v>46350</v>
      </c>
      <c r="R100" t="s">
        <v>84</v>
      </c>
    </row>
    <row r="101" spans="1:18" x14ac:dyDescent="0.2">
      <c r="A101" t="s">
        <v>255</v>
      </c>
      <c r="B101" t="s">
        <v>256</v>
      </c>
      <c r="C101" t="s">
        <v>31</v>
      </c>
      <c r="D101" t="s">
        <v>83</v>
      </c>
      <c r="E101" t="s">
        <v>60</v>
      </c>
      <c r="F101" t="s">
        <v>45</v>
      </c>
      <c r="G101" t="s">
        <v>61</v>
      </c>
      <c r="H101" t="s">
        <v>88</v>
      </c>
      <c r="I101" t="s">
        <v>70</v>
      </c>
      <c r="J101" t="s">
        <v>63</v>
      </c>
      <c r="K101" s="2">
        <v>46073</v>
      </c>
      <c r="L101" s="2">
        <v>46253</v>
      </c>
      <c r="M101" t="s">
        <v>38</v>
      </c>
      <c r="N101" t="s">
        <v>49</v>
      </c>
      <c r="O101">
        <v>2</v>
      </c>
      <c r="P101" t="s">
        <v>70</v>
      </c>
      <c r="Q101" s="2">
        <v>46228</v>
      </c>
      <c r="R101" t="s">
        <v>64</v>
      </c>
    </row>
    <row r="102" spans="1:18" x14ac:dyDescent="0.2">
      <c r="A102" t="s">
        <v>257</v>
      </c>
      <c r="B102" t="s">
        <v>258</v>
      </c>
      <c r="C102" t="s">
        <v>31</v>
      </c>
      <c r="D102" t="s">
        <v>83</v>
      </c>
      <c r="E102" t="s">
        <v>53</v>
      </c>
      <c r="F102" t="s">
        <v>34</v>
      </c>
      <c r="G102" t="s">
        <v>35</v>
      </c>
      <c r="H102" t="s">
        <v>88</v>
      </c>
      <c r="I102" t="s">
        <v>50</v>
      </c>
      <c r="J102" t="s">
        <v>63</v>
      </c>
      <c r="K102" s="2">
        <v>46155</v>
      </c>
      <c r="L102" s="2">
        <v>46245</v>
      </c>
      <c r="M102" t="s">
        <v>38</v>
      </c>
      <c r="N102" t="s">
        <v>55</v>
      </c>
      <c r="O102">
        <v>2</v>
      </c>
      <c r="P102" t="s">
        <v>70</v>
      </c>
      <c r="Q102" s="2">
        <v>46216</v>
      </c>
      <c r="R102" t="s">
        <v>64</v>
      </c>
    </row>
    <row r="103" spans="1:18" x14ac:dyDescent="0.2">
      <c r="A103" t="s">
        <v>259</v>
      </c>
      <c r="B103" t="s">
        <v>260</v>
      </c>
      <c r="C103" t="s">
        <v>73</v>
      </c>
      <c r="D103" t="s">
        <v>74</v>
      </c>
      <c r="E103" t="s">
        <v>80</v>
      </c>
      <c r="F103" t="s">
        <v>45</v>
      </c>
      <c r="G103" t="s">
        <v>61</v>
      </c>
      <c r="H103" t="s">
        <v>36</v>
      </c>
      <c r="I103" t="s">
        <v>111</v>
      </c>
      <c r="J103" t="s">
        <v>37</v>
      </c>
      <c r="K103" s="2">
        <v>45927</v>
      </c>
      <c r="L103" s="2">
        <v>46292</v>
      </c>
      <c r="M103" t="s">
        <v>38</v>
      </c>
      <c r="N103" t="s">
        <v>49</v>
      </c>
      <c r="O103">
        <v>5</v>
      </c>
      <c r="P103" t="s">
        <v>70</v>
      </c>
      <c r="Q103" s="2">
        <v>46280</v>
      </c>
      <c r="R103" t="s">
        <v>38</v>
      </c>
    </row>
    <row r="104" spans="1:18" x14ac:dyDescent="0.2">
      <c r="A104" t="s">
        <v>261</v>
      </c>
      <c r="B104" t="s">
        <v>262</v>
      </c>
      <c r="C104" t="s">
        <v>96</v>
      </c>
      <c r="D104" t="s">
        <v>97</v>
      </c>
      <c r="E104" t="s">
        <v>91</v>
      </c>
      <c r="F104" t="s">
        <v>67</v>
      </c>
      <c r="G104" t="s">
        <v>118</v>
      </c>
      <c r="H104" t="s">
        <v>88</v>
      </c>
      <c r="I104" t="s">
        <v>56</v>
      </c>
      <c r="J104" t="s">
        <v>48</v>
      </c>
      <c r="K104" s="2">
        <v>45973</v>
      </c>
      <c r="L104" s="2">
        <v>46063</v>
      </c>
      <c r="M104" t="s">
        <v>38</v>
      </c>
      <c r="N104" t="s">
        <v>75</v>
      </c>
      <c r="O104">
        <v>0</v>
      </c>
      <c r="P104" t="s">
        <v>39</v>
      </c>
      <c r="Q104" s="2">
        <v>46273</v>
      </c>
      <c r="R104" t="s">
        <v>57</v>
      </c>
    </row>
    <row r="105" spans="1:18" x14ac:dyDescent="0.2">
      <c r="A105" t="s">
        <v>263</v>
      </c>
      <c r="B105" t="s">
        <v>264</v>
      </c>
      <c r="C105" t="s">
        <v>103</v>
      </c>
      <c r="D105" t="s">
        <v>104</v>
      </c>
      <c r="E105" t="s">
        <v>105</v>
      </c>
      <c r="F105" t="s">
        <v>67</v>
      </c>
      <c r="G105" t="s">
        <v>118</v>
      </c>
      <c r="H105" t="s">
        <v>88</v>
      </c>
      <c r="I105" t="s">
        <v>70</v>
      </c>
      <c r="J105" t="s">
        <v>63</v>
      </c>
      <c r="K105" s="2">
        <v>45961</v>
      </c>
      <c r="L105" s="2">
        <v>46326</v>
      </c>
      <c r="M105" t="s">
        <v>64</v>
      </c>
      <c r="N105" t="s">
        <v>75</v>
      </c>
      <c r="O105">
        <v>0</v>
      </c>
      <c r="P105" t="s">
        <v>111</v>
      </c>
      <c r="Q105" s="2">
        <v>46345</v>
      </c>
      <c r="R105" t="s">
        <v>57</v>
      </c>
    </row>
    <row r="106" spans="1:18" x14ac:dyDescent="0.2">
      <c r="A106" t="s">
        <v>265</v>
      </c>
      <c r="B106" t="s">
        <v>266</v>
      </c>
      <c r="C106" t="s">
        <v>96</v>
      </c>
      <c r="D106" t="s">
        <v>97</v>
      </c>
      <c r="E106" t="s">
        <v>105</v>
      </c>
      <c r="F106" t="s">
        <v>34</v>
      </c>
      <c r="G106" t="s">
        <v>35</v>
      </c>
      <c r="H106" t="s">
        <v>88</v>
      </c>
      <c r="I106" t="s">
        <v>106</v>
      </c>
      <c r="J106" t="s">
        <v>63</v>
      </c>
      <c r="K106" s="2">
        <v>45910</v>
      </c>
      <c r="L106" s="2">
        <v>46000</v>
      </c>
      <c r="M106" t="s">
        <v>38</v>
      </c>
      <c r="N106" t="s">
        <v>49</v>
      </c>
      <c r="O106">
        <v>1</v>
      </c>
      <c r="P106" t="s">
        <v>50</v>
      </c>
      <c r="Q106" s="2">
        <v>46135</v>
      </c>
      <c r="R106" t="s">
        <v>64</v>
      </c>
    </row>
    <row r="107" spans="1:18" x14ac:dyDescent="0.2">
      <c r="A107" t="s">
        <v>267</v>
      </c>
      <c r="B107" t="s">
        <v>268</v>
      </c>
      <c r="C107" t="s">
        <v>78</v>
      </c>
      <c r="D107" t="s">
        <v>79</v>
      </c>
      <c r="E107" t="s">
        <v>53</v>
      </c>
      <c r="F107" t="s">
        <v>67</v>
      </c>
      <c r="G107" t="s">
        <v>118</v>
      </c>
      <c r="H107" t="s">
        <v>88</v>
      </c>
      <c r="I107" t="s">
        <v>106</v>
      </c>
      <c r="J107" t="s">
        <v>37</v>
      </c>
      <c r="K107" s="2">
        <v>45928</v>
      </c>
      <c r="L107" s="2">
        <v>46293</v>
      </c>
      <c r="M107" t="s">
        <v>38</v>
      </c>
      <c r="N107" t="s">
        <v>55</v>
      </c>
      <c r="O107">
        <v>2</v>
      </c>
      <c r="P107" t="s">
        <v>50</v>
      </c>
      <c r="Q107" s="2">
        <v>46148</v>
      </c>
      <c r="R107" t="s">
        <v>64</v>
      </c>
    </row>
    <row r="108" spans="1:18" x14ac:dyDescent="0.2">
      <c r="A108" t="s">
        <v>269</v>
      </c>
      <c r="B108" t="s">
        <v>270</v>
      </c>
      <c r="C108" t="s">
        <v>78</v>
      </c>
      <c r="D108" t="s">
        <v>79</v>
      </c>
      <c r="E108" t="s">
        <v>60</v>
      </c>
      <c r="F108" t="s">
        <v>67</v>
      </c>
      <c r="G108" t="s">
        <v>68</v>
      </c>
      <c r="H108" t="s">
        <v>88</v>
      </c>
      <c r="I108" t="s">
        <v>106</v>
      </c>
      <c r="J108" t="s">
        <v>37</v>
      </c>
      <c r="K108" s="2">
        <v>46117</v>
      </c>
      <c r="L108" s="2">
        <v>46482</v>
      </c>
      <c r="M108" t="s">
        <v>69</v>
      </c>
      <c r="N108" t="s">
        <v>55</v>
      </c>
      <c r="O108">
        <v>0</v>
      </c>
      <c r="P108" t="s">
        <v>50</v>
      </c>
      <c r="Q108" s="2">
        <v>46273</v>
      </c>
      <c r="R108" t="s">
        <v>57</v>
      </c>
    </row>
    <row r="109" spans="1:18" x14ac:dyDescent="0.2">
      <c r="A109" t="s">
        <v>271</v>
      </c>
      <c r="B109" t="s">
        <v>272</v>
      </c>
      <c r="C109" t="s">
        <v>31</v>
      </c>
      <c r="D109" t="s">
        <v>83</v>
      </c>
      <c r="E109" t="s">
        <v>91</v>
      </c>
      <c r="F109" t="s">
        <v>34</v>
      </c>
      <c r="G109" t="s">
        <v>35</v>
      </c>
      <c r="H109" t="s">
        <v>88</v>
      </c>
      <c r="I109" t="s">
        <v>106</v>
      </c>
      <c r="J109" t="s">
        <v>48</v>
      </c>
      <c r="K109" s="2">
        <v>46266</v>
      </c>
      <c r="L109" s="2">
        <v>46446</v>
      </c>
      <c r="M109" t="s">
        <v>64</v>
      </c>
      <c r="N109" t="s">
        <v>55</v>
      </c>
      <c r="O109">
        <v>2</v>
      </c>
      <c r="P109" t="s">
        <v>56</v>
      </c>
      <c r="Q109" s="2">
        <v>46363</v>
      </c>
      <c r="R109" t="s">
        <v>64</v>
      </c>
    </row>
    <row r="110" spans="1:18" x14ac:dyDescent="0.2">
      <c r="A110" t="s">
        <v>273</v>
      </c>
      <c r="B110" t="s">
        <v>274</v>
      </c>
      <c r="C110" t="s">
        <v>31</v>
      </c>
      <c r="D110" t="s">
        <v>83</v>
      </c>
      <c r="E110" t="s">
        <v>91</v>
      </c>
      <c r="F110" t="s">
        <v>45</v>
      </c>
      <c r="G110" t="s">
        <v>46</v>
      </c>
      <c r="H110" t="s">
        <v>88</v>
      </c>
      <c r="I110" t="s">
        <v>50</v>
      </c>
      <c r="J110" t="s">
        <v>37</v>
      </c>
      <c r="K110" s="2">
        <v>45970</v>
      </c>
      <c r="L110" s="2">
        <v>46150</v>
      </c>
      <c r="M110" t="s">
        <v>38</v>
      </c>
      <c r="N110" t="s">
        <v>55</v>
      </c>
      <c r="O110">
        <v>1</v>
      </c>
      <c r="P110" t="s">
        <v>39</v>
      </c>
      <c r="Q110" s="2">
        <v>46207</v>
      </c>
      <c r="R110" t="s">
        <v>38</v>
      </c>
    </row>
    <row r="111" spans="1:18" x14ac:dyDescent="0.2">
      <c r="A111" t="s">
        <v>275</v>
      </c>
      <c r="B111" t="s">
        <v>276</v>
      </c>
      <c r="C111" t="s">
        <v>42</v>
      </c>
      <c r="D111" t="s">
        <v>43</v>
      </c>
      <c r="E111" t="s">
        <v>91</v>
      </c>
      <c r="F111" t="s">
        <v>67</v>
      </c>
      <c r="G111" t="s">
        <v>118</v>
      </c>
      <c r="H111" t="s">
        <v>36</v>
      </c>
      <c r="I111" t="s">
        <v>111</v>
      </c>
      <c r="J111" t="s">
        <v>37</v>
      </c>
      <c r="K111" s="2">
        <v>45963</v>
      </c>
      <c r="L111" s="2">
        <v>46143</v>
      </c>
      <c r="M111" t="s">
        <v>38</v>
      </c>
      <c r="N111" t="s">
        <v>49</v>
      </c>
      <c r="O111">
        <v>3</v>
      </c>
      <c r="P111" t="s">
        <v>54</v>
      </c>
      <c r="Q111" s="2">
        <v>46234</v>
      </c>
      <c r="R111" t="s">
        <v>38</v>
      </c>
    </row>
    <row r="112" spans="1:18" x14ac:dyDescent="0.2">
      <c r="A112" t="s">
        <v>277</v>
      </c>
      <c r="B112" t="s">
        <v>278</v>
      </c>
      <c r="C112" t="s">
        <v>31</v>
      </c>
      <c r="D112" t="s">
        <v>87</v>
      </c>
      <c r="E112" t="s">
        <v>80</v>
      </c>
      <c r="F112" t="s">
        <v>67</v>
      </c>
      <c r="G112" t="s">
        <v>118</v>
      </c>
      <c r="H112" t="s">
        <v>36</v>
      </c>
      <c r="I112" t="s">
        <v>62</v>
      </c>
      <c r="J112" t="s">
        <v>37</v>
      </c>
      <c r="K112" s="2">
        <v>46018</v>
      </c>
      <c r="L112" s="2">
        <v>46383</v>
      </c>
      <c r="M112" t="s">
        <v>64</v>
      </c>
      <c r="N112" t="s">
        <v>55</v>
      </c>
      <c r="O112">
        <v>1</v>
      </c>
      <c r="P112" t="s">
        <v>106</v>
      </c>
      <c r="Q112" s="2">
        <v>46185</v>
      </c>
      <c r="R112" t="s">
        <v>38</v>
      </c>
    </row>
    <row r="113" spans="1:18" x14ac:dyDescent="0.2">
      <c r="A113" t="s">
        <v>279</v>
      </c>
      <c r="B113" t="s">
        <v>280</v>
      </c>
      <c r="C113" t="s">
        <v>31</v>
      </c>
      <c r="D113" t="s">
        <v>83</v>
      </c>
      <c r="E113" t="s">
        <v>91</v>
      </c>
      <c r="F113" t="s">
        <v>34</v>
      </c>
      <c r="G113" t="s">
        <v>35</v>
      </c>
      <c r="H113" t="s">
        <v>36</v>
      </c>
      <c r="I113" t="s">
        <v>70</v>
      </c>
      <c r="J113" t="s">
        <v>37</v>
      </c>
      <c r="K113" s="2">
        <v>46130</v>
      </c>
      <c r="L113" s="2">
        <v>46220</v>
      </c>
      <c r="M113" t="s">
        <v>38</v>
      </c>
      <c r="N113" t="s">
        <v>55</v>
      </c>
      <c r="O113">
        <v>2</v>
      </c>
      <c r="P113" t="s">
        <v>70</v>
      </c>
      <c r="Q113" s="2">
        <v>46345</v>
      </c>
      <c r="R113" t="s">
        <v>84</v>
      </c>
    </row>
    <row r="114" spans="1:18" x14ac:dyDescent="0.2">
      <c r="A114" t="s">
        <v>281</v>
      </c>
      <c r="B114" t="s">
        <v>282</v>
      </c>
      <c r="C114" t="s">
        <v>31</v>
      </c>
      <c r="D114" t="s">
        <v>87</v>
      </c>
      <c r="E114" t="s">
        <v>53</v>
      </c>
      <c r="F114" t="s">
        <v>45</v>
      </c>
      <c r="G114" t="s">
        <v>61</v>
      </c>
      <c r="H114" t="s">
        <v>98</v>
      </c>
      <c r="I114" t="s">
        <v>62</v>
      </c>
      <c r="J114" t="s">
        <v>48</v>
      </c>
      <c r="K114" s="2">
        <v>46248</v>
      </c>
      <c r="L114" s="2">
        <v>46428</v>
      </c>
      <c r="M114" t="s">
        <v>64</v>
      </c>
      <c r="N114" t="s">
        <v>55</v>
      </c>
      <c r="O114">
        <v>3</v>
      </c>
      <c r="P114" t="s">
        <v>106</v>
      </c>
      <c r="Q114" s="2">
        <v>46156</v>
      </c>
      <c r="R114" t="s">
        <v>38</v>
      </c>
    </row>
    <row r="115" spans="1:18" x14ac:dyDescent="0.2">
      <c r="A115" t="s">
        <v>283</v>
      </c>
      <c r="B115" t="s">
        <v>284</v>
      </c>
      <c r="C115" t="s">
        <v>31</v>
      </c>
      <c r="D115" t="s">
        <v>32</v>
      </c>
      <c r="E115" t="s">
        <v>105</v>
      </c>
      <c r="F115" t="s">
        <v>45</v>
      </c>
      <c r="G115" t="s">
        <v>46</v>
      </c>
      <c r="H115" t="s">
        <v>47</v>
      </c>
      <c r="I115" t="s">
        <v>111</v>
      </c>
      <c r="J115" t="s">
        <v>37</v>
      </c>
      <c r="K115" s="2">
        <v>45919</v>
      </c>
      <c r="L115" s="2">
        <v>46009</v>
      </c>
      <c r="M115" t="s">
        <v>38</v>
      </c>
      <c r="N115" t="s">
        <v>49</v>
      </c>
      <c r="O115">
        <v>3</v>
      </c>
      <c r="P115" t="s">
        <v>54</v>
      </c>
      <c r="Q115" s="2">
        <v>46344</v>
      </c>
      <c r="R115" t="s">
        <v>84</v>
      </c>
    </row>
    <row r="116" spans="1:18" x14ac:dyDescent="0.2">
      <c r="A116" t="s">
        <v>285</v>
      </c>
      <c r="B116" t="s">
        <v>286</v>
      </c>
      <c r="C116" t="s">
        <v>96</v>
      </c>
      <c r="D116" t="s">
        <v>97</v>
      </c>
      <c r="E116" t="s">
        <v>105</v>
      </c>
      <c r="F116" t="s">
        <v>45</v>
      </c>
      <c r="G116" t="s">
        <v>61</v>
      </c>
      <c r="H116" t="s">
        <v>36</v>
      </c>
      <c r="I116" t="s">
        <v>54</v>
      </c>
      <c r="J116" t="s">
        <v>48</v>
      </c>
      <c r="K116" s="2">
        <v>46121</v>
      </c>
      <c r="L116" s="2">
        <v>46211</v>
      </c>
      <c r="M116" t="s">
        <v>38</v>
      </c>
      <c r="N116" t="s">
        <v>55</v>
      </c>
      <c r="O116">
        <v>1</v>
      </c>
      <c r="P116" t="s">
        <v>111</v>
      </c>
      <c r="Q116" s="2">
        <v>46329</v>
      </c>
      <c r="R116" t="s">
        <v>84</v>
      </c>
    </row>
    <row r="117" spans="1:18" x14ac:dyDescent="0.2">
      <c r="A117" t="s">
        <v>287</v>
      </c>
      <c r="B117" t="s">
        <v>288</v>
      </c>
      <c r="C117" t="s">
        <v>103</v>
      </c>
      <c r="D117" t="s">
        <v>104</v>
      </c>
      <c r="E117" t="s">
        <v>91</v>
      </c>
      <c r="F117" t="s">
        <v>34</v>
      </c>
      <c r="G117" t="s">
        <v>35</v>
      </c>
      <c r="H117" t="s">
        <v>88</v>
      </c>
      <c r="I117" t="s">
        <v>54</v>
      </c>
      <c r="J117" t="s">
        <v>37</v>
      </c>
      <c r="K117" s="2">
        <v>45908</v>
      </c>
      <c r="L117" s="2">
        <v>45998</v>
      </c>
      <c r="M117" t="s">
        <v>38</v>
      </c>
      <c r="N117" t="s">
        <v>75</v>
      </c>
      <c r="O117">
        <v>3</v>
      </c>
      <c r="P117" t="s">
        <v>50</v>
      </c>
      <c r="Q117" s="2">
        <v>46115</v>
      </c>
      <c r="R117" t="s">
        <v>38</v>
      </c>
    </row>
    <row r="118" spans="1:18" x14ac:dyDescent="0.2">
      <c r="A118" t="s">
        <v>289</v>
      </c>
      <c r="B118" t="s">
        <v>290</v>
      </c>
      <c r="C118" t="s">
        <v>96</v>
      </c>
      <c r="D118" t="s">
        <v>97</v>
      </c>
      <c r="E118" t="s">
        <v>60</v>
      </c>
      <c r="F118" t="s">
        <v>34</v>
      </c>
      <c r="G118" t="s">
        <v>35</v>
      </c>
      <c r="H118" t="s">
        <v>98</v>
      </c>
      <c r="I118" t="s">
        <v>70</v>
      </c>
      <c r="J118" t="s">
        <v>63</v>
      </c>
      <c r="K118" s="2">
        <v>46006</v>
      </c>
      <c r="L118" s="2">
        <v>46371</v>
      </c>
      <c r="M118" t="s">
        <v>64</v>
      </c>
      <c r="N118" t="s">
        <v>49</v>
      </c>
      <c r="O118">
        <v>4</v>
      </c>
      <c r="P118" t="s">
        <v>62</v>
      </c>
      <c r="Q118" s="2">
        <v>46125</v>
      </c>
      <c r="R118" t="s">
        <v>38</v>
      </c>
    </row>
    <row r="119" spans="1:18" x14ac:dyDescent="0.2">
      <c r="A119" t="s">
        <v>291</v>
      </c>
      <c r="B119" t="s">
        <v>292</v>
      </c>
      <c r="C119" t="s">
        <v>73</v>
      </c>
      <c r="D119" t="s">
        <v>74</v>
      </c>
      <c r="E119" t="s">
        <v>91</v>
      </c>
      <c r="F119" t="s">
        <v>67</v>
      </c>
      <c r="G119" t="s">
        <v>118</v>
      </c>
      <c r="H119" t="s">
        <v>47</v>
      </c>
      <c r="I119" t="s">
        <v>70</v>
      </c>
      <c r="J119" t="s">
        <v>48</v>
      </c>
      <c r="K119" s="2">
        <v>46099</v>
      </c>
      <c r="L119" s="2">
        <v>46189</v>
      </c>
      <c r="M119" t="s">
        <v>38</v>
      </c>
      <c r="N119" t="s">
        <v>49</v>
      </c>
      <c r="O119">
        <v>0</v>
      </c>
      <c r="P119" t="s">
        <v>106</v>
      </c>
      <c r="Q119" s="2">
        <v>46412</v>
      </c>
      <c r="R119" t="s">
        <v>57</v>
      </c>
    </row>
    <row r="120" spans="1:18" x14ac:dyDescent="0.2">
      <c r="A120" t="s">
        <v>293</v>
      </c>
      <c r="B120" t="s">
        <v>294</v>
      </c>
      <c r="C120" t="s">
        <v>96</v>
      </c>
      <c r="D120" t="s">
        <v>97</v>
      </c>
      <c r="E120" t="s">
        <v>91</v>
      </c>
      <c r="F120" t="s">
        <v>34</v>
      </c>
      <c r="G120" t="s">
        <v>35</v>
      </c>
      <c r="H120" t="s">
        <v>47</v>
      </c>
      <c r="I120" t="s">
        <v>111</v>
      </c>
      <c r="J120" t="s">
        <v>37</v>
      </c>
      <c r="K120" s="2">
        <v>45919</v>
      </c>
      <c r="L120" s="2">
        <v>46099</v>
      </c>
      <c r="M120" t="s">
        <v>38</v>
      </c>
      <c r="N120" t="s">
        <v>49</v>
      </c>
      <c r="O120">
        <v>1</v>
      </c>
      <c r="P120" t="s">
        <v>54</v>
      </c>
      <c r="Q120" s="2">
        <v>46184</v>
      </c>
      <c r="R120" t="s">
        <v>64</v>
      </c>
    </row>
    <row r="121" spans="1:18" x14ac:dyDescent="0.2">
      <c r="A121" t="s">
        <v>295</v>
      </c>
      <c r="B121" t="s">
        <v>296</v>
      </c>
      <c r="C121" t="s">
        <v>103</v>
      </c>
      <c r="D121" t="s">
        <v>104</v>
      </c>
      <c r="E121" t="s">
        <v>105</v>
      </c>
      <c r="F121" t="s">
        <v>45</v>
      </c>
      <c r="G121" t="s">
        <v>46</v>
      </c>
      <c r="H121" t="s">
        <v>88</v>
      </c>
      <c r="I121" t="s">
        <v>56</v>
      </c>
      <c r="J121" t="s">
        <v>37</v>
      </c>
      <c r="K121" s="2">
        <v>46012</v>
      </c>
      <c r="L121" s="2">
        <v>46192</v>
      </c>
      <c r="M121" t="s">
        <v>38</v>
      </c>
      <c r="N121" t="s">
        <v>49</v>
      </c>
      <c r="O121">
        <v>3</v>
      </c>
      <c r="P121" t="s">
        <v>39</v>
      </c>
      <c r="Q121" s="2">
        <v>46244</v>
      </c>
      <c r="R121" t="s">
        <v>64</v>
      </c>
    </row>
    <row r="122" spans="1:18" x14ac:dyDescent="0.2">
      <c r="A122" t="s">
        <v>297</v>
      </c>
      <c r="B122" t="s">
        <v>298</v>
      </c>
      <c r="C122" t="s">
        <v>31</v>
      </c>
      <c r="D122" t="s">
        <v>83</v>
      </c>
      <c r="E122" t="s">
        <v>53</v>
      </c>
      <c r="F122" t="s">
        <v>34</v>
      </c>
      <c r="G122" t="s">
        <v>35</v>
      </c>
      <c r="H122" t="s">
        <v>47</v>
      </c>
      <c r="I122" t="s">
        <v>106</v>
      </c>
      <c r="J122" t="s">
        <v>63</v>
      </c>
      <c r="K122" s="2">
        <v>46052</v>
      </c>
      <c r="L122" s="2">
        <v>46232</v>
      </c>
      <c r="M122" t="s">
        <v>38</v>
      </c>
      <c r="N122" t="s">
        <v>49</v>
      </c>
      <c r="O122">
        <v>3</v>
      </c>
      <c r="P122" t="s">
        <v>111</v>
      </c>
      <c r="Q122" s="2">
        <v>46312</v>
      </c>
      <c r="R122" t="s">
        <v>64</v>
      </c>
    </row>
    <row r="123" spans="1:18" x14ac:dyDescent="0.2">
      <c r="A123" t="s">
        <v>299</v>
      </c>
      <c r="B123" t="s">
        <v>300</v>
      </c>
      <c r="C123" t="s">
        <v>73</v>
      </c>
      <c r="D123" t="s">
        <v>74</v>
      </c>
      <c r="E123" t="s">
        <v>105</v>
      </c>
      <c r="F123" t="s">
        <v>67</v>
      </c>
      <c r="G123" t="s">
        <v>118</v>
      </c>
      <c r="H123" t="s">
        <v>36</v>
      </c>
      <c r="I123" t="s">
        <v>70</v>
      </c>
      <c r="J123" t="s">
        <v>37</v>
      </c>
      <c r="K123" s="2">
        <v>46055</v>
      </c>
      <c r="L123" s="2">
        <v>46420</v>
      </c>
      <c r="M123" t="s">
        <v>84</v>
      </c>
      <c r="N123" t="s">
        <v>49</v>
      </c>
      <c r="O123">
        <v>2</v>
      </c>
      <c r="P123" t="s">
        <v>56</v>
      </c>
      <c r="Q123" s="2">
        <v>46279</v>
      </c>
      <c r="R123" t="s">
        <v>64</v>
      </c>
    </row>
    <row r="124" spans="1:18" x14ac:dyDescent="0.2">
      <c r="A124" t="s">
        <v>301</v>
      </c>
      <c r="B124" t="s">
        <v>302</v>
      </c>
      <c r="C124" t="s">
        <v>31</v>
      </c>
      <c r="D124" t="s">
        <v>87</v>
      </c>
      <c r="E124" t="s">
        <v>44</v>
      </c>
      <c r="F124" t="s">
        <v>67</v>
      </c>
      <c r="G124" t="s">
        <v>118</v>
      </c>
      <c r="H124" t="s">
        <v>88</v>
      </c>
      <c r="I124" t="s">
        <v>106</v>
      </c>
      <c r="J124" t="s">
        <v>63</v>
      </c>
      <c r="K124" s="2">
        <v>46047</v>
      </c>
      <c r="L124" s="2">
        <v>46137</v>
      </c>
      <c r="M124" t="s">
        <v>38</v>
      </c>
      <c r="N124" t="s">
        <v>49</v>
      </c>
      <c r="O124">
        <v>2</v>
      </c>
      <c r="P124" t="s">
        <v>62</v>
      </c>
      <c r="Q124" s="2">
        <v>46337</v>
      </c>
      <c r="R124" t="s">
        <v>64</v>
      </c>
    </row>
    <row r="125" spans="1:18" x14ac:dyDescent="0.2">
      <c r="A125" t="s">
        <v>303</v>
      </c>
      <c r="B125" t="s">
        <v>304</v>
      </c>
      <c r="C125" t="s">
        <v>31</v>
      </c>
      <c r="D125" t="s">
        <v>87</v>
      </c>
      <c r="E125" t="s">
        <v>105</v>
      </c>
      <c r="F125" t="s">
        <v>67</v>
      </c>
      <c r="G125" t="s">
        <v>68</v>
      </c>
      <c r="H125" t="s">
        <v>47</v>
      </c>
      <c r="I125" t="s">
        <v>111</v>
      </c>
      <c r="J125" t="s">
        <v>48</v>
      </c>
      <c r="K125" s="2">
        <v>46258</v>
      </c>
      <c r="L125" s="2">
        <v>46348</v>
      </c>
      <c r="M125" t="s">
        <v>64</v>
      </c>
      <c r="N125" t="s">
        <v>49</v>
      </c>
      <c r="O125">
        <v>2</v>
      </c>
      <c r="P125" t="s">
        <v>111</v>
      </c>
      <c r="Q125" s="2">
        <v>46300</v>
      </c>
      <c r="R125" t="s">
        <v>84</v>
      </c>
    </row>
    <row r="126" spans="1:18" x14ac:dyDescent="0.2">
      <c r="A126" t="s">
        <v>305</v>
      </c>
      <c r="B126" t="s">
        <v>306</v>
      </c>
      <c r="C126" t="s">
        <v>31</v>
      </c>
      <c r="D126" t="s">
        <v>32</v>
      </c>
      <c r="E126" t="s">
        <v>80</v>
      </c>
      <c r="F126" t="s">
        <v>67</v>
      </c>
      <c r="G126" t="s">
        <v>118</v>
      </c>
      <c r="H126" t="s">
        <v>36</v>
      </c>
      <c r="I126" t="s">
        <v>50</v>
      </c>
      <c r="J126" t="s">
        <v>63</v>
      </c>
      <c r="K126" s="2">
        <v>46004</v>
      </c>
      <c r="L126" s="2">
        <v>46184</v>
      </c>
      <c r="M126" t="s">
        <v>38</v>
      </c>
      <c r="N126" t="s">
        <v>75</v>
      </c>
      <c r="O126">
        <v>2</v>
      </c>
      <c r="P126" t="s">
        <v>50</v>
      </c>
      <c r="Q126" s="2">
        <v>46257</v>
      </c>
      <c r="R126" t="s">
        <v>64</v>
      </c>
    </row>
    <row r="127" spans="1:18" x14ac:dyDescent="0.2">
      <c r="A127" t="s">
        <v>307</v>
      </c>
      <c r="B127" t="s">
        <v>308</v>
      </c>
      <c r="C127" t="s">
        <v>31</v>
      </c>
      <c r="D127" t="s">
        <v>83</v>
      </c>
      <c r="E127" t="s">
        <v>60</v>
      </c>
      <c r="F127" t="s">
        <v>67</v>
      </c>
      <c r="G127" t="s">
        <v>118</v>
      </c>
      <c r="H127" t="s">
        <v>47</v>
      </c>
      <c r="I127" t="s">
        <v>56</v>
      </c>
      <c r="J127" t="s">
        <v>48</v>
      </c>
      <c r="K127" s="2">
        <v>45915</v>
      </c>
      <c r="L127" s="2">
        <v>46095</v>
      </c>
      <c r="M127" t="s">
        <v>38</v>
      </c>
      <c r="N127" t="s">
        <v>55</v>
      </c>
      <c r="O127">
        <v>2</v>
      </c>
      <c r="P127" t="s">
        <v>111</v>
      </c>
      <c r="Q127" s="2">
        <v>46366</v>
      </c>
      <c r="R127" t="s">
        <v>64</v>
      </c>
    </row>
    <row r="128" spans="1:18" x14ac:dyDescent="0.2">
      <c r="A128" t="s">
        <v>309</v>
      </c>
      <c r="B128" t="s">
        <v>310</v>
      </c>
      <c r="C128" t="s">
        <v>42</v>
      </c>
      <c r="D128" t="s">
        <v>43</v>
      </c>
      <c r="E128" t="s">
        <v>105</v>
      </c>
      <c r="F128" t="s">
        <v>45</v>
      </c>
      <c r="G128" t="s">
        <v>61</v>
      </c>
      <c r="H128" t="s">
        <v>36</v>
      </c>
      <c r="I128" t="s">
        <v>106</v>
      </c>
      <c r="J128" t="s">
        <v>48</v>
      </c>
      <c r="K128" s="2">
        <v>45934</v>
      </c>
      <c r="L128" s="2">
        <v>46114</v>
      </c>
      <c r="M128" t="s">
        <v>38</v>
      </c>
      <c r="N128" t="s">
        <v>49</v>
      </c>
      <c r="O128">
        <v>0</v>
      </c>
      <c r="P128" t="s">
        <v>50</v>
      </c>
      <c r="Q128" s="2">
        <v>46396</v>
      </c>
      <c r="R128" t="s">
        <v>57</v>
      </c>
    </row>
    <row r="129" spans="1:18" x14ac:dyDescent="0.2">
      <c r="A129" t="s">
        <v>311</v>
      </c>
      <c r="B129" t="s">
        <v>312</v>
      </c>
      <c r="C129" t="s">
        <v>31</v>
      </c>
      <c r="D129" t="s">
        <v>83</v>
      </c>
      <c r="E129" t="s">
        <v>105</v>
      </c>
      <c r="F129" t="s">
        <v>67</v>
      </c>
      <c r="G129" t="s">
        <v>68</v>
      </c>
      <c r="H129" t="s">
        <v>98</v>
      </c>
      <c r="I129" t="s">
        <v>50</v>
      </c>
      <c r="J129" t="s">
        <v>48</v>
      </c>
      <c r="K129" s="2">
        <v>46154</v>
      </c>
      <c r="L129" s="2">
        <v>46334</v>
      </c>
      <c r="M129" t="s">
        <v>64</v>
      </c>
      <c r="N129" t="s">
        <v>49</v>
      </c>
      <c r="O129">
        <v>4</v>
      </c>
      <c r="P129" t="s">
        <v>70</v>
      </c>
      <c r="Q129" s="2">
        <v>46303</v>
      </c>
      <c r="R129" t="s">
        <v>84</v>
      </c>
    </row>
    <row r="130" spans="1:18" x14ac:dyDescent="0.2">
      <c r="A130" t="s">
        <v>313</v>
      </c>
      <c r="B130" t="s">
        <v>314</v>
      </c>
      <c r="C130" t="s">
        <v>73</v>
      </c>
      <c r="D130" t="s">
        <v>74</v>
      </c>
      <c r="E130" t="s">
        <v>91</v>
      </c>
      <c r="F130" t="s">
        <v>67</v>
      </c>
      <c r="G130" t="s">
        <v>118</v>
      </c>
      <c r="H130" t="s">
        <v>36</v>
      </c>
      <c r="I130" t="s">
        <v>62</v>
      </c>
      <c r="J130" t="s">
        <v>48</v>
      </c>
      <c r="K130" s="2">
        <v>45882</v>
      </c>
      <c r="L130" s="2">
        <v>46062</v>
      </c>
      <c r="M130" t="s">
        <v>38</v>
      </c>
      <c r="N130" t="s">
        <v>49</v>
      </c>
      <c r="O130">
        <v>0</v>
      </c>
      <c r="P130" t="s">
        <v>111</v>
      </c>
      <c r="Q130" s="2">
        <v>46179</v>
      </c>
      <c r="R130" t="s">
        <v>57</v>
      </c>
    </row>
    <row r="131" spans="1:18" x14ac:dyDescent="0.2">
      <c r="A131" t="s">
        <v>315</v>
      </c>
      <c r="B131" t="s">
        <v>316</v>
      </c>
      <c r="C131" t="s">
        <v>31</v>
      </c>
      <c r="D131" t="s">
        <v>83</v>
      </c>
      <c r="E131" t="s">
        <v>44</v>
      </c>
      <c r="F131" t="s">
        <v>67</v>
      </c>
      <c r="G131" t="s">
        <v>118</v>
      </c>
      <c r="H131" t="s">
        <v>36</v>
      </c>
      <c r="I131" t="s">
        <v>50</v>
      </c>
      <c r="J131" t="s">
        <v>48</v>
      </c>
      <c r="K131" s="2">
        <v>45882</v>
      </c>
      <c r="L131" s="2">
        <v>45972</v>
      </c>
      <c r="M131" t="s">
        <v>38</v>
      </c>
      <c r="N131" t="s">
        <v>75</v>
      </c>
      <c r="O131">
        <v>4</v>
      </c>
      <c r="P131" t="s">
        <v>50</v>
      </c>
      <c r="Q131" s="2">
        <v>46143</v>
      </c>
      <c r="R131" t="s">
        <v>38</v>
      </c>
    </row>
    <row r="132" spans="1:18" x14ac:dyDescent="0.2">
      <c r="A132" t="s">
        <v>317</v>
      </c>
      <c r="B132" t="s">
        <v>318</v>
      </c>
      <c r="C132" t="s">
        <v>42</v>
      </c>
      <c r="D132" t="s">
        <v>43</v>
      </c>
      <c r="E132" t="s">
        <v>53</v>
      </c>
      <c r="F132" t="s">
        <v>67</v>
      </c>
      <c r="G132" t="s">
        <v>68</v>
      </c>
      <c r="H132" t="s">
        <v>98</v>
      </c>
      <c r="I132" t="s">
        <v>56</v>
      </c>
      <c r="J132" t="s">
        <v>63</v>
      </c>
      <c r="K132" s="2">
        <v>45842</v>
      </c>
      <c r="L132" s="2">
        <v>45932</v>
      </c>
      <c r="M132" t="s">
        <v>38</v>
      </c>
      <c r="N132" t="s">
        <v>75</v>
      </c>
      <c r="O132">
        <v>1</v>
      </c>
      <c r="P132" t="s">
        <v>70</v>
      </c>
      <c r="Q132" s="2">
        <v>46397</v>
      </c>
      <c r="R132" t="s">
        <v>64</v>
      </c>
    </row>
    <row r="133" spans="1:18" x14ac:dyDescent="0.2">
      <c r="A133" t="s">
        <v>319</v>
      </c>
      <c r="B133" t="s">
        <v>320</v>
      </c>
      <c r="C133" t="s">
        <v>31</v>
      </c>
      <c r="D133" t="s">
        <v>32</v>
      </c>
      <c r="E133" t="s">
        <v>60</v>
      </c>
      <c r="F133" t="s">
        <v>34</v>
      </c>
      <c r="G133" t="s">
        <v>35</v>
      </c>
      <c r="H133" t="s">
        <v>98</v>
      </c>
      <c r="I133" t="s">
        <v>50</v>
      </c>
      <c r="J133" t="s">
        <v>63</v>
      </c>
      <c r="K133" s="2">
        <v>46188</v>
      </c>
      <c r="L133" s="2">
        <v>46553</v>
      </c>
      <c r="M133" t="s">
        <v>69</v>
      </c>
      <c r="N133" t="s">
        <v>49</v>
      </c>
      <c r="O133">
        <v>0</v>
      </c>
      <c r="P133" t="s">
        <v>56</v>
      </c>
      <c r="Q133" s="2">
        <v>46129</v>
      </c>
      <c r="R133" t="s">
        <v>57</v>
      </c>
    </row>
    <row r="134" spans="1:18" x14ac:dyDescent="0.2">
      <c r="A134" t="s">
        <v>321</v>
      </c>
      <c r="B134" t="s">
        <v>322</v>
      </c>
      <c r="C134" t="s">
        <v>78</v>
      </c>
      <c r="D134" t="s">
        <v>79</v>
      </c>
      <c r="E134" t="s">
        <v>60</v>
      </c>
      <c r="F134" t="s">
        <v>34</v>
      </c>
      <c r="G134" t="s">
        <v>35</v>
      </c>
      <c r="H134" t="s">
        <v>88</v>
      </c>
      <c r="I134" t="s">
        <v>39</v>
      </c>
      <c r="J134" t="s">
        <v>37</v>
      </c>
      <c r="K134" s="2">
        <v>46021</v>
      </c>
      <c r="L134" s="2">
        <v>46386</v>
      </c>
      <c r="M134" t="s">
        <v>64</v>
      </c>
      <c r="N134" t="s">
        <v>49</v>
      </c>
      <c r="O134">
        <v>2</v>
      </c>
      <c r="P134" t="s">
        <v>70</v>
      </c>
      <c r="Q134" s="2">
        <v>46362</v>
      </c>
      <c r="R134" t="s">
        <v>64</v>
      </c>
    </row>
    <row r="135" spans="1:18" x14ac:dyDescent="0.2">
      <c r="A135" t="s">
        <v>323</v>
      </c>
      <c r="B135" t="s">
        <v>324</v>
      </c>
      <c r="C135" t="s">
        <v>73</v>
      </c>
      <c r="D135" t="s">
        <v>74</v>
      </c>
      <c r="E135" t="s">
        <v>44</v>
      </c>
      <c r="F135" t="s">
        <v>34</v>
      </c>
      <c r="G135" t="s">
        <v>35</v>
      </c>
      <c r="H135" t="s">
        <v>88</v>
      </c>
      <c r="I135" t="s">
        <v>111</v>
      </c>
      <c r="J135" t="s">
        <v>37</v>
      </c>
      <c r="K135" s="2">
        <v>46038</v>
      </c>
      <c r="L135" s="2">
        <v>46128</v>
      </c>
      <c r="M135" t="s">
        <v>38</v>
      </c>
      <c r="N135" t="s">
        <v>75</v>
      </c>
      <c r="O135">
        <v>1</v>
      </c>
      <c r="P135" t="s">
        <v>62</v>
      </c>
      <c r="Q135" s="2">
        <v>46275</v>
      </c>
      <c r="R135" t="s">
        <v>38</v>
      </c>
    </row>
    <row r="136" spans="1:18" x14ac:dyDescent="0.2">
      <c r="A136" t="s">
        <v>325</v>
      </c>
      <c r="B136" t="s">
        <v>326</v>
      </c>
      <c r="C136" t="s">
        <v>42</v>
      </c>
      <c r="D136" t="s">
        <v>43</v>
      </c>
      <c r="E136" t="s">
        <v>60</v>
      </c>
      <c r="F136" t="s">
        <v>45</v>
      </c>
      <c r="G136" t="s">
        <v>61</v>
      </c>
      <c r="H136" t="s">
        <v>88</v>
      </c>
      <c r="I136" t="s">
        <v>106</v>
      </c>
      <c r="J136" t="s">
        <v>63</v>
      </c>
      <c r="K136" s="2">
        <v>46152</v>
      </c>
      <c r="L136" s="2">
        <v>46332</v>
      </c>
      <c r="M136" t="s">
        <v>64</v>
      </c>
      <c r="N136" t="s">
        <v>75</v>
      </c>
      <c r="O136">
        <v>1</v>
      </c>
      <c r="P136" t="s">
        <v>62</v>
      </c>
      <c r="Q136" s="2">
        <v>46187</v>
      </c>
      <c r="R136" t="s">
        <v>64</v>
      </c>
    </row>
    <row r="137" spans="1:18" x14ac:dyDescent="0.2">
      <c r="A137" t="s">
        <v>327</v>
      </c>
      <c r="B137" t="s">
        <v>328</v>
      </c>
      <c r="C137" t="s">
        <v>42</v>
      </c>
      <c r="D137" t="s">
        <v>43</v>
      </c>
      <c r="E137" t="s">
        <v>53</v>
      </c>
      <c r="F137" t="s">
        <v>45</v>
      </c>
      <c r="G137" t="s">
        <v>46</v>
      </c>
      <c r="H137" t="s">
        <v>98</v>
      </c>
      <c r="I137" t="s">
        <v>106</v>
      </c>
      <c r="J137" t="s">
        <v>48</v>
      </c>
      <c r="K137" s="2">
        <v>46178</v>
      </c>
      <c r="L137" s="2">
        <v>46268</v>
      </c>
      <c r="M137" t="s">
        <v>38</v>
      </c>
      <c r="N137" t="s">
        <v>75</v>
      </c>
      <c r="O137">
        <v>4</v>
      </c>
      <c r="P137" t="s">
        <v>70</v>
      </c>
      <c r="Q137" s="2">
        <v>46354</v>
      </c>
      <c r="R137" t="s">
        <v>84</v>
      </c>
    </row>
    <row r="138" spans="1:18" x14ac:dyDescent="0.2">
      <c r="A138" t="s">
        <v>329</v>
      </c>
      <c r="B138" t="s">
        <v>330</v>
      </c>
      <c r="C138" t="s">
        <v>31</v>
      </c>
      <c r="D138" t="s">
        <v>32</v>
      </c>
      <c r="E138" t="s">
        <v>44</v>
      </c>
      <c r="F138" t="s">
        <v>67</v>
      </c>
      <c r="G138" t="s">
        <v>118</v>
      </c>
      <c r="H138" t="s">
        <v>47</v>
      </c>
      <c r="I138" t="s">
        <v>106</v>
      </c>
      <c r="J138" t="s">
        <v>48</v>
      </c>
      <c r="K138" s="2">
        <v>46251</v>
      </c>
      <c r="L138" s="2">
        <v>46341</v>
      </c>
      <c r="M138" t="s">
        <v>64</v>
      </c>
      <c r="N138" t="s">
        <v>49</v>
      </c>
      <c r="O138">
        <v>3</v>
      </c>
      <c r="P138" t="s">
        <v>56</v>
      </c>
      <c r="Q138" s="2">
        <v>46261</v>
      </c>
      <c r="R138" t="s">
        <v>38</v>
      </c>
    </row>
    <row r="139" spans="1:18" x14ac:dyDescent="0.2">
      <c r="A139" t="s">
        <v>331</v>
      </c>
      <c r="B139" t="s">
        <v>332</v>
      </c>
      <c r="C139" t="s">
        <v>96</v>
      </c>
      <c r="D139" t="s">
        <v>97</v>
      </c>
      <c r="E139" t="s">
        <v>80</v>
      </c>
      <c r="F139" t="s">
        <v>34</v>
      </c>
      <c r="G139" t="s">
        <v>35</v>
      </c>
      <c r="H139" t="s">
        <v>88</v>
      </c>
      <c r="I139" t="s">
        <v>62</v>
      </c>
      <c r="J139" t="s">
        <v>63</v>
      </c>
      <c r="K139" s="2">
        <v>46249</v>
      </c>
      <c r="L139" s="2">
        <v>46614</v>
      </c>
      <c r="M139" t="s">
        <v>69</v>
      </c>
      <c r="N139" t="s">
        <v>49</v>
      </c>
      <c r="O139">
        <v>2</v>
      </c>
      <c r="P139" t="s">
        <v>56</v>
      </c>
      <c r="Q139" s="2">
        <v>46152</v>
      </c>
      <c r="R139" t="s">
        <v>38</v>
      </c>
    </row>
    <row r="140" spans="1:18" x14ac:dyDescent="0.2">
      <c r="A140" t="s">
        <v>333</v>
      </c>
      <c r="B140" t="s">
        <v>334</v>
      </c>
      <c r="C140" t="s">
        <v>78</v>
      </c>
      <c r="D140" t="s">
        <v>79</v>
      </c>
      <c r="E140" t="s">
        <v>44</v>
      </c>
      <c r="F140" t="s">
        <v>34</v>
      </c>
      <c r="G140" t="s">
        <v>35</v>
      </c>
      <c r="H140" t="s">
        <v>98</v>
      </c>
      <c r="I140" t="s">
        <v>62</v>
      </c>
      <c r="J140" t="s">
        <v>48</v>
      </c>
      <c r="K140" s="2">
        <v>46084</v>
      </c>
      <c r="L140" s="2">
        <v>46264</v>
      </c>
      <c r="M140" t="s">
        <v>38</v>
      </c>
      <c r="N140" t="s">
        <v>49</v>
      </c>
      <c r="O140">
        <v>2</v>
      </c>
      <c r="P140" t="s">
        <v>39</v>
      </c>
      <c r="Q140" s="2">
        <v>46188</v>
      </c>
      <c r="R140" t="s">
        <v>64</v>
      </c>
    </row>
    <row r="141" spans="1:18" x14ac:dyDescent="0.2">
      <c r="A141" t="s">
        <v>335</v>
      </c>
      <c r="B141" t="s">
        <v>336</v>
      </c>
      <c r="C141" t="s">
        <v>73</v>
      </c>
      <c r="D141" t="s">
        <v>74</v>
      </c>
      <c r="E141" t="s">
        <v>91</v>
      </c>
      <c r="F141" t="s">
        <v>45</v>
      </c>
      <c r="G141" t="s">
        <v>46</v>
      </c>
      <c r="H141" t="s">
        <v>88</v>
      </c>
      <c r="I141" t="s">
        <v>111</v>
      </c>
      <c r="J141" t="s">
        <v>37</v>
      </c>
      <c r="K141" s="2">
        <v>46010</v>
      </c>
      <c r="L141" s="2">
        <v>46190</v>
      </c>
      <c r="M141" t="s">
        <v>38</v>
      </c>
      <c r="N141" t="s">
        <v>55</v>
      </c>
      <c r="O141">
        <v>1</v>
      </c>
      <c r="P141" t="s">
        <v>56</v>
      </c>
      <c r="Q141" s="2">
        <v>46282</v>
      </c>
      <c r="R141" t="s">
        <v>38</v>
      </c>
    </row>
    <row r="142" spans="1:18" x14ac:dyDescent="0.2">
      <c r="A142" t="s">
        <v>337</v>
      </c>
      <c r="B142" t="s">
        <v>338</v>
      </c>
      <c r="C142" t="s">
        <v>31</v>
      </c>
      <c r="D142" t="s">
        <v>32</v>
      </c>
      <c r="E142" t="s">
        <v>60</v>
      </c>
      <c r="F142" t="s">
        <v>34</v>
      </c>
      <c r="G142" t="s">
        <v>35</v>
      </c>
      <c r="H142" t="s">
        <v>36</v>
      </c>
      <c r="I142" t="s">
        <v>111</v>
      </c>
      <c r="J142" t="s">
        <v>63</v>
      </c>
      <c r="K142" s="2">
        <v>45913</v>
      </c>
      <c r="L142" s="2">
        <v>46278</v>
      </c>
      <c r="M142" t="s">
        <v>38</v>
      </c>
      <c r="N142" t="s">
        <v>75</v>
      </c>
      <c r="O142">
        <v>3</v>
      </c>
      <c r="P142" t="s">
        <v>56</v>
      </c>
      <c r="Q142" s="2">
        <v>46123</v>
      </c>
      <c r="R142" t="s">
        <v>38</v>
      </c>
    </row>
    <row r="143" spans="1:18" x14ac:dyDescent="0.2">
      <c r="A143" t="s">
        <v>339</v>
      </c>
      <c r="B143" t="s">
        <v>340</v>
      </c>
      <c r="C143" t="s">
        <v>78</v>
      </c>
      <c r="D143" t="s">
        <v>79</v>
      </c>
      <c r="E143" t="s">
        <v>60</v>
      </c>
      <c r="F143" t="s">
        <v>34</v>
      </c>
      <c r="G143" t="s">
        <v>35</v>
      </c>
      <c r="H143" t="s">
        <v>88</v>
      </c>
      <c r="I143" t="s">
        <v>54</v>
      </c>
      <c r="J143" t="s">
        <v>63</v>
      </c>
      <c r="K143" s="2">
        <v>45906</v>
      </c>
      <c r="L143" s="2">
        <v>45996</v>
      </c>
      <c r="M143" t="s">
        <v>38</v>
      </c>
      <c r="N143" t="s">
        <v>49</v>
      </c>
      <c r="O143">
        <v>3</v>
      </c>
      <c r="P143" t="s">
        <v>54</v>
      </c>
      <c r="Q143" s="2">
        <v>46202</v>
      </c>
      <c r="R143" t="s">
        <v>38</v>
      </c>
    </row>
    <row r="144" spans="1:18" x14ac:dyDescent="0.2">
      <c r="A144" t="s">
        <v>341</v>
      </c>
      <c r="B144" t="s">
        <v>342</v>
      </c>
      <c r="C144" t="s">
        <v>96</v>
      </c>
      <c r="D144" t="s">
        <v>97</v>
      </c>
      <c r="E144" t="s">
        <v>44</v>
      </c>
      <c r="F144" t="s">
        <v>45</v>
      </c>
      <c r="G144" t="s">
        <v>46</v>
      </c>
      <c r="H144" t="s">
        <v>47</v>
      </c>
      <c r="I144" t="s">
        <v>106</v>
      </c>
      <c r="J144" t="s">
        <v>63</v>
      </c>
      <c r="K144" s="2">
        <v>46061</v>
      </c>
      <c r="L144" s="2">
        <v>46151</v>
      </c>
      <c r="M144" t="s">
        <v>38</v>
      </c>
      <c r="N144" t="s">
        <v>75</v>
      </c>
      <c r="O144">
        <v>1</v>
      </c>
      <c r="P144" t="s">
        <v>39</v>
      </c>
      <c r="Q144" s="2">
        <v>46325</v>
      </c>
      <c r="R144" t="s">
        <v>84</v>
      </c>
    </row>
    <row r="145" spans="1:18" x14ac:dyDescent="0.2">
      <c r="A145" t="s">
        <v>343</v>
      </c>
      <c r="B145" t="s">
        <v>344</v>
      </c>
      <c r="C145" t="s">
        <v>96</v>
      </c>
      <c r="D145" t="s">
        <v>97</v>
      </c>
      <c r="E145" t="s">
        <v>60</v>
      </c>
      <c r="F145" t="s">
        <v>34</v>
      </c>
      <c r="G145" t="s">
        <v>35</v>
      </c>
      <c r="H145" t="s">
        <v>47</v>
      </c>
      <c r="I145" t="s">
        <v>106</v>
      </c>
      <c r="J145" t="s">
        <v>37</v>
      </c>
      <c r="K145" s="2">
        <v>45936</v>
      </c>
      <c r="L145" s="2">
        <v>46116</v>
      </c>
      <c r="M145" t="s">
        <v>38</v>
      </c>
      <c r="N145" t="s">
        <v>49</v>
      </c>
      <c r="O145">
        <v>3</v>
      </c>
      <c r="P145" t="s">
        <v>106</v>
      </c>
      <c r="Q145" s="2">
        <v>46275</v>
      </c>
      <c r="R145" t="s">
        <v>38</v>
      </c>
    </row>
    <row r="146" spans="1:18" x14ac:dyDescent="0.2">
      <c r="A146" t="s">
        <v>345</v>
      </c>
      <c r="B146" t="s">
        <v>346</v>
      </c>
      <c r="C146" t="s">
        <v>96</v>
      </c>
      <c r="D146" t="s">
        <v>97</v>
      </c>
      <c r="E146" t="s">
        <v>60</v>
      </c>
      <c r="F146" t="s">
        <v>34</v>
      </c>
      <c r="G146" t="s">
        <v>35</v>
      </c>
      <c r="H146" t="s">
        <v>88</v>
      </c>
      <c r="J146" t="s">
        <v>37</v>
      </c>
      <c r="K146" s="2">
        <v>46149</v>
      </c>
      <c r="L146" s="2">
        <v>46329</v>
      </c>
      <c r="M146" t="s">
        <v>84</v>
      </c>
      <c r="N146" t="s">
        <v>75</v>
      </c>
      <c r="O146">
        <v>2</v>
      </c>
      <c r="P146" t="s">
        <v>106</v>
      </c>
      <c r="Q146" s="2">
        <v>46221</v>
      </c>
      <c r="R146" t="s">
        <v>38</v>
      </c>
    </row>
    <row r="147" spans="1:18" x14ac:dyDescent="0.2">
      <c r="A147" t="s">
        <v>347</v>
      </c>
      <c r="B147" t="s">
        <v>348</v>
      </c>
      <c r="C147" t="s">
        <v>31</v>
      </c>
      <c r="D147" t="s">
        <v>32</v>
      </c>
      <c r="E147" t="s">
        <v>53</v>
      </c>
      <c r="F147" t="s">
        <v>34</v>
      </c>
      <c r="G147" t="s">
        <v>35</v>
      </c>
      <c r="H147" t="s">
        <v>47</v>
      </c>
      <c r="I147" t="s">
        <v>62</v>
      </c>
      <c r="J147" t="s">
        <v>37</v>
      </c>
      <c r="K147" s="2">
        <v>45817</v>
      </c>
      <c r="L147" s="2">
        <v>45997</v>
      </c>
      <c r="M147" t="s">
        <v>38</v>
      </c>
      <c r="N147" t="s">
        <v>75</v>
      </c>
      <c r="O147">
        <v>1</v>
      </c>
      <c r="P147" t="s">
        <v>56</v>
      </c>
      <c r="Q147" s="2">
        <v>46263</v>
      </c>
      <c r="R147" t="s">
        <v>64</v>
      </c>
    </row>
    <row r="148" spans="1:18" x14ac:dyDescent="0.2">
      <c r="A148" t="s">
        <v>349</v>
      </c>
      <c r="B148" t="s">
        <v>350</v>
      </c>
      <c r="C148" t="s">
        <v>103</v>
      </c>
      <c r="D148" t="s">
        <v>104</v>
      </c>
      <c r="E148" t="s">
        <v>44</v>
      </c>
      <c r="F148" t="s">
        <v>34</v>
      </c>
      <c r="G148" t="s">
        <v>35</v>
      </c>
      <c r="H148" t="s">
        <v>47</v>
      </c>
      <c r="I148" t="s">
        <v>56</v>
      </c>
      <c r="J148" t="s">
        <v>48</v>
      </c>
      <c r="K148" s="2">
        <v>45798</v>
      </c>
      <c r="L148" s="2">
        <v>46163</v>
      </c>
      <c r="M148" t="s">
        <v>38</v>
      </c>
      <c r="N148" t="s">
        <v>49</v>
      </c>
      <c r="O148">
        <v>2</v>
      </c>
      <c r="P148" t="s">
        <v>54</v>
      </c>
      <c r="Q148" s="2">
        <v>46185</v>
      </c>
      <c r="R148" t="s">
        <v>64</v>
      </c>
    </row>
    <row r="149" spans="1:18" x14ac:dyDescent="0.2">
      <c r="A149" t="s">
        <v>351</v>
      </c>
      <c r="B149" t="s">
        <v>352</v>
      </c>
      <c r="C149" t="s">
        <v>31</v>
      </c>
      <c r="D149" t="s">
        <v>83</v>
      </c>
      <c r="E149" t="s">
        <v>105</v>
      </c>
      <c r="F149" t="s">
        <v>34</v>
      </c>
      <c r="G149" t="s">
        <v>35</v>
      </c>
      <c r="H149" t="s">
        <v>47</v>
      </c>
      <c r="I149" t="s">
        <v>106</v>
      </c>
      <c r="J149" t="s">
        <v>63</v>
      </c>
      <c r="K149" s="2">
        <v>45908</v>
      </c>
      <c r="L149" s="2">
        <v>46088</v>
      </c>
      <c r="M149" t="s">
        <v>38</v>
      </c>
      <c r="N149" t="s">
        <v>55</v>
      </c>
      <c r="O149">
        <v>1</v>
      </c>
      <c r="P149" t="s">
        <v>111</v>
      </c>
      <c r="Q149" s="2">
        <v>46117</v>
      </c>
      <c r="R149" t="s">
        <v>38</v>
      </c>
    </row>
    <row r="150" spans="1:18" x14ac:dyDescent="0.2">
      <c r="A150" t="s">
        <v>353</v>
      </c>
      <c r="B150" t="s">
        <v>354</v>
      </c>
      <c r="C150" t="s">
        <v>31</v>
      </c>
      <c r="D150" t="s">
        <v>87</v>
      </c>
      <c r="E150" t="s">
        <v>53</v>
      </c>
      <c r="F150" t="s">
        <v>67</v>
      </c>
      <c r="G150" t="s">
        <v>68</v>
      </c>
      <c r="H150" t="s">
        <v>88</v>
      </c>
      <c r="I150" t="s">
        <v>39</v>
      </c>
      <c r="J150" t="s">
        <v>37</v>
      </c>
      <c r="K150" s="2">
        <v>45811</v>
      </c>
      <c r="L150" s="2">
        <v>45901</v>
      </c>
      <c r="M150" t="s">
        <v>38</v>
      </c>
      <c r="N150" t="s">
        <v>49</v>
      </c>
      <c r="O150">
        <v>1</v>
      </c>
      <c r="P150" t="s">
        <v>50</v>
      </c>
      <c r="Q150" s="2">
        <v>46388</v>
      </c>
      <c r="R150" t="s">
        <v>84</v>
      </c>
    </row>
    <row r="151" spans="1:18" x14ac:dyDescent="0.2">
      <c r="A151" t="s">
        <v>355</v>
      </c>
      <c r="B151" t="s">
        <v>356</v>
      </c>
      <c r="C151" t="s">
        <v>73</v>
      </c>
      <c r="D151" t="s">
        <v>74</v>
      </c>
      <c r="E151" t="s">
        <v>80</v>
      </c>
      <c r="F151" t="s">
        <v>45</v>
      </c>
      <c r="G151" t="s">
        <v>61</v>
      </c>
      <c r="H151" t="s">
        <v>47</v>
      </c>
      <c r="I151" t="s">
        <v>56</v>
      </c>
      <c r="J151" t="s">
        <v>37</v>
      </c>
      <c r="K151" s="2">
        <v>45827</v>
      </c>
      <c r="L151" s="2">
        <v>45917</v>
      </c>
      <c r="M151" t="s">
        <v>38</v>
      </c>
      <c r="N151" t="s">
        <v>55</v>
      </c>
      <c r="O151">
        <v>2</v>
      </c>
      <c r="P151" t="s">
        <v>111</v>
      </c>
      <c r="Q151" s="2">
        <v>46405</v>
      </c>
      <c r="R151" t="s">
        <v>84</v>
      </c>
    </row>
    <row r="152" spans="1:18" x14ac:dyDescent="0.2">
      <c r="A152" t="s">
        <v>358</v>
      </c>
      <c r="B152" t="s">
        <v>359</v>
      </c>
      <c r="C152" t="s">
        <v>31</v>
      </c>
      <c r="D152" t="s">
        <v>87</v>
      </c>
      <c r="E152" t="s">
        <v>53</v>
      </c>
      <c r="F152" t="s">
        <v>45</v>
      </c>
      <c r="G152" t="s">
        <v>61</v>
      </c>
      <c r="H152" t="s">
        <v>47</v>
      </c>
      <c r="I152" t="s">
        <v>70</v>
      </c>
      <c r="J152" t="s">
        <v>37</v>
      </c>
      <c r="K152" s="2">
        <v>46106</v>
      </c>
      <c r="L152" s="2">
        <v>46196</v>
      </c>
      <c r="M152" t="s">
        <v>38</v>
      </c>
      <c r="N152" t="s">
        <v>49</v>
      </c>
      <c r="O152">
        <v>3</v>
      </c>
      <c r="P152" t="s">
        <v>56</v>
      </c>
      <c r="Q152" s="2">
        <v>46246</v>
      </c>
      <c r="R152" t="s">
        <v>38</v>
      </c>
    </row>
    <row r="153" spans="1:18" x14ac:dyDescent="0.2">
      <c r="A153" t="s">
        <v>360</v>
      </c>
      <c r="B153" t="s">
        <v>361</v>
      </c>
      <c r="C153" t="s">
        <v>31</v>
      </c>
      <c r="D153" t="s">
        <v>32</v>
      </c>
      <c r="E153" t="s">
        <v>44</v>
      </c>
      <c r="F153" t="s">
        <v>34</v>
      </c>
      <c r="G153" t="s">
        <v>35</v>
      </c>
      <c r="H153" t="s">
        <v>88</v>
      </c>
      <c r="I153" t="s">
        <v>62</v>
      </c>
      <c r="J153" t="s">
        <v>48</v>
      </c>
      <c r="K153" s="2">
        <v>45852</v>
      </c>
      <c r="L153" s="2">
        <v>46032</v>
      </c>
      <c r="M153" t="s">
        <v>38</v>
      </c>
      <c r="N153" t="s">
        <v>49</v>
      </c>
      <c r="O153">
        <v>2</v>
      </c>
      <c r="P153" t="s">
        <v>111</v>
      </c>
      <c r="Q153" s="2">
        <v>46159</v>
      </c>
      <c r="R153" t="s">
        <v>38</v>
      </c>
    </row>
    <row r="154" spans="1:18" x14ac:dyDescent="0.2">
      <c r="A154" t="s">
        <v>362</v>
      </c>
      <c r="B154" t="s">
        <v>363</v>
      </c>
      <c r="C154" t="s">
        <v>31</v>
      </c>
      <c r="D154" t="s">
        <v>87</v>
      </c>
      <c r="E154" t="s">
        <v>105</v>
      </c>
      <c r="F154" t="s">
        <v>67</v>
      </c>
      <c r="G154" t="s">
        <v>68</v>
      </c>
      <c r="H154" t="s">
        <v>47</v>
      </c>
      <c r="I154" t="s">
        <v>54</v>
      </c>
      <c r="J154" t="s">
        <v>63</v>
      </c>
      <c r="K154" s="2">
        <v>46047</v>
      </c>
      <c r="L154" s="2">
        <v>46227</v>
      </c>
      <c r="M154" t="s">
        <v>38</v>
      </c>
      <c r="N154" t="s">
        <v>75</v>
      </c>
      <c r="O154">
        <v>2</v>
      </c>
      <c r="P154" t="s">
        <v>106</v>
      </c>
      <c r="Q154" s="2">
        <v>46413</v>
      </c>
      <c r="R154" t="s">
        <v>84</v>
      </c>
    </row>
    <row r="155" spans="1:18" x14ac:dyDescent="0.2">
      <c r="A155" t="s">
        <v>364</v>
      </c>
      <c r="B155" t="s">
        <v>365</v>
      </c>
      <c r="C155" t="s">
        <v>42</v>
      </c>
      <c r="D155" t="s">
        <v>43</v>
      </c>
      <c r="E155" t="s">
        <v>105</v>
      </c>
      <c r="F155" t="s">
        <v>34</v>
      </c>
      <c r="G155" t="s">
        <v>35</v>
      </c>
      <c r="H155" t="s">
        <v>88</v>
      </c>
      <c r="I155" t="s">
        <v>111</v>
      </c>
      <c r="J155" t="s">
        <v>63</v>
      </c>
      <c r="K155" s="2">
        <v>46118</v>
      </c>
      <c r="L155" s="2">
        <v>46208</v>
      </c>
      <c r="M155" t="s">
        <v>38</v>
      </c>
      <c r="N155" t="s">
        <v>75</v>
      </c>
      <c r="O155">
        <v>2</v>
      </c>
      <c r="P155" t="s">
        <v>54</v>
      </c>
      <c r="Q155" s="2">
        <v>46175</v>
      </c>
      <c r="R155" t="s">
        <v>38</v>
      </c>
    </row>
    <row r="156" spans="1:18" x14ac:dyDescent="0.2">
      <c r="A156" t="s">
        <v>366</v>
      </c>
      <c r="B156" t="s">
        <v>367</v>
      </c>
      <c r="C156" t="s">
        <v>31</v>
      </c>
      <c r="D156" t="s">
        <v>32</v>
      </c>
      <c r="E156" t="s">
        <v>80</v>
      </c>
      <c r="F156" t="s">
        <v>45</v>
      </c>
      <c r="G156" t="s">
        <v>46</v>
      </c>
      <c r="H156" t="s">
        <v>47</v>
      </c>
      <c r="I156" t="s">
        <v>106</v>
      </c>
      <c r="J156" t="s">
        <v>37</v>
      </c>
      <c r="K156" s="2">
        <v>46063</v>
      </c>
      <c r="L156" s="2">
        <v>46428</v>
      </c>
      <c r="M156" t="s">
        <v>64</v>
      </c>
      <c r="N156" t="s">
        <v>75</v>
      </c>
      <c r="O156">
        <v>1</v>
      </c>
      <c r="P156" t="s">
        <v>106</v>
      </c>
      <c r="Q156" s="2">
        <v>46241</v>
      </c>
      <c r="R156" t="s">
        <v>38</v>
      </c>
    </row>
    <row r="157" spans="1:18" x14ac:dyDescent="0.2">
      <c r="A157" t="s">
        <v>368</v>
      </c>
      <c r="B157" t="s">
        <v>369</v>
      </c>
      <c r="C157" t="s">
        <v>103</v>
      </c>
      <c r="D157" t="s">
        <v>104</v>
      </c>
      <c r="E157" t="s">
        <v>105</v>
      </c>
      <c r="F157" t="s">
        <v>45</v>
      </c>
      <c r="G157" t="s">
        <v>46</v>
      </c>
      <c r="H157" t="s">
        <v>36</v>
      </c>
      <c r="I157" t="s">
        <v>54</v>
      </c>
      <c r="J157" t="s">
        <v>63</v>
      </c>
      <c r="K157" s="2">
        <v>45982</v>
      </c>
      <c r="L157" s="2">
        <v>46347</v>
      </c>
      <c r="M157" t="s">
        <v>64</v>
      </c>
      <c r="N157" t="s">
        <v>75</v>
      </c>
      <c r="O157">
        <v>4</v>
      </c>
      <c r="P157" t="s">
        <v>111</v>
      </c>
      <c r="Q157" s="2">
        <v>46341</v>
      </c>
      <c r="R157" t="s">
        <v>64</v>
      </c>
    </row>
    <row r="158" spans="1:18" x14ac:dyDescent="0.2">
      <c r="A158" t="s">
        <v>370</v>
      </c>
      <c r="B158" t="s">
        <v>371</v>
      </c>
      <c r="C158" t="s">
        <v>31</v>
      </c>
      <c r="D158" t="s">
        <v>87</v>
      </c>
      <c r="E158" t="s">
        <v>105</v>
      </c>
      <c r="F158" t="s">
        <v>45</v>
      </c>
      <c r="G158" t="s">
        <v>61</v>
      </c>
      <c r="H158" t="s">
        <v>88</v>
      </c>
      <c r="I158" t="s">
        <v>62</v>
      </c>
      <c r="J158" t="s">
        <v>48</v>
      </c>
      <c r="K158" s="2">
        <v>46042</v>
      </c>
      <c r="L158" s="2">
        <v>46407</v>
      </c>
      <c r="M158" t="s">
        <v>64</v>
      </c>
      <c r="N158" t="s">
        <v>75</v>
      </c>
      <c r="O158">
        <v>2</v>
      </c>
      <c r="P158" t="s">
        <v>70</v>
      </c>
      <c r="Q158" s="2">
        <v>46126</v>
      </c>
      <c r="R158" t="s">
        <v>38</v>
      </c>
    </row>
    <row r="159" spans="1:18" x14ac:dyDescent="0.2">
      <c r="A159" t="s">
        <v>372</v>
      </c>
      <c r="B159" t="s">
        <v>373</v>
      </c>
      <c r="C159" t="s">
        <v>78</v>
      </c>
      <c r="D159" t="s">
        <v>79</v>
      </c>
      <c r="E159" t="s">
        <v>53</v>
      </c>
      <c r="F159" t="s">
        <v>45</v>
      </c>
      <c r="G159" t="s">
        <v>61</v>
      </c>
      <c r="H159" t="s">
        <v>36</v>
      </c>
      <c r="I159" t="s">
        <v>39</v>
      </c>
      <c r="J159" t="s">
        <v>48</v>
      </c>
      <c r="K159" s="2">
        <v>45797</v>
      </c>
      <c r="L159" s="2">
        <v>45887</v>
      </c>
      <c r="M159" t="s">
        <v>38</v>
      </c>
      <c r="N159" t="s">
        <v>75</v>
      </c>
      <c r="O159">
        <v>0</v>
      </c>
      <c r="P159" t="s">
        <v>62</v>
      </c>
      <c r="Q159" s="2">
        <v>46261</v>
      </c>
      <c r="R159" t="s">
        <v>57</v>
      </c>
    </row>
    <row r="160" spans="1:18" x14ac:dyDescent="0.2">
      <c r="A160" t="s">
        <v>374</v>
      </c>
      <c r="B160" t="s">
        <v>375</v>
      </c>
      <c r="C160" t="s">
        <v>73</v>
      </c>
      <c r="D160" t="s">
        <v>74</v>
      </c>
      <c r="E160" t="s">
        <v>80</v>
      </c>
      <c r="F160" t="s">
        <v>67</v>
      </c>
      <c r="G160" t="s">
        <v>118</v>
      </c>
      <c r="H160" t="s">
        <v>36</v>
      </c>
      <c r="I160" t="s">
        <v>62</v>
      </c>
      <c r="J160" t="s">
        <v>48</v>
      </c>
      <c r="K160" s="2">
        <v>46083</v>
      </c>
      <c r="L160" s="2">
        <v>46173</v>
      </c>
      <c r="M160" t="s">
        <v>38</v>
      </c>
      <c r="N160" t="s">
        <v>49</v>
      </c>
      <c r="O160">
        <v>5</v>
      </c>
      <c r="P160" t="s">
        <v>62</v>
      </c>
      <c r="Q160" s="2">
        <v>46391</v>
      </c>
      <c r="R160" t="s">
        <v>64</v>
      </c>
    </row>
    <row r="161" spans="1:18" x14ac:dyDescent="0.2">
      <c r="A161" t="s">
        <v>376</v>
      </c>
      <c r="B161" t="s">
        <v>377</v>
      </c>
      <c r="C161" t="s">
        <v>78</v>
      </c>
      <c r="D161" t="s">
        <v>79</v>
      </c>
      <c r="E161" t="s">
        <v>91</v>
      </c>
      <c r="F161" t="s">
        <v>34</v>
      </c>
      <c r="G161" t="s">
        <v>35</v>
      </c>
      <c r="H161" t="s">
        <v>98</v>
      </c>
      <c r="I161" t="s">
        <v>39</v>
      </c>
      <c r="J161" t="s">
        <v>48</v>
      </c>
      <c r="K161" s="2">
        <v>45888</v>
      </c>
      <c r="L161" s="2">
        <v>45978</v>
      </c>
      <c r="M161" t="s">
        <v>38</v>
      </c>
      <c r="N161" t="s">
        <v>75</v>
      </c>
      <c r="O161">
        <v>3</v>
      </c>
      <c r="P161" t="s">
        <v>54</v>
      </c>
      <c r="Q161" s="2">
        <v>46393</v>
      </c>
      <c r="R161" t="s">
        <v>84</v>
      </c>
    </row>
    <row r="162" spans="1:18" x14ac:dyDescent="0.2">
      <c r="A162" t="s">
        <v>378</v>
      </c>
      <c r="B162" t="s">
        <v>379</v>
      </c>
      <c r="C162" t="s">
        <v>31</v>
      </c>
      <c r="D162" t="s">
        <v>87</v>
      </c>
      <c r="E162" t="s">
        <v>44</v>
      </c>
      <c r="F162" t="s">
        <v>67</v>
      </c>
      <c r="G162" t="s">
        <v>118</v>
      </c>
      <c r="H162" t="s">
        <v>47</v>
      </c>
      <c r="I162" t="s">
        <v>70</v>
      </c>
      <c r="J162" t="s">
        <v>63</v>
      </c>
      <c r="K162" s="2">
        <v>46259</v>
      </c>
      <c r="L162" s="2">
        <v>46624</v>
      </c>
      <c r="M162" t="s">
        <v>64</v>
      </c>
      <c r="N162" t="s">
        <v>55</v>
      </c>
      <c r="O162">
        <v>1</v>
      </c>
      <c r="P162" t="s">
        <v>39</v>
      </c>
      <c r="Q162" s="2">
        <v>46220</v>
      </c>
      <c r="R162" t="s">
        <v>64</v>
      </c>
    </row>
    <row r="163" spans="1:18" x14ac:dyDescent="0.2">
      <c r="A163" t="s">
        <v>380</v>
      </c>
      <c r="B163" t="s">
        <v>381</v>
      </c>
      <c r="C163" t="s">
        <v>73</v>
      </c>
      <c r="D163" t="s">
        <v>74</v>
      </c>
      <c r="E163" t="s">
        <v>80</v>
      </c>
      <c r="F163" t="s">
        <v>45</v>
      </c>
      <c r="G163" t="s">
        <v>46</v>
      </c>
      <c r="H163" t="s">
        <v>88</v>
      </c>
      <c r="I163" t="s">
        <v>54</v>
      </c>
      <c r="J163" t="s">
        <v>63</v>
      </c>
      <c r="K163" s="2">
        <v>45889</v>
      </c>
      <c r="L163" s="2">
        <v>45979</v>
      </c>
      <c r="M163" t="s">
        <v>38</v>
      </c>
      <c r="N163" t="s">
        <v>55</v>
      </c>
      <c r="O163">
        <v>2</v>
      </c>
      <c r="P163" t="s">
        <v>106</v>
      </c>
      <c r="Q163" s="2">
        <v>46234</v>
      </c>
      <c r="R163" t="s">
        <v>38</v>
      </c>
    </row>
    <row r="164" spans="1:18" x14ac:dyDescent="0.2">
      <c r="A164" t="s">
        <v>382</v>
      </c>
      <c r="B164" t="s">
        <v>383</v>
      </c>
      <c r="C164" t="s">
        <v>31</v>
      </c>
      <c r="D164" t="s">
        <v>83</v>
      </c>
      <c r="E164" t="s">
        <v>44</v>
      </c>
      <c r="F164" t="s">
        <v>45</v>
      </c>
      <c r="G164" t="s">
        <v>61</v>
      </c>
      <c r="H164" t="s">
        <v>98</v>
      </c>
      <c r="I164" t="s">
        <v>54</v>
      </c>
      <c r="J164" t="s">
        <v>63</v>
      </c>
      <c r="K164" s="2">
        <v>46064</v>
      </c>
      <c r="L164" s="2">
        <v>46244</v>
      </c>
      <c r="M164" t="s">
        <v>38</v>
      </c>
      <c r="N164" t="s">
        <v>75</v>
      </c>
      <c r="O164">
        <v>0</v>
      </c>
      <c r="P164" t="s">
        <v>62</v>
      </c>
      <c r="Q164" s="2">
        <v>46400</v>
      </c>
      <c r="R164" t="s">
        <v>57</v>
      </c>
    </row>
    <row r="165" spans="1:18" x14ac:dyDescent="0.2">
      <c r="A165" t="s">
        <v>384</v>
      </c>
      <c r="B165" t="s">
        <v>385</v>
      </c>
      <c r="C165" t="s">
        <v>42</v>
      </c>
      <c r="D165" t="s">
        <v>43</v>
      </c>
      <c r="E165" t="s">
        <v>105</v>
      </c>
      <c r="F165" t="s">
        <v>34</v>
      </c>
      <c r="G165" t="s">
        <v>35</v>
      </c>
      <c r="H165" t="s">
        <v>98</v>
      </c>
      <c r="I165" t="s">
        <v>62</v>
      </c>
      <c r="J165" t="s">
        <v>48</v>
      </c>
      <c r="K165" s="2">
        <v>45873</v>
      </c>
      <c r="L165" s="2">
        <v>46238</v>
      </c>
      <c r="M165" t="s">
        <v>38</v>
      </c>
      <c r="N165" t="s">
        <v>75</v>
      </c>
      <c r="O165">
        <v>5</v>
      </c>
      <c r="P165" t="s">
        <v>111</v>
      </c>
      <c r="Q165" s="2">
        <v>46328</v>
      </c>
      <c r="R165" t="s">
        <v>84</v>
      </c>
    </row>
    <row r="166" spans="1:18" x14ac:dyDescent="0.2">
      <c r="A166" t="s">
        <v>386</v>
      </c>
      <c r="B166" t="s">
        <v>387</v>
      </c>
      <c r="C166" t="s">
        <v>31</v>
      </c>
      <c r="D166" t="s">
        <v>83</v>
      </c>
      <c r="E166" t="s">
        <v>53</v>
      </c>
      <c r="F166" t="s">
        <v>45</v>
      </c>
      <c r="G166" t="s">
        <v>46</v>
      </c>
      <c r="H166" t="s">
        <v>36</v>
      </c>
      <c r="I166" t="s">
        <v>50</v>
      </c>
      <c r="J166" t="s">
        <v>48</v>
      </c>
      <c r="K166" s="2">
        <v>45863</v>
      </c>
      <c r="L166" s="2">
        <v>46043</v>
      </c>
      <c r="M166" t="s">
        <v>38</v>
      </c>
      <c r="N166" t="s">
        <v>55</v>
      </c>
      <c r="O166">
        <v>4</v>
      </c>
      <c r="P166" t="s">
        <v>56</v>
      </c>
      <c r="Q166" s="2">
        <v>46326</v>
      </c>
      <c r="R166" t="s">
        <v>84</v>
      </c>
    </row>
    <row r="167" spans="1:18" x14ac:dyDescent="0.2">
      <c r="A167" t="s">
        <v>388</v>
      </c>
      <c r="B167" t="s">
        <v>389</v>
      </c>
      <c r="C167" t="s">
        <v>31</v>
      </c>
      <c r="D167" t="s">
        <v>87</v>
      </c>
      <c r="E167" t="s">
        <v>91</v>
      </c>
      <c r="F167" t="s">
        <v>45</v>
      </c>
      <c r="G167" t="s">
        <v>61</v>
      </c>
      <c r="H167" t="s">
        <v>47</v>
      </c>
      <c r="I167" t="s">
        <v>111</v>
      </c>
      <c r="J167" t="s">
        <v>48</v>
      </c>
      <c r="K167" s="2">
        <v>45842</v>
      </c>
      <c r="L167" s="2">
        <v>46022</v>
      </c>
      <c r="M167" t="s">
        <v>38</v>
      </c>
      <c r="N167" t="s">
        <v>55</v>
      </c>
      <c r="O167">
        <v>1</v>
      </c>
      <c r="P167" t="s">
        <v>54</v>
      </c>
      <c r="Q167" s="2">
        <v>46141</v>
      </c>
      <c r="R167" t="s">
        <v>64</v>
      </c>
    </row>
    <row r="168" spans="1:18" x14ac:dyDescent="0.2">
      <c r="A168" t="s">
        <v>390</v>
      </c>
      <c r="B168" t="s">
        <v>391</v>
      </c>
      <c r="C168" t="s">
        <v>96</v>
      </c>
      <c r="D168" t="s">
        <v>97</v>
      </c>
      <c r="E168" t="s">
        <v>80</v>
      </c>
      <c r="F168" t="s">
        <v>34</v>
      </c>
      <c r="G168" t="s">
        <v>35</v>
      </c>
      <c r="H168" t="s">
        <v>47</v>
      </c>
      <c r="I168" t="s">
        <v>106</v>
      </c>
      <c r="J168" t="s">
        <v>63</v>
      </c>
      <c r="K168" s="2">
        <v>46120</v>
      </c>
      <c r="L168" s="2">
        <v>46210</v>
      </c>
      <c r="M168" t="s">
        <v>38</v>
      </c>
      <c r="N168" t="s">
        <v>55</v>
      </c>
      <c r="O168">
        <v>1</v>
      </c>
      <c r="P168" t="s">
        <v>54</v>
      </c>
      <c r="Q168" s="2">
        <v>46175</v>
      </c>
      <c r="R168" t="s">
        <v>38</v>
      </c>
    </row>
    <row r="169" spans="1:18" x14ac:dyDescent="0.2">
      <c r="A169" t="s">
        <v>392</v>
      </c>
      <c r="B169" t="s">
        <v>393</v>
      </c>
      <c r="C169" t="s">
        <v>96</v>
      </c>
      <c r="D169" t="s">
        <v>97</v>
      </c>
      <c r="E169" t="s">
        <v>60</v>
      </c>
      <c r="F169" t="s">
        <v>67</v>
      </c>
      <c r="G169" t="s">
        <v>68</v>
      </c>
      <c r="H169" t="s">
        <v>88</v>
      </c>
      <c r="I169" t="s">
        <v>56</v>
      </c>
      <c r="J169" t="s">
        <v>48</v>
      </c>
      <c r="K169" s="2">
        <v>46081</v>
      </c>
      <c r="L169" s="2">
        <v>46261</v>
      </c>
      <c r="M169" t="s">
        <v>38</v>
      </c>
      <c r="N169" t="s">
        <v>49</v>
      </c>
      <c r="O169">
        <v>2</v>
      </c>
      <c r="P169" t="s">
        <v>111</v>
      </c>
      <c r="Q169" s="2">
        <v>46272</v>
      </c>
      <c r="R169" t="s">
        <v>64</v>
      </c>
    </row>
    <row r="170" spans="1:18" x14ac:dyDescent="0.2">
      <c r="A170" t="s">
        <v>394</v>
      </c>
      <c r="B170" t="s">
        <v>395</v>
      </c>
      <c r="C170" t="s">
        <v>78</v>
      </c>
      <c r="D170" t="s">
        <v>79</v>
      </c>
      <c r="E170" t="s">
        <v>53</v>
      </c>
      <c r="F170" t="s">
        <v>67</v>
      </c>
      <c r="G170" t="s">
        <v>68</v>
      </c>
      <c r="H170" t="s">
        <v>88</v>
      </c>
      <c r="I170" t="s">
        <v>39</v>
      </c>
      <c r="J170" t="s">
        <v>48</v>
      </c>
      <c r="K170" s="2">
        <v>45987</v>
      </c>
      <c r="L170" s="2">
        <v>46077</v>
      </c>
      <c r="M170" t="s">
        <v>38</v>
      </c>
      <c r="N170" t="s">
        <v>49</v>
      </c>
      <c r="O170">
        <v>1</v>
      </c>
      <c r="P170" t="s">
        <v>54</v>
      </c>
      <c r="Q170" s="2">
        <v>46123</v>
      </c>
      <c r="R170" t="s">
        <v>64</v>
      </c>
    </row>
    <row r="171" spans="1:18" x14ac:dyDescent="0.2">
      <c r="A171" t="s">
        <v>396</v>
      </c>
      <c r="B171" t="s">
        <v>397</v>
      </c>
      <c r="C171" t="s">
        <v>96</v>
      </c>
      <c r="D171" t="s">
        <v>97</v>
      </c>
      <c r="E171" t="s">
        <v>80</v>
      </c>
      <c r="F171" t="s">
        <v>67</v>
      </c>
      <c r="G171" t="s">
        <v>68</v>
      </c>
      <c r="H171" t="s">
        <v>88</v>
      </c>
      <c r="I171" t="s">
        <v>54</v>
      </c>
      <c r="J171" t="s">
        <v>48</v>
      </c>
      <c r="K171" s="2">
        <v>46020</v>
      </c>
      <c r="L171" s="2">
        <v>46385</v>
      </c>
      <c r="M171" t="s">
        <v>69</v>
      </c>
      <c r="O171">
        <v>2</v>
      </c>
      <c r="P171" t="s">
        <v>106</v>
      </c>
      <c r="Q171" s="2">
        <v>46365</v>
      </c>
      <c r="R171" t="s">
        <v>84</v>
      </c>
    </row>
    <row r="172" spans="1:18" x14ac:dyDescent="0.2">
      <c r="A172" t="s">
        <v>398</v>
      </c>
      <c r="B172" t="s">
        <v>399</v>
      </c>
      <c r="C172" t="s">
        <v>31</v>
      </c>
      <c r="D172" t="s">
        <v>87</v>
      </c>
      <c r="E172" t="s">
        <v>91</v>
      </c>
      <c r="F172" t="s">
        <v>45</v>
      </c>
      <c r="G172" t="s">
        <v>46</v>
      </c>
      <c r="H172" t="s">
        <v>88</v>
      </c>
      <c r="I172" t="s">
        <v>50</v>
      </c>
      <c r="J172" t="s">
        <v>48</v>
      </c>
      <c r="K172" s="2">
        <v>45806</v>
      </c>
      <c r="L172" s="2">
        <v>46171</v>
      </c>
      <c r="M172" t="s">
        <v>38</v>
      </c>
      <c r="N172" t="s">
        <v>49</v>
      </c>
      <c r="O172">
        <v>0</v>
      </c>
      <c r="P172" t="s">
        <v>39</v>
      </c>
      <c r="Q172" s="2">
        <v>46383</v>
      </c>
      <c r="R172" t="s">
        <v>57</v>
      </c>
    </row>
    <row r="173" spans="1:18" x14ac:dyDescent="0.2">
      <c r="A173" t="s">
        <v>400</v>
      </c>
      <c r="B173" t="s">
        <v>401</v>
      </c>
      <c r="C173" t="s">
        <v>96</v>
      </c>
      <c r="D173" t="s">
        <v>97</v>
      </c>
      <c r="E173" t="s">
        <v>44</v>
      </c>
      <c r="F173" t="s">
        <v>45</v>
      </c>
      <c r="G173" t="s">
        <v>61</v>
      </c>
      <c r="H173" t="s">
        <v>36</v>
      </c>
      <c r="I173" t="s">
        <v>54</v>
      </c>
      <c r="J173" t="s">
        <v>37</v>
      </c>
      <c r="K173" s="2">
        <v>46241</v>
      </c>
      <c r="L173" s="2">
        <v>46606</v>
      </c>
      <c r="M173" t="s">
        <v>64</v>
      </c>
      <c r="N173" t="s">
        <v>55</v>
      </c>
      <c r="O173">
        <v>4</v>
      </c>
      <c r="P173" t="s">
        <v>39</v>
      </c>
      <c r="Q173" s="2">
        <v>46348</v>
      </c>
      <c r="R173" t="s">
        <v>84</v>
      </c>
    </row>
    <row r="174" spans="1:18" x14ac:dyDescent="0.2">
      <c r="A174" t="s">
        <v>402</v>
      </c>
      <c r="B174" t="s">
        <v>403</v>
      </c>
      <c r="C174" t="s">
        <v>31</v>
      </c>
      <c r="D174" t="s">
        <v>32</v>
      </c>
      <c r="E174" t="s">
        <v>105</v>
      </c>
      <c r="F174" t="s">
        <v>45</v>
      </c>
      <c r="G174" t="s">
        <v>61</v>
      </c>
      <c r="H174" t="s">
        <v>47</v>
      </c>
      <c r="I174" t="s">
        <v>56</v>
      </c>
      <c r="J174" t="s">
        <v>48</v>
      </c>
      <c r="K174" s="2">
        <v>46001</v>
      </c>
      <c r="L174" s="2">
        <v>46181</v>
      </c>
      <c r="M174" t="s">
        <v>38</v>
      </c>
      <c r="N174" t="s">
        <v>55</v>
      </c>
      <c r="O174">
        <v>3</v>
      </c>
      <c r="P174" t="s">
        <v>54</v>
      </c>
      <c r="Q174" s="2">
        <v>46206</v>
      </c>
      <c r="R174" t="s">
        <v>64</v>
      </c>
    </row>
    <row r="175" spans="1:18" x14ac:dyDescent="0.2">
      <c r="A175" t="s">
        <v>404</v>
      </c>
      <c r="B175" t="s">
        <v>405</v>
      </c>
      <c r="C175" t="s">
        <v>31</v>
      </c>
      <c r="D175" t="s">
        <v>32</v>
      </c>
      <c r="E175" t="s">
        <v>53</v>
      </c>
      <c r="F175" t="s">
        <v>45</v>
      </c>
      <c r="G175" t="s">
        <v>61</v>
      </c>
      <c r="H175" t="s">
        <v>47</v>
      </c>
      <c r="I175" t="s">
        <v>62</v>
      </c>
      <c r="J175" t="s">
        <v>63</v>
      </c>
      <c r="K175" s="2">
        <v>46235</v>
      </c>
      <c r="L175" s="2">
        <v>46415</v>
      </c>
      <c r="M175" t="s">
        <v>69</v>
      </c>
      <c r="N175" t="s">
        <v>49</v>
      </c>
      <c r="O175">
        <v>1</v>
      </c>
      <c r="P175" t="s">
        <v>39</v>
      </c>
      <c r="Q175" s="2">
        <v>46230</v>
      </c>
      <c r="R175" t="s">
        <v>64</v>
      </c>
    </row>
    <row r="176" spans="1:18" x14ac:dyDescent="0.2">
      <c r="A176" t="s">
        <v>406</v>
      </c>
      <c r="B176" t="s">
        <v>407</v>
      </c>
      <c r="C176" t="s">
        <v>78</v>
      </c>
      <c r="D176" t="s">
        <v>79</v>
      </c>
      <c r="E176" t="s">
        <v>80</v>
      </c>
      <c r="F176" t="s">
        <v>45</v>
      </c>
      <c r="G176" t="s">
        <v>61</v>
      </c>
      <c r="H176" t="s">
        <v>88</v>
      </c>
      <c r="I176" t="s">
        <v>111</v>
      </c>
      <c r="J176" t="s">
        <v>37</v>
      </c>
      <c r="K176" s="2">
        <v>46247</v>
      </c>
      <c r="L176" s="2">
        <v>46612</v>
      </c>
      <c r="M176" t="s">
        <v>64</v>
      </c>
      <c r="N176" t="s">
        <v>55</v>
      </c>
      <c r="O176">
        <v>0</v>
      </c>
      <c r="P176" t="s">
        <v>70</v>
      </c>
      <c r="Q176" s="2">
        <v>46370</v>
      </c>
      <c r="R176" t="s">
        <v>57</v>
      </c>
    </row>
    <row r="177" spans="1:18" x14ac:dyDescent="0.2">
      <c r="A177" t="s">
        <v>408</v>
      </c>
      <c r="B177" t="s">
        <v>409</v>
      </c>
      <c r="C177" t="s">
        <v>31</v>
      </c>
      <c r="D177" t="s">
        <v>87</v>
      </c>
      <c r="E177" t="s">
        <v>44</v>
      </c>
      <c r="F177" t="s">
        <v>34</v>
      </c>
      <c r="G177" t="s">
        <v>35</v>
      </c>
      <c r="H177" t="s">
        <v>47</v>
      </c>
      <c r="I177" t="s">
        <v>111</v>
      </c>
      <c r="J177" t="s">
        <v>37</v>
      </c>
      <c r="K177" s="2">
        <v>46137</v>
      </c>
      <c r="L177" s="2">
        <v>46227</v>
      </c>
      <c r="M177" t="s">
        <v>38</v>
      </c>
      <c r="N177" t="s">
        <v>55</v>
      </c>
      <c r="O177">
        <v>2</v>
      </c>
      <c r="P177" t="s">
        <v>39</v>
      </c>
      <c r="Q177" s="2">
        <v>46393</v>
      </c>
      <c r="R177" t="s">
        <v>84</v>
      </c>
    </row>
    <row r="178" spans="1:18" x14ac:dyDescent="0.2">
      <c r="A178" t="s">
        <v>410</v>
      </c>
      <c r="B178" t="s">
        <v>411</v>
      </c>
      <c r="C178" t="s">
        <v>78</v>
      </c>
      <c r="D178" t="s">
        <v>79</v>
      </c>
      <c r="E178" t="s">
        <v>91</v>
      </c>
      <c r="F178" t="s">
        <v>45</v>
      </c>
      <c r="G178" t="s">
        <v>46</v>
      </c>
      <c r="H178" t="s">
        <v>36</v>
      </c>
      <c r="I178" t="s">
        <v>70</v>
      </c>
      <c r="J178" t="s">
        <v>63</v>
      </c>
      <c r="K178" s="2">
        <v>46122</v>
      </c>
      <c r="L178" s="2">
        <v>46212</v>
      </c>
      <c r="M178" t="s">
        <v>38</v>
      </c>
      <c r="N178" t="s">
        <v>49</v>
      </c>
      <c r="O178">
        <v>1</v>
      </c>
      <c r="P178" t="s">
        <v>106</v>
      </c>
      <c r="Q178" s="2">
        <v>46405</v>
      </c>
      <c r="R178" t="s">
        <v>84</v>
      </c>
    </row>
    <row r="179" spans="1:18" x14ac:dyDescent="0.2">
      <c r="A179" t="s">
        <v>412</v>
      </c>
      <c r="B179" t="s">
        <v>413</v>
      </c>
      <c r="C179" t="s">
        <v>73</v>
      </c>
      <c r="D179" t="s">
        <v>74</v>
      </c>
      <c r="E179" t="s">
        <v>91</v>
      </c>
      <c r="F179" t="s">
        <v>67</v>
      </c>
      <c r="G179" t="s">
        <v>68</v>
      </c>
      <c r="H179" t="s">
        <v>36</v>
      </c>
      <c r="I179" t="s">
        <v>106</v>
      </c>
      <c r="J179" t="s">
        <v>63</v>
      </c>
      <c r="K179" s="2">
        <v>46248</v>
      </c>
      <c r="L179" s="2">
        <v>46338</v>
      </c>
      <c r="M179" t="s">
        <v>64</v>
      </c>
      <c r="N179" t="s">
        <v>55</v>
      </c>
      <c r="O179">
        <v>2</v>
      </c>
      <c r="P179" t="s">
        <v>56</v>
      </c>
      <c r="Q179" s="2">
        <v>46318</v>
      </c>
      <c r="R179" t="s">
        <v>84</v>
      </c>
    </row>
    <row r="180" spans="1:18" x14ac:dyDescent="0.2">
      <c r="A180" t="s">
        <v>414</v>
      </c>
      <c r="B180" t="s">
        <v>415</v>
      </c>
      <c r="C180" t="s">
        <v>42</v>
      </c>
      <c r="D180" t="s">
        <v>43</v>
      </c>
      <c r="E180" t="s">
        <v>44</v>
      </c>
      <c r="F180" t="s">
        <v>67</v>
      </c>
      <c r="G180" t="s">
        <v>118</v>
      </c>
      <c r="H180" t="s">
        <v>88</v>
      </c>
      <c r="I180" t="s">
        <v>62</v>
      </c>
      <c r="J180" t="s">
        <v>48</v>
      </c>
      <c r="K180" s="2">
        <v>46054</v>
      </c>
      <c r="L180" s="2">
        <v>46144</v>
      </c>
      <c r="M180" t="s">
        <v>38</v>
      </c>
      <c r="N180" t="s">
        <v>49</v>
      </c>
      <c r="O180">
        <v>3</v>
      </c>
      <c r="P180" t="s">
        <v>70</v>
      </c>
      <c r="Q180" s="2">
        <v>46158</v>
      </c>
      <c r="R180" t="s">
        <v>38</v>
      </c>
    </row>
    <row r="181" spans="1:18" x14ac:dyDescent="0.2">
      <c r="A181" t="s">
        <v>416</v>
      </c>
      <c r="B181" t="s">
        <v>417</v>
      </c>
      <c r="C181" t="s">
        <v>42</v>
      </c>
      <c r="D181" t="s">
        <v>43</v>
      </c>
      <c r="E181" t="s">
        <v>44</v>
      </c>
      <c r="F181" t="s">
        <v>45</v>
      </c>
      <c r="G181" t="s">
        <v>61</v>
      </c>
      <c r="H181" t="s">
        <v>88</v>
      </c>
      <c r="I181" t="s">
        <v>50</v>
      </c>
      <c r="J181" t="s">
        <v>37</v>
      </c>
      <c r="K181" s="2">
        <v>45897</v>
      </c>
      <c r="L181" s="2">
        <v>46077</v>
      </c>
      <c r="M181" t="s">
        <v>38</v>
      </c>
      <c r="N181" t="s">
        <v>75</v>
      </c>
      <c r="O181">
        <v>2</v>
      </c>
      <c r="P181" t="s">
        <v>56</v>
      </c>
      <c r="Q181" s="2">
        <v>46169</v>
      </c>
      <c r="R181" t="s">
        <v>64</v>
      </c>
    </row>
    <row r="182" spans="1:18" x14ac:dyDescent="0.2">
      <c r="A182" t="s">
        <v>418</v>
      </c>
      <c r="B182" t="s">
        <v>419</v>
      </c>
      <c r="C182" t="s">
        <v>73</v>
      </c>
      <c r="D182" t="s">
        <v>74</v>
      </c>
      <c r="E182" t="s">
        <v>105</v>
      </c>
      <c r="F182" t="s">
        <v>45</v>
      </c>
      <c r="G182" t="s">
        <v>46</v>
      </c>
      <c r="H182" t="s">
        <v>47</v>
      </c>
      <c r="I182" t="s">
        <v>111</v>
      </c>
      <c r="J182" t="s">
        <v>48</v>
      </c>
      <c r="K182" s="2">
        <v>45990</v>
      </c>
      <c r="L182" s="2">
        <v>46355</v>
      </c>
      <c r="M182" t="s">
        <v>64</v>
      </c>
      <c r="N182" t="s">
        <v>55</v>
      </c>
      <c r="O182">
        <v>0</v>
      </c>
      <c r="P182" t="s">
        <v>106</v>
      </c>
      <c r="Q182" s="2">
        <v>46160</v>
      </c>
      <c r="R182" t="s">
        <v>57</v>
      </c>
    </row>
    <row r="183" spans="1:18" x14ac:dyDescent="0.2">
      <c r="A183" t="s">
        <v>420</v>
      </c>
      <c r="B183" t="s">
        <v>421</v>
      </c>
      <c r="C183" t="s">
        <v>42</v>
      </c>
      <c r="D183" t="s">
        <v>43</v>
      </c>
      <c r="E183" t="s">
        <v>53</v>
      </c>
      <c r="F183" t="s">
        <v>67</v>
      </c>
      <c r="G183" t="s">
        <v>68</v>
      </c>
      <c r="H183" t="s">
        <v>88</v>
      </c>
      <c r="I183" t="s">
        <v>70</v>
      </c>
      <c r="J183" t="s">
        <v>37</v>
      </c>
      <c r="K183" s="2">
        <v>45904</v>
      </c>
      <c r="L183" s="2">
        <v>46269</v>
      </c>
      <c r="M183" t="s">
        <v>38</v>
      </c>
      <c r="N183" t="s">
        <v>55</v>
      </c>
      <c r="O183">
        <v>1</v>
      </c>
      <c r="P183" t="s">
        <v>111</v>
      </c>
      <c r="Q183" s="2">
        <v>46309</v>
      </c>
      <c r="R183" t="s">
        <v>64</v>
      </c>
    </row>
    <row r="184" spans="1:18" x14ac:dyDescent="0.2">
      <c r="A184" t="s">
        <v>422</v>
      </c>
      <c r="B184" t="s">
        <v>423</v>
      </c>
      <c r="C184" t="s">
        <v>103</v>
      </c>
      <c r="D184" t="s">
        <v>104</v>
      </c>
      <c r="E184" t="s">
        <v>44</v>
      </c>
      <c r="F184" t="s">
        <v>45</v>
      </c>
      <c r="G184" t="s">
        <v>46</v>
      </c>
      <c r="H184" t="s">
        <v>88</v>
      </c>
      <c r="I184" t="s">
        <v>62</v>
      </c>
      <c r="J184" t="s">
        <v>48</v>
      </c>
      <c r="K184" s="2">
        <v>46122</v>
      </c>
      <c r="L184" s="2">
        <v>46302</v>
      </c>
      <c r="M184" t="s">
        <v>69</v>
      </c>
      <c r="N184" t="s">
        <v>75</v>
      </c>
      <c r="O184">
        <v>1</v>
      </c>
      <c r="P184" t="s">
        <v>50</v>
      </c>
      <c r="Q184" s="2">
        <v>46368</v>
      </c>
      <c r="R184" t="s">
        <v>84</v>
      </c>
    </row>
    <row r="185" spans="1:18" x14ac:dyDescent="0.2">
      <c r="A185" t="s">
        <v>424</v>
      </c>
      <c r="B185" t="s">
        <v>425</v>
      </c>
      <c r="C185" t="s">
        <v>31</v>
      </c>
      <c r="D185" t="s">
        <v>83</v>
      </c>
      <c r="E185" t="s">
        <v>80</v>
      </c>
      <c r="F185" t="s">
        <v>67</v>
      </c>
      <c r="G185" t="s">
        <v>68</v>
      </c>
      <c r="H185" t="s">
        <v>88</v>
      </c>
      <c r="I185" t="s">
        <v>62</v>
      </c>
      <c r="J185" t="s">
        <v>37</v>
      </c>
      <c r="K185" s="2">
        <v>45864</v>
      </c>
      <c r="L185" s="2">
        <v>46044</v>
      </c>
      <c r="M185" t="s">
        <v>38</v>
      </c>
      <c r="N185" t="s">
        <v>75</v>
      </c>
      <c r="O185">
        <v>2</v>
      </c>
      <c r="P185" t="s">
        <v>54</v>
      </c>
      <c r="Q185" s="2">
        <v>46335</v>
      </c>
      <c r="R185" t="s">
        <v>84</v>
      </c>
    </row>
    <row r="186" spans="1:18" x14ac:dyDescent="0.2">
      <c r="A186" t="s">
        <v>426</v>
      </c>
      <c r="B186" t="s">
        <v>427</v>
      </c>
      <c r="C186" t="s">
        <v>78</v>
      </c>
      <c r="D186" t="s">
        <v>79</v>
      </c>
      <c r="E186" t="s">
        <v>44</v>
      </c>
      <c r="F186" t="s">
        <v>67</v>
      </c>
      <c r="G186" t="s">
        <v>118</v>
      </c>
      <c r="H186" t="s">
        <v>98</v>
      </c>
      <c r="I186" t="s">
        <v>106</v>
      </c>
      <c r="J186" t="s">
        <v>48</v>
      </c>
      <c r="K186" s="2">
        <v>46126</v>
      </c>
      <c r="L186" s="2">
        <v>46491</v>
      </c>
      <c r="M186" t="s">
        <v>69</v>
      </c>
      <c r="N186" t="s">
        <v>49</v>
      </c>
      <c r="O186">
        <v>1</v>
      </c>
      <c r="P186" t="s">
        <v>54</v>
      </c>
      <c r="Q186" s="2">
        <v>46281</v>
      </c>
      <c r="R186" t="s">
        <v>38</v>
      </c>
    </row>
    <row r="187" spans="1:18" x14ac:dyDescent="0.2">
      <c r="A187" t="s">
        <v>428</v>
      </c>
      <c r="B187" t="s">
        <v>429</v>
      </c>
      <c r="C187" t="s">
        <v>31</v>
      </c>
      <c r="D187" t="s">
        <v>32</v>
      </c>
      <c r="E187" t="s">
        <v>91</v>
      </c>
      <c r="F187" t="s">
        <v>34</v>
      </c>
      <c r="G187" t="s">
        <v>35</v>
      </c>
      <c r="H187" t="s">
        <v>36</v>
      </c>
      <c r="I187" t="s">
        <v>39</v>
      </c>
      <c r="J187" t="s">
        <v>37</v>
      </c>
      <c r="K187" s="2">
        <v>45903</v>
      </c>
      <c r="L187" s="2">
        <v>46083</v>
      </c>
      <c r="M187" t="s">
        <v>38</v>
      </c>
      <c r="N187" t="s">
        <v>49</v>
      </c>
      <c r="O187">
        <v>1</v>
      </c>
      <c r="P187" t="s">
        <v>111</v>
      </c>
      <c r="Q187" s="2">
        <v>46339</v>
      </c>
      <c r="R187" t="s">
        <v>84</v>
      </c>
    </row>
    <row r="188" spans="1:18" x14ac:dyDescent="0.2">
      <c r="A188" t="s">
        <v>430</v>
      </c>
      <c r="B188" t="s">
        <v>431</v>
      </c>
      <c r="C188" t="s">
        <v>96</v>
      </c>
      <c r="D188" t="s">
        <v>97</v>
      </c>
      <c r="E188" t="s">
        <v>44</v>
      </c>
      <c r="F188" t="s">
        <v>45</v>
      </c>
      <c r="G188" t="s">
        <v>61</v>
      </c>
      <c r="H188" t="s">
        <v>47</v>
      </c>
      <c r="I188" t="s">
        <v>50</v>
      </c>
      <c r="J188" t="s">
        <v>37</v>
      </c>
      <c r="K188" s="2">
        <v>45909</v>
      </c>
      <c r="L188" s="2">
        <v>46089</v>
      </c>
      <c r="M188" t="s">
        <v>38</v>
      </c>
      <c r="N188" t="s">
        <v>75</v>
      </c>
      <c r="O188">
        <v>0</v>
      </c>
      <c r="P188" t="s">
        <v>62</v>
      </c>
      <c r="Q188" s="2">
        <v>46344</v>
      </c>
      <c r="R188" t="s">
        <v>57</v>
      </c>
    </row>
    <row r="189" spans="1:18" x14ac:dyDescent="0.2">
      <c r="A189" t="s">
        <v>432</v>
      </c>
      <c r="B189" t="s">
        <v>433</v>
      </c>
      <c r="C189" t="s">
        <v>78</v>
      </c>
      <c r="D189" t="s">
        <v>79</v>
      </c>
      <c r="E189" t="s">
        <v>53</v>
      </c>
      <c r="F189" t="s">
        <v>34</v>
      </c>
      <c r="G189" t="s">
        <v>35</v>
      </c>
      <c r="H189" t="s">
        <v>36</v>
      </c>
      <c r="I189" t="s">
        <v>70</v>
      </c>
      <c r="J189" t="s">
        <v>37</v>
      </c>
      <c r="K189" s="2">
        <v>46220</v>
      </c>
      <c r="L189" s="2">
        <v>46310</v>
      </c>
      <c r="M189" t="s">
        <v>69</v>
      </c>
      <c r="N189" t="s">
        <v>55</v>
      </c>
      <c r="O189">
        <v>5</v>
      </c>
      <c r="P189" t="s">
        <v>62</v>
      </c>
      <c r="Q189" s="2">
        <v>46137</v>
      </c>
      <c r="R189" t="s">
        <v>38</v>
      </c>
    </row>
    <row r="190" spans="1:18" x14ac:dyDescent="0.2">
      <c r="A190" t="s">
        <v>434</v>
      </c>
      <c r="B190" t="s">
        <v>435</v>
      </c>
      <c r="C190" t="s">
        <v>31</v>
      </c>
      <c r="D190" t="s">
        <v>87</v>
      </c>
      <c r="E190" t="s">
        <v>105</v>
      </c>
      <c r="F190" t="s">
        <v>45</v>
      </c>
      <c r="G190" t="s">
        <v>46</v>
      </c>
      <c r="H190" t="s">
        <v>47</v>
      </c>
      <c r="I190" t="s">
        <v>54</v>
      </c>
      <c r="J190" t="s">
        <v>48</v>
      </c>
      <c r="K190" s="2">
        <v>46047</v>
      </c>
      <c r="L190" s="2">
        <v>46227</v>
      </c>
      <c r="M190" t="s">
        <v>38</v>
      </c>
      <c r="N190" t="s">
        <v>75</v>
      </c>
      <c r="O190">
        <v>3</v>
      </c>
      <c r="P190" t="s">
        <v>56</v>
      </c>
      <c r="Q190" s="2">
        <v>46371</v>
      </c>
      <c r="R190" t="s">
        <v>64</v>
      </c>
    </row>
    <row r="191" spans="1:18" x14ac:dyDescent="0.2">
      <c r="A191" t="s">
        <v>436</v>
      </c>
      <c r="B191" t="s">
        <v>437</v>
      </c>
      <c r="C191" t="s">
        <v>73</v>
      </c>
      <c r="D191" t="s">
        <v>74</v>
      </c>
      <c r="E191" t="s">
        <v>105</v>
      </c>
      <c r="F191" t="s">
        <v>67</v>
      </c>
      <c r="G191" t="s">
        <v>68</v>
      </c>
      <c r="H191" t="s">
        <v>36</v>
      </c>
      <c r="I191" t="s">
        <v>50</v>
      </c>
      <c r="J191" t="s">
        <v>48</v>
      </c>
      <c r="K191" s="2">
        <v>46097</v>
      </c>
      <c r="L191" s="2">
        <v>46277</v>
      </c>
      <c r="M191" t="s">
        <v>38</v>
      </c>
      <c r="N191" t="s">
        <v>75</v>
      </c>
      <c r="O191">
        <v>3</v>
      </c>
      <c r="P191" t="s">
        <v>111</v>
      </c>
      <c r="Q191" s="2">
        <v>46220</v>
      </c>
      <c r="R191" t="s">
        <v>38</v>
      </c>
    </row>
    <row r="192" spans="1:18" x14ac:dyDescent="0.2">
      <c r="A192" t="s">
        <v>438</v>
      </c>
      <c r="B192" t="s">
        <v>439</v>
      </c>
      <c r="C192" t="s">
        <v>31</v>
      </c>
      <c r="D192" t="s">
        <v>32</v>
      </c>
      <c r="E192" t="s">
        <v>53</v>
      </c>
      <c r="F192" t="s">
        <v>34</v>
      </c>
      <c r="G192" t="s">
        <v>35</v>
      </c>
      <c r="H192" t="s">
        <v>47</v>
      </c>
      <c r="I192" t="s">
        <v>39</v>
      </c>
      <c r="J192" t="s">
        <v>48</v>
      </c>
      <c r="K192" s="2">
        <v>45861</v>
      </c>
      <c r="L192" s="2">
        <v>46226</v>
      </c>
      <c r="M192" t="s">
        <v>38</v>
      </c>
      <c r="N192" t="s">
        <v>55</v>
      </c>
      <c r="O192">
        <v>0</v>
      </c>
      <c r="P192" t="s">
        <v>54</v>
      </c>
      <c r="Q192" s="2">
        <v>46290</v>
      </c>
      <c r="R192" t="s">
        <v>57</v>
      </c>
    </row>
    <row r="193" spans="1:18" x14ac:dyDescent="0.2">
      <c r="A193" t="s">
        <v>440</v>
      </c>
      <c r="B193" t="s">
        <v>441</v>
      </c>
      <c r="C193" t="s">
        <v>31</v>
      </c>
      <c r="D193" t="s">
        <v>83</v>
      </c>
      <c r="E193" t="s">
        <v>60</v>
      </c>
      <c r="F193" t="s">
        <v>34</v>
      </c>
      <c r="G193" t="s">
        <v>35</v>
      </c>
      <c r="H193" t="s">
        <v>47</v>
      </c>
      <c r="J193" t="s">
        <v>63</v>
      </c>
      <c r="K193" s="2">
        <v>45989</v>
      </c>
      <c r="L193" s="2">
        <v>46169</v>
      </c>
      <c r="M193" t="s">
        <v>38</v>
      </c>
      <c r="N193" t="s">
        <v>75</v>
      </c>
      <c r="O193">
        <v>1</v>
      </c>
      <c r="P193" t="s">
        <v>62</v>
      </c>
      <c r="Q193" s="2">
        <v>46322</v>
      </c>
      <c r="R193" t="s">
        <v>84</v>
      </c>
    </row>
    <row r="194" spans="1:18" x14ac:dyDescent="0.2">
      <c r="A194" t="s">
        <v>442</v>
      </c>
      <c r="B194" t="s">
        <v>443</v>
      </c>
      <c r="C194" t="s">
        <v>31</v>
      </c>
      <c r="D194" t="s">
        <v>32</v>
      </c>
      <c r="E194" t="s">
        <v>91</v>
      </c>
      <c r="F194" t="s">
        <v>67</v>
      </c>
      <c r="G194" t="s">
        <v>68</v>
      </c>
      <c r="H194" t="s">
        <v>88</v>
      </c>
      <c r="I194" t="s">
        <v>54</v>
      </c>
      <c r="J194" t="s">
        <v>48</v>
      </c>
      <c r="K194" s="2">
        <v>46045</v>
      </c>
      <c r="L194" s="2">
        <v>46410</v>
      </c>
      <c r="M194" t="s">
        <v>64</v>
      </c>
      <c r="N194" t="s">
        <v>55</v>
      </c>
      <c r="O194">
        <v>1</v>
      </c>
      <c r="P194" t="s">
        <v>50</v>
      </c>
      <c r="Q194" s="2">
        <v>46220</v>
      </c>
      <c r="R194" t="s">
        <v>64</v>
      </c>
    </row>
    <row r="195" spans="1:18" x14ac:dyDescent="0.2">
      <c r="A195" t="s">
        <v>444</v>
      </c>
      <c r="B195" t="s">
        <v>445</v>
      </c>
      <c r="C195" t="s">
        <v>31</v>
      </c>
      <c r="D195" t="s">
        <v>32</v>
      </c>
      <c r="E195" t="s">
        <v>44</v>
      </c>
      <c r="F195" t="s">
        <v>67</v>
      </c>
      <c r="G195" t="s">
        <v>118</v>
      </c>
      <c r="H195" t="s">
        <v>88</v>
      </c>
      <c r="I195" t="s">
        <v>56</v>
      </c>
      <c r="J195" t="s">
        <v>37</v>
      </c>
      <c r="K195" s="2">
        <v>45932</v>
      </c>
      <c r="L195" s="2">
        <v>46112</v>
      </c>
      <c r="M195" t="s">
        <v>38</v>
      </c>
      <c r="N195" t="s">
        <v>49</v>
      </c>
      <c r="O195">
        <v>2</v>
      </c>
      <c r="P195" t="s">
        <v>111</v>
      </c>
      <c r="Q195" s="2">
        <v>46313</v>
      </c>
      <c r="R195" t="s">
        <v>84</v>
      </c>
    </row>
    <row r="196" spans="1:18" x14ac:dyDescent="0.2">
      <c r="A196" t="s">
        <v>446</v>
      </c>
      <c r="B196" t="s">
        <v>447</v>
      </c>
      <c r="C196" t="s">
        <v>73</v>
      </c>
      <c r="D196" t="s">
        <v>74</v>
      </c>
      <c r="E196" t="s">
        <v>91</v>
      </c>
      <c r="F196" t="s">
        <v>34</v>
      </c>
      <c r="G196" t="s">
        <v>35</v>
      </c>
      <c r="H196" t="s">
        <v>36</v>
      </c>
      <c r="I196" t="s">
        <v>56</v>
      </c>
      <c r="J196" t="s">
        <v>48</v>
      </c>
      <c r="K196" s="2">
        <v>45805</v>
      </c>
      <c r="L196" s="2">
        <v>46170</v>
      </c>
      <c r="M196" t="s">
        <v>38</v>
      </c>
      <c r="N196" t="s">
        <v>49</v>
      </c>
      <c r="O196">
        <v>0</v>
      </c>
      <c r="P196" t="s">
        <v>56</v>
      </c>
      <c r="Q196" s="2">
        <v>46183</v>
      </c>
      <c r="R196" t="s">
        <v>57</v>
      </c>
    </row>
    <row r="197" spans="1:18" x14ac:dyDescent="0.2">
      <c r="A197" t="s">
        <v>448</v>
      </c>
      <c r="B197" t="s">
        <v>449</v>
      </c>
      <c r="C197" t="s">
        <v>31</v>
      </c>
      <c r="D197" t="s">
        <v>83</v>
      </c>
      <c r="E197" t="s">
        <v>53</v>
      </c>
      <c r="F197" t="s">
        <v>45</v>
      </c>
      <c r="G197" t="s">
        <v>46</v>
      </c>
      <c r="H197" t="s">
        <v>88</v>
      </c>
      <c r="I197" t="s">
        <v>62</v>
      </c>
      <c r="J197" t="s">
        <v>48</v>
      </c>
      <c r="K197" s="2">
        <v>46061</v>
      </c>
      <c r="L197" s="2">
        <v>46426</v>
      </c>
      <c r="M197" t="s">
        <v>64</v>
      </c>
      <c r="N197" t="s">
        <v>75</v>
      </c>
      <c r="O197">
        <v>3</v>
      </c>
      <c r="P197" t="s">
        <v>111</v>
      </c>
      <c r="Q197" s="2">
        <v>46210</v>
      </c>
      <c r="R197" t="s">
        <v>38</v>
      </c>
    </row>
    <row r="198" spans="1:18" x14ac:dyDescent="0.2">
      <c r="A198" t="s">
        <v>450</v>
      </c>
      <c r="B198" t="s">
        <v>451</v>
      </c>
      <c r="C198" t="s">
        <v>31</v>
      </c>
      <c r="D198" t="s">
        <v>83</v>
      </c>
      <c r="E198" t="s">
        <v>44</v>
      </c>
      <c r="F198" t="s">
        <v>67</v>
      </c>
      <c r="G198" t="s">
        <v>68</v>
      </c>
      <c r="H198" t="s">
        <v>88</v>
      </c>
      <c r="I198" t="s">
        <v>111</v>
      </c>
      <c r="J198" t="s">
        <v>37</v>
      </c>
      <c r="K198" s="2">
        <v>45958</v>
      </c>
      <c r="L198" s="2">
        <v>46048</v>
      </c>
      <c r="M198" t="s">
        <v>38</v>
      </c>
      <c r="N198" t="s">
        <v>75</v>
      </c>
      <c r="O198">
        <v>0</v>
      </c>
      <c r="P198" t="s">
        <v>111</v>
      </c>
      <c r="Q198" s="2">
        <v>46363</v>
      </c>
      <c r="R198" t="s">
        <v>57</v>
      </c>
    </row>
    <row r="199" spans="1:18" x14ac:dyDescent="0.2">
      <c r="A199" t="s">
        <v>452</v>
      </c>
      <c r="B199" t="s">
        <v>453</v>
      </c>
      <c r="C199" t="s">
        <v>103</v>
      </c>
      <c r="D199" t="s">
        <v>104</v>
      </c>
      <c r="E199" t="s">
        <v>80</v>
      </c>
      <c r="F199" t="s">
        <v>67</v>
      </c>
      <c r="G199" t="s">
        <v>118</v>
      </c>
      <c r="H199" t="s">
        <v>36</v>
      </c>
      <c r="I199" t="s">
        <v>111</v>
      </c>
      <c r="J199" t="s">
        <v>48</v>
      </c>
      <c r="K199" s="2">
        <v>46025</v>
      </c>
      <c r="L199" s="2">
        <v>46115</v>
      </c>
      <c r="M199" t="s">
        <v>38</v>
      </c>
      <c r="N199" t="s">
        <v>55</v>
      </c>
      <c r="O199">
        <v>4</v>
      </c>
      <c r="P199" t="s">
        <v>56</v>
      </c>
      <c r="Q199" s="2">
        <v>46130</v>
      </c>
      <c r="R199" t="s">
        <v>38</v>
      </c>
    </row>
    <row r="200" spans="1:18" x14ac:dyDescent="0.2">
      <c r="A200" t="s">
        <v>454</v>
      </c>
      <c r="B200" t="s">
        <v>455</v>
      </c>
      <c r="C200" t="s">
        <v>73</v>
      </c>
      <c r="D200" t="s">
        <v>74</v>
      </c>
      <c r="E200" t="s">
        <v>44</v>
      </c>
      <c r="F200" t="s">
        <v>45</v>
      </c>
      <c r="G200" t="s">
        <v>61</v>
      </c>
      <c r="H200" t="s">
        <v>36</v>
      </c>
      <c r="I200" t="s">
        <v>111</v>
      </c>
      <c r="J200" t="s">
        <v>48</v>
      </c>
      <c r="K200" s="2">
        <v>45994</v>
      </c>
      <c r="L200" s="2">
        <v>46359</v>
      </c>
      <c r="M200" t="s">
        <v>64</v>
      </c>
      <c r="N200" t="s">
        <v>55</v>
      </c>
      <c r="O200">
        <v>2</v>
      </c>
      <c r="P200" t="s">
        <v>111</v>
      </c>
      <c r="Q200" s="2">
        <v>46393</v>
      </c>
      <c r="R200" t="s">
        <v>84</v>
      </c>
    </row>
    <row r="201" spans="1:18" x14ac:dyDescent="0.2">
      <c r="A201" t="s">
        <v>456</v>
      </c>
      <c r="B201" t="s">
        <v>457</v>
      </c>
      <c r="C201" t="s">
        <v>31</v>
      </c>
      <c r="D201" t="s">
        <v>32</v>
      </c>
      <c r="E201" t="s">
        <v>80</v>
      </c>
      <c r="F201" t="s">
        <v>34</v>
      </c>
      <c r="G201" t="s">
        <v>35</v>
      </c>
      <c r="H201" t="s">
        <v>47</v>
      </c>
      <c r="I201" t="s">
        <v>54</v>
      </c>
      <c r="J201" t="s">
        <v>48</v>
      </c>
      <c r="K201" s="2">
        <v>46123</v>
      </c>
      <c r="L201" s="2">
        <v>46213</v>
      </c>
      <c r="M201" t="s">
        <v>38</v>
      </c>
      <c r="N201" t="s">
        <v>75</v>
      </c>
      <c r="O201">
        <v>2</v>
      </c>
      <c r="P201" t="s">
        <v>54</v>
      </c>
      <c r="Q201" s="2">
        <v>46293</v>
      </c>
      <c r="R201" t="s">
        <v>38</v>
      </c>
    </row>
    <row r="202" spans="1:18" x14ac:dyDescent="0.2">
      <c r="A202" t="s">
        <v>458</v>
      </c>
      <c r="B202" t="s">
        <v>459</v>
      </c>
      <c r="C202" t="s">
        <v>42</v>
      </c>
      <c r="D202" t="s">
        <v>43</v>
      </c>
      <c r="E202" t="s">
        <v>91</v>
      </c>
      <c r="F202" t="s">
        <v>45</v>
      </c>
      <c r="G202" t="s">
        <v>61</v>
      </c>
      <c r="H202" t="s">
        <v>88</v>
      </c>
      <c r="I202" t="s">
        <v>62</v>
      </c>
      <c r="J202" t="s">
        <v>63</v>
      </c>
      <c r="K202" s="2">
        <v>46191</v>
      </c>
      <c r="L202" s="2">
        <v>46556</v>
      </c>
      <c r="M202" t="s">
        <v>64</v>
      </c>
      <c r="N202" t="s">
        <v>55</v>
      </c>
      <c r="O202">
        <v>1</v>
      </c>
      <c r="P202" t="s">
        <v>50</v>
      </c>
      <c r="Q202" s="2">
        <v>46145</v>
      </c>
      <c r="R202" t="s">
        <v>38</v>
      </c>
    </row>
    <row r="203" spans="1:18" x14ac:dyDescent="0.2">
      <c r="A203" t="s">
        <v>460</v>
      </c>
      <c r="B203" t="s">
        <v>461</v>
      </c>
      <c r="C203" t="s">
        <v>73</v>
      </c>
      <c r="D203" t="s">
        <v>74</v>
      </c>
      <c r="E203" t="s">
        <v>53</v>
      </c>
      <c r="F203" t="s">
        <v>67</v>
      </c>
      <c r="G203" t="s">
        <v>118</v>
      </c>
      <c r="H203" t="s">
        <v>88</v>
      </c>
      <c r="I203" t="s">
        <v>70</v>
      </c>
      <c r="J203" t="s">
        <v>48</v>
      </c>
      <c r="K203" s="2">
        <v>46206</v>
      </c>
      <c r="L203" s="2">
        <v>46386</v>
      </c>
      <c r="M203" t="s">
        <v>69</v>
      </c>
      <c r="N203" t="s">
        <v>49</v>
      </c>
      <c r="O203">
        <v>1</v>
      </c>
      <c r="P203" t="s">
        <v>62</v>
      </c>
      <c r="Q203" s="2">
        <v>46182</v>
      </c>
      <c r="R203" t="s">
        <v>64</v>
      </c>
    </row>
    <row r="204" spans="1:18" x14ac:dyDescent="0.2">
      <c r="A204" t="s">
        <v>462</v>
      </c>
      <c r="B204" t="s">
        <v>463</v>
      </c>
      <c r="C204" t="s">
        <v>42</v>
      </c>
      <c r="D204" t="s">
        <v>43</v>
      </c>
      <c r="E204" t="s">
        <v>60</v>
      </c>
      <c r="F204" t="s">
        <v>67</v>
      </c>
      <c r="G204" t="s">
        <v>68</v>
      </c>
      <c r="H204" t="s">
        <v>88</v>
      </c>
      <c r="I204" t="s">
        <v>62</v>
      </c>
      <c r="J204" t="s">
        <v>37</v>
      </c>
      <c r="K204" s="2">
        <v>46083</v>
      </c>
      <c r="L204" s="2">
        <v>46263</v>
      </c>
      <c r="M204" t="s">
        <v>38</v>
      </c>
      <c r="N204" t="s">
        <v>55</v>
      </c>
      <c r="O204">
        <v>0</v>
      </c>
      <c r="P204" t="s">
        <v>111</v>
      </c>
      <c r="Q204" s="2">
        <v>46321</v>
      </c>
      <c r="R204" t="s">
        <v>57</v>
      </c>
    </row>
    <row r="205" spans="1:18" x14ac:dyDescent="0.2">
      <c r="A205" t="s">
        <v>464</v>
      </c>
      <c r="B205" t="s">
        <v>465</v>
      </c>
      <c r="C205" t="s">
        <v>78</v>
      </c>
      <c r="D205" t="s">
        <v>79</v>
      </c>
      <c r="E205" t="s">
        <v>60</v>
      </c>
      <c r="F205" t="s">
        <v>67</v>
      </c>
      <c r="G205" t="s">
        <v>118</v>
      </c>
      <c r="H205" t="s">
        <v>47</v>
      </c>
      <c r="I205" t="s">
        <v>70</v>
      </c>
      <c r="J205" t="s">
        <v>37</v>
      </c>
      <c r="K205" s="2">
        <v>45901</v>
      </c>
      <c r="L205" s="2">
        <v>46081</v>
      </c>
      <c r="M205" t="s">
        <v>38</v>
      </c>
      <c r="N205" t="s">
        <v>49</v>
      </c>
      <c r="O205">
        <v>2</v>
      </c>
      <c r="P205" t="s">
        <v>54</v>
      </c>
      <c r="Q205" s="2">
        <v>46147</v>
      </c>
      <c r="R205" t="s">
        <v>38</v>
      </c>
    </row>
    <row r="206" spans="1:18" x14ac:dyDescent="0.2">
      <c r="A206" t="s">
        <v>466</v>
      </c>
      <c r="B206" t="s">
        <v>467</v>
      </c>
      <c r="C206" t="s">
        <v>96</v>
      </c>
      <c r="D206" t="s">
        <v>97</v>
      </c>
      <c r="E206" t="s">
        <v>53</v>
      </c>
      <c r="F206" t="s">
        <v>67</v>
      </c>
      <c r="G206" t="s">
        <v>118</v>
      </c>
      <c r="H206" t="s">
        <v>36</v>
      </c>
      <c r="I206" t="s">
        <v>106</v>
      </c>
      <c r="J206" t="s">
        <v>48</v>
      </c>
      <c r="K206" s="2">
        <v>45995</v>
      </c>
      <c r="L206" s="2">
        <v>46360</v>
      </c>
      <c r="M206" t="s">
        <v>64</v>
      </c>
      <c r="N206" t="s">
        <v>75</v>
      </c>
      <c r="O206">
        <v>2</v>
      </c>
      <c r="P206" t="s">
        <v>50</v>
      </c>
      <c r="Q206" s="2">
        <v>46139</v>
      </c>
      <c r="R206" t="s">
        <v>64</v>
      </c>
    </row>
    <row r="207" spans="1:18" x14ac:dyDescent="0.2">
      <c r="A207" t="s">
        <v>468</v>
      </c>
      <c r="B207" t="s">
        <v>469</v>
      </c>
      <c r="C207" t="s">
        <v>42</v>
      </c>
      <c r="D207" t="s">
        <v>43</v>
      </c>
      <c r="E207" t="s">
        <v>105</v>
      </c>
      <c r="F207" t="s">
        <v>67</v>
      </c>
      <c r="G207" t="s">
        <v>118</v>
      </c>
      <c r="H207" t="s">
        <v>98</v>
      </c>
      <c r="I207" t="s">
        <v>62</v>
      </c>
      <c r="J207" t="s">
        <v>37</v>
      </c>
      <c r="K207" s="2">
        <v>46172</v>
      </c>
      <c r="L207" s="2">
        <v>46537</v>
      </c>
      <c r="M207" t="s">
        <v>69</v>
      </c>
      <c r="N207" t="s">
        <v>55</v>
      </c>
      <c r="O207">
        <v>2</v>
      </c>
      <c r="P207" t="s">
        <v>50</v>
      </c>
      <c r="Q207" s="2">
        <v>46162</v>
      </c>
      <c r="R207" t="s">
        <v>38</v>
      </c>
    </row>
    <row r="208" spans="1:18" x14ac:dyDescent="0.2">
      <c r="A208" t="s">
        <v>470</v>
      </c>
      <c r="B208" t="s">
        <v>471</v>
      </c>
      <c r="C208" t="s">
        <v>96</v>
      </c>
      <c r="D208" t="s">
        <v>97</v>
      </c>
      <c r="E208" t="s">
        <v>91</v>
      </c>
      <c r="F208" t="s">
        <v>45</v>
      </c>
      <c r="G208" t="s">
        <v>61</v>
      </c>
      <c r="H208" t="s">
        <v>88</v>
      </c>
      <c r="I208" t="s">
        <v>54</v>
      </c>
      <c r="J208" t="s">
        <v>48</v>
      </c>
      <c r="K208" s="2">
        <v>46056</v>
      </c>
      <c r="L208" s="2">
        <v>46421</v>
      </c>
      <c r="M208" t="s">
        <v>64</v>
      </c>
      <c r="N208" t="s">
        <v>55</v>
      </c>
      <c r="O208">
        <v>0</v>
      </c>
      <c r="P208" t="s">
        <v>54</v>
      </c>
      <c r="Q208" s="2">
        <v>46224</v>
      </c>
      <c r="R208" t="s">
        <v>57</v>
      </c>
    </row>
    <row r="209" spans="1:18" x14ac:dyDescent="0.2">
      <c r="A209" t="s">
        <v>472</v>
      </c>
      <c r="B209" t="s">
        <v>473</v>
      </c>
      <c r="C209" t="s">
        <v>78</v>
      </c>
      <c r="D209" t="s">
        <v>79</v>
      </c>
      <c r="E209" t="s">
        <v>105</v>
      </c>
      <c r="F209" t="s">
        <v>34</v>
      </c>
      <c r="G209" t="s">
        <v>35</v>
      </c>
      <c r="H209" t="s">
        <v>47</v>
      </c>
      <c r="I209" t="s">
        <v>106</v>
      </c>
      <c r="J209" t="s">
        <v>63</v>
      </c>
      <c r="K209" s="2">
        <v>45857</v>
      </c>
      <c r="L209" s="2">
        <v>45947</v>
      </c>
      <c r="M209" t="s">
        <v>38</v>
      </c>
      <c r="N209" t="s">
        <v>75</v>
      </c>
      <c r="O209">
        <v>1</v>
      </c>
      <c r="P209" t="s">
        <v>70</v>
      </c>
      <c r="Q209" s="2">
        <v>46359</v>
      </c>
      <c r="R209" t="s">
        <v>64</v>
      </c>
    </row>
    <row r="210" spans="1:18" x14ac:dyDescent="0.2">
      <c r="A210" t="s">
        <v>474</v>
      </c>
      <c r="B210" t="s">
        <v>475</v>
      </c>
      <c r="C210" t="s">
        <v>31</v>
      </c>
      <c r="D210" t="s">
        <v>87</v>
      </c>
      <c r="E210" t="s">
        <v>53</v>
      </c>
      <c r="F210" t="s">
        <v>45</v>
      </c>
      <c r="G210" t="s">
        <v>61</v>
      </c>
      <c r="H210" t="s">
        <v>36</v>
      </c>
      <c r="I210" t="s">
        <v>50</v>
      </c>
      <c r="J210" t="s">
        <v>63</v>
      </c>
      <c r="K210" s="2">
        <v>46080</v>
      </c>
      <c r="L210" s="2">
        <v>46170</v>
      </c>
      <c r="M210" t="s">
        <v>38</v>
      </c>
      <c r="N210" t="s">
        <v>49</v>
      </c>
      <c r="O210">
        <v>5</v>
      </c>
      <c r="P210" t="s">
        <v>50</v>
      </c>
      <c r="Q210" s="2">
        <v>46188</v>
      </c>
      <c r="R210" t="s">
        <v>64</v>
      </c>
    </row>
    <row r="211" spans="1:18" x14ac:dyDescent="0.2">
      <c r="A211" t="s">
        <v>476</v>
      </c>
      <c r="B211" t="s">
        <v>477</v>
      </c>
      <c r="C211" t="s">
        <v>31</v>
      </c>
      <c r="D211" t="s">
        <v>32</v>
      </c>
      <c r="E211" t="s">
        <v>91</v>
      </c>
      <c r="F211" t="s">
        <v>67</v>
      </c>
      <c r="G211" t="s">
        <v>118</v>
      </c>
      <c r="H211" t="s">
        <v>47</v>
      </c>
      <c r="I211" t="s">
        <v>50</v>
      </c>
      <c r="J211" t="s">
        <v>48</v>
      </c>
      <c r="K211" s="2">
        <v>45805</v>
      </c>
      <c r="L211" s="2">
        <v>45985</v>
      </c>
      <c r="M211" t="s">
        <v>38</v>
      </c>
      <c r="N211" t="s">
        <v>49</v>
      </c>
      <c r="O211">
        <v>3</v>
      </c>
      <c r="P211" t="s">
        <v>62</v>
      </c>
      <c r="Q211" s="2">
        <v>46226</v>
      </c>
      <c r="R211" t="s">
        <v>64</v>
      </c>
    </row>
    <row r="212" spans="1:18" x14ac:dyDescent="0.2">
      <c r="A212" t="s">
        <v>478</v>
      </c>
      <c r="B212" t="s">
        <v>479</v>
      </c>
      <c r="C212" t="s">
        <v>31</v>
      </c>
      <c r="D212" t="s">
        <v>87</v>
      </c>
      <c r="E212" t="s">
        <v>53</v>
      </c>
      <c r="F212" t="s">
        <v>67</v>
      </c>
      <c r="G212" t="s">
        <v>118</v>
      </c>
      <c r="H212" t="s">
        <v>36</v>
      </c>
      <c r="I212" t="s">
        <v>54</v>
      </c>
      <c r="J212" t="s">
        <v>63</v>
      </c>
      <c r="K212" s="2">
        <v>46134</v>
      </c>
      <c r="L212" s="2">
        <v>46499</v>
      </c>
      <c r="M212" t="s">
        <v>64</v>
      </c>
      <c r="N212" t="s">
        <v>49</v>
      </c>
      <c r="O212">
        <v>4</v>
      </c>
      <c r="P212" t="s">
        <v>56</v>
      </c>
      <c r="Q212" s="2">
        <v>46260</v>
      </c>
      <c r="R212" t="s">
        <v>38</v>
      </c>
    </row>
    <row r="213" spans="1:18" x14ac:dyDescent="0.2">
      <c r="A213" t="s">
        <v>480</v>
      </c>
      <c r="B213" t="s">
        <v>481</v>
      </c>
      <c r="C213" t="s">
        <v>31</v>
      </c>
      <c r="D213" t="s">
        <v>32</v>
      </c>
      <c r="E213" t="s">
        <v>91</v>
      </c>
      <c r="F213" t="s">
        <v>45</v>
      </c>
      <c r="G213" t="s">
        <v>46</v>
      </c>
      <c r="H213" t="s">
        <v>88</v>
      </c>
      <c r="I213" t="s">
        <v>39</v>
      </c>
      <c r="J213" t="s">
        <v>48</v>
      </c>
      <c r="K213" s="2">
        <v>45874</v>
      </c>
      <c r="L213" s="2">
        <v>45964</v>
      </c>
      <c r="M213" t="s">
        <v>38</v>
      </c>
      <c r="N213" t="s">
        <v>75</v>
      </c>
      <c r="O213">
        <v>3</v>
      </c>
      <c r="P213" t="s">
        <v>106</v>
      </c>
      <c r="Q213" s="2">
        <v>46172</v>
      </c>
      <c r="R213" t="s">
        <v>64</v>
      </c>
    </row>
    <row r="214" spans="1:18" x14ac:dyDescent="0.2">
      <c r="A214" t="s">
        <v>482</v>
      </c>
      <c r="B214" t="s">
        <v>483</v>
      </c>
      <c r="C214" t="s">
        <v>31</v>
      </c>
      <c r="D214" t="s">
        <v>32</v>
      </c>
      <c r="E214" t="s">
        <v>80</v>
      </c>
      <c r="F214" t="s">
        <v>67</v>
      </c>
      <c r="G214" t="s">
        <v>68</v>
      </c>
      <c r="H214" t="s">
        <v>36</v>
      </c>
      <c r="I214" t="s">
        <v>62</v>
      </c>
      <c r="J214" t="s">
        <v>37</v>
      </c>
      <c r="K214" s="2">
        <v>46088</v>
      </c>
      <c r="L214" s="2">
        <v>46453</v>
      </c>
      <c r="M214" t="s">
        <v>69</v>
      </c>
      <c r="N214" t="s">
        <v>55</v>
      </c>
      <c r="O214">
        <v>0</v>
      </c>
      <c r="P214" t="s">
        <v>54</v>
      </c>
      <c r="Q214" s="2">
        <v>46415</v>
      </c>
      <c r="R214" t="s">
        <v>57</v>
      </c>
    </row>
    <row r="215" spans="1:18" x14ac:dyDescent="0.2">
      <c r="A215" t="s">
        <v>484</v>
      </c>
      <c r="B215" t="s">
        <v>485</v>
      </c>
      <c r="C215" t="s">
        <v>31</v>
      </c>
      <c r="D215" t="s">
        <v>32</v>
      </c>
      <c r="E215" t="s">
        <v>80</v>
      </c>
      <c r="F215" t="s">
        <v>45</v>
      </c>
      <c r="G215" t="s">
        <v>46</v>
      </c>
      <c r="H215" t="s">
        <v>88</v>
      </c>
      <c r="I215" t="s">
        <v>62</v>
      </c>
      <c r="J215" t="s">
        <v>48</v>
      </c>
      <c r="K215" s="2">
        <v>46059</v>
      </c>
      <c r="L215" s="2">
        <v>46424</v>
      </c>
      <c r="M215" t="s">
        <v>64</v>
      </c>
      <c r="N215" t="s">
        <v>49</v>
      </c>
      <c r="O215">
        <v>1</v>
      </c>
      <c r="P215" t="s">
        <v>50</v>
      </c>
      <c r="Q215" s="2">
        <v>46257</v>
      </c>
      <c r="R215" t="s">
        <v>64</v>
      </c>
    </row>
    <row r="216" spans="1:18" x14ac:dyDescent="0.2">
      <c r="A216" t="s">
        <v>486</v>
      </c>
      <c r="B216" t="s">
        <v>487</v>
      </c>
      <c r="C216" t="s">
        <v>31</v>
      </c>
      <c r="D216" t="s">
        <v>32</v>
      </c>
      <c r="E216" t="s">
        <v>80</v>
      </c>
      <c r="F216" t="s">
        <v>34</v>
      </c>
      <c r="G216" t="s">
        <v>35</v>
      </c>
      <c r="H216" t="s">
        <v>88</v>
      </c>
      <c r="I216" t="s">
        <v>70</v>
      </c>
      <c r="J216" t="s">
        <v>48</v>
      </c>
      <c r="K216" s="2">
        <v>46117</v>
      </c>
      <c r="L216" s="2">
        <v>46482</v>
      </c>
      <c r="M216" t="s">
        <v>64</v>
      </c>
      <c r="N216" t="s">
        <v>55</v>
      </c>
      <c r="O216">
        <v>0</v>
      </c>
      <c r="P216" t="s">
        <v>111</v>
      </c>
      <c r="Q216" s="2">
        <v>46240</v>
      </c>
      <c r="R216" t="s">
        <v>57</v>
      </c>
    </row>
    <row r="217" spans="1:18" x14ac:dyDescent="0.2">
      <c r="A217" t="s">
        <v>488</v>
      </c>
      <c r="B217" t="s">
        <v>489</v>
      </c>
      <c r="C217" t="s">
        <v>42</v>
      </c>
      <c r="D217" t="s">
        <v>43</v>
      </c>
      <c r="E217" t="s">
        <v>53</v>
      </c>
      <c r="F217" t="s">
        <v>34</v>
      </c>
      <c r="G217" t="s">
        <v>35</v>
      </c>
      <c r="H217" t="s">
        <v>88</v>
      </c>
      <c r="I217" t="s">
        <v>50</v>
      </c>
      <c r="J217" t="s">
        <v>37</v>
      </c>
      <c r="K217" s="2">
        <v>46214</v>
      </c>
      <c r="L217" s="2">
        <v>46304</v>
      </c>
      <c r="M217" t="s">
        <v>84</v>
      </c>
      <c r="N217" t="s">
        <v>55</v>
      </c>
      <c r="O217">
        <v>3</v>
      </c>
      <c r="P217" t="s">
        <v>50</v>
      </c>
      <c r="Q217" s="2">
        <v>46292</v>
      </c>
      <c r="R217" t="s">
        <v>38</v>
      </c>
    </row>
    <row r="218" spans="1:18" x14ac:dyDescent="0.2">
      <c r="A218" t="s">
        <v>490</v>
      </c>
      <c r="B218" t="s">
        <v>491</v>
      </c>
      <c r="C218" t="s">
        <v>31</v>
      </c>
      <c r="D218" t="s">
        <v>32</v>
      </c>
      <c r="E218" t="s">
        <v>91</v>
      </c>
      <c r="F218" t="s">
        <v>34</v>
      </c>
      <c r="G218" t="s">
        <v>35</v>
      </c>
      <c r="H218" t="s">
        <v>36</v>
      </c>
      <c r="I218" t="s">
        <v>39</v>
      </c>
      <c r="J218" t="s">
        <v>37</v>
      </c>
      <c r="K218" s="2">
        <v>46104</v>
      </c>
      <c r="L218" s="2">
        <v>46284</v>
      </c>
      <c r="M218" t="s">
        <v>38</v>
      </c>
      <c r="N218" t="s">
        <v>75</v>
      </c>
      <c r="O218">
        <v>4</v>
      </c>
      <c r="P218" t="s">
        <v>106</v>
      </c>
      <c r="Q218" s="2">
        <v>46147</v>
      </c>
      <c r="R218" t="s">
        <v>64</v>
      </c>
    </row>
    <row r="219" spans="1:18" x14ac:dyDescent="0.2">
      <c r="A219" t="s">
        <v>492</v>
      </c>
      <c r="B219" t="s">
        <v>493</v>
      </c>
      <c r="C219" t="s">
        <v>31</v>
      </c>
      <c r="D219" t="s">
        <v>87</v>
      </c>
      <c r="E219" t="s">
        <v>60</v>
      </c>
      <c r="F219" t="s">
        <v>45</v>
      </c>
      <c r="G219" t="s">
        <v>61</v>
      </c>
      <c r="H219" t="s">
        <v>47</v>
      </c>
      <c r="I219" t="s">
        <v>50</v>
      </c>
      <c r="J219" t="s">
        <v>48</v>
      </c>
      <c r="K219" s="2">
        <v>46145</v>
      </c>
      <c r="L219" s="2">
        <v>46235</v>
      </c>
      <c r="M219" t="s">
        <v>38</v>
      </c>
      <c r="N219" t="s">
        <v>49</v>
      </c>
      <c r="O219">
        <v>0</v>
      </c>
      <c r="P219" t="s">
        <v>54</v>
      </c>
      <c r="Q219" s="2">
        <v>46231</v>
      </c>
      <c r="R219" t="s">
        <v>57</v>
      </c>
    </row>
    <row r="220" spans="1:18" x14ac:dyDescent="0.2">
      <c r="A220" t="s">
        <v>494</v>
      </c>
      <c r="B220" t="s">
        <v>495</v>
      </c>
      <c r="C220" t="s">
        <v>78</v>
      </c>
      <c r="D220" t="s">
        <v>79</v>
      </c>
      <c r="E220" t="s">
        <v>53</v>
      </c>
      <c r="F220" t="s">
        <v>45</v>
      </c>
      <c r="G220" t="s">
        <v>61</v>
      </c>
      <c r="H220" t="s">
        <v>88</v>
      </c>
      <c r="I220" t="s">
        <v>50</v>
      </c>
      <c r="J220" t="s">
        <v>37</v>
      </c>
      <c r="K220" s="2">
        <v>46184</v>
      </c>
      <c r="L220" s="2">
        <v>46274</v>
      </c>
      <c r="M220" t="s">
        <v>38</v>
      </c>
      <c r="N220" t="s">
        <v>49</v>
      </c>
      <c r="O220">
        <v>3</v>
      </c>
      <c r="P220" t="s">
        <v>56</v>
      </c>
      <c r="Q220" s="2">
        <v>46229</v>
      </c>
      <c r="R220" t="s">
        <v>64</v>
      </c>
    </row>
    <row r="221" spans="1:18" x14ac:dyDescent="0.2">
      <c r="A221" t="s">
        <v>496</v>
      </c>
      <c r="B221" t="s">
        <v>497</v>
      </c>
      <c r="C221" t="s">
        <v>31</v>
      </c>
      <c r="D221" t="s">
        <v>32</v>
      </c>
      <c r="E221" t="s">
        <v>105</v>
      </c>
      <c r="F221" t="s">
        <v>45</v>
      </c>
      <c r="G221" t="s">
        <v>61</v>
      </c>
      <c r="H221" t="s">
        <v>88</v>
      </c>
      <c r="I221" t="s">
        <v>39</v>
      </c>
      <c r="J221" t="s">
        <v>37</v>
      </c>
      <c r="K221" s="2">
        <v>46184</v>
      </c>
      <c r="L221" s="2">
        <v>46274</v>
      </c>
      <c r="M221" t="s">
        <v>38</v>
      </c>
      <c r="N221" t="s">
        <v>49</v>
      </c>
      <c r="O221">
        <v>0</v>
      </c>
      <c r="P221" t="s">
        <v>56</v>
      </c>
      <c r="Q221" s="2">
        <v>46320</v>
      </c>
      <c r="R221" t="s">
        <v>57</v>
      </c>
    </row>
    <row r="222" spans="1:18" x14ac:dyDescent="0.2">
      <c r="A222" t="s">
        <v>498</v>
      </c>
      <c r="B222" t="s">
        <v>499</v>
      </c>
      <c r="C222" t="s">
        <v>96</v>
      </c>
      <c r="D222" t="s">
        <v>97</v>
      </c>
      <c r="E222" t="s">
        <v>60</v>
      </c>
      <c r="F222" t="s">
        <v>67</v>
      </c>
      <c r="G222" t="s">
        <v>68</v>
      </c>
      <c r="H222" t="s">
        <v>88</v>
      </c>
      <c r="I222" t="s">
        <v>106</v>
      </c>
      <c r="J222" t="s">
        <v>48</v>
      </c>
      <c r="K222" s="2">
        <v>46173</v>
      </c>
      <c r="L222" s="2">
        <v>46353</v>
      </c>
      <c r="M222" t="s">
        <v>69</v>
      </c>
      <c r="N222" t="s">
        <v>49</v>
      </c>
      <c r="O222">
        <v>1</v>
      </c>
      <c r="P222" t="s">
        <v>54</v>
      </c>
      <c r="Q222" s="2">
        <v>46352</v>
      </c>
      <c r="R222" t="s">
        <v>84</v>
      </c>
    </row>
    <row r="223" spans="1:18" x14ac:dyDescent="0.2">
      <c r="A223" t="s">
        <v>500</v>
      </c>
      <c r="B223" t="s">
        <v>501</v>
      </c>
      <c r="C223" t="s">
        <v>103</v>
      </c>
      <c r="D223" t="s">
        <v>104</v>
      </c>
      <c r="E223" t="s">
        <v>80</v>
      </c>
      <c r="F223" t="s">
        <v>45</v>
      </c>
      <c r="G223" t="s">
        <v>46</v>
      </c>
      <c r="H223" t="s">
        <v>47</v>
      </c>
      <c r="I223" t="s">
        <v>106</v>
      </c>
      <c r="J223" t="s">
        <v>37</v>
      </c>
      <c r="K223" s="2">
        <v>45950</v>
      </c>
      <c r="L223" s="2">
        <v>46315</v>
      </c>
      <c r="M223" t="s">
        <v>69</v>
      </c>
      <c r="N223" t="s">
        <v>55</v>
      </c>
      <c r="O223">
        <v>3</v>
      </c>
      <c r="P223" t="s">
        <v>39</v>
      </c>
      <c r="Q223" s="2">
        <v>46272</v>
      </c>
      <c r="R223" t="s">
        <v>64</v>
      </c>
    </row>
    <row r="224" spans="1:18" x14ac:dyDescent="0.2">
      <c r="A224" t="s">
        <v>502</v>
      </c>
      <c r="B224" t="s">
        <v>503</v>
      </c>
      <c r="C224" t="s">
        <v>31</v>
      </c>
      <c r="D224" t="s">
        <v>32</v>
      </c>
      <c r="E224" t="s">
        <v>105</v>
      </c>
      <c r="F224" t="s">
        <v>45</v>
      </c>
      <c r="G224" t="s">
        <v>61</v>
      </c>
      <c r="H224" t="s">
        <v>47</v>
      </c>
      <c r="I224" t="s">
        <v>54</v>
      </c>
      <c r="J224" t="s">
        <v>48</v>
      </c>
      <c r="K224" s="2">
        <v>45816</v>
      </c>
      <c r="L224" s="2">
        <v>46181</v>
      </c>
      <c r="M224" t="s">
        <v>38</v>
      </c>
      <c r="N224" t="s">
        <v>75</v>
      </c>
      <c r="O224">
        <v>2</v>
      </c>
      <c r="P224" t="s">
        <v>50</v>
      </c>
      <c r="Q224" s="2">
        <v>46349</v>
      </c>
      <c r="R224" t="s">
        <v>84</v>
      </c>
    </row>
    <row r="225" spans="1:18" x14ac:dyDescent="0.2">
      <c r="A225" t="s">
        <v>504</v>
      </c>
      <c r="B225" t="s">
        <v>505</v>
      </c>
      <c r="C225" t="s">
        <v>78</v>
      </c>
      <c r="D225" t="s">
        <v>79</v>
      </c>
      <c r="E225" t="s">
        <v>105</v>
      </c>
      <c r="F225" t="s">
        <v>34</v>
      </c>
      <c r="G225" t="s">
        <v>35</v>
      </c>
      <c r="H225" t="s">
        <v>88</v>
      </c>
      <c r="I225" t="s">
        <v>39</v>
      </c>
      <c r="J225" t="s">
        <v>63</v>
      </c>
      <c r="K225" s="2">
        <v>46053</v>
      </c>
      <c r="L225" s="2">
        <v>46418</v>
      </c>
      <c r="M225" t="s">
        <v>84</v>
      </c>
      <c r="N225" t="s">
        <v>75</v>
      </c>
      <c r="O225">
        <v>2</v>
      </c>
      <c r="P225" t="s">
        <v>106</v>
      </c>
      <c r="Q225" s="2">
        <v>46276</v>
      </c>
      <c r="R225" t="s">
        <v>38</v>
      </c>
    </row>
    <row r="226" spans="1:18" x14ac:dyDescent="0.2">
      <c r="A226" t="s">
        <v>506</v>
      </c>
      <c r="B226" t="s">
        <v>507</v>
      </c>
      <c r="C226" t="s">
        <v>78</v>
      </c>
      <c r="D226" t="s">
        <v>79</v>
      </c>
      <c r="E226" t="s">
        <v>53</v>
      </c>
      <c r="F226" t="s">
        <v>67</v>
      </c>
      <c r="G226" t="s">
        <v>118</v>
      </c>
      <c r="H226" t="s">
        <v>47</v>
      </c>
      <c r="I226" t="s">
        <v>54</v>
      </c>
      <c r="J226" t="s">
        <v>63</v>
      </c>
      <c r="K226" s="2">
        <v>46206</v>
      </c>
      <c r="L226" s="2">
        <v>46571</v>
      </c>
      <c r="M226" t="s">
        <v>64</v>
      </c>
      <c r="N226" t="s">
        <v>55</v>
      </c>
      <c r="O226">
        <v>1</v>
      </c>
      <c r="P226" t="s">
        <v>106</v>
      </c>
      <c r="Q226" s="2">
        <v>46345</v>
      </c>
      <c r="R226" t="s">
        <v>84</v>
      </c>
    </row>
    <row r="227" spans="1:18" x14ac:dyDescent="0.2">
      <c r="A227" t="s">
        <v>508</v>
      </c>
      <c r="B227" t="s">
        <v>509</v>
      </c>
      <c r="C227" t="s">
        <v>73</v>
      </c>
      <c r="D227" t="s">
        <v>74</v>
      </c>
      <c r="E227" t="s">
        <v>53</v>
      </c>
      <c r="F227" t="s">
        <v>45</v>
      </c>
      <c r="G227" t="s">
        <v>61</v>
      </c>
      <c r="H227" t="s">
        <v>88</v>
      </c>
      <c r="I227" t="s">
        <v>70</v>
      </c>
      <c r="J227" t="s">
        <v>48</v>
      </c>
      <c r="K227" s="2">
        <v>46229</v>
      </c>
      <c r="L227" s="2">
        <v>46319</v>
      </c>
      <c r="M227" t="s">
        <v>69</v>
      </c>
      <c r="N227" t="s">
        <v>49</v>
      </c>
      <c r="O227">
        <v>0</v>
      </c>
      <c r="P227" t="s">
        <v>54</v>
      </c>
      <c r="Q227" s="2">
        <v>46225</v>
      </c>
      <c r="R227" t="s">
        <v>57</v>
      </c>
    </row>
    <row r="228" spans="1:18" x14ac:dyDescent="0.2">
      <c r="A228" t="s">
        <v>510</v>
      </c>
      <c r="B228" t="s">
        <v>511</v>
      </c>
      <c r="C228" t="s">
        <v>103</v>
      </c>
      <c r="D228" t="s">
        <v>104</v>
      </c>
      <c r="E228" t="s">
        <v>60</v>
      </c>
      <c r="F228" t="s">
        <v>67</v>
      </c>
      <c r="G228" t="s">
        <v>118</v>
      </c>
      <c r="H228" t="s">
        <v>47</v>
      </c>
      <c r="I228" t="s">
        <v>56</v>
      </c>
      <c r="J228" t="s">
        <v>37</v>
      </c>
      <c r="K228" s="2">
        <v>46142</v>
      </c>
      <c r="L228" s="2">
        <v>46232</v>
      </c>
      <c r="M228" t="s">
        <v>38</v>
      </c>
      <c r="N228" t="s">
        <v>55</v>
      </c>
      <c r="O228">
        <v>3</v>
      </c>
      <c r="P228" t="s">
        <v>70</v>
      </c>
      <c r="Q228" s="2">
        <v>46346</v>
      </c>
      <c r="R228" t="s">
        <v>84</v>
      </c>
    </row>
    <row r="229" spans="1:18" x14ac:dyDescent="0.2">
      <c r="A229" t="s">
        <v>512</v>
      </c>
      <c r="B229" t="s">
        <v>513</v>
      </c>
      <c r="C229" t="s">
        <v>42</v>
      </c>
      <c r="D229" t="s">
        <v>43</v>
      </c>
      <c r="E229" t="s">
        <v>105</v>
      </c>
      <c r="F229" t="s">
        <v>45</v>
      </c>
      <c r="G229" t="s">
        <v>46</v>
      </c>
      <c r="H229" t="s">
        <v>47</v>
      </c>
      <c r="I229" t="s">
        <v>54</v>
      </c>
      <c r="J229" t="s">
        <v>48</v>
      </c>
      <c r="K229" s="2">
        <v>46209</v>
      </c>
      <c r="L229" s="2">
        <v>46299</v>
      </c>
      <c r="M229" t="s">
        <v>69</v>
      </c>
      <c r="N229" t="s">
        <v>49</v>
      </c>
      <c r="O229">
        <v>0</v>
      </c>
      <c r="P229" t="s">
        <v>39</v>
      </c>
      <c r="Q229" s="2">
        <v>46413</v>
      </c>
      <c r="R229" t="s">
        <v>57</v>
      </c>
    </row>
    <row r="230" spans="1:18" x14ac:dyDescent="0.2">
      <c r="A230" t="s">
        <v>514</v>
      </c>
      <c r="B230" t="s">
        <v>515</v>
      </c>
      <c r="C230" t="s">
        <v>78</v>
      </c>
      <c r="D230" t="s">
        <v>79</v>
      </c>
      <c r="E230" t="s">
        <v>91</v>
      </c>
      <c r="F230" t="s">
        <v>45</v>
      </c>
      <c r="G230" t="s">
        <v>46</v>
      </c>
      <c r="H230" t="s">
        <v>88</v>
      </c>
      <c r="I230" t="s">
        <v>50</v>
      </c>
      <c r="J230" t="s">
        <v>63</v>
      </c>
      <c r="K230" s="2">
        <v>46228</v>
      </c>
      <c r="L230" s="2">
        <v>46408</v>
      </c>
      <c r="M230" t="s">
        <v>64</v>
      </c>
      <c r="N230" t="s">
        <v>75</v>
      </c>
      <c r="O230">
        <v>0</v>
      </c>
      <c r="P230" t="s">
        <v>62</v>
      </c>
      <c r="Q230" s="2">
        <v>46201</v>
      </c>
      <c r="R230" t="s">
        <v>57</v>
      </c>
    </row>
    <row r="231" spans="1:18" x14ac:dyDescent="0.2">
      <c r="A231" t="s">
        <v>516</v>
      </c>
      <c r="B231" t="s">
        <v>517</v>
      </c>
      <c r="C231" t="s">
        <v>31</v>
      </c>
      <c r="D231" t="s">
        <v>83</v>
      </c>
      <c r="E231" t="s">
        <v>80</v>
      </c>
      <c r="F231" t="s">
        <v>67</v>
      </c>
      <c r="G231" t="s">
        <v>68</v>
      </c>
      <c r="H231" t="s">
        <v>88</v>
      </c>
      <c r="I231" t="s">
        <v>50</v>
      </c>
      <c r="J231" t="s">
        <v>63</v>
      </c>
      <c r="K231" s="2">
        <v>46094</v>
      </c>
      <c r="L231" s="2">
        <v>46184</v>
      </c>
      <c r="M231" t="s">
        <v>38</v>
      </c>
      <c r="N231" t="s">
        <v>55</v>
      </c>
      <c r="O231">
        <v>2</v>
      </c>
      <c r="P231" t="s">
        <v>54</v>
      </c>
      <c r="Q231" s="2">
        <v>46258</v>
      </c>
      <c r="R231" t="s">
        <v>38</v>
      </c>
    </row>
    <row r="232" spans="1:18" x14ac:dyDescent="0.2">
      <c r="A232" t="s">
        <v>518</v>
      </c>
      <c r="B232" t="s">
        <v>519</v>
      </c>
      <c r="C232" t="s">
        <v>103</v>
      </c>
      <c r="D232" t="s">
        <v>104</v>
      </c>
      <c r="E232" t="s">
        <v>80</v>
      </c>
      <c r="F232" t="s">
        <v>34</v>
      </c>
      <c r="G232" t="s">
        <v>35</v>
      </c>
      <c r="H232" t="s">
        <v>88</v>
      </c>
      <c r="I232" t="s">
        <v>111</v>
      </c>
      <c r="J232" t="s">
        <v>63</v>
      </c>
      <c r="K232" s="2">
        <v>46244</v>
      </c>
      <c r="L232" s="2">
        <v>46334</v>
      </c>
      <c r="M232" t="s">
        <v>64</v>
      </c>
      <c r="N232" t="s">
        <v>55</v>
      </c>
      <c r="O232">
        <v>3</v>
      </c>
      <c r="P232" t="s">
        <v>39</v>
      </c>
      <c r="Q232" s="2">
        <v>46217</v>
      </c>
      <c r="R232" t="s">
        <v>38</v>
      </c>
    </row>
    <row r="233" spans="1:18" x14ac:dyDescent="0.2">
      <c r="A233" t="s">
        <v>520</v>
      </c>
      <c r="B233" t="s">
        <v>521</v>
      </c>
      <c r="C233" t="s">
        <v>103</v>
      </c>
      <c r="D233" t="s">
        <v>104</v>
      </c>
      <c r="E233" t="s">
        <v>80</v>
      </c>
      <c r="F233" t="s">
        <v>67</v>
      </c>
      <c r="G233" t="s">
        <v>118</v>
      </c>
      <c r="H233" t="s">
        <v>88</v>
      </c>
      <c r="I233" t="s">
        <v>111</v>
      </c>
      <c r="J233" t="s">
        <v>37</v>
      </c>
      <c r="K233" s="2">
        <v>46099</v>
      </c>
      <c r="L233" s="2">
        <v>46464</v>
      </c>
      <c r="M233" t="s">
        <v>64</v>
      </c>
      <c r="N233" t="s">
        <v>75</v>
      </c>
      <c r="O233">
        <v>2</v>
      </c>
      <c r="P233" t="s">
        <v>39</v>
      </c>
      <c r="Q233" s="2">
        <v>46207</v>
      </c>
      <c r="R233" t="s">
        <v>64</v>
      </c>
    </row>
    <row r="234" spans="1:18" x14ac:dyDescent="0.2">
      <c r="A234" t="s">
        <v>522</v>
      </c>
      <c r="B234" t="s">
        <v>523</v>
      </c>
      <c r="C234" t="s">
        <v>103</v>
      </c>
      <c r="D234" t="s">
        <v>104</v>
      </c>
      <c r="E234" t="s">
        <v>60</v>
      </c>
      <c r="F234" t="s">
        <v>67</v>
      </c>
      <c r="G234" t="s">
        <v>118</v>
      </c>
      <c r="H234" t="s">
        <v>98</v>
      </c>
      <c r="I234" t="s">
        <v>50</v>
      </c>
      <c r="J234" t="s">
        <v>37</v>
      </c>
      <c r="K234" s="2">
        <v>46224</v>
      </c>
      <c r="L234" s="2">
        <v>46314</v>
      </c>
      <c r="M234" t="s">
        <v>69</v>
      </c>
      <c r="N234" t="s">
        <v>49</v>
      </c>
      <c r="O234">
        <v>5</v>
      </c>
      <c r="P234" t="s">
        <v>106</v>
      </c>
      <c r="Q234" s="2">
        <v>46143</v>
      </c>
      <c r="R234" t="s">
        <v>38</v>
      </c>
    </row>
    <row r="235" spans="1:18" x14ac:dyDescent="0.2">
      <c r="A235" t="s">
        <v>524</v>
      </c>
      <c r="B235" t="s">
        <v>525</v>
      </c>
      <c r="C235" t="s">
        <v>103</v>
      </c>
      <c r="D235" t="s">
        <v>104</v>
      </c>
      <c r="E235" t="s">
        <v>44</v>
      </c>
      <c r="F235" t="s">
        <v>45</v>
      </c>
      <c r="G235" t="s">
        <v>46</v>
      </c>
      <c r="H235" t="s">
        <v>88</v>
      </c>
      <c r="I235" t="s">
        <v>106</v>
      </c>
      <c r="J235" t="s">
        <v>37</v>
      </c>
      <c r="K235" s="2">
        <v>45808</v>
      </c>
      <c r="L235" s="2">
        <v>46173</v>
      </c>
      <c r="M235" t="s">
        <v>38</v>
      </c>
      <c r="N235" t="s">
        <v>55</v>
      </c>
      <c r="O235">
        <v>2</v>
      </c>
      <c r="P235" t="s">
        <v>56</v>
      </c>
      <c r="Q235" s="2">
        <v>46405</v>
      </c>
      <c r="R235" t="s">
        <v>84</v>
      </c>
    </row>
    <row r="236" spans="1:18" x14ac:dyDescent="0.2">
      <c r="A236" t="s">
        <v>526</v>
      </c>
      <c r="B236" t="s">
        <v>527</v>
      </c>
      <c r="C236" t="s">
        <v>103</v>
      </c>
      <c r="D236" t="s">
        <v>104</v>
      </c>
      <c r="E236" t="s">
        <v>105</v>
      </c>
      <c r="F236" t="s">
        <v>45</v>
      </c>
      <c r="G236" t="s">
        <v>61</v>
      </c>
      <c r="H236" t="s">
        <v>47</v>
      </c>
      <c r="I236" t="s">
        <v>54</v>
      </c>
      <c r="J236" t="s">
        <v>48</v>
      </c>
      <c r="K236" s="2">
        <v>45967</v>
      </c>
      <c r="L236" s="2">
        <v>46057</v>
      </c>
      <c r="M236" t="s">
        <v>38</v>
      </c>
      <c r="N236" t="s">
        <v>55</v>
      </c>
      <c r="O236">
        <v>3</v>
      </c>
      <c r="P236" t="s">
        <v>106</v>
      </c>
      <c r="Q236" s="2">
        <v>46115</v>
      </c>
      <c r="R236" t="s">
        <v>64</v>
      </c>
    </row>
    <row r="237" spans="1:18" x14ac:dyDescent="0.2">
      <c r="A237" t="s">
        <v>528</v>
      </c>
      <c r="B237" t="s">
        <v>529</v>
      </c>
      <c r="C237" t="s">
        <v>78</v>
      </c>
      <c r="D237" t="s">
        <v>79</v>
      </c>
      <c r="E237" t="s">
        <v>53</v>
      </c>
      <c r="F237" t="s">
        <v>34</v>
      </c>
      <c r="G237" t="s">
        <v>35</v>
      </c>
      <c r="H237" t="s">
        <v>47</v>
      </c>
      <c r="I237" t="s">
        <v>50</v>
      </c>
      <c r="J237" t="s">
        <v>48</v>
      </c>
      <c r="K237" s="2">
        <v>45975</v>
      </c>
      <c r="L237" s="2">
        <v>46340</v>
      </c>
      <c r="M237" t="s">
        <v>84</v>
      </c>
      <c r="N237" t="s">
        <v>49</v>
      </c>
      <c r="O237">
        <v>2</v>
      </c>
      <c r="P237" t="s">
        <v>106</v>
      </c>
      <c r="Q237" s="2">
        <v>46152</v>
      </c>
      <c r="R237" t="s">
        <v>38</v>
      </c>
    </row>
    <row r="238" spans="1:18" x14ac:dyDescent="0.2">
      <c r="A238" t="s">
        <v>530</v>
      </c>
      <c r="B238" t="s">
        <v>531</v>
      </c>
      <c r="C238" t="s">
        <v>73</v>
      </c>
      <c r="D238" t="s">
        <v>74</v>
      </c>
      <c r="E238" t="s">
        <v>44</v>
      </c>
      <c r="F238" t="s">
        <v>67</v>
      </c>
      <c r="G238" t="s">
        <v>118</v>
      </c>
      <c r="H238" t="s">
        <v>98</v>
      </c>
      <c r="I238" t="s">
        <v>62</v>
      </c>
      <c r="J238" t="s">
        <v>63</v>
      </c>
      <c r="K238" s="2">
        <v>45870</v>
      </c>
      <c r="L238" s="2">
        <v>46235</v>
      </c>
      <c r="M238" t="s">
        <v>38</v>
      </c>
      <c r="N238" t="s">
        <v>75</v>
      </c>
      <c r="O238">
        <v>5</v>
      </c>
      <c r="P238" t="s">
        <v>50</v>
      </c>
      <c r="Q238" s="2">
        <v>46277</v>
      </c>
      <c r="R238" t="s">
        <v>64</v>
      </c>
    </row>
    <row r="239" spans="1:18" x14ac:dyDescent="0.2">
      <c r="A239" t="s">
        <v>532</v>
      </c>
      <c r="B239" t="s">
        <v>533</v>
      </c>
      <c r="C239" t="s">
        <v>73</v>
      </c>
      <c r="D239" t="s">
        <v>74</v>
      </c>
      <c r="E239" t="s">
        <v>91</v>
      </c>
      <c r="F239" t="s">
        <v>67</v>
      </c>
      <c r="G239" t="s">
        <v>118</v>
      </c>
      <c r="H239" t="s">
        <v>88</v>
      </c>
      <c r="I239" t="s">
        <v>50</v>
      </c>
      <c r="J239" t="s">
        <v>63</v>
      </c>
      <c r="K239" s="2">
        <v>46185</v>
      </c>
      <c r="L239" s="2">
        <v>46550</v>
      </c>
      <c r="M239" t="s">
        <v>64</v>
      </c>
      <c r="N239" t="s">
        <v>49</v>
      </c>
      <c r="O239">
        <v>3</v>
      </c>
      <c r="P239" t="s">
        <v>54</v>
      </c>
      <c r="Q239" s="2">
        <v>46405</v>
      </c>
      <c r="R239" t="s">
        <v>64</v>
      </c>
    </row>
    <row r="240" spans="1:18" x14ac:dyDescent="0.2">
      <c r="A240" t="s">
        <v>534</v>
      </c>
      <c r="B240" t="s">
        <v>535</v>
      </c>
      <c r="C240" t="s">
        <v>31</v>
      </c>
      <c r="D240" t="s">
        <v>32</v>
      </c>
      <c r="E240" t="s">
        <v>80</v>
      </c>
      <c r="F240" t="s">
        <v>34</v>
      </c>
      <c r="G240" t="s">
        <v>35</v>
      </c>
      <c r="H240" t="s">
        <v>47</v>
      </c>
      <c r="J240" t="s">
        <v>63</v>
      </c>
      <c r="K240" s="2">
        <v>45894</v>
      </c>
      <c r="L240" s="2">
        <v>45984</v>
      </c>
      <c r="M240" t="s">
        <v>38</v>
      </c>
      <c r="N240" t="s">
        <v>55</v>
      </c>
      <c r="O240">
        <v>2</v>
      </c>
      <c r="P240" t="s">
        <v>106</v>
      </c>
      <c r="Q240" s="2">
        <v>46278</v>
      </c>
      <c r="R240" t="s">
        <v>64</v>
      </c>
    </row>
    <row r="241" spans="1:18" x14ac:dyDescent="0.2">
      <c r="A241" t="s">
        <v>536</v>
      </c>
      <c r="B241" t="s">
        <v>537</v>
      </c>
      <c r="C241" t="s">
        <v>78</v>
      </c>
      <c r="D241" t="s">
        <v>79</v>
      </c>
      <c r="E241" t="s">
        <v>53</v>
      </c>
      <c r="F241" t="s">
        <v>67</v>
      </c>
      <c r="G241" t="s">
        <v>68</v>
      </c>
      <c r="H241" t="s">
        <v>47</v>
      </c>
      <c r="I241" t="s">
        <v>70</v>
      </c>
      <c r="J241" t="s">
        <v>63</v>
      </c>
      <c r="K241" s="2">
        <v>46096</v>
      </c>
      <c r="L241" s="2">
        <v>46276</v>
      </c>
      <c r="M241" t="s">
        <v>38</v>
      </c>
      <c r="N241" t="s">
        <v>55</v>
      </c>
      <c r="O241">
        <v>0</v>
      </c>
      <c r="P241" t="s">
        <v>62</v>
      </c>
      <c r="Q241" s="2">
        <v>46139</v>
      </c>
      <c r="R241" t="s">
        <v>57</v>
      </c>
    </row>
    <row r="242" spans="1:18" x14ac:dyDescent="0.2">
      <c r="A242" t="s">
        <v>538</v>
      </c>
      <c r="B242" t="s">
        <v>539</v>
      </c>
      <c r="C242" t="s">
        <v>103</v>
      </c>
      <c r="D242" t="s">
        <v>104</v>
      </c>
      <c r="E242" t="s">
        <v>80</v>
      </c>
      <c r="F242" t="s">
        <v>45</v>
      </c>
      <c r="G242" t="s">
        <v>61</v>
      </c>
      <c r="H242" t="s">
        <v>36</v>
      </c>
      <c r="I242" t="s">
        <v>106</v>
      </c>
      <c r="J242" t="s">
        <v>37</v>
      </c>
      <c r="K242" s="2">
        <v>45996</v>
      </c>
      <c r="L242" s="2">
        <v>46176</v>
      </c>
      <c r="M242" t="s">
        <v>38</v>
      </c>
      <c r="N242" t="s">
        <v>55</v>
      </c>
      <c r="O242">
        <v>3</v>
      </c>
      <c r="P242" t="s">
        <v>70</v>
      </c>
      <c r="Q242" s="2">
        <v>46410</v>
      </c>
      <c r="R242" t="s">
        <v>84</v>
      </c>
    </row>
    <row r="243" spans="1:18" x14ac:dyDescent="0.2">
      <c r="A243" t="s">
        <v>540</v>
      </c>
      <c r="B243" t="s">
        <v>541</v>
      </c>
      <c r="C243" t="s">
        <v>31</v>
      </c>
      <c r="D243" t="s">
        <v>32</v>
      </c>
      <c r="E243" t="s">
        <v>105</v>
      </c>
      <c r="F243" t="s">
        <v>45</v>
      </c>
      <c r="G243" t="s">
        <v>61</v>
      </c>
      <c r="H243" t="s">
        <v>88</v>
      </c>
      <c r="I243" t="s">
        <v>70</v>
      </c>
      <c r="J243" t="s">
        <v>63</v>
      </c>
      <c r="K243" s="2">
        <v>46238</v>
      </c>
      <c r="L243" s="2">
        <v>46418</v>
      </c>
      <c r="M243" t="s">
        <v>64</v>
      </c>
      <c r="N243" t="s">
        <v>75</v>
      </c>
      <c r="O243">
        <v>1</v>
      </c>
      <c r="P243" t="s">
        <v>111</v>
      </c>
      <c r="Q243" s="2">
        <v>46153</v>
      </c>
      <c r="R243" t="s">
        <v>38</v>
      </c>
    </row>
    <row r="244" spans="1:18" x14ac:dyDescent="0.2">
      <c r="A244" t="s">
        <v>542</v>
      </c>
      <c r="B244" t="s">
        <v>543</v>
      </c>
      <c r="C244" t="s">
        <v>73</v>
      </c>
      <c r="D244" t="s">
        <v>74</v>
      </c>
      <c r="E244" t="s">
        <v>80</v>
      </c>
      <c r="F244" t="s">
        <v>34</v>
      </c>
      <c r="G244" t="s">
        <v>35</v>
      </c>
      <c r="H244" t="s">
        <v>98</v>
      </c>
      <c r="I244" t="s">
        <v>50</v>
      </c>
      <c r="J244" t="s">
        <v>48</v>
      </c>
      <c r="K244" s="2">
        <v>45965</v>
      </c>
      <c r="L244" s="2">
        <v>46145</v>
      </c>
      <c r="M244" t="s">
        <v>38</v>
      </c>
      <c r="N244" t="s">
        <v>55</v>
      </c>
      <c r="O244">
        <v>0</v>
      </c>
      <c r="P244" t="s">
        <v>62</v>
      </c>
      <c r="Q244" s="2">
        <v>46166</v>
      </c>
      <c r="R244" t="s">
        <v>57</v>
      </c>
    </row>
    <row r="245" spans="1:18" x14ac:dyDescent="0.2">
      <c r="A245" t="s">
        <v>544</v>
      </c>
      <c r="B245" t="s">
        <v>545</v>
      </c>
      <c r="C245" t="s">
        <v>31</v>
      </c>
      <c r="D245" t="s">
        <v>87</v>
      </c>
      <c r="E245" t="s">
        <v>91</v>
      </c>
      <c r="F245" t="s">
        <v>34</v>
      </c>
      <c r="G245" t="s">
        <v>35</v>
      </c>
      <c r="H245" t="s">
        <v>47</v>
      </c>
      <c r="I245" t="s">
        <v>54</v>
      </c>
      <c r="J245" t="s">
        <v>48</v>
      </c>
      <c r="K245" s="2">
        <v>46226</v>
      </c>
      <c r="L245" s="2">
        <v>46316</v>
      </c>
      <c r="M245" t="s">
        <v>64</v>
      </c>
      <c r="N245" t="s">
        <v>49</v>
      </c>
      <c r="O245">
        <v>3</v>
      </c>
      <c r="P245" t="s">
        <v>56</v>
      </c>
      <c r="Q245" s="2">
        <v>46193</v>
      </c>
      <c r="R245" t="s">
        <v>64</v>
      </c>
    </row>
    <row r="246" spans="1:18" x14ac:dyDescent="0.2">
      <c r="A246" t="s">
        <v>546</v>
      </c>
      <c r="B246" t="s">
        <v>547</v>
      </c>
      <c r="C246" t="s">
        <v>78</v>
      </c>
      <c r="D246" t="s">
        <v>79</v>
      </c>
      <c r="E246" t="s">
        <v>44</v>
      </c>
      <c r="F246" t="s">
        <v>34</v>
      </c>
      <c r="G246" t="s">
        <v>35</v>
      </c>
      <c r="H246" t="s">
        <v>47</v>
      </c>
      <c r="I246" t="s">
        <v>54</v>
      </c>
      <c r="J246" t="s">
        <v>37</v>
      </c>
      <c r="K246" s="2">
        <v>46188</v>
      </c>
      <c r="L246" s="2">
        <v>46553</v>
      </c>
      <c r="M246" t="s">
        <v>64</v>
      </c>
      <c r="N246" t="s">
        <v>55</v>
      </c>
      <c r="O246">
        <v>3</v>
      </c>
      <c r="P246" t="s">
        <v>56</v>
      </c>
      <c r="Q246" s="2">
        <v>46174</v>
      </c>
      <c r="R246" t="s">
        <v>64</v>
      </c>
    </row>
    <row r="247" spans="1:18" x14ac:dyDescent="0.2">
      <c r="A247" t="s">
        <v>548</v>
      </c>
      <c r="B247" t="s">
        <v>549</v>
      </c>
      <c r="C247" t="s">
        <v>96</v>
      </c>
      <c r="D247" t="s">
        <v>97</v>
      </c>
      <c r="E247" t="s">
        <v>44</v>
      </c>
      <c r="F247" t="s">
        <v>45</v>
      </c>
      <c r="G247" t="s">
        <v>61</v>
      </c>
      <c r="H247" t="s">
        <v>88</v>
      </c>
      <c r="I247" t="s">
        <v>62</v>
      </c>
      <c r="J247" t="s">
        <v>37</v>
      </c>
      <c r="K247" s="2">
        <v>46086</v>
      </c>
      <c r="L247" s="2">
        <v>46176</v>
      </c>
      <c r="M247" t="s">
        <v>38</v>
      </c>
      <c r="N247" t="s">
        <v>75</v>
      </c>
      <c r="O247">
        <v>0</v>
      </c>
      <c r="P247" t="s">
        <v>54</v>
      </c>
      <c r="Q247" s="2">
        <v>46249</v>
      </c>
      <c r="R247" t="s">
        <v>57</v>
      </c>
    </row>
    <row r="248" spans="1:18" x14ac:dyDescent="0.2">
      <c r="A248" t="s">
        <v>550</v>
      </c>
      <c r="B248" t="s">
        <v>551</v>
      </c>
      <c r="C248" t="s">
        <v>78</v>
      </c>
      <c r="D248" t="s">
        <v>79</v>
      </c>
      <c r="E248" t="s">
        <v>44</v>
      </c>
      <c r="F248" t="s">
        <v>67</v>
      </c>
      <c r="G248" t="s">
        <v>68</v>
      </c>
      <c r="H248" t="s">
        <v>36</v>
      </c>
      <c r="I248" t="s">
        <v>70</v>
      </c>
      <c r="J248" t="s">
        <v>63</v>
      </c>
      <c r="K248" s="2">
        <v>46232</v>
      </c>
      <c r="L248" s="2">
        <v>46597</v>
      </c>
      <c r="M248" t="s">
        <v>64</v>
      </c>
      <c r="N248" t="s">
        <v>49</v>
      </c>
      <c r="O248">
        <v>3</v>
      </c>
      <c r="P248" t="s">
        <v>62</v>
      </c>
      <c r="Q248" s="2">
        <v>46231</v>
      </c>
      <c r="R248" t="s">
        <v>38</v>
      </c>
    </row>
    <row r="249" spans="1:18" x14ac:dyDescent="0.2">
      <c r="A249" t="s">
        <v>552</v>
      </c>
      <c r="B249" t="s">
        <v>553</v>
      </c>
      <c r="C249" t="s">
        <v>31</v>
      </c>
      <c r="D249" t="s">
        <v>83</v>
      </c>
      <c r="E249" t="s">
        <v>60</v>
      </c>
      <c r="F249" t="s">
        <v>34</v>
      </c>
      <c r="G249" t="s">
        <v>35</v>
      </c>
      <c r="H249" t="s">
        <v>36</v>
      </c>
      <c r="I249" t="s">
        <v>111</v>
      </c>
      <c r="J249" t="s">
        <v>37</v>
      </c>
      <c r="K249" s="2">
        <v>46122</v>
      </c>
      <c r="L249" s="2">
        <v>46212</v>
      </c>
      <c r="M249" t="s">
        <v>38</v>
      </c>
      <c r="N249" t="s">
        <v>75</v>
      </c>
      <c r="O249">
        <v>5</v>
      </c>
      <c r="P249" t="s">
        <v>50</v>
      </c>
      <c r="Q249" s="2">
        <v>46132</v>
      </c>
      <c r="R249" t="s">
        <v>38</v>
      </c>
    </row>
    <row r="250" spans="1:18" x14ac:dyDescent="0.2">
      <c r="A250" t="s">
        <v>554</v>
      </c>
      <c r="B250" t="s">
        <v>555</v>
      </c>
      <c r="C250" t="s">
        <v>31</v>
      </c>
      <c r="D250" t="s">
        <v>32</v>
      </c>
      <c r="E250" t="s">
        <v>44</v>
      </c>
      <c r="F250" t="s">
        <v>45</v>
      </c>
      <c r="G250" t="s">
        <v>46</v>
      </c>
      <c r="H250" t="s">
        <v>47</v>
      </c>
      <c r="I250" t="s">
        <v>62</v>
      </c>
      <c r="J250" t="s">
        <v>37</v>
      </c>
      <c r="K250" s="2">
        <v>46235</v>
      </c>
      <c r="L250" s="2">
        <v>46600</v>
      </c>
      <c r="M250" t="s">
        <v>64</v>
      </c>
      <c r="N250" t="s">
        <v>49</v>
      </c>
      <c r="O250">
        <v>1</v>
      </c>
      <c r="P250" t="s">
        <v>62</v>
      </c>
      <c r="Q250" s="2">
        <v>46247</v>
      </c>
      <c r="R250" t="s">
        <v>64</v>
      </c>
    </row>
    <row r="251" spans="1:18" x14ac:dyDescent="0.2">
      <c r="A251" t="s">
        <v>556</v>
      </c>
      <c r="B251" t="s">
        <v>557</v>
      </c>
      <c r="C251" t="s">
        <v>31</v>
      </c>
      <c r="D251" t="s">
        <v>83</v>
      </c>
      <c r="E251" t="s">
        <v>53</v>
      </c>
      <c r="F251" t="s">
        <v>34</v>
      </c>
      <c r="G251" t="s">
        <v>35</v>
      </c>
      <c r="H251" t="s">
        <v>88</v>
      </c>
      <c r="I251" t="s">
        <v>39</v>
      </c>
      <c r="J251" t="s">
        <v>63</v>
      </c>
      <c r="K251" s="2">
        <v>45873</v>
      </c>
      <c r="L251" s="2">
        <v>46238</v>
      </c>
      <c r="M251" t="s">
        <v>38</v>
      </c>
      <c r="N251" t="s">
        <v>49</v>
      </c>
      <c r="O251">
        <v>3</v>
      </c>
      <c r="P251" t="s">
        <v>70</v>
      </c>
      <c r="Q251" s="2">
        <v>46172</v>
      </c>
      <c r="R251" t="s">
        <v>38</v>
      </c>
    </row>
    <row r="252" spans="1:18" x14ac:dyDescent="0.2">
      <c r="A252" t="s">
        <v>558</v>
      </c>
      <c r="B252" t="s">
        <v>559</v>
      </c>
      <c r="C252" t="s">
        <v>96</v>
      </c>
      <c r="D252" t="s">
        <v>97</v>
      </c>
      <c r="E252" t="s">
        <v>53</v>
      </c>
      <c r="F252" t="s">
        <v>45</v>
      </c>
      <c r="G252" t="s">
        <v>46</v>
      </c>
      <c r="H252" t="s">
        <v>36</v>
      </c>
      <c r="I252" t="s">
        <v>106</v>
      </c>
      <c r="J252" t="s">
        <v>48</v>
      </c>
      <c r="K252" s="2">
        <v>45826</v>
      </c>
      <c r="L252" s="2">
        <v>46006</v>
      </c>
      <c r="M252" t="s">
        <v>38</v>
      </c>
      <c r="N252" t="s">
        <v>75</v>
      </c>
      <c r="O252">
        <v>3</v>
      </c>
      <c r="P252" t="s">
        <v>56</v>
      </c>
      <c r="Q252" s="2">
        <v>46363</v>
      </c>
      <c r="R252" t="s">
        <v>84</v>
      </c>
    </row>
    <row r="253" spans="1:18" x14ac:dyDescent="0.2">
      <c r="A253" t="s">
        <v>560</v>
      </c>
      <c r="B253" t="s">
        <v>561</v>
      </c>
      <c r="C253" t="s">
        <v>42</v>
      </c>
      <c r="D253" t="s">
        <v>43</v>
      </c>
      <c r="E253" t="s">
        <v>60</v>
      </c>
      <c r="F253" t="s">
        <v>67</v>
      </c>
      <c r="G253" t="s">
        <v>68</v>
      </c>
      <c r="H253" t="s">
        <v>88</v>
      </c>
      <c r="I253" t="s">
        <v>62</v>
      </c>
      <c r="J253" t="s">
        <v>48</v>
      </c>
      <c r="K253" s="2">
        <v>46256</v>
      </c>
      <c r="L253" s="2">
        <v>46436</v>
      </c>
      <c r="M253" t="s">
        <v>69</v>
      </c>
      <c r="N253" t="s">
        <v>49</v>
      </c>
      <c r="O253">
        <v>1</v>
      </c>
      <c r="P253" t="s">
        <v>106</v>
      </c>
      <c r="Q253" s="2">
        <v>46140</v>
      </c>
      <c r="R253" t="s">
        <v>38</v>
      </c>
    </row>
    <row r="254" spans="1:18" x14ac:dyDescent="0.2">
      <c r="A254" t="s">
        <v>562</v>
      </c>
      <c r="B254" t="s">
        <v>563</v>
      </c>
      <c r="C254" t="s">
        <v>96</v>
      </c>
      <c r="D254" t="s">
        <v>97</v>
      </c>
      <c r="E254" t="s">
        <v>53</v>
      </c>
      <c r="F254" t="s">
        <v>67</v>
      </c>
      <c r="G254" t="s">
        <v>118</v>
      </c>
      <c r="H254" t="s">
        <v>36</v>
      </c>
      <c r="I254" t="s">
        <v>70</v>
      </c>
      <c r="J254" t="s">
        <v>37</v>
      </c>
      <c r="K254" s="2">
        <v>45831</v>
      </c>
      <c r="L254" s="2">
        <v>45921</v>
      </c>
      <c r="M254" t="s">
        <v>38</v>
      </c>
      <c r="O254">
        <v>1</v>
      </c>
      <c r="P254" t="s">
        <v>56</v>
      </c>
      <c r="Q254" s="2">
        <v>46268</v>
      </c>
      <c r="R254" t="s">
        <v>38</v>
      </c>
    </row>
    <row r="255" spans="1:18" x14ac:dyDescent="0.2">
      <c r="A255" t="s">
        <v>564</v>
      </c>
      <c r="B255" t="s">
        <v>565</v>
      </c>
      <c r="C255" t="s">
        <v>31</v>
      </c>
      <c r="D255" t="s">
        <v>87</v>
      </c>
      <c r="E255" t="s">
        <v>60</v>
      </c>
      <c r="F255" t="s">
        <v>34</v>
      </c>
      <c r="G255" t="s">
        <v>35</v>
      </c>
      <c r="H255" t="s">
        <v>88</v>
      </c>
      <c r="I255" t="s">
        <v>54</v>
      </c>
      <c r="J255" t="s">
        <v>48</v>
      </c>
      <c r="K255" s="2">
        <v>46049</v>
      </c>
      <c r="L255" s="2">
        <v>46139</v>
      </c>
      <c r="M255" t="s">
        <v>38</v>
      </c>
      <c r="N255" t="s">
        <v>75</v>
      </c>
      <c r="O255">
        <v>3</v>
      </c>
      <c r="P255" t="s">
        <v>70</v>
      </c>
      <c r="Q255" s="2">
        <v>46379</v>
      </c>
      <c r="R255" t="s">
        <v>84</v>
      </c>
    </row>
    <row r="256" spans="1:18" x14ac:dyDescent="0.2">
      <c r="A256" t="s">
        <v>566</v>
      </c>
      <c r="B256" t="s">
        <v>567</v>
      </c>
      <c r="C256" t="s">
        <v>31</v>
      </c>
      <c r="D256" t="s">
        <v>87</v>
      </c>
      <c r="E256" t="s">
        <v>44</v>
      </c>
      <c r="F256" t="s">
        <v>67</v>
      </c>
      <c r="G256" t="s">
        <v>118</v>
      </c>
      <c r="H256" t="s">
        <v>36</v>
      </c>
      <c r="I256" t="s">
        <v>39</v>
      </c>
      <c r="J256" t="s">
        <v>48</v>
      </c>
      <c r="K256" s="2">
        <v>46187</v>
      </c>
      <c r="L256" s="2">
        <v>46277</v>
      </c>
      <c r="M256" t="s">
        <v>38</v>
      </c>
      <c r="N256" t="s">
        <v>55</v>
      </c>
      <c r="O256">
        <v>0</v>
      </c>
      <c r="P256" t="s">
        <v>106</v>
      </c>
      <c r="Q256" s="2">
        <v>46242</v>
      </c>
      <c r="R256" t="s">
        <v>57</v>
      </c>
    </row>
    <row r="257" spans="1:18" x14ac:dyDescent="0.2">
      <c r="A257" t="s">
        <v>568</v>
      </c>
      <c r="B257" t="s">
        <v>569</v>
      </c>
      <c r="C257" t="s">
        <v>103</v>
      </c>
      <c r="D257" t="s">
        <v>104</v>
      </c>
      <c r="E257" t="s">
        <v>53</v>
      </c>
      <c r="F257" t="s">
        <v>34</v>
      </c>
      <c r="G257" t="s">
        <v>35</v>
      </c>
      <c r="H257" t="s">
        <v>88</v>
      </c>
      <c r="I257" t="s">
        <v>111</v>
      </c>
      <c r="J257" t="s">
        <v>37</v>
      </c>
      <c r="K257" s="2">
        <v>46017</v>
      </c>
      <c r="L257" s="2">
        <v>46197</v>
      </c>
      <c r="M257" t="s">
        <v>38</v>
      </c>
      <c r="N257" t="s">
        <v>49</v>
      </c>
      <c r="O257">
        <v>0</v>
      </c>
      <c r="P257" t="s">
        <v>111</v>
      </c>
      <c r="Q257" s="2">
        <v>46130</v>
      </c>
      <c r="R257" t="s">
        <v>57</v>
      </c>
    </row>
    <row r="258" spans="1:18" x14ac:dyDescent="0.2">
      <c r="A258" t="s">
        <v>570</v>
      </c>
      <c r="B258" t="s">
        <v>571</v>
      </c>
      <c r="C258" t="s">
        <v>31</v>
      </c>
      <c r="D258" t="s">
        <v>87</v>
      </c>
      <c r="E258" t="s">
        <v>60</v>
      </c>
      <c r="F258" t="s">
        <v>45</v>
      </c>
      <c r="G258" t="s">
        <v>61</v>
      </c>
      <c r="H258" t="s">
        <v>88</v>
      </c>
      <c r="I258" t="s">
        <v>106</v>
      </c>
      <c r="J258" t="s">
        <v>63</v>
      </c>
      <c r="K258" s="2">
        <v>46192</v>
      </c>
      <c r="L258" s="2">
        <v>46372</v>
      </c>
      <c r="M258" t="s">
        <v>84</v>
      </c>
      <c r="N258" t="s">
        <v>75</v>
      </c>
      <c r="O258">
        <v>0</v>
      </c>
      <c r="P258" t="s">
        <v>54</v>
      </c>
      <c r="Q258" s="2">
        <v>46312</v>
      </c>
      <c r="R258" t="s">
        <v>57</v>
      </c>
    </row>
    <row r="259" spans="1:18" x14ac:dyDescent="0.2">
      <c r="A259" t="s">
        <v>572</v>
      </c>
      <c r="B259" t="s">
        <v>573</v>
      </c>
      <c r="C259" t="s">
        <v>31</v>
      </c>
      <c r="D259" t="s">
        <v>83</v>
      </c>
      <c r="E259" t="s">
        <v>91</v>
      </c>
      <c r="F259" t="s">
        <v>45</v>
      </c>
      <c r="G259" t="s">
        <v>46</v>
      </c>
      <c r="H259" t="s">
        <v>47</v>
      </c>
      <c r="I259" t="s">
        <v>62</v>
      </c>
      <c r="J259" t="s">
        <v>48</v>
      </c>
      <c r="K259" s="2">
        <v>46013</v>
      </c>
      <c r="L259" s="2">
        <v>46103</v>
      </c>
      <c r="M259" t="s">
        <v>38</v>
      </c>
      <c r="N259" t="s">
        <v>49</v>
      </c>
      <c r="O259">
        <v>0</v>
      </c>
      <c r="P259" t="s">
        <v>39</v>
      </c>
      <c r="Q259" s="2">
        <v>46357</v>
      </c>
      <c r="R259" t="s">
        <v>57</v>
      </c>
    </row>
    <row r="260" spans="1:18" x14ac:dyDescent="0.2">
      <c r="A260" t="s">
        <v>574</v>
      </c>
      <c r="B260" t="s">
        <v>575</v>
      </c>
      <c r="C260" t="s">
        <v>73</v>
      </c>
      <c r="D260" t="s">
        <v>74</v>
      </c>
      <c r="E260" t="s">
        <v>60</v>
      </c>
      <c r="F260" t="s">
        <v>45</v>
      </c>
      <c r="G260" t="s">
        <v>61</v>
      </c>
      <c r="H260" t="s">
        <v>36</v>
      </c>
      <c r="I260" t="s">
        <v>56</v>
      </c>
      <c r="J260" t="s">
        <v>37</v>
      </c>
      <c r="K260" s="2">
        <v>45911</v>
      </c>
      <c r="L260" s="2">
        <v>46276</v>
      </c>
      <c r="M260" t="s">
        <v>38</v>
      </c>
      <c r="N260" t="s">
        <v>49</v>
      </c>
      <c r="O260">
        <v>2</v>
      </c>
      <c r="P260" t="s">
        <v>54</v>
      </c>
      <c r="Q260" s="2">
        <v>46331</v>
      </c>
      <c r="R260" t="s">
        <v>84</v>
      </c>
    </row>
    <row r="261" spans="1:18" x14ac:dyDescent="0.2">
      <c r="A261" t="s">
        <v>576</v>
      </c>
      <c r="B261" t="s">
        <v>577</v>
      </c>
      <c r="C261" t="s">
        <v>42</v>
      </c>
      <c r="D261" t="s">
        <v>43</v>
      </c>
      <c r="E261" t="s">
        <v>91</v>
      </c>
      <c r="F261" t="s">
        <v>67</v>
      </c>
      <c r="G261" t="s">
        <v>118</v>
      </c>
      <c r="H261" t="s">
        <v>88</v>
      </c>
      <c r="I261" t="s">
        <v>62</v>
      </c>
      <c r="J261" t="s">
        <v>63</v>
      </c>
      <c r="K261" s="2">
        <v>45976</v>
      </c>
      <c r="L261" s="2">
        <v>46066</v>
      </c>
      <c r="M261" t="s">
        <v>38</v>
      </c>
      <c r="N261" t="s">
        <v>55</v>
      </c>
      <c r="O261">
        <v>2</v>
      </c>
      <c r="P261" t="s">
        <v>70</v>
      </c>
      <c r="Q261" s="2">
        <v>46402</v>
      </c>
      <c r="R261" t="s">
        <v>84</v>
      </c>
    </row>
    <row r="262" spans="1:18" x14ac:dyDescent="0.2">
      <c r="A262" t="s">
        <v>578</v>
      </c>
      <c r="B262" t="s">
        <v>579</v>
      </c>
      <c r="C262" t="s">
        <v>103</v>
      </c>
      <c r="D262" t="s">
        <v>104</v>
      </c>
      <c r="E262" t="s">
        <v>53</v>
      </c>
      <c r="F262" t="s">
        <v>67</v>
      </c>
      <c r="G262" t="s">
        <v>68</v>
      </c>
      <c r="H262" t="s">
        <v>98</v>
      </c>
      <c r="I262" t="s">
        <v>106</v>
      </c>
      <c r="J262" t="s">
        <v>63</v>
      </c>
      <c r="K262" s="2">
        <v>45834</v>
      </c>
      <c r="L262" s="2">
        <v>46014</v>
      </c>
      <c r="M262" t="s">
        <v>38</v>
      </c>
      <c r="N262" t="s">
        <v>75</v>
      </c>
      <c r="O262">
        <v>5</v>
      </c>
      <c r="P262" t="s">
        <v>62</v>
      </c>
      <c r="Q262" s="2">
        <v>46267</v>
      </c>
      <c r="R262" t="s">
        <v>64</v>
      </c>
    </row>
    <row r="263" spans="1:18" x14ac:dyDescent="0.2">
      <c r="A263" t="s">
        <v>580</v>
      </c>
      <c r="B263" t="s">
        <v>581</v>
      </c>
      <c r="C263" t="s">
        <v>31</v>
      </c>
      <c r="D263" t="s">
        <v>87</v>
      </c>
      <c r="E263" t="s">
        <v>91</v>
      </c>
      <c r="F263" t="s">
        <v>34</v>
      </c>
      <c r="G263" t="s">
        <v>35</v>
      </c>
      <c r="H263" t="s">
        <v>47</v>
      </c>
      <c r="I263" t="s">
        <v>39</v>
      </c>
      <c r="J263" t="s">
        <v>63</v>
      </c>
      <c r="K263" s="2">
        <v>45940</v>
      </c>
      <c r="L263" s="2">
        <v>46120</v>
      </c>
      <c r="M263" t="s">
        <v>38</v>
      </c>
      <c r="N263" t="s">
        <v>75</v>
      </c>
      <c r="O263">
        <v>2</v>
      </c>
      <c r="P263" t="s">
        <v>54</v>
      </c>
      <c r="Q263" s="2">
        <v>46329</v>
      </c>
      <c r="R263" t="s">
        <v>84</v>
      </c>
    </row>
    <row r="264" spans="1:18" x14ac:dyDescent="0.2">
      <c r="A264" t="s">
        <v>582</v>
      </c>
      <c r="B264" t="s">
        <v>583</v>
      </c>
      <c r="C264" t="s">
        <v>31</v>
      </c>
      <c r="D264" t="s">
        <v>83</v>
      </c>
      <c r="E264" t="s">
        <v>91</v>
      </c>
      <c r="F264" t="s">
        <v>67</v>
      </c>
      <c r="G264" t="s">
        <v>68</v>
      </c>
      <c r="H264" t="s">
        <v>88</v>
      </c>
      <c r="I264" t="s">
        <v>111</v>
      </c>
      <c r="J264" t="s">
        <v>48</v>
      </c>
      <c r="K264" s="2">
        <v>45811</v>
      </c>
      <c r="L264" s="2">
        <v>46176</v>
      </c>
      <c r="M264" t="s">
        <v>38</v>
      </c>
      <c r="N264" t="s">
        <v>75</v>
      </c>
      <c r="O264">
        <v>2</v>
      </c>
      <c r="P264" t="s">
        <v>111</v>
      </c>
      <c r="Q264" s="2">
        <v>46202</v>
      </c>
      <c r="R264" t="s">
        <v>38</v>
      </c>
    </row>
    <row r="265" spans="1:18" x14ac:dyDescent="0.2">
      <c r="A265" t="s">
        <v>584</v>
      </c>
      <c r="B265" t="s">
        <v>585</v>
      </c>
      <c r="C265" t="s">
        <v>73</v>
      </c>
      <c r="D265" t="s">
        <v>74</v>
      </c>
      <c r="E265" t="s">
        <v>91</v>
      </c>
      <c r="F265" t="s">
        <v>45</v>
      </c>
      <c r="G265" t="s">
        <v>61</v>
      </c>
      <c r="H265" t="s">
        <v>36</v>
      </c>
      <c r="I265" t="s">
        <v>50</v>
      </c>
      <c r="J265" t="s">
        <v>63</v>
      </c>
      <c r="K265" s="2">
        <v>45927</v>
      </c>
      <c r="L265" s="2">
        <v>46107</v>
      </c>
      <c r="M265" t="s">
        <v>38</v>
      </c>
      <c r="N265" t="s">
        <v>49</v>
      </c>
      <c r="O265">
        <v>0</v>
      </c>
      <c r="P265" t="s">
        <v>56</v>
      </c>
      <c r="Q265" s="2">
        <v>46228</v>
      </c>
      <c r="R265" t="s">
        <v>57</v>
      </c>
    </row>
    <row r="266" spans="1:18" x14ac:dyDescent="0.2">
      <c r="A266" t="s">
        <v>586</v>
      </c>
      <c r="B266" t="s">
        <v>587</v>
      </c>
      <c r="C266" t="s">
        <v>31</v>
      </c>
      <c r="D266" t="s">
        <v>32</v>
      </c>
      <c r="E266" t="s">
        <v>53</v>
      </c>
      <c r="F266" t="s">
        <v>67</v>
      </c>
      <c r="G266" t="s">
        <v>118</v>
      </c>
      <c r="H266" t="s">
        <v>47</v>
      </c>
      <c r="I266" t="s">
        <v>56</v>
      </c>
      <c r="J266" t="s">
        <v>48</v>
      </c>
      <c r="K266" s="2">
        <v>46038</v>
      </c>
      <c r="L266" s="2">
        <v>46128</v>
      </c>
      <c r="M266" t="s">
        <v>38</v>
      </c>
      <c r="N266" t="s">
        <v>75</v>
      </c>
      <c r="O266">
        <v>0</v>
      </c>
      <c r="P266" t="s">
        <v>70</v>
      </c>
      <c r="Q266" s="2">
        <v>46413</v>
      </c>
      <c r="R266" t="s">
        <v>57</v>
      </c>
    </row>
    <row r="267" spans="1:18" x14ac:dyDescent="0.2">
      <c r="A267" t="s">
        <v>588</v>
      </c>
      <c r="B267" t="s">
        <v>589</v>
      </c>
      <c r="C267" t="s">
        <v>96</v>
      </c>
      <c r="D267" t="s">
        <v>97</v>
      </c>
      <c r="E267" t="s">
        <v>60</v>
      </c>
      <c r="F267" t="s">
        <v>34</v>
      </c>
      <c r="G267" t="s">
        <v>35</v>
      </c>
      <c r="H267" t="s">
        <v>47</v>
      </c>
      <c r="I267" t="s">
        <v>39</v>
      </c>
      <c r="J267" t="s">
        <v>37</v>
      </c>
      <c r="K267" s="2">
        <v>45830</v>
      </c>
      <c r="L267" s="2">
        <v>45920</v>
      </c>
      <c r="M267" t="s">
        <v>38</v>
      </c>
      <c r="N267" t="s">
        <v>55</v>
      </c>
      <c r="O267">
        <v>1</v>
      </c>
      <c r="P267" t="s">
        <v>50</v>
      </c>
      <c r="Q267" s="2">
        <v>46290</v>
      </c>
      <c r="R267" t="s">
        <v>38</v>
      </c>
    </row>
    <row r="268" spans="1:18" x14ac:dyDescent="0.2">
      <c r="A268" t="s">
        <v>590</v>
      </c>
      <c r="B268" t="s">
        <v>591</v>
      </c>
      <c r="C268" t="s">
        <v>31</v>
      </c>
      <c r="D268" t="s">
        <v>83</v>
      </c>
      <c r="E268" t="s">
        <v>53</v>
      </c>
      <c r="F268" t="s">
        <v>45</v>
      </c>
      <c r="G268" t="s">
        <v>61</v>
      </c>
      <c r="H268" t="s">
        <v>88</v>
      </c>
      <c r="I268" t="s">
        <v>50</v>
      </c>
      <c r="J268" t="s">
        <v>48</v>
      </c>
      <c r="K268" s="2">
        <v>46115</v>
      </c>
      <c r="L268" s="2">
        <v>46480</v>
      </c>
      <c r="M268" t="s">
        <v>64</v>
      </c>
      <c r="N268" t="s">
        <v>75</v>
      </c>
      <c r="O268">
        <v>2</v>
      </c>
      <c r="P268" t="s">
        <v>111</v>
      </c>
      <c r="Q268" s="2">
        <v>46222</v>
      </c>
      <c r="R268" t="s">
        <v>38</v>
      </c>
    </row>
    <row r="269" spans="1:18" x14ac:dyDescent="0.2">
      <c r="A269" t="s">
        <v>592</v>
      </c>
      <c r="B269" t="s">
        <v>593</v>
      </c>
      <c r="C269" t="s">
        <v>103</v>
      </c>
      <c r="D269" t="s">
        <v>104</v>
      </c>
      <c r="E269" t="s">
        <v>60</v>
      </c>
      <c r="F269" t="s">
        <v>45</v>
      </c>
      <c r="G269" t="s">
        <v>46</v>
      </c>
      <c r="H269" t="s">
        <v>88</v>
      </c>
      <c r="I269" t="s">
        <v>62</v>
      </c>
      <c r="J269" t="s">
        <v>37</v>
      </c>
      <c r="K269" s="2">
        <v>46069</v>
      </c>
      <c r="L269" s="2">
        <v>46249</v>
      </c>
      <c r="M269" t="s">
        <v>38</v>
      </c>
      <c r="N269" t="s">
        <v>75</v>
      </c>
      <c r="O269">
        <v>3</v>
      </c>
      <c r="P269" t="s">
        <v>39</v>
      </c>
      <c r="Q269" s="2">
        <v>46117</v>
      </c>
      <c r="R269" t="s">
        <v>64</v>
      </c>
    </row>
    <row r="270" spans="1:18" x14ac:dyDescent="0.2">
      <c r="A270" t="s">
        <v>594</v>
      </c>
      <c r="B270" t="s">
        <v>595</v>
      </c>
      <c r="C270" t="s">
        <v>42</v>
      </c>
      <c r="D270" t="s">
        <v>43</v>
      </c>
      <c r="E270" t="s">
        <v>105</v>
      </c>
      <c r="F270" t="s">
        <v>67</v>
      </c>
      <c r="G270" t="s">
        <v>68</v>
      </c>
      <c r="H270" t="s">
        <v>88</v>
      </c>
      <c r="I270" t="s">
        <v>54</v>
      </c>
      <c r="J270" t="s">
        <v>48</v>
      </c>
      <c r="K270" s="2">
        <v>46160</v>
      </c>
      <c r="L270" s="2">
        <v>46525</v>
      </c>
      <c r="M270" t="s">
        <v>69</v>
      </c>
      <c r="N270" t="s">
        <v>55</v>
      </c>
      <c r="O270">
        <v>0</v>
      </c>
      <c r="P270" t="s">
        <v>39</v>
      </c>
      <c r="Q270" s="2">
        <v>46311</v>
      </c>
      <c r="R270" t="s">
        <v>57</v>
      </c>
    </row>
    <row r="271" spans="1:18" x14ac:dyDescent="0.2">
      <c r="A271" t="s">
        <v>596</v>
      </c>
      <c r="B271" t="s">
        <v>597</v>
      </c>
      <c r="C271" t="s">
        <v>78</v>
      </c>
      <c r="D271" t="s">
        <v>79</v>
      </c>
      <c r="E271" t="s">
        <v>80</v>
      </c>
      <c r="F271" t="s">
        <v>67</v>
      </c>
      <c r="G271" t="s">
        <v>118</v>
      </c>
      <c r="H271" t="s">
        <v>36</v>
      </c>
      <c r="I271" t="s">
        <v>106</v>
      </c>
      <c r="J271" t="s">
        <v>48</v>
      </c>
      <c r="K271" s="2">
        <v>46053</v>
      </c>
      <c r="L271" s="2">
        <v>46418</v>
      </c>
      <c r="M271" t="s">
        <v>69</v>
      </c>
      <c r="N271" t="s">
        <v>75</v>
      </c>
      <c r="O271">
        <v>2</v>
      </c>
      <c r="P271" t="s">
        <v>54</v>
      </c>
      <c r="Q271" s="2">
        <v>46211</v>
      </c>
      <c r="R271" t="s">
        <v>64</v>
      </c>
    </row>
    <row r="272" spans="1:18" x14ac:dyDescent="0.2">
      <c r="A272" t="s">
        <v>598</v>
      </c>
      <c r="B272" t="s">
        <v>599</v>
      </c>
      <c r="C272" t="s">
        <v>31</v>
      </c>
      <c r="D272" t="s">
        <v>87</v>
      </c>
      <c r="E272" t="s">
        <v>44</v>
      </c>
      <c r="F272" t="s">
        <v>34</v>
      </c>
      <c r="G272" t="s">
        <v>35</v>
      </c>
      <c r="H272" t="s">
        <v>36</v>
      </c>
      <c r="I272" t="s">
        <v>50</v>
      </c>
      <c r="J272" t="s">
        <v>48</v>
      </c>
      <c r="K272" s="2">
        <v>46212</v>
      </c>
      <c r="L272" s="2">
        <v>46392</v>
      </c>
      <c r="M272" t="s">
        <v>84</v>
      </c>
      <c r="N272" t="s">
        <v>75</v>
      </c>
      <c r="O272">
        <v>5</v>
      </c>
      <c r="P272" t="s">
        <v>70</v>
      </c>
      <c r="Q272" s="2">
        <v>46245</v>
      </c>
      <c r="R272" t="s">
        <v>38</v>
      </c>
    </row>
    <row r="273" spans="1:18" x14ac:dyDescent="0.2">
      <c r="A273" t="s">
        <v>600</v>
      </c>
      <c r="B273" t="s">
        <v>601</v>
      </c>
      <c r="C273" t="s">
        <v>103</v>
      </c>
      <c r="D273" t="s">
        <v>104</v>
      </c>
      <c r="E273" t="s">
        <v>105</v>
      </c>
      <c r="F273" t="s">
        <v>34</v>
      </c>
      <c r="G273" t="s">
        <v>35</v>
      </c>
      <c r="H273" t="s">
        <v>88</v>
      </c>
      <c r="I273" t="s">
        <v>62</v>
      </c>
      <c r="J273" t="s">
        <v>63</v>
      </c>
      <c r="K273" s="2">
        <v>46048</v>
      </c>
      <c r="L273" s="2">
        <v>46228</v>
      </c>
      <c r="M273" t="s">
        <v>38</v>
      </c>
      <c r="N273" t="s">
        <v>55</v>
      </c>
      <c r="O273">
        <v>2</v>
      </c>
      <c r="P273" t="s">
        <v>39</v>
      </c>
      <c r="Q273" s="2">
        <v>46357</v>
      </c>
      <c r="R273" t="s">
        <v>84</v>
      </c>
    </row>
    <row r="274" spans="1:18" x14ac:dyDescent="0.2">
      <c r="A274" t="s">
        <v>602</v>
      </c>
      <c r="B274" t="s">
        <v>603</v>
      </c>
      <c r="C274" t="s">
        <v>31</v>
      </c>
      <c r="D274" t="s">
        <v>32</v>
      </c>
      <c r="E274" t="s">
        <v>91</v>
      </c>
      <c r="F274" t="s">
        <v>67</v>
      </c>
      <c r="G274" t="s">
        <v>118</v>
      </c>
      <c r="H274" t="s">
        <v>47</v>
      </c>
      <c r="I274" t="s">
        <v>56</v>
      </c>
      <c r="J274" t="s">
        <v>48</v>
      </c>
      <c r="K274" s="2">
        <v>45957</v>
      </c>
      <c r="L274" s="2">
        <v>46322</v>
      </c>
      <c r="M274" t="s">
        <v>69</v>
      </c>
      <c r="N274" t="s">
        <v>55</v>
      </c>
      <c r="O274">
        <v>0</v>
      </c>
      <c r="P274" t="s">
        <v>111</v>
      </c>
      <c r="Q274" s="2">
        <v>46259</v>
      </c>
      <c r="R274" t="s">
        <v>57</v>
      </c>
    </row>
    <row r="275" spans="1:18" x14ac:dyDescent="0.2">
      <c r="A275" t="s">
        <v>604</v>
      </c>
      <c r="B275" t="s">
        <v>605</v>
      </c>
      <c r="C275" t="s">
        <v>96</v>
      </c>
      <c r="D275" t="s">
        <v>97</v>
      </c>
      <c r="E275" t="s">
        <v>53</v>
      </c>
      <c r="F275" t="s">
        <v>45</v>
      </c>
      <c r="G275" t="s">
        <v>46</v>
      </c>
      <c r="H275" t="s">
        <v>36</v>
      </c>
      <c r="I275" t="s">
        <v>54</v>
      </c>
      <c r="J275" t="s">
        <v>63</v>
      </c>
      <c r="K275" s="2">
        <v>46092</v>
      </c>
      <c r="L275" s="2">
        <v>46457</v>
      </c>
      <c r="M275" t="s">
        <v>64</v>
      </c>
      <c r="N275" t="s">
        <v>55</v>
      </c>
      <c r="O275">
        <v>0</v>
      </c>
      <c r="P275" t="s">
        <v>111</v>
      </c>
      <c r="Q275" s="2">
        <v>46395</v>
      </c>
      <c r="R275" t="s">
        <v>57</v>
      </c>
    </row>
    <row r="276" spans="1:18" x14ac:dyDescent="0.2">
      <c r="A276" t="s">
        <v>606</v>
      </c>
      <c r="B276" t="s">
        <v>607</v>
      </c>
      <c r="C276" t="s">
        <v>31</v>
      </c>
      <c r="D276" t="s">
        <v>32</v>
      </c>
      <c r="E276" t="s">
        <v>105</v>
      </c>
      <c r="F276" t="s">
        <v>67</v>
      </c>
      <c r="G276" t="s">
        <v>68</v>
      </c>
      <c r="H276" t="s">
        <v>47</v>
      </c>
      <c r="I276" t="s">
        <v>70</v>
      </c>
      <c r="J276" t="s">
        <v>63</v>
      </c>
      <c r="K276" s="2">
        <v>45811</v>
      </c>
      <c r="L276" s="2">
        <v>45901</v>
      </c>
      <c r="M276" t="s">
        <v>38</v>
      </c>
      <c r="N276" t="s">
        <v>49</v>
      </c>
      <c r="O276">
        <v>3</v>
      </c>
      <c r="P276" t="s">
        <v>70</v>
      </c>
      <c r="Q276" s="2">
        <v>46191</v>
      </c>
      <c r="R276" t="s">
        <v>38</v>
      </c>
    </row>
    <row r="277" spans="1:18" x14ac:dyDescent="0.2">
      <c r="A277" t="s">
        <v>608</v>
      </c>
      <c r="B277" t="s">
        <v>609</v>
      </c>
      <c r="C277" t="s">
        <v>73</v>
      </c>
      <c r="D277" t="s">
        <v>74</v>
      </c>
      <c r="E277" t="s">
        <v>80</v>
      </c>
      <c r="F277" t="s">
        <v>67</v>
      </c>
      <c r="G277" t="s">
        <v>68</v>
      </c>
      <c r="H277" t="s">
        <v>98</v>
      </c>
      <c r="I277" t="s">
        <v>56</v>
      </c>
      <c r="J277" t="s">
        <v>63</v>
      </c>
      <c r="K277" s="2">
        <v>46140</v>
      </c>
      <c r="L277" s="2">
        <v>46320</v>
      </c>
      <c r="M277" t="s">
        <v>64</v>
      </c>
      <c r="N277" t="s">
        <v>55</v>
      </c>
      <c r="O277">
        <v>0</v>
      </c>
      <c r="P277" t="s">
        <v>106</v>
      </c>
      <c r="Q277" s="2">
        <v>46263</v>
      </c>
      <c r="R277" t="s">
        <v>57</v>
      </c>
    </row>
    <row r="278" spans="1:18" x14ac:dyDescent="0.2">
      <c r="A278" t="s">
        <v>610</v>
      </c>
      <c r="B278" t="s">
        <v>611</v>
      </c>
      <c r="C278" t="s">
        <v>42</v>
      </c>
      <c r="D278" t="s">
        <v>43</v>
      </c>
      <c r="E278" t="s">
        <v>105</v>
      </c>
      <c r="F278" t="s">
        <v>67</v>
      </c>
      <c r="G278" t="s">
        <v>68</v>
      </c>
      <c r="H278" t="s">
        <v>36</v>
      </c>
      <c r="I278" t="s">
        <v>39</v>
      </c>
      <c r="J278" t="s">
        <v>48</v>
      </c>
      <c r="K278" s="2">
        <v>46271</v>
      </c>
      <c r="L278" s="2">
        <v>46361</v>
      </c>
      <c r="M278" t="s">
        <v>84</v>
      </c>
      <c r="N278" t="s">
        <v>75</v>
      </c>
      <c r="O278">
        <v>2</v>
      </c>
      <c r="P278" t="s">
        <v>106</v>
      </c>
      <c r="Q278" s="2">
        <v>46339</v>
      </c>
      <c r="R278" t="s">
        <v>84</v>
      </c>
    </row>
    <row r="279" spans="1:18" x14ac:dyDescent="0.2">
      <c r="A279" t="s">
        <v>612</v>
      </c>
      <c r="B279" t="s">
        <v>613</v>
      </c>
      <c r="C279" t="s">
        <v>31</v>
      </c>
      <c r="D279" t="s">
        <v>87</v>
      </c>
      <c r="E279" t="s">
        <v>105</v>
      </c>
      <c r="F279" t="s">
        <v>67</v>
      </c>
      <c r="G279" t="s">
        <v>68</v>
      </c>
      <c r="H279" t="s">
        <v>88</v>
      </c>
      <c r="I279" t="s">
        <v>111</v>
      </c>
      <c r="J279" t="s">
        <v>48</v>
      </c>
      <c r="K279" s="2">
        <v>46136</v>
      </c>
      <c r="L279" s="2">
        <v>46316</v>
      </c>
      <c r="M279" t="s">
        <v>69</v>
      </c>
      <c r="N279" t="s">
        <v>75</v>
      </c>
      <c r="O279">
        <v>1</v>
      </c>
      <c r="P279" t="s">
        <v>70</v>
      </c>
      <c r="Q279" s="2">
        <v>46172</v>
      </c>
      <c r="R279" t="s">
        <v>64</v>
      </c>
    </row>
    <row r="280" spans="1:18" x14ac:dyDescent="0.2">
      <c r="A280" t="s">
        <v>614</v>
      </c>
      <c r="B280" t="s">
        <v>615</v>
      </c>
      <c r="C280" t="s">
        <v>96</v>
      </c>
      <c r="D280" t="s">
        <v>97</v>
      </c>
      <c r="E280" t="s">
        <v>60</v>
      </c>
      <c r="F280" t="s">
        <v>67</v>
      </c>
      <c r="G280" t="s">
        <v>118</v>
      </c>
      <c r="H280" t="s">
        <v>88</v>
      </c>
      <c r="I280" t="s">
        <v>50</v>
      </c>
      <c r="J280" t="s">
        <v>48</v>
      </c>
      <c r="K280" s="2">
        <v>45963</v>
      </c>
      <c r="L280" s="2">
        <v>46143</v>
      </c>
      <c r="M280" t="s">
        <v>38</v>
      </c>
      <c r="N280" t="s">
        <v>75</v>
      </c>
      <c r="O280">
        <v>0</v>
      </c>
      <c r="P280" t="s">
        <v>62</v>
      </c>
      <c r="Q280" s="2">
        <v>46181</v>
      </c>
      <c r="R280" t="s">
        <v>57</v>
      </c>
    </row>
    <row r="281" spans="1:18" x14ac:dyDescent="0.2">
      <c r="A281" t="s">
        <v>616</v>
      </c>
      <c r="B281" t="s">
        <v>617</v>
      </c>
      <c r="C281" t="s">
        <v>31</v>
      </c>
      <c r="D281" t="s">
        <v>32</v>
      </c>
      <c r="E281" t="s">
        <v>105</v>
      </c>
      <c r="F281" t="s">
        <v>67</v>
      </c>
      <c r="G281" t="s">
        <v>68</v>
      </c>
      <c r="H281" t="s">
        <v>47</v>
      </c>
      <c r="I281" t="s">
        <v>106</v>
      </c>
      <c r="J281" t="s">
        <v>63</v>
      </c>
      <c r="K281" s="2">
        <v>46269</v>
      </c>
      <c r="L281" s="2">
        <v>46634</v>
      </c>
      <c r="M281" t="s">
        <v>84</v>
      </c>
      <c r="N281" t="s">
        <v>49</v>
      </c>
      <c r="O281">
        <v>2</v>
      </c>
      <c r="P281" t="s">
        <v>54</v>
      </c>
      <c r="Q281" s="2">
        <v>46380</v>
      </c>
      <c r="R281" t="s">
        <v>84</v>
      </c>
    </row>
    <row r="282" spans="1:18" x14ac:dyDescent="0.2">
      <c r="A282" t="s">
        <v>618</v>
      </c>
      <c r="B282" t="s">
        <v>619</v>
      </c>
      <c r="C282" t="s">
        <v>96</v>
      </c>
      <c r="D282" t="s">
        <v>97</v>
      </c>
      <c r="E282" t="s">
        <v>91</v>
      </c>
      <c r="F282" t="s">
        <v>67</v>
      </c>
      <c r="G282" t="s">
        <v>118</v>
      </c>
      <c r="H282" t="s">
        <v>88</v>
      </c>
      <c r="I282" t="s">
        <v>62</v>
      </c>
      <c r="J282" t="s">
        <v>48</v>
      </c>
      <c r="K282" s="2">
        <v>46199</v>
      </c>
      <c r="L282" s="2">
        <v>46564</v>
      </c>
      <c r="M282" t="s">
        <v>84</v>
      </c>
      <c r="N282" t="s">
        <v>55</v>
      </c>
      <c r="O282">
        <v>1</v>
      </c>
      <c r="P282" t="s">
        <v>70</v>
      </c>
      <c r="Q282" s="2">
        <v>46373</v>
      </c>
      <c r="R282" t="s">
        <v>84</v>
      </c>
    </row>
    <row r="283" spans="1:18" x14ac:dyDescent="0.2">
      <c r="A283" t="s">
        <v>620</v>
      </c>
      <c r="B283" t="s">
        <v>621</v>
      </c>
      <c r="C283" t="s">
        <v>31</v>
      </c>
      <c r="D283" t="s">
        <v>32</v>
      </c>
      <c r="E283" t="s">
        <v>44</v>
      </c>
      <c r="F283" t="s">
        <v>67</v>
      </c>
      <c r="G283" t="s">
        <v>118</v>
      </c>
      <c r="H283" t="s">
        <v>88</v>
      </c>
      <c r="I283" t="s">
        <v>56</v>
      </c>
      <c r="J283" t="s">
        <v>37</v>
      </c>
      <c r="K283" s="2">
        <v>46250</v>
      </c>
      <c r="L283" s="2">
        <v>46615</v>
      </c>
      <c r="M283" t="s">
        <v>64</v>
      </c>
      <c r="N283" t="s">
        <v>49</v>
      </c>
      <c r="O283">
        <v>3</v>
      </c>
      <c r="P283" t="s">
        <v>111</v>
      </c>
      <c r="Q283" s="2">
        <v>46321</v>
      </c>
      <c r="R283" t="s">
        <v>84</v>
      </c>
    </row>
    <row r="284" spans="1:18" x14ac:dyDescent="0.2">
      <c r="A284" t="s">
        <v>622</v>
      </c>
      <c r="B284" t="s">
        <v>623</v>
      </c>
      <c r="C284" t="s">
        <v>78</v>
      </c>
      <c r="D284" t="s">
        <v>79</v>
      </c>
      <c r="E284" t="s">
        <v>80</v>
      </c>
      <c r="F284" t="s">
        <v>45</v>
      </c>
      <c r="G284" t="s">
        <v>61</v>
      </c>
      <c r="H284" t="s">
        <v>88</v>
      </c>
      <c r="I284" t="s">
        <v>111</v>
      </c>
      <c r="J284" t="s">
        <v>63</v>
      </c>
      <c r="K284" s="2">
        <v>45894</v>
      </c>
      <c r="L284" s="2">
        <v>46259</v>
      </c>
      <c r="M284" t="s">
        <v>38</v>
      </c>
      <c r="N284" t="s">
        <v>55</v>
      </c>
      <c r="O284">
        <v>0</v>
      </c>
      <c r="P284" t="s">
        <v>39</v>
      </c>
      <c r="Q284" s="2">
        <v>46321</v>
      </c>
      <c r="R284" t="s">
        <v>57</v>
      </c>
    </row>
    <row r="285" spans="1:18" x14ac:dyDescent="0.2">
      <c r="A285" t="s">
        <v>624</v>
      </c>
      <c r="B285" t="s">
        <v>625</v>
      </c>
      <c r="C285" t="s">
        <v>96</v>
      </c>
      <c r="D285" t="s">
        <v>97</v>
      </c>
      <c r="E285" t="s">
        <v>60</v>
      </c>
      <c r="F285" t="s">
        <v>45</v>
      </c>
      <c r="G285" t="s">
        <v>61</v>
      </c>
      <c r="H285" t="s">
        <v>88</v>
      </c>
      <c r="I285" t="s">
        <v>111</v>
      </c>
      <c r="J285" t="s">
        <v>63</v>
      </c>
      <c r="K285" s="2">
        <v>46101</v>
      </c>
      <c r="L285" s="2">
        <v>46281</v>
      </c>
      <c r="M285" t="s">
        <v>38</v>
      </c>
      <c r="N285" t="s">
        <v>55</v>
      </c>
      <c r="O285">
        <v>1</v>
      </c>
      <c r="P285" t="s">
        <v>106</v>
      </c>
      <c r="Q285" s="2">
        <v>46347</v>
      </c>
      <c r="R285" t="s">
        <v>64</v>
      </c>
    </row>
    <row r="286" spans="1:18" x14ac:dyDescent="0.2">
      <c r="A286" t="s">
        <v>626</v>
      </c>
      <c r="B286" t="s">
        <v>627</v>
      </c>
      <c r="C286" t="s">
        <v>31</v>
      </c>
      <c r="D286" t="s">
        <v>32</v>
      </c>
      <c r="E286" t="s">
        <v>105</v>
      </c>
      <c r="F286" t="s">
        <v>34</v>
      </c>
      <c r="G286" t="s">
        <v>35</v>
      </c>
      <c r="H286" t="s">
        <v>47</v>
      </c>
      <c r="I286" t="s">
        <v>54</v>
      </c>
      <c r="J286" t="s">
        <v>48</v>
      </c>
      <c r="K286" s="2">
        <v>46274</v>
      </c>
      <c r="L286" s="2">
        <v>46454</v>
      </c>
      <c r="M286" t="s">
        <v>64</v>
      </c>
      <c r="N286" t="s">
        <v>49</v>
      </c>
      <c r="O286">
        <v>2</v>
      </c>
      <c r="P286" t="s">
        <v>111</v>
      </c>
      <c r="Q286" s="2">
        <v>46395</v>
      </c>
      <c r="R286" t="s">
        <v>84</v>
      </c>
    </row>
    <row r="287" spans="1:18" x14ac:dyDescent="0.2">
      <c r="A287" t="s">
        <v>628</v>
      </c>
      <c r="B287" t="s">
        <v>629</v>
      </c>
      <c r="C287" t="s">
        <v>103</v>
      </c>
      <c r="D287" t="s">
        <v>104</v>
      </c>
      <c r="E287" t="s">
        <v>105</v>
      </c>
      <c r="F287" t="s">
        <v>45</v>
      </c>
      <c r="G287" t="s">
        <v>61</v>
      </c>
      <c r="H287" t="s">
        <v>47</v>
      </c>
      <c r="J287" t="s">
        <v>37</v>
      </c>
      <c r="K287" s="2">
        <v>46175</v>
      </c>
      <c r="L287" s="2">
        <v>46265</v>
      </c>
      <c r="M287" t="s">
        <v>38</v>
      </c>
      <c r="N287" t="s">
        <v>55</v>
      </c>
      <c r="O287">
        <v>3</v>
      </c>
      <c r="P287" t="s">
        <v>70</v>
      </c>
      <c r="Q287" s="2">
        <v>46225</v>
      </c>
      <c r="R287" t="s">
        <v>38</v>
      </c>
    </row>
    <row r="288" spans="1:18" x14ac:dyDescent="0.2">
      <c r="A288" t="s">
        <v>630</v>
      </c>
      <c r="B288" t="s">
        <v>631</v>
      </c>
      <c r="C288" t="s">
        <v>96</v>
      </c>
      <c r="D288" t="s">
        <v>97</v>
      </c>
      <c r="E288" t="s">
        <v>91</v>
      </c>
      <c r="F288" t="s">
        <v>67</v>
      </c>
      <c r="G288" t="s">
        <v>68</v>
      </c>
      <c r="H288" t="s">
        <v>36</v>
      </c>
      <c r="I288" t="s">
        <v>70</v>
      </c>
      <c r="J288" t="s">
        <v>63</v>
      </c>
      <c r="K288" s="2">
        <v>45880</v>
      </c>
      <c r="L288" s="2">
        <v>46060</v>
      </c>
      <c r="M288" t="s">
        <v>38</v>
      </c>
      <c r="N288" t="s">
        <v>75</v>
      </c>
      <c r="O288">
        <v>5</v>
      </c>
      <c r="P288" t="s">
        <v>39</v>
      </c>
      <c r="Q288" s="2">
        <v>46373</v>
      </c>
      <c r="R288" t="s">
        <v>64</v>
      </c>
    </row>
    <row r="289" spans="1:18" x14ac:dyDescent="0.2">
      <c r="A289" t="s">
        <v>632</v>
      </c>
      <c r="B289" t="s">
        <v>633</v>
      </c>
      <c r="C289" t="s">
        <v>73</v>
      </c>
      <c r="D289" t="s">
        <v>74</v>
      </c>
      <c r="E289" t="s">
        <v>60</v>
      </c>
      <c r="F289" t="s">
        <v>34</v>
      </c>
      <c r="G289" t="s">
        <v>35</v>
      </c>
      <c r="H289" t="s">
        <v>88</v>
      </c>
      <c r="I289" t="s">
        <v>50</v>
      </c>
      <c r="J289" t="s">
        <v>37</v>
      </c>
      <c r="K289" s="2">
        <v>45921</v>
      </c>
      <c r="L289" s="2">
        <v>46286</v>
      </c>
      <c r="M289" t="s">
        <v>38</v>
      </c>
      <c r="N289" t="s">
        <v>55</v>
      </c>
      <c r="O289">
        <v>1</v>
      </c>
      <c r="P289" t="s">
        <v>62</v>
      </c>
      <c r="Q289" s="2">
        <v>46168</v>
      </c>
      <c r="R289" t="s">
        <v>38</v>
      </c>
    </row>
    <row r="290" spans="1:18" x14ac:dyDescent="0.2">
      <c r="A290" t="s">
        <v>634</v>
      </c>
      <c r="B290" t="s">
        <v>635</v>
      </c>
      <c r="C290" t="s">
        <v>103</v>
      </c>
      <c r="D290" t="s">
        <v>104</v>
      </c>
      <c r="E290" t="s">
        <v>53</v>
      </c>
      <c r="F290" t="s">
        <v>34</v>
      </c>
      <c r="G290" t="s">
        <v>35</v>
      </c>
      <c r="H290" t="s">
        <v>88</v>
      </c>
      <c r="I290" t="s">
        <v>106</v>
      </c>
      <c r="J290" t="s">
        <v>48</v>
      </c>
      <c r="K290" s="2">
        <v>46125</v>
      </c>
      <c r="L290" s="2">
        <v>46305</v>
      </c>
      <c r="M290" t="s">
        <v>84</v>
      </c>
      <c r="N290" t="s">
        <v>75</v>
      </c>
      <c r="O290">
        <v>2</v>
      </c>
      <c r="P290" t="s">
        <v>56</v>
      </c>
      <c r="Q290" s="2">
        <v>46395</v>
      </c>
      <c r="R290" t="s">
        <v>84</v>
      </c>
    </row>
    <row r="291" spans="1:18" x14ac:dyDescent="0.2">
      <c r="A291" t="s">
        <v>636</v>
      </c>
      <c r="B291" t="s">
        <v>637</v>
      </c>
      <c r="C291" t="s">
        <v>96</v>
      </c>
      <c r="D291" t="s">
        <v>97</v>
      </c>
      <c r="E291" t="s">
        <v>91</v>
      </c>
      <c r="F291" t="s">
        <v>34</v>
      </c>
      <c r="G291" t="s">
        <v>35</v>
      </c>
      <c r="H291" t="s">
        <v>47</v>
      </c>
      <c r="I291" t="s">
        <v>50</v>
      </c>
      <c r="J291" t="s">
        <v>63</v>
      </c>
      <c r="K291" s="2">
        <v>46018</v>
      </c>
      <c r="L291" s="2">
        <v>46383</v>
      </c>
      <c r="M291" t="s">
        <v>69</v>
      </c>
      <c r="N291" t="s">
        <v>49</v>
      </c>
      <c r="O291">
        <v>0</v>
      </c>
      <c r="P291" t="s">
        <v>62</v>
      </c>
      <c r="Q291" s="2">
        <v>46295</v>
      </c>
      <c r="R291" t="s">
        <v>57</v>
      </c>
    </row>
    <row r="292" spans="1:18" x14ac:dyDescent="0.2">
      <c r="A292" t="s">
        <v>638</v>
      </c>
      <c r="B292" t="s">
        <v>639</v>
      </c>
      <c r="C292" t="s">
        <v>42</v>
      </c>
      <c r="D292" t="s">
        <v>43</v>
      </c>
      <c r="E292" t="s">
        <v>80</v>
      </c>
      <c r="F292" t="s">
        <v>34</v>
      </c>
      <c r="G292" t="s">
        <v>35</v>
      </c>
      <c r="H292" t="s">
        <v>36</v>
      </c>
      <c r="I292" t="s">
        <v>70</v>
      </c>
      <c r="J292" t="s">
        <v>48</v>
      </c>
      <c r="K292" s="2">
        <v>46263</v>
      </c>
      <c r="L292" s="2">
        <v>46443</v>
      </c>
      <c r="M292" t="s">
        <v>64</v>
      </c>
      <c r="N292" t="s">
        <v>49</v>
      </c>
      <c r="O292">
        <v>0</v>
      </c>
      <c r="P292" t="s">
        <v>56</v>
      </c>
      <c r="Q292" s="2">
        <v>46217</v>
      </c>
      <c r="R292" t="s">
        <v>57</v>
      </c>
    </row>
    <row r="293" spans="1:18" x14ac:dyDescent="0.2">
      <c r="A293" t="s">
        <v>640</v>
      </c>
      <c r="B293" t="s">
        <v>641</v>
      </c>
      <c r="C293" t="s">
        <v>103</v>
      </c>
      <c r="D293" t="s">
        <v>104</v>
      </c>
      <c r="E293" t="s">
        <v>44</v>
      </c>
      <c r="F293" t="s">
        <v>34</v>
      </c>
      <c r="G293" t="s">
        <v>35</v>
      </c>
      <c r="H293" t="s">
        <v>36</v>
      </c>
      <c r="I293" t="s">
        <v>56</v>
      </c>
      <c r="J293" t="s">
        <v>63</v>
      </c>
      <c r="K293" s="2">
        <v>46171</v>
      </c>
      <c r="L293" s="2">
        <v>46536</v>
      </c>
      <c r="M293" t="s">
        <v>64</v>
      </c>
      <c r="N293" t="s">
        <v>75</v>
      </c>
      <c r="O293">
        <v>0</v>
      </c>
      <c r="P293" t="s">
        <v>62</v>
      </c>
      <c r="Q293" s="2">
        <v>46402</v>
      </c>
      <c r="R293" t="s">
        <v>57</v>
      </c>
    </row>
    <row r="294" spans="1:18" x14ac:dyDescent="0.2">
      <c r="A294" t="s">
        <v>642</v>
      </c>
      <c r="B294" t="s">
        <v>643</v>
      </c>
      <c r="C294" t="s">
        <v>42</v>
      </c>
      <c r="D294" t="s">
        <v>43</v>
      </c>
      <c r="E294" t="s">
        <v>91</v>
      </c>
      <c r="F294" t="s">
        <v>45</v>
      </c>
      <c r="G294" t="s">
        <v>61</v>
      </c>
      <c r="H294" t="s">
        <v>88</v>
      </c>
      <c r="I294" t="s">
        <v>62</v>
      </c>
      <c r="J294" t="s">
        <v>63</v>
      </c>
      <c r="K294" s="2">
        <v>46077</v>
      </c>
      <c r="L294" s="2">
        <v>46257</v>
      </c>
      <c r="M294" t="s">
        <v>38</v>
      </c>
      <c r="N294" t="s">
        <v>49</v>
      </c>
      <c r="O294">
        <v>2</v>
      </c>
      <c r="P294" t="s">
        <v>111</v>
      </c>
      <c r="Q294" s="2">
        <v>46397</v>
      </c>
      <c r="R294" t="s">
        <v>64</v>
      </c>
    </row>
    <row r="295" spans="1:18" x14ac:dyDescent="0.2">
      <c r="A295" t="s">
        <v>644</v>
      </c>
      <c r="B295" t="s">
        <v>645</v>
      </c>
      <c r="C295" t="s">
        <v>31</v>
      </c>
      <c r="D295" t="s">
        <v>32</v>
      </c>
      <c r="E295" t="s">
        <v>60</v>
      </c>
      <c r="F295" t="s">
        <v>45</v>
      </c>
      <c r="G295" t="s">
        <v>61</v>
      </c>
      <c r="H295" t="s">
        <v>88</v>
      </c>
      <c r="I295" t="s">
        <v>54</v>
      </c>
      <c r="J295" t="s">
        <v>48</v>
      </c>
      <c r="K295" s="2">
        <v>45878</v>
      </c>
      <c r="L295" s="2">
        <v>46243</v>
      </c>
      <c r="M295" t="s">
        <v>38</v>
      </c>
      <c r="N295" t="s">
        <v>55</v>
      </c>
      <c r="O295">
        <v>2</v>
      </c>
      <c r="P295" t="s">
        <v>70</v>
      </c>
      <c r="Q295" s="2">
        <v>46344</v>
      </c>
      <c r="R295" t="s">
        <v>64</v>
      </c>
    </row>
    <row r="296" spans="1:18" x14ac:dyDescent="0.2">
      <c r="A296" t="s">
        <v>646</v>
      </c>
      <c r="B296" t="s">
        <v>647</v>
      </c>
      <c r="C296" t="s">
        <v>31</v>
      </c>
      <c r="D296" t="s">
        <v>83</v>
      </c>
      <c r="E296" t="s">
        <v>80</v>
      </c>
      <c r="F296" t="s">
        <v>67</v>
      </c>
      <c r="G296" t="s">
        <v>68</v>
      </c>
      <c r="H296" t="s">
        <v>47</v>
      </c>
      <c r="I296" t="s">
        <v>56</v>
      </c>
      <c r="J296" t="s">
        <v>48</v>
      </c>
      <c r="K296" s="2">
        <v>46209</v>
      </c>
      <c r="L296" s="2">
        <v>46299</v>
      </c>
      <c r="M296" t="s">
        <v>69</v>
      </c>
      <c r="N296" t="s">
        <v>55</v>
      </c>
      <c r="O296">
        <v>2</v>
      </c>
      <c r="P296" t="s">
        <v>106</v>
      </c>
      <c r="Q296" s="2">
        <v>46353</v>
      </c>
      <c r="R296" t="s">
        <v>84</v>
      </c>
    </row>
    <row r="297" spans="1:18" x14ac:dyDescent="0.2">
      <c r="A297" t="s">
        <v>648</v>
      </c>
      <c r="B297" t="s">
        <v>649</v>
      </c>
      <c r="C297" t="s">
        <v>31</v>
      </c>
      <c r="D297" t="s">
        <v>83</v>
      </c>
      <c r="E297" t="s">
        <v>91</v>
      </c>
      <c r="F297" t="s">
        <v>34</v>
      </c>
      <c r="G297" t="s">
        <v>35</v>
      </c>
      <c r="H297" t="s">
        <v>88</v>
      </c>
      <c r="I297" t="s">
        <v>56</v>
      </c>
      <c r="J297" t="s">
        <v>48</v>
      </c>
      <c r="K297" s="2">
        <v>46024</v>
      </c>
      <c r="L297" s="2">
        <v>46389</v>
      </c>
      <c r="M297" t="s">
        <v>84</v>
      </c>
      <c r="N297" t="s">
        <v>49</v>
      </c>
      <c r="O297">
        <v>2</v>
      </c>
      <c r="P297" t="s">
        <v>50</v>
      </c>
      <c r="Q297" s="2">
        <v>46384</v>
      </c>
      <c r="R297" t="s">
        <v>64</v>
      </c>
    </row>
    <row r="298" spans="1:18" x14ac:dyDescent="0.2">
      <c r="A298" t="s">
        <v>651</v>
      </c>
      <c r="B298" t="s">
        <v>652</v>
      </c>
      <c r="C298" t="s">
        <v>96</v>
      </c>
      <c r="D298" t="s">
        <v>97</v>
      </c>
      <c r="E298" t="s">
        <v>105</v>
      </c>
      <c r="F298" t="s">
        <v>67</v>
      </c>
      <c r="G298" t="s">
        <v>118</v>
      </c>
      <c r="H298" t="s">
        <v>88</v>
      </c>
      <c r="I298" t="s">
        <v>54</v>
      </c>
      <c r="J298" t="s">
        <v>63</v>
      </c>
      <c r="K298" s="2">
        <v>45936</v>
      </c>
      <c r="L298" s="2">
        <v>46116</v>
      </c>
      <c r="M298" t="s">
        <v>38</v>
      </c>
      <c r="N298" t="s">
        <v>75</v>
      </c>
      <c r="O298">
        <v>2</v>
      </c>
      <c r="P298" t="s">
        <v>39</v>
      </c>
      <c r="Q298" s="2">
        <v>46265</v>
      </c>
      <c r="R298" t="s">
        <v>64</v>
      </c>
    </row>
    <row r="299" spans="1:18" x14ac:dyDescent="0.2">
      <c r="A299" t="s">
        <v>653</v>
      </c>
      <c r="B299" t="s">
        <v>654</v>
      </c>
      <c r="C299" t="s">
        <v>42</v>
      </c>
      <c r="D299" t="s">
        <v>43</v>
      </c>
      <c r="E299" t="s">
        <v>80</v>
      </c>
      <c r="F299" t="s">
        <v>45</v>
      </c>
      <c r="G299" t="s">
        <v>61</v>
      </c>
      <c r="H299" t="s">
        <v>47</v>
      </c>
      <c r="I299" t="s">
        <v>54</v>
      </c>
      <c r="J299" t="s">
        <v>63</v>
      </c>
      <c r="K299" s="2">
        <v>46255</v>
      </c>
      <c r="L299" s="2">
        <v>46620</v>
      </c>
      <c r="M299" t="s">
        <v>69</v>
      </c>
      <c r="N299" t="s">
        <v>55</v>
      </c>
      <c r="O299">
        <v>3</v>
      </c>
      <c r="P299" t="s">
        <v>106</v>
      </c>
      <c r="Q299" s="2">
        <v>46246</v>
      </c>
      <c r="R299" t="s">
        <v>38</v>
      </c>
    </row>
    <row r="300" spans="1:18" x14ac:dyDescent="0.2">
      <c r="A300" t="s">
        <v>655</v>
      </c>
      <c r="B300" t="s">
        <v>656</v>
      </c>
      <c r="C300" t="s">
        <v>31</v>
      </c>
      <c r="D300" t="s">
        <v>32</v>
      </c>
      <c r="E300" t="s">
        <v>80</v>
      </c>
      <c r="F300" t="s">
        <v>34</v>
      </c>
      <c r="G300" t="s">
        <v>35</v>
      </c>
      <c r="H300" t="s">
        <v>47</v>
      </c>
      <c r="I300" t="s">
        <v>54</v>
      </c>
      <c r="J300" t="s">
        <v>63</v>
      </c>
      <c r="K300" s="2">
        <v>46111</v>
      </c>
      <c r="L300" s="2">
        <v>46476</v>
      </c>
      <c r="M300" t="s">
        <v>64</v>
      </c>
      <c r="N300" t="s">
        <v>55</v>
      </c>
      <c r="O300">
        <v>1</v>
      </c>
      <c r="P300" t="s">
        <v>54</v>
      </c>
      <c r="Q300" s="2">
        <v>46390</v>
      </c>
      <c r="R300" t="s">
        <v>84</v>
      </c>
    </row>
    <row r="301" spans="1:18" x14ac:dyDescent="0.2">
      <c r="A301" t="s">
        <v>657</v>
      </c>
      <c r="B301" t="s">
        <v>658</v>
      </c>
      <c r="C301" t="s">
        <v>73</v>
      </c>
      <c r="D301" t="s">
        <v>74</v>
      </c>
      <c r="E301" t="s">
        <v>105</v>
      </c>
      <c r="F301" t="s">
        <v>34</v>
      </c>
      <c r="G301" t="s">
        <v>35</v>
      </c>
      <c r="H301" t="s">
        <v>47</v>
      </c>
      <c r="I301" t="s">
        <v>62</v>
      </c>
      <c r="J301" t="s">
        <v>48</v>
      </c>
      <c r="K301" s="2">
        <v>45944</v>
      </c>
      <c r="L301" s="2">
        <v>46034</v>
      </c>
      <c r="M301" t="s">
        <v>38</v>
      </c>
      <c r="N301" t="s">
        <v>49</v>
      </c>
      <c r="O301">
        <v>1</v>
      </c>
      <c r="P301" t="s">
        <v>70</v>
      </c>
      <c r="Q301" s="2">
        <v>46127</v>
      </c>
      <c r="R301" t="s">
        <v>38</v>
      </c>
    </row>
    <row r="302" spans="1:18" x14ac:dyDescent="0.2">
      <c r="A302" t="s">
        <v>659</v>
      </c>
      <c r="B302" t="s">
        <v>660</v>
      </c>
      <c r="C302" t="s">
        <v>78</v>
      </c>
      <c r="D302" t="s">
        <v>79</v>
      </c>
      <c r="E302" t="s">
        <v>53</v>
      </c>
      <c r="F302" t="s">
        <v>45</v>
      </c>
      <c r="G302" t="s">
        <v>46</v>
      </c>
      <c r="H302" t="s">
        <v>88</v>
      </c>
      <c r="I302" t="s">
        <v>54</v>
      </c>
      <c r="J302" t="s">
        <v>48</v>
      </c>
      <c r="K302" s="2">
        <v>45809</v>
      </c>
      <c r="L302" s="2">
        <v>45989</v>
      </c>
      <c r="M302" t="s">
        <v>38</v>
      </c>
      <c r="N302" t="s">
        <v>75</v>
      </c>
      <c r="O302">
        <v>3</v>
      </c>
      <c r="P302" t="s">
        <v>62</v>
      </c>
      <c r="Q302" s="2">
        <v>46345</v>
      </c>
      <c r="R302" t="s">
        <v>84</v>
      </c>
    </row>
    <row r="303" spans="1:18" x14ac:dyDescent="0.2">
      <c r="A303" t="s">
        <v>661</v>
      </c>
      <c r="B303" t="s">
        <v>662</v>
      </c>
      <c r="C303" t="s">
        <v>73</v>
      </c>
      <c r="D303" t="s">
        <v>74</v>
      </c>
      <c r="E303" t="s">
        <v>60</v>
      </c>
      <c r="F303" t="s">
        <v>34</v>
      </c>
      <c r="G303" t="s">
        <v>35</v>
      </c>
      <c r="H303" t="s">
        <v>47</v>
      </c>
      <c r="I303" t="s">
        <v>70</v>
      </c>
      <c r="J303" t="s">
        <v>48</v>
      </c>
      <c r="K303" s="2">
        <v>45888</v>
      </c>
      <c r="L303" s="2">
        <v>46253</v>
      </c>
      <c r="M303" t="s">
        <v>38</v>
      </c>
      <c r="N303" t="s">
        <v>49</v>
      </c>
      <c r="O303">
        <v>0</v>
      </c>
      <c r="P303" t="s">
        <v>56</v>
      </c>
      <c r="Q303" s="2">
        <v>46152</v>
      </c>
      <c r="R303" t="s">
        <v>57</v>
      </c>
    </row>
    <row r="304" spans="1:18" x14ac:dyDescent="0.2">
      <c r="A304" t="s">
        <v>663</v>
      </c>
      <c r="B304" t="s">
        <v>664</v>
      </c>
      <c r="C304" t="s">
        <v>31</v>
      </c>
      <c r="D304" t="s">
        <v>83</v>
      </c>
      <c r="E304" t="s">
        <v>60</v>
      </c>
      <c r="F304" t="s">
        <v>34</v>
      </c>
      <c r="G304" t="s">
        <v>35</v>
      </c>
      <c r="H304" t="s">
        <v>47</v>
      </c>
      <c r="I304" t="s">
        <v>111</v>
      </c>
      <c r="J304" t="s">
        <v>48</v>
      </c>
      <c r="K304" s="2">
        <v>46080</v>
      </c>
      <c r="L304" s="2">
        <v>46260</v>
      </c>
      <c r="M304" t="s">
        <v>38</v>
      </c>
      <c r="N304" t="s">
        <v>49</v>
      </c>
      <c r="O304">
        <v>0</v>
      </c>
      <c r="P304" t="s">
        <v>50</v>
      </c>
      <c r="Q304" s="2">
        <v>46357</v>
      </c>
      <c r="R304" t="s">
        <v>57</v>
      </c>
    </row>
    <row r="305" spans="1:18" x14ac:dyDescent="0.2">
      <c r="A305" t="s">
        <v>665</v>
      </c>
      <c r="B305" t="s">
        <v>666</v>
      </c>
      <c r="C305" t="s">
        <v>78</v>
      </c>
      <c r="D305" t="s">
        <v>79</v>
      </c>
      <c r="E305" t="s">
        <v>60</v>
      </c>
      <c r="F305" t="s">
        <v>34</v>
      </c>
      <c r="G305" t="s">
        <v>35</v>
      </c>
      <c r="H305" t="s">
        <v>47</v>
      </c>
      <c r="I305" t="s">
        <v>50</v>
      </c>
      <c r="J305" t="s">
        <v>63</v>
      </c>
      <c r="K305" s="2">
        <v>46123</v>
      </c>
      <c r="L305" s="2">
        <v>46488</v>
      </c>
      <c r="M305" t="s">
        <v>69</v>
      </c>
      <c r="N305" t="s">
        <v>55</v>
      </c>
      <c r="O305">
        <v>1</v>
      </c>
      <c r="P305" t="s">
        <v>70</v>
      </c>
      <c r="Q305" s="2">
        <v>46178</v>
      </c>
      <c r="R305" t="s">
        <v>64</v>
      </c>
    </row>
    <row r="306" spans="1:18" x14ac:dyDescent="0.2">
      <c r="A306" t="s">
        <v>667</v>
      </c>
      <c r="B306" t="s">
        <v>668</v>
      </c>
      <c r="C306" t="s">
        <v>42</v>
      </c>
      <c r="D306" t="s">
        <v>43</v>
      </c>
      <c r="E306" t="s">
        <v>91</v>
      </c>
      <c r="F306" t="s">
        <v>67</v>
      </c>
      <c r="G306" t="s">
        <v>68</v>
      </c>
      <c r="H306" t="s">
        <v>36</v>
      </c>
      <c r="I306" t="s">
        <v>106</v>
      </c>
      <c r="J306" t="s">
        <v>48</v>
      </c>
      <c r="K306" s="2">
        <v>46167</v>
      </c>
      <c r="L306" s="2">
        <v>46347</v>
      </c>
      <c r="M306" t="s">
        <v>84</v>
      </c>
      <c r="N306" t="s">
        <v>55</v>
      </c>
      <c r="O306">
        <v>1</v>
      </c>
      <c r="P306" t="s">
        <v>50</v>
      </c>
      <c r="Q306" s="2">
        <v>46228</v>
      </c>
      <c r="R306" t="s">
        <v>38</v>
      </c>
    </row>
    <row r="307" spans="1:18" x14ac:dyDescent="0.2">
      <c r="A307" t="s">
        <v>669</v>
      </c>
      <c r="B307" t="s">
        <v>670</v>
      </c>
      <c r="C307" t="s">
        <v>73</v>
      </c>
      <c r="D307" t="s">
        <v>74</v>
      </c>
      <c r="E307" t="s">
        <v>60</v>
      </c>
      <c r="F307" t="s">
        <v>34</v>
      </c>
      <c r="G307" t="s">
        <v>35</v>
      </c>
      <c r="H307" t="s">
        <v>88</v>
      </c>
      <c r="I307" t="s">
        <v>70</v>
      </c>
      <c r="J307" t="s">
        <v>48</v>
      </c>
      <c r="K307" s="2">
        <v>46127</v>
      </c>
      <c r="L307" s="2">
        <v>46492</v>
      </c>
      <c r="M307" t="s">
        <v>64</v>
      </c>
      <c r="N307" t="s">
        <v>55</v>
      </c>
      <c r="O307">
        <v>1</v>
      </c>
      <c r="P307" t="s">
        <v>54</v>
      </c>
      <c r="Q307" s="2">
        <v>46412</v>
      </c>
      <c r="R307" t="s">
        <v>84</v>
      </c>
    </row>
    <row r="308" spans="1:18" x14ac:dyDescent="0.2">
      <c r="A308" t="s">
        <v>671</v>
      </c>
      <c r="B308" t="s">
        <v>672</v>
      </c>
      <c r="C308" t="s">
        <v>31</v>
      </c>
      <c r="D308" t="s">
        <v>83</v>
      </c>
      <c r="E308" t="s">
        <v>60</v>
      </c>
      <c r="F308" t="s">
        <v>45</v>
      </c>
      <c r="G308" t="s">
        <v>61</v>
      </c>
      <c r="H308" t="s">
        <v>47</v>
      </c>
      <c r="I308" t="s">
        <v>54</v>
      </c>
      <c r="J308" t="s">
        <v>63</v>
      </c>
      <c r="K308" s="2">
        <v>46113</v>
      </c>
      <c r="L308" s="2">
        <v>46293</v>
      </c>
      <c r="M308" t="s">
        <v>38</v>
      </c>
      <c r="N308" t="s">
        <v>75</v>
      </c>
      <c r="O308">
        <v>2</v>
      </c>
      <c r="P308" t="s">
        <v>106</v>
      </c>
      <c r="Q308" s="2">
        <v>46271</v>
      </c>
      <c r="R308" t="s">
        <v>38</v>
      </c>
    </row>
    <row r="309" spans="1:18" x14ac:dyDescent="0.2">
      <c r="A309" t="s">
        <v>673</v>
      </c>
      <c r="B309" t="s">
        <v>674</v>
      </c>
      <c r="C309" t="s">
        <v>31</v>
      </c>
      <c r="D309" t="s">
        <v>83</v>
      </c>
      <c r="E309" t="s">
        <v>44</v>
      </c>
      <c r="F309" t="s">
        <v>67</v>
      </c>
      <c r="G309" t="s">
        <v>118</v>
      </c>
      <c r="H309" t="s">
        <v>47</v>
      </c>
      <c r="I309" t="s">
        <v>54</v>
      </c>
      <c r="J309" t="s">
        <v>63</v>
      </c>
      <c r="K309" s="2">
        <v>45873</v>
      </c>
      <c r="L309" s="2">
        <v>45963</v>
      </c>
      <c r="M309" t="s">
        <v>38</v>
      </c>
      <c r="N309" t="s">
        <v>49</v>
      </c>
      <c r="O309">
        <v>3</v>
      </c>
      <c r="P309" t="s">
        <v>106</v>
      </c>
      <c r="Q309" s="2">
        <v>46256</v>
      </c>
      <c r="R309" t="s">
        <v>38</v>
      </c>
    </row>
    <row r="310" spans="1:18" x14ac:dyDescent="0.2">
      <c r="A310" t="s">
        <v>675</v>
      </c>
      <c r="B310" t="s">
        <v>676</v>
      </c>
      <c r="C310" t="s">
        <v>31</v>
      </c>
      <c r="D310" t="s">
        <v>83</v>
      </c>
      <c r="E310" t="s">
        <v>80</v>
      </c>
      <c r="F310" t="s">
        <v>67</v>
      </c>
      <c r="G310" t="s">
        <v>118</v>
      </c>
      <c r="H310" t="s">
        <v>88</v>
      </c>
      <c r="I310" t="s">
        <v>56</v>
      </c>
      <c r="J310" t="s">
        <v>48</v>
      </c>
      <c r="K310" s="2">
        <v>46026</v>
      </c>
      <c r="L310" s="2">
        <v>46391</v>
      </c>
      <c r="M310" t="s">
        <v>64</v>
      </c>
      <c r="N310" t="s">
        <v>49</v>
      </c>
      <c r="O310">
        <v>0</v>
      </c>
      <c r="P310" t="s">
        <v>56</v>
      </c>
      <c r="Q310" s="2">
        <v>46258</v>
      </c>
      <c r="R310" t="s">
        <v>57</v>
      </c>
    </row>
    <row r="311" spans="1:18" x14ac:dyDescent="0.2">
      <c r="A311" t="s">
        <v>677</v>
      </c>
      <c r="B311" t="s">
        <v>678</v>
      </c>
      <c r="C311" t="s">
        <v>78</v>
      </c>
      <c r="D311" t="s">
        <v>79</v>
      </c>
      <c r="E311" t="s">
        <v>91</v>
      </c>
      <c r="F311" t="s">
        <v>34</v>
      </c>
      <c r="G311" t="s">
        <v>35</v>
      </c>
      <c r="H311" t="s">
        <v>47</v>
      </c>
      <c r="I311" t="s">
        <v>39</v>
      </c>
      <c r="J311" t="s">
        <v>63</v>
      </c>
      <c r="K311" s="2">
        <v>45841</v>
      </c>
      <c r="L311" s="2">
        <v>46206</v>
      </c>
      <c r="M311" t="s">
        <v>38</v>
      </c>
      <c r="N311" t="s">
        <v>49</v>
      </c>
      <c r="O311">
        <v>0</v>
      </c>
      <c r="P311" t="s">
        <v>54</v>
      </c>
      <c r="Q311" s="2">
        <v>46412</v>
      </c>
      <c r="R311" t="s">
        <v>57</v>
      </c>
    </row>
    <row r="312" spans="1:18" x14ac:dyDescent="0.2">
      <c r="A312" t="s">
        <v>679</v>
      </c>
      <c r="B312" t="s">
        <v>680</v>
      </c>
      <c r="C312" t="s">
        <v>42</v>
      </c>
      <c r="D312" t="s">
        <v>43</v>
      </c>
      <c r="E312" t="s">
        <v>60</v>
      </c>
      <c r="F312" t="s">
        <v>45</v>
      </c>
      <c r="G312" t="s">
        <v>61</v>
      </c>
      <c r="H312" t="s">
        <v>36</v>
      </c>
      <c r="I312" t="s">
        <v>111</v>
      </c>
      <c r="J312" t="s">
        <v>37</v>
      </c>
      <c r="K312" s="2">
        <v>45941</v>
      </c>
      <c r="L312" s="2">
        <v>46031</v>
      </c>
      <c r="M312" t="s">
        <v>38</v>
      </c>
      <c r="N312" t="s">
        <v>75</v>
      </c>
      <c r="O312">
        <v>3</v>
      </c>
      <c r="P312" t="s">
        <v>70</v>
      </c>
      <c r="Q312" s="2">
        <v>46229</v>
      </c>
      <c r="R312" t="s">
        <v>38</v>
      </c>
    </row>
    <row r="313" spans="1:18" x14ac:dyDescent="0.2">
      <c r="A313" t="s">
        <v>681</v>
      </c>
      <c r="B313" t="s">
        <v>682</v>
      </c>
      <c r="C313" t="s">
        <v>31</v>
      </c>
      <c r="D313" t="s">
        <v>83</v>
      </c>
      <c r="E313" t="s">
        <v>60</v>
      </c>
      <c r="F313" t="s">
        <v>67</v>
      </c>
      <c r="G313" t="s">
        <v>118</v>
      </c>
      <c r="H313" t="s">
        <v>47</v>
      </c>
      <c r="I313" t="s">
        <v>54</v>
      </c>
      <c r="J313" t="s">
        <v>63</v>
      </c>
      <c r="K313" s="2">
        <v>45841</v>
      </c>
      <c r="L313" s="2">
        <v>46206</v>
      </c>
      <c r="M313" t="s">
        <v>38</v>
      </c>
      <c r="N313" t="s">
        <v>49</v>
      </c>
      <c r="O313">
        <v>1</v>
      </c>
      <c r="P313" t="s">
        <v>50</v>
      </c>
      <c r="Q313" s="2">
        <v>46378</v>
      </c>
      <c r="R313" t="s">
        <v>64</v>
      </c>
    </row>
    <row r="314" spans="1:18" x14ac:dyDescent="0.2">
      <c r="A314" t="s">
        <v>683</v>
      </c>
      <c r="B314" t="s">
        <v>684</v>
      </c>
      <c r="C314" t="s">
        <v>103</v>
      </c>
      <c r="D314" t="s">
        <v>104</v>
      </c>
      <c r="E314" t="s">
        <v>53</v>
      </c>
      <c r="F314" t="s">
        <v>34</v>
      </c>
      <c r="G314" t="s">
        <v>35</v>
      </c>
      <c r="H314" t="s">
        <v>47</v>
      </c>
      <c r="I314" t="s">
        <v>111</v>
      </c>
      <c r="J314" t="s">
        <v>37</v>
      </c>
      <c r="K314" s="2">
        <v>46157</v>
      </c>
      <c r="L314" s="2">
        <v>46247</v>
      </c>
      <c r="M314" t="s">
        <v>38</v>
      </c>
      <c r="N314" t="s">
        <v>75</v>
      </c>
      <c r="O314">
        <v>2</v>
      </c>
      <c r="P314" t="s">
        <v>62</v>
      </c>
      <c r="Q314" s="2">
        <v>46234</v>
      </c>
      <c r="R314" t="s">
        <v>64</v>
      </c>
    </row>
    <row r="315" spans="1:18" x14ac:dyDescent="0.2">
      <c r="A315" t="s">
        <v>685</v>
      </c>
      <c r="B315" t="s">
        <v>686</v>
      </c>
      <c r="C315" t="s">
        <v>31</v>
      </c>
      <c r="D315" t="s">
        <v>83</v>
      </c>
      <c r="E315" t="s">
        <v>105</v>
      </c>
      <c r="F315" t="s">
        <v>67</v>
      </c>
      <c r="G315" t="s">
        <v>118</v>
      </c>
      <c r="H315" t="s">
        <v>47</v>
      </c>
      <c r="I315" t="s">
        <v>106</v>
      </c>
      <c r="J315" t="s">
        <v>63</v>
      </c>
      <c r="K315" s="2">
        <v>46223</v>
      </c>
      <c r="L315" s="2">
        <v>46588</v>
      </c>
      <c r="M315" t="s">
        <v>69</v>
      </c>
      <c r="N315" t="s">
        <v>49</v>
      </c>
      <c r="O315">
        <v>2</v>
      </c>
      <c r="P315" t="s">
        <v>62</v>
      </c>
      <c r="Q315" s="2">
        <v>46411</v>
      </c>
      <c r="R315" t="s">
        <v>84</v>
      </c>
    </row>
    <row r="316" spans="1:18" x14ac:dyDescent="0.2">
      <c r="A316" t="s">
        <v>687</v>
      </c>
      <c r="B316" t="s">
        <v>688</v>
      </c>
      <c r="C316" t="s">
        <v>31</v>
      </c>
      <c r="D316" t="s">
        <v>87</v>
      </c>
      <c r="E316" t="s">
        <v>60</v>
      </c>
      <c r="F316" t="s">
        <v>67</v>
      </c>
      <c r="G316" t="s">
        <v>68</v>
      </c>
      <c r="H316" t="s">
        <v>47</v>
      </c>
      <c r="I316" t="s">
        <v>54</v>
      </c>
      <c r="J316" t="s">
        <v>48</v>
      </c>
      <c r="K316" s="2">
        <v>46011</v>
      </c>
      <c r="L316" s="2">
        <v>46191</v>
      </c>
      <c r="M316" t="s">
        <v>38</v>
      </c>
      <c r="N316" t="s">
        <v>75</v>
      </c>
      <c r="O316">
        <v>2</v>
      </c>
      <c r="P316" t="s">
        <v>111</v>
      </c>
      <c r="Q316" s="2">
        <v>46364</v>
      </c>
      <c r="R316" t="s">
        <v>84</v>
      </c>
    </row>
    <row r="317" spans="1:18" x14ac:dyDescent="0.2">
      <c r="A317" t="s">
        <v>689</v>
      </c>
      <c r="B317" t="s">
        <v>690</v>
      </c>
      <c r="C317" t="s">
        <v>31</v>
      </c>
      <c r="D317" t="s">
        <v>32</v>
      </c>
      <c r="E317" t="s">
        <v>105</v>
      </c>
      <c r="F317" t="s">
        <v>45</v>
      </c>
      <c r="G317" t="s">
        <v>46</v>
      </c>
      <c r="H317" t="s">
        <v>88</v>
      </c>
      <c r="I317" t="s">
        <v>56</v>
      </c>
      <c r="J317" t="s">
        <v>48</v>
      </c>
      <c r="K317" s="2">
        <v>46167</v>
      </c>
      <c r="L317" s="2">
        <v>46257</v>
      </c>
      <c r="M317" t="s">
        <v>38</v>
      </c>
      <c r="N317" t="s">
        <v>55</v>
      </c>
      <c r="O317">
        <v>1</v>
      </c>
      <c r="P317" t="s">
        <v>62</v>
      </c>
      <c r="Q317" s="2">
        <v>46300</v>
      </c>
      <c r="R317" t="s">
        <v>84</v>
      </c>
    </row>
    <row r="318" spans="1:18" x14ac:dyDescent="0.2">
      <c r="A318" t="s">
        <v>691</v>
      </c>
      <c r="B318" t="s">
        <v>692</v>
      </c>
      <c r="C318" t="s">
        <v>31</v>
      </c>
      <c r="D318" t="s">
        <v>87</v>
      </c>
      <c r="E318" t="s">
        <v>80</v>
      </c>
      <c r="F318" t="s">
        <v>67</v>
      </c>
      <c r="G318" t="s">
        <v>68</v>
      </c>
      <c r="H318" t="s">
        <v>88</v>
      </c>
      <c r="I318" t="s">
        <v>111</v>
      </c>
      <c r="J318" t="s">
        <v>63</v>
      </c>
      <c r="K318" s="2">
        <v>46168</v>
      </c>
      <c r="L318" s="2">
        <v>46533</v>
      </c>
      <c r="M318" t="s">
        <v>64</v>
      </c>
      <c r="N318" t="s">
        <v>75</v>
      </c>
      <c r="O318">
        <v>0</v>
      </c>
      <c r="P318" t="s">
        <v>50</v>
      </c>
      <c r="Q318" s="2">
        <v>46239</v>
      </c>
      <c r="R318" t="s">
        <v>57</v>
      </c>
    </row>
    <row r="319" spans="1:18" x14ac:dyDescent="0.2">
      <c r="A319" t="s">
        <v>693</v>
      </c>
      <c r="B319" t="s">
        <v>694</v>
      </c>
      <c r="C319" t="s">
        <v>42</v>
      </c>
      <c r="D319" t="s">
        <v>43</v>
      </c>
      <c r="E319" t="s">
        <v>60</v>
      </c>
      <c r="F319" t="s">
        <v>45</v>
      </c>
      <c r="G319" t="s">
        <v>46</v>
      </c>
      <c r="H319" t="s">
        <v>47</v>
      </c>
      <c r="I319" t="s">
        <v>50</v>
      </c>
      <c r="J319" t="s">
        <v>48</v>
      </c>
      <c r="K319" s="2">
        <v>46143</v>
      </c>
      <c r="L319" s="2">
        <v>46233</v>
      </c>
      <c r="M319" t="s">
        <v>38</v>
      </c>
      <c r="N319" t="s">
        <v>49</v>
      </c>
      <c r="O319">
        <v>3</v>
      </c>
      <c r="P319" t="s">
        <v>111</v>
      </c>
      <c r="Q319" s="2">
        <v>46403</v>
      </c>
      <c r="R319" t="s">
        <v>84</v>
      </c>
    </row>
    <row r="320" spans="1:18" x14ac:dyDescent="0.2">
      <c r="A320" t="s">
        <v>695</v>
      </c>
      <c r="B320" t="s">
        <v>696</v>
      </c>
      <c r="C320" t="s">
        <v>73</v>
      </c>
      <c r="D320" t="s">
        <v>74</v>
      </c>
      <c r="E320" t="s">
        <v>80</v>
      </c>
      <c r="F320" t="s">
        <v>34</v>
      </c>
      <c r="G320" t="s">
        <v>35</v>
      </c>
      <c r="H320" t="s">
        <v>47</v>
      </c>
      <c r="I320" t="s">
        <v>62</v>
      </c>
      <c r="J320" t="s">
        <v>63</v>
      </c>
      <c r="K320" s="2">
        <v>45968</v>
      </c>
      <c r="L320" s="2">
        <v>46058</v>
      </c>
      <c r="M320" t="s">
        <v>38</v>
      </c>
      <c r="N320" t="s">
        <v>49</v>
      </c>
      <c r="O320">
        <v>1</v>
      </c>
      <c r="P320" t="s">
        <v>70</v>
      </c>
      <c r="Q320" s="2">
        <v>46376</v>
      </c>
      <c r="R320" t="s">
        <v>64</v>
      </c>
    </row>
    <row r="321" spans="1:18" x14ac:dyDescent="0.2">
      <c r="A321" t="s">
        <v>697</v>
      </c>
      <c r="B321" t="s">
        <v>698</v>
      </c>
      <c r="C321" t="s">
        <v>96</v>
      </c>
      <c r="D321" t="s">
        <v>97</v>
      </c>
      <c r="E321" t="s">
        <v>80</v>
      </c>
      <c r="F321" t="s">
        <v>45</v>
      </c>
      <c r="G321" t="s">
        <v>61</v>
      </c>
      <c r="H321" t="s">
        <v>47</v>
      </c>
      <c r="I321" t="s">
        <v>39</v>
      </c>
      <c r="J321" t="s">
        <v>63</v>
      </c>
      <c r="K321" s="2">
        <v>46172</v>
      </c>
      <c r="L321" s="2">
        <v>46537</v>
      </c>
      <c r="M321" t="s">
        <v>69</v>
      </c>
      <c r="N321" t="s">
        <v>55</v>
      </c>
      <c r="O321">
        <v>0</v>
      </c>
      <c r="P321" t="s">
        <v>39</v>
      </c>
      <c r="Q321" s="2">
        <v>46205</v>
      </c>
      <c r="R321" t="s">
        <v>57</v>
      </c>
    </row>
    <row r="322" spans="1:18" x14ac:dyDescent="0.2">
      <c r="A322" t="s">
        <v>699</v>
      </c>
      <c r="B322" t="s">
        <v>700</v>
      </c>
      <c r="C322" t="s">
        <v>78</v>
      </c>
      <c r="D322" t="s">
        <v>79</v>
      </c>
      <c r="E322" t="s">
        <v>105</v>
      </c>
      <c r="F322" t="s">
        <v>34</v>
      </c>
      <c r="G322" t="s">
        <v>35</v>
      </c>
      <c r="H322" t="s">
        <v>88</v>
      </c>
      <c r="I322" t="s">
        <v>50</v>
      </c>
      <c r="J322" t="s">
        <v>48</v>
      </c>
      <c r="K322" s="2">
        <v>45814</v>
      </c>
      <c r="L322" s="2">
        <v>46179</v>
      </c>
      <c r="M322" t="s">
        <v>38</v>
      </c>
      <c r="N322" t="s">
        <v>49</v>
      </c>
      <c r="O322">
        <v>0</v>
      </c>
      <c r="P322" t="s">
        <v>62</v>
      </c>
      <c r="Q322" s="2">
        <v>46335</v>
      </c>
      <c r="R322" t="s">
        <v>57</v>
      </c>
    </row>
    <row r="323" spans="1:18" x14ac:dyDescent="0.2">
      <c r="A323" t="s">
        <v>701</v>
      </c>
      <c r="B323" t="s">
        <v>702</v>
      </c>
      <c r="C323" t="s">
        <v>31</v>
      </c>
      <c r="D323" t="s">
        <v>32</v>
      </c>
      <c r="E323" t="s">
        <v>80</v>
      </c>
      <c r="F323" t="s">
        <v>45</v>
      </c>
      <c r="G323" t="s">
        <v>61</v>
      </c>
      <c r="H323" t="s">
        <v>88</v>
      </c>
      <c r="I323" t="s">
        <v>70</v>
      </c>
      <c r="J323" t="s">
        <v>63</v>
      </c>
      <c r="K323" s="2">
        <v>46058</v>
      </c>
      <c r="L323" s="2">
        <v>46148</v>
      </c>
      <c r="M323" t="s">
        <v>38</v>
      </c>
      <c r="N323" t="s">
        <v>75</v>
      </c>
      <c r="O323">
        <v>3</v>
      </c>
      <c r="P323" t="s">
        <v>62</v>
      </c>
      <c r="Q323" s="2">
        <v>46234</v>
      </c>
      <c r="R323" t="s">
        <v>38</v>
      </c>
    </row>
    <row r="324" spans="1:18" x14ac:dyDescent="0.2">
      <c r="A324" t="s">
        <v>703</v>
      </c>
      <c r="B324" t="s">
        <v>704</v>
      </c>
      <c r="C324" t="s">
        <v>73</v>
      </c>
      <c r="D324" t="s">
        <v>74</v>
      </c>
      <c r="E324" t="s">
        <v>105</v>
      </c>
      <c r="F324" t="s">
        <v>67</v>
      </c>
      <c r="G324" t="s">
        <v>68</v>
      </c>
      <c r="H324" t="s">
        <v>36</v>
      </c>
      <c r="I324" t="s">
        <v>39</v>
      </c>
      <c r="J324" t="s">
        <v>37</v>
      </c>
      <c r="K324" s="2">
        <v>45980</v>
      </c>
      <c r="L324" s="2">
        <v>46345</v>
      </c>
      <c r="M324" t="s">
        <v>64</v>
      </c>
      <c r="N324" t="s">
        <v>55</v>
      </c>
      <c r="O324">
        <v>3</v>
      </c>
      <c r="P324" t="s">
        <v>70</v>
      </c>
      <c r="Q324" s="2">
        <v>46220</v>
      </c>
      <c r="R324" t="s">
        <v>38</v>
      </c>
    </row>
    <row r="325" spans="1:18" x14ac:dyDescent="0.2">
      <c r="A325" t="s">
        <v>705</v>
      </c>
      <c r="B325" t="s">
        <v>706</v>
      </c>
      <c r="C325" t="s">
        <v>78</v>
      </c>
      <c r="D325" t="s">
        <v>79</v>
      </c>
      <c r="E325" t="s">
        <v>91</v>
      </c>
      <c r="F325" t="s">
        <v>45</v>
      </c>
      <c r="G325" t="s">
        <v>61</v>
      </c>
      <c r="H325" t="s">
        <v>88</v>
      </c>
      <c r="I325" t="s">
        <v>56</v>
      </c>
      <c r="J325" t="s">
        <v>48</v>
      </c>
      <c r="K325" s="2">
        <v>45838</v>
      </c>
      <c r="L325" s="2">
        <v>46203</v>
      </c>
      <c r="M325" t="s">
        <v>38</v>
      </c>
      <c r="N325" t="s">
        <v>75</v>
      </c>
      <c r="O325">
        <v>2</v>
      </c>
      <c r="P325" t="s">
        <v>62</v>
      </c>
      <c r="Q325" s="2">
        <v>46256</v>
      </c>
      <c r="R325" t="s">
        <v>38</v>
      </c>
    </row>
    <row r="326" spans="1:18" x14ac:dyDescent="0.2">
      <c r="A326" t="s">
        <v>707</v>
      </c>
      <c r="B326" t="s">
        <v>708</v>
      </c>
      <c r="C326" t="s">
        <v>96</v>
      </c>
      <c r="D326" t="s">
        <v>97</v>
      </c>
      <c r="E326" t="s">
        <v>44</v>
      </c>
      <c r="F326" t="s">
        <v>34</v>
      </c>
      <c r="G326" t="s">
        <v>35</v>
      </c>
      <c r="H326" t="s">
        <v>88</v>
      </c>
      <c r="I326" t="s">
        <v>111</v>
      </c>
      <c r="J326" t="s">
        <v>63</v>
      </c>
      <c r="K326" s="2">
        <v>46146</v>
      </c>
      <c r="L326" s="2">
        <v>46326</v>
      </c>
      <c r="M326" t="s">
        <v>69</v>
      </c>
      <c r="N326" t="s">
        <v>49</v>
      </c>
      <c r="O326">
        <v>1</v>
      </c>
      <c r="P326" t="s">
        <v>50</v>
      </c>
      <c r="Q326" s="2">
        <v>46175</v>
      </c>
      <c r="R326" t="s">
        <v>38</v>
      </c>
    </row>
    <row r="327" spans="1:18" x14ac:dyDescent="0.2">
      <c r="A327" t="s">
        <v>709</v>
      </c>
      <c r="B327" t="s">
        <v>710</v>
      </c>
      <c r="C327" t="s">
        <v>78</v>
      </c>
      <c r="D327" t="s">
        <v>79</v>
      </c>
      <c r="E327" t="s">
        <v>60</v>
      </c>
      <c r="F327" t="s">
        <v>45</v>
      </c>
      <c r="G327" t="s">
        <v>46</v>
      </c>
      <c r="H327" t="s">
        <v>88</v>
      </c>
      <c r="I327" t="s">
        <v>106</v>
      </c>
      <c r="J327" t="s">
        <v>48</v>
      </c>
      <c r="K327" s="2">
        <v>45865</v>
      </c>
      <c r="L327" s="2">
        <v>46230</v>
      </c>
      <c r="M327" t="s">
        <v>38</v>
      </c>
      <c r="N327" t="s">
        <v>49</v>
      </c>
      <c r="O327">
        <v>0</v>
      </c>
      <c r="P327" t="s">
        <v>70</v>
      </c>
      <c r="Q327" s="2">
        <v>46197</v>
      </c>
      <c r="R327" t="s">
        <v>57</v>
      </c>
    </row>
    <row r="328" spans="1:18" x14ac:dyDescent="0.2">
      <c r="A328" t="s">
        <v>711</v>
      </c>
      <c r="B328" t="s">
        <v>712</v>
      </c>
      <c r="C328" t="s">
        <v>78</v>
      </c>
      <c r="D328" t="s">
        <v>79</v>
      </c>
      <c r="E328" t="s">
        <v>60</v>
      </c>
      <c r="F328" t="s">
        <v>45</v>
      </c>
      <c r="G328" t="s">
        <v>61</v>
      </c>
      <c r="H328" t="s">
        <v>88</v>
      </c>
      <c r="I328" t="s">
        <v>70</v>
      </c>
      <c r="J328" t="s">
        <v>63</v>
      </c>
      <c r="K328" s="2">
        <v>46141</v>
      </c>
      <c r="L328" s="2">
        <v>46231</v>
      </c>
      <c r="M328" t="s">
        <v>38</v>
      </c>
      <c r="N328" t="s">
        <v>75</v>
      </c>
      <c r="O328">
        <v>0</v>
      </c>
      <c r="P328" t="s">
        <v>56</v>
      </c>
      <c r="Q328" s="2">
        <v>46134</v>
      </c>
      <c r="R328" t="s">
        <v>57</v>
      </c>
    </row>
    <row r="329" spans="1:18" x14ac:dyDescent="0.2">
      <c r="A329" t="s">
        <v>713</v>
      </c>
      <c r="B329" t="s">
        <v>714</v>
      </c>
      <c r="C329" t="s">
        <v>103</v>
      </c>
      <c r="D329" t="s">
        <v>104</v>
      </c>
      <c r="E329" t="s">
        <v>44</v>
      </c>
      <c r="F329" t="s">
        <v>34</v>
      </c>
      <c r="G329" t="s">
        <v>35</v>
      </c>
      <c r="H329" t="s">
        <v>88</v>
      </c>
      <c r="I329" t="s">
        <v>111</v>
      </c>
      <c r="J329" t="s">
        <v>48</v>
      </c>
      <c r="K329" s="2">
        <v>46270</v>
      </c>
      <c r="L329" s="2">
        <v>46360</v>
      </c>
      <c r="M329" t="s">
        <v>69</v>
      </c>
      <c r="N329" t="s">
        <v>55</v>
      </c>
      <c r="O329">
        <v>0</v>
      </c>
      <c r="P329" t="s">
        <v>39</v>
      </c>
      <c r="Q329" s="2">
        <v>46376</v>
      </c>
      <c r="R329" t="s">
        <v>57</v>
      </c>
    </row>
    <row r="330" spans="1:18" x14ac:dyDescent="0.2">
      <c r="A330" t="s">
        <v>715</v>
      </c>
      <c r="B330" t="s">
        <v>716</v>
      </c>
      <c r="C330" t="s">
        <v>31</v>
      </c>
      <c r="D330" t="s">
        <v>87</v>
      </c>
      <c r="E330" t="s">
        <v>91</v>
      </c>
      <c r="F330" t="s">
        <v>67</v>
      </c>
      <c r="G330" t="s">
        <v>68</v>
      </c>
      <c r="H330" t="s">
        <v>47</v>
      </c>
      <c r="I330" t="s">
        <v>50</v>
      </c>
      <c r="J330" t="s">
        <v>63</v>
      </c>
      <c r="K330" s="2">
        <v>46231</v>
      </c>
      <c r="L330" s="2">
        <v>46411</v>
      </c>
      <c r="M330" t="s">
        <v>69</v>
      </c>
      <c r="N330" t="s">
        <v>49</v>
      </c>
      <c r="O330">
        <v>3</v>
      </c>
      <c r="P330" t="s">
        <v>70</v>
      </c>
      <c r="Q330" s="2">
        <v>46322</v>
      </c>
      <c r="R330" t="s">
        <v>84</v>
      </c>
    </row>
    <row r="331" spans="1:18" x14ac:dyDescent="0.2">
      <c r="A331" t="s">
        <v>717</v>
      </c>
      <c r="B331" t="s">
        <v>718</v>
      </c>
      <c r="C331" t="s">
        <v>78</v>
      </c>
      <c r="D331" t="s">
        <v>79</v>
      </c>
      <c r="E331" t="s">
        <v>91</v>
      </c>
      <c r="F331" t="s">
        <v>45</v>
      </c>
      <c r="G331" t="s">
        <v>61</v>
      </c>
      <c r="H331" t="s">
        <v>36</v>
      </c>
      <c r="I331" t="s">
        <v>106</v>
      </c>
      <c r="J331" t="s">
        <v>48</v>
      </c>
      <c r="K331" s="2">
        <v>46098</v>
      </c>
      <c r="L331" s="2">
        <v>46278</v>
      </c>
      <c r="M331" t="s">
        <v>38</v>
      </c>
      <c r="N331" t="s">
        <v>55</v>
      </c>
      <c r="O331">
        <v>4</v>
      </c>
      <c r="P331" t="s">
        <v>56</v>
      </c>
      <c r="Q331" s="2">
        <v>46214</v>
      </c>
      <c r="R331" t="s">
        <v>38</v>
      </c>
    </row>
    <row r="332" spans="1:18" x14ac:dyDescent="0.2">
      <c r="A332" t="s">
        <v>719</v>
      </c>
      <c r="B332" t="s">
        <v>720</v>
      </c>
      <c r="C332" t="s">
        <v>42</v>
      </c>
      <c r="D332" t="s">
        <v>43</v>
      </c>
      <c r="E332" t="s">
        <v>60</v>
      </c>
      <c r="F332" t="s">
        <v>45</v>
      </c>
      <c r="G332" t="s">
        <v>61</v>
      </c>
      <c r="H332" t="s">
        <v>47</v>
      </c>
      <c r="I332" t="s">
        <v>70</v>
      </c>
      <c r="J332" t="s">
        <v>63</v>
      </c>
      <c r="K332" s="2">
        <v>46018</v>
      </c>
      <c r="L332" s="2">
        <v>46198</v>
      </c>
      <c r="M332" t="s">
        <v>38</v>
      </c>
      <c r="N332" t="s">
        <v>75</v>
      </c>
      <c r="O332">
        <v>0</v>
      </c>
      <c r="P332" t="s">
        <v>56</v>
      </c>
      <c r="Q332" s="2">
        <v>46377</v>
      </c>
      <c r="R332" t="s">
        <v>57</v>
      </c>
    </row>
    <row r="333" spans="1:18" x14ac:dyDescent="0.2">
      <c r="A333" t="s">
        <v>721</v>
      </c>
      <c r="B333" t="s">
        <v>722</v>
      </c>
      <c r="C333" t="s">
        <v>96</v>
      </c>
      <c r="D333" t="s">
        <v>97</v>
      </c>
      <c r="E333" t="s">
        <v>80</v>
      </c>
      <c r="F333" t="s">
        <v>34</v>
      </c>
      <c r="G333" t="s">
        <v>35</v>
      </c>
      <c r="H333" t="s">
        <v>88</v>
      </c>
      <c r="I333" t="s">
        <v>54</v>
      </c>
      <c r="J333" t="s">
        <v>37</v>
      </c>
      <c r="K333" s="2">
        <v>45888</v>
      </c>
      <c r="L333" s="2">
        <v>46068</v>
      </c>
      <c r="M333" t="s">
        <v>38</v>
      </c>
      <c r="N333" t="s">
        <v>75</v>
      </c>
      <c r="O333">
        <v>3</v>
      </c>
      <c r="P333" t="s">
        <v>70</v>
      </c>
      <c r="Q333" s="2">
        <v>46415</v>
      </c>
      <c r="R333" t="s">
        <v>84</v>
      </c>
    </row>
    <row r="334" spans="1:18" x14ac:dyDescent="0.2">
      <c r="A334" t="s">
        <v>723</v>
      </c>
      <c r="B334" t="s">
        <v>724</v>
      </c>
      <c r="C334" t="s">
        <v>42</v>
      </c>
      <c r="D334" t="s">
        <v>43</v>
      </c>
      <c r="E334" t="s">
        <v>91</v>
      </c>
      <c r="F334" t="s">
        <v>67</v>
      </c>
      <c r="G334" t="s">
        <v>68</v>
      </c>
      <c r="H334" t="s">
        <v>36</v>
      </c>
      <c r="J334" t="s">
        <v>37</v>
      </c>
      <c r="K334" s="2">
        <v>45866</v>
      </c>
      <c r="L334" s="2">
        <v>46046</v>
      </c>
      <c r="M334" t="s">
        <v>38</v>
      </c>
      <c r="N334" t="s">
        <v>75</v>
      </c>
      <c r="O334">
        <v>2</v>
      </c>
      <c r="P334" t="s">
        <v>70</v>
      </c>
      <c r="Q334" s="2">
        <v>46379</v>
      </c>
      <c r="R334" t="s">
        <v>84</v>
      </c>
    </row>
    <row r="335" spans="1:18" x14ac:dyDescent="0.2">
      <c r="A335" t="s">
        <v>725</v>
      </c>
      <c r="B335" t="s">
        <v>726</v>
      </c>
      <c r="C335" t="s">
        <v>103</v>
      </c>
      <c r="D335" t="s">
        <v>104</v>
      </c>
      <c r="E335" t="s">
        <v>105</v>
      </c>
      <c r="F335" t="s">
        <v>67</v>
      </c>
      <c r="G335" t="s">
        <v>118</v>
      </c>
      <c r="H335" t="s">
        <v>88</v>
      </c>
      <c r="I335" t="s">
        <v>50</v>
      </c>
      <c r="J335" t="s">
        <v>63</v>
      </c>
      <c r="K335" s="2">
        <v>46032</v>
      </c>
      <c r="L335" s="2">
        <v>46212</v>
      </c>
      <c r="M335" t="s">
        <v>38</v>
      </c>
      <c r="N335" t="s">
        <v>75</v>
      </c>
      <c r="O335">
        <v>1</v>
      </c>
      <c r="P335" t="s">
        <v>54</v>
      </c>
      <c r="Q335" s="2">
        <v>46408</v>
      </c>
      <c r="R335" t="s">
        <v>64</v>
      </c>
    </row>
    <row r="336" spans="1:18" x14ac:dyDescent="0.2">
      <c r="A336" t="s">
        <v>727</v>
      </c>
      <c r="B336" t="s">
        <v>728</v>
      </c>
      <c r="C336" t="s">
        <v>31</v>
      </c>
      <c r="D336" t="s">
        <v>32</v>
      </c>
      <c r="E336" t="s">
        <v>53</v>
      </c>
      <c r="F336" t="s">
        <v>45</v>
      </c>
      <c r="G336" t="s">
        <v>46</v>
      </c>
      <c r="H336" t="s">
        <v>47</v>
      </c>
      <c r="I336" t="s">
        <v>54</v>
      </c>
      <c r="J336" t="s">
        <v>63</v>
      </c>
      <c r="K336" s="2">
        <v>45848</v>
      </c>
      <c r="L336" s="2">
        <v>45938</v>
      </c>
      <c r="M336" t="s">
        <v>38</v>
      </c>
      <c r="N336" t="s">
        <v>49</v>
      </c>
      <c r="O336">
        <v>2</v>
      </c>
      <c r="P336" t="s">
        <v>111</v>
      </c>
      <c r="Q336" s="2">
        <v>46194</v>
      </c>
      <c r="R336" t="s">
        <v>38</v>
      </c>
    </row>
    <row r="337" spans="1:18" x14ac:dyDescent="0.2">
      <c r="A337" t="s">
        <v>729</v>
      </c>
      <c r="B337" t="s">
        <v>730</v>
      </c>
      <c r="C337" t="s">
        <v>42</v>
      </c>
      <c r="D337" t="s">
        <v>43</v>
      </c>
      <c r="E337" t="s">
        <v>60</v>
      </c>
      <c r="F337" t="s">
        <v>34</v>
      </c>
      <c r="G337" t="s">
        <v>35</v>
      </c>
      <c r="H337" t="s">
        <v>98</v>
      </c>
      <c r="I337" t="s">
        <v>111</v>
      </c>
      <c r="J337" t="s">
        <v>48</v>
      </c>
      <c r="K337" s="2">
        <v>46085</v>
      </c>
      <c r="L337" s="2">
        <v>46450</v>
      </c>
      <c r="M337" t="s">
        <v>64</v>
      </c>
      <c r="O337">
        <v>4</v>
      </c>
      <c r="P337" t="s">
        <v>50</v>
      </c>
      <c r="Q337" s="2">
        <v>46255</v>
      </c>
      <c r="R337" t="s">
        <v>38</v>
      </c>
    </row>
    <row r="338" spans="1:18" x14ac:dyDescent="0.2">
      <c r="A338" t="s">
        <v>731</v>
      </c>
      <c r="B338" t="s">
        <v>732</v>
      </c>
      <c r="C338" t="s">
        <v>31</v>
      </c>
      <c r="D338" t="s">
        <v>32</v>
      </c>
      <c r="E338" t="s">
        <v>80</v>
      </c>
      <c r="F338" t="s">
        <v>45</v>
      </c>
      <c r="G338" t="s">
        <v>61</v>
      </c>
      <c r="H338" t="s">
        <v>98</v>
      </c>
      <c r="I338" t="s">
        <v>39</v>
      </c>
      <c r="J338" t="s">
        <v>63</v>
      </c>
      <c r="K338" s="2">
        <v>46018</v>
      </c>
      <c r="L338" s="2">
        <v>46198</v>
      </c>
      <c r="M338" t="s">
        <v>38</v>
      </c>
      <c r="N338" t="s">
        <v>75</v>
      </c>
      <c r="O338">
        <v>5</v>
      </c>
      <c r="P338" t="s">
        <v>111</v>
      </c>
      <c r="Q338" s="2">
        <v>46204</v>
      </c>
      <c r="R338" t="s">
        <v>38</v>
      </c>
    </row>
    <row r="339" spans="1:18" x14ac:dyDescent="0.2">
      <c r="A339" t="s">
        <v>733</v>
      </c>
      <c r="B339" t="s">
        <v>734</v>
      </c>
      <c r="C339" t="s">
        <v>42</v>
      </c>
      <c r="D339" t="s">
        <v>43</v>
      </c>
      <c r="E339" t="s">
        <v>105</v>
      </c>
      <c r="F339" t="s">
        <v>67</v>
      </c>
      <c r="G339" t="s">
        <v>68</v>
      </c>
      <c r="H339" t="s">
        <v>88</v>
      </c>
      <c r="I339" t="s">
        <v>62</v>
      </c>
      <c r="J339" t="s">
        <v>37</v>
      </c>
      <c r="K339" s="2">
        <v>45978</v>
      </c>
      <c r="L339" s="2">
        <v>46068</v>
      </c>
      <c r="M339" t="s">
        <v>38</v>
      </c>
      <c r="N339" t="s">
        <v>75</v>
      </c>
      <c r="O339">
        <v>2</v>
      </c>
      <c r="P339" t="s">
        <v>111</v>
      </c>
      <c r="Q339" s="2">
        <v>46247</v>
      </c>
      <c r="R339" t="s">
        <v>64</v>
      </c>
    </row>
    <row r="340" spans="1:18" x14ac:dyDescent="0.2">
      <c r="A340" t="s">
        <v>735</v>
      </c>
      <c r="B340" t="s">
        <v>736</v>
      </c>
      <c r="C340" t="s">
        <v>31</v>
      </c>
      <c r="D340" t="s">
        <v>83</v>
      </c>
      <c r="E340" t="s">
        <v>53</v>
      </c>
      <c r="F340" t="s">
        <v>34</v>
      </c>
      <c r="G340" t="s">
        <v>35</v>
      </c>
      <c r="H340" t="s">
        <v>47</v>
      </c>
      <c r="I340" t="s">
        <v>62</v>
      </c>
      <c r="J340" t="s">
        <v>63</v>
      </c>
      <c r="K340" s="2">
        <v>46168</v>
      </c>
      <c r="L340" s="2">
        <v>46348</v>
      </c>
      <c r="M340" t="s">
        <v>69</v>
      </c>
      <c r="N340" t="s">
        <v>75</v>
      </c>
      <c r="O340">
        <v>3</v>
      </c>
      <c r="P340" t="s">
        <v>54</v>
      </c>
      <c r="Q340" s="2">
        <v>46258</v>
      </c>
      <c r="R340" t="s">
        <v>38</v>
      </c>
    </row>
    <row r="341" spans="1:18" x14ac:dyDescent="0.2">
      <c r="A341" t="s">
        <v>737</v>
      </c>
      <c r="B341" t="s">
        <v>738</v>
      </c>
      <c r="C341" t="s">
        <v>31</v>
      </c>
      <c r="D341" t="s">
        <v>83</v>
      </c>
      <c r="E341" t="s">
        <v>44</v>
      </c>
      <c r="F341" t="s">
        <v>45</v>
      </c>
      <c r="G341" t="s">
        <v>61</v>
      </c>
      <c r="H341" t="s">
        <v>88</v>
      </c>
      <c r="I341" t="s">
        <v>62</v>
      </c>
      <c r="J341" t="s">
        <v>37</v>
      </c>
      <c r="K341" s="2">
        <v>46175</v>
      </c>
      <c r="L341" s="2">
        <v>46265</v>
      </c>
      <c r="M341" t="s">
        <v>38</v>
      </c>
      <c r="N341" t="s">
        <v>49</v>
      </c>
      <c r="O341">
        <v>1</v>
      </c>
      <c r="P341" t="s">
        <v>50</v>
      </c>
      <c r="Q341" s="2">
        <v>46357</v>
      </c>
      <c r="R341" t="s">
        <v>84</v>
      </c>
    </row>
    <row r="342" spans="1:18" x14ac:dyDescent="0.2">
      <c r="A342" t="s">
        <v>739</v>
      </c>
      <c r="B342" t="s">
        <v>740</v>
      </c>
      <c r="C342" t="s">
        <v>42</v>
      </c>
      <c r="D342" t="s">
        <v>43</v>
      </c>
      <c r="E342" t="s">
        <v>80</v>
      </c>
      <c r="F342" t="s">
        <v>34</v>
      </c>
      <c r="G342" t="s">
        <v>35</v>
      </c>
      <c r="H342" t="s">
        <v>88</v>
      </c>
      <c r="I342" t="s">
        <v>39</v>
      </c>
      <c r="J342" t="s">
        <v>63</v>
      </c>
      <c r="K342" s="2">
        <v>46072</v>
      </c>
      <c r="L342" s="2">
        <v>46162</v>
      </c>
      <c r="M342" t="s">
        <v>38</v>
      </c>
      <c r="N342" t="s">
        <v>49</v>
      </c>
      <c r="O342">
        <v>1</v>
      </c>
      <c r="P342" t="s">
        <v>70</v>
      </c>
      <c r="Q342" s="2">
        <v>46145</v>
      </c>
      <c r="R342" t="s">
        <v>64</v>
      </c>
    </row>
    <row r="343" spans="1:18" x14ac:dyDescent="0.2">
      <c r="A343" t="s">
        <v>741</v>
      </c>
      <c r="B343" t="s">
        <v>742</v>
      </c>
      <c r="C343" t="s">
        <v>103</v>
      </c>
      <c r="D343" t="s">
        <v>104</v>
      </c>
      <c r="E343" t="s">
        <v>53</v>
      </c>
      <c r="F343" t="s">
        <v>67</v>
      </c>
      <c r="G343" t="s">
        <v>118</v>
      </c>
      <c r="H343" t="s">
        <v>88</v>
      </c>
      <c r="I343" t="s">
        <v>56</v>
      </c>
      <c r="J343" t="s">
        <v>63</v>
      </c>
      <c r="K343" s="2">
        <v>46099</v>
      </c>
      <c r="L343" s="2">
        <v>46189</v>
      </c>
      <c r="M343" t="s">
        <v>38</v>
      </c>
      <c r="N343" t="s">
        <v>75</v>
      </c>
      <c r="O343">
        <v>0</v>
      </c>
      <c r="P343" t="s">
        <v>50</v>
      </c>
      <c r="Q343" s="2">
        <v>46294</v>
      </c>
      <c r="R343" t="s">
        <v>57</v>
      </c>
    </row>
    <row r="344" spans="1:18" x14ac:dyDescent="0.2">
      <c r="A344" t="s">
        <v>743</v>
      </c>
      <c r="B344" t="s">
        <v>744</v>
      </c>
      <c r="C344" t="s">
        <v>42</v>
      </c>
      <c r="D344" t="s">
        <v>43</v>
      </c>
      <c r="E344" t="s">
        <v>53</v>
      </c>
      <c r="F344" t="s">
        <v>67</v>
      </c>
      <c r="G344" t="s">
        <v>118</v>
      </c>
      <c r="H344" t="s">
        <v>88</v>
      </c>
      <c r="I344" t="s">
        <v>111</v>
      </c>
      <c r="J344" t="s">
        <v>63</v>
      </c>
      <c r="K344" s="2">
        <v>45879</v>
      </c>
      <c r="L344" s="2">
        <v>46244</v>
      </c>
      <c r="M344" t="s">
        <v>38</v>
      </c>
      <c r="N344" t="s">
        <v>75</v>
      </c>
      <c r="O344">
        <v>0</v>
      </c>
      <c r="P344" t="s">
        <v>50</v>
      </c>
      <c r="Q344" s="2">
        <v>46310</v>
      </c>
      <c r="R344" t="s">
        <v>57</v>
      </c>
    </row>
    <row r="345" spans="1:18" x14ac:dyDescent="0.2">
      <c r="A345" t="s">
        <v>745</v>
      </c>
      <c r="B345" t="s">
        <v>746</v>
      </c>
      <c r="C345" t="s">
        <v>73</v>
      </c>
      <c r="D345" t="s">
        <v>74</v>
      </c>
      <c r="E345" t="s">
        <v>80</v>
      </c>
      <c r="F345" t="s">
        <v>45</v>
      </c>
      <c r="G345" t="s">
        <v>61</v>
      </c>
      <c r="H345" t="s">
        <v>88</v>
      </c>
      <c r="I345" t="s">
        <v>62</v>
      </c>
      <c r="J345" t="s">
        <v>37</v>
      </c>
      <c r="K345" s="2">
        <v>45841</v>
      </c>
      <c r="L345" s="2">
        <v>45931</v>
      </c>
      <c r="M345" t="s">
        <v>38</v>
      </c>
      <c r="N345" t="s">
        <v>55</v>
      </c>
      <c r="O345">
        <v>1</v>
      </c>
      <c r="P345" t="s">
        <v>56</v>
      </c>
      <c r="Q345" s="2">
        <v>46290</v>
      </c>
      <c r="R345" t="s">
        <v>64</v>
      </c>
    </row>
    <row r="346" spans="1:18" x14ac:dyDescent="0.2">
      <c r="A346" t="s">
        <v>747</v>
      </c>
      <c r="B346" t="s">
        <v>748</v>
      </c>
      <c r="C346" t="s">
        <v>31</v>
      </c>
      <c r="D346" t="s">
        <v>87</v>
      </c>
      <c r="E346" t="s">
        <v>53</v>
      </c>
      <c r="F346" t="s">
        <v>34</v>
      </c>
      <c r="G346" t="s">
        <v>35</v>
      </c>
      <c r="H346" t="s">
        <v>36</v>
      </c>
      <c r="I346" t="s">
        <v>106</v>
      </c>
      <c r="J346" t="s">
        <v>63</v>
      </c>
      <c r="K346" s="2">
        <v>45893</v>
      </c>
      <c r="L346" s="2">
        <v>46258</v>
      </c>
      <c r="M346" t="s">
        <v>38</v>
      </c>
      <c r="N346" t="s">
        <v>49</v>
      </c>
      <c r="O346">
        <v>3</v>
      </c>
      <c r="P346" t="s">
        <v>54</v>
      </c>
      <c r="Q346" s="2">
        <v>46326</v>
      </c>
      <c r="R346" t="s">
        <v>64</v>
      </c>
    </row>
    <row r="347" spans="1:18" x14ac:dyDescent="0.2">
      <c r="A347" t="s">
        <v>749</v>
      </c>
      <c r="B347" t="s">
        <v>750</v>
      </c>
      <c r="C347" t="s">
        <v>31</v>
      </c>
      <c r="D347" t="s">
        <v>32</v>
      </c>
      <c r="E347" t="s">
        <v>91</v>
      </c>
      <c r="F347" t="s">
        <v>34</v>
      </c>
      <c r="G347" t="s">
        <v>35</v>
      </c>
      <c r="H347" t="s">
        <v>36</v>
      </c>
      <c r="I347" t="s">
        <v>70</v>
      </c>
      <c r="J347" t="s">
        <v>63</v>
      </c>
      <c r="K347" s="2">
        <v>46168</v>
      </c>
      <c r="L347" s="2">
        <v>46258</v>
      </c>
      <c r="M347" t="s">
        <v>38</v>
      </c>
      <c r="N347" t="s">
        <v>75</v>
      </c>
      <c r="O347">
        <v>0</v>
      </c>
      <c r="P347" t="s">
        <v>39</v>
      </c>
      <c r="Q347" s="2">
        <v>46163</v>
      </c>
      <c r="R347" t="s">
        <v>57</v>
      </c>
    </row>
    <row r="348" spans="1:18" x14ac:dyDescent="0.2">
      <c r="A348" t="s">
        <v>751</v>
      </c>
      <c r="B348" t="s">
        <v>752</v>
      </c>
      <c r="C348" t="s">
        <v>42</v>
      </c>
      <c r="D348" t="s">
        <v>43</v>
      </c>
      <c r="E348" t="s">
        <v>60</v>
      </c>
      <c r="F348" t="s">
        <v>45</v>
      </c>
      <c r="G348" t="s">
        <v>61</v>
      </c>
      <c r="H348" t="s">
        <v>36</v>
      </c>
      <c r="I348" t="s">
        <v>70</v>
      </c>
      <c r="J348" t="s">
        <v>63</v>
      </c>
      <c r="K348" s="2">
        <v>46222</v>
      </c>
      <c r="L348" s="2">
        <v>46402</v>
      </c>
      <c r="M348" t="s">
        <v>84</v>
      </c>
      <c r="N348" t="s">
        <v>49</v>
      </c>
      <c r="O348">
        <v>3</v>
      </c>
      <c r="P348" t="s">
        <v>50</v>
      </c>
      <c r="Q348" s="2">
        <v>46273</v>
      </c>
      <c r="R348" t="s">
        <v>64</v>
      </c>
    </row>
    <row r="349" spans="1:18" x14ac:dyDescent="0.2">
      <c r="A349" t="s">
        <v>753</v>
      </c>
      <c r="B349" t="s">
        <v>754</v>
      </c>
      <c r="C349" t="s">
        <v>96</v>
      </c>
      <c r="D349" t="s">
        <v>97</v>
      </c>
      <c r="E349" t="s">
        <v>105</v>
      </c>
      <c r="F349" t="s">
        <v>45</v>
      </c>
      <c r="G349" t="s">
        <v>46</v>
      </c>
      <c r="H349" t="s">
        <v>47</v>
      </c>
      <c r="I349" t="s">
        <v>106</v>
      </c>
      <c r="J349" t="s">
        <v>63</v>
      </c>
      <c r="K349" s="2">
        <v>45835</v>
      </c>
      <c r="L349" s="2">
        <v>46015</v>
      </c>
      <c r="M349" t="s">
        <v>38</v>
      </c>
      <c r="N349" t="s">
        <v>75</v>
      </c>
      <c r="O349">
        <v>3</v>
      </c>
      <c r="P349" t="s">
        <v>50</v>
      </c>
      <c r="Q349" s="2">
        <v>46391</v>
      </c>
      <c r="R349" t="s">
        <v>84</v>
      </c>
    </row>
    <row r="350" spans="1:18" x14ac:dyDescent="0.2">
      <c r="A350" t="s">
        <v>755</v>
      </c>
      <c r="B350" t="s">
        <v>756</v>
      </c>
      <c r="C350" t="s">
        <v>31</v>
      </c>
      <c r="D350" t="s">
        <v>32</v>
      </c>
      <c r="E350" t="s">
        <v>91</v>
      </c>
      <c r="F350" t="s">
        <v>34</v>
      </c>
      <c r="G350" t="s">
        <v>35</v>
      </c>
      <c r="H350" t="s">
        <v>36</v>
      </c>
      <c r="I350" t="s">
        <v>62</v>
      </c>
      <c r="J350" t="s">
        <v>37</v>
      </c>
      <c r="K350" s="2">
        <v>46007</v>
      </c>
      <c r="L350" s="2">
        <v>46372</v>
      </c>
      <c r="M350" t="s">
        <v>69</v>
      </c>
      <c r="N350" t="s">
        <v>75</v>
      </c>
      <c r="O350">
        <v>3</v>
      </c>
      <c r="P350" t="s">
        <v>106</v>
      </c>
      <c r="Q350" s="2">
        <v>46391</v>
      </c>
      <c r="R350" t="s">
        <v>64</v>
      </c>
    </row>
    <row r="351" spans="1:18" x14ac:dyDescent="0.2">
      <c r="A351" t="s">
        <v>757</v>
      </c>
      <c r="B351" t="s">
        <v>758</v>
      </c>
      <c r="C351" t="s">
        <v>96</v>
      </c>
      <c r="D351" t="s">
        <v>97</v>
      </c>
      <c r="E351" t="s">
        <v>44</v>
      </c>
      <c r="F351" t="s">
        <v>67</v>
      </c>
      <c r="G351" t="s">
        <v>118</v>
      </c>
      <c r="H351" t="s">
        <v>88</v>
      </c>
      <c r="I351" t="s">
        <v>39</v>
      </c>
      <c r="J351" t="s">
        <v>37</v>
      </c>
      <c r="K351" s="2">
        <v>46008</v>
      </c>
      <c r="L351" s="2">
        <v>46098</v>
      </c>
      <c r="M351" t="s">
        <v>38</v>
      </c>
      <c r="N351" t="s">
        <v>75</v>
      </c>
      <c r="O351">
        <v>2</v>
      </c>
      <c r="P351" t="s">
        <v>56</v>
      </c>
      <c r="Q351" s="2">
        <v>46355</v>
      </c>
      <c r="R351" t="s">
        <v>84</v>
      </c>
    </row>
    <row r="352" spans="1:18" x14ac:dyDescent="0.2">
      <c r="A352" t="s">
        <v>759</v>
      </c>
      <c r="B352" t="s">
        <v>760</v>
      </c>
      <c r="C352" t="s">
        <v>103</v>
      </c>
      <c r="D352" t="s">
        <v>104</v>
      </c>
      <c r="E352" t="s">
        <v>53</v>
      </c>
      <c r="F352" t="s">
        <v>45</v>
      </c>
      <c r="G352" t="s">
        <v>61</v>
      </c>
      <c r="H352" t="s">
        <v>88</v>
      </c>
      <c r="I352" t="s">
        <v>39</v>
      </c>
      <c r="J352" t="s">
        <v>63</v>
      </c>
      <c r="K352" s="2">
        <v>45995</v>
      </c>
      <c r="L352" s="2">
        <v>46175</v>
      </c>
      <c r="M352" t="s">
        <v>38</v>
      </c>
      <c r="N352" t="s">
        <v>55</v>
      </c>
      <c r="O352">
        <v>3</v>
      </c>
      <c r="P352" t="s">
        <v>62</v>
      </c>
      <c r="Q352" s="2">
        <v>46402</v>
      </c>
      <c r="R352" t="s">
        <v>84</v>
      </c>
    </row>
    <row r="353" spans="1:18" x14ac:dyDescent="0.2">
      <c r="A353" t="s">
        <v>761</v>
      </c>
      <c r="B353" t="s">
        <v>762</v>
      </c>
      <c r="C353" t="s">
        <v>31</v>
      </c>
      <c r="D353" t="s">
        <v>32</v>
      </c>
      <c r="E353" t="s">
        <v>53</v>
      </c>
      <c r="F353" t="s">
        <v>67</v>
      </c>
      <c r="G353" t="s">
        <v>68</v>
      </c>
      <c r="H353" t="s">
        <v>47</v>
      </c>
      <c r="I353" t="s">
        <v>54</v>
      </c>
      <c r="J353" t="s">
        <v>48</v>
      </c>
      <c r="K353" s="2">
        <v>46011</v>
      </c>
      <c r="L353" s="2">
        <v>46376</v>
      </c>
      <c r="M353" t="s">
        <v>69</v>
      </c>
      <c r="N353" t="s">
        <v>75</v>
      </c>
      <c r="O353">
        <v>2</v>
      </c>
      <c r="P353" t="s">
        <v>56</v>
      </c>
      <c r="Q353" s="2">
        <v>46326</v>
      </c>
      <c r="R353" t="s">
        <v>64</v>
      </c>
    </row>
    <row r="354" spans="1:18" x14ac:dyDescent="0.2">
      <c r="A354" t="s">
        <v>763</v>
      </c>
      <c r="B354" t="s">
        <v>764</v>
      </c>
      <c r="C354" t="s">
        <v>31</v>
      </c>
      <c r="D354" t="s">
        <v>32</v>
      </c>
      <c r="E354" t="s">
        <v>60</v>
      </c>
      <c r="F354" t="s">
        <v>45</v>
      </c>
      <c r="G354" t="s">
        <v>61</v>
      </c>
      <c r="H354" t="s">
        <v>88</v>
      </c>
      <c r="I354" t="s">
        <v>111</v>
      </c>
      <c r="J354" t="s">
        <v>37</v>
      </c>
      <c r="K354" s="2">
        <v>46179</v>
      </c>
      <c r="L354" s="2">
        <v>46359</v>
      </c>
      <c r="M354" t="s">
        <v>64</v>
      </c>
      <c r="N354" t="s">
        <v>55</v>
      </c>
      <c r="O354">
        <v>0</v>
      </c>
      <c r="P354" t="s">
        <v>50</v>
      </c>
      <c r="Q354" s="2">
        <v>46210</v>
      </c>
      <c r="R354" t="s">
        <v>57</v>
      </c>
    </row>
    <row r="355" spans="1:18" x14ac:dyDescent="0.2">
      <c r="A355" t="s">
        <v>765</v>
      </c>
      <c r="B355" t="s">
        <v>766</v>
      </c>
      <c r="C355" t="s">
        <v>96</v>
      </c>
      <c r="D355" t="s">
        <v>97</v>
      </c>
      <c r="E355" t="s">
        <v>91</v>
      </c>
      <c r="F355" t="s">
        <v>34</v>
      </c>
      <c r="G355" t="s">
        <v>35</v>
      </c>
      <c r="H355" t="s">
        <v>47</v>
      </c>
      <c r="I355" t="s">
        <v>70</v>
      </c>
      <c r="J355" t="s">
        <v>37</v>
      </c>
      <c r="K355" s="2">
        <v>46198</v>
      </c>
      <c r="L355" s="2">
        <v>46288</v>
      </c>
      <c r="M355" t="s">
        <v>38</v>
      </c>
      <c r="N355" t="s">
        <v>75</v>
      </c>
      <c r="O355">
        <v>1</v>
      </c>
      <c r="P355" t="s">
        <v>39</v>
      </c>
      <c r="Q355" s="2">
        <v>46290</v>
      </c>
      <c r="R355" t="s">
        <v>38</v>
      </c>
    </row>
    <row r="356" spans="1:18" x14ac:dyDescent="0.2">
      <c r="A356" t="s">
        <v>767</v>
      </c>
      <c r="B356" t="s">
        <v>768</v>
      </c>
      <c r="C356" t="s">
        <v>31</v>
      </c>
      <c r="D356" t="s">
        <v>32</v>
      </c>
      <c r="E356" t="s">
        <v>44</v>
      </c>
      <c r="F356" t="s">
        <v>67</v>
      </c>
      <c r="G356" t="s">
        <v>68</v>
      </c>
      <c r="H356" t="s">
        <v>47</v>
      </c>
      <c r="I356" t="s">
        <v>62</v>
      </c>
      <c r="J356" t="s">
        <v>63</v>
      </c>
      <c r="K356" s="2">
        <v>46239</v>
      </c>
      <c r="L356" s="2">
        <v>46604</v>
      </c>
      <c r="M356" t="s">
        <v>64</v>
      </c>
      <c r="N356" t="s">
        <v>55</v>
      </c>
      <c r="O356">
        <v>2</v>
      </c>
      <c r="P356" t="s">
        <v>54</v>
      </c>
      <c r="Q356" s="2">
        <v>46310</v>
      </c>
      <c r="R356" t="s">
        <v>84</v>
      </c>
    </row>
    <row r="357" spans="1:18" x14ac:dyDescent="0.2">
      <c r="A357" t="s">
        <v>769</v>
      </c>
      <c r="B357" t="s">
        <v>770</v>
      </c>
      <c r="C357" t="s">
        <v>42</v>
      </c>
      <c r="D357" t="s">
        <v>43</v>
      </c>
      <c r="E357" t="s">
        <v>44</v>
      </c>
      <c r="F357" t="s">
        <v>67</v>
      </c>
      <c r="G357" t="s">
        <v>118</v>
      </c>
      <c r="H357" t="s">
        <v>36</v>
      </c>
      <c r="I357" t="s">
        <v>39</v>
      </c>
      <c r="J357" t="s">
        <v>48</v>
      </c>
      <c r="K357" s="2">
        <v>46174</v>
      </c>
      <c r="L357" s="2">
        <v>46354</v>
      </c>
      <c r="M357" t="s">
        <v>84</v>
      </c>
      <c r="N357" t="s">
        <v>49</v>
      </c>
      <c r="O357">
        <v>5</v>
      </c>
      <c r="P357" t="s">
        <v>39</v>
      </c>
      <c r="Q357" s="2">
        <v>46221</v>
      </c>
      <c r="R357" t="s">
        <v>38</v>
      </c>
    </row>
    <row r="358" spans="1:18" x14ac:dyDescent="0.2">
      <c r="A358" t="s">
        <v>771</v>
      </c>
      <c r="B358" t="s">
        <v>772</v>
      </c>
      <c r="C358" t="s">
        <v>31</v>
      </c>
      <c r="D358" t="s">
        <v>83</v>
      </c>
      <c r="E358" t="s">
        <v>53</v>
      </c>
      <c r="F358" t="s">
        <v>34</v>
      </c>
      <c r="G358" t="s">
        <v>35</v>
      </c>
      <c r="H358" t="s">
        <v>88</v>
      </c>
      <c r="I358" t="s">
        <v>56</v>
      </c>
      <c r="J358" t="s">
        <v>37</v>
      </c>
      <c r="K358" s="2">
        <v>46174</v>
      </c>
      <c r="L358" s="2">
        <v>46354</v>
      </c>
      <c r="M358" t="s">
        <v>84</v>
      </c>
      <c r="N358" t="s">
        <v>55</v>
      </c>
      <c r="O358">
        <v>1</v>
      </c>
      <c r="P358" t="s">
        <v>70</v>
      </c>
      <c r="Q358" s="2">
        <v>46337</v>
      </c>
      <c r="R358" t="s">
        <v>64</v>
      </c>
    </row>
    <row r="359" spans="1:18" x14ac:dyDescent="0.2">
      <c r="A359" t="s">
        <v>773</v>
      </c>
      <c r="B359" t="s">
        <v>774</v>
      </c>
      <c r="C359" t="s">
        <v>96</v>
      </c>
      <c r="D359" t="s">
        <v>97</v>
      </c>
      <c r="E359" t="s">
        <v>105</v>
      </c>
      <c r="F359" t="s">
        <v>67</v>
      </c>
      <c r="G359" t="s">
        <v>68</v>
      </c>
      <c r="H359" t="s">
        <v>98</v>
      </c>
      <c r="I359" t="s">
        <v>111</v>
      </c>
      <c r="J359" t="s">
        <v>63</v>
      </c>
      <c r="K359" s="2">
        <v>45923</v>
      </c>
      <c r="L359" s="2">
        <v>46288</v>
      </c>
      <c r="M359" t="s">
        <v>38</v>
      </c>
      <c r="N359" t="s">
        <v>55</v>
      </c>
      <c r="O359">
        <v>2</v>
      </c>
      <c r="P359" t="s">
        <v>106</v>
      </c>
      <c r="Q359" s="2">
        <v>46160</v>
      </c>
      <c r="R359" t="s">
        <v>64</v>
      </c>
    </row>
    <row r="360" spans="1:18" x14ac:dyDescent="0.2">
      <c r="A360" t="s">
        <v>775</v>
      </c>
      <c r="B360" t="s">
        <v>776</v>
      </c>
      <c r="C360" t="s">
        <v>73</v>
      </c>
      <c r="D360" t="s">
        <v>74</v>
      </c>
      <c r="E360" t="s">
        <v>105</v>
      </c>
      <c r="F360" t="s">
        <v>34</v>
      </c>
      <c r="G360" t="s">
        <v>35</v>
      </c>
      <c r="H360" t="s">
        <v>88</v>
      </c>
      <c r="I360" t="s">
        <v>50</v>
      </c>
      <c r="J360" t="s">
        <v>37</v>
      </c>
      <c r="K360" s="2">
        <v>45916</v>
      </c>
      <c r="L360" s="2">
        <v>46281</v>
      </c>
      <c r="M360" t="s">
        <v>38</v>
      </c>
      <c r="N360" t="s">
        <v>55</v>
      </c>
      <c r="O360">
        <v>1</v>
      </c>
      <c r="P360" t="s">
        <v>54</v>
      </c>
      <c r="Q360" s="2">
        <v>46364</v>
      </c>
      <c r="R360" t="s">
        <v>64</v>
      </c>
    </row>
    <row r="361" spans="1:18" x14ac:dyDescent="0.2">
      <c r="A361" t="s">
        <v>777</v>
      </c>
      <c r="B361" t="s">
        <v>778</v>
      </c>
      <c r="C361" t="s">
        <v>96</v>
      </c>
      <c r="D361" t="s">
        <v>97</v>
      </c>
      <c r="E361" t="s">
        <v>53</v>
      </c>
      <c r="F361" t="s">
        <v>45</v>
      </c>
      <c r="G361" t="s">
        <v>61</v>
      </c>
      <c r="H361" t="s">
        <v>36</v>
      </c>
      <c r="I361" t="s">
        <v>56</v>
      </c>
      <c r="J361" t="s">
        <v>63</v>
      </c>
      <c r="K361" s="2">
        <v>45815</v>
      </c>
      <c r="L361" s="2">
        <v>45905</v>
      </c>
      <c r="M361" t="s">
        <v>38</v>
      </c>
      <c r="N361" t="s">
        <v>75</v>
      </c>
      <c r="O361">
        <v>5</v>
      </c>
      <c r="P361" t="s">
        <v>50</v>
      </c>
      <c r="Q361" s="2">
        <v>46339</v>
      </c>
      <c r="R361" t="s">
        <v>84</v>
      </c>
    </row>
    <row r="362" spans="1:18" x14ac:dyDescent="0.2">
      <c r="A362" t="s">
        <v>779</v>
      </c>
      <c r="B362" t="s">
        <v>780</v>
      </c>
      <c r="C362" t="s">
        <v>96</v>
      </c>
      <c r="D362" t="s">
        <v>97</v>
      </c>
      <c r="E362" t="s">
        <v>53</v>
      </c>
      <c r="F362" t="s">
        <v>34</v>
      </c>
      <c r="G362" t="s">
        <v>35</v>
      </c>
      <c r="H362" t="s">
        <v>36</v>
      </c>
      <c r="I362" t="s">
        <v>56</v>
      </c>
      <c r="J362" t="s">
        <v>37</v>
      </c>
      <c r="K362" s="2">
        <v>45831</v>
      </c>
      <c r="L362" s="2">
        <v>46196</v>
      </c>
      <c r="M362" t="s">
        <v>38</v>
      </c>
      <c r="N362" t="s">
        <v>49</v>
      </c>
      <c r="O362">
        <v>1</v>
      </c>
      <c r="P362" t="s">
        <v>106</v>
      </c>
      <c r="Q362" s="2">
        <v>46150</v>
      </c>
      <c r="R362" t="s">
        <v>38</v>
      </c>
    </row>
    <row r="363" spans="1:18" x14ac:dyDescent="0.2">
      <c r="A363" t="s">
        <v>781</v>
      </c>
      <c r="B363" t="s">
        <v>782</v>
      </c>
      <c r="C363" t="s">
        <v>31</v>
      </c>
      <c r="D363" t="s">
        <v>32</v>
      </c>
      <c r="E363" t="s">
        <v>91</v>
      </c>
      <c r="F363" t="s">
        <v>67</v>
      </c>
      <c r="G363" t="s">
        <v>68</v>
      </c>
      <c r="H363" t="s">
        <v>88</v>
      </c>
      <c r="I363" t="s">
        <v>50</v>
      </c>
      <c r="J363" t="s">
        <v>63</v>
      </c>
      <c r="K363" s="2">
        <v>45823</v>
      </c>
      <c r="L363" s="2">
        <v>45913</v>
      </c>
      <c r="M363" t="s">
        <v>38</v>
      </c>
      <c r="N363" t="s">
        <v>49</v>
      </c>
      <c r="O363">
        <v>2</v>
      </c>
      <c r="P363" t="s">
        <v>62</v>
      </c>
      <c r="Q363" s="2">
        <v>46237</v>
      </c>
      <c r="R363" t="s">
        <v>64</v>
      </c>
    </row>
    <row r="364" spans="1:18" x14ac:dyDescent="0.2">
      <c r="A364" t="s">
        <v>783</v>
      </c>
      <c r="B364" t="s">
        <v>784</v>
      </c>
      <c r="C364" t="s">
        <v>31</v>
      </c>
      <c r="D364" t="s">
        <v>32</v>
      </c>
      <c r="E364" t="s">
        <v>60</v>
      </c>
      <c r="F364" t="s">
        <v>45</v>
      </c>
      <c r="G364" t="s">
        <v>61</v>
      </c>
      <c r="H364" t="s">
        <v>47</v>
      </c>
      <c r="I364" t="s">
        <v>56</v>
      </c>
      <c r="J364" t="s">
        <v>48</v>
      </c>
      <c r="K364" s="2">
        <v>46110</v>
      </c>
      <c r="L364" s="2">
        <v>46290</v>
      </c>
      <c r="M364" t="s">
        <v>38</v>
      </c>
      <c r="N364" t="s">
        <v>49</v>
      </c>
      <c r="O364">
        <v>2</v>
      </c>
      <c r="P364" t="s">
        <v>50</v>
      </c>
      <c r="Q364" s="2">
        <v>46171</v>
      </c>
      <c r="R364" t="s">
        <v>64</v>
      </c>
    </row>
    <row r="365" spans="1:18" x14ac:dyDescent="0.2">
      <c r="A365" t="s">
        <v>785</v>
      </c>
      <c r="B365" t="s">
        <v>786</v>
      </c>
      <c r="C365" t="s">
        <v>42</v>
      </c>
      <c r="D365" t="s">
        <v>43</v>
      </c>
      <c r="E365" t="s">
        <v>105</v>
      </c>
      <c r="F365" t="s">
        <v>45</v>
      </c>
      <c r="G365" t="s">
        <v>46</v>
      </c>
      <c r="H365" t="s">
        <v>88</v>
      </c>
      <c r="I365" t="s">
        <v>70</v>
      </c>
      <c r="J365" t="s">
        <v>37</v>
      </c>
      <c r="K365" s="2">
        <v>46259</v>
      </c>
      <c r="L365" s="2">
        <v>46624</v>
      </c>
      <c r="M365" t="s">
        <v>69</v>
      </c>
      <c r="N365" t="s">
        <v>49</v>
      </c>
      <c r="O365">
        <v>3</v>
      </c>
      <c r="P365" t="s">
        <v>54</v>
      </c>
      <c r="Q365" s="2">
        <v>46384</v>
      </c>
      <c r="R365" t="s">
        <v>84</v>
      </c>
    </row>
    <row r="366" spans="1:18" x14ac:dyDescent="0.2">
      <c r="A366" t="s">
        <v>787</v>
      </c>
      <c r="B366" t="s">
        <v>788</v>
      </c>
      <c r="C366" t="s">
        <v>78</v>
      </c>
      <c r="D366" t="s">
        <v>79</v>
      </c>
      <c r="E366" t="s">
        <v>105</v>
      </c>
      <c r="F366" t="s">
        <v>34</v>
      </c>
      <c r="G366" t="s">
        <v>35</v>
      </c>
      <c r="H366" t="s">
        <v>98</v>
      </c>
      <c r="I366" t="s">
        <v>54</v>
      </c>
      <c r="J366" t="s">
        <v>37</v>
      </c>
      <c r="K366" s="2">
        <v>45940</v>
      </c>
      <c r="L366" s="2">
        <v>46120</v>
      </c>
      <c r="M366" t="s">
        <v>38</v>
      </c>
      <c r="N366" t="s">
        <v>55</v>
      </c>
      <c r="O366">
        <v>3</v>
      </c>
      <c r="P366" t="s">
        <v>39</v>
      </c>
      <c r="Q366" s="2">
        <v>46146</v>
      </c>
      <c r="R366" t="s">
        <v>38</v>
      </c>
    </row>
    <row r="367" spans="1:18" x14ac:dyDescent="0.2">
      <c r="A367" t="s">
        <v>789</v>
      </c>
      <c r="B367" t="s">
        <v>790</v>
      </c>
      <c r="C367" t="s">
        <v>103</v>
      </c>
      <c r="D367" t="s">
        <v>104</v>
      </c>
      <c r="E367" t="s">
        <v>60</v>
      </c>
      <c r="F367" t="s">
        <v>34</v>
      </c>
      <c r="G367" t="s">
        <v>35</v>
      </c>
      <c r="H367" t="s">
        <v>47</v>
      </c>
      <c r="I367" t="s">
        <v>70</v>
      </c>
      <c r="J367" t="s">
        <v>37</v>
      </c>
      <c r="K367" s="2">
        <v>45848</v>
      </c>
      <c r="L367" s="2">
        <v>46028</v>
      </c>
      <c r="M367" t="s">
        <v>38</v>
      </c>
      <c r="N367" t="s">
        <v>55</v>
      </c>
      <c r="O367">
        <v>1</v>
      </c>
      <c r="P367" t="s">
        <v>54</v>
      </c>
      <c r="Q367" s="2">
        <v>46380</v>
      </c>
      <c r="R367" t="s">
        <v>64</v>
      </c>
    </row>
    <row r="368" spans="1:18" x14ac:dyDescent="0.2">
      <c r="A368" t="s">
        <v>791</v>
      </c>
      <c r="B368" t="s">
        <v>792</v>
      </c>
      <c r="C368" t="s">
        <v>78</v>
      </c>
      <c r="D368" t="s">
        <v>79</v>
      </c>
      <c r="E368" t="s">
        <v>60</v>
      </c>
      <c r="F368" t="s">
        <v>45</v>
      </c>
      <c r="G368" t="s">
        <v>46</v>
      </c>
      <c r="H368" t="s">
        <v>88</v>
      </c>
      <c r="I368" t="s">
        <v>50</v>
      </c>
      <c r="J368" t="s">
        <v>48</v>
      </c>
      <c r="K368" s="2">
        <v>45990</v>
      </c>
      <c r="L368" s="2">
        <v>46355</v>
      </c>
      <c r="M368" t="s">
        <v>84</v>
      </c>
      <c r="N368" t="s">
        <v>49</v>
      </c>
      <c r="O368">
        <v>2</v>
      </c>
      <c r="P368" t="s">
        <v>50</v>
      </c>
      <c r="Q368" s="2">
        <v>46349</v>
      </c>
      <c r="R368" t="s">
        <v>84</v>
      </c>
    </row>
    <row r="369" spans="1:18" x14ac:dyDescent="0.2">
      <c r="A369" t="s">
        <v>793</v>
      </c>
      <c r="B369" t="s">
        <v>794</v>
      </c>
      <c r="C369" t="s">
        <v>73</v>
      </c>
      <c r="D369" t="s">
        <v>74</v>
      </c>
      <c r="E369" t="s">
        <v>60</v>
      </c>
      <c r="F369" t="s">
        <v>34</v>
      </c>
      <c r="G369" t="s">
        <v>35</v>
      </c>
      <c r="H369" t="s">
        <v>88</v>
      </c>
      <c r="I369" t="s">
        <v>50</v>
      </c>
      <c r="J369" t="s">
        <v>37</v>
      </c>
      <c r="K369" s="2">
        <v>46002</v>
      </c>
      <c r="L369" s="2">
        <v>46367</v>
      </c>
      <c r="M369" t="s">
        <v>64</v>
      </c>
      <c r="N369" t="s">
        <v>75</v>
      </c>
      <c r="O369">
        <v>2</v>
      </c>
      <c r="P369" t="s">
        <v>62</v>
      </c>
      <c r="Q369" s="2">
        <v>46396</v>
      </c>
      <c r="R369" t="s">
        <v>84</v>
      </c>
    </row>
    <row r="370" spans="1:18" x14ac:dyDescent="0.2">
      <c r="A370" t="s">
        <v>795</v>
      </c>
      <c r="B370" t="s">
        <v>796</v>
      </c>
      <c r="C370" t="s">
        <v>96</v>
      </c>
      <c r="D370" t="s">
        <v>97</v>
      </c>
      <c r="E370" t="s">
        <v>91</v>
      </c>
      <c r="F370" t="s">
        <v>34</v>
      </c>
      <c r="G370" t="s">
        <v>35</v>
      </c>
      <c r="H370" t="s">
        <v>88</v>
      </c>
      <c r="I370" t="s">
        <v>54</v>
      </c>
      <c r="J370" t="s">
        <v>48</v>
      </c>
      <c r="K370" s="2">
        <v>45987</v>
      </c>
      <c r="L370" s="2">
        <v>46352</v>
      </c>
      <c r="M370" t="s">
        <v>64</v>
      </c>
      <c r="N370" t="s">
        <v>49</v>
      </c>
      <c r="O370">
        <v>2</v>
      </c>
      <c r="P370" t="s">
        <v>39</v>
      </c>
      <c r="Q370" s="2">
        <v>46299</v>
      </c>
      <c r="R370" t="s">
        <v>84</v>
      </c>
    </row>
    <row r="371" spans="1:18" x14ac:dyDescent="0.2">
      <c r="A371" t="s">
        <v>797</v>
      </c>
      <c r="B371" t="s">
        <v>798</v>
      </c>
      <c r="C371" t="s">
        <v>31</v>
      </c>
      <c r="D371" t="s">
        <v>83</v>
      </c>
      <c r="E371" t="s">
        <v>60</v>
      </c>
      <c r="F371" t="s">
        <v>67</v>
      </c>
      <c r="G371" t="s">
        <v>68</v>
      </c>
      <c r="H371" t="s">
        <v>47</v>
      </c>
      <c r="I371" t="s">
        <v>56</v>
      </c>
      <c r="J371" t="s">
        <v>48</v>
      </c>
      <c r="K371" s="2">
        <v>46272</v>
      </c>
      <c r="L371" s="2">
        <v>46452</v>
      </c>
      <c r="M371" t="s">
        <v>84</v>
      </c>
      <c r="N371" t="s">
        <v>75</v>
      </c>
      <c r="O371">
        <v>0</v>
      </c>
      <c r="P371" t="s">
        <v>111</v>
      </c>
      <c r="Q371" s="2">
        <v>46256</v>
      </c>
      <c r="R371" t="s">
        <v>57</v>
      </c>
    </row>
    <row r="372" spans="1:18" x14ac:dyDescent="0.2">
      <c r="A372" t="s">
        <v>799</v>
      </c>
      <c r="B372" t="s">
        <v>800</v>
      </c>
      <c r="C372" t="s">
        <v>31</v>
      </c>
      <c r="D372" t="s">
        <v>32</v>
      </c>
      <c r="E372" t="s">
        <v>44</v>
      </c>
      <c r="F372" t="s">
        <v>67</v>
      </c>
      <c r="G372" t="s">
        <v>68</v>
      </c>
      <c r="H372" t="s">
        <v>47</v>
      </c>
      <c r="I372" t="s">
        <v>54</v>
      </c>
      <c r="J372" t="s">
        <v>37</v>
      </c>
      <c r="K372" s="2">
        <v>46156</v>
      </c>
      <c r="L372" s="2">
        <v>46336</v>
      </c>
      <c r="M372" t="s">
        <v>84</v>
      </c>
      <c r="N372" t="s">
        <v>49</v>
      </c>
      <c r="O372">
        <v>3</v>
      </c>
      <c r="P372" t="s">
        <v>111</v>
      </c>
      <c r="Q372" s="2">
        <v>46406</v>
      </c>
      <c r="R372" t="s">
        <v>84</v>
      </c>
    </row>
    <row r="373" spans="1:18" x14ac:dyDescent="0.2">
      <c r="A373" t="s">
        <v>801</v>
      </c>
      <c r="B373" t="s">
        <v>802</v>
      </c>
      <c r="C373" t="s">
        <v>31</v>
      </c>
      <c r="D373" t="s">
        <v>87</v>
      </c>
      <c r="E373" t="s">
        <v>91</v>
      </c>
      <c r="F373" t="s">
        <v>45</v>
      </c>
      <c r="G373" t="s">
        <v>61</v>
      </c>
      <c r="H373" t="s">
        <v>36</v>
      </c>
      <c r="I373" t="s">
        <v>70</v>
      </c>
      <c r="J373" t="s">
        <v>37</v>
      </c>
      <c r="K373" s="2">
        <v>45971</v>
      </c>
      <c r="L373" s="2">
        <v>46336</v>
      </c>
      <c r="M373" t="s">
        <v>64</v>
      </c>
      <c r="N373" t="s">
        <v>49</v>
      </c>
      <c r="O373">
        <v>4</v>
      </c>
      <c r="P373" t="s">
        <v>106</v>
      </c>
      <c r="Q373" s="2">
        <v>46310</v>
      </c>
      <c r="R373" t="s">
        <v>64</v>
      </c>
    </row>
    <row r="374" spans="1:18" x14ac:dyDescent="0.2">
      <c r="A374" t="s">
        <v>803</v>
      </c>
      <c r="B374" t="s">
        <v>804</v>
      </c>
      <c r="C374" t="s">
        <v>31</v>
      </c>
      <c r="D374" t="s">
        <v>87</v>
      </c>
      <c r="E374" t="s">
        <v>105</v>
      </c>
      <c r="F374" t="s">
        <v>67</v>
      </c>
      <c r="G374" t="s">
        <v>118</v>
      </c>
      <c r="H374" t="s">
        <v>36</v>
      </c>
      <c r="I374" t="s">
        <v>54</v>
      </c>
      <c r="J374" t="s">
        <v>63</v>
      </c>
      <c r="K374" s="2">
        <v>45893</v>
      </c>
      <c r="L374" s="2">
        <v>46258</v>
      </c>
      <c r="M374" t="s">
        <v>38</v>
      </c>
      <c r="N374" t="s">
        <v>49</v>
      </c>
      <c r="O374">
        <v>0</v>
      </c>
      <c r="P374" t="s">
        <v>39</v>
      </c>
      <c r="Q374" s="2">
        <v>46310</v>
      </c>
      <c r="R374" t="s">
        <v>57</v>
      </c>
    </row>
    <row r="375" spans="1:18" x14ac:dyDescent="0.2">
      <c r="A375" t="s">
        <v>805</v>
      </c>
      <c r="B375" t="s">
        <v>806</v>
      </c>
      <c r="C375" t="s">
        <v>31</v>
      </c>
      <c r="D375" t="s">
        <v>32</v>
      </c>
      <c r="E375" t="s">
        <v>53</v>
      </c>
      <c r="F375" t="s">
        <v>67</v>
      </c>
      <c r="G375" t="s">
        <v>68</v>
      </c>
      <c r="H375" t="s">
        <v>88</v>
      </c>
      <c r="I375" t="s">
        <v>54</v>
      </c>
      <c r="J375" t="s">
        <v>37</v>
      </c>
      <c r="K375" s="2">
        <v>46197</v>
      </c>
      <c r="L375" s="2">
        <v>46287</v>
      </c>
      <c r="M375" t="s">
        <v>38</v>
      </c>
      <c r="N375" t="s">
        <v>49</v>
      </c>
      <c r="O375">
        <v>3</v>
      </c>
      <c r="P375" t="s">
        <v>56</v>
      </c>
      <c r="Q375" s="2">
        <v>46343</v>
      </c>
      <c r="R375" t="s">
        <v>84</v>
      </c>
    </row>
    <row r="376" spans="1:18" x14ac:dyDescent="0.2">
      <c r="A376" t="s">
        <v>807</v>
      </c>
      <c r="B376" t="s">
        <v>808</v>
      </c>
      <c r="C376" t="s">
        <v>78</v>
      </c>
      <c r="D376" t="s">
        <v>79</v>
      </c>
      <c r="E376" t="s">
        <v>44</v>
      </c>
      <c r="F376" t="s">
        <v>67</v>
      </c>
      <c r="G376" t="s">
        <v>68</v>
      </c>
      <c r="H376" t="s">
        <v>88</v>
      </c>
      <c r="I376" t="s">
        <v>111</v>
      </c>
      <c r="J376" t="s">
        <v>63</v>
      </c>
      <c r="K376" s="2">
        <v>45983</v>
      </c>
      <c r="L376" s="2">
        <v>46348</v>
      </c>
      <c r="M376" t="s">
        <v>64</v>
      </c>
      <c r="N376" t="s">
        <v>75</v>
      </c>
      <c r="O376">
        <v>2</v>
      </c>
      <c r="P376" t="s">
        <v>50</v>
      </c>
      <c r="Q376" s="2">
        <v>46158</v>
      </c>
      <c r="R376" t="s">
        <v>38</v>
      </c>
    </row>
    <row r="377" spans="1:18" x14ac:dyDescent="0.2">
      <c r="A377" t="s">
        <v>809</v>
      </c>
      <c r="B377" t="s">
        <v>810</v>
      </c>
      <c r="C377" t="s">
        <v>78</v>
      </c>
      <c r="D377" t="s">
        <v>79</v>
      </c>
      <c r="E377" t="s">
        <v>60</v>
      </c>
      <c r="F377" t="s">
        <v>45</v>
      </c>
      <c r="G377" t="s">
        <v>61</v>
      </c>
      <c r="H377" t="s">
        <v>47</v>
      </c>
      <c r="I377" t="s">
        <v>62</v>
      </c>
      <c r="J377" t="s">
        <v>63</v>
      </c>
      <c r="K377" s="2">
        <v>45942</v>
      </c>
      <c r="L377" s="2">
        <v>46307</v>
      </c>
      <c r="M377" t="s">
        <v>64</v>
      </c>
      <c r="N377" t="s">
        <v>49</v>
      </c>
      <c r="O377">
        <v>1</v>
      </c>
      <c r="P377" t="s">
        <v>70</v>
      </c>
      <c r="Q377" s="2">
        <v>46239</v>
      </c>
      <c r="R377" t="s">
        <v>64</v>
      </c>
    </row>
    <row r="378" spans="1:18" x14ac:dyDescent="0.2">
      <c r="A378" t="s">
        <v>811</v>
      </c>
      <c r="B378" t="s">
        <v>812</v>
      </c>
      <c r="C378" t="s">
        <v>31</v>
      </c>
      <c r="D378" t="s">
        <v>83</v>
      </c>
      <c r="E378" t="s">
        <v>80</v>
      </c>
      <c r="F378" t="s">
        <v>45</v>
      </c>
      <c r="G378" t="s">
        <v>61</v>
      </c>
      <c r="H378" t="s">
        <v>88</v>
      </c>
      <c r="I378" t="s">
        <v>54</v>
      </c>
      <c r="J378" t="s">
        <v>63</v>
      </c>
      <c r="K378" s="2">
        <v>46111</v>
      </c>
      <c r="L378" s="2">
        <v>46291</v>
      </c>
      <c r="M378" t="s">
        <v>38</v>
      </c>
      <c r="N378" t="s">
        <v>49</v>
      </c>
      <c r="O378">
        <v>0</v>
      </c>
      <c r="P378" t="s">
        <v>111</v>
      </c>
      <c r="Q378" s="2">
        <v>46271</v>
      </c>
      <c r="R378" t="s">
        <v>57</v>
      </c>
    </row>
    <row r="379" spans="1:18" x14ac:dyDescent="0.2">
      <c r="A379" t="s">
        <v>813</v>
      </c>
      <c r="B379" t="s">
        <v>814</v>
      </c>
      <c r="C379" t="s">
        <v>31</v>
      </c>
      <c r="D379" t="s">
        <v>87</v>
      </c>
      <c r="E379" t="s">
        <v>80</v>
      </c>
      <c r="F379" t="s">
        <v>34</v>
      </c>
      <c r="G379" t="s">
        <v>35</v>
      </c>
      <c r="H379" t="s">
        <v>47</v>
      </c>
      <c r="I379" t="s">
        <v>54</v>
      </c>
      <c r="J379" t="s">
        <v>63</v>
      </c>
      <c r="K379" s="2">
        <v>46173</v>
      </c>
      <c r="L379" s="2">
        <v>46538</v>
      </c>
      <c r="M379" t="s">
        <v>64</v>
      </c>
      <c r="N379" t="s">
        <v>49</v>
      </c>
      <c r="O379">
        <v>0</v>
      </c>
      <c r="P379" t="s">
        <v>50</v>
      </c>
      <c r="Q379" s="2">
        <v>46172</v>
      </c>
      <c r="R379" t="s">
        <v>57</v>
      </c>
    </row>
    <row r="380" spans="1:18" x14ac:dyDescent="0.2">
      <c r="A380" t="s">
        <v>815</v>
      </c>
      <c r="B380" t="s">
        <v>816</v>
      </c>
      <c r="C380" t="s">
        <v>42</v>
      </c>
      <c r="D380" t="s">
        <v>43</v>
      </c>
      <c r="E380" t="s">
        <v>53</v>
      </c>
      <c r="F380" t="s">
        <v>67</v>
      </c>
      <c r="G380" t="s">
        <v>68</v>
      </c>
      <c r="H380" t="s">
        <v>88</v>
      </c>
      <c r="I380" t="s">
        <v>70</v>
      </c>
      <c r="J380" t="s">
        <v>37</v>
      </c>
      <c r="K380" s="2">
        <v>46119</v>
      </c>
      <c r="L380" s="2">
        <v>46299</v>
      </c>
      <c r="M380" t="s">
        <v>64</v>
      </c>
      <c r="N380" t="s">
        <v>75</v>
      </c>
      <c r="O380">
        <v>1</v>
      </c>
      <c r="P380" t="s">
        <v>50</v>
      </c>
      <c r="Q380" s="2">
        <v>46390</v>
      </c>
      <c r="R380" t="s">
        <v>64</v>
      </c>
    </row>
    <row r="381" spans="1:18" x14ac:dyDescent="0.2">
      <c r="A381" t="s">
        <v>817</v>
      </c>
      <c r="B381" t="s">
        <v>818</v>
      </c>
      <c r="C381" t="s">
        <v>103</v>
      </c>
      <c r="D381" t="s">
        <v>104</v>
      </c>
      <c r="E381" t="s">
        <v>80</v>
      </c>
      <c r="F381" t="s">
        <v>34</v>
      </c>
      <c r="G381" t="s">
        <v>35</v>
      </c>
      <c r="H381" t="s">
        <v>88</v>
      </c>
      <c r="J381" t="s">
        <v>63</v>
      </c>
      <c r="K381" s="2">
        <v>45936</v>
      </c>
      <c r="L381" s="2">
        <v>46301</v>
      </c>
      <c r="M381" t="s">
        <v>64</v>
      </c>
      <c r="N381" t="s">
        <v>55</v>
      </c>
      <c r="O381">
        <v>0</v>
      </c>
      <c r="P381" t="s">
        <v>56</v>
      </c>
      <c r="Q381" s="2">
        <v>46260</v>
      </c>
      <c r="R381" t="s">
        <v>57</v>
      </c>
    </row>
    <row r="382" spans="1:18" x14ac:dyDescent="0.2">
      <c r="A382" t="s">
        <v>819</v>
      </c>
      <c r="B382" t="s">
        <v>820</v>
      </c>
      <c r="C382" t="s">
        <v>78</v>
      </c>
      <c r="D382" t="s">
        <v>79</v>
      </c>
      <c r="E382" t="s">
        <v>91</v>
      </c>
      <c r="F382" t="s">
        <v>45</v>
      </c>
      <c r="G382" t="s">
        <v>61</v>
      </c>
      <c r="H382" t="s">
        <v>98</v>
      </c>
      <c r="I382" t="s">
        <v>70</v>
      </c>
      <c r="J382" t="s">
        <v>37</v>
      </c>
      <c r="K382" s="2">
        <v>46077</v>
      </c>
      <c r="L382" s="2">
        <v>46442</v>
      </c>
      <c r="M382" t="s">
        <v>64</v>
      </c>
      <c r="N382" t="s">
        <v>49</v>
      </c>
      <c r="O382">
        <v>2</v>
      </c>
      <c r="P382" t="s">
        <v>70</v>
      </c>
      <c r="Q382" s="2">
        <v>46170</v>
      </c>
      <c r="R382" t="s">
        <v>64</v>
      </c>
    </row>
    <row r="383" spans="1:18" x14ac:dyDescent="0.2">
      <c r="A383" t="s">
        <v>821</v>
      </c>
      <c r="B383" t="s">
        <v>822</v>
      </c>
      <c r="C383" t="s">
        <v>96</v>
      </c>
      <c r="D383" t="s">
        <v>97</v>
      </c>
      <c r="E383" t="s">
        <v>60</v>
      </c>
      <c r="F383" t="s">
        <v>67</v>
      </c>
      <c r="G383" t="s">
        <v>118</v>
      </c>
      <c r="H383" t="s">
        <v>88</v>
      </c>
      <c r="I383" t="s">
        <v>50</v>
      </c>
      <c r="J383" t="s">
        <v>63</v>
      </c>
      <c r="K383" s="2">
        <v>46174</v>
      </c>
      <c r="L383" s="2">
        <v>46539</v>
      </c>
      <c r="M383" t="s">
        <v>84</v>
      </c>
      <c r="N383" t="s">
        <v>55</v>
      </c>
      <c r="O383">
        <v>1</v>
      </c>
      <c r="P383" t="s">
        <v>50</v>
      </c>
      <c r="Q383" s="2">
        <v>46386</v>
      </c>
      <c r="R383" t="s">
        <v>64</v>
      </c>
    </row>
    <row r="384" spans="1:18" x14ac:dyDescent="0.2">
      <c r="A384" t="s">
        <v>823</v>
      </c>
      <c r="B384" t="s">
        <v>824</v>
      </c>
      <c r="C384" t="s">
        <v>31</v>
      </c>
      <c r="D384" t="s">
        <v>87</v>
      </c>
      <c r="E384" t="s">
        <v>91</v>
      </c>
      <c r="F384" t="s">
        <v>45</v>
      </c>
      <c r="G384" t="s">
        <v>61</v>
      </c>
      <c r="H384" t="s">
        <v>88</v>
      </c>
      <c r="I384" t="s">
        <v>56</v>
      </c>
      <c r="J384" t="s">
        <v>37</v>
      </c>
      <c r="K384" s="2">
        <v>46155</v>
      </c>
      <c r="L384" s="2">
        <v>46520</v>
      </c>
      <c r="M384" t="s">
        <v>64</v>
      </c>
      <c r="N384" t="s">
        <v>55</v>
      </c>
      <c r="O384">
        <v>2</v>
      </c>
      <c r="P384" t="s">
        <v>54</v>
      </c>
      <c r="Q384" s="2">
        <v>46313</v>
      </c>
      <c r="R384" t="s">
        <v>84</v>
      </c>
    </row>
    <row r="385" spans="1:18" x14ac:dyDescent="0.2">
      <c r="A385" t="s">
        <v>825</v>
      </c>
      <c r="B385" t="s">
        <v>826</v>
      </c>
      <c r="C385" t="s">
        <v>31</v>
      </c>
      <c r="D385" t="s">
        <v>83</v>
      </c>
      <c r="E385" t="s">
        <v>80</v>
      </c>
      <c r="F385" t="s">
        <v>45</v>
      </c>
      <c r="G385" t="s">
        <v>61</v>
      </c>
      <c r="H385" t="s">
        <v>88</v>
      </c>
      <c r="I385" t="s">
        <v>70</v>
      </c>
      <c r="J385" t="s">
        <v>37</v>
      </c>
      <c r="K385" s="2">
        <v>45902</v>
      </c>
      <c r="L385" s="2">
        <v>46082</v>
      </c>
      <c r="M385" t="s">
        <v>38</v>
      </c>
      <c r="N385" t="s">
        <v>49</v>
      </c>
      <c r="O385">
        <v>1</v>
      </c>
      <c r="P385" t="s">
        <v>106</v>
      </c>
      <c r="Q385" s="2">
        <v>46328</v>
      </c>
      <c r="R385" t="s">
        <v>64</v>
      </c>
    </row>
    <row r="386" spans="1:18" x14ac:dyDescent="0.2">
      <c r="A386" t="s">
        <v>827</v>
      </c>
      <c r="B386" t="s">
        <v>828</v>
      </c>
      <c r="C386" t="s">
        <v>31</v>
      </c>
      <c r="D386" t="s">
        <v>83</v>
      </c>
      <c r="E386" t="s">
        <v>44</v>
      </c>
      <c r="F386" t="s">
        <v>67</v>
      </c>
      <c r="G386" t="s">
        <v>68</v>
      </c>
      <c r="H386" t="s">
        <v>88</v>
      </c>
      <c r="I386" t="s">
        <v>54</v>
      </c>
      <c r="J386" t="s">
        <v>63</v>
      </c>
      <c r="K386" s="2">
        <v>45834</v>
      </c>
      <c r="L386" s="2">
        <v>45924</v>
      </c>
      <c r="M386" t="s">
        <v>38</v>
      </c>
      <c r="N386" t="s">
        <v>75</v>
      </c>
      <c r="O386">
        <v>1</v>
      </c>
      <c r="P386" t="s">
        <v>50</v>
      </c>
      <c r="Q386" s="2">
        <v>46335</v>
      </c>
      <c r="R386" t="s">
        <v>84</v>
      </c>
    </row>
    <row r="387" spans="1:18" x14ac:dyDescent="0.2">
      <c r="A387" t="s">
        <v>829</v>
      </c>
      <c r="B387" t="s">
        <v>830</v>
      </c>
      <c r="C387" t="s">
        <v>78</v>
      </c>
      <c r="D387" t="s">
        <v>79</v>
      </c>
      <c r="E387" t="s">
        <v>60</v>
      </c>
      <c r="F387" t="s">
        <v>67</v>
      </c>
      <c r="G387" t="s">
        <v>68</v>
      </c>
      <c r="H387" t="s">
        <v>88</v>
      </c>
      <c r="I387" t="s">
        <v>70</v>
      </c>
      <c r="J387" t="s">
        <v>37</v>
      </c>
      <c r="K387" s="2">
        <v>46181</v>
      </c>
      <c r="L387" s="2">
        <v>46361</v>
      </c>
      <c r="M387" t="s">
        <v>84</v>
      </c>
      <c r="N387" t="s">
        <v>49</v>
      </c>
      <c r="O387">
        <v>0</v>
      </c>
      <c r="P387" t="s">
        <v>111</v>
      </c>
      <c r="Q387" s="2">
        <v>46278</v>
      </c>
      <c r="R387" t="s">
        <v>57</v>
      </c>
    </row>
    <row r="388" spans="1:18" x14ac:dyDescent="0.2">
      <c r="A388" t="s">
        <v>831</v>
      </c>
      <c r="B388" t="s">
        <v>832</v>
      </c>
      <c r="C388" t="s">
        <v>103</v>
      </c>
      <c r="D388" t="s">
        <v>104</v>
      </c>
      <c r="E388" t="s">
        <v>44</v>
      </c>
      <c r="F388" t="s">
        <v>34</v>
      </c>
      <c r="G388" t="s">
        <v>35</v>
      </c>
      <c r="H388" t="s">
        <v>36</v>
      </c>
      <c r="I388" t="s">
        <v>70</v>
      </c>
      <c r="J388" t="s">
        <v>48</v>
      </c>
      <c r="K388" s="2">
        <v>46208</v>
      </c>
      <c r="L388" s="2">
        <v>46298</v>
      </c>
      <c r="M388" t="s">
        <v>64</v>
      </c>
      <c r="N388" t="s">
        <v>49</v>
      </c>
      <c r="O388">
        <v>4</v>
      </c>
      <c r="P388" t="s">
        <v>54</v>
      </c>
      <c r="Q388" s="2">
        <v>46251</v>
      </c>
      <c r="R388" t="s">
        <v>38</v>
      </c>
    </row>
    <row r="389" spans="1:18" x14ac:dyDescent="0.2">
      <c r="A389" t="s">
        <v>833</v>
      </c>
      <c r="B389" t="s">
        <v>834</v>
      </c>
      <c r="C389" t="s">
        <v>96</v>
      </c>
      <c r="D389" t="s">
        <v>97</v>
      </c>
      <c r="E389" t="s">
        <v>53</v>
      </c>
      <c r="F389" t="s">
        <v>34</v>
      </c>
      <c r="G389" t="s">
        <v>35</v>
      </c>
      <c r="H389" t="s">
        <v>47</v>
      </c>
      <c r="I389" t="s">
        <v>111</v>
      </c>
      <c r="J389" t="s">
        <v>48</v>
      </c>
      <c r="K389" s="2">
        <v>46207</v>
      </c>
      <c r="L389" s="2">
        <v>46572</v>
      </c>
      <c r="M389" t="s">
        <v>69</v>
      </c>
      <c r="N389" t="s">
        <v>49</v>
      </c>
      <c r="O389">
        <v>2</v>
      </c>
      <c r="P389" t="s">
        <v>50</v>
      </c>
      <c r="Q389" s="2">
        <v>46209</v>
      </c>
      <c r="R389" t="s">
        <v>38</v>
      </c>
    </row>
    <row r="390" spans="1:18" x14ac:dyDescent="0.2">
      <c r="A390" t="s">
        <v>835</v>
      </c>
      <c r="B390" t="s">
        <v>836</v>
      </c>
      <c r="C390" t="s">
        <v>31</v>
      </c>
      <c r="D390" t="s">
        <v>32</v>
      </c>
      <c r="E390" t="s">
        <v>105</v>
      </c>
      <c r="F390" t="s">
        <v>45</v>
      </c>
      <c r="G390" t="s">
        <v>46</v>
      </c>
      <c r="H390" t="s">
        <v>88</v>
      </c>
      <c r="I390" t="s">
        <v>39</v>
      </c>
      <c r="J390" t="s">
        <v>37</v>
      </c>
      <c r="K390" s="2">
        <v>45802</v>
      </c>
      <c r="L390" s="2">
        <v>45982</v>
      </c>
      <c r="M390" t="s">
        <v>38</v>
      </c>
      <c r="N390" t="s">
        <v>75</v>
      </c>
      <c r="O390">
        <v>1</v>
      </c>
      <c r="P390" t="s">
        <v>111</v>
      </c>
      <c r="Q390" s="2">
        <v>46218</v>
      </c>
      <c r="R390" t="s">
        <v>38</v>
      </c>
    </row>
    <row r="391" spans="1:18" x14ac:dyDescent="0.2">
      <c r="A391" t="s">
        <v>837</v>
      </c>
      <c r="B391" t="s">
        <v>838</v>
      </c>
      <c r="C391" t="s">
        <v>78</v>
      </c>
      <c r="D391" t="s">
        <v>79</v>
      </c>
      <c r="E391" t="s">
        <v>80</v>
      </c>
      <c r="F391" t="s">
        <v>34</v>
      </c>
      <c r="G391" t="s">
        <v>35</v>
      </c>
      <c r="H391" t="s">
        <v>36</v>
      </c>
      <c r="I391" t="s">
        <v>62</v>
      </c>
      <c r="J391" t="s">
        <v>63</v>
      </c>
      <c r="K391" s="2">
        <v>46068</v>
      </c>
      <c r="L391" s="2">
        <v>46158</v>
      </c>
      <c r="M391" t="s">
        <v>38</v>
      </c>
      <c r="N391" t="s">
        <v>49</v>
      </c>
      <c r="O391">
        <v>5</v>
      </c>
      <c r="P391" t="s">
        <v>39</v>
      </c>
      <c r="Q391" s="2">
        <v>46309</v>
      </c>
      <c r="R391" t="s">
        <v>84</v>
      </c>
    </row>
    <row r="392" spans="1:18" x14ac:dyDescent="0.2">
      <c r="A392" t="s">
        <v>839</v>
      </c>
      <c r="B392" t="s">
        <v>840</v>
      </c>
      <c r="C392" t="s">
        <v>31</v>
      </c>
      <c r="D392" t="s">
        <v>87</v>
      </c>
      <c r="E392" t="s">
        <v>80</v>
      </c>
      <c r="F392" t="s">
        <v>34</v>
      </c>
      <c r="G392" t="s">
        <v>35</v>
      </c>
      <c r="H392" t="s">
        <v>88</v>
      </c>
      <c r="I392" t="s">
        <v>39</v>
      </c>
      <c r="J392" t="s">
        <v>37</v>
      </c>
      <c r="K392" s="2">
        <v>45826</v>
      </c>
      <c r="L392" s="2">
        <v>45916</v>
      </c>
      <c r="M392" t="s">
        <v>38</v>
      </c>
      <c r="N392" t="s">
        <v>49</v>
      </c>
      <c r="O392">
        <v>3</v>
      </c>
      <c r="P392" t="s">
        <v>111</v>
      </c>
      <c r="Q392" s="2">
        <v>46135</v>
      </c>
      <c r="R392" t="s">
        <v>38</v>
      </c>
    </row>
    <row r="393" spans="1:18" x14ac:dyDescent="0.2">
      <c r="A393" t="s">
        <v>841</v>
      </c>
      <c r="B393" t="s">
        <v>842</v>
      </c>
      <c r="C393" t="s">
        <v>31</v>
      </c>
      <c r="D393" t="s">
        <v>32</v>
      </c>
      <c r="E393" t="s">
        <v>53</v>
      </c>
      <c r="F393" t="s">
        <v>67</v>
      </c>
      <c r="G393" t="s">
        <v>118</v>
      </c>
      <c r="H393" t="s">
        <v>88</v>
      </c>
      <c r="I393" t="s">
        <v>62</v>
      </c>
      <c r="J393" t="s">
        <v>63</v>
      </c>
      <c r="K393" s="2">
        <v>46125</v>
      </c>
      <c r="L393" s="2">
        <v>46490</v>
      </c>
      <c r="M393" t="s">
        <v>84</v>
      </c>
      <c r="N393" t="s">
        <v>75</v>
      </c>
      <c r="O393">
        <v>3</v>
      </c>
      <c r="P393" t="s">
        <v>50</v>
      </c>
      <c r="Q393" s="2">
        <v>46161</v>
      </c>
      <c r="R393" t="s">
        <v>38</v>
      </c>
    </row>
    <row r="394" spans="1:18" x14ac:dyDescent="0.2">
      <c r="A394" t="s">
        <v>843</v>
      </c>
      <c r="B394" t="s">
        <v>844</v>
      </c>
      <c r="C394" t="s">
        <v>73</v>
      </c>
      <c r="D394" t="s">
        <v>74</v>
      </c>
      <c r="E394" t="s">
        <v>53</v>
      </c>
      <c r="F394" t="s">
        <v>67</v>
      </c>
      <c r="G394" t="s">
        <v>118</v>
      </c>
      <c r="H394" t="s">
        <v>88</v>
      </c>
      <c r="I394" t="s">
        <v>50</v>
      </c>
      <c r="J394" t="s">
        <v>63</v>
      </c>
      <c r="K394" s="2">
        <v>46043</v>
      </c>
      <c r="L394" s="2">
        <v>46408</v>
      </c>
      <c r="M394" t="s">
        <v>84</v>
      </c>
      <c r="N394" t="s">
        <v>75</v>
      </c>
      <c r="O394">
        <v>0</v>
      </c>
      <c r="P394" t="s">
        <v>50</v>
      </c>
      <c r="Q394" s="2">
        <v>46243</v>
      </c>
      <c r="R394" t="s">
        <v>57</v>
      </c>
    </row>
    <row r="395" spans="1:18" x14ac:dyDescent="0.2">
      <c r="A395" t="s">
        <v>845</v>
      </c>
      <c r="B395" t="s">
        <v>846</v>
      </c>
      <c r="C395" t="s">
        <v>31</v>
      </c>
      <c r="D395" t="s">
        <v>83</v>
      </c>
      <c r="E395" t="s">
        <v>105</v>
      </c>
      <c r="F395" t="s">
        <v>34</v>
      </c>
      <c r="G395" t="s">
        <v>35</v>
      </c>
      <c r="H395" t="s">
        <v>47</v>
      </c>
      <c r="I395" t="s">
        <v>111</v>
      </c>
      <c r="J395" t="s">
        <v>63</v>
      </c>
      <c r="K395" s="2">
        <v>45951</v>
      </c>
      <c r="L395" s="2">
        <v>46131</v>
      </c>
      <c r="M395" t="s">
        <v>38</v>
      </c>
      <c r="N395" t="s">
        <v>55</v>
      </c>
      <c r="O395">
        <v>3</v>
      </c>
      <c r="P395" t="s">
        <v>62</v>
      </c>
      <c r="Q395" s="2">
        <v>46376</v>
      </c>
      <c r="R395" t="s">
        <v>84</v>
      </c>
    </row>
    <row r="396" spans="1:18" x14ac:dyDescent="0.2">
      <c r="A396" t="s">
        <v>847</v>
      </c>
      <c r="B396" t="s">
        <v>848</v>
      </c>
      <c r="C396" t="s">
        <v>42</v>
      </c>
      <c r="D396" t="s">
        <v>43</v>
      </c>
      <c r="E396" t="s">
        <v>53</v>
      </c>
      <c r="F396" t="s">
        <v>45</v>
      </c>
      <c r="G396" t="s">
        <v>46</v>
      </c>
      <c r="H396" t="s">
        <v>88</v>
      </c>
      <c r="I396" t="s">
        <v>50</v>
      </c>
      <c r="J396" t="s">
        <v>63</v>
      </c>
      <c r="K396" s="2">
        <v>46192</v>
      </c>
      <c r="L396" s="2">
        <v>46282</v>
      </c>
      <c r="M396" t="s">
        <v>38</v>
      </c>
      <c r="N396" t="s">
        <v>55</v>
      </c>
      <c r="O396">
        <v>0</v>
      </c>
      <c r="P396" t="s">
        <v>111</v>
      </c>
      <c r="Q396" s="2">
        <v>46329</v>
      </c>
      <c r="R396" t="s">
        <v>57</v>
      </c>
    </row>
    <row r="397" spans="1:18" x14ac:dyDescent="0.2">
      <c r="A397" t="s">
        <v>849</v>
      </c>
      <c r="B397" t="s">
        <v>850</v>
      </c>
      <c r="C397" t="s">
        <v>31</v>
      </c>
      <c r="D397" t="s">
        <v>87</v>
      </c>
      <c r="E397" t="s">
        <v>105</v>
      </c>
      <c r="F397" t="s">
        <v>67</v>
      </c>
      <c r="G397" t="s">
        <v>68</v>
      </c>
      <c r="H397" t="s">
        <v>36</v>
      </c>
      <c r="I397" t="s">
        <v>54</v>
      </c>
      <c r="J397" t="s">
        <v>37</v>
      </c>
      <c r="K397" s="2">
        <v>46274</v>
      </c>
      <c r="L397" s="2">
        <v>46639</v>
      </c>
      <c r="M397" t="s">
        <v>84</v>
      </c>
      <c r="N397" t="s">
        <v>75</v>
      </c>
      <c r="O397">
        <v>3</v>
      </c>
      <c r="P397" t="s">
        <v>54</v>
      </c>
      <c r="Q397" s="2">
        <v>46370</v>
      </c>
      <c r="R397" t="s">
        <v>84</v>
      </c>
    </row>
    <row r="398" spans="1:18" x14ac:dyDescent="0.2">
      <c r="A398" t="s">
        <v>851</v>
      </c>
      <c r="B398" t="s">
        <v>852</v>
      </c>
      <c r="C398" t="s">
        <v>103</v>
      </c>
      <c r="D398" t="s">
        <v>104</v>
      </c>
      <c r="E398" t="s">
        <v>80</v>
      </c>
      <c r="F398" t="s">
        <v>45</v>
      </c>
      <c r="G398" t="s">
        <v>61</v>
      </c>
      <c r="H398" t="s">
        <v>88</v>
      </c>
      <c r="I398" t="s">
        <v>70</v>
      </c>
      <c r="J398" t="s">
        <v>48</v>
      </c>
      <c r="K398" s="2">
        <v>45968</v>
      </c>
      <c r="L398" s="2">
        <v>46333</v>
      </c>
      <c r="M398" t="s">
        <v>64</v>
      </c>
      <c r="N398" t="s">
        <v>49</v>
      </c>
      <c r="O398">
        <v>2</v>
      </c>
      <c r="P398" t="s">
        <v>50</v>
      </c>
      <c r="Q398" s="2">
        <v>46400</v>
      </c>
      <c r="R398" t="s">
        <v>84</v>
      </c>
    </row>
    <row r="399" spans="1:18" x14ac:dyDescent="0.2">
      <c r="A399" t="s">
        <v>853</v>
      </c>
      <c r="B399" t="s">
        <v>854</v>
      </c>
      <c r="C399" t="s">
        <v>31</v>
      </c>
      <c r="D399" t="s">
        <v>32</v>
      </c>
      <c r="E399" t="s">
        <v>105</v>
      </c>
      <c r="F399" t="s">
        <v>45</v>
      </c>
      <c r="G399" t="s">
        <v>61</v>
      </c>
      <c r="H399" t="s">
        <v>47</v>
      </c>
      <c r="I399" t="s">
        <v>39</v>
      </c>
      <c r="J399" t="s">
        <v>48</v>
      </c>
      <c r="K399" s="2">
        <v>45934</v>
      </c>
      <c r="L399" s="2">
        <v>46299</v>
      </c>
      <c r="M399" t="s">
        <v>69</v>
      </c>
      <c r="N399" t="s">
        <v>75</v>
      </c>
      <c r="O399">
        <v>0</v>
      </c>
      <c r="P399" t="s">
        <v>50</v>
      </c>
      <c r="Q399" s="2">
        <v>46140</v>
      </c>
      <c r="R399" t="s">
        <v>57</v>
      </c>
    </row>
    <row r="400" spans="1:18" x14ac:dyDescent="0.2">
      <c r="A400" t="s">
        <v>855</v>
      </c>
      <c r="B400" t="s">
        <v>856</v>
      </c>
      <c r="C400" t="s">
        <v>78</v>
      </c>
      <c r="D400" t="s">
        <v>79</v>
      </c>
      <c r="E400" t="s">
        <v>60</v>
      </c>
      <c r="F400" t="s">
        <v>34</v>
      </c>
      <c r="G400" t="s">
        <v>35</v>
      </c>
      <c r="H400" t="s">
        <v>88</v>
      </c>
      <c r="I400" t="s">
        <v>50</v>
      </c>
      <c r="J400" t="s">
        <v>48</v>
      </c>
      <c r="K400" s="2">
        <v>46042</v>
      </c>
      <c r="L400" s="2">
        <v>46407</v>
      </c>
      <c r="M400" t="s">
        <v>84</v>
      </c>
      <c r="N400" t="s">
        <v>55</v>
      </c>
      <c r="O400">
        <v>2</v>
      </c>
      <c r="P400" t="s">
        <v>62</v>
      </c>
      <c r="Q400" s="2">
        <v>46280</v>
      </c>
      <c r="R400" t="s">
        <v>38</v>
      </c>
    </row>
    <row r="401" spans="1:18" x14ac:dyDescent="0.2">
      <c r="A401" t="s">
        <v>857</v>
      </c>
      <c r="B401" t="s">
        <v>858</v>
      </c>
      <c r="C401" t="s">
        <v>103</v>
      </c>
      <c r="D401" t="s">
        <v>104</v>
      </c>
      <c r="E401" t="s">
        <v>53</v>
      </c>
      <c r="F401" t="s">
        <v>34</v>
      </c>
      <c r="G401" t="s">
        <v>35</v>
      </c>
      <c r="H401" t="s">
        <v>88</v>
      </c>
      <c r="I401" t="s">
        <v>70</v>
      </c>
      <c r="J401" t="s">
        <v>48</v>
      </c>
      <c r="K401" s="2">
        <v>45920</v>
      </c>
      <c r="L401" s="2">
        <v>46100</v>
      </c>
      <c r="M401" t="s">
        <v>38</v>
      </c>
      <c r="N401" t="s">
        <v>75</v>
      </c>
      <c r="O401">
        <v>3</v>
      </c>
      <c r="P401" t="s">
        <v>70</v>
      </c>
      <c r="Q401" s="2">
        <v>46383</v>
      </c>
      <c r="R401" t="s">
        <v>64</v>
      </c>
    </row>
    <row r="402" spans="1:18" x14ac:dyDescent="0.2">
      <c r="A402" t="s">
        <v>859</v>
      </c>
      <c r="B402" t="s">
        <v>860</v>
      </c>
      <c r="C402" t="s">
        <v>96</v>
      </c>
      <c r="D402" t="s">
        <v>97</v>
      </c>
      <c r="E402" t="s">
        <v>80</v>
      </c>
      <c r="F402" t="s">
        <v>34</v>
      </c>
      <c r="G402" t="s">
        <v>35</v>
      </c>
      <c r="H402" t="s">
        <v>36</v>
      </c>
      <c r="I402" t="s">
        <v>56</v>
      </c>
      <c r="J402" t="s">
        <v>63</v>
      </c>
      <c r="K402" s="2">
        <v>46057</v>
      </c>
      <c r="L402" s="2">
        <v>46422</v>
      </c>
      <c r="M402" t="s">
        <v>69</v>
      </c>
      <c r="N402" t="s">
        <v>49</v>
      </c>
      <c r="O402">
        <v>4</v>
      </c>
      <c r="P402" t="s">
        <v>111</v>
      </c>
      <c r="Q402" s="2">
        <v>46296</v>
      </c>
      <c r="R402" t="s">
        <v>84</v>
      </c>
    </row>
    <row r="403" spans="1:18" x14ac:dyDescent="0.2">
      <c r="A403" t="s">
        <v>861</v>
      </c>
      <c r="B403" t="s">
        <v>862</v>
      </c>
      <c r="C403" t="s">
        <v>31</v>
      </c>
      <c r="D403" t="s">
        <v>32</v>
      </c>
      <c r="E403" t="s">
        <v>60</v>
      </c>
      <c r="F403" t="s">
        <v>67</v>
      </c>
      <c r="G403" t="s">
        <v>68</v>
      </c>
      <c r="H403" t="s">
        <v>47</v>
      </c>
      <c r="I403" t="s">
        <v>56</v>
      </c>
      <c r="J403" t="s">
        <v>48</v>
      </c>
      <c r="K403" s="2">
        <v>46176</v>
      </c>
      <c r="L403" s="2">
        <v>46266</v>
      </c>
      <c r="M403" t="s">
        <v>38</v>
      </c>
      <c r="N403" t="s">
        <v>55</v>
      </c>
      <c r="O403">
        <v>0</v>
      </c>
      <c r="P403" t="s">
        <v>62</v>
      </c>
      <c r="Q403" s="2">
        <v>46353</v>
      </c>
      <c r="R403" t="s">
        <v>57</v>
      </c>
    </row>
    <row r="404" spans="1:18" x14ac:dyDescent="0.2">
      <c r="A404" t="s">
        <v>863</v>
      </c>
      <c r="B404" t="s">
        <v>864</v>
      </c>
      <c r="C404" t="s">
        <v>73</v>
      </c>
      <c r="D404" t="s">
        <v>74</v>
      </c>
      <c r="E404" t="s">
        <v>53</v>
      </c>
      <c r="F404" t="s">
        <v>67</v>
      </c>
      <c r="G404" t="s">
        <v>68</v>
      </c>
      <c r="H404" t="s">
        <v>88</v>
      </c>
      <c r="I404" t="s">
        <v>54</v>
      </c>
      <c r="J404" t="s">
        <v>48</v>
      </c>
      <c r="K404" s="2">
        <v>46270</v>
      </c>
      <c r="L404" s="2">
        <v>46635</v>
      </c>
      <c r="M404" t="s">
        <v>64</v>
      </c>
      <c r="N404" t="s">
        <v>75</v>
      </c>
      <c r="O404">
        <v>2</v>
      </c>
      <c r="P404" t="s">
        <v>70</v>
      </c>
      <c r="Q404" s="2">
        <v>46149</v>
      </c>
      <c r="R404" t="s">
        <v>64</v>
      </c>
    </row>
    <row r="405" spans="1:18" x14ac:dyDescent="0.2">
      <c r="A405" t="s">
        <v>865</v>
      </c>
      <c r="B405" t="s">
        <v>866</v>
      </c>
      <c r="C405" t="s">
        <v>96</v>
      </c>
      <c r="D405" t="s">
        <v>97</v>
      </c>
      <c r="E405" t="s">
        <v>53</v>
      </c>
      <c r="F405" t="s">
        <v>34</v>
      </c>
      <c r="G405" t="s">
        <v>35</v>
      </c>
      <c r="H405" t="s">
        <v>88</v>
      </c>
      <c r="I405" t="s">
        <v>39</v>
      </c>
      <c r="J405" t="s">
        <v>48</v>
      </c>
      <c r="K405" s="2">
        <v>45849</v>
      </c>
      <c r="L405" s="2">
        <v>45939</v>
      </c>
      <c r="M405" t="s">
        <v>38</v>
      </c>
      <c r="N405" t="s">
        <v>55</v>
      </c>
      <c r="O405">
        <v>2</v>
      </c>
      <c r="P405" t="s">
        <v>50</v>
      </c>
      <c r="Q405" s="2">
        <v>46288</v>
      </c>
      <c r="R405" t="s">
        <v>38</v>
      </c>
    </row>
    <row r="406" spans="1:18" x14ac:dyDescent="0.2">
      <c r="A406" t="s">
        <v>867</v>
      </c>
      <c r="B406" t="s">
        <v>868</v>
      </c>
      <c r="C406" t="s">
        <v>42</v>
      </c>
      <c r="D406" t="s">
        <v>43</v>
      </c>
      <c r="E406" t="s">
        <v>91</v>
      </c>
      <c r="F406" t="s">
        <v>67</v>
      </c>
      <c r="G406" t="s">
        <v>68</v>
      </c>
      <c r="H406" t="s">
        <v>88</v>
      </c>
      <c r="I406" t="s">
        <v>106</v>
      </c>
      <c r="J406" t="s">
        <v>63</v>
      </c>
      <c r="K406" s="2">
        <v>46039</v>
      </c>
      <c r="L406" s="2">
        <v>46219</v>
      </c>
      <c r="M406" t="s">
        <v>38</v>
      </c>
      <c r="N406" t="s">
        <v>49</v>
      </c>
      <c r="O406">
        <v>0</v>
      </c>
      <c r="P406" t="s">
        <v>106</v>
      </c>
      <c r="Q406" s="2">
        <v>46381</v>
      </c>
      <c r="R406" t="s">
        <v>57</v>
      </c>
    </row>
    <row r="407" spans="1:18" x14ac:dyDescent="0.2">
      <c r="A407" t="s">
        <v>869</v>
      </c>
      <c r="B407" t="s">
        <v>870</v>
      </c>
      <c r="C407" t="s">
        <v>73</v>
      </c>
      <c r="D407" t="s">
        <v>74</v>
      </c>
      <c r="E407" t="s">
        <v>44</v>
      </c>
      <c r="F407" t="s">
        <v>34</v>
      </c>
      <c r="G407" t="s">
        <v>35</v>
      </c>
      <c r="H407" t="s">
        <v>88</v>
      </c>
      <c r="I407" t="s">
        <v>106</v>
      </c>
      <c r="J407" t="s">
        <v>63</v>
      </c>
      <c r="K407" s="2">
        <v>45866</v>
      </c>
      <c r="L407" s="2">
        <v>46046</v>
      </c>
      <c r="M407" t="s">
        <v>38</v>
      </c>
      <c r="N407" t="s">
        <v>55</v>
      </c>
      <c r="O407">
        <v>1</v>
      </c>
      <c r="P407" t="s">
        <v>50</v>
      </c>
      <c r="Q407" s="2">
        <v>46258</v>
      </c>
      <c r="R407" t="s">
        <v>38</v>
      </c>
    </row>
    <row r="408" spans="1:18" x14ac:dyDescent="0.2">
      <c r="A408" t="s">
        <v>871</v>
      </c>
      <c r="B408" t="s">
        <v>872</v>
      </c>
      <c r="C408" t="s">
        <v>78</v>
      </c>
      <c r="D408" t="s">
        <v>79</v>
      </c>
      <c r="E408" t="s">
        <v>44</v>
      </c>
      <c r="F408" t="s">
        <v>34</v>
      </c>
      <c r="G408" t="s">
        <v>35</v>
      </c>
      <c r="H408" t="s">
        <v>88</v>
      </c>
      <c r="I408" t="s">
        <v>56</v>
      </c>
      <c r="J408" t="s">
        <v>37</v>
      </c>
      <c r="K408" s="2">
        <v>45914</v>
      </c>
      <c r="L408" s="2">
        <v>46094</v>
      </c>
      <c r="M408" t="s">
        <v>38</v>
      </c>
      <c r="N408" t="s">
        <v>49</v>
      </c>
      <c r="O408">
        <v>0</v>
      </c>
      <c r="P408" t="s">
        <v>54</v>
      </c>
      <c r="Q408" s="2">
        <v>46254</v>
      </c>
      <c r="R408" t="s">
        <v>57</v>
      </c>
    </row>
    <row r="409" spans="1:18" x14ac:dyDescent="0.2">
      <c r="A409" t="s">
        <v>873</v>
      </c>
      <c r="B409" t="s">
        <v>874</v>
      </c>
      <c r="C409" t="s">
        <v>31</v>
      </c>
      <c r="D409" t="s">
        <v>32</v>
      </c>
      <c r="E409" t="s">
        <v>53</v>
      </c>
      <c r="F409" t="s">
        <v>67</v>
      </c>
      <c r="G409" t="s">
        <v>118</v>
      </c>
      <c r="H409" t="s">
        <v>47</v>
      </c>
      <c r="I409" t="s">
        <v>56</v>
      </c>
      <c r="J409" t="s">
        <v>63</v>
      </c>
      <c r="K409" s="2">
        <v>46186</v>
      </c>
      <c r="L409" s="2">
        <v>46276</v>
      </c>
      <c r="M409" t="s">
        <v>38</v>
      </c>
      <c r="N409" t="s">
        <v>75</v>
      </c>
      <c r="O409">
        <v>0</v>
      </c>
      <c r="P409" t="s">
        <v>39</v>
      </c>
      <c r="Q409" s="2">
        <v>46218</v>
      </c>
      <c r="R409" t="s">
        <v>57</v>
      </c>
    </row>
    <row r="410" spans="1:18" x14ac:dyDescent="0.2">
      <c r="A410" t="s">
        <v>875</v>
      </c>
      <c r="B410" t="s">
        <v>876</v>
      </c>
      <c r="C410" t="s">
        <v>31</v>
      </c>
      <c r="D410" t="s">
        <v>32</v>
      </c>
      <c r="E410" t="s">
        <v>44</v>
      </c>
      <c r="F410" t="s">
        <v>67</v>
      </c>
      <c r="G410" t="s">
        <v>68</v>
      </c>
      <c r="H410" t="s">
        <v>88</v>
      </c>
      <c r="I410" t="s">
        <v>111</v>
      </c>
      <c r="J410" t="s">
        <v>63</v>
      </c>
      <c r="K410" s="2">
        <v>45900</v>
      </c>
      <c r="L410" s="2">
        <v>46265</v>
      </c>
      <c r="M410" t="s">
        <v>38</v>
      </c>
      <c r="N410" t="s">
        <v>75</v>
      </c>
      <c r="O410">
        <v>2</v>
      </c>
      <c r="P410" t="s">
        <v>50</v>
      </c>
      <c r="Q410" s="2">
        <v>46188</v>
      </c>
      <c r="R410" t="s">
        <v>38</v>
      </c>
    </row>
    <row r="411" spans="1:18" x14ac:dyDescent="0.2">
      <c r="A411" t="s">
        <v>877</v>
      </c>
      <c r="B411" t="s">
        <v>878</v>
      </c>
      <c r="C411" t="s">
        <v>42</v>
      </c>
      <c r="D411" t="s">
        <v>43</v>
      </c>
      <c r="E411" t="s">
        <v>80</v>
      </c>
      <c r="F411" t="s">
        <v>45</v>
      </c>
      <c r="G411" t="s">
        <v>46</v>
      </c>
      <c r="H411" t="s">
        <v>88</v>
      </c>
      <c r="I411" t="s">
        <v>70</v>
      </c>
      <c r="J411" t="s">
        <v>63</v>
      </c>
      <c r="K411" s="2">
        <v>46273</v>
      </c>
      <c r="L411" s="2">
        <v>46453</v>
      </c>
      <c r="M411" t="s">
        <v>84</v>
      </c>
      <c r="N411" t="s">
        <v>75</v>
      </c>
      <c r="O411">
        <v>3</v>
      </c>
      <c r="P411" t="s">
        <v>56</v>
      </c>
      <c r="Q411" s="2">
        <v>46138</v>
      </c>
      <c r="R411" t="s">
        <v>64</v>
      </c>
    </row>
    <row r="412" spans="1:18" x14ac:dyDescent="0.2">
      <c r="A412" t="s">
        <v>879</v>
      </c>
      <c r="B412" t="s">
        <v>880</v>
      </c>
      <c r="C412" t="s">
        <v>31</v>
      </c>
      <c r="D412" t="s">
        <v>83</v>
      </c>
      <c r="E412" t="s">
        <v>53</v>
      </c>
      <c r="F412" t="s">
        <v>34</v>
      </c>
      <c r="G412" t="s">
        <v>35</v>
      </c>
      <c r="H412" t="s">
        <v>47</v>
      </c>
      <c r="I412" t="s">
        <v>56</v>
      </c>
      <c r="J412" t="s">
        <v>37</v>
      </c>
      <c r="K412" s="2">
        <v>46134</v>
      </c>
      <c r="L412" s="2">
        <v>46499</v>
      </c>
      <c r="M412" t="s">
        <v>64</v>
      </c>
      <c r="N412" t="s">
        <v>75</v>
      </c>
      <c r="O412">
        <v>0</v>
      </c>
      <c r="P412" t="s">
        <v>70</v>
      </c>
      <c r="Q412" s="2">
        <v>46254</v>
      </c>
      <c r="R412" t="s">
        <v>57</v>
      </c>
    </row>
    <row r="413" spans="1:18" x14ac:dyDescent="0.2">
      <c r="A413" t="s">
        <v>881</v>
      </c>
      <c r="B413" t="s">
        <v>882</v>
      </c>
      <c r="C413" t="s">
        <v>31</v>
      </c>
      <c r="D413" t="s">
        <v>32</v>
      </c>
      <c r="E413" t="s">
        <v>44</v>
      </c>
      <c r="F413" t="s">
        <v>45</v>
      </c>
      <c r="G413" t="s">
        <v>46</v>
      </c>
      <c r="H413" t="s">
        <v>88</v>
      </c>
      <c r="I413" t="s">
        <v>106</v>
      </c>
      <c r="J413" t="s">
        <v>63</v>
      </c>
      <c r="K413" s="2">
        <v>46137</v>
      </c>
      <c r="L413" s="2">
        <v>46227</v>
      </c>
      <c r="M413" t="s">
        <v>38</v>
      </c>
      <c r="N413" t="s">
        <v>49</v>
      </c>
      <c r="O413">
        <v>2</v>
      </c>
      <c r="P413" t="s">
        <v>106</v>
      </c>
      <c r="Q413" s="2">
        <v>46408</v>
      </c>
      <c r="R413" t="s">
        <v>64</v>
      </c>
    </row>
    <row r="414" spans="1:18" x14ac:dyDescent="0.2">
      <c r="A414" t="s">
        <v>883</v>
      </c>
      <c r="B414" t="s">
        <v>884</v>
      </c>
      <c r="C414" t="s">
        <v>31</v>
      </c>
      <c r="D414" t="s">
        <v>87</v>
      </c>
      <c r="E414" t="s">
        <v>105</v>
      </c>
      <c r="F414" t="s">
        <v>34</v>
      </c>
      <c r="G414" t="s">
        <v>35</v>
      </c>
      <c r="H414" t="s">
        <v>47</v>
      </c>
      <c r="I414" t="s">
        <v>111</v>
      </c>
      <c r="J414" t="s">
        <v>37</v>
      </c>
      <c r="K414" s="2">
        <v>45813</v>
      </c>
      <c r="L414" s="2">
        <v>46178</v>
      </c>
      <c r="M414" t="s">
        <v>38</v>
      </c>
      <c r="N414" t="s">
        <v>55</v>
      </c>
      <c r="O414">
        <v>0</v>
      </c>
      <c r="P414" t="s">
        <v>62</v>
      </c>
      <c r="Q414" s="2">
        <v>46311</v>
      </c>
      <c r="R414" t="s">
        <v>57</v>
      </c>
    </row>
    <row r="415" spans="1:18" x14ac:dyDescent="0.2">
      <c r="A415" t="s">
        <v>885</v>
      </c>
      <c r="B415" t="s">
        <v>886</v>
      </c>
      <c r="C415" t="s">
        <v>31</v>
      </c>
      <c r="D415" t="s">
        <v>83</v>
      </c>
      <c r="E415" t="s">
        <v>60</v>
      </c>
      <c r="F415" t="s">
        <v>45</v>
      </c>
      <c r="G415" t="s">
        <v>61</v>
      </c>
      <c r="H415" t="s">
        <v>88</v>
      </c>
      <c r="I415" t="s">
        <v>106</v>
      </c>
      <c r="J415" t="s">
        <v>63</v>
      </c>
      <c r="K415" s="2">
        <v>45857</v>
      </c>
      <c r="L415" s="2">
        <v>45947</v>
      </c>
      <c r="M415" t="s">
        <v>38</v>
      </c>
      <c r="N415" t="s">
        <v>49</v>
      </c>
      <c r="O415">
        <v>0</v>
      </c>
      <c r="P415" t="s">
        <v>111</v>
      </c>
      <c r="Q415" s="2">
        <v>46353</v>
      </c>
      <c r="R415" t="s">
        <v>57</v>
      </c>
    </row>
    <row r="416" spans="1:18" x14ac:dyDescent="0.2">
      <c r="A416" t="s">
        <v>887</v>
      </c>
      <c r="B416" t="s">
        <v>888</v>
      </c>
      <c r="C416" t="s">
        <v>78</v>
      </c>
      <c r="D416" t="s">
        <v>79</v>
      </c>
      <c r="E416" t="s">
        <v>53</v>
      </c>
      <c r="F416" t="s">
        <v>45</v>
      </c>
      <c r="G416" t="s">
        <v>61</v>
      </c>
      <c r="H416" t="s">
        <v>88</v>
      </c>
      <c r="I416" t="s">
        <v>111</v>
      </c>
      <c r="J416" t="s">
        <v>63</v>
      </c>
      <c r="K416" s="2">
        <v>46035</v>
      </c>
      <c r="L416" s="2">
        <v>46125</v>
      </c>
      <c r="M416" t="s">
        <v>38</v>
      </c>
      <c r="N416" t="s">
        <v>55</v>
      </c>
      <c r="O416">
        <v>1</v>
      </c>
      <c r="P416" t="s">
        <v>106</v>
      </c>
      <c r="Q416" s="2">
        <v>46247</v>
      </c>
      <c r="R416" t="s">
        <v>38</v>
      </c>
    </row>
    <row r="417" spans="1:18" x14ac:dyDescent="0.2">
      <c r="A417" t="s">
        <v>889</v>
      </c>
      <c r="B417" t="s">
        <v>890</v>
      </c>
      <c r="C417" t="s">
        <v>31</v>
      </c>
      <c r="D417" t="s">
        <v>83</v>
      </c>
      <c r="E417" t="s">
        <v>80</v>
      </c>
      <c r="F417" t="s">
        <v>67</v>
      </c>
      <c r="G417" t="s">
        <v>118</v>
      </c>
      <c r="H417" t="s">
        <v>47</v>
      </c>
      <c r="I417" t="s">
        <v>111</v>
      </c>
      <c r="J417" t="s">
        <v>48</v>
      </c>
      <c r="K417" s="2">
        <v>46218</v>
      </c>
      <c r="L417" s="2">
        <v>46398</v>
      </c>
      <c r="M417" t="s">
        <v>64</v>
      </c>
      <c r="N417" t="s">
        <v>55</v>
      </c>
      <c r="O417">
        <v>2</v>
      </c>
      <c r="P417" t="s">
        <v>62</v>
      </c>
      <c r="Q417" s="2">
        <v>46293</v>
      </c>
      <c r="R417" t="s">
        <v>38</v>
      </c>
    </row>
    <row r="418" spans="1:18" x14ac:dyDescent="0.2">
      <c r="A418" t="s">
        <v>891</v>
      </c>
      <c r="B418" t="s">
        <v>892</v>
      </c>
      <c r="C418" t="s">
        <v>103</v>
      </c>
      <c r="D418" t="s">
        <v>104</v>
      </c>
      <c r="E418" t="s">
        <v>53</v>
      </c>
      <c r="F418" t="s">
        <v>34</v>
      </c>
      <c r="G418" t="s">
        <v>35</v>
      </c>
      <c r="H418" t="s">
        <v>88</v>
      </c>
      <c r="I418" t="s">
        <v>70</v>
      </c>
      <c r="J418" t="s">
        <v>48</v>
      </c>
      <c r="K418" s="2">
        <v>45870</v>
      </c>
      <c r="L418" s="2">
        <v>46050</v>
      </c>
      <c r="M418" t="s">
        <v>38</v>
      </c>
      <c r="N418" t="s">
        <v>49</v>
      </c>
      <c r="O418">
        <v>3</v>
      </c>
      <c r="P418" t="s">
        <v>50</v>
      </c>
      <c r="Q418" s="2">
        <v>46320</v>
      </c>
      <c r="R418" t="s">
        <v>84</v>
      </c>
    </row>
    <row r="419" spans="1:18" x14ac:dyDescent="0.2">
      <c r="A419" t="s">
        <v>893</v>
      </c>
      <c r="B419" t="s">
        <v>894</v>
      </c>
      <c r="C419" t="s">
        <v>31</v>
      </c>
      <c r="D419" t="s">
        <v>83</v>
      </c>
      <c r="E419" t="s">
        <v>105</v>
      </c>
      <c r="F419" t="s">
        <v>67</v>
      </c>
      <c r="G419" t="s">
        <v>118</v>
      </c>
      <c r="H419" t="s">
        <v>88</v>
      </c>
      <c r="I419" t="s">
        <v>62</v>
      </c>
      <c r="J419" t="s">
        <v>63</v>
      </c>
      <c r="K419" s="2">
        <v>45874</v>
      </c>
      <c r="L419" s="2">
        <v>46054</v>
      </c>
      <c r="M419" t="s">
        <v>38</v>
      </c>
      <c r="N419" t="s">
        <v>49</v>
      </c>
      <c r="O419">
        <v>2</v>
      </c>
      <c r="P419" t="s">
        <v>70</v>
      </c>
      <c r="Q419" s="2">
        <v>46393</v>
      </c>
      <c r="R419" t="s">
        <v>84</v>
      </c>
    </row>
    <row r="420" spans="1:18" x14ac:dyDescent="0.2">
      <c r="A420" t="s">
        <v>895</v>
      </c>
      <c r="B420" t="s">
        <v>896</v>
      </c>
      <c r="C420" t="s">
        <v>78</v>
      </c>
      <c r="D420" t="s">
        <v>79</v>
      </c>
      <c r="E420" t="s">
        <v>105</v>
      </c>
      <c r="F420" t="s">
        <v>34</v>
      </c>
      <c r="G420" t="s">
        <v>35</v>
      </c>
      <c r="H420" t="s">
        <v>88</v>
      </c>
      <c r="I420" t="s">
        <v>111</v>
      </c>
      <c r="J420" t="s">
        <v>63</v>
      </c>
      <c r="K420" s="2">
        <v>46109</v>
      </c>
      <c r="L420" s="2">
        <v>46474</v>
      </c>
      <c r="M420" t="s">
        <v>64</v>
      </c>
      <c r="O420">
        <v>3</v>
      </c>
      <c r="P420" t="s">
        <v>70</v>
      </c>
      <c r="Q420" s="2">
        <v>46205</v>
      </c>
      <c r="R420" t="s">
        <v>64</v>
      </c>
    </row>
    <row r="421" spans="1:18" x14ac:dyDescent="0.2">
      <c r="A421" t="s">
        <v>897</v>
      </c>
      <c r="B421" t="s">
        <v>898</v>
      </c>
      <c r="C421" t="s">
        <v>78</v>
      </c>
      <c r="D421" t="s">
        <v>79</v>
      </c>
      <c r="E421" t="s">
        <v>53</v>
      </c>
      <c r="F421" t="s">
        <v>34</v>
      </c>
      <c r="G421" t="s">
        <v>35</v>
      </c>
      <c r="H421" t="s">
        <v>88</v>
      </c>
      <c r="I421" t="s">
        <v>39</v>
      </c>
      <c r="J421" t="s">
        <v>63</v>
      </c>
      <c r="K421" s="2">
        <v>46229</v>
      </c>
      <c r="L421" s="2">
        <v>46319</v>
      </c>
      <c r="M421" t="s">
        <v>84</v>
      </c>
      <c r="N421" t="s">
        <v>55</v>
      </c>
      <c r="O421">
        <v>1</v>
      </c>
      <c r="P421" t="s">
        <v>111</v>
      </c>
      <c r="Q421" s="2">
        <v>46346</v>
      </c>
      <c r="R421" t="s">
        <v>84</v>
      </c>
    </row>
    <row r="422" spans="1:18" x14ac:dyDescent="0.2">
      <c r="A422" t="s">
        <v>899</v>
      </c>
      <c r="B422" t="s">
        <v>900</v>
      </c>
      <c r="C422" t="s">
        <v>31</v>
      </c>
      <c r="D422" t="s">
        <v>87</v>
      </c>
      <c r="E422" t="s">
        <v>91</v>
      </c>
      <c r="F422" t="s">
        <v>45</v>
      </c>
      <c r="G422" t="s">
        <v>46</v>
      </c>
      <c r="H422" t="s">
        <v>36</v>
      </c>
      <c r="I422" t="s">
        <v>56</v>
      </c>
      <c r="J422" t="s">
        <v>63</v>
      </c>
      <c r="K422" s="2">
        <v>45984</v>
      </c>
      <c r="L422" s="2">
        <v>46349</v>
      </c>
      <c r="M422" t="s">
        <v>64</v>
      </c>
      <c r="N422" t="s">
        <v>75</v>
      </c>
      <c r="O422">
        <v>5</v>
      </c>
      <c r="P422" t="s">
        <v>62</v>
      </c>
      <c r="Q422" s="2">
        <v>46291</v>
      </c>
      <c r="R422" t="s">
        <v>38</v>
      </c>
    </row>
    <row r="423" spans="1:18" x14ac:dyDescent="0.2">
      <c r="A423" t="s">
        <v>901</v>
      </c>
      <c r="B423" t="s">
        <v>902</v>
      </c>
      <c r="C423" t="s">
        <v>78</v>
      </c>
      <c r="D423" t="s">
        <v>79</v>
      </c>
      <c r="E423" t="s">
        <v>105</v>
      </c>
      <c r="F423" t="s">
        <v>45</v>
      </c>
      <c r="G423" t="s">
        <v>61</v>
      </c>
      <c r="H423" t="s">
        <v>88</v>
      </c>
      <c r="I423" t="s">
        <v>39</v>
      </c>
      <c r="J423" t="s">
        <v>37</v>
      </c>
      <c r="K423" s="2">
        <v>46275</v>
      </c>
      <c r="L423" s="2">
        <v>46640</v>
      </c>
      <c r="M423" t="s">
        <v>69</v>
      </c>
      <c r="N423" t="s">
        <v>55</v>
      </c>
      <c r="O423">
        <v>2</v>
      </c>
      <c r="P423" t="s">
        <v>62</v>
      </c>
      <c r="Q423" s="2">
        <v>46130</v>
      </c>
      <c r="R423" t="s">
        <v>64</v>
      </c>
    </row>
    <row r="424" spans="1:18" x14ac:dyDescent="0.2">
      <c r="A424" t="s">
        <v>903</v>
      </c>
      <c r="B424" t="s">
        <v>904</v>
      </c>
      <c r="C424" t="s">
        <v>31</v>
      </c>
      <c r="D424" t="s">
        <v>83</v>
      </c>
      <c r="E424" t="s">
        <v>80</v>
      </c>
      <c r="F424" t="s">
        <v>67</v>
      </c>
      <c r="G424" t="s">
        <v>118</v>
      </c>
      <c r="H424" t="s">
        <v>88</v>
      </c>
      <c r="I424" t="s">
        <v>50</v>
      </c>
      <c r="J424" t="s">
        <v>63</v>
      </c>
      <c r="K424" s="2">
        <v>46032</v>
      </c>
      <c r="L424" s="2">
        <v>46122</v>
      </c>
      <c r="M424" t="s">
        <v>38</v>
      </c>
      <c r="N424" t="s">
        <v>55</v>
      </c>
      <c r="O424">
        <v>3</v>
      </c>
      <c r="P424" t="s">
        <v>50</v>
      </c>
      <c r="Q424" s="2">
        <v>46299</v>
      </c>
      <c r="R424" t="s">
        <v>84</v>
      </c>
    </row>
    <row r="425" spans="1:18" x14ac:dyDescent="0.2">
      <c r="A425" t="s">
        <v>905</v>
      </c>
      <c r="B425" t="s">
        <v>906</v>
      </c>
      <c r="C425" t="s">
        <v>78</v>
      </c>
      <c r="D425" t="s">
        <v>79</v>
      </c>
      <c r="E425" t="s">
        <v>105</v>
      </c>
      <c r="F425" t="s">
        <v>45</v>
      </c>
      <c r="G425" t="s">
        <v>46</v>
      </c>
      <c r="H425" t="s">
        <v>88</v>
      </c>
      <c r="I425" t="s">
        <v>50</v>
      </c>
      <c r="J425" t="s">
        <v>37</v>
      </c>
      <c r="K425" s="2">
        <v>45906</v>
      </c>
      <c r="L425" s="2">
        <v>46086</v>
      </c>
      <c r="M425" t="s">
        <v>38</v>
      </c>
      <c r="N425" t="s">
        <v>49</v>
      </c>
      <c r="O425">
        <v>3</v>
      </c>
      <c r="P425" t="s">
        <v>62</v>
      </c>
      <c r="Q425" s="2">
        <v>46184</v>
      </c>
      <c r="R425" t="s">
        <v>64</v>
      </c>
    </row>
    <row r="426" spans="1:18" x14ac:dyDescent="0.2">
      <c r="A426" t="s">
        <v>907</v>
      </c>
      <c r="B426" t="s">
        <v>908</v>
      </c>
      <c r="C426" t="s">
        <v>96</v>
      </c>
      <c r="D426" t="s">
        <v>97</v>
      </c>
      <c r="E426" t="s">
        <v>80</v>
      </c>
      <c r="F426" t="s">
        <v>34</v>
      </c>
      <c r="G426" t="s">
        <v>35</v>
      </c>
      <c r="H426" t="s">
        <v>88</v>
      </c>
      <c r="I426" t="s">
        <v>111</v>
      </c>
      <c r="J426" t="s">
        <v>63</v>
      </c>
      <c r="K426" s="2">
        <v>46079</v>
      </c>
      <c r="L426" s="2">
        <v>46259</v>
      </c>
      <c r="M426" t="s">
        <v>38</v>
      </c>
      <c r="N426" t="s">
        <v>55</v>
      </c>
      <c r="O426">
        <v>1</v>
      </c>
      <c r="P426" t="s">
        <v>54</v>
      </c>
      <c r="Q426" s="2">
        <v>46332</v>
      </c>
      <c r="R426" t="s">
        <v>84</v>
      </c>
    </row>
    <row r="427" spans="1:18" x14ac:dyDescent="0.2">
      <c r="A427" t="s">
        <v>909</v>
      </c>
      <c r="B427" t="s">
        <v>910</v>
      </c>
      <c r="C427" t="s">
        <v>31</v>
      </c>
      <c r="D427" t="s">
        <v>32</v>
      </c>
      <c r="E427" t="s">
        <v>80</v>
      </c>
      <c r="F427" t="s">
        <v>34</v>
      </c>
      <c r="G427" t="s">
        <v>35</v>
      </c>
      <c r="H427" t="s">
        <v>98</v>
      </c>
      <c r="I427" t="s">
        <v>106</v>
      </c>
      <c r="J427" t="s">
        <v>63</v>
      </c>
      <c r="K427" s="2">
        <v>46258</v>
      </c>
      <c r="L427" s="2">
        <v>46348</v>
      </c>
      <c r="M427" t="s">
        <v>69</v>
      </c>
      <c r="N427" t="s">
        <v>55</v>
      </c>
      <c r="O427">
        <v>4</v>
      </c>
      <c r="P427" t="s">
        <v>56</v>
      </c>
      <c r="Q427" s="2">
        <v>46361</v>
      </c>
      <c r="R427" t="s">
        <v>84</v>
      </c>
    </row>
    <row r="428" spans="1:18" x14ac:dyDescent="0.2">
      <c r="A428" t="s">
        <v>911</v>
      </c>
      <c r="B428" t="s">
        <v>912</v>
      </c>
      <c r="C428" t="s">
        <v>42</v>
      </c>
      <c r="D428" t="s">
        <v>43</v>
      </c>
      <c r="E428" t="s">
        <v>60</v>
      </c>
      <c r="F428" t="s">
        <v>67</v>
      </c>
      <c r="G428" t="s">
        <v>68</v>
      </c>
      <c r="H428" t="s">
        <v>36</v>
      </c>
      <c r="J428" t="s">
        <v>48</v>
      </c>
      <c r="K428" s="2">
        <v>46230</v>
      </c>
      <c r="L428" s="2">
        <v>46320</v>
      </c>
      <c r="M428" t="s">
        <v>64</v>
      </c>
      <c r="N428" t="s">
        <v>49</v>
      </c>
      <c r="O428">
        <v>5</v>
      </c>
      <c r="P428" t="s">
        <v>106</v>
      </c>
      <c r="Q428" s="2">
        <v>46154</v>
      </c>
      <c r="R428" t="s">
        <v>38</v>
      </c>
    </row>
    <row r="429" spans="1:18" x14ac:dyDescent="0.2">
      <c r="A429" t="s">
        <v>913</v>
      </c>
      <c r="B429" t="s">
        <v>914</v>
      </c>
      <c r="C429" t="s">
        <v>42</v>
      </c>
      <c r="D429" t="s">
        <v>43</v>
      </c>
      <c r="E429" t="s">
        <v>80</v>
      </c>
      <c r="F429" t="s">
        <v>34</v>
      </c>
      <c r="G429" t="s">
        <v>35</v>
      </c>
      <c r="H429" t="s">
        <v>88</v>
      </c>
      <c r="I429" t="s">
        <v>111</v>
      </c>
      <c r="J429" t="s">
        <v>63</v>
      </c>
      <c r="K429" s="2">
        <v>45982</v>
      </c>
      <c r="L429" s="2">
        <v>46347</v>
      </c>
      <c r="M429" t="s">
        <v>64</v>
      </c>
      <c r="N429" t="s">
        <v>75</v>
      </c>
      <c r="O429">
        <v>2</v>
      </c>
      <c r="P429" t="s">
        <v>56</v>
      </c>
      <c r="Q429" s="2">
        <v>46263</v>
      </c>
      <c r="R429" t="s">
        <v>64</v>
      </c>
    </row>
    <row r="430" spans="1:18" x14ac:dyDescent="0.2">
      <c r="A430" t="s">
        <v>915</v>
      </c>
      <c r="B430" t="s">
        <v>916</v>
      </c>
      <c r="C430" t="s">
        <v>96</v>
      </c>
      <c r="D430" t="s">
        <v>97</v>
      </c>
      <c r="E430" t="s">
        <v>60</v>
      </c>
      <c r="F430" t="s">
        <v>45</v>
      </c>
      <c r="G430" t="s">
        <v>61</v>
      </c>
      <c r="H430" t="s">
        <v>47</v>
      </c>
      <c r="I430" t="s">
        <v>39</v>
      </c>
      <c r="J430" t="s">
        <v>48</v>
      </c>
      <c r="K430" s="2">
        <v>45939</v>
      </c>
      <c r="L430" s="2">
        <v>46119</v>
      </c>
      <c r="M430" t="s">
        <v>38</v>
      </c>
      <c r="N430" t="s">
        <v>49</v>
      </c>
      <c r="O430">
        <v>0</v>
      </c>
      <c r="P430" t="s">
        <v>70</v>
      </c>
      <c r="Q430" s="2">
        <v>46261</v>
      </c>
      <c r="R430" t="s">
        <v>57</v>
      </c>
    </row>
    <row r="431" spans="1:18" x14ac:dyDescent="0.2">
      <c r="A431" t="s">
        <v>917</v>
      </c>
      <c r="B431" t="s">
        <v>918</v>
      </c>
      <c r="C431" t="s">
        <v>31</v>
      </c>
      <c r="D431" t="s">
        <v>83</v>
      </c>
      <c r="E431" t="s">
        <v>44</v>
      </c>
      <c r="F431" t="s">
        <v>67</v>
      </c>
      <c r="G431" t="s">
        <v>118</v>
      </c>
      <c r="H431" t="s">
        <v>88</v>
      </c>
      <c r="I431" t="s">
        <v>56</v>
      </c>
      <c r="J431" t="s">
        <v>37</v>
      </c>
      <c r="K431" s="2">
        <v>45836</v>
      </c>
      <c r="L431" s="2">
        <v>46016</v>
      </c>
      <c r="M431" t="s">
        <v>38</v>
      </c>
      <c r="N431" t="s">
        <v>55</v>
      </c>
      <c r="O431">
        <v>0</v>
      </c>
      <c r="P431" t="s">
        <v>106</v>
      </c>
      <c r="Q431" s="2">
        <v>46204</v>
      </c>
      <c r="R431" t="s">
        <v>57</v>
      </c>
    </row>
    <row r="432" spans="1:18" x14ac:dyDescent="0.2">
      <c r="A432" t="s">
        <v>919</v>
      </c>
      <c r="B432" t="s">
        <v>920</v>
      </c>
      <c r="C432" t="s">
        <v>31</v>
      </c>
      <c r="D432" t="s">
        <v>83</v>
      </c>
      <c r="E432" t="s">
        <v>91</v>
      </c>
      <c r="F432" t="s">
        <v>45</v>
      </c>
      <c r="G432" t="s">
        <v>61</v>
      </c>
      <c r="H432" t="s">
        <v>47</v>
      </c>
      <c r="I432" t="s">
        <v>50</v>
      </c>
      <c r="J432" t="s">
        <v>37</v>
      </c>
      <c r="K432" s="2">
        <v>45866</v>
      </c>
      <c r="L432" s="2">
        <v>46231</v>
      </c>
      <c r="M432" t="s">
        <v>38</v>
      </c>
      <c r="N432" t="s">
        <v>55</v>
      </c>
      <c r="O432">
        <v>2</v>
      </c>
      <c r="P432" t="s">
        <v>62</v>
      </c>
      <c r="Q432" s="2">
        <v>46158</v>
      </c>
      <c r="R432" t="s">
        <v>38</v>
      </c>
    </row>
    <row r="433" spans="1:18" x14ac:dyDescent="0.2">
      <c r="A433" t="s">
        <v>921</v>
      </c>
      <c r="B433" t="s">
        <v>922</v>
      </c>
      <c r="C433" t="s">
        <v>96</v>
      </c>
      <c r="D433" t="s">
        <v>97</v>
      </c>
      <c r="E433" t="s">
        <v>91</v>
      </c>
      <c r="F433" t="s">
        <v>67</v>
      </c>
      <c r="G433" t="s">
        <v>68</v>
      </c>
      <c r="H433" t="s">
        <v>88</v>
      </c>
      <c r="I433" t="s">
        <v>50</v>
      </c>
      <c r="J433" t="s">
        <v>37</v>
      </c>
      <c r="K433" s="2">
        <v>46168</v>
      </c>
      <c r="L433" s="2">
        <v>46533</v>
      </c>
      <c r="M433" t="s">
        <v>69</v>
      </c>
      <c r="N433" t="s">
        <v>55</v>
      </c>
      <c r="O433">
        <v>2</v>
      </c>
      <c r="P433" t="s">
        <v>56</v>
      </c>
      <c r="Q433" s="2">
        <v>46174</v>
      </c>
      <c r="R433" t="s">
        <v>64</v>
      </c>
    </row>
    <row r="434" spans="1:18" x14ac:dyDescent="0.2">
      <c r="A434" t="s">
        <v>923</v>
      </c>
      <c r="B434" t="s">
        <v>924</v>
      </c>
      <c r="C434" t="s">
        <v>96</v>
      </c>
      <c r="D434" t="s">
        <v>97</v>
      </c>
      <c r="E434" t="s">
        <v>80</v>
      </c>
      <c r="F434" t="s">
        <v>67</v>
      </c>
      <c r="G434" t="s">
        <v>68</v>
      </c>
      <c r="H434" t="s">
        <v>88</v>
      </c>
      <c r="I434" t="s">
        <v>62</v>
      </c>
      <c r="J434" t="s">
        <v>63</v>
      </c>
      <c r="K434" s="2">
        <v>46033</v>
      </c>
      <c r="L434" s="2">
        <v>46213</v>
      </c>
      <c r="M434" t="s">
        <v>38</v>
      </c>
      <c r="N434" t="s">
        <v>55</v>
      </c>
      <c r="O434">
        <v>3</v>
      </c>
      <c r="P434" t="s">
        <v>106</v>
      </c>
      <c r="Q434" s="2">
        <v>46121</v>
      </c>
      <c r="R434" t="s">
        <v>64</v>
      </c>
    </row>
    <row r="435" spans="1:18" x14ac:dyDescent="0.2">
      <c r="A435" t="s">
        <v>925</v>
      </c>
      <c r="B435" t="s">
        <v>926</v>
      </c>
      <c r="C435" t="s">
        <v>42</v>
      </c>
      <c r="D435" t="s">
        <v>43</v>
      </c>
      <c r="E435" t="s">
        <v>105</v>
      </c>
      <c r="F435" t="s">
        <v>34</v>
      </c>
      <c r="G435" t="s">
        <v>35</v>
      </c>
      <c r="H435" t="s">
        <v>36</v>
      </c>
      <c r="I435" t="s">
        <v>106</v>
      </c>
      <c r="J435" t="s">
        <v>48</v>
      </c>
      <c r="K435" s="2">
        <v>45843</v>
      </c>
      <c r="L435" s="2">
        <v>46023</v>
      </c>
      <c r="M435" t="s">
        <v>38</v>
      </c>
      <c r="N435" t="s">
        <v>49</v>
      </c>
      <c r="O435">
        <v>5</v>
      </c>
      <c r="P435" t="s">
        <v>56</v>
      </c>
      <c r="Q435" s="2">
        <v>46254</v>
      </c>
      <c r="R435" t="s">
        <v>64</v>
      </c>
    </row>
    <row r="436" spans="1:18" x14ac:dyDescent="0.2">
      <c r="A436" t="s">
        <v>927</v>
      </c>
      <c r="B436" t="s">
        <v>928</v>
      </c>
      <c r="C436" t="s">
        <v>31</v>
      </c>
      <c r="D436" t="s">
        <v>83</v>
      </c>
      <c r="E436" t="s">
        <v>80</v>
      </c>
      <c r="F436" t="s">
        <v>34</v>
      </c>
      <c r="G436" t="s">
        <v>35</v>
      </c>
      <c r="H436" t="s">
        <v>36</v>
      </c>
      <c r="I436" t="s">
        <v>54</v>
      </c>
      <c r="J436" t="s">
        <v>63</v>
      </c>
      <c r="K436" s="2">
        <v>45900</v>
      </c>
      <c r="L436" s="2">
        <v>46265</v>
      </c>
      <c r="M436" t="s">
        <v>38</v>
      </c>
      <c r="N436" t="s">
        <v>49</v>
      </c>
      <c r="O436">
        <v>1</v>
      </c>
      <c r="P436" t="s">
        <v>39</v>
      </c>
      <c r="Q436" s="2">
        <v>46381</v>
      </c>
      <c r="R436" t="s">
        <v>64</v>
      </c>
    </row>
    <row r="437" spans="1:18" x14ac:dyDescent="0.2">
      <c r="A437" t="s">
        <v>929</v>
      </c>
      <c r="B437" t="s">
        <v>930</v>
      </c>
      <c r="C437" t="s">
        <v>42</v>
      </c>
      <c r="D437" t="s">
        <v>43</v>
      </c>
      <c r="E437" t="s">
        <v>105</v>
      </c>
      <c r="F437" t="s">
        <v>34</v>
      </c>
      <c r="G437" t="s">
        <v>35</v>
      </c>
      <c r="H437" t="s">
        <v>47</v>
      </c>
      <c r="I437" t="s">
        <v>70</v>
      </c>
      <c r="J437" t="s">
        <v>48</v>
      </c>
      <c r="K437" s="2">
        <v>46007</v>
      </c>
      <c r="L437" s="2">
        <v>46097</v>
      </c>
      <c r="M437" t="s">
        <v>38</v>
      </c>
      <c r="N437" t="s">
        <v>49</v>
      </c>
      <c r="O437">
        <v>3</v>
      </c>
      <c r="P437" t="s">
        <v>39</v>
      </c>
      <c r="Q437" s="2">
        <v>46294</v>
      </c>
      <c r="R437" t="s">
        <v>64</v>
      </c>
    </row>
    <row r="438" spans="1:18" x14ac:dyDescent="0.2">
      <c r="A438" t="s">
        <v>931</v>
      </c>
      <c r="B438" t="s">
        <v>932</v>
      </c>
      <c r="C438" t="s">
        <v>78</v>
      </c>
      <c r="D438" t="s">
        <v>79</v>
      </c>
      <c r="E438" t="s">
        <v>105</v>
      </c>
      <c r="F438" t="s">
        <v>45</v>
      </c>
      <c r="G438" t="s">
        <v>46</v>
      </c>
      <c r="H438" t="s">
        <v>98</v>
      </c>
      <c r="I438" t="s">
        <v>54</v>
      </c>
      <c r="J438" t="s">
        <v>63</v>
      </c>
      <c r="K438" s="2">
        <v>45969</v>
      </c>
      <c r="L438" s="2">
        <v>46334</v>
      </c>
      <c r="M438" t="s">
        <v>64</v>
      </c>
      <c r="N438" t="s">
        <v>55</v>
      </c>
      <c r="O438">
        <v>0</v>
      </c>
      <c r="P438" t="s">
        <v>50</v>
      </c>
      <c r="Q438" s="2">
        <v>46181</v>
      </c>
      <c r="R438" t="s">
        <v>57</v>
      </c>
    </row>
    <row r="439" spans="1:18" x14ac:dyDescent="0.2">
      <c r="A439" t="s">
        <v>933</v>
      </c>
      <c r="B439" t="s">
        <v>934</v>
      </c>
      <c r="C439" t="s">
        <v>31</v>
      </c>
      <c r="D439" t="s">
        <v>32</v>
      </c>
      <c r="E439" t="s">
        <v>53</v>
      </c>
      <c r="F439" t="s">
        <v>45</v>
      </c>
      <c r="G439" t="s">
        <v>46</v>
      </c>
      <c r="H439" t="s">
        <v>47</v>
      </c>
      <c r="I439" t="s">
        <v>70</v>
      </c>
      <c r="J439" t="s">
        <v>48</v>
      </c>
      <c r="K439" s="2">
        <v>45948</v>
      </c>
      <c r="L439" s="2">
        <v>46128</v>
      </c>
      <c r="M439" t="s">
        <v>38</v>
      </c>
      <c r="N439" t="s">
        <v>75</v>
      </c>
      <c r="O439">
        <v>3</v>
      </c>
      <c r="P439" t="s">
        <v>62</v>
      </c>
      <c r="Q439" s="2">
        <v>46280</v>
      </c>
      <c r="R439" t="s">
        <v>64</v>
      </c>
    </row>
    <row r="440" spans="1:18" x14ac:dyDescent="0.2">
      <c r="A440" t="s">
        <v>935</v>
      </c>
      <c r="B440" t="s">
        <v>936</v>
      </c>
      <c r="C440" t="s">
        <v>31</v>
      </c>
      <c r="D440" t="s">
        <v>32</v>
      </c>
      <c r="E440" t="s">
        <v>105</v>
      </c>
      <c r="F440" t="s">
        <v>67</v>
      </c>
      <c r="G440" t="s">
        <v>118</v>
      </c>
      <c r="H440" t="s">
        <v>47</v>
      </c>
      <c r="I440" t="s">
        <v>56</v>
      </c>
      <c r="J440" t="s">
        <v>63</v>
      </c>
      <c r="K440" s="2">
        <v>46184</v>
      </c>
      <c r="L440" s="2">
        <v>46364</v>
      </c>
      <c r="M440" t="s">
        <v>64</v>
      </c>
      <c r="N440" t="s">
        <v>55</v>
      </c>
      <c r="O440">
        <v>3</v>
      </c>
      <c r="P440" t="s">
        <v>62</v>
      </c>
      <c r="Q440" s="2">
        <v>46206</v>
      </c>
      <c r="R440" t="s">
        <v>38</v>
      </c>
    </row>
    <row r="441" spans="1:18" x14ac:dyDescent="0.2">
      <c r="A441" t="s">
        <v>937</v>
      </c>
      <c r="B441" t="s">
        <v>938</v>
      </c>
      <c r="C441" t="s">
        <v>96</v>
      </c>
      <c r="D441" t="s">
        <v>97</v>
      </c>
      <c r="E441" t="s">
        <v>80</v>
      </c>
      <c r="F441" t="s">
        <v>45</v>
      </c>
      <c r="G441" t="s">
        <v>46</v>
      </c>
      <c r="H441" t="s">
        <v>36</v>
      </c>
      <c r="I441" t="s">
        <v>70</v>
      </c>
      <c r="J441" t="s">
        <v>63</v>
      </c>
      <c r="K441" s="2">
        <v>46258</v>
      </c>
      <c r="L441" s="2">
        <v>46348</v>
      </c>
      <c r="M441" t="s">
        <v>64</v>
      </c>
      <c r="N441" t="s">
        <v>49</v>
      </c>
      <c r="O441">
        <v>2</v>
      </c>
      <c r="P441" t="s">
        <v>39</v>
      </c>
      <c r="Q441" s="2">
        <v>46343</v>
      </c>
      <c r="R441" t="s">
        <v>64</v>
      </c>
    </row>
    <row r="442" spans="1:18" x14ac:dyDescent="0.2">
      <c r="A442" t="s">
        <v>939</v>
      </c>
      <c r="B442" t="s">
        <v>940</v>
      </c>
      <c r="C442" t="s">
        <v>96</v>
      </c>
      <c r="D442" t="s">
        <v>97</v>
      </c>
      <c r="E442" t="s">
        <v>53</v>
      </c>
      <c r="F442" t="s">
        <v>45</v>
      </c>
      <c r="G442" t="s">
        <v>61</v>
      </c>
      <c r="H442" t="s">
        <v>47</v>
      </c>
      <c r="I442" t="s">
        <v>106</v>
      </c>
      <c r="J442" t="s">
        <v>37</v>
      </c>
      <c r="K442" s="2">
        <v>45812</v>
      </c>
      <c r="L442" s="2">
        <v>45992</v>
      </c>
      <c r="M442" t="s">
        <v>38</v>
      </c>
      <c r="N442" t="s">
        <v>49</v>
      </c>
      <c r="O442">
        <v>0</v>
      </c>
      <c r="P442" t="s">
        <v>62</v>
      </c>
      <c r="Q442" s="2">
        <v>46378</v>
      </c>
      <c r="R442" t="s">
        <v>57</v>
      </c>
    </row>
    <row r="443" spans="1:18" x14ac:dyDescent="0.2">
      <c r="A443" t="s">
        <v>941</v>
      </c>
      <c r="B443" t="s">
        <v>942</v>
      </c>
      <c r="C443" t="s">
        <v>78</v>
      </c>
      <c r="D443" t="s">
        <v>79</v>
      </c>
      <c r="E443" t="s">
        <v>60</v>
      </c>
      <c r="F443" t="s">
        <v>34</v>
      </c>
      <c r="G443" t="s">
        <v>35</v>
      </c>
      <c r="H443" t="s">
        <v>47</v>
      </c>
      <c r="I443" t="s">
        <v>62</v>
      </c>
      <c r="J443" t="s">
        <v>63</v>
      </c>
      <c r="K443" s="2">
        <v>45923</v>
      </c>
      <c r="L443" s="2">
        <v>46103</v>
      </c>
      <c r="M443" t="s">
        <v>38</v>
      </c>
      <c r="N443" t="s">
        <v>55</v>
      </c>
      <c r="O443">
        <v>2</v>
      </c>
      <c r="P443" t="s">
        <v>70</v>
      </c>
      <c r="Q443" s="2">
        <v>46285</v>
      </c>
      <c r="R443" t="s">
        <v>38</v>
      </c>
    </row>
    <row r="444" spans="1:18" x14ac:dyDescent="0.2">
      <c r="A444" t="s">
        <v>943</v>
      </c>
      <c r="B444" t="s">
        <v>944</v>
      </c>
      <c r="C444" t="s">
        <v>103</v>
      </c>
      <c r="D444" t="s">
        <v>104</v>
      </c>
      <c r="E444" t="s">
        <v>105</v>
      </c>
      <c r="F444" t="s">
        <v>67</v>
      </c>
      <c r="G444" t="s">
        <v>118</v>
      </c>
      <c r="H444" t="s">
        <v>36</v>
      </c>
      <c r="I444" t="s">
        <v>56</v>
      </c>
      <c r="J444" t="s">
        <v>63</v>
      </c>
      <c r="K444" s="2">
        <v>45944</v>
      </c>
      <c r="L444" s="2">
        <v>46034</v>
      </c>
      <c r="M444" t="s">
        <v>38</v>
      </c>
      <c r="N444" t="s">
        <v>55</v>
      </c>
      <c r="O444">
        <v>4</v>
      </c>
      <c r="P444" t="s">
        <v>62</v>
      </c>
      <c r="Q444" s="2">
        <v>46135</v>
      </c>
      <c r="R444" t="s">
        <v>38</v>
      </c>
    </row>
    <row r="445" spans="1:18" x14ac:dyDescent="0.2">
      <c r="A445" t="s">
        <v>945</v>
      </c>
      <c r="B445" t="s">
        <v>946</v>
      </c>
      <c r="C445" t="s">
        <v>31</v>
      </c>
      <c r="D445" t="s">
        <v>87</v>
      </c>
      <c r="E445" t="s">
        <v>80</v>
      </c>
      <c r="F445" t="s">
        <v>45</v>
      </c>
      <c r="G445" t="s">
        <v>61</v>
      </c>
      <c r="H445" t="s">
        <v>47</v>
      </c>
      <c r="I445" t="s">
        <v>111</v>
      </c>
      <c r="J445" t="s">
        <v>63</v>
      </c>
      <c r="K445" s="2">
        <v>45899</v>
      </c>
      <c r="L445" s="2">
        <v>45989</v>
      </c>
      <c r="M445" t="s">
        <v>38</v>
      </c>
      <c r="N445" t="s">
        <v>55</v>
      </c>
      <c r="O445">
        <v>0</v>
      </c>
      <c r="P445" t="s">
        <v>54</v>
      </c>
      <c r="Q445" s="2">
        <v>46213</v>
      </c>
      <c r="R445" t="s">
        <v>57</v>
      </c>
    </row>
    <row r="446" spans="1:18" x14ac:dyDescent="0.2">
      <c r="A446" t="s">
        <v>947</v>
      </c>
      <c r="B446" t="s">
        <v>948</v>
      </c>
      <c r="C446" t="s">
        <v>31</v>
      </c>
      <c r="D446" t="s">
        <v>87</v>
      </c>
      <c r="E446" t="s">
        <v>105</v>
      </c>
      <c r="F446" t="s">
        <v>67</v>
      </c>
      <c r="G446" t="s">
        <v>118</v>
      </c>
      <c r="H446" t="s">
        <v>36</v>
      </c>
      <c r="I446" t="s">
        <v>56</v>
      </c>
      <c r="J446" t="s">
        <v>63</v>
      </c>
      <c r="K446" s="2">
        <v>46020</v>
      </c>
      <c r="L446" s="2">
        <v>46385</v>
      </c>
      <c r="M446" t="s">
        <v>69</v>
      </c>
      <c r="N446" t="s">
        <v>55</v>
      </c>
      <c r="O446">
        <v>0</v>
      </c>
      <c r="P446" t="s">
        <v>39</v>
      </c>
      <c r="Q446" s="2">
        <v>46288</v>
      </c>
      <c r="R446" t="s">
        <v>57</v>
      </c>
    </row>
    <row r="447" spans="1:18" x14ac:dyDescent="0.2">
      <c r="A447" t="s">
        <v>949</v>
      </c>
      <c r="B447" t="s">
        <v>950</v>
      </c>
      <c r="C447" t="s">
        <v>31</v>
      </c>
      <c r="D447" t="s">
        <v>32</v>
      </c>
      <c r="E447" t="s">
        <v>44</v>
      </c>
      <c r="F447" t="s">
        <v>67</v>
      </c>
      <c r="G447" t="s">
        <v>68</v>
      </c>
      <c r="H447" t="s">
        <v>36</v>
      </c>
      <c r="I447" t="s">
        <v>111</v>
      </c>
      <c r="J447" t="s">
        <v>63</v>
      </c>
      <c r="K447" s="2">
        <v>45928</v>
      </c>
      <c r="L447" s="2">
        <v>46293</v>
      </c>
      <c r="M447" t="s">
        <v>38</v>
      </c>
      <c r="N447" t="s">
        <v>55</v>
      </c>
      <c r="O447">
        <v>5</v>
      </c>
      <c r="P447" t="s">
        <v>50</v>
      </c>
      <c r="Q447" s="2">
        <v>46411</v>
      </c>
      <c r="R447" t="s">
        <v>64</v>
      </c>
    </row>
    <row r="448" spans="1:18" x14ac:dyDescent="0.2">
      <c r="A448" t="s">
        <v>951</v>
      </c>
      <c r="B448" t="s">
        <v>952</v>
      </c>
      <c r="C448" t="s">
        <v>31</v>
      </c>
      <c r="D448" t="s">
        <v>32</v>
      </c>
      <c r="E448" t="s">
        <v>80</v>
      </c>
      <c r="F448" t="s">
        <v>67</v>
      </c>
      <c r="G448" t="s">
        <v>68</v>
      </c>
      <c r="H448" t="s">
        <v>36</v>
      </c>
      <c r="I448" t="s">
        <v>39</v>
      </c>
      <c r="J448" t="s">
        <v>63</v>
      </c>
      <c r="K448" s="2">
        <v>46151</v>
      </c>
      <c r="L448" s="2">
        <v>46516</v>
      </c>
      <c r="M448" t="s">
        <v>84</v>
      </c>
      <c r="N448" t="s">
        <v>55</v>
      </c>
      <c r="O448">
        <v>5</v>
      </c>
      <c r="P448" t="s">
        <v>50</v>
      </c>
      <c r="Q448" s="2">
        <v>46140</v>
      </c>
      <c r="R448" t="s">
        <v>38</v>
      </c>
    </row>
    <row r="449" spans="1:18" x14ac:dyDescent="0.2">
      <c r="A449" t="s">
        <v>953</v>
      </c>
      <c r="B449" t="s">
        <v>954</v>
      </c>
      <c r="C449" t="s">
        <v>31</v>
      </c>
      <c r="D449" t="s">
        <v>83</v>
      </c>
      <c r="E449" t="s">
        <v>105</v>
      </c>
      <c r="F449" t="s">
        <v>34</v>
      </c>
      <c r="G449" t="s">
        <v>35</v>
      </c>
      <c r="H449" t="s">
        <v>47</v>
      </c>
      <c r="I449" t="s">
        <v>54</v>
      </c>
      <c r="J449" t="s">
        <v>48</v>
      </c>
      <c r="K449" s="2">
        <v>46243</v>
      </c>
      <c r="L449" s="2">
        <v>46333</v>
      </c>
      <c r="M449" t="s">
        <v>64</v>
      </c>
      <c r="N449" t="s">
        <v>49</v>
      </c>
      <c r="O449">
        <v>3</v>
      </c>
      <c r="P449" t="s">
        <v>39</v>
      </c>
      <c r="Q449" s="2">
        <v>46281</v>
      </c>
      <c r="R449" t="s">
        <v>64</v>
      </c>
    </row>
    <row r="450" spans="1:18" x14ac:dyDescent="0.2">
      <c r="A450" t="s">
        <v>955</v>
      </c>
      <c r="B450" t="s">
        <v>956</v>
      </c>
      <c r="C450" t="s">
        <v>31</v>
      </c>
      <c r="D450" t="s">
        <v>87</v>
      </c>
      <c r="E450" t="s">
        <v>53</v>
      </c>
      <c r="F450" t="s">
        <v>34</v>
      </c>
      <c r="G450" t="s">
        <v>35</v>
      </c>
      <c r="H450" t="s">
        <v>47</v>
      </c>
      <c r="I450" t="s">
        <v>56</v>
      </c>
      <c r="J450" t="s">
        <v>48</v>
      </c>
      <c r="K450" s="2">
        <v>46203</v>
      </c>
      <c r="L450" s="2">
        <v>46383</v>
      </c>
      <c r="M450" t="s">
        <v>64</v>
      </c>
      <c r="N450" t="s">
        <v>75</v>
      </c>
      <c r="O450">
        <v>1</v>
      </c>
      <c r="P450" t="s">
        <v>62</v>
      </c>
      <c r="Q450" s="2">
        <v>46339</v>
      </c>
      <c r="R450" t="s">
        <v>64</v>
      </c>
    </row>
    <row r="451" spans="1:18" x14ac:dyDescent="0.2">
      <c r="A451" t="s">
        <v>957</v>
      </c>
      <c r="B451" t="s">
        <v>958</v>
      </c>
      <c r="C451" t="s">
        <v>96</v>
      </c>
      <c r="D451" t="s">
        <v>97</v>
      </c>
      <c r="E451" t="s">
        <v>80</v>
      </c>
      <c r="F451" t="s">
        <v>45</v>
      </c>
      <c r="G451" t="s">
        <v>46</v>
      </c>
      <c r="H451" t="s">
        <v>47</v>
      </c>
      <c r="I451" t="s">
        <v>39</v>
      </c>
      <c r="J451" t="s">
        <v>48</v>
      </c>
      <c r="K451" s="2">
        <v>46184</v>
      </c>
      <c r="L451" s="2">
        <v>46274</v>
      </c>
      <c r="M451" t="s">
        <v>38</v>
      </c>
      <c r="N451" t="s">
        <v>49</v>
      </c>
      <c r="O451">
        <v>2</v>
      </c>
      <c r="P451" t="s">
        <v>54</v>
      </c>
      <c r="Q451" s="2">
        <v>46328</v>
      </c>
      <c r="R451" t="s">
        <v>84</v>
      </c>
    </row>
    <row r="452" spans="1:18" x14ac:dyDescent="0.2">
      <c r="A452" t="s">
        <v>959</v>
      </c>
      <c r="B452" t="s">
        <v>960</v>
      </c>
      <c r="C452" t="s">
        <v>96</v>
      </c>
      <c r="D452" t="s">
        <v>97</v>
      </c>
      <c r="E452" t="s">
        <v>60</v>
      </c>
      <c r="F452" t="s">
        <v>45</v>
      </c>
      <c r="G452" t="s">
        <v>61</v>
      </c>
      <c r="H452" t="s">
        <v>88</v>
      </c>
      <c r="I452" t="s">
        <v>54</v>
      </c>
      <c r="J452" t="s">
        <v>48</v>
      </c>
      <c r="K452" s="2">
        <v>45795</v>
      </c>
      <c r="L452" s="2">
        <v>45885</v>
      </c>
      <c r="M452" t="s">
        <v>38</v>
      </c>
      <c r="N452" t="s">
        <v>49</v>
      </c>
      <c r="O452">
        <v>0</v>
      </c>
      <c r="P452" t="s">
        <v>56</v>
      </c>
      <c r="Q452" s="2">
        <v>46207</v>
      </c>
      <c r="R452" t="s">
        <v>57</v>
      </c>
    </row>
    <row r="453" spans="1:18" x14ac:dyDescent="0.2">
      <c r="A453" t="s">
        <v>961</v>
      </c>
      <c r="B453" t="s">
        <v>962</v>
      </c>
      <c r="C453" t="s">
        <v>103</v>
      </c>
      <c r="D453" t="s">
        <v>104</v>
      </c>
      <c r="E453" t="s">
        <v>105</v>
      </c>
      <c r="F453" t="s">
        <v>67</v>
      </c>
      <c r="G453" t="s">
        <v>118</v>
      </c>
      <c r="H453" t="s">
        <v>88</v>
      </c>
      <c r="I453" t="s">
        <v>54</v>
      </c>
      <c r="J453" t="s">
        <v>48</v>
      </c>
      <c r="K453" s="2">
        <v>46215</v>
      </c>
      <c r="L453" s="2">
        <v>46580</v>
      </c>
      <c r="M453" t="s">
        <v>69</v>
      </c>
      <c r="N453" t="s">
        <v>49</v>
      </c>
      <c r="O453">
        <v>1</v>
      </c>
      <c r="P453" t="s">
        <v>54</v>
      </c>
      <c r="Q453" s="2">
        <v>46352</v>
      </c>
      <c r="R453" t="s">
        <v>84</v>
      </c>
    </row>
    <row r="454" spans="1:18" x14ac:dyDescent="0.2">
      <c r="A454" t="s">
        <v>963</v>
      </c>
      <c r="B454" t="s">
        <v>964</v>
      </c>
      <c r="C454" t="s">
        <v>73</v>
      </c>
      <c r="D454" t="s">
        <v>74</v>
      </c>
      <c r="E454" t="s">
        <v>91</v>
      </c>
      <c r="F454" t="s">
        <v>45</v>
      </c>
      <c r="G454" t="s">
        <v>46</v>
      </c>
      <c r="H454" t="s">
        <v>36</v>
      </c>
      <c r="I454" t="s">
        <v>111</v>
      </c>
      <c r="J454" t="s">
        <v>48</v>
      </c>
      <c r="K454" s="2">
        <v>46021</v>
      </c>
      <c r="L454" s="2">
        <v>46111</v>
      </c>
      <c r="M454" t="s">
        <v>38</v>
      </c>
      <c r="N454" t="s">
        <v>55</v>
      </c>
      <c r="O454">
        <v>5</v>
      </c>
      <c r="P454" t="s">
        <v>62</v>
      </c>
      <c r="Q454" s="2">
        <v>46137</v>
      </c>
      <c r="R454" t="s">
        <v>64</v>
      </c>
    </row>
    <row r="455" spans="1:18" x14ac:dyDescent="0.2">
      <c r="A455" t="s">
        <v>965</v>
      </c>
      <c r="B455" t="s">
        <v>966</v>
      </c>
      <c r="C455" t="s">
        <v>31</v>
      </c>
      <c r="D455" t="s">
        <v>32</v>
      </c>
      <c r="E455" t="s">
        <v>60</v>
      </c>
      <c r="F455" t="s">
        <v>67</v>
      </c>
      <c r="G455" t="s">
        <v>118</v>
      </c>
      <c r="H455" t="s">
        <v>36</v>
      </c>
      <c r="I455" t="s">
        <v>111</v>
      </c>
      <c r="J455" t="s">
        <v>48</v>
      </c>
      <c r="K455" s="2">
        <v>46253</v>
      </c>
      <c r="L455" s="2">
        <v>46343</v>
      </c>
      <c r="M455" t="s">
        <v>84</v>
      </c>
      <c r="N455" t="s">
        <v>55</v>
      </c>
      <c r="O455">
        <v>0</v>
      </c>
      <c r="P455" t="s">
        <v>111</v>
      </c>
      <c r="Q455" s="2">
        <v>46363</v>
      </c>
      <c r="R455" t="s">
        <v>57</v>
      </c>
    </row>
    <row r="456" spans="1:18" x14ac:dyDescent="0.2">
      <c r="A456" t="s">
        <v>967</v>
      </c>
      <c r="B456" t="s">
        <v>968</v>
      </c>
      <c r="C456" t="s">
        <v>78</v>
      </c>
      <c r="D456" t="s">
        <v>79</v>
      </c>
      <c r="E456" t="s">
        <v>80</v>
      </c>
      <c r="F456" t="s">
        <v>34</v>
      </c>
      <c r="G456" t="s">
        <v>35</v>
      </c>
      <c r="H456" t="s">
        <v>47</v>
      </c>
      <c r="I456" t="s">
        <v>106</v>
      </c>
      <c r="J456" t="s">
        <v>48</v>
      </c>
      <c r="K456" s="2">
        <v>46158</v>
      </c>
      <c r="L456" s="2">
        <v>46248</v>
      </c>
      <c r="M456" t="s">
        <v>38</v>
      </c>
      <c r="N456" t="s">
        <v>75</v>
      </c>
      <c r="O456">
        <v>1</v>
      </c>
      <c r="P456" t="s">
        <v>62</v>
      </c>
      <c r="Q456" s="2">
        <v>46165</v>
      </c>
      <c r="R456" t="s">
        <v>64</v>
      </c>
    </row>
    <row r="457" spans="1:18" x14ac:dyDescent="0.2">
      <c r="A457" t="s">
        <v>969</v>
      </c>
      <c r="B457" t="s">
        <v>970</v>
      </c>
      <c r="C457" t="s">
        <v>73</v>
      </c>
      <c r="D457" t="s">
        <v>74</v>
      </c>
      <c r="E457" t="s">
        <v>80</v>
      </c>
      <c r="F457" t="s">
        <v>45</v>
      </c>
      <c r="G457" t="s">
        <v>46</v>
      </c>
      <c r="H457" t="s">
        <v>88</v>
      </c>
      <c r="I457" t="s">
        <v>39</v>
      </c>
      <c r="J457" t="s">
        <v>37</v>
      </c>
      <c r="K457" s="2">
        <v>45820</v>
      </c>
      <c r="L457" s="2">
        <v>46000</v>
      </c>
      <c r="M457" t="s">
        <v>38</v>
      </c>
      <c r="N457" t="s">
        <v>55</v>
      </c>
      <c r="O457">
        <v>1</v>
      </c>
      <c r="P457" t="s">
        <v>54</v>
      </c>
      <c r="Q457" s="2">
        <v>46347</v>
      </c>
      <c r="R457" t="s">
        <v>64</v>
      </c>
    </row>
    <row r="458" spans="1:18" x14ac:dyDescent="0.2">
      <c r="A458" t="s">
        <v>971</v>
      </c>
      <c r="B458" t="s">
        <v>972</v>
      </c>
      <c r="C458" t="s">
        <v>96</v>
      </c>
      <c r="D458" t="s">
        <v>97</v>
      </c>
      <c r="E458" t="s">
        <v>53</v>
      </c>
      <c r="F458" t="s">
        <v>34</v>
      </c>
      <c r="G458" t="s">
        <v>35</v>
      </c>
      <c r="H458" t="s">
        <v>47</v>
      </c>
      <c r="I458" t="s">
        <v>50</v>
      </c>
      <c r="J458" t="s">
        <v>48</v>
      </c>
      <c r="K458" s="2">
        <v>46259</v>
      </c>
      <c r="L458" s="2">
        <v>46624</v>
      </c>
      <c r="M458" t="s">
        <v>69</v>
      </c>
      <c r="N458" t="s">
        <v>55</v>
      </c>
      <c r="O458">
        <v>0</v>
      </c>
      <c r="P458" t="s">
        <v>106</v>
      </c>
      <c r="Q458" s="2">
        <v>46353</v>
      </c>
      <c r="R458" t="s">
        <v>57</v>
      </c>
    </row>
    <row r="459" spans="1:18" x14ac:dyDescent="0.2">
      <c r="A459" t="s">
        <v>973</v>
      </c>
      <c r="B459" t="s">
        <v>974</v>
      </c>
      <c r="C459" t="s">
        <v>96</v>
      </c>
      <c r="D459" t="s">
        <v>97</v>
      </c>
      <c r="E459" t="s">
        <v>60</v>
      </c>
      <c r="F459" t="s">
        <v>45</v>
      </c>
      <c r="G459" t="s">
        <v>61</v>
      </c>
      <c r="H459" t="s">
        <v>47</v>
      </c>
      <c r="I459" t="s">
        <v>50</v>
      </c>
      <c r="J459" t="s">
        <v>48</v>
      </c>
      <c r="K459" s="2">
        <v>45980</v>
      </c>
      <c r="L459" s="2">
        <v>46345</v>
      </c>
      <c r="M459" t="s">
        <v>84</v>
      </c>
      <c r="N459" t="s">
        <v>75</v>
      </c>
      <c r="O459">
        <v>3</v>
      </c>
      <c r="P459" t="s">
        <v>62</v>
      </c>
      <c r="Q459" s="2">
        <v>46225</v>
      </c>
      <c r="R459" t="s">
        <v>38</v>
      </c>
    </row>
    <row r="460" spans="1:18" x14ac:dyDescent="0.2">
      <c r="A460" t="s">
        <v>975</v>
      </c>
      <c r="B460" t="s">
        <v>976</v>
      </c>
      <c r="C460" t="s">
        <v>31</v>
      </c>
      <c r="D460" t="s">
        <v>87</v>
      </c>
      <c r="E460" t="s">
        <v>44</v>
      </c>
      <c r="F460" t="s">
        <v>34</v>
      </c>
      <c r="G460" t="s">
        <v>35</v>
      </c>
      <c r="H460" t="s">
        <v>88</v>
      </c>
      <c r="I460" t="s">
        <v>54</v>
      </c>
      <c r="J460" t="s">
        <v>37</v>
      </c>
      <c r="K460" s="2">
        <v>45819</v>
      </c>
      <c r="L460" s="2">
        <v>46184</v>
      </c>
      <c r="M460" t="s">
        <v>38</v>
      </c>
      <c r="N460" t="s">
        <v>55</v>
      </c>
      <c r="O460">
        <v>0</v>
      </c>
      <c r="P460" t="s">
        <v>39</v>
      </c>
      <c r="Q460" s="2">
        <v>46328</v>
      </c>
      <c r="R460" t="s">
        <v>57</v>
      </c>
    </row>
    <row r="461" spans="1:18" x14ac:dyDescent="0.2">
      <c r="A461" t="s">
        <v>977</v>
      </c>
      <c r="B461" t="s">
        <v>978</v>
      </c>
      <c r="C461" t="s">
        <v>31</v>
      </c>
      <c r="D461" t="s">
        <v>87</v>
      </c>
      <c r="E461" t="s">
        <v>80</v>
      </c>
      <c r="F461" t="s">
        <v>67</v>
      </c>
      <c r="G461" t="s">
        <v>118</v>
      </c>
      <c r="H461" t="s">
        <v>36</v>
      </c>
      <c r="I461" t="s">
        <v>70</v>
      </c>
      <c r="J461" t="s">
        <v>63</v>
      </c>
      <c r="K461" s="2">
        <v>46044</v>
      </c>
      <c r="L461" s="2">
        <v>46224</v>
      </c>
      <c r="M461" t="s">
        <v>38</v>
      </c>
      <c r="N461" t="s">
        <v>55</v>
      </c>
      <c r="O461">
        <v>0</v>
      </c>
      <c r="P461" t="s">
        <v>62</v>
      </c>
      <c r="Q461" s="2">
        <v>46400</v>
      </c>
      <c r="R461" t="s">
        <v>57</v>
      </c>
    </row>
    <row r="462" spans="1:18" x14ac:dyDescent="0.2">
      <c r="A462" t="s">
        <v>979</v>
      </c>
      <c r="B462" t="s">
        <v>980</v>
      </c>
      <c r="C462" t="s">
        <v>31</v>
      </c>
      <c r="D462" t="s">
        <v>87</v>
      </c>
      <c r="E462" t="s">
        <v>53</v>
      </c>
      <c r="F462" t="s">
        <v>45</v>
      </c>
      <c r="G462" t="s">
        <v>46</v>
      </c>
      <c r="H462" t="s">
        <v>47</v>
      </c>
      <c r="I462" t="s">
        <v>70</v>
      </c>
      <c r="J462" t="s">
        <v>37</v>
      </c>
      <c r="K462" s="2">
        <v>46267</v>
      </c>
      <c r="L462" s="2">
        <v>46447</v>
      </c>
      <c r="M462" t="s">
        <v>84</v>
      </c>
      <c r="N462" t="s">
        <v>49</v>
      </c>
      <c r="O462">
        <v>3</v>
      </c>
      <c r="P462" t="s">
        <v>50</v>
      </c>
      <c r="Q462" s="2">
        <v>46407</v>
      </c>
      <c r="R462" t="s">
        <v>84</v>
      </c>
    </row>
    <row r="463" spans="1:18" x14ac:dyDescent="0.2">
      <c r="A463" t="s">
        <v>981</v>
      </c>
      <c r="B463" t="s">
        <v>982</v>
      </c>
      <c r="C463" t="s">
        <v>31</v>
      </c>
      <c r="D463" t="s">
        <v>32</v>
      </c>
      <c r="E463" t="s">
        <v>44</v>
      </c>
      <c r="F463" t="s">
        <v>34</v>
      </c>
      <c r="G463" t="s">
        <v>35</v>
      </c>
      <c r="H463" t="s">
        <v>36</v>
      </c>
      <c r="I463" t="s">
        <v>106</v>
      </c>
      <c r="J463" t="s">
        <v>63</v>
      </c>
      <c r="K463" s="2">
        <v>45955</v>
      </c>
      <c r="L463" s="2">
        <v>46135</v>
      </c>
      <c r="M463" t="s">
        <v>38</v>
      </c>
      <c r="N463" t="s">
        <v>49</v>
      </c>
      <c r="O463">
        <v>5</v>
      </c>
      <c r="P463" t="s">
        <v>106</v>
      </c>
      <c r="Q463" s="2">
        <v>46115</v>
      </c>
      <c r="R463" t="s">
        <v>38</v>
      </c>
    </row>
    <row r="464" spans="1:18" x14ac:dyDescent="0.2">
      <c r="A464" t="s">
        <v>983</v>
      </c>
      <c r="B464" t="s">
        <v>984</v>
      </c>
      <c r="C464" t="s">
        <v>73</v>
      </c>
      <c r="D464" t="s">
        <v>74</v>
      </c>
      <c r="E464" t="s">
        <v>53</v>
      </c>
      <c r="F464" t="s">
        <v>34</v>
      </c>
      <c r="G464" t="s">
        <v>35</v>
      </c>
      <c r="H464" t="s">
        <v>88</v>
      </c>
      <c r="I464" t="s">
        <v>56</v>
      </c>
      <c r="J464" t="s">
        <v>48</v>
      </c>
      <c r="K464" s="2">
        <v>45918</v>
      </c>
      <c r="L464" s="2">
        <v>46283</v>
      </c>
      <c r="M464" t="s">
        <v>38</v>
      </c>
      <c r="N464" t="s">
        <v>49</v>
      </c>
      <c r="O464">
        <v>1</v>
      </c>
      <c r="P464" t="s">
        <v>106</v>
      </c>
      <c r="Q464" s="2">
        <v>46156</v>
      </c>
      <c r="R464" t="s">
        <v>38</v>
      </c>
    </row>
    <row r="465" spans="1:18" x14ac:dyDescent="0.2">
      <c r="A465" t="s">
        <v>985</v>
      </c>
      <c r="B465" t="s">
        <v>986</v>
      </c>
      <c r="C465" t="s">
        <v>103</v>
      </c>
      <c r="D465" t="s">
        <v>104</v>
      </c>
      <c r="E465" t="s">
        <v>80</v>
      </c>
      <c r="F465" t="s">
        <v>45</v>
      </c>
      <c r="G465" t="s">
        <v>46</v>
      </c>
      <c r="H465" t="s">
        <v>88</v>
      </c>
      <c r="I465" t="s">
        <v>39</v>
      </c>
      <c r="J465" t="s">
        <v>37</v>
      </c>
      <c r="K465" s="2">
        <v>46088</v>
      </c>
      <c r="L465" s="2">
        <v>46268</v>
      </c>
      <c r="M465" t="s">
        <v>38</v>
      </c>
      <c r="N465" t="s">
        <v>55</v>
      </c>
      <c r="O465">
        <v>0</v>
      </c>
      <c r="P465" t="s">
        <v>54</v>
      </c>
      <c r="Q465" s="2">
        <v>46402</v>
      </c>
      <c r="R465" t="s">
        <v>57</v>
      </c>
    </row>
    <row r="466" spans="1:18" x14ac:dyDescent="0.2">
      <c r="A466" t="s">
        <v>987</v>
      </c>
      <c r="B466" t="s">
        <v>988</v>
      </c>
      <c r="C466" t="s">
        <v>78</v>
      </c>
      <c r="D466" t="s">
        <v>79</v>
      </c>
      <c r="E466" t="s">
        <v>91</v>
      </c>
      <c r="F466" t="s">
        <v>34</v>
      </c>
      <c r="G466" t="s">
        <v>35</v>
      </c>
      <c r="H466" t="s">
        <v>88</v>
      </c>
      <c r="I466" t="s">
        <v>54</v>
      </c>
      <c r="J466" t="s">
        <v>48</v>
      </c>
      <c r="K466" s="2">
        <v>45890</v>
      </c>
      <c r="L466" s="2">
        <v>46255</v>
      </c>
      <c r="M466" t="s">
        <v>38</v>
      </c>
      <c r="N466" t="s">
        <v>55</v>
      </c>
      <c r="O466">
        <v>2</v>
      </c>
      <c r="P466" t="s">
        <v>70</v>
      </c>
      <c r="Q466" s="2">
        <v>46295</v>
      </c>
      <c r="R466" t="s">
        <v>84</v>
      </c>
    </row>
    <row r="467" spans="1:18" x14ac:dyDescent="0.2">
      <c r="A467" t="s">
        <v>989</v>
      </c>
      <c r="B467" t="s">
        <v>990</v>
      </c>
      <c r="C467" t="s">
        <v>31</v>
      </c>
      <c r="D467" t="s">
        <v>32</v>
      </c>
      <c r="E467" t="s">
        <v>80</v>
      </c>
      <c r="F467" t="s">
        <v>67</v>
      </c>
      <c r="G467" t="s">
        <v>118</v>
      </c>
      <c r="H467" t="s">
        <v>88</v>
      </c>
      <c r="I467" t="s">
        <v>70</v>
      </c>
      <c r="J467" t="s">
        <v>37</v>
      </c>
      <c r="K467" s="2">
        <v>46035</v>
      </c>
      <c r="L467" s="2">
        <v>46400</v>
      </c>
      <c r="M467" t="s">
        <v>64</v>
      </c>
      <c r="N467" t="s">
        <v>49</v>
      </c>
      <c r="O467">
        <v>2</v>
      </c>
      <c r="P467" t="s">
        <v>70</v>
      </c>
      <c r="Q467" s="2">
        <v>46346</v>
      </c>
      <c r="R467" t="s">
        <v>84</v>
      </c>
    </row>
    <row r="468" spans="1:18" x14ac:dyDescent="0.2">
      <c r="A468" t="s">
        <v>991</v>
      </c>
      <c r="B468" t="s">
        <v>992</v>
      </c>
      <c r="C468" t="s">
        <v>103</v>
      </c>
      <c r="D468" t="s">
        <v>104</v>
      </c>
      <c r="E468" t="s">
        <v>44</v>
      </c>
      <c r="F468" t="s">
        <v>45</v>
      </c>
      <c r="G468" t="s">
        <v>61</v>
      </c>
      <c r="H468" t="s">
        <v>47</v>
      </c>
      <c r="I468" t="s">
        <v>70</v>
      </c>
      <c r="J468" t="s">
        <v>63</v>
      </c>
      <c r="K468" s="2">
        <v>46220</v>
      </c>
      <c r="L468" s="2">
        <v>46310</v>
      </c>
      <c r="M468" t="s">
        <v>64</v>
      </c>
      <c r="N468" t="s">
        <v>49</v>
      </c>
      <c r="O468">
        <v>1</v>
      </c>
      <c r="P468" t="s">
        <v>39</v>
      </c>
      <c r="Q468" s="2">
        <v>46369</v>
      </c>
      <c r="R468" t="s">
        <v>64</v>
      </c>
    </row>
    <row r="469" spans="1:18" x14ac:dyDescent="0.2">
      <c r="A469" t="s">
        <v>993</v>
      </c>
      <c r="B469" t="s">
        <v>994</v>
      </c>
      <c r="C469" t="s">
        <v>31</v>
      </c>
      <c r="D469" t="s">
        <v>32</v>
      </c>
      <c r="E469" t="s">
        <v>91</v>
      </c>
      <c r="F469" t="s">
        <v>67</v>
      </c>
      <c r="G469" t="s">
        <v>118</v>
      </c>
      <c r="H469" t="s">
        <v>88</v>
      </c>
      <c r="I469" t="s">
        <v>50</v>
      </c>
      <c r="J469" t="s">
        <v>48</v>
      </c>
      <c r="K469" s="2">
        <v>46033</v>
      </c>
      <c r="L469" s="2">
        <v>46213</v>
      </c>
      <c r="M469" t="s">
        <v>38</v>
      </c>
      <c r="N469" t="s">
        <v>75</v>
      </c>
      <c r="O469">
        <v>3</v>
      </c>
      <c r="P469" t="s">
        <v>106</v>
      </c>
      <c r="Q469" s="2">
        <v>46125</v>
      </c>
      <c r="R469" t="s">
        <v>64</v>
      </c>
    </row>
    <row r="470" spans="1:18" x14ac:dyDescent="0.2">
      <c r="A470" t="s">
        <v>995</v>
      </c>
      <c r="B470" t="s">
        <v>996</v>
      </c>
      <c r="C470" t="s">
        <v>42</v>
      </c>
      <c r="D470" t="s">
        <v>43</v>
      </c>
      <c r="E470" t="s">
        <v>91</v>
      </c>
      <c r="F470" t="s">
        <v>67</v>
      </c>
      <c r="G470" t="s">
        <v>118</v>
      </c>
      <c r="H470" t="s">
        <v>88</v>
      </c>
      <c r="I470" t="s">
        <v>106</v>
      </c>
      <c r="J470" t="s">
        <v>37</v>
      </c>
      <c r="K470" s="2">
        <v>46027</v>
      </c>
      <c r="L470" s="2">
        <v>46392</v>
      </c>
      <c r="M470" t="s">
        <v>69</v>
      </c>
      <c r="N470" t="s">
        <v>75</v>
      </c>
      <c r="O470">
        <v>2</v>
      </c>
      <c r="P470" t="s">
        <v>54</v>
      </c>
      <c r="Q470" s="2">
        <v>46405</v>
      </c>
      <c r="R470" t="s">
        <v>64</v>
      </c>
    </row>
    <row r="471" spans="1:18" x14ac:dyDescent="0.2">
      <c r="A471" t="s">
        <v>997</v>
      </c>
      <c r="B471" t="s">
        <v>998</v>
      </c>
      <c r="C471" t="s">
        <v>42</v>
      </c>
      <c r="D471" t="s">
        <v>43</v>
      </c>
      <c r="E471" t="s">
        <v>53</v>
      </c>
      <c r="F471" t="s">
        <v>67</v>
      </c>
      <c r="G471" t="s">
        <v>118</v>
      </c>
      <c r="H471" t="s">
        <v>36</v>
      </c>
      <c r="I471" t="s">
        <v>39</v>
      </c>
      <c r="J471" t="s">
        <v>48</v>
      </c>
      <c r="K471" s="2">
        <v>46200</v>
      </c>
      <c r="L471" s="2">
        <v>46380</v>
      </c>
      <c r="M471" t="s">
        <v>64</v>
      </c>
      <c r="N471" t="s">
        <v>55</v>
      </c>
      <c r="O471">
        <v>4</v>
      </c>
      <c r="P471" t="s">
        <v>50</v>
      </c>
      <c r="Q471" s="2">
        <v>46197</v>
      </c>
      <c r="R471" t="s">
        <v>38</v>
      </c>
    </row>
    <row r="472" spans="1:18" x14ac:dyDescent="0.2">
      <c r="A472" t="s">
        <v>999</v>
      </c>
      <c r="B472" t="s">
        <v>1000</v>
      </c>
      <c r="C472" t="s">
        <v>31</v>
      </c>
      <c r="D472" t="s">
        <v>87</v>
      </c>
      <c r="E472" t="s">
        <v>105</v>
      </c>
      <c r="F472" t="s">
        <v>45</v>
      </c>
      <c r="G472" t="s">
        <v>46</v>
      </c>
      <c r="H472" t="s">
        <v>47</v>
      </c>
      <c r="I472" t="s">
        <v>106</v>
      </c>
      <c r="J472" t="s">
        <v>37</v>
      </c>
      <c r="K472" s="2">
        <v>45981</v>
      </c>
      <c r="L472" s="2">
        <v>46071</v>
      </c>
      <c r="M472" t="s">
        <v>38</v>
      </c>
      <c r="N472" t="s">
        <v>75</v>
      </c>
      <c r="O472">
        <v>2</v>
      </c>
      <c r="P472" t="s">
        <v>106</v>
      </c>
      <c r="Q472" s="2">
        <v>46304</v>
      </c>
      <c r="R472" t="s">
        <v>64</v>
      </c>
    </row>
    <row r="473" spans="1:18" x14ac:dyDescent="0.2">
      <c r="A473" t="s">
        <v>1001</v>
      </c>
      <c r="B473" t="s">
        <v>1002</v>
      </c>
      <c r="C473" t="s">
        <v>96</v>
      </c>
      <c r="D473" t="s">
        <v>97</v>
      </c>
      <c r="E473" t="s">
        <v>80</v>
      </c>
      <c r="F473" t="s">
        <v>45</v>
      </c>
      <c r="G473" t="s">
        <v>61</v>
      </c>
      <c r="H473" t="s">
        <v>88</v>
      </c>
      <c r="I473" t="s">
        <v>50</v>
      </c>
      <c r="J473" t="s">
        <v>48</v>
      </c>
      <c r="K473" s="2">
        <v>46002</v>
      </c>
      <c r="L473" s="2">
        <v>46182</v>
      </c>
      <c r="M473" t="s">
        <v>38</v>
      </c>
      <c r="N473" t="s">
        <v>55</v>
      </c>
      <c r="O473">
        <v>0</v>
      </c>
      <c r="P473" t="s">
        <v>111</v>
      </c>
      <c r="Q473" s="2">
        <v>46322</v>
      </c>
      <c r="R473" t="s">
        <v>57</v>
      </c>
    </row>
    <row r="474" spans="1:18" x14ac:dyDescent="0.2">
      <c r="A474" t="s">
        <v>1003</v>
      </c>
      <c r="B474" t="s">
        <v>1004</v>
      </c>
      <c r="C474" t="s">
        <v>96</v>
      </c>
      <c r="D474" t="s">
        <v>97</v>
      </c>
      <c r="E474" t="s">
        <v>105</v>
      </c>
      <c r="F474" t="s">
        <v>67</v>
      </c>
      <c r="G474" t="s">
        <v>68</v>
      </c>
      <c r="H474" t="s">
        <v>98</v>
      </c>
      <c r="I474" t="s">
        <v>106</v>
      </c>
      <c r="J474" t="s">
        <v>63</v>
      </c>
      <c r="K474" s="2">
        <v>45944</v>
      </c>
      <c r="L474" s="2">
        <v>46309</v>
      </c>
      <c r="M474" t="s">
        <v>64</v>
      </c>
      <c r="N474" t="s">
        <v>75</v>
      </c>
      <c r="O474">
        <v>4</v>
      </c>
      <c r="P474" t="s">
        <v>70</v>
      </c>
      <c r="Q474" s="2">
        <v>46190</v>
      </c>
      <c r="R474" t="s">
        <v>38</v>
      </c>
    </row>
    <row r="475" spans="1:18" x14ac:dyDescent="0.2">
      <c r="A475" t="s">
        <v>1005</v>
      </c>
      <c r="B475" t="s">
        <v>1006</v>
      </c>
      <c r="C475" t="s">
        <v>103</v>
      </c>
      <c r="D475" t="s">
        <v>104</v>
      </c>
      <c r="E475" t="s">
        <v>105</v>
      </c>
      <c r="F475" t="s">
        <v>34</v>
      </c>
      <c r="G475" t="s">
        <v>35</v>
      </c>
      <c r="H475" t="s">
        <v>47</v>
      </c>
      <c r="J475" t="s">
        <v>37</v>
      </c>
      <c r="K475" s="2">
        <v>45993</v>
      </c>
      <c r="L475" s="2">
        <v>46083</v>
      </c>
      <c r="M475" t="s">
        <v>38</v>
      </c>
      <c r="N475" t="s">
        <v>75</v>
      </c>
      <c r="O475">
        <v>0</v>
      </c>
      <c r="P475" t="s">
        <v>70</v>
      </c>
      <c r="Q475" s="2">
        <v>46320</v>
      </c>
      <c r="R475" t="s">
        <v>57</v>
      </c>
    </row>
    <row r="476" spans="1:18" x14ac:dyDescent="0.2">
      <c r="A476" t="s">
        <v>1007</v>
      </c>
      <c r="B476" t="s">
        <v>1008</v>
      </c>
      <c r="C476" t="s">
        <v>96</v>
      </c>
      <c r="D476" t="s">
        <v>97</v>
      </c>
      <c r="E476" t="s">
        <v>60</v>
      </c>
      <c r="F476" t="s">
        <v>67</v>
      </c>
      <c r="G476" t="s">
        <v>68</v>
      </c>
      <c r="H476" t="s">
        <v>88</v>
      </c>
      <c r="I476" t="s">
        <v>54</v>
      </c>
      <c r="J476" t="s">
        <v>63</v>
      </c>
      <c r="K476" s="2">
        <v>45875</v>
      </c>
      <c r="L476" s="2">
        <v>46055</v>
      </c>
      <c r="M476" t="s">
        <v>38</v>
      </c>
      <c r="N476" t="s">
        <v>55</v>
      </c>
      <c r="O476">
        <v>0</v>
      </c>
      <c r="P476" t="s">
        <v>70</v>
      </c>
      <c r="Q476" s="2">
        <v>46157</v>
      </c>
      <c r="R476" t="s">
        <v>57</v>
      </c>
    </row>
    <row r="477" spans="1:18" x14ac:dyDescent="0.2">
      <c r="A477" t="s">
        <v>1009</v>
      </c>
      <c r="B477" t="s">
        <v>1010</v>
      </c>
      <c r="C477" t="s">
        <v>78</v>
      </c>
      <c r="D477" t="s">
        <v>79</v>
      </c>
      <c r="E477" t="s">
        <v>44</v>
      </c>
      <c r="F477" t="s">
        <v>34</v>
      </c>
      <c r="G477" t="s">
        <v>35</v>
      </c>
      <c r="H477" t="s">
        <v>88</v>
      </c>
      <c r="I477" t="s">
        <v>39</v>
      </c>
      <c r="J477" t="s">
        <v>37</v>
      </c>
      <c r="K477" s="2">
        <v>45810</v>
      </c>
      <c r="L477" s="2">
        <v>46175</v>
      </c>
      <c r="M477" t="s">
        <v>38</v>
      </c>
      <c r="N477" t="s">
        <v>75</v>
      </c>
      <c r="O477">
        <v>3</v>
      </c>
      <c r="P477" t="s">
        <v>106</v>
      </c>
      <c r="Q477" s="2">
        <v>46190</v>
      </c>
      <c r="R477" t="s">
        <v>38</v>
      </c>
    </row>
    <row r="478" spans="1:18" x14ac:dyDescent="0.2">
      <c r="A478" t="s">
        <v>1011</v>
      </c>
      <c r="B478" t="s">
        <v>1012</v>
      </c>
      <c r="C478" t="s">
        <v>78</v>
      </c>
      <c r="D478" t="s">
        <v>79</v>
      </c>
      <c r="E478" t="s">
        <v>53</v>
      </c>
      <c r="F478" t="s">
        <v>45</v>
      </c>
      <c r="G478" t="s">
        <v>61</v>
      </c>
      <c r="H478" t="s">
        <v>88</v>
      </c>
      <c r="I478" t="s">
        <v>111</v>
      </c>
      <c r="J478" t="s">
        <v>37</v>
      </c>
      <c r="K478" s="2">
        <v>45828</v>
      </c>
      <c r="L478" s="2">
        <v>46193</v>
      </c>
      <c r="M478" t="s">
        <v>38</v>
      </c>
      <c r="N478" t="s">
        <v>55</v>
      </c>
      <c r="O478">
        <v>1</v>
      </c>
      <c r="P478" t="s">
        <v>56</v>
      </c>
      <c r="Q478" s="2">
        <v>46342</v>
      </c>
      <c r="R478" t="s">
        <v>84</v>
      </c>
    </row>
    <row r="479" spans="1:18" x14ac:dyDescent="0.2">
      <c r="A479" t="s">
        <v>1013</v>
      </c>
      <c r="B479" t="s">
        <v>1014</v>
      </c>
      <c r="C479" t="s">
        <v>103</v>
      </c>
      <c r="D479" t="s">
        <v>104</v>
      </c>
      <c r="E479" t="s">
        <v>91</v>
      </c>
      <c r="F479" t="s">
        <v>45</v>
      </c>
      <c r="G479" t="s">
        <v>61</v>
      </c>
      <c r="H479" t="s">
        <v>36</v>
      </c>
      <c r="I479" t="s">
        <v>50</v>
      </c>
      <c r="J479" t="s">
        <v>37</v>
      </c>
      <c r="K479" s="2">
        <v>45848</v>
      </c>
      <c r="L479" s="2">
        <v>46213</v>
      </c>
      <c r="M479" t="s">
        <v>38</v>
      </c>
      <c r="N479" t="s">
        <v>49</v>
      </c>
      <c r="O479">
        <v>0</v>
      </c>
      <c r="P479" t="s">
        <v>106</v>
      </c>
      <c r="Q479" s="2">
        <v>46188</v>
      </c>
      <c r="R479" t="s">
        <v>57</v>
      </c>
    </row>
    <row r="480" spans="1:18" x14ac:dyDescent="0.2">
      <c r="A480" t="s">
        <v>1015</v>
      </c>
      <c r="B480" t="s">
        <v>1016</v>
      </c>
      <c r="C480" t="s">
        <v>31</v>
      </c>
      <c r="D480" t="s">
        <v>83</v>
      </c>
      <c r="E480" t="s">
        <v>105</v>
      </c>
      <c r="F480" t="s">
        <v>45</v>
      </c>
      <c r="G480" t="s">
        <v>61</v>
      </c>
      <c r="H480" t="s">
        <v>47</v>
      </c>
      <c r="I480" t="s">
        <v>56</v>
      </c>
      <c r="J480" t="s">
        <v>48</v>
      </c>
      <c r="K480" s="2">
        <v>46063</v>
      </c>
      <c r="L480" s="2">
        <v>46153</v>
      </c>
      <c r="M480" t="s">
        <v>38</v>
      </c>
      <c r="N480" t="s">
        <v>49</v>
      </c>
      <c r="O480">
        <v>3</v>
      </c>
      <c r="P480" t="s">
        <v>62</v>
      </c>
      <c r="Q480" s="2">
        <v>46405</v>
      </c>
      <c r="R480" t="s">
        <v>84</v>
      </c>
    </row>
    <row r="481" spans="1:18" x14ac:dyDescent="0.2">
      <c r="A481" t="s">
        <v>1017</v>
      </c>
      <c r="B481" t="s">
        <v>1018</v>
      </c>
      <c r="C481" t="s">
        <v>103</v>
      </c>
      <c r="D481" t="s">
        <v>104</v>
      </c>
      <c r="E481" t="s">
        <v>105</v>
      </c>
      <c r="F481" t="s">
        <v>67</v>
      </c>
      <c r="G481" t="s">
        <v>118</v>
      </c>
      <c r="H481" t="s">
        <v>36</v>
      </c>
      <c r="I481" t="s">
        <v>56</v>
      </c>
      <c r="J481" t="s">
        <v>48</v>
      </c>
      <c r="K481" s="2">
        <v>45848</v>
      </c>
      <c r="L481" s="2">
        <v>46213</v>
      </c>
      <c r="M481" t="s">
        <v>38</v>
      </c>
      <c r="N481" t="s">
        <v>75</v>
      </c>
      <c r="O481">
        <v>3</v>
      </c>
      <c r="P481" t="s">
        <v>50</v>
      </c>
      <c r="Q481" s="2">
        <v>46401</v>
      </c>
      <c r="R481" t="s">
        <v>84</v>
      </c>
    </row>
    <row r="482" spans="1:18" x14ac:dyDescent="0.2">
      <c r="A482" t="s">
        <v>1019</v>
      </c>
      <c r="B482" t="s">
        <v>1020</v>
      </c>
      <c r="C482" t="s">
        <v>103</v>
      </c>
      <c r="D482" t="s">
        <v>104</v>
      </c>
      <c r="E482" t="s">
        <v>91</v>
      </c>
      <c r="F482" t="s">
        <v>67</v>
      </c>
      <c r="G482" t="s">
        <v>118</v>
      </c>
      <c r="H482" t="s">
        <v>36</v>
      </c>
      <c r="I482" t="s">
        <v>111</v>
      </c>
      <c r="J482" t="s">
        <v>48</v>
      </c>
      <c r="K482" s="2">
        <v>46212</v>
      </c>
      <c r="L482" s="2">
        <v>46577</v>
      </c>
      <c r="M482" t="s">
        <v>69</v>
      </c>
      <c r="N482" t="s">
        <v>75</v>
      </c>
      <c r="O482">
        <v>1</v>
      </c>
      <c r="P482" t="s">
        <v>56</v>
      </c>
      <c r="Q482" s="2">
        <v>46366</v>
      </c>
      <c r="R482" t="s">
        <v>84</v>
      </c>
    </row>
    <row r="483" spans="1:18" x14ac:dyDescent="0.2">
      <c r="A483" t="s">
        <v>1021</v>
      </c>
      <c r="B483" t="s">
        <v>1022</v>
      </c>
      <c r="C483" t="s">
        <v>31</v>
      </c>
      <c r="D483" t="s">
        <v>32</v>
      </c>
      <c r="E483" t="s">
        <v>60</v>
      </c>
      <c r="F483" t="s">
        <v>67</v>
      </c>
      <c r="G483" t="s">
        <v>68</v>
      </c>
      <c r="H483" t="s">
        <v>36</v>
      </c>
      <c r="I483" t="s">
        <v>111</v>
      </c>
      <c r="J483" t="s">
        <v>63</v>
      </c>
      <c r="K483" s="2">
        <v>45986</v>
      </c>
      <c r="L483" s="2">
        <v>46166</v>
      </c>
      <c r="M483" t="s">
        <v>38</v>
      </c>
      <c r="N483" t="s">
        <v>75</v>
      </c>
      <c r="O483">
        <v>5</v>
      </c>
      <c r="P483" t="s">
        <v>39</v>
      </c>
      <c r="Q483" s="2">
        <v>46358</v>
      </c>
      <c r="R483" t="s">
        <v>84</v>
      </c>
    </row>
    <row r="484" spans="1:18" x14ac:dyDescent="0.2">
      <c r="A484" t="s">
        <v>1023</v>
      </c>
      <c r="B484" t="s">
        <v>1024</v>
      </c>
      <c r="C484" t="s">
        <v>73</v>
      </c>
      <c r="D484" t="s">
        <v>74</v>
      </c>
      <c r="E484" t="s">
        <v>60</v>
      </c>
      <c r="F484" t="s">
        <v>67</v>
      </c>
      <c r="G484" t="s">
        <v>68</v>
      </c>
      <c r="H484" t="s">
        <v>47</v>
      </c>
      <c r="I484" t="s">
        <v>106</v>
      </c>
      <c r="J484" t="s">
        <v>63</v>
      </c>
      <c r="K484" s="2">
        <v>46039</v>
      </c>
      <c r="L484" s="2">
        <v>46404</v>
      </c>
      <c r="M484" t="s">
        <v>64</v>
      </c>
      <c r="N484" t="s">
        <v>55</v>
      </c>
      <c r="O484">
        <v>0</v>
      </c>
      <c r="P484" t="s">
        <v>106</v>
      </c>
      <c r="Q484" s="2">
        <v>46254</v>
      </c>
      <c r="R484" t="s">
        <v>57</v>
      </c>
    </row>
    <row r="485" spans="1:18" x14ac:dyDescent="0.2">
      <c r="A485" t="s">
        <v>1025</v>
      </c>
      <c r="B485" t="s">
        <v>1026</v>
      </c>
      <c r="C485" t="s">
        <v>31</v>
      </c>
      <c r="D485" t="s">
        <v>83</v>
      </c>
      <c r="E485" t="s">
        <v>53</v>
      </c>
      <c r="F485" t="s">
        <v>45</v>
      </c>
      <c r="G485" t="s">
        <v>61</v>
      </c>
      <c r="H485" t="s">
        <v>88</v>
      </c>
      <c r="I485" t="s">
        <v>70</v>
      </c>
      <c r="J485" t="s">
        <v>37</v>
      </c>
      <c r="K485" s="2">
        <v>46012</v>
      </c>
      <c r="L485" s="2">
        <v>46102</v>
      </c>
      <c r="M485" t="s">
        <v>38</v>
      </c>
      <c r="N485" t="s">
        <v>49</v>
      </c>
      <c r="O485">
        <v>1</v>
      </c>
      <c r="P485" t="s">
        <v>106</v>
      </c>
      <c r="Q485" s="2">
        <v>46163</v>
      </c>
      <c r="R485" t="s">
        <v>38</v>
      </c>
    </row>
    <row r="486" spans="1:18" x14ac:dyDescent="0.2">
      <c r="A486" t="s">
        <v>1027</v>
      </c>
      <c r="B486" t="s">
        <v>1028</v>
      </c>
      <c r="C486" t="s">
        <v>96</v>
      </c>
      <c r="D486" t="s">
        <v>97</v>
      </c>
      <c r="E486" t="s">
        <v>53</v>
      </c>
      <c r="F486" t="s">
        <v>34</v>
      </c>
      <c r="G486" t="s">
        <v>35</v>
      </c>
      <c r="H486" t="s">
        <v>88</v>
      </c>
      <c r="I486" t="s">
        <v>106</v>
      </c>
      <c r="J486" t="s">
        <v>37</v>
      </c>
      <c r="K486" s="2">
        <v>46226</v>
      </c>
      <c r="L486" s="2">
        <v>46591</v>
      </c>
      <c r="M486" t="s">
        <v>84</v>
      </c>
      <c r="N486" t="s">
        <v>55</v>
      </c>
      <c r="O486">
        <v>1</v>
      </c>
      <c r="P486" t="s">
        <v>50</v>
      </c>
      <c r="Q486" s="2">
        <v>46380</v>
      </c>
      <c r="R486" t="s">
        <v>64</v>
      </c>
    </row>
    <row r="487" spans="1:18" x14ac:dyDescent="0.2">
      <c r="A487" t="s">
        <v>1029</v>
      </c>
      <c r="B487" t="s">
        <v>1030</v>
      </c>
      <c r="C487" t="s">
        <v>96</v>
      </c>
      <c r="D487" t="s">
        <v>97</v>
      </c>
      <c r="E487" t="s">
        <v>44</v>
      </c>
      <c r="F487" t="s">
        <v>45</v>
      </c>
      <c r="G487" t="s">
        <v>46</v>
      </c>
      <c r="H487" t="s">
        <v>88</v>
      </c>
      <c r="I487" t="s">
        <v>54</v>
      </c>
      <c r="J487" t="s">
        <v>48</v>
      </c>
      <c r="K487" s="2">
        <v>45868</v>
      </c>
      <c r="L487" s="2">
        <v>46233</v>
      </c>
      <c r="M487" t="s">
        <v>38</v>
      </c>
      <c r="N487" t="s">
        <v>49</v>
      </c>
      <c r="O487">
        <v>0</v>
      </c>
      <c r="P487" t="s">
        <v>50</v>
      </c>
      <c r="Q487" s="2">
        <v>46328</v>
      </c>
      <c r="R487" t="s">
        <v>57</v>
      </c>
    </row>
    <row r="488" spans="1:18" x14ac:dyDescent="0.2">
      <c r="A488" t="s">
        <v>1031</v>
      </c>
      <c r="B488" t="s">
        <v>1032</v>
      </c>
      <c r="C488" t="s">
        <v>31</v>
      </c>
      <c r="D488" t="s">
        <v>32</v>
      </c>
      <c r="E488" t="s">
        <v>53</v>
      </c>
      <c r="F488" t="s">
        <v>45</v>
      </c>
      <c r="G488" t="s">
        <v>61</v>
      </c>
      <c r="H488" t="s">
        <v>88</v>
      </c>
      <c r="I488" t="s">
        <v>106</v>
      </c>
      <c r="J488" t="s">
        <v>48</v>
      </c>
      <c r="K488" s="2">
        <v>46204</v>
      </c>
      <c r="L488" s="2">
        <v>46384</v>
      </c>
      <c r="M488" t="s">
        <v>69</v>
      </c>
      <c r="N488" t="s">
        <v>55</v>
      </c>
      <c r="O488">
        <v>2</v>
      </c>
      <c r="P488" t="s">
        <v>50</v>
      </c>
      <c r="Q488" s="2">
        <v>46129</v>
      </c>
      <c r="R488" t="s">
        <v>38</v>
      </c>
    </row>
    <row r="489" spans="1:18" x14ac:dyDescent="0.2">
      <c r="A489" t="s">
        <v>1033</v>
      </c>
      <c r="B489" t="s">
        <v>1034</v>
      </c>
      <c r="C489" t="s">
        <v>78</v>
      </c>
      <c r="D489" t="s">
        <v>79</v>
      </c>
      <c r="E489" t="s">
        <v>53</v>
      </c>
      <c r="F489" t="s">
        <v>34</v>
      </c>
      <c r="G489" t="s">
        <v>35</v>
      </c>
      <c r="H489" t="s">
        <v>47</v>
      </c>
      <c r="I489" t="s">
        <v>50</v>
      </c>
      <c r="J489" t="s">
        <v>48</v>
      </c>
      <c r="K489" s="2">
        <v>46235</v>
      </c>
      <c r="L489" s="2">
        <v>46415</v>
      </c>
      <c r="M489" t="s">
        <v>84</v>
      </c>
      <c r="N489" t="s">
        <v>55</v>
      </c>
      <c r="O489">
        <v>0</v>
      </c>
      <c r="P489" t="s">
        <v>70</v>
      </c>
      <c r="Q489" s="2">
        <v>46362</v>
      </c>
      <c r="R489" t="s">
        <v>57</v>
      </c>
    </row>
    <row r="490" spans="1:18" x14ac:dyDescent="0.2">
      <c r="A490" t="s">
        <v>1035</v>
      </c>
      <c r="B490" t="s">
        <v>1036</v>
      </c>
      <c r="C490" t="s">
        <v>103</v>
      </c>
      <c r="D490" t="s">
        <v>104</v>
      </c>
      <c r="E490" t="s">
        <v>80</v>
      </c>
      <c r="F490" t="s">
        <v>45</v>
      </c>
      <c r="G490" t="s">
        <v>46</v>
      </c>
      <c r="H490" t="s">
        <v>47</v>
      </c>
      <c r="I490" t="s">
        <v>56</v>
      </c>
      <c r="J490" t="s">
        <v>48</v>
      </c>
      <c r="K490" s="2">
        <v>46253</v>
      </c>
      <c r="L490" s="2">
        <v>46343</v>
      </c>
      <c r="M490" t="s">
        <v>64</v>
      </c>
      <c r="N490" t="s">
        <v>55</v>
      </c>
      <c r="O490">
        <v>0</v>
      </c>
      <c r="P490" t="s">
        <v>50</v>
      </c>
      <c r="Q490" s="2">
        <v>46178</v>
      </c>
      <c r="R490" t="s">
        <v>57</v>
      </c>
    </row>
    <row r="491" spans="1:18" x14ac:dyDescent="0.2">
      <c r="A491" t="s">
        <v>1037</v>
      </c>
      <c r="B491" t="s">
        <v>1038</v>
      </c>
      <c r="C491" t="s">
        <v>103</v>
      </c>
      <c r="D491" t="s">
        <v>104</v>
      </c>
      <c r="E491" t="s">
        <v>105</v>
      </c>
      <c r="F491" t="s">
        <v>34</v>
      </c>
      <c r="G491" t="s">
        <v>35</v>
      </c>
      <c r="H491" t="s">
        <v>47</v>
      </c>
      <c r="I491" t="s">
        <v>56</v>
      </c>
      <c r="J491" t="s">
        <v>63</v>
      </c>
      <c r="K491" s="2">
        <v>45979</v>
      </c>
      <c r="L491" s="2">
        <v>46159</v>
      </c>
      <c r="M491" t="s">
        <v>38</v>
      </c>
      <c r="N491" t="s">
        <v>75</v>
      </c>
      <c r="O491">
        <v>1</v>
      </c>
      <c r="P491" t="s">
        <v>70</v>
      </c>
      <c r="Q491" s="2">
        <v>46371</v>
      </c>
      <c r="R491" t="s">
        <v>84</v>
      </c>
    </row>
    <row r="492" spans="1:18" x14ac:dyDescent="0.2">
      <c r="A492" t="s">
        <v>1039</v>
      </c>
      <c r="B492" t="s">
        <v>1040</v>
      </c>
      <c r="C492" t="s">
        <v>103</v>
      </c>
      <c r="D492" t="s">
        <v>104</v>
      </c>
      <c r="E492" t="s">
        <v>60</v>
      </c>
      <c r="F492" t="s">
        <v>45</v>
      </c>
      <c r="G492" t="s">
        <v>46</v>
      </c>
      <c r="H492" t="s">
        <v>47</v>
      </c>
      <c r="I492" t="s">
        <v>54</v>
      </c>
      <c r="J492" t="s">
        <v>63</v>
      </c>
      <c r="K492" s="2">
        <v>46131</v>
      </c>
      <c r="L492" s="2">
        <v>46221</v>
      </c>
      <c r="M492" t="s">
        <v>38</v>
      </c>
      <c r="N492" t="s">
        <v>49</v>
      </c>
      <c r="O492">
        <v>0</v>
      </c>
      <c r="P492" t="s">
        <v>111</v>
      </c>
      <c r="Q492" s="2">
        <v>46165</v>
      </c>
      <c r="R492" t="s">
        <v>57</v>
      </c>
    </row>
    <row r="493" spans="1:18" x14ac:dyDescent="0.2">
      <c r="A493" t="s">
        <v>1041</v>
      </c>
      <c r="B493" t="s">
        <v>1042</v>
      </c>
      <c r="C493" t="s">
        <v>73</v>
      </c>
      <c r="D493" t="s">
        <v>74</v>
      </c>
      <c r="E493" t="s">
        <v>80</v>
      </c>
      <c r="F493" t="s">
        <v>67</v>
      </c>
      <c r="G493" t="s">
        <v>68</v>
      </c>
      <c r="H493" t="s">
        <v>88</v>
      </c>
      <c r="I493" t="s">
        <v>70</v>
      </c>
      <c r="J493" t="s">
        <v>37</v>
      </c>
      <c r="K493" s="2">
        <v>46183</v>
      </c>
      <c r="L493" s="2">
        <v>46363</v>
      </c>
      <c r="M493" t="s">
        <v>69</v>
      </c>
      <c r="N493" t="s">
        <v>55</v>
      </c>
      <c r="O493">
        <v>1</v>
      </c>
      <c r="P493" t="s">
        <v>70</v>
      </c>
      <c r="Q493" s="2">
        <v>46323</v>
      </c>
      <c r="R493" t="s">
        <v>64</v>
      </c>
    </row>
    <row r="494" spans="1:18" x14ac:dyDescent="0.2">
      <c r="A494" t="s">
        <v>1043</v>
      </c>
      <c r="B494" t="s">
        <v>1044</v>
      </c>
      <c r="C494" t="s">
        <v>96</v>
      </c>
      <c r="D494" t="s">
        <v>97</v>
      </c>
      <c r="E494" t="s">
        <v>80</v>
      </c>
      <c r="F494" t="s">
        <v>34</v>
      </c>
      <c r="G494" t="s">
        <v>35</v>
      </c>
      <c r="H494" t="s">
        <v>36</v>
      </c>
      <c r="I494" t="s">
        <v>56</v>
      </c>
      <c r="J494" t="s">
        <v>63</v>
      </c>
      <c r="K494" s="2">
        <v>45990</v>
      </c>
      <c r="L494" s="2">
        <v>46355</v>
      </c>
      <c r="M494" t="s">
        <v>64</v>
      </c>
      <c r="N494" t="s">
        <v>75</v>
      </c>
      <c r="O494">
        <v>3</v>
      </c>
      <c r="P494" t="s">
        <v>56</v>
      </c>
      <c r="Q494" s="2">
        <v>46174</v>
      </c>
      <c r="R494" t="s">
        <v>38</v>
      </c>
    </row>
    <row r="495" spans="1:18" x14ac:dyDescent="0.2">
      <c r="A495" t="s">
        <v>1045</v>
      </c>
      <c r="B495" t="s">
        <v>1046</v>
      </c>
      <c r="C495" t="s">
        <v>73</v>
      </c>
      <c r="D495" t="s">
        <v>74</v>
      </c>
      <c r="E495" t="s">
        <v>44</v>
      </c>
      <c r="F495" t="s">
        <v>34</v>
      </c>
      <c r="G495" t="s">
        <v>35</v>
      </c>
      <c r="H495" t="s">
        <v>88</v>
      </c>
      <c r="I495" t="s">
        <v>56</v>
      </c>
      <c r="J495" t="s">
        <v>48</v>
      </c>
      <c r="K495" s="2">
        <v>45838</v>
      </c>
      <c r="L495" s="2">
        <v>46018</v>
      </c>
      <c r="M495" t="s">
        <v>38</v>
      </c>
      <c r="N495" t="s">
        <v>55</v>
      </c>
      <c r="O495">
        <v>0</v>
      </c>
      <c r="P495" t="s">
        <v>111</v>
      </c>
      <c r="Q495" s="2">
        <v>46358</v>
      </c>
      <c r="R495" t="s">
        <v>57</v>
      </c>
    </row>
    <row r="496" spans="1:18" x14ac:dyDescent="0.2">
      <c r="A496" t="s">
        <v>1047</v>
      </c>
      <c r="B496" t="s">
        <v>1048</v>
      </c>
      <c r="C496" t="s">
        <v>31</v>
      </c>
      <c r="D496" t="s">
        <v>32</v>
      </c>
      <c r="E496" t="s">
        <v>80</v>
      </c>
      <c r="F496" t="s">
        <v>34</v>
      </c>
      <c r="G496" t="s">
        <v>35</v>
      </c>
      <c r="H496" t="s">
        <v>88</v>
      </c>
      <c r="I496" t="s">
        <v>70</v>
      </c>
      <c r="J496" t="s">
        <v>48</v>
      </c>
      <c r="K496" s="2">
        <v>46214</v>
      </c>
      <c r="L496" s="2">
        <v>46304</v>
      </c>
      <c r="M496" t="s">
        <v>64</v>
      </c>
      <c r="N496" t="s">
        <v>49</v>
      </c>
      <c r="O496">
        <v>0</v>
      </c>
      <c r="P496" t="s">
        <v>106</v>
      </c>
      <c r="Q496" s="2">
        <v>46201</v>
      </c>
      <c r="R496" t="s">
        <v>57</v>
      </c>
    </row>
    <row r="497" spans="1:18" x14ac:dyDescent="0.2">
      <c r="A497" t="s">
        <v>1049</v>
      </c>
      <c r="B497" t="s">
        <v>1050</v>
      </c>
      <c r="C497" t="s">
        <v>78</v>
      </c>
      <c r="D497" t="s">
        <v>79</v>
      </c>
      <c r="E497" t="s">
        <v>105</v>
      </c>
      <c r="F497" t="s">
        <v>45</v>
      </c>
      <c r="G497" t="s">
        <v>61</v>
      </c>
      <c r="H497" t="s">
        <v>47</v>
      </c>
      <c r="I497" t="s">
        <v>62</v>
      </c>
      <c r="J497" t="s">
        <v>63</v>
      </c>
      <c r="K497" s="2">
        <v>45904</v>
      </c>
      <c r="L497" s="2">
        <v>46084</v>
      </c>
      <c r="M497" t="s">
        <v>38</v>
      </c>
      <c r="N497" t="s">
        <v>75</v>
      </c>
      <c r="O497">
        <v>2</v>
      </c>
      <c r="P497" t="s">
        <v>56</v>
      </c>
      <c r="Q497" s="2">
        <v>46319</v>
      </c>
      <c r="R497" t="s">
        <v>84</v>
      </c>
    </row>
    <row r="498" spans="1:18" x14ac:dyDescent="0.2">
      <c r="A498" t="s">
        <v>1051</v>
      </c>
      <c r="B498" t="s">
        <v>1052</v>
      </c>
      <c r="C498" t="s">
        <v>31</v>
      </c>
      <c r="D498" t="s">
        <v>87</v>
      </c>
      <c r="E498" t="s">
        <v>105</v>
      </c>
      <c r="F498" t="s">
        <v>45</v>
      </c>
      <c r="G498" t="s">
        <v>61</v>
      </c>
      <c r="H498" t="s">
        <v>47</v>
      </c>
      <c r="I498" t="s">
        <v>111</v>
      </c>
      <c r="J498" t="s">
        <v>48</v>
      </c>
      <c r="K498" s="2">
        <v>46021</v>
      </c>
      <c r="L498" s="2">
        <v>46111</v>
      </c>
      <c r="M498" t="s">
        <v>38</v>
      </c>
      <c r="N498" t="s">
        <v>49</v>
      </c>
      <c r="O498">
        <v>1</v>
      </c>
      <c r="P498" t="s">
        <v>111</v>
      </c>
      <c r="Q498" s="2">
        <v>46130</v>
      </c>
      <c r="R498" t="s">
        <v>64</v>
      </c>
    </row>
    <row r="499" spans="1:18" x14ac:dyDescent="0.2">
      <c r="A499" t="s">
        <v>1053</v>
      </c>
      <c r="B499" t="s">
        <v>1054</v>
      </c>
      <c r="C499" t="s">
        <v>96</v>
      </c>
      <c r="D499" t="s">
        <v>97</v>
      </c>
      <c r="E499" t="s">
        <v>44</v>
      </c>
      <c r="F499" t="s">
        <v>34</v>
      </c>
      <c r="G499" t="s">
        <v>35</v>
      </c>
      <c r="H499" t="s">
        <v>88</v>
      </c>
      <c r="I499" t="s">
        <v>106</v>
      </c>
      <c r="J499" t="s">
        <v>63</v>
      </c>
      <c r="K499" s="2">
        <v>46197</v>
      </c>
      <c r="L499" s="2">
        <v>46377</v>
      </c>
      <c r="M499" t="s">
        <v>84</v>
      </c>
      <c r="N499" t="s">
        <v>55</v>
      </c>
      <c r="O499">
        <v>3</v>
      </c>
      <c r="P499" t="s">
        <v>56</v>
      </c>
      <c r="Q499" s="2">
        <v>46353</v>
      </c>
      <c r="R499" t="s">
        <v>64</v>
      </c>
    </row>
    <row r="500" spans="1:18" x14ac:dyDescent="0.2">
      <c r="A500" t="s">
        <v>1055</v>
      </c>
      <c r="B500" t="s">
        <v>1056</v>
      </c>
      <c r="C500" t="s">
        <v>96</v>
      </c>
      <c r="D500" t="s">
        <v>97</v>
      </c>
      <c r="E500" t="s">
        <v>60</v>
      </c>
      <c r="F500" t="s">
        <v>34</v>
      </c>
      <c r="G500" t="s">
        <v>35</v>
      </c>
      <c r="H500" t="s">
        <v>88</v>
      </c>
      <c r="I500" t="s">
        <v>39</v>
      </c>
      <c r="J500" t="s">
        <v>48</v>
      </c>
      <c r="K500" s="2">
        <v>46055</v>
      </c>
      <c r="L500" s="2">
        <v>46145</v>
      </c>
      <c r="M500" t="s">
        <v>38</v>
      </c>
      <c r="N500" t="s">
        <v>75</v>
      </c>
      <c r="O500">
        <v>3</v>
      </c>
      <c r="P500" t="s">
        <v>39</v>
      </c>
      <c r="Q500" s="2">
        <v>46276</v>
      </c>
      <c r="R500" t="s">
        <v>38</v>
      </c>
    </row>
    <row r="501" spans="1:18" x14ac:dyDescent="0.2">
      <c r="A501" t="s">
        <v>1057</v>
      </c>
      <c r="B501" t="s">
        <v>1058</v>
      </c>
      <c r="C501" t="s">
        <v>96</v>
      </c>
      <c r="D501" t="s">
        <v>97</v>
      </c>
      <c r="E501" t="s">
        <v>91</v>
      </c>
      <c r="F501" t="s">
        <v>45</v>
      </c>
      <c r="G501" t="s">
        <v>61</v>
      </c>
      <c r="H501" t="s">
        <v>47</v>
      </c>
      <c r="I501" t="s">
        <v>62</v>
      </c>
      <c r="J501" t="s">
        <v>63</v>
      </c>
      <c r="K501" s="2">
        <v>46207</v>
      </c>
      <c r="L501" s="2">
        <v>46387</v>
      </c>
      <c r="M501" t="s">
        <v>69</v>
      </c>
      <c r="N501" t="s">
        <v>55</v>
      </c>
      <c r="O501">
        <v>3</v>
      </c>
      <c r="P501" t="s">
        <v>50</v>
      </c>
      <c r="Q501" s="2">
        <v>46398</v>
      </c>
      <c r="R501" t="s">
        <v>84</v>
      </c>
    </row>
    <row r="502" spans="1:18" x14ac:dyDescent="0.2">
      <c r="A502" t="s">
        <v>1059</v>
      </c>
      <c r="B502" t="s">
        <v>1060</v>
      </c>
      <c r="C502" t="s">
        <v>31</v>
      </c>
      <c r="D502" t="s">
        <v>87</v>
      </c>
      <c r="E502" t="s">
        <v>80</v>
      </c>
      <c r="F502" t="s">
        <v>34</v>
      </c>
      <c r="G502" t="s">
        <v>35</v>
      </c>
      <c r="H502" t="s">
        <v>47</v>
      </c>
      <c r="I502" t="s">
        <v>62</v>
      </c>
      <c r="J502" t="s">
        <v>37</v>
      </c>
      <c r="K502" s="2">
        <v>45960</v>
      </c>
      <c r="L502" s="2">
        <v>46325</v>
      </c>
      <c r="M502" t="s">
        <v>64</v>
      </c>
      <c r="N502" t="s">
        <v>75</v>
      </c>
      <c r="O502">
        <v>2</v>
      </c>
      <c r="P502" t="s">
        <v>106</v>
      </c>
      <c r="Q502" s="2">
        <v>46146</v>
      </c>
      <c r="R502" t="s">
        <v>64</v>
      </c>
    </row>
    <row r="503" spans="1:18" x14ac:dyDescent="0.2">
      <c r="A503" t="s">
        <v>1061</v>
      </c>
      <c r="B503" t="s">
        <v>1062</v>
      </c>
      <c r="C503" t="s">
        <v>103</v>
      </c>
      <c r="D503" t="s">
        <v>104</v>
      </c>
      <c r="E503" t="s">
        <v>91</v>
      </c>
      <c r="F503" t="s">
        <v>34</v>
      </c>
      <c r="G503" t="s">
        <v>35</v>
      </c>
      <c r="H503" t="s">
        <v>88</v>
      </c>
      <c r="I503" t="s">
        <v>70</v>
      </c>
      <c r="J503" t="s">
        <v>48</v>
      </c>
      <c r="K503" s="2">
        <v>46056</v>
      </c>
      <c r="L503" s="2">
        <v>46236</v>
      </c>
      <c r="M503" t="s">
        <v>38</v>
      </c>
      <c r="O503">
        <v>2</v>
      </c>
      <c r="P503" t="s">
        <v>56</v>
      </c>
      <c r="Q503" s="2">
        <v>46325</v>
      </c>
      <c r="R503" t="s">
        <v>84</v>
      </c>
    </row>
    <row r="504" spans="1:18" x14ac:dyDescent="0.2">
      <c r="A504" t="s">
        <v>1063</v>
      </c>
      <c r="B504" t="s">
        <v>1064</v>
      </c>
      <c r="C504" t="s">
        <v>78</v>
      </c>
      <c r="D504" t="s">
        <v>79</v>
      </c>
      <c r="E504" t="s">
        <v>91</v>
      </c>
      <c r="F504" t="s">
        <v>34</v>
      </c>
      <c r="G504" t="s">
        <v>35</v>
      </c>
      <c r="H504" t="s">
        <v>47</v>
      </c>
      <c r="I504" t="s">
        <v>56</v>
      </c>
      <c r="J504" t="s">
        <v>63</v>
      </c>
      <c r="K504" s="2">
        <v>46217</v>
      </c>
      <c r="L504" s="2">
        <v>46397</v>
      </c>
      <c r="M504" t="s">
        <v>64</v>
      </c>
      <c r="N504" t="s">
        <v>49</v>
      </c>
      <c r="O504">
        <v>2</v>
      </c>
      <c r="P504" t="s">
        <v>62</v>
      </c>
      <c r="Q504" s="2">
        <v>46134</v>
      </c>
      <c r="R504" t="s">
        <v>38</v>
      </c>
    </row>
    <row r="505" spans="1:18" x14ac:dyDescent="0.2">
      <c r="A505" t="s">
        <v>1065</v>
      </c>
      <c r="B505" t="s">
        <v>1066</v>
      </c>
      <c r="C505" t="s">
        <v>96</v>
      </c>
      <c r="D505" t="s">
        <v>97</v>
      </c>
      <c r="E505" t="s">
        <v>91</v>
      </c>
      <c r="F505" t="s">
        <v>67</v>
      </c>
      <c r="G505" t="s">
        <v>68</v>
      </c>
      <c r="H505" t="s">
        <v>88</v>
      </c>
      <c r="I505" t="s">
        <v>39</v>
      </c>
      <c r="J505" t="s">
        <v>63</v>
      </c>
      <c r="K505" s="2">
        <v>46113</v>
      </c>
      <c r="L505" s="2">
        <v>46293</v>
      </c>
      <c r="M505" t="s">
        <v>38</v>
      </c>
      <c r="N505" t="s">
        <v>49</v>
      </c>
      <c r="O505">
        <v>3</v>
      </c>
      <c r="P505" t="s">
        <v>54</v>
      </c>
      <c r="Q505" s="2">
        <v>46280</v>
      </c>
      <c r="R505" t="s">
        <v>38</v>
      </c>
    </row>
    <row r="506" spans="1:18" x14ac:dyDescent="0.2">
      <c r="A506" t="s">
        <v>1067</v>
      </c>
      <c r="B506" t="s">
        <v>1068</v>
      </c>
      <c r="C506" t="s">
        <v>31</v>
      </c>
      <c r="D506" t="s">
        <v>32</v>
      </c>
      <c r="E506" t="s">
        <v>60</v>
      </c>
      <c r="F506" t="s">
        <v>67</v>
      </c>
      <c r="G506" t="s">
        <v>118</v>
      </c>
      <c r="H506" t="s">
        <v>36</v>
      </c>
      <c r="I506" t="s">
        <v>106</v>
      </c>
      <c r="J506" t="s">
        <v>63</v>
      </c>
      <c r="K506" s="2">
        <v>46190</v>
      </c>
      <c r="L506" s="2">
        <v>46555</v>
      </c>
      <c r="M506" t="s">
        <v>64</v>
      </c>
      <c r="N506" t="s">
        <v>75</v>
      </c>
      <c r="O506">
        <v>1</v>
      </c>
      <c r="P506" t="s">
        <v>54</v>
      </c>
      <c r="Q506" s="2">
        <v>46369</v>
      </c>
      <c r="R506" t="s">
        <v>84</v>
      </c>
    </row>
    <row r="507" spans="1:18" x14ac:dyDescent="0.2">
      <c r="A507" t="s">
        <v>1069</v>
      </c>
      <c r="B507" t="s">
        <v>1070</v>
      </c>
      <c r="C507" t="s">
        <v>31</v>
      </c>
      <c r="D507" t="s">
        <v>32</v>
      </c>
      <c r="E507" t="s">
        <v>105</v>
      </c>
      <c r="F507" t="s">
        <v>67</v>
      </c>
      <c r="G507" t="s">
        <v>118</v>
      </c>
      <c r="H507" t="s">
        <v>47</v>
      </c>
      <c r="I507" t="s">
        <v>62</v>
      </c>
      <c r="J507" t="s">
        <v>37</v>
      </c>
      <c r="K507" s="2">
        <v>45864</v>
      </c>
      <c r="L507" s="2">
        <v>45954</v>
      </c>
      <c r="M507" t="s">
        <v>38</v>
      </c>
      <c r="N507" t="s">
        <v>49</v>
      </c>
      <c r="O507">
        <v>0</v>
      </c>
      <c r="P507" t="s">
        <v>56</v>
      </c>
      <c r="Q507" s="2">
        <v>46411</v>
      </c>
      <c r="R507" t="s">
        <v>57</v>
      </c>
    </row>
    <row r="508" spans="1:18" x14ac:dyDescent="0.2">
      <c r="A508" t="s">
        <v>1071</v>
      </c>
      <c r="B508" t="s">
        <v>1072</v>
      </c>
      <c r="C508" t="s">
        <v>73</v>
      </c>
      <c r="D508" t="s">
        <v>74</v>
      </c>
      <c r="E508" t="s">
        <v>80</v>
      </c>
      <c r="F508" t="s">
        <v>45</v>
      </c>
      <c r="G508" t="s">
        <v>61</v>
      </c>
      <c r="H508" t="s">
        <v>47</v>
      </c>
      <c r="I508" t="s">
        <v>70</v>
      </c>
      <c r="J508" t="s">
        <v>37</v>
      </c>
      <c r="K508" s="2">
        <v>45942</v>
      </c>
      <c r="L508" s="2">
        <v>46122</v>
      </c>
      <c r="M508" t="s">
        <v>38</v>
      </c>
      <c r="N508" t="s">
        <v>49</v>
      </c>
      <c r="O508">
        <v>2</v>
      </c>
      <c r="P508" t="s">
        <v>62</v>
      </c>
      <c r="Q508" s="2">
        <v>46336</v>
      </c>
      <c r="R508" t="s">
        <v>84</v>
      </c>
    </row>
    <row r="509" spans="1:18" x14ac:dyDescent="0.2">
      <c r="A509" t="s">
        <v>1073</v>
      </c>
      <c r="B509" t="s">
        <v>1074</v>
      </c>
      <c r="C509" t="s">
        <v>96</v>
      </c>
      <c r="D509" t="s">
        <v>97</v>
      </c>
      <c r="E509" t="s">
        <v>91</v>
      </c>
      <c r="F509" t="s">
        <v>67</v>
      </c>
      <c r="G509" t="s">
        <v>118</v>
      </c>
      <c r="H509" t="s">
        <v>36</v>
      </c>
      <c r="I509" t="s">
        <v>50</v>
      </c>
      <c r="J509" t="s">
        <v>63</v>
      </c>
      <c r="K509" s="2">
        <v>45824</v>
      </c>
      <c r="L509" s="2">
        <v>45914</v>
      </c>
      <c r="M509" t="s">
        <v>38</v>
      </c>
      <c r="N509" t="s">
        <v>49</v>
      </c>
      <c r="O509">
        <v>5</v>
      </c>
      <c r="P509" t="s">
        <v>111</v>
      </c>
      <c r="Q509" s="2">
        <v>46379</v>
      </c>
      <c r="R509" t="s">
        <v>84</v>
      </c>
    </row>
    <row r="510" spans="1:18" x14ac:dyDescent="0.2">
      <c r="A510" t="s">
        <v>1075</v>
      </c>
      <c r="B510" t="s">
        <v>1076</v>
      </c>
      <c r="C510" t="s">
        <v>42</v>
      </c>
      <c r="D510" t="s">
        <v>43</v>
      </c>
      <c r="E510" t="s">
        <v>60</v>
      </c>
      <c r="F510" t="s">
        <v>67</v>
      </c>
      <c r="G510" t="s">
        <v>118</v>
      </c>
      <c r="H510" t="s">
        <v>36</v>
      </c>
      <c r="I510" t="s">
        <v>39</v>
      </c>
      <c r="J510" t="s">
        <v>37</v>
      </c>
      <c r="K510" s="2">
        <v>46008</v>
      </c>
      <c r="L510" s="2">
        <v>46098</v>
      </c>
      <c r="M510" t="s">
        <v>38</v>
      </c>
      <c r="N510" t="s">
        <v>75</v>
      </c>
      <c r="O510">
        <v>3</v>
      </c>
      <c r="P510" t="s">
        <v>62</v>
      </c>
      <c r="Q510" s="2">
        <v>46190</v>
      </c>
      <c r="R510" t="s">
        <v>64</v>
      </c>
    </row>
    <row r="511" spans="1:18" x14ac:dyDescent="0.2">
      <c r="A511" t="s">
        <v>1077</v>
      </c>
      <c r="B511" t="s">
        <v>1078</v>
      </c>
      <c r="C511" t="s">
        <v>31</v>
      </c>
      <c r="D511" t="s">
        <v>83</v>
      </c>
      <c r="E511" t="s">
        <v>91</v>
      </c>
      <c r="F511" t="s">
        <v>67</v>
      </c>
      <c r="G511" t="s">
        <v>68</v>
      </c>
      <c r="H511" t="s">
        <v>47</v>
      </c>
      <c r="I511" t="s">
        <v>62</v>
      </c>
      <c r="J511" t="s">
        <v>48</v>
      </c>
      <c r="K511" s="2">
        <v>46139</v>
      </c>
      <c r="L511" s="2">
        <v>46319</v>
      </c>
      <c r="M511" t="s">
        <v>69</v>
      </c>
      <c r="N511" t="s">
        <v>49</v>
      </c>
      <c r="O511">
        <v>1</v>
      </c>
      <c r="P511" t="s">
        <v>54</v>
      </c>
      <c r="Q511" s="2">
        <v>46322</v>
      </c>
      <c r="R511" t="s">
        <v>64</v>
      </c>
    </row>
    <row r="512" spans="1:18" x14ac:dyDescent="0.2">
      <c r="A512" t="s">
        <v>1079</v>
      </c>
      <c r="B512" t="s">
        <v>1080</v>
      </c>
      <c r="C512" t="s">
        <v>42</v>
      </c>
      <c r="D512" t="s">
        <v>43</v>
      </c>
      <c r="E512" t="s">
        <v>80</v>
      </c>
      <c r="F512" t="s">
        <v>67</v>
      </c>
      <c r="G512" t="s">
        <v>118</v>
      </c>
      <c r="H512" t="s">
        <v>88</v>
      </c>
      <c r="I512" t="s">
        <v>62</v>
      </c>
      <c r="J512" t="s">
        <v>63</v>
      </c>
      <c r="K512" s="2">
        <v>46059</v>
      </c>
      <c r="L512" s="2">
        <v>46424</v>
      </c>
      <c r="M512" t="s">
        <v>84</v>
      </c>
      <c r="N512" t="s">
        <v>55</v>
      </c>
      <c r="O512">
        <v>2</v>
      </c>
      <c r="P512" t="s">
        <v>50</v>
      </c>
      <c r="Q512" s="2">
        <v>46184</v>
      </c>
      <c r="R512" t="s">
        <v>64</v>
      </c>
    </row>
    <row r="513" spans="1:18" x14ac:dyDescent="0.2">
      <c r="A513" t="s">
        <v>1081</v>
      </c>
      <c r="B513" t="s">
        <v>1082</v>
      </c>
      <c r="C513" t="s">
        <v>73</v>
      </c>
      <c r="D513" t="s">
        <v>74</v>
      </c>
      <c r="E513" t="s">
        <v>91</v>
      </c>
      <c r="F513" t="s">
        <v>34</v>
      </c>
      <c r="G513" t="s">
        <v>35</v>
      </c>
      <c r="H513" t="s">
        <v>88</v>
      </c>
      <c r="I513" t="s">
        <v>39</v>
      </c>
      <c r="J513" t="s">
        <v>63</v>
      </c>
      <c r="K513" s="2">
        <v>46247</v>
      </c>
      <c r="L513" s="2">
        <v>46337</v>
      </c>
      <c r="M513" t="s">
        <v>64</v>
      </c>
      <c r="N513" t="s">
        <v>75</v>
      </c>
      <c r="O513">
        <v>0</v>
      </c>
      <c r="P513" t="s">
        <v>70</v>
      </c>
      <c r="Q513" s="2">
        <v>46323</v>
      </c>
      <c r="R513" t="s">
        <v>57</v>
      </c>
    </row>
    <row r="514" spans="1:18" x14ac:dyDescent="0.2">
      <c r="A514" t="s">
        <v>1083</v>
      </c>
      <c r="B514" t="s">
        <v>1084</v>
      </c>
      <c r="C514" t="s">
        <v>31</v>
      </c>
      <c r="D514" t="s">
        <v>32</v>
      </c>
      <c r="E514" t="s">
        <v>44</v>
      </c>
      <c r="F514" t="s">
        <v>67</v>
      </c>
      <c r="G514" t="s">
        <v>68</v>
      </c>
      <c r="H514" t="s">
        <v>47</v>
      </c>
      <c r="I514" t="s">
        <v>70</v>
      </c>
      <c r="J514" t="s">
        <v>37</v>
      </c>
      <c r="K514" s="2">
        <v>46008</v>
      </c>
      <c r="L514" s="2">
        <v>46373</v>
      </c>
      <c r="M514" t="s">
        <v>69</v>
      </c>
      <c r="N514" t="s">
        <v>75</v>
      </c>
      <c r="O514">
        <v>0</v>
      </c>
      <c r="P514" t="s">
        <v>106</v>
      </c>
      <c r="Q514" s="2">
        <v>46236</v>
      </c>
      <c r="R514" t="s">
        <v>57</v>
      </c>
    </row>
    <row r="515" spans="1:18" x14ac:dyDescent="0.2">
      <c r="A515" t="s">
        <v>1085</v>
      </c>
      <c r="B515" t="s">
        <v>1086</v>
      </c>
      <c r="C515" t="s">
        <v>96</v>
      </c>
      <c r="D515" t="s">
        <v>97</v>
      </c>
      <c r="E515" t="s">
        <v>91</v>
      </c>
      <c r="F515" t="s">
        <v>34</v>
      </c>
      <c r="G515" t="s">
        <v>35</v>
      </c>
      <c r="H515" t="s">
        <v>36</v>
      </c>
      <c r="I515" t="s">
        <v>62</v>
      </c>
      <c r="J515" t="s">
        <v>37</v>
      </c>
      <c r="K515" s="2">
        <v>46164</v>
      </c>
      <c r="L515" s="2">
        <v>46254</v>
      </c>
      <c r="M515" t="s">
        <v>38</v>
      </c>
      <c r="N515" t="s">
        <v>55</v>
      </c>
      <c r="O515">
        <v>1</v>
      </c>
      <c r="P515" t="s">
        <v>39</v>
      </c>
      <c r="Q515" s="2">
        <v>46224</v>
      </c>
      <c r="R515" t="s">
        <v>38</v>
      </c>
    </row>
    <row r="516" spans="1:18" x14ac:dyDescent="0.2">
      <c r="A516" t="s">
        <v>1087</v>
      </c>
      <c r="B516" t="s">
        <v>1088</v>
      </c>
      <c r="C516" t="s">
        <v>31</v>
      </c>
      <c r="D516" t="s">
        <v>83</v>
      </c>
      <c r="E516" t="s">
        <v>91</v>
      </c>
      <c r="F516" t="s">
        <v>67</v>
      </c>
      <c r="G516" t="s">
        <v>118</v>
      </c>
      <c r="H516" t="s">
        <v>98</v>
      </c>
      <c r="I516" t="s">
        <v>106</v>
      </c>
      <c r="J516" t="s">
        <v>37</v>
      </c>
      <c r="K516" s="2">
        <v>45996</v>
      </c>
      <c r="L516" s="2">
        <v>46176</v>
      </c>
      <c r="M516" t="s">
        <v>38</v>
      </c>
      <c r="N516" t="s">
        <v>75</v>
      </c>
      <c r="O516">
        <v>5</v>
      </c>
      <c r="P516" t="s">
        <v>106</v>
      </c>
      <c r="Q516" s="2">
        <v>46241</v>
      </c>
      <c r="R516" t="s">
        <v>38</v>
      </c>
    </row>
    <row r="517" spans="1:18" x14ac:dyDescent="0.2">
      <c r="A517" t="s">
        <v>1089</v>
      </c>
      <c r="B517" t="s">
        <v>1090</v>
      </c>
      <c r="C517" t="s">
        <v>42</v>
      </c>
      <c r="D517" t="s">
        <v>43</v>
      </c>
      <c r="E517" t="s">
        <v>91</v>
      </c>
      <c r="F517" t="s">
        <v>67</v>
      </c>
      <c r="G517" t="s">
        <v>68</v>
      </c>
      <c r="H517" t="s">
        <v>98</v>
      </c>
      <c r="I517" t="s">
        <v>39</v>
      </c>
      <c r="J517" t="s">
        <v>37</v>
      </c>
      <c r="K517" s="2">
        <v>45845</v>
      </c>
      <c r="L517" s="2">
        <v>46210</v>
      </c>
      <c r="M517" t="s">
        <v>38</v>
      </c>
      <c r="N517" t="s">
        <v>49</v>
      </c>
      <c r="O517">
        <v>0</v>
      </c>
      <c r="P517" t="s">
        <v>56</v>
      </c>
      <c r="Q517" s="2">
        <v>46237</v>
      </c>
      <c r="R517" t="s">
        <v>57</v>
      </c>
    </row>
    <row r="518" spans="1:18" x14ac:dyDescent="0.2">
      <c r="A518" t="s">
        <v>1091</v>
      </c>
      <c r="B518" t="s">
        <v>1092</v>
      </c>
      <c r="C518" t="s">
        <v>42</v>
      </c>
      <c r="D518" t="s">
        <v>43</v>
      </c>
      <c r="E518" t="s">
        <v>91</v>
      </c>
      <c r="F518" t="s">
        <v>34</v>
      </c>
      <c r="G518" t="s">
        <v>35</v>
      </c>
      <c r="H518" t="s">
        <v>47</v>
      </c>
      <c r="I518" t="s">
        <v>54</v>
      </c>
      <c r="J518" t="s">
        <v>48</v>
      </c>
      <c r="K518" s="2">
        <v>45836</v>
      </c>
      <c r="L518" s="2">
        <v>46016</v>
      </c>
      <c r="M518" t="s">
        <v>38</v>
      </c>
      <c r="N518" t="s">
        <v>75</v>
      </c>
      <c r="O518">
        <v>0</v>
      </c>
      <c r="P518" t="s">
        <v>54</v>
      </c>
      <c r="Q518" s="2">
        <v>46316</v>
      </c>
      <c r="R518" t="s">
        <v>57</v>
      </c>
    </row>
    <row r="519" spans="1:18" x14ac:dyDescent="0.2">
      <c r="A519" t="s">
        <v>1093</v>
      </c>
      <c r="B519" t="s">
        <v>1094</v>
      </c>
      <c r="C519" t="s">
        <v>31</v>
      </c>
      <c r="D519" t="s">
        <v>32</v>
      </c>
      <c r="E519" t="s">
        <v>44</v>
      </c>
      <c r="F519" t="s">
        <v>67</v>
      </c>
      <c r="G519" t="s">
        <v>68</v>
      </c>
      <c r="H519" t="s">
        <v>36</v>
      </c>
      <c r="I519" t="s">
        <v>106</v>
      </c>
      <c r="J519" t="s">
        <v>37</v>
      </c>
      <c r="K519" s="2">
        <v>45825</v>
      </c>
      <c r="L519" s="2">
        <v>46190</v>
      </c>
      <c r="M519" t="s">
        <v>38</v>
      </c>
      <c r="N519" t="s">
        <v>75</v>
      </c>
      <c r="O519">
        <v>0</v>
      </c>
      <c r="P519" t="s">
        <v>111</v>
      </c>
      <c r="Q519" s="2">
        <v>46255</v>
      </c>
      <c r="R519" t="s">
        <v>57</v>
      </c>
    </row>
    <row r="520" spans="1:18" x14ac:dyDescent="0.2">
      <c r="A520" t="s">
        <v>1095</v>
      </c>
      <c r="B520" t="s">
        <v>1096</v>
      </c>
      <c r="C520" t="s">
        <v>78</v>
      </c>
      <c r="D520" t="s">
        <v>79</v>
      </c>
      <c r="E520" t="s">
        <v>53</v>
      </c>
      <c r="F520" t="s">
        <v>34</v>
      </c>
      <c r="G520" t="s">
        <v>35</v>
      </c>
      <c r="H520" t="s">
        <v>36</v>
      </c>
      <c r="I520" t="s">
        <v>70</v>
      </c>
      <c r="J520" t="s">
        <v>63</v>
      </c>
      <c r="K520" s="2">
        <v>45853</v>
      </c>
      <c r="L520" s="2">
        <v>45943</v>
      </c>
      <c r="M520" t="s">
        <v>38</v>
      </c>
      <c r="N520" t="s">
        <v>49</v>
      </c>
      <c r="O520">
        <v>2</v>
      </c>
      <c r="P520" t="s">
        <v>106</v>
      </c>
      <c r="Q520" s="2">
        <v>46374</v>
      </c>
      <c r="R520" t="s">
        <v>64</v>
      </c>
    </row>
    <row r="521" spans="1:18" x14ac:dyDescent="0.2">
      <c r="A521" t="s">
        <v>1097</v>
      </c>
      <c r="B521" t="s">
        <v>1098</v>
      </c>
      <c r="C521" t="s">
        <v>42</v>
      </c>
      <c r="D521" t="s">
        <v>43</v>
      </c>
      <c r="E521" t="s">
        <v>105</v>
      </c>
      <c r="F521" t="s">
        <v>67</v>
      </c>
      <c r="G521" t="s">
        <v>68</v>
      </c>
      <c r="H521" t="s">
        <v>88</v>
      </c>
      <c r="I521" t="s">
        <v>50</v>
      </c>
      <c r="J521" t="s">
        <v>63</v>
      </c>
      <c r="K521" s="2">
        <v>45953</v>
      </c>
      <c r="L521" s="2">
        <v>46133</v>
      </c>
      <c r="M521" t="s">
        <v>38</v>
      </c>
      <c r="N521" t="s">
        <v>49</v>
      </c>
      <c r="O521">
        <v>1</v>
      </c>
      <c r="P521" t="s">
        <v>70</v>
      </c>
      <c r="Q521" s="2">
        <v>46116</v>
      </c>
      <c r="R521" t="s">
        <v>38</v>
      </c>
    </row>
    <row r="522" spans="1:18" x14ac:dyDescent="0.2">
      <c r="A522" t="s">
        <v>1099</v>
      </c>
      <c r="B522" t="s">
        <v>1100</v>
      </c>
      <c r="C522" t="s">
        <v>31</v>
      </c>
      <c r="D522" t="s">
        <v>83</v>
      </c>
      <c r="E522" t="s">
        <v>44</v>
      </c>
      <c r="F522" t="s">
        <v>45</v>
      </c>
      <c r="G522" t="s">
        <v>46</v>
      </c>
      <c r="H522" t="s">
        <v>88</v>
      </c>
      <c r="J522" t="s">
        <v>48</v>
      </c>
      <c r="K522" s="2">
        <v>45882</v>
      </c>
      <c r="L522" s="2">
        <v>46247</v>
      </c>
      <c r="M522" t="s">
        <v>38</v>
      </c>
      <c r="N522" t="s">
        <v>55</v>
      </c>
      <c r="O522">
        <v>3</v>
      </c>
      <c r="P522" t="s">
        <v>106</v>
      </c>
      <c r="Q522" s="2">
        <v>46278</v>
      </c>
      <c r="R522" t="s">
        <v>38</v>
      </c>
    </row>
    <row r="523" spans="1:18" x14ac:dyDescent="0.2">
      <c r="A523" t="s">
        <v>1101</v>
      </c>
      <c r="B523" t="s">
        <v>1102</v>
      </c>
      <c r="C523" t="s">
        <v>103</v>
      </c>
      <c r="D523" t="s">
        <v>104</v>
      </c>
      <c r="E523" t="s">
        <v>105</v>
      </c>
      <c r="F523" t="s">
        <v>67</v>
      </c>
      <c r="G523" t="s">
        <v>68</v>
      </c>
      <c r="H523" t="s">
        <v>88</v>
      </c>
      <c r="I523" t="s">
        <v>50</v>
      </c>
      <c r="J523" t="s">
        <v>37</v>
      </c>
      <c r="K523" s="2">
        <v>46074</v>
      </c>
      <c r="L523" s="2">
        <v>46254</v>
      </c>
      <c r="M523" t="s">
        <v>38</v>
      </c>
      <c r="N523" t="s">
        <v>49</v>
      </c>
      <c r="O523">
        <v>1</v>
      </c>
      <c r="P523" t="s">
        <v>54</v>
      </c>
      <c r="Q523" s="2">
        <v>46125</v>
      </c>
      <c r="R523" t="s">
        <v>38</v>
      </c>
    </row>
    <row r="524" spans="1:18" x14ac:dyDescent="0.2">
      <c r="A524" t="s">
        <v>1103</v>
      </c>
      <c r="B524" t="s">
        <v>1104</v>
      </c>
      <c r="C524" t="s">
        <v>31</v>
      </c>
      <c r="D524" t="s">
        <v>83</v>
      </c>
      <c r="E524" t="s">
        <v>105</v>
      </c>
      <c r="F524" t="s">
        <v>67</v>
      </c>
      <c r="G524" t="s">
        <v>68</v>
      </c>
      <c r="H524" t="s">
        <v>88</v>
      </c>
      <c r="I524" t="s">
        <v>62</v>
      </c>
      <c r="J524" t="s">
        <v>48</v>
      </c>
      <c r="K524" s="2">
        <v>45968</v>
      </c>
      <c r="L524" s="2">
        <v>46148</v>
      </c>
      <c r="M524" t="s">
        <v>38</v>
      </c>
      <c r="N524" t="s">
        <v>55</v>
      </c>
      <c r="O524">
        <v>0</v>
      </c>
      <c r="P524" t="s">
        <v>39</v>
      </c>
      <c r="Q524" s="2">
        <v>46303</v>
      </c>
      <c r="R524" t="s">
        <v>57</v>
      </c>
    </row>
    <row r="525" spans="1:18" x14ac:dyDescent="0.2">
      <c r="A525" t="s">
        <v>1105</v>
      </c>
      <c r="B525" t="s">
        <v>1106</v>
      </c>
      <c r="C525" t="s">
        <v>78</v>
      </c>
      <c r="D525" t="s">
        <v>79</v>
      </c>
      <c r="E525" t="s">
        <v>80</v>
      </c>
      <c r="F525" t="s">
        <v>34</v>
      </c>
      <c r="G525" t="s">
        <v>35</v>
      </c>
      <c r="H525" t="s">
        <v>36</v>
      </c>
      <c r="I525" t="s">
        <v>111</v>
      </c>
      <c r="J525" t="s">
        <v>48</v>
      </c>
      <c r="K525" s="2">
        <v>46215</v>
      </c>
      <c r="L525" s="2">
        <v>46305</v>
      </c>
      <c r="M525" t="s">
        <v>84</v>
      </c>
      <c r="N525" t="s">
        <v>75</v>
      </c>
      <c r="O525">
        <v>2</v>
      </c>
      <c r="P525" t="s">
        <v>54</v>
      </c>
      <c r="Q525" s="2">
        <v>46368</v>
      </c>
      <c r="R525" t="s">
        <v>84</v>
      </c>
    </row>
    <row r="526" spans="1:18" x14ac:dyDescent="0.2">
      <c r="A526" t="s">
        <v>1107</v>
      </c>
      <c r="B526" t="s">
        <v>1108</v>
      </c>
      <c r="C526" t="s">
        <v>96</v>
      </c>
      <c r="D526" t="s">
        <v>97</v>
      </c>
      <c r="E526" t="s">
        <v>80</v>
      </c>
      <c r="F526" t="s">
        <v>67</v>
      </c>
      <c r="G526" t="s">
        <v>68</v>
      </c>
      <c r="H526" t="s">
        <v>47</v>
      </c>
      <c r="I526" t="s">
        <v>50</v>
      </c>
      <c r="J526" t="s">
        <v>48</v>
      </c>
      <c r="K526" s="2">
        <v>46261</v>
      </c>
      <c r="L526" s="2">
        <v>46441</v>
      </c>
      <c r="M526" t="s">
        <v>84</v>
      </c>
      <c r="N526" t="s">
        <v>49</v>
      </c>
      <c r="O526">
        <v>3</v>
      </c>
      <c r="P526" t="s">
        <v>111</v>
      </c>
      <c r="Q526" s="2">
        <v>46242</v>
      </c>
      <c r="R526" t="s">
        <v>38</v>
      </c>
    </row>
    <row r="527" spans="1:18" x14ac:dyDescent="0.2">
      <c r="A527" t="s">
        <v>1109</v>
      </c>
      <c r="B527" t="s">
        <v>1110</v>
      </c>
      <c r="C527" t="s">
        <v>31</v>
      </c>
      <c r="D527" t="s">
        <v>87</v>
      </c>
      <c r="E527" t="s">
        <v>91</v>
      </c>
      <c r="F527" t="s">
        <v>45</v>
      </c>
      <c r="G527" t="s">
        <v>61</v>
      </c>
      <c r="H527" t="s">
        <v>88</v>
      </c>
      <c r="I527" t="s">
        <v>54</v>
      </c>
      <c r="J527" t="s">
        <v>37</v>
      </c>
      <c r="K527" s="2">
        <v>45910</v>
      </c>
      <c r="L527" s="2">
        <v>46090</v>
      </c>
      <c r="M527" t="s">
        <v>38</v>
      </c>
      <c r="N527" t="s">
        <v>49</v>
      </c>
      <c r="O527">
        <v>3</v>
      </c>
      <c r="P527" t="s">
        <v>54</v>
      </c>
      <c r="Q527" s="2">
        <v>46246</v>
      </c>
      <c r="R527" t="s">
        <v>64</v>
      </c>
    </row>
    <row r="528" spans="1:18" x14ac:dyDescent="0.2">
      <c r="A528" t="s">
        <v>1111</v>
      </c>
      <c r="B528" t="s">
        <v>1112</v>
      </c>
      <c r="C528" t="s">
        <v>31</v>
      </c>
      <c r="D528" t="s">
        <v>83</v>
      </c>
      <c r="E528" t="s">
        <v>60</v>
      </c>
      <c r="F528" t="s">
        <v>67</v>
      </c>
      <c r="G528" t="s">
        <v>118</v>
      </c>
      <c r="H528" t="s">
        <v>98</v>
      </c>
      <c r="I528" t="s">
        <v>39</v>
      </c>
      <c r="J528" t="s">
        <v>48</v>
      </c>
      <c r="K528" s="2">
        <v>46273</v>
      </c>
      <c r="L528" s="2">
        <v>46453</v>
      </c>
      <c r="M528" t="s">
        <v>64</v>
      </c>
      <c r="N528" t="s">
        <v>75</v>
      </c>
      <c r="O528">
        <v>2</v>
      </c>
      <c r="P528" t="s">
        <v>50</v>
      </c>
      <c r="Q528" s="2">
        <v>46317</v>
      </c>
      <c r="R528" t="s">
        <v>84</v>
      </c>
    </row>
    <row r="529" spans="1:18" x14ac:dyDescent="0.2">
      <c r="A529" t="s">
        <v>1113</v>
      </c>
      <c r="B529" t="s">
        <v>1114</v>
      </c>
      <c r="C529" t="s">
        <v>78</v>
      </c>
      <c r="D529" t="s">
        <v>79</v>
      </c>
      <c r="E529" t="s">
        <v>60</v>
      </c>
      <c r="F529" t="s">
        <v>67</v>
      </c>
      <c r="G529" t="s">
        <v>68</v>
      </c>
      <c r="H529" t="s">
        <v>88</v>
      </c>
      <c r="I529" t="s">
        <v>106</v>
      </c>
      <c r="J529" t="s">
        <v>37</v>
      </c>
      <c r="K529" s="2">
        <v>45826</v>
      </c>
      <c r="L529" s="2">
        <v>46006</v>
      </c>
      <c r="M529" t="s">
        <v>38</v>
      </c>
      <c r="N529" t="s">
        <v>55</v>
      </c>
      <c r="O529">
        <v>0</v>
      </c>
      <c r="P529" t="s">
        <v>70</v>
      </c>
      <c r="Q529" s="2">
        <v>46277</v>
      </c>
      <c r="R529" t="s">
        <v>57</v>
      </c>
    </row>
    <row r="530" spans="1:18" x14ac:dyDescent="0.2">
      <c r="A530" t="s">
        <v>1115</v>
      </c>
      <c r="B530" t="s">
        <v>1116</v>
      </c>
      <c r="C530" t="s">
        <v>42</v>
      </c>
      <c r="D530" t="s">
        <v>43</v>
      </c>
      <c r="E530" t="s">
        <v>44</v>
      </c>
      <c r="F530" t="s">
        <v>67</v>
      </c>
      <c r="G530" t="s">
        <v>68</v>
      </c>
      <c r="H530" t="s">
        <v>88</v>
      </c>
      <c r="I530" t="s">
        <v>56</v>
      </c>
      <c r="J530" t="s">
        <v>37</v>
      </c>
      <c r="K530" s="2">
        <v>45893</v>
      </c>
      <c r="L530" s="2">
        <v>46073</v>
      </c>
      <c r="M530" t="s">
        <v>38</v>
      </c>
      <c r="N530" t="s">
        <v>75</v>
      </c>
      <c r="O530">
        <v>2</v>
      </c>
      <c r="P530" t="s">
        <v>62</v>
      </c>
      <c r="Q530" s="2">
        <v>46249</v>
      </c>
      <c r="R530" t="s">
        <v>38</v>
      </c>
    </row>
    <row r="531" spans="1:18" x14ac:dyDescent="0.2">
      <c r="A531" t="s">
        <v>1117</v>
      </c>
      <c r="B531" t="s">
        <v>1118</v>
      </c>
      <c r="C531" t="s">
        <v>31</v>
      </c>
      <c r="D531" t="s">
        <v>83</v>
      </c>
      <c r="E531" t="s">
        <v>91</v>
      </c>
      <c r="F531" t="s">
        <v>45</v>
      </c>
      <c r="G531" t="s">
        <v>61</v>
      </c>
      <c r="H531" t="s">
        <v>98</v>
      </c>
      <c r="I531" t="s">
        <v>50</v>
      </c>
      <c r="J531" t="s">
        <v>37</v>
      </c>
      <c r="K531" s="2">
        <v>45991</v>
      </c>
      <c r="L531" s="2">
        <v>46356</v>
      </c>
      <c r="M531" t="s">
        <v>69</v>
      </c>
      <c r="N531" t="s">
        <v>55</v>
      </c>
      <c r="O531">
        <v>1</v>
      </c>
      <c r="P531" t="s">
        <v>56</v>
      </c>
      <c r="Q531" s="2">
        <v>46191</v>
      </c>
      <c r="R531" t="s">
        <v>64</v>
      </c>
    </row>
    <row r="532" spans="1:18" x14ac:dyDescent="0.2">
      <c r="A532" t="s">
        <v>1119</v>
      </c>
      <c r="B532" t="s">
        <v>1120</v>
      </c>
      <c r="C532" t="s">
        <v>31</v>
      </c>
      <c r="D532" t="s">
        <v>83</v>
      </c>
      <c r="E532" t="s">
        <v>80</v>
      </c>
      <c r="F532" t="s">
        <v>45</v>
      </c>
      <c r="G532" t="s">
        <v>61</v>
      </c>
      <c r="H532" t="s">
        <v>47</v>
      </c>
      <c r="I532" t="s">
        <v>111</v>
      </c>
      <c r="J532" t="s">
        <v>37</v>
      </c>
      <c r="K532" s="2">
        <v>46255</v>
      </c>
      <c r="L532" s="2">
        <v>46435</v>
      </c>
      <c r="M532" t="s">
        <v>64</v>
      </c>
      <c r="N532" t="s">
        <v>49</v>
      </c>
      <c r="O532">
        <v>3</v>
      </c>
      <c r="P532" t="s">
        <v>70</v>
      </c>
      <c r="Q532" s="2">
        <v>46349</v>
      </c>
      <c r="R532" t="s">
        <v>84</v>
      </c>
    </row>
    <row r="533" spans="1:18" x14ac:dyDescent="0.2">
      <c r="A533" t="s">
        <v>1121</v>
      </c>
      <c r="B533" t="s">
        <v>1122</v>
      </c>
      <c r="C533" t="s">
        <v>31</v>
      </c>
      <c r="D533" t="s">
        <v>32</v>
      </c>
      <c r="E533" t="s">
        <v>44</v>
      </c>
      <c r="F533" t="s">
        <v>45</v>
      </c>
      <c r="G533" t="s">
        <v>61</v>
      </c>
      <c r="H533" t="s">
        <v>36</v>
      </c>
      <c r="I533" t="s">
        <v>56</v>
      </c>
      <c r="J533" t="s">
        <v>37</v>
      </c>
      <c r="K533" s="2">
        <v>45987</v>
      </c>
      <c r="L533" s="2">
        <v>46352</v>
      </c>
      <c r="M533" t="s">
        <v>84</v>
      </c>
      <c r="N533" t="s">
        <v>49</v>
      </c>
      <c r="O533">
        <v>4</v>
      </c>
      <c r="P533" t="s">
        <v>70</v>
      </c>
      <c r="Q533" s="2">
        <v>46207</v>
      </c>
      <c r="R533" t="s">
        <v>38</v>
      </c>
    </row>
    <row r="534" spans="1:18" x14ac:dyDescent="0.2">
      <c r="A534" t="s">
        <v>1123</v>
      </c>
      <c r="B534" t="s">
        <v>1124</v>
      </c>
      <c r="C534" t="s">
        <v>31</v>
      </c>
      <c r="D534" t="s">
        <v>83</v>
      </c>
      <c r="E534" t="s">
        <v>53</v>
      </c>
      <c r="F534" t="s">
        <v>67</v>
      </c>
      <c r="G534" t="s">
        <v>68</v>
      </c>
      <c r="H534" t="s">
        <v>88</v>
      </c>
      <c r="I534" t="s">
        <v>70</v>
      </c>
      <c r="J534" t="s">
        <v>48</v>
      </c>
      <c r="K534" s="2">
        <v>46074</v>
      </c>
      <c r="L534" s="2">
        <v>46254</v>
      </c>
      <c r="M534" t="s">
        <v>38</v>
      </c>
      <c r="N534" t="s">
        <v>49</v>
      </c>
      <c r="O534">
        <v>0</v>
      </c>
      <c r="P534" t="s">
        <v>111</v>
      </c>
      <c r="Q534" s="2">
        <v>46280</v>
      </c>
      <c r="R534" t="s">
        <v>57</v>
      </c>
    </row>
    <row r="535" spans="1:18" x14ac:dyDescent="0.2">
      <c r="A535" t="s">
        <v>1125</v>
      </c>
      <c r="B535" t="s">
        <v>1126</v>
      </c>
      <c r="C535" t="s">
        <v>31</v>
      </c>
      <c r="D535" t="s">
        <v>83</v>
      </c>
      <c r="E535" t="s">
        <v>80</v>
      </c>
      <c r="F535" t="s">
        <v>34</v>
      </c>
      <c r="G535" t="s">
        <v>35</v>
      </c>
      <c r="H535" t="s">
        <v>88</v>
      </c>
      <c r="I535" t="s">
        <v>56</v>
      </c>
      <c r="J535" t="s">
        <v>48</v>
      </c>
      <c r="K535" s="2">
        <v>45971</v>
      </c>
      <c r="L535" s="2">
        <v>46336</v>
      </c>
      <c r="M535" t="s">
        <v>64</v>
      </c>
      <c r="N535" t="s">
        <v>55</v>
      </c>
      <c r="O535">
        <v>3</v>
      </c>
      <c r="P535" t="s">
        <v>56</v>
      </c>
      <c r="Q535" s="2">
        <v>46281</v>
      </c>
      <c r="R535" t="s">
        <v>38</v>
      </c>
    </row>
    <row r="536" spans="1:18" x14ac:dyDescent="0.2">
      <c r="A536" t="s">
        <v>1127</v>
      </c>
      <c r="B536" t="s">
        <v>1128</v>
      </c>
      <c r="C536" t="s">
        <v>103</v>
      </c>
      <c r="D536" t="s">
        <v>104</v>
      </c>
      <c r="E536" t="s">
        <v>91</v>
      </c>
      <c r="F536" t="s">
        <v>67</v>
      </c>
      <c r="G536" t="s">
        <v>68</v>
      </c>
      <c r="H536" t="s">
        <v>47</v>
      </c>
      <c r="I536" t="s">
        <v>62</v>
      </c>
      <c r="J536" t="s">
        <v>37</v>
      </c>
      <c r="K536" s="2">
        <v>46228</v>
      </c>
      <c r="L536" s="2">
        <v>46408</v>
      </c>
      <c r="M536" t="s">
        <v>64</v>
      </c>
      <c r="N536" t="s">
        <v>55</v>
      </c>
      <c r="O536">
        <v>3</v>
      </c>
      <c r="P536" t="s">
        <v>62</v>
      </c>
      <c r="Q536" s="2">
        <v>46160</v>
      </c>
      <c r="R536" t="s">
        <v>64</v>
      </c>
    </row>
    <row r="537" spans="1:18" x14ac:dyDescent="0.2">
      <c r="A537" t="s">
        <v>1129</v>
      </c>
      <c r="B537" t="s">
        <v>1130</v>
      </c>
      <c r="C537" t="s">
        <v>73</v>
      </c>
      <c r="D537" t="s">
        <v>74</v>
      </c>
      <c r="E537" t="s">
        <v>105</v>
      </c>
      <c r="F537" t="s">
        <v>67</v>
      </c>
      <c r="G537" t="s">
        <v>68</v>
      </c>
      <c r="H537" t="s">
        <v>47</v>
      </c>
      <c r="I537" t="s">
        <v>62</v>
      </c>
      <c r="J537" t="s">
        <v>48</v>
      </c>
      <c r="K537" s="2">
        <v>45899</v>
      </c>
      <c r="L537" s="2">
        <v>46079</v>
      </c>
      <c r="M537" t="s">
        <v>38</v>
      </c>
      <c r="N537" t="s">
        <v>49</v>
      </c>
      <c r="O537">
        <v>1</v>
      </c>
      <c r="P537" t="s">
        <v>111</v>
      </c>
      <c r="Q537" s="2">
        <v>46298</v>
      </c>
      <c r="R537" t="s">
        <v>84</v>
      </c>
    </row>
    <row r="538" spans="1:18" x14ac:dyDescent="0.2">
      <c r="A538" t="s">
        <v>1131</v>
      </c>
      <c r="B538" t="s">
        <v>1132</v>
      </c>
      <c r="C538" t="s">
        <v>73</v>
      </c>
      <c r="D538" t="s">
        <v>74</v>
      </c>
      <c r="E538" t="s">
        <v>80</v>
      </c>
      <c r="F538" t="s">
        <v>67</v>
      </c>
      <c r="G538" t="s">
        <v>118</v>
      </c>
      <c r="H538" t="s">
        <v>47</v>
      </c>
      <c r="I538" t="s">
        <v>62</v>
      </c>
      <c r="J538" t="s">
        <v>63</v>
      </c>
      <c r="K538" s="2">
        <v>46229</v>
      </c>
      <c r="L538" s="2">
        <v>46409</v>
      </c>
      <c r="M538" t="s">
        <v>84</v>
      </c>
      <c r="N538" t="s">
        <v>75</v>
      </c>
      <c r="O538">
        <v>3</v>
      </c>
      <c r="P538" t="s">
        <v>54</v>
      </c>
      <c r="Q538" s="2">
        <v>46162</v>
      </c>
      <c r="R538" t="s">
        <v>64</v>
      </c>
    </row>
    <row r="539" spans="1:18" x14ac:dyDescent="0.2">
      <c r="A539" t="s">
        <v>1133</v>
      </c>
      <c r="B539" t="s">
        <v>1134</v>
      </c>
      <c r="C539" t="s">
        <v>42</v>
      </c>
      <c r="D539" t="s">
        <v>43</v>
      </c>
      <c r="E539" t="s">
        <v>80</v>
      </c>
      <c r="F539" t="s">
        <v>34</v>
      </c>
      <c r="G539" t="s">
        <v>35</v>
      </c>
      <c r="H539" t="s">
        <v>88</v>
      </c>
      <c r="I539" t="s">
        <v>70</v>
      </c>
      <c r="J539" t="s">
        <v>48</v>
      </c>
      <c r="K539" s="2">
        <v>46127</v>
      </c>
      <c r="L539" s="2">
        <v>46307</v>
      </c>
      <c r="M539" t="s">
        <v>64</v>
      </c>
      <c r="N539" t="s">
        <v>75</v>
      </c>
      <c r="O539">
        <v>2</v>
      </c>
      <c r="P539" t="s">
        <v>62</v>
      </c>
      <c r="Q539" s="2">
        <v>46191</v>
      </c>
      <c r="R539" t="s">
        <v>38</v>
      </c>
    </row>
    <row r="540" spans="1:18" x14ac:dyDescent="0.2">
      <c r="A540" t="s">
        <v>1135</v>
      </c>
      <c r="B540" t="s">
        <v>1136</v>
      </c>
      <c r="C540" t="s">
        <v>42</v>
      </c>
      <c r="D540" t="s">
        <v>43</v>
      </c>
      <c r="E540" t="s">
        <v>60</v>
      </c>
      <c r="F540" t="s">
        <v>67</v>
      </c>
      <c r="G540" t="s">
        <v>68</v>
      </c>
      <c r="H540" t="s">
        <v>47</v>
      </c>
      <c r="I540" t="s">
        <v>39</v>
      </c>
      <c r="J540" t="s">
        <v>37</v>
      </c>
      <c r="K540" s="2">
        <v>46013</v>
      </c>
      <c r="L540" s="2">
        <v>46103</v>
      </c>
      <c r="M540" t="s">
        <v>38</v>
      </c>
      <c r="N540" t="s">
        <v>49</v>
      </c>
      <c r="O540">
        <v>3</v>
      </c>
      <c r="P540" t="s">
        <v>70</v>
      </c>
      <c r="Q540" s="2">
        <v>46326</v>
      </c>
      <c r="R540" t="s">
        <v>64</v>
      </c>
    </row>
    <row r="541" spans="1:18" x14ac:dyDescent="0.2">
      <c r="A541" t="s">
        <v>1137</v>
      </c>
      <c r="B541" t="s">
        <v>1138</v>
      </c>
      <c r="C541" t="s">
        <v>78</v>
      </c>
      <c r="D541" t="s">
        <v>79</v>
      </c>
      <c r="E541" t="s">
        <v>105</v>
      </c>
      <c r="F541" t="s">
        <v>34</v>
      </c>
      <c r="G541" t="s">
        <v>35</v>
      </c>
      <c r="H541" t="s">
        <v>36</v>
      </c>
      <c r="I541" t="s">
        <v>111</v>
      </c>
      <c r="J541" t="s">
        <v>37</v>
      </c>
      <c r="K541" s="2">
        <v>46184</v>
      </c>
      <c r="L541" s="2">
        <v>46274</v>
      </c>
      <c r="M541" t="s">
        <v>38</v>
      </c>
      <c r="N541" t="s">
        <v>75</v>
      </c>
      <c r="O541">
        <v>0</v>
      </c>
      <c r="P541" t="s">
        <v>106</v>
      </c>
      <c r="Q541" s="2">
        <v>46157</v>
      </c>
      <c r="R541" t="s">
        <v>57</v>
      </c>
    </row>
    <row r="542" spans="1:18" x14ac:dyDescent="0.2">
      <c r="A542" t="s">
        <v>1139</v>
      </c>
      <c r="B542" t="s">
        <v>1140</v>
      </c>
      <c r="C542" t="s">
        <v>42</v>
      </c>
      <c r="D542" t="s">
        <v>43</v>
      </c>
      <c r="E542" t="s">
        <v>91</v>
      </c>
      <c r="F542" t="s">
        <v>34</v>
      </c>
      <c r="G542" t="s">
        <v>35</v>
      </c>
      <c r="H542" t="s">
        <v>88</v>
      </c>
      <c r="I542" t="s">
        <v>56</v>
      </c>
      <c r="J542" t="s">
        <v>63</v>
      </c>
      <c r="K542" s="2">
        <v>46101</v>
      </c>
      <c r="L542" s="2">
        <v>46191</v>
      </c>
      <c r="M542" t="s">
        <v>38</v>
      </c>
      <c r="N542" t="s">
        <v>55</v>
      </c>
      <c r="O542">
        <v>1</v>
      </c>
      <c r="P542" t="s">
        <v>70</v>
      </c>
      <c r="Q542" s="2">
        <v>46155</v>
      </c>
      <c r="R542" t="s">
        <v>38</v>
      </c>
    </row>
    <row r="543" spans="1:18" x14ac:dyDescent="0.2">
      <c r="A543" t="s">
        <v>1141</v>
      </c>
      <c r="B543" t="s">
        <v>1142</v>
      </c>
      <c r="C543" t="s">
        <v>73</v>
      </c>
      <c r="D543" t="s">
        <v>74</v>
      </c>
      <c r="E543" t="s">
        <v>105</v>
      </c>
      <c r="F543" t="s">
        <v>67</v>
      </c>
      <c r="G543" t="s">
        <v>68</v>
      </c>
      <c r="H543" t="s">
        <v>88</v>
      </c>
      <c r="I543" t="s">
        <v>39</v>
      </c>
      <c r="J543" t="s">
        <v>63</v>
      </c>
      <c r="K543" s="2">
        <v>46188</v>
      </c>
      <c r="L543" s="2">
        <v>46553</v>
      </c>
      <c r="M543" t="s">
        <v>64</v>
      </c>
      <c r="N543" t="s">
        <v>49</v>
      </c>
      <c r="O543">
        <v>3</v>
      </c>
      <c r="P543" t="s">
        <v>62</v>
      </c>
      <c r="Q543" s="2">
        <v>46364</v>
      </c>
      <c r="R543" t="s">
        <v>64</v>
      </c>
    </row>
    <row r="544" spans="1:18" x14ac:dyDescent="0.2">
      <c r="A544" t="s">
        <v>1143</v>
      </c>
      <c r="B544" t="s">
        <v>1144</v>
      </c>
      <c r="C544" t="s">
        <v>103</v>
      </c>
      <c r="D544" t="s">
        <v>104</v>
      </c>
      <c r="E544" t="s">
        <v>44</v>
      </c>
      <c r="F544" t="s">
        <v>67</v>
      </c>
      <c r="G544" t="s">
        <v>68</v>
      </c>
      <c r="H544" t="s">
        <v>47</v>
      </c>
      <c r="I544" t="s">
        <v>54</v>
      </c>
      <c r="J544" t="s">
        <v>63</v>
      </c>
      <c r="K544" s="2">
        <v>46218</v>
      </c>
      <c r="L544" s="2">
        <v>46308</v>
      </c>
      <c r="M544" t="s">
        <v>84</v>
      </c>
      <c r="N544" t="s">
        <v>55</v>
      </c>
      <c r="O544">
        <v>1</v>
      </c>
      <c r="P544" t="s">
        <v>54</v>
      </c>
      <c r="Q544" s="2">
        <v>46361</v>
      </c>
      <c r="R544" t="s">
        <v>84</v>
      </c>
    </row>
    <row r="545" spans="1:18" x14ac:dyDescent="0.2">
      <c r="A545" t="s">
        <v>1145</v>
      </c>
      <c r="B545" t="s">
        <v>1146</v>
      </c>
      <c r="C545" t="s">
        <v>96</v>
      </c>
      <c r="D545" t="s">
        <v>97</v>
      </c>
      <c r="E545" t="s">
        <v>80</v>
      </c>
      <c r="F545" t="s">
        <v>45</v>
      </c>
      <c r="G545" t="s">
        <v>61</v>
      </c>
      <c r="H545" t="s">
        <v>47</v>
      </c>
      <c r="I545" t="s">
        <v>62</v>
      </c>
      <c r="J545" t="s">
        <v>48</v>
      </c>
      <c r="K545" s="2">
        <v>46264</v>
      </c>
      <c r="L545" s="2">
        <v>46354</v>
      </c>
      <c r="M545" t="s">
        <v>64</v>
      </c>
      <c r="N545" t="s">
        <v>55</v>
      </c>
      <c r="O545">
        <v>3</v>
      </c>
      <c r="P545" t="s">
        <v>54</v>
      </c>
      <c r="Q545" s="2">
        <v>46363</v>
      </c>
      <c r="R545" t="s">
        <v>84</v>
      </c>
    </row>
    <row r="546" spans="1:18" x14ac:dyDescent="0.2">
      <c r="A546" t="s">
        <v>1147</v>
      </c>
      <c r="B546" t="s">
        <v>1148</v>
      </c>
      <c r="C546" t="s">
        <v>42</v>
      </c>
      <c r="D546" t="s">
        <v>43</v>
      </c>
      <c r="E546" t="s">
        <v>105</v>
      </c>
      <c r="F546" t="s">
        <v>67</v>
      </c>
      <c r="G546" t="s">
        <v>118</v>
      </c>
      <c r="H546" t="s">
        <v>88</v>
      </c>
      <c r="I546" t="s">
        <v>70</v>
      </c>
      <c r="J546" t="s">
        <v>37</v>
      </c>
      <c r="K546" s="2">
        <v>45953</v>
      </c>
      <c r="L546" s="2">
        <v>46318</v>
      </c>
      <c r="M546" t="s">
        <v>64</v>
      </c>
      <c r="N546" t="s">
        <v>75</v>
      </c>
      <c r="O546">
        <v>3</v>
      </c>
      <c r="P546" t="s">
        <v>62</v>
      </c>
      <c r="Q546" s="2">
        <v>46411</v>
      </c>
      <c r="R546" t="s">
        <v>84</v>
      </c>
    </row>
    <row r="547" spans="1:18" x14ac:dyDescent="0.2">
      <c r="A547" t="s">
        <v>1149</v>
      </c>
      <c r="B547" t="s">
        <v>1150</v>
      </c>
      <c r="C547" t="s">
        <v>31</v>
      </c>
      <c r="D547" t="s">
        <v>32</v>
      </c>
      <c r="E547" t="s">
        <v>44</v>
      </c>
      <c r="F547" t="s">
        <v>67</v>
      </c>
      <c r="G547" t="s">
        <v>118</v>
      </c>
      <c r="H547" t="s">
        <v>36</v>
      </c>
      <c r="I547" t="s">
        <v>39</v>
      </c>
      <c r="J547" t="s">
        <v>63</v>
      </c>
      <c r="K547" s="2">
        <v>46059</v>
      </c>
      <c r="L547" s="2">
        <v>46424</v>
      </c>
      <c r="M547" t="s">
        <v>64</v>
      </c>
      <c r="N547" t="s">
        <v>55</v>
      </c>
      <c r="O547">
        <v>2</v>
      </c>
      <c r="P547" t="s">
        <v>106</v>
      </c>
      <c r="Q547" s="2">
        <v>46328</v>
      </c>
      <c r="R547" t="s">
        <v>84</v>
      </c>
    </row>
    <row r="548" spans="1:18" x14ac:dyDescent="0.2">
      <c r="A548" t="s">
        <v>1151</v>
      </c>
      <c r="B548" t="s">
        <v>1152</v>
      </c>
      <c r="C548" t="s">
        <v>73</v>
      </c>
      <c r="D548" t="s">
        <v>74</v>
      </c>
      <c r="E548" t="s">
        <v>105</v>
      </c>
      <c r="F548" t="s">
        <v>67</v>
      </c>
      <c r="G548" t="s">
        <v>118</v>
      </c>
      <c r="H548" t="s">
        <v>47</v>
      </c>
      <c r="I548" t="s">
        <v>54</v>
      </c>
      <c r="J548" t="s">
        <v>63</v>
      </c>
      <c r="K548" s="2">
        <v>46035</v>
      </c>
      <c r="L548" s="2">
        <v>46215</v>
      </c>
      <c r="M548" t="s">
        <v>38</v>
      </c>
      <c r="N548" t="s">
        <v>75</v>
      </c>
      <c r="O548">
        <v>1</v>
      </c>
      <c r="P548" t="s">
        <v>111</v>
      </c>
      <c r="Q548" s="2">
        <v>46374</v>
      </c>
      <c r="R548" t="s">
        <v>64</v>
      </c>
    </row>
    <row r="549" spans="1:18" x14ac:dyDescent="0.2">
      <c r="A549" t="s">
        <v>1153</v>
      </c>
      <c r="B549" t="s">
        <v>1154</v>
      </c>
      <c r="C549" t="s">
        <v>31</v>
      </c>
      <c r="D549" t="s">
        <v>83</v>
      </c>
      <c r="E549" t="s">
        <v>91</v>
      </c>
      <c r="F549" t="s">
        <v>45</v>
      </c>
      <c r="G549" t="s">
        <v>61</v>
      </c>
      <c r="H549" t="s">
        <v>36</v>
      </c>
      <c r="I549" t="s">
        <v>62</v>
      </c>
      <c r="J549" t="s">
        <v>48</v>
      </c>
      <c r="K549" s="2">
        <v>45849</v>
      </c>
      <c r="L549" s="2">
        <v>46214</v>
      </c>
      <c r="M549" t="s">
        <v>38</v>
      </c>
      <c r="N549" t="s">
        <v>49</v>
      </c>
      <c r="O549">
        <v>5</v>
      </c>
      <c r="P549" t="s">
        <v>56</v>
      </c>
      <c r="Q549" s="2">
        <v>46299</v>
      </c>
      <c r="R549" t="s">
        <v>84</v>
      </c>
    </row>
    <row r="550" spans="1:18" x14ac:dyDescent="0.2">
      <c r="A550" t="s">
        <v>1155</v>
      </c>
      <c r="B550" t="s">
        <v>1156</v>
      </c>
      <c r="C550" t="s">
        <v>96</v>
      </c>
      <c r="D550" t="s">
        <v>97</v>
      </c>
      <c r="E550" t="s">
        <v>91</v>
      </c>
      <c r="F550" t="s">
        <v>34</v>
      </c>
      <c r="G550" t="s">
        <v>35</v>
      </c>
      <c r="H550" t="s">
        <v>88</v>
      </c>
      <c r="I550" t="s">
        <v>50</v>
      </c>
      <c r="J550" t="s">
        <v>48</v>
      </c>
      <c r="K550" s="2">
        <v>46173</v>
      </c>
      <c r="L550" s="2">
        <v>46263</v>
      </c>
      <c r="M550" t="s">
        <v>38</v>
      </c>
      <c r="N550" t="s">
        <v>49</v>
      </c>
      <c r="O550">
        <v>3</v>
      </c>
      <c r="P550" t="s">
        <v>54</v>
      </c>
      <c r="Q550" s="2">
        <v>46166</v>
      </c>
      <c r="R550" t="s">
        <v>38</v>
      </c>
    </row>
    <row r="551" spans="1:18" x14ac:dyDescent="0.2">
      <c r="A551" t="s">
        <v>1157</v>
      </c>
      <c r="B551" t="s">
        <v>1158</v>
      </c>
      <c r="C551" t="s">
        <v>73</v>
      </c>
      <c r="D551" t="s">
        <v>74</v>
      </c>
      <c r="E551" t="s">
        <v>105</v>
      </c>
      <c r="F551" t="s">
        <v>34</v>
      </c>
      <c r="G551" t="s">
        <v>35</v>
      </c>
      <c r="H551" t="s">
        <v>88</v>
      </c>
      <c r="I551" t="s">
        <v>56</v>
      </c>
      <c r="J551" t="s">
        <v>48</v>
      </c>
      <c r="K551" s="2">
        <v>46093</v>
      </c>
      <c r="L551" s="2">
        <v>46458</v>
      </c>
      <c r="M551" t="s">
        <v>64</v>
      </c>
      <c r="N551" t="s">
        <v>49</v>
      </c>
      <c r="O551">
        <v>0</v>
      </c>
      <c r="P551" t="s">
        <v>54</v>
      </c>
      <c r="Q551" s="2">
        <v>46147</v>
      </c>
      <c r="R551" t="s">
        <v>57</v>
      </c>
    </row>
    <row r="552" spans="1:18" x14ac:dyDescent="0.2">
      <c r="A552" t="s">
        <v>1159</v>
      </c>
      <c r="B552" t="s">
        <v>1160</v>
      </c>
      <c r="C552" t="s">
        <v>31</v>
      </c>
      <c r="D552" t="s">
        <v>32</v>
      </c>
      <c r="E552" t="s">
        <v>80</v>
      </c>
      <c r="F552" t="s">
        <v>45</v>
      </c>
      <c r="G552" t="s">
        <v>46</v>
      </c>
      <c r="H552" t="s">
        <v>47</v>
      </c>
      <c r="I552" t="s">
        <v>106</v>
      </c>
      <c r="J552" t="s">
        <v>48</v>
      </c>
      <c r="K552" s="2">
        <v>45874</v>
      </c>
      <c r="L552" s="2">
        <v>46054</v>
      </c>
      <c r="M552" t="s">
        <v>38</v>
      </c>
      <c r="N552" t="s">
        <v>55</v>
      </c>
      <c r="O552">
        <v>2</v>
      </c>
      <c r="P552" t="s">
        <v>111</v>
      </c>
      <c r="Q552" s="2">
        <v>46192</v>
      </c>
      <c r="R552" t="s">
        <v>38</v>
      </c>
    </row>
    <row r="553" spans="1:18" x14ac:dyDescent="0.2">
      <c r="A553" t="s">
        <v>1161</v>
      </c>
      <c r="B553" t="s">
        <v>1162</v>
      </c>
      <c r="C553" t="s">
        <v>31</v>
      </c>
      <c r="D553" t="s">
        <v>32</v>
      </c>
      <c r="E553" t="s">
        <v>105</v>
      </c>
      <c r="F553" t="s">
        <v>67</v>
      </c>
      <c r="G553" t="s">
        <v>68</v>
      </c>
      <c r="H553" t="s">
        <v>36</v>
      </c>
      <c r="I553" t="s">
        <v>70</v>
      </c>
      <c r="J553" t="s">
        <v>48</v>
      </c>
      <c r="K553" s="2">
        <v>45854</v>
      </c>
      <c r="L553" s="2">
        <v>46219</v>
      </c>
      <c r="M553" t="s">
        <v>38</v>
      </c>
      <c r="N553" t="s">
        <v>55</v>
      </c>
      <c r="O553">
        <v>4</v>
      </c>
      <c r="P553" t="s">
        <v>106</v>
      </c>
      <c r="Q553" s="2">
        <v>46168</v>
      </c>
      <c r="R553" t="s">
        <v>64</v>
      </c>
    </row>
    <row r="554" spans="1:18" x14ac:dyDescent="0.2">
      <c r="A554" t="s">
        <v>1163</v>
      </c>
      <c r="B554" t="s">
        <v>1164</v>
      </c>
      <c r="C554" t="s">
        <v>31</v>
      </c>
      <c r="D554" t="s">
        <v>32</v>
      </c>
      <c r="E554" t="s">
        <v>91</v>
      </c>
      <c r="F554" t="s">
        <v>45</v>
      </c>
      <c r="G554" t="s">
        <v>61</v>
      </c>
      <c r="H554" t="s">
        <v>88</v>
      </c>
      <c r="I554" t="s">
        <v>111</v>
      </c>
      <c r="J554" t="s">
        <v>48</v>
      </c>
      <c r="K554" s="2">
        <v>45900</v>
      </c>
      <c r="L554" s="2">
        <v>45990</v>
      </c>
      <c r="M554" t="s">
        <v>38</v>
      </c>
      <c r="N554" t="s">
        <v>55</v>
      </c>
      <c r="O554">
        <v>2</v>
      </c>
      <c r="P554" t="s">
        <v>111</v>
      </c>
      <c r="Q554" s="2">
        <v>46286</v>
      </c>
      <c r="R554" t="s">
        <v>38</v>
      </c>
    </row>
    <row r="555" spans="1:18" x14ac:dyDescent="0.2">
      <c r="A555" t="s">
        <v>1165</v>
      </c>
      <c r="B555" t="s">
        <v>1166</v>
      </c>
      <c r="C555" t="s">
        <v>78</v>
      </c>
      <c r="D555" t="s">
        <v>79</v>
      </c>
      <c r="E555" t="s">
        <v>44</v>
      </c>
      <c r="F555" t="s">
        <v>67</v>
      </c>
      <c r="G555" t="s">
        <v>68</v>
      </c>
      <c r="H555" t="s">
        <v>36</v>
      </c>
      <c r="I555" t="s">
        <v>111</v>
      </c>
      <c r="J555" t="s">
        <v>63</v>
      </c>
      <c r="K555" s="2">
        <v>46101</v>
      </c>
      <c r="L555" s="2">
        <v>46281</v>
      </c>
      <c r="M555" t="s">
        <v>38</v>
      </c>
      <c r="N555" t="s">
        <v>49</v>
      </c>
      <c r="O555">
        <v>1</v>
      </c>
      <c r="P555" t="s">
        <v>54</v>
      </c>
      <c r="Q555" s="2">
        <v>46158</v>
      </c>
      <c r="R555" t="s">
        <v>64</v>
      </c>
    </row>
    <row r="556" spans="1:18" x14ac:dyDescent="0.2">
      <c r="A556" t="s">
        <v>1167</v>
      </c>
      <c r="B556" t="s">
        <v>1168</v>
      </c>
      <c r="C556" t="s">
        <v>31</v>
      </c>
      <c r="D556" t="s">
        <v>87</v>
      </c>
      <c r="E556" t="s">
        <v>44</v>
      </c>
      <c r="F556" t="s">
        <v>45</v>
      </c>
      <c r="G556" t="s">
        <v>61</v>
      </c>
      <c r="H556" t="s">
        <v>47</v>
      </c>
      <c r="I556" t="s">
        <v>62</v>
      </c>
      <c r="J556" t="s">
        <v>63</v>
      </c>
      <c r="K556" s="2">
        <v>46064</v>
      </c>
      <c r="L556" s="2">
        <v>46244</v>
      </c>
      <c r="M556" t="s">
        <v>38</v>
      </c>
      <c r="N556" t="s">
        <v>75</v>
      </c>
      <c r="O556">
        <v>2</v>
      </c>
      <c r="P556" t="s">
        <v>70</v>
      </c>
      <c r="Q556" s="2">
        <v>46130</v>
      </c>
      <c r="R556" t="s">
        <v>38</v>
      </c>
    </row>
    <row r="557" spans="1:18" x14ac:dyDescent="0.2">
      <c r="A557" t="s">
        <v>1169</v>
      </c>
      <c r="B557" t="s">
        <v>1170</v>
      </c>
      <c r="C557" t="s">
        <v>31</v>
      </c>
      <c r="D557" t="s">
        <v>87</v>
      </c>
      <c r="E557" t="s">
        <v>53</v>
      </c>
      <c r="F557" t="s">
        <v>45</v>
      </c>
      <c r="G557" t="s">
        <v>61</v>
      </c>
      <c r="H557" t="s">
        <v>88</v>
      </c>
      <c r="I557" t="s">
        <v>50</v>
      </c>
      <c r="J557" t="s">
        <v>63</v>
      </c>
      <c r="K557" s="2">
        <v>46053</v>
      </c>
      <c r="L557" s="2">
        <v>46143</v>
      </c>
      <c r="M557" t="s">
        <v>38</v>
      </c>
      <c r="N557" t="s">
        <v>75</v>
      </c>
      <c r="O557">
        <v>0</v>
      </c>
      <c r="P557" t="s">
        <v>56</v>
      </c>
      <c r="Q557" s="2">
        <v>46192</v>
      </c>
      <c r="R557" t="s">
        <v>57</v>
      </c>
    </row>
    <row r="558" spans="1:18" x14ac:dyDescent="0.2">
      <c r="A558" t="s">
        <v>1171</v>
      </c>
      <c r="B558" t="s">
        <v>1172</v>
      </c>
      <c r="C558" t="s">
        <v>31</v>
      </c>
      <c r="D558" t="s">
        <v>83</v>
      </c>
      <c r="E558" t="s">
        <v>91</v>
      </c>
      <c r="F558" t="s">
        <v>67</v>
      </c>
      <c r="G558" t="s">
        <v>118</v>
      </c>
      <c r="H558" t="s">
        <v>36</v>
      </c>
      <c r="I558" t="s">
        <v>56</v>
      </c>
      <c r="J558" t="s">
        <v>37</v>
      </c>
      <c r="K558" s="2">
        <v>45906</v>
      </c>
      <c r="L558" s="2">
        <v>46271</v>
      </c>
      <c r="M558" t="s">
        <v>38</v>
      </c>
      <c r="N558" t="s">
        <v>75</v>
      </c>
      <c r="O558">
        <v>2</v>
      </c>
      <c r="P558" t="s">
        <v>111</v>
      </c>
      <c r="Q558" s="2">
        <v>46119</v>
      </c>
      <c r="R558" t="s">
        <v>38</v>
      </c>
    </row>
    <row r="559" spans="1:18" x14ac:dyDescent="0.2">
      <c r="A559" t="s">
        <v>1173</v>
      </c>
      <c r="B559" t="s">
        <v>1174</v>
      </c>
      <c r="C559" t="s">
        <v>31</v>
      </c>
      <c r="D559" t="s">
        <v>32</v>
      </c>
      <c r="E559" t="s">
        <v>60</v>
      </c>
      <c r="F559" t="s">
        <v>34</v>
      </c>
      <c r="G559" t="s">
        <v>35</v>
      </c>
      <c r="H559" t="s">
        <v>88</v>
      </c>
      <c r="I559" t="s">
        <v>111</v>
      </c>
      <c r="J559" t="s">
        <v>63</v>
      </c>
      <c r="K559" s="2">
        <v>45918</v>
      </c>
      <c r="L559" s="2">
        <v>46098</v>
      </c>
      <c r="M559" t="s">
        <v>38</v>
      </c>
      <c r="N559" t="s">
        <v>49</v>
      </c>
      <c r="O559">
        <v>3</v>
      </c>
      <c r="P559" t="s">
        <v>106</v>
      </c>
      <c r="Q559" s="2">
        <v>46216</v>
      </c>
      <c r="R559" t="s">
        <v>38</v>
      </c>
    </row>
    <row r="560" spans="1:18" x14ac:dyDescent="0.2">
      <c r="A560" t="s">
        <v>1175</v>
      </c>
      <c r="B560" t="s">
        <v>1176</v>
      </c>
      <c r="C560" t="s">
        <v>31</v>
      </c>
      <c r="D560" t="s">
        <v>83</v>
      </c>
      <c r="E560" t="s">
        <v>60</v>
      </c>
      <c r="F560" t="s">
        <v>67</v>
      </c>
      <c r="G560" t="s">
        <v>68</v>
      </c>
      <c r="H560" t="s">
        <v>98</v>
      </c>
      <c r="I560" t="s">
        <v>56</v>
      </c>
      <c r="J560" t="s">
        <v>48</v>
      </c>
      <c r="K560" s="2">
        <v>46166</v>
      </c>
      <c r="L560" s="2">
        <v>46256</v>
      </c>
      <c r="M560" t="s">
        <v>38</v>
      </c>
      <c r="N560" t="s">
        <v>49</v>
      </c>
      <c r="O560">
        <v>4</v>
      </c>
      <c r="P560" t="s">
        <v>56</v>
      </c>
      <c r="Q560" s="2">
        <v>46274</v>
      </c>
      <c r="R560" t="s">
        <v>38</v>
      </c>
    </row>
    <row r="561" spans="1:18" x14ac:dyDescent="0.2">
      <c r="A561" t="s">
        <v>1177</v>
      </c>
      <c r="B561" t="s">
        <v>1178</v>
      </c>
      <c r="C561" t="s">
        <v>31</v>
      </c>
      <c r="D561" t="s">
        <v>87</v>
      </c>
      <c r="E561" t="s">
        <v>91</v>
      </c>
      <c r="F561" t="s">
        <v>45</v>
      </c>
      <c r="G561" t="s">
        <v>61</v>
      </c>
      <c r="H561" t="s">
        <v>88</v>
      </c>
      <c r="I561" t="s">
        <v>70</v>
      </c>
      <c r="J561" t="s">
        <v>63</v>
      </c>
      <c r="K561" s="2">
        <v>45901</v>
      </c>
      <c r="L561" s="2">
        <v>45991</v>
      </c>
      <c r="M561" t="s">
        <v>38</v>
      </c>
      <c r="N561" t="s">
        <v>75</v>
      </c>
      <c r="O561">
        <v>2</v>
      </c>
      <c r="P561" t="s">
        <v>70</v>
      </c>
      <c r="Q561" s="2">
        <v>46374</v>
      </c>
      <c r="R561" t="s">
        <v>84</v>
      </c>
    </row>
    <row r="562" spans="1:18" x14ac:dyDescent="0.2">
      <c r="A562" t="s">
        <v>1179</v>
      </c>
      <c r="B562" t="s">
        <v>1180</v>
      </c>
      <c r="C562" t="s">
        <v>103</v>
      </c>
      <c r="D562" t="s">
        <v>104</v>
      </c>
      <c r="E562" t="s">
        <v>60</v>
      </c>
      <c r="F562" t="s">
        <v>67</v>
      </c>
      <c r="G562" t="s">
        <v>118</v>
      </c>
      <c r="H562" t="s">
        <v>36</v>
      </c>
      <c r="I562" t="s">
        <v>111</v>
      </c>
      <c r="J562" t="s">
        <v>37</v>
      </c>
      <c r="K562" s="2">
        <v>46102</v>
      </c>
      <c r="L562" s="2">
        <v>46192</v>
      </c>
      <c r="M562" t="s">
        <v>38</v>
      </c>
      <c r="N562" t="s">
        <v>49</v>
      </c>
      <c r="O562">
        <v>4</v>
      </c>
      <c r="P562" t="s">
        <v>56</v>
      </c>
      <c r="Q562" s="2">
        <v>46404</v>
      </c>
      <c r="R562" t="s">
        <v>84</v>
      </c>
    </row>
    <row r="563" spans="1:18" x14ac:dyDescent="0.2">
      <c r="A563" t="s">
        <v>1181</v>
      </c>
      <c r="B563" t="s">
        <v>1182</v>
      </c>
      <c r="C563" t="s">
        <v>78</v>
      </c>
      <c r="D563" t="s">
        <v>79</v>
      </c>
      <c r="E563" t="s">
        <v>91</v>
      </c>
      <c r="F563" t="s">
        <v>34</v>
      </c>
      <c r="G563" t="s">
        <v>35</v>
      </c>
      <c r="H563" t="s">
        <v>88</v>
      </c>
      <c r="I563" t="s">
        <v>54</v>
      </c>
      <c r="J563" t="s">
        <v>37</v>
      </c>
      <c r="K563" s="2">
        <v>46222</v>
      </c>
      <c r="L563" s="2">
        <v>46402</v>
      </c>
      <c r="M563" t="s">
        <v>64</v>
      </c>
      <c r="N563" t="s">
        <v>55</v>
      </c>
      <c r="O563">
        <v>2</v>
      </c>
      <c r="P563" t="s">
        <v>70</v>
      </c>
      <c r="Q563" s="2">
        <v>46347</v>
      </c>
      <c r="R563" t="s">
        <v>64</v>
      </c>
    </row>
    <row r="564" spans="1:18" x14ac:dyDescent="0.2">
      <c r="A564" t="s">
        <v>1183</v>
      </c>
      <c r="B564" t="s">
        <v>1184</v>
      </c>
      <c r="C564" t="s">
        <v>78</v>
      </c>
      <c r="D564" t="s">
        <v>79</v>
      </c>
      <c r="E564" t="s">
        <v>80</v>
      </c>
      <c r="F564" t="s">
        <v>45</v>
      </c>
      <c r="G564" t="s">
        <v>46</v>
      </c>
      <c r="H564" t="s">
        <v>36</v>
      </c>
      <c r="I564" t="s">
        <v>111</v>
      </c>
      <c r="J564" t="s">
        <v>37</v>
      </c>
      <c r="K564" s="2">
        <v>46166</v>
      </c>
      <c r="L564" s="2">
        <v>46346</v>
      </c>
      <c r="M564" t="s">
        <v>64</v>
      </c>
      <c r="N564" t="s">
        <v>49</v>
      </c>
      <c r="O564">
        <v>4</v>
      </c>
      <c r="P564" t="s">
        <v>111</v>
      </c>
      <c r="Q564" s="2">
        <v>46321</v>
      </c>
      <c r="R564" t="s">
        <v>84</v>
      </c>
    </row>
    <row r="565" spans="1:18" x14ac:dyDescent="0.2">
      <c r="A565" t="s">
        <v>1185</v>
      </c>
      <c r="B565" t="s">
        <v>1186</v>
      </c>
      <c r="C565" t="s">
        <v>96</v>
      </c>
      <c r="D565" t="s">
        <v>97</v>
      </c>
      <c r="E565" t="s">
        <v>80</v>
      </c>
      <c r="F565" t="s">
        <v>34</v>
      </c>
      <c r="G565" t="s">
        <v>35</v>
      </c>
      <c r="H565" t="s">
        <v>88</v>
      </c>
      <c r="I565" t="s">
        <v>111</v>
      </c>
      <c r="J565" t="s">
        <v>63</v>
      </c>
      <c r="K565" s="2">
        <v>45901</v>
      </c>
      <c r="L565" s="2">
        <v>46081</v>
      </c>
      <c r="M565" t="s">
        <v>38</v>
      </c>
      <c r="N565" t="s">
        <v>55</v>
      </c>
      <c r="O565">
        <v>1</v>
      </c>
      <c r="P565" t="s">
        <v>70</v>
      </c>
      <c r="Q565" s="2">
        <v>46373</v>
      </c>
      <c r="R565" t="s">
        <v>64</v>
      </c>
    </row>
    <row r="566" spans="1:18" x14ac:dyDescent="0.2">
      <c r="A566" t="s">
        <v>1187</v>
      </c>
      <c r="B566" t="s">
        <v>1188</v>
      </c>
      <c r="C566" t="s">
        <v>42</v>
      </c>
      <c r="D566" t="s">
        <v>43</v>
      </c>
      <c r="E566" t="s">
        <v>80</v>
      </c>
      <c r="F566" t="s">
        <v>34</v>
      </c>
      <c r="G566" t="s">
        <v>35</v>
      </c>
      <c r="H566" t="s">
        <v>88</v>
      </c>
      <c r="I566" t="s">
        <v>50</v>
      </c>
      <c r="J566" t="s">
        <v>63</v>
      </c>
      <c r="K566" s="2">
        <v>45989</v>
      </c>
      <c r="L566" s="2">
        <v>46169</v>
      </c>
      <c r="M566" t="s">
        <v>38</v>
      </c>
      <c r="N566" t="s">
        <v>55</v>
      </c>
      <c r="O566">
        <v>3</v>
      </c>
      <c r="P566" t="s">
        <v>50</v>
      </c>
      <c r="Q566" s="2">
        <v>46171</v>
      </c>
      <c r="R566" t="s">
        <v>64</v>
      </c>
    </row>
    <row r="567" spans="1:18" x14ac:dyDescent="0.2">
      <c r="A567" t="s">
        <v>1189</v>
      </c>
      <c r="B567" t="s">
        <v>1190</v>
      </c>
      <c r="C567" t="s">
        <v>42</v>
      </c>
      <c r="D567" t="s">
        <v>43</v>
      </c>
      <c r="E567" t="s">
        <v>53</v>
      </c>
      <c r="F567" t="s">
        <v>45</v>
      </c>
      <c r="G567" t="s">
        <v>61</v>
      </c>
      <c r="H567" t="s">
        <v>98</v>
      </c>
      <c r="I567" t="s">
        <v>56</v>
      </c>
      <c r="J567" t="s">
        <v>48</v>
      </c>
      <c r="K567" s="2">
        <v>46125</v>
      </c>
      <c r="L567" s="2">
        <v>46305</v>
      </c>
      <c r="M567" t="s">
        <v>64</v>
      </c>
      <c r="N567" t="s">
        <v>55</v>
      </c>
      <c r="O567">
        <v>1</v>
      </c>
      <c r="P567" t="s">
        <v>50</v>
      </c>
      <c r="Q567" s="2">
        <v>46330</v>
      </c>
      <c r="R567" t="s">
        <v>64</v>
      </c>
    </row>
    <row r="568" spans="1:18" x14ac:dyDescent="0.2">
      <c r="A568" t="s">
        <v>1191</v>
      </c>
      <c r="B568" t="s">
        <v>1192</v>
      </c>
      <c r="C568" t="s">
        <v>73</v>
      </c>
      <c r="D568" t="s">
        <v>74</v>
      </c>
      <c r="E568" t="s">
        <v>105</v>
      </c>
      <c r="F568" t="s">
        <v>34</v>
      </c>
      <c r="G568" t="s">
        <v>35</v>
      </c>
      <c r="H568" t="s">
        <v>47</v>
      </c>
      <c r="I568" t="s">
        <v>106</v>
      </c>
      <c r="J568" t="s">
        <v>37</v>
      </c>
      <c r="K568" s="2">
        <v>46241</v>
      </c>
      <c r="L568" s="2">
        <v>46331</v>
      </c>
      <c r="M568" t="s">
        <v>64</v>
      </c>
      <c r="N568" t="s">
        <v>49</v>
      </c>
      <c r="O568">
        <v>2</v>
      </c>
      <c r="P568" t="s">
        <v>111</v>
      </c>
      <c r="Q568" s="2">
        <v>46404</v>
      </c>
      <c r="R568" t="s">
        <v>84</v>
      </c>
    </row>
    <row r="569" spans="1:18" x14ac:dyDescent="0.2">
      <c r="A569" t="s">
        <v>1193</v>
      </c>
      <c r="B569" t="s">
        <v>1194</v>
      </c>
      <c r="C569" t="s">
        <v>73</v>
      </c>
      <c r="D569" t="s">
        <v>74</v>
      </c>
      <c r="E569" t="s">
        <v>44</v>
      </c>
      <c r="F569" t="s">
        <v>34</v>
      </c>
      <c r="G569" t="s">
        <v>35</v>
      </c>
      <c r="H569" t="s">
        <v>88</v>
      </c>
      <c r="J569" t="s">
        <v>63</v>
      </c>
      <c r="K569" s="2">
        <v>46040</v>
      </c>
      <c r="L569" s="2">
        <v>46220</v>
      </c>
      <c r="M569" t="s">
        <v>38</v>
      </c>
      <c r="N569" t="s">
        <v>49</v>
      </c>
      <c r="O569">
        <v>3</v>
      </c>
      <c r="P569" t="s">
        <v>62</v>
      </c>
      <c r="Q569" s="2">
        <v>46191</v>
      </c>
      <c r="R569" t="s">
        <v>38</v>
      </c>
    </row>
    <row r="570" spans="1:18" x14ac:dyDescent="0.2">
      <c r="A570" t="s">
        <v>1195</v>
      </c>
      <c r="B570" t="s">
        <v>1196</v>
      </c>
      <c r="C570" t="s">
        <v>31</v>
      </c>
      <c r="D570" t="s">
        <v>87</v>
      </c>
      <c r="E570" t="s">
        <v>80</v>
      </c>
      <c r="F570" t="s">
        <v>67</v>
      </c>
      <c r="G570" t="s">
        <v>68</v>
      </c>
      <c r="H570" t="s">
        <v>88</v>
      </c>
      <c r="I570" t="s">
        <v>39</v>
      </c>
      <c r="J570" t="s">
        <v>63</v>
      </c>
      <c r="K570" s="2">
        <v>45932</v>
      </c>
      <c r="L570" s="2">
        <v>46112</v>
      </c>
      <c r="M570" t="s">
        <v>38</v>
      </c>
      <c r="N570" t="s">
        <v>49</v>
      </c>
      <c r="O570">
        <v>2</v>
      </c>
      <c r="P570" t="s">
        <v>56</v>
      </c>
      <c r="Q570" s="2">
        <v>46160</v>
      </c>
      <c r="R570" t="s">
        <v>38</v>
      </c>
    </row>
    <row r="571" spans="1:18" x14ac:dyDescent="0.2">
      <c r="A571" t="s">
        <v>1197</v>
      </c>
      <c r="B571" t="s">
        <v>1198</v>
      </c>
      <c r="C571" t="s">
        <v>31</v>
      </c>
      <c r="D571" t="s">
        <v>87</v>
      </c>
      <c r="E571" t="s">
        <v>91</v>
      </c>
      <c r="F571" t="s">
        <v>34</v>
      </c>
      <c r="G571" t="s">
        <v>35</v>
      </c>
      <c r="H571" t="s">
        <v>88</v>
      </c>
      <c r="I571" t="s">
        <v>54</v>
      </c>
      <c r="J571" t="s">
        <v>63</v>
      </c>
      <c r="K571" s="2">
        <v>45959</v>
      </c>
      <c r="L571" s="2">
        <v>46324</v>
      </c>
      <c r="M571" t="s">
        <v>84</v>
      </c>
      <c r="N571" t="s">
        <v>49</v>
      </c>
      <c r="O571">
        <v>1</v>
      </c>
      <c r="P571" t="s">
        <v>50</v>
      </c>
      <c r="Q571" s="2">
        <v>46358</v>
      </c>
      <c r="R571" t="s">
        <v>84</v>
      </c>
    </row>
    <row r="572" spans="1:18" x14ac:dyDescent="0.2">
      <c r="A572" t="s">
        <v>1199</v>
      </c>
      <c r="B572" t="s">
        <v>1200</v>
      </c>
      <c r="C572" t="s">
        <v>31</v>
      </c>
      <c r="D572" t="s">
        <v>87</v>
      </c>
      <c r="E572" t="s">
        <v>44</v>
      </c>
      <c r="F572" t="s">
        <v>45</v>
      </c>
      <c r="G572" t="s">
        <v>61</v>
      </c>
      <c r="H572" t="s">
        <v>47</v>
      </c>
      <c r="I572" t="s">
        <v>111</v>
      </c>
      <c r="J572" t="s">
        <v>37</v>
      </c>
      <c r="K572" s="2">
        <v>46232</v>
      </c>
      <c r="L572" s="2">
        <v>46597</v>
      </c>
      <c r="M572" t="s">
        <v>69</v>
      </c>
      <c r="N572" t="s">
        <v>49</v>
      </c>
      <c r="O572">
        <v>0</v>
      </c>
      <c r="P572" t="s">
        <v>50</v>
      </c>
      <c r="Q572" s="2">
        <v>46366</v>
      </c>
      <c r="R572" t="s">
        <v>57</v>
      </c>
    </row>
    <row r="573" spans="1:18" x14ac:dyDescent="0.2">
      <c r="A573" t="s">
        <v>1201</v>
      </c>
      <c r="B573" t="s">
        <v>1202</v>
      </c>
      <c r="C573" t="s">
        <v>31</v>
      </c>
      <c r="D573" t="s">
        <v>32</v>
      </c>
      <c r="E573" t="s">
        <v>60</v>
      </c>
      <c r="F573" t="s">
        <v>67</v>
      </c>
      <c r="G573" t="s">
        <v>68</v>
      </c>
      <c r="H573" t="s">
        <v>88</v>
      </c>
      <c r="I573" t="s">
        <v>56</v>
      </c>
      <c r="J573" t="s">
        <v>37</v>
      </c>
      <c r="K573" s="2">
        <v>46229</v>
      </c>
      <c r="L573" s="2">
        <v>46319</v>
      </c>
      <c r="M573" t="s">
        <v>84</v>
      </c>
      <c r="N573" t="s">
        <v>75</v>
      </c>
      <c r="O573">
        <v>1</v>
      </c>
      <c r="P573" t="s">
        <v>62</v>
      </c>
      <c r="Q573" s="2">
        <v>46208</v>
      </c>
      <c r="R573" t="s">
        <v>64</v>
      </c>
    </row>
    <row r="574" spans="1:18" x14ac:dyDescent="0.2">
      <c r="A574" t="s">
        <v>1203</v>
      </c>
      <c r="B574" t="s">
        <v>1204</v>
      </c>
      <c r="C574" t="s">
        <v>78</v>
      </c>
      <c r="D574" t="s">
        <v>79</v>
      </c>
      <c r="E574" t="s">
        <v>105</v>
      </c>
      <c r="F574" t="s">
        <v>34</v>
      </c>
      <c r="G574" t="s">
        <v>35</v>
      </c>
      <c r="H574" t="s">
        <v>88</v>
      </c>
      <c r="I574" t="s">
        <v>106</v>
      </c>
      <c r="J574" t="s">
        <v>37</v>
      </c>
      <c r="K574" s="2">
        <v>46183</v>
      </c>
      <c r="L574" s="2">
        <v>46273</v>
      </c>
      <c r="M574" t="s">
        <v>38</v>
      </c>
      <c r="N574" t="s">
        <v>49</v>
      </c>
      <c r="O574">
        <v>0</v>
      </c>
      <c r="P574" t="s">
        <v>50</v>
      </c>
      <c r="Q574" s="2">
        <v>46267</v>
      </c>
      <c r="R574" t="s">
        <v>57</v>
      </c>
    </row>
    <row r="575" spans="1:18" x14ac:dyDescent="0.2">
      <c r="A575" t="s">
        <v>1205</v>
      </c>
      <c r="B575" t="s">
        <v>1206</v>
      </c>
      <c r="C575" t="s">
        <v>78</v>
      </c>
      <c r="D575" t="s">
        <v>79</v>
      </c>
      <c r="E575" t="s">
        <v>53</v>
      </c>
      <c r="F575" t="s">
        <v>67</v>
      </c>
      <c r="G575" t="s">
        <v>118</v>
      </c>
      <c r="H575" t="s">
        <v>88</v>
      </c>
      <c r="I575" t="s">
        <v>70</v>
      </c>
      <c r="J575" t="s">
        <v>37</v>
      </c>
      <c r="K575" s="2">
        <v>46249</v>
      </c>
      <c r="L575" s="2">
        <v>46339</v>
      </c>
      <c r="M575" t="s">
        <v>64</v>
      </c>
      <c r="N575" t="s">
        <v>49</v>
      </c>
      <c r="O575">
        <v>1</v>
      </c>
      <c r="P575" t="s">
        <v>39</v>
      </c>
      <c r="Q575" s="2">
        <v>46367</v>
      </c>
      <c r="R575" t="s">
        <v>84</v>
      </c>
    </row>
    <row r="576" spans="1:18" x14ac:dyDescent="0.2">
      <c r="A576" t="s">
        <v>1207</v>
      </c>
      <c r="B576" t="s">
        <v>1208</v>
      </c>
      <c r="C576" t="s">
        <v>31</v>
      </c>
      <c r="D576" t="s">
        <v>83</v>
      </c>
      <c r="E576" t="s">
        <v>60</v>
      </c>
      <c r="F576" t="s">
        <v>67</v>
      </c>
      <c r="G576" t="s">
        <v>118</v>
      </c>
      <c r="H576" t="s">
        <v>88</v>
      </c>
      <c r="I576" t="s">
        <v>111</v>
      </c>
      <c r="J576" t="s">
        <v>63</v>
      </c>
      <c r="K576" s="2">
        <v>46261</v>
      </c>
      <c r="L576" s="2">
        <v>46441</v>
      </c>
      <c r="M576" t="s">
        <v>84</v>
      </c>
      <c r="N576" t="s">
        <v>75</v>
      </c>
      <c r="O576">
        <v>0</v>
      </c>
      <c r="P576" t="s">
        <v>62</v>
      </c>
      <c r="Q576" s="2">
        <v>46241</v>
      </c>
      <c r="R576" t="s">
        <v>57</v>
      </c>
    </row>
    <row r="577" spans="1:18" x14ac:dyDescent="0.2">
      <c r="A577" t="s">
        <v>1209</v>
      </c>
      <c r="B577" t="s">
        <v>1210</v>
      </c>
      <c r="C577" t="s">
        <v>31</v>
      </c>
      <c r="D577" t="s">
        <v>87</v>
      </c>
      <c r="E577" t="s">
        <v>91</v>
      </c>
      <c r="F577" t="s">
        <v>67</v>
      </c>
      <c r="G577" t="s">
        <v>68</v>
      </c>
      <c r="H577" t="s">
        <v>88</v>
      </c>
      <c r="I577" t="s">
        <v>50</v>
      </c>
      <c r="J577" t="s">
        <v>37</v>
      </c>
      <c r="K577" s="2">
        <v>46084</v>
      </c>
      <c r="L577" s="2">
        <v>46449</v>
      </c>
      <c r="M577" t="s">
        <v>84</v>
      </c>
      <c r="N577" t="s">
        <v>49</v>
      </c>
      <c r="O577">
        <v>3</v>
      </c>
      <c r="P577" t="s">
        <v>56</v>
      </c>
      <c r="Q577" s="2">
        <v>46399</v>
      </c>
      <c r="R577" t="s">
        <v>84</v>
      </c>
    </row>
    <row r="578" spans="1:18" x14ac:dyDescent="0.2">
      <c r="A578" t="s">
        <v>1211</v>
      </c>
      <c r="B578" t="s">
        <v>1212</v>
      </c>
      <c r="C578" t="s">
        <v>103</v>
      </c>
      <c r="D578" t="s">
        <v>104</v>
      </c>
      <c r="E578" t="s">
        <v>105</v>
      </c>
      <c r="F578" t="s">
        <v>34</v>
      </c>
      <c r="G578" t="s">
        <v>35</v>
      </c>
      <c r="H578" t="s">
        <v>47</v>
      </c>
      <c r="I578" t="s">
        <v>111</v>
      </c>
      <c r="J578" t="s">
        <v>63</v>
      </c>
      <c r="K578" s="2">
        <v>46136</v>
      </c>
      <c r="L578" s="2">
        <v>46501</v>
      </c>
      <c r="M578" t="s">
        <v>64</v>
      </c>
      <c r="N578" t="s">
        <v>49</v>
      </c>
      <c r="O578">
        <v>3</v>
      </c>
      <c r="P578" t="s">
        <v>56</v>
      </c>
      <c r="Q578" s="2">
        <v>46294</v>
      </c>
      <c r="R578" t="s">
        <v>38</v>
      </c>
    </row>
    <row r="579" spans="1:18" x14ac:dyDescent="0.2">
      <c r="A579" t="s">
        <v>1213</v>
      </c>
      <c r="B579" t="s">
        <v>1214</v>
      </c>
      <c r="C579" t="s">
        <v>42</v>
      </c>
      <c r="D579" t="s">
        <v>43</v>
      </c>
      <c r="E579" t="s">
        <v>91</v>
      </c>
      <c r="F579" t="s">
        <v>45</v>
      </c>
      <c r="G579" t="s">
        <v>46</v>
      </c>
      <c r="H579" t="s">
        <v>88</v>
      </c>
      <c r="I579" t="s">
        <v>70</v>
      </c>
      <c r="J579" t="s">
        <v>48</v>
      </c>
      <c r="K579" s="2">
        <v>46122</v>
      </c>
      <c r="L579" s="2">
        <v>46212</v>
      </c>
      <c r="M579" t="s">
        <v>38</v>
      </c>
      <c r="N579" t="s">
        <v>75</v>
      </c>
      <c r="O579">
        <v>0</v>
      </c>
      <c r="P579" t="s">
        <v>106</v>
      </c>
      <c r="Q579" s="2">
        <v>46186</v>
      </c>
      <c r="R579" t="s">
        <v>57</v>
      </c>
    </row>
    <row r="580" spans="1:18" x14ac:dyDescent="0.2">
      <c r="A580" t="s">
        <v>1216</v>
      </c>
      <c r="B580" t="s">
        <v>1217</v>
      </c>
      <c r="C580" t="s">
        <v>73</v>
      </c>
      <c r="D580" t="s">
        <v>74</v>
      </c>
      <c r="E580" t="s">
        <v>91</v>
      </c>
      <c r="F580" t="s">
        <v>34</v>
      </c>
      <c r="G580" t="s">
        <v>35</v>
      </c>
      <c r="H580" t="s">
        <v>47</v>
      </c>
      <c r="I580" t="s">
        <v>111</v>
      </c>
      <c r="J580" t="s">
        <v>63</v>
      </c>
      <c r="K580" s="2">
        <v>46136</v>
      </c>
      <c r="L580" s="2">
        <v>46226</v>
      </c>
      <c r="M580" t="s">
        <v>38</v>
      </c>
      <c r="N580" t="s">
        <v>49</v>
      </c>
      <c r="O580">
        <v>2</v>
      </c>
      <c r="P580" t="s">
        <v>50</v>
      </c>
      <c r="Q580" s="2">
        <v>46289</v>
      </c>
      <c r="R580" t="s">
        <v>64</v>
      </c>
    </row>
    <row r="581" spans="1:18" x14ac:dyDescent="0.2">
      <c r="A581" t="s">
        <v>1218</v>
      </c>
      <c r="B581" t="s">
        <v>1219</v>
      </c>
      <c r="C581" t="s">
        <v>31</v>
      </c>
      <c r="D581" t="s">
        <v>32</v>
      </c>
      <c r="E581" t="s">
        <v>60</v>
      </c>
      <c r="F581" t="s">
        <v>34</v>
      </c>
      <c r="G581" t="s">
        <v>35</v>
      </c>
      <c r="H581" t="s">
        <v>88</v>
      </c>
      <c r="I581" t="s">
        <v>39</v>
      </c>
      <c r="J581" t="s">
        <v>48</v>
      </c>
      <c r="K581" s="2">
        <v>45931</v>
      </c>
      <c r="L581" s="2">
        <v>46021</v>
      </c>
      <c r="M581" t="s">
        <v>38</v>
      </c>
      <c r="N581" t="s">
        <v>75</v>
      </c>
      <c r="O581">
        <v>3</v>
      </c>
      <c r="P581" t="s">
        <v>111</v>
      </c>
      <c r="Q581" s="2">
        <v>46316</v>
      </c>
      <c r="R581" t="s">
        <v>84</v>
      </c>
    </row>
    <row r="582" spans="1:18" x14ac:dyDescent="0.2">
      <c r="A582" t="s">
        <v>1220</v>
      </c>
      <c r="B582" t="s">
        <v>1221</v>
      </c>
      <c r="C582" t="s">
        <v>31</v>
      </c>
      <c r="D582" t="s">
        <v>87</v>
      </c>
      <c r="E582" t="s">
        <v>53</v>
      </c>
      <c r="F582" t="s">
        <v>34</v>
      </c>
      <c r="G582" t="s">
        <v>35</v>
      </c>
      <c r="H582" t="s">
        <v>98</v>
      </c>
      <c r="I582" t="s">
        <v>62</v>
      </c>
      <c r="J582" t="s">
        <v>37</v>
      </c>
      <c r="K582" s="2">
        <v>45852</v>
      </c>
      <c r="L582" s="2">
        <v>46217</v>
      </c>
      <c r="M582" t="s">
        <v>38</v>
      </c>
      <c r="N582" t="s">
        <v>75</v>
      </c>
      <c r="O582">
        <v>3</v>
      </c>
      <c r="P582" t="s">
        <v>106</v>
      </c>
      <c r="Q582" s="2">
        <v>46205</v>
      </c>
      <c r="R582" t="s">
        <v>38</v>
      </c>
    </row>
    <row r="583" spans="1:18" x14ac:dyDescent="0.2">
      <c r="A583" t="s">
        <v>1222</v>
      </c>
      <c r="B583" t="s">
        <v>1223</v>
      </c>
      <c r="C583" t="s">
        <v>42</v>
      </c>
      <c r="D583" t="s">
        <v>43</v>
      </c>
      <c r="E583" t="s">
        <v>105</v>
      </c>
      <c r="F583" t="s">
        <v>45</v>
      </c>
      <c r="G583" t="s">
        <v>61</v>
      </c>
      <c r="H583" t="s">
        <v>47</v>
      </c>
      <c r="I583" t="s">
        <v>39</v>
      </c>
      <c r="J583" t="s">
        <v>63</v>
      </c>
      <c r="K583" s="2">
        <v>45887</v>
      </c>
      <c r="L583" s="2">
        <v>46067</v>
      </c>
      <c r="M583" t="s">
        <v>38</v>
      </c>
      <c r="N583" t="s">
        <v>49</v>
      </c>
      <c r="O583">
        <v>2</v>
      </c>
      <c r="P583" t="s">
        <v>54</v>
      </c>
      <c r="Q583" s="2">
        <v>46213</v>
      </c>
      <c r="R583" t="s">
        <v>64</v>
      </c>
    </row>
    <row r="584" spans="1:18" x14ac:dyDescent="0.2">
      <c r="A584" t="s">
        <v>1224</v>
      </c>
      <c r="B584" t="s">
        <v>1225</v>
      </c>
      <c r="C584" t="s">
        <v>78</v>
      </c>
      <c r="D584" t="s">
        <v>79</v>
      </c>
      <c r="E584" t="s">
        <v>53</v>
      </c>
      <c r="F584" t="s">
        <v>45</v>
      </c>
      <c r="G584" t="s">
        <v>61</v>
      </c>
      <c r="H584" t="s">
        <v>47</v>
      </c>
      <c r="I584" t="s">
        <v>111</v>
      </c>
      <c r="J584" t="s">
        <v>37</v>
      </c>
      <c r="K584" s="2">
        <v>45812</v>
      </c>
      <c r="L584" s="2">
        <v>46177</v>
      </c>
      <c r="M584" t="s">
        <v>38</v>
      </c>
      <c r="N584" t="s">
        <v>49</v>
      </c>
      <c r="O584">
        <v>1</v>
      </c>
      <c r="P584" t="s">
        <v>111</v>
      </c>
      <c r="Q584" s="2">
        <v>46118</v>
      </c>
      <c r="R584" t="s">
        <v>64</v>
      </c>
    </row>
    <row r="585" spans="1:18" x14ac:dyDescent="0.2">
      <c r="A585" t="s">
        <v>1226</v>
      </c>
      <c r="B585" t="s">
        <v>1227</v>
      </c>
      <c r="C585" t="s">
        <v>103</v>
      </c>
      <c r="D585" t="s">
        <v>104</v>
      </c>
      <c r="E585" t="s">
        <v>91</v>
      </c>
      <c r="F585" t="s">
        <v>45</v>
      </c>
      <c r="G585" t="s">
        <v>46</v>
      </c>
      <c r="H585" t="s">
        <v>36</v>
      </c>
      <c r="I585" t="s">
        <v>50</v>
      </c>
      <c r="J585" t="s">
        <v>63</v>
      </c>
      <c r="K585" s="2">
        <v>46242</v>
      </c>
      <c r="L585" s="2">
        <v>46607</v>
      </c>
      <c r="M585" t="s">
        <v>64</v>
      </c>
      <c r="N585" t="s">
        <v>55</v>
      </c>
      <c r="O585">
        <v>1</v>
      </c>
      <c r="P585" t="s">
        <v>56</v>
      </c>
      <c r="Q585" s="2">
        <v>46247</v>
      </c>
      <c r="R585" t="s">
        <v>38</v>
      </c>
    </row>
    <row r="586" spans="1:18" x14ac:dyDescent="0.2">
      <c r="A586" t="s">
        <v>1228</v>
      </c>
      <c r="B586" t="s">
        <v>1229</v>
      </c>
      <c r="C586" t="s">
        <v>31</v>
      </c>
      <c r="D586" t="s">
        <v>87</v>
      </c>
      <c r="E586" t="s">
        <v>91</v>
      </c>
      <c r="F586" t="s">
        <v>45</v>
      </c>
      <c r="G586" t="s">
        <v>46</v>
      </c>
      <c r="H586" t="s">
        <v>88</v>
      </c>
      <c r="I586" t="s">
        <v>56</v>
      </c>
      <c r="J586" t="s">
        <v>37</v>
      </c>
      <c r="K586" s="2">
        <v>45927</v>
      </c>
      <c r="L586" s="2">
        <v>46292</v>
      </c>
      <c r="M586" t="s">
        <v>38</v>
      </c>
      <c r="O586">
        <v>3</v>
      </c>
      <c r="P586" t="s">
        <v>62</v>
      </c>
      <c r="Q586" s="2">
        <v>46116</v>
      </c>
      <c r="R586" t="s">
        <v>38</v>
      </c>
    </row>
    <row r="587" spans="1:18" x14ac:dyDescent="0.2">
      <c r="A587" t="s">
        <v>1230</v>
      </c>
      <c r="B587" t="s">
        <v>1231</v>
      </c>
      <c r="C587" t="s">
        <v>31</v>
      </c>
      <c r="D587" t="s">
        <v>87</v>
      </c>
      <c r="E587" t="s">
        <v>105</v>
      </c>
      <c r="F587" t="s">
        <v>67</v>
      </c>
      <c r="G587" t="s">
        <v>118</v>
      </c>
      <c r="H587" t="s">
        <v>88</v>
      </c>
      <c r="I587" t="s">
        <v>111</v>
      </c>
      <c r="J587" t="s">
        <v>37</v>
      </c>
      <c r="K587" s="2">
        <v>46022</v>
      </c>
      <c r="L587" s="2">
        <v>46202</v>
      </c>
      <c r="M587" t="s">
        <v>38</v>
      </c>
      <c r="N587" t="s">
        <v>49</v>
      </c>
      <c r="O587">
        <v>0</v>
      </c>
      <c r="P587" t="s">
        <v>111</v>
      </c>
      <c r="Q587" s="2">
        <v>46229</v>
      </c>
      <c r="R587" t="s">
        <v>57</v>
      </c>
    </row>
    <row r="588" spans="1:18" x14ac:dyDescent="0.2">
      <c r="A588" t="s">
        <v>1232</v>
      </c>
      <c r="B588" t="s">
        <v>1233</v>
      </c>
      <c r="C588" t="s">
        <v>103</v>
      </c>
      <c r="D588" t="s">
        <v>104</v>
      </c>
      <c r="E588" t="s">
        <v>80</v>
      </c>
      <c r="F588" t="s">
        <v>67</v>
      </c>
      <c r="G588" t="s">
        <v>68</v>
      </c>
      <c r="H588" t="s">
        <v>47</v>
      </c>
      <c r="I588" t="s">
        <v>70</v>
      </c>
      <c r="J588" t="s">
        <v>48</v>
      </c>
      <c r="K588" s="2">
        <v>45825</v>
      </c>
      <c r="L588" s="2">
        <v>46190</v>
      </c>
      <c r="M588" t="s">
        <v>38</v>
      </c>
      <c r="N588" t="s">
        <v>55</v>
      </c>
      <c r="O588">
        <v>1</v>
      </c>
      <c r="P588" t="s">
        <v>106</v>
      </c>
      <c r="Q588" s="2">
        <v>46331</v>
      </c>
      <c r="R588" t="s">
        <v>84</v>
      </c>
    </row>
    <row r="589" spans="1:18" x14ac:dyDescent="0.2">
      <c r="A589" t="s">
        <v>1234</v>
      </c>
      <c r="B589" t="s">
        <v>1235</v>
      </c>
      <c r="C589" t="s">
        <v>96</v>
      </c>
      <c r="D589" t="s">
        <v>97</v>
      </c>
      <c r="E589" t="s">
        <v>91</v>
      </c>
      <c r="F589" t="s">
        <v>67</v>
      </c>
      <c r="G589" t="s">
        <v>68</v>
      </c>
      <c r="H589" t="s">
        <v>88</v>
      </c>
      <c r="I589" t="s">
        <v>39</v>
      </c>
      <c r="J589" t="s">
        <v>37</v>
      </c>
      <c r="K589" s="2">
        <v>46030</v>
      </c>
      <c r="L589" s="2">
        <v>46210</v>
      </c>
      <c r="M589" t="s">
        <v>38</v>
      </c>
      <c r="N589" t="s">
        <v>55</v>
      </c>
      <c r="O589">
        <v>2</v>
      </c>
      <c r="P589" t="s">
        <v>39</v>
      </c>
      <c r="Q589" s="2">
        <v>46243</v>
      </c>
      <c r="R589" t="s">
        <v>64</v>
      </c>
    </row>
    <row r="590" spans="1:18" x14ac:dyDescent="0.2">
      <c r="A590" t="s">
        <v>1236</v>
      </c>
      <c r="B590" t="s">
        <v>1237</v>
      </c>
      <c r="C590" t="s">
        <v>31</v>
      </c>
      <c r="D590" t="s">
        <v>87</v>
      </c>
      <c r="E590" t="s">
        <v>105</v>
      </c>
      <c r="F590" t="s">
        <v>67</v>
      </c>
      <c r="G590" t="s">
        <v>68</v>
      </c>
      <c r="H590" t="s">
        <v>36</v>
      </c>
      <c r="I590" t="s">
        <v>111</v>
      </c>
      <c r="J590" t="s">
        <v>37</v>
      </c>
      <c r="K590" s="2">
        <v>45884</v>
      </c>
      <c r="L590" s="2">
        <v>45974</v>
      </c>
      <c r="M590" t="s">
        <v>38</v>
      </c>
      <c r="N590" t="s">
        <v>49</v>
      </c>
      <c r="O590">
        <v>3</v>
      </c>
      <c r="P590" t="s">
        <v>106</v>
      </c>
      <c r="Q590" s="2">
        <v>46411</v>
      </c>
      <c r="R590" t="s">
        <v>64</v>
      </c>
    </row>
    <row r="591" spans="1:18" x14ac:dyDescent="0.2">
      <c r="A591" t="s">
        <v>1238</v>
      </c>
      <c r="B591" t="s">
        <v>1239</v>
      </c>
      <c r="C591" t="s">
        <v>31</v>
      </c>
      <c r="D591" t="s">
        <v>87</v>
      </c>
      <c r="E591" t="s">
        <v>44</v>
      </c>
      <c r="F591" t="s">
        <v>34</v>
      </c>
      <c r="G591" t="s">
        <v>35</v>
      </c>
      <c r="H591" t="s">
        <v>47</v>
      </c>
      <c r="I591" t="s">
        <v>111</v>
      </c>
      <c r="J591" t="s">
        <v>37</v>
      </c>
      <c r="K591" s="2">
        <v>46247</v>
      </c>
      <c r="L591" s="2">
        <v>46427</v>
      </c>
      <c r="M591" t="s">
        <v>69</v>
      </c>
      <c r="N591" t="s">
        <v>55</v>
      </c>
      <c r="O591">
        <v>0</v>
      </c>
      <c r="P591" t="s">
        <v>62</v>
      </c>
      <c r="Q591" s="2">
        <v>46143</v>
      </c>
      <c r="R591" t="s">
        <v>57</v>
      </c>
    </row>
    <row r="592" spans="1:18" x14ac:dyDescent="0.2">
      <c r="A592" t="s">
        <v>1240</v>
      </c>
      <c r="B592" t="s">
        <v>1241</v>
      </c>
      <c r="C592" t="s">
        <v>31</v>
      </c>
      <c r="D592" t="s">
        <v>87</v>
      </c>
      <c r="E592" t="s">
        <v>44</v>
      </c>
      <c r="F592" t="s">
        <v>45</v>
      </c>
      <c r="G592" t="s">
        <v>61</v>
      </c>
      <c r="H592" t="s">
        <v>36</v>
      </c>
      <c r="I592" t="s">
        <v>39</v>
      </c>
      <c r="J592" t="s">
        <v>63</v>
      </c>
      <c r="K592" s="2">
        <v>46043</v>
      </c>
      <c r="L592" s="2">
        <v>46223</v>
      </c>
      <c r="M592" t="s">
        <v>38</v>
      </c>
      <c r="N592" t="s">
        <v>75</v>
      </c>
      <c r="O592">
        <v>3</v>
      </c>
      <c r="P592" t="s">
        <v>106</v>
      </c>
      <c r="Q592" s="2">
        <v>46166</v>
      </c>
      <c r="R592" t="s">
        <v>64</v>
      </c>
    </row>
    <row r="593" spans="1:18" x14ac:dyDescent="0.2">
      <c r="A593" t="s">
        <v>1242</v>
      </c>
      <c r="B593" t="s">
        <v>1243</v>
      </c>
      <c r="C593" t="s">
        <v>78</v>
      </c>
      <c r="D593" t="s">
        <v>79</v>
      </c>
      <c r="E593" t="s">
        <v>105</v>
      </c>
      <c r="F593" t="s">
        <v>34</v>
      </c>
      <c r="G593" t="s">
        <v>35</v>
      </c>
      <c r="H593" t="s">
        <v>47</v>
      </c>
      <c r="I593" t="s">
        <v>70</v>
      </c>
      <c r="J593" t="s">
        <v>63</v>
      </c>
      <c r="K593" s="2">
        <v>45972</v>
      </c>
      <c r="L593" s="2">
        <v>46062</v>
      </c>
      <c r="M593" t="s">
        <v>38</v>
      </c>
      <c r="N593" t="s">
        <v>49</v>
      </c>
      <c r="O593">
        <v>1</v>
      </c>
      <c r="P593" t="s">
        <v>111</v>
      </c>
      <c r="Q593" s="2">
        <v>46375</v>
      </c>
      <c r="R593" t="s">
        <v>64</v>
      </c>
    </row>
    <row r="594" spans="1:18" x14ac:dyDescent="0.2">
      <c r="A594" t="s">
        <v>1244</v>
      </c>
      <c r="B594" t="s">
        <v>1245</v>
      </c>
      <c r="C594" t="s">
        <v>31</v>
      </c>
      <c r="D594" t="s">
        <v>83</v>
      </c>
      <c r="E594" t="s">
        <v>44</v>
      </c>
      <c r="F594" t="s">
        <v>45</v>
      </c>
      <c r="G594" t="s">
        <v>46</v>
      </c>
      <c r="H594" t="s">
        <v>36</v>
      </c>
      <c r="I594" t="s">
        <v>39</v>
      </c>
      <c r="J594" t="s">
        <v>37</v>
      </c>
      <c r="K594" s="2">
        <v>46210</v>
      </c>
      <c r="L594" s="2">
        <v>46390</v>
      </c>
      <c r="M594" t="s">
        <v>69</v>
      </c>
      <c r="N594" t="s">
        <v>75</v>
      </c>
      <c r="O594">
        <v>4</v>
      </c>
      <c r="P594" t="s">
        <v>106</v>
      </c>
      <c r="Q594" s="2">
        <v>46392</v>
      </c>
      <c r="R594" t="s">
        <v>84</v>
      </c>
    </row>
    <row r="595" spans="1:18" x14ac:dyDescent="0.2">
      <c r="A595" t="s">
        <v>1246</v>
      </c>
      <c r="B595" t="s">
        <v>1247</v>
      </c>
      <c r="C595" t="s">
        <v>73</v>
      </c>
      <c r="D595" t="s">
        <v>74</v>
      </c>
      <c r="E595" t="s">
        <v>105</v>
      </c>
      <c r="F595" t="s">
        <v>67</v>
      </c>
      <c r="G595" t="s">
        <v>118</v>
      </c>
      <c r="H595" t="s">
        <v>88</v>
      </c>
      <c r="I595" t="s">
        <v>50</v>
      </c>
      <c r="J595" t="s">
        <v>48</v>
      </c>
      <c r="K595" s="2">
        <v>46246</v>
      </c>
      <c r="L595" s="2">
        <v>46336</v>
      </c>
      <c r="M595" t="s">
        <v>64</v>
      </c>
      <c r="N595" t="s">
        <v>49</v>
      </c>
      <c r="O595">
        <v>0</v>
      </c>
      <c r="P595" t="s">
        <v>54</v>
      </c>
      <c r="Q595" s="2">
        <v>46331</v>
      </c>
      <c r="R595" t="s">
        <v>57</v>
      </c>
    </row>
    <row r="596" spans="1:18" x14ac:dyDescent="0.2">
      <c r="A596" t="s">
        <v>1248</v>
      </c>
      <c r="B596" t="s">
        <v>1249</v>
      </c>
      <c r="C596" t="s">
        <v>31</v>
      </c>
      <c r="D596" t="s">
        <v>83</v>
      </c>
      <c r="E596" t="s">
        <v>44</v>
      </c>
      <c r="F596" t="s">
        <v>45</v>
      </c>
      <c r="G596" t="s">
        <v>61</v>
      </c>
      <c r="H596" t="s">
        <v>88</v>
      </c>
      <c r="I596" t="s">
        <v>111</v>
      </c>
      <c r="J596" t="s">
        <v>37</v>
      </c>
      <c r="K596" s="2">
        <v>45968</v>
      </c>
      <c r="L596" s="2">
        <v>46333</v>
      </c>
      <c r="M596" t="s">
        <v>64</v>
      </c>
      <c r="N596" t="s">
        <v>49</v>
      </c>
      <c r="O596">
        <v>2</v>
      </c>
      <c r="P596" t="s">
        <v>39</v>
      </c>
      <c r="Q596" s="2">
        <v>46268</v>
      </c>
      <c r="R596" t="s">
        <v>38</v>
      </c>
    </row>
    <row r="597" spans="1:18" x14ac:dyDescent="0.2">
      <c r="A597" t="s">
        <v>1250</v>
      </c>
      <c r="B597" t="s">
        <v>1251</v>
      </c>
      <c r="C597" t="s">
        <v>31</v>
      </c>
      <c r="D597" t="s">
        <v>83</v>
      </c>
      <c r="E597" t="s">
        <v>105</v>
      </c>
      <c r="F597" t="s">
        <v>67</v>
      </c>
      <c r="G597" t="s">
        <v>68</v>
      </c>
      <c r="H597" t="s">
        <v>88</v>
      </c>
      <c r="I597" t="s">
        <v>54</v>
      </c>
      <c r="J597" t="s">
        <v>48</v>
      </c>
      <c r="K597" s="2">
        <v>46037</v>
      </c>
      <c r="L597" s="2">
        <v>46402</v>
      </c>
      <c r="M597" t="s">
        <v>64</v>
      </c>
      <c r="N597" t="s">
        <v>75</v>
      </c>
      <c r="O597">
        <v>2</v>
      </c>
      <c r="P597" t="s">
        <v>106</v>
      </c>
      <c r="Q597" s="2">
        <v>46307</v>
      </c>
      <c r="R597" t="s">
        <v>64</v>
      </c>
    </row>
    <row r="598" spans="1:18" x14ac:dyDescent="0.2">
      <c r="A598" t="s">
        <v>1252</v>
      </c>
      <c r="B598" t="s">
        <v>1253</v>
      </c>
      <c r="C598" t="s">
        <v>103</v>
      </c>
      <c r="D598" t="s">
        <v>104</v>
      </c>
      <c r="E598" t="s">
        <v>53</v>
      </c>
      <c r="F598" t="s">
        <v>45</v>
      </c>
      <c r="G598" t="s">
        <v>46</v>
      </c>
      <c r="H598" t="s">
        <v>47</v>
      </c>
      <c r="I598" t="s">
        <v>70</v>
      </c>
      <c r="J598" t="s">
        <v>37</v>
      </c>
      <c r="K598" s="2">
        <v>46203</v>
      </c>
      <c r="L598" s="2">
        <v>46383</v>
      </c>
      <c r="M598" t="s">
        <v>64</v>
      </c>
      <c r="N598" t="s">
        <v>49</v>
      </c>
      <c r="O598">
        <v>2</v>
      </c>
      <c r="P598" t="s">
        <v>50</v>
      </c>
      <c r="Q598" s="2">
        <v>46137</v>
      </c>
      <c r="R598" t="s">
        <v>38</v>
      </c>
    </row>
    <row r="599" spans="1:18" x14ac:dyDescent="0.2">
      <c r="A599" t="s">
        <v>1254</v>
      </c>
      <c r="B599" t="s">
        <v>1255</v>
      </c>
      <c r="C599" t="s">
        <v>31</v>
      </c>
      <c r="D599" t="s">
        <v>87</v>
      </c>
      <c r="E599" t="s">
        <v>91</v>
      </c>
      <c r="F599" t="s">
        <v>45</v>
      </c>
      <c r="G599" t="s">
        <v>61</v>
      </c>
      <c r="H599" t="s">
        <v>47</v>
      </c>
      <c r="I599" t="s">
        <v>54</v>
      </c>
      <c r="J599" t="s">
        <v>63</v>
      </c>
      <c r="K599" s="2">
        <v>46184</v>
      </c>
      <c r="L599" s="2">
        <v>46274</v>
      </c>
      <c r="M599" t="s">
        <v>38</v>
      </c>
      <c r="N599" t="s">
        <v>55</v>
      </c>
      <c r="O599">
        <v>1</v>
      </c>
      <c r="P599" t="s">
        <v>50</v>
      </c>
      <c r="Q599" s="2">
        <v>46249</v>
      </c>
      <c r="R599" t="s">
        <v>38</v>
      </c>
    </row>
    <row r="600" spans="1:18" x14ac:dyDescent="0.2">
      <c r="A600" t="s">
        <v>1256</v>
      </c>
      <c r="B600" t="s">
        <v>1257</v>
      </c>
      <c r="C600" t="s">
        <v>78</v>
      </c>
      <c r="D600" t="s">
        <v>79</v>
      </c>
      <c r="E600" t="s">
        <v>53</v>
      </c>
      <c r="F600" t="s">
        <v>67</v>
      </c>
      <c r="G600" t="s">
        <v>68</v>
      </c>
      <c r="H600" t="s">
        <v>98</v>
      </c>
      <c r="I600" t="s">
        <v>56</v>
      </c>
      <c r="J600" t="s">
        <v>48</v>
      </c>
      <c r="K600" s="2">
        <v>46042</v>
      </c>
      <c r="L600" s="2">
        <v>46132</v>
      </c>
      <c r="M600" t="s">
        <v>38</v>
      </c>
      <c r="N600" t="s">
        <v>75</v>
      </c>
      <c r="O600">
        <v>2</v>
      </c>
      <c r="P600" t="s">
        <v>70</v>
      </c>
      <c r="Q600" s="2">
        <v>46202</v>
      </c>
      <c r="R600" t="s">
        <v>38</v>
      </c>
    </row>
    <row r="601" spans="1:18" x14ac:dyDescent="0.2">
      <c r="A601" t="s">
        <v>1258</v>
      </c>
      <c r="B601" t="s">
        <v>1259</v>
      </c>
      <c r="C601" t="s">
        <v>103</v>
      </c>
      <c r="D601" t="s">
        <v>104</v>
      </c>
      <c r="E601" t="s">
        <v>44</v>
      </c>
      <c r="F601" t="s">
        <v>45</v>
      </c>
      <c r="G601" t="s">
        <v>46</v>
      </c>
      <c r="H601" t="s">
        <v>47</v>
      </c>
      <c r="I601" t="s">
        <v>62</v>
      </c>
      <c r="J601" t="s">
        <v>63</v>
      </c>
      <c r="K601" s="2">
        <v>45920</v>
      </c>
      <c r="L601" s="2">
        <v>46100</v>
      </c>
      <c r="M601" t="s">
        <v>38</v>
      </c>
      <c r="N601" t="s">
        <v>75</v>
      </c>
      <c r="O601">
        <v>3</v>
      </c>
      <c r="P601" t="s">
        <v>56</v>
      </c>
      <c r="Q601" s="2">
        <v>46240</v>
      </c>
      <c r="R601" t="s">
        <v>38</v>
      </c>
    </row>
    <row r="602" spans="1:18" x14ac:dyDescent="0.2">
      <c r="A602" t="s">
        <v>1260</v>
      </c>
      <c r="B602" t="s">
        <v>1261</v>
      </c>
      <c r="C602" t="s">
        <v>96</v>
      </c>
      <c r="D602" t="s">
        <v>97</v>
      </c>
      <c r="E602" t="s">
        <v>44</v>
      </c>
      <c r="F602" t="s">
        <v>45</v>
      </c>
      <c r="G602" t="s">
        <v>61</v>
      </c>
      <c r="H602" t="s">
        <v>47</v>
      </c>
      <c r="I602" t="s">
        <v>56</v>
      </c>
      <c r="J602" t="s">
        <v>63</v>
      </c>
      <c r="K602" s="2">
        <v>45829</v>
      </c>
      <c r="L602" s="2">
        <v>45919</v>
      </c>
      <c r="M602" t="s">
        <v>38</v>
      </c>
      <c r="N602" t="s">
        <v>49</v>
      </c>
      <c r="O602">
        <v>3</v>
      </c>
      <c r="P602" t="s">
        <v>70</v>
      </c>
      <c r="Q602" s="2">
        <v>46222</v>
      </c>
      <c r="R602" t="s">
        <v>38</v>
      </c>
    </row>
    <row r="603" spans="1:18" x14ac:dyDescent="0.2">
      <c r="A603" t="s">
        <v>1262</v>
      </c>
      <c r="B603" t="s">
        <v>1263</v>
      </c>
      <c r="C603" t="s">
        <v>96</v>
      </c>
      <c r="D603" t="s">
        <v>97</v>
      </c>
      <c r="E603" t="s">
        <v>91</v>
      </c>
      <c r="F603" t="s">
        <v>45</v>
      </c>
      <c r="G603" t="s">
        <v>61</v>
      </c>
      <c r="H603" t="s">
        <v>36</v>
      </c>
      <c r="I603" t="s">
        <v>106</v>
      </c>
      <c r="J603" t="s">
        <v>37</v>
      </c>
      <c r="K603" s="2">
        <v>46020</v>
      </c>
      <c r="L603" s="2">
        <v>46385</v>
      </c>
      <c r="M603" t="s">
        <v>64</v>
      </c>
      <c r="N603" t="s">
        <v>75</v>
      </c>
      <c r="O603">
        <v>5</v>
      </c>
      <c r="P603" t="s">
        <v>111</v>
      </c>
      <c r="Q603" s="2">
        <v>46306</v>
      </c>
      <c r="R603" t="s">
        <v>84</v>
      </c>
    </row>
    <row r="604" spans="1:18" x14ac:dyDescent="0.2">
      <c r="A604" t="s">
        <v>1264</v>
      </c>
      <c r="B604" t="s">
        <v>1265</v>
      </c>
      <c r="C604" t="s">
        <v>42</v>
      </c>
      <c r="D604" t="s">
        <v>43</v>
      </c>
      <c r="E604" t="s">
        <v>91</v>
      </c>
      <c r="F604" t="s">
        <v>67</v>
      </c>
      <c r="G604" t="s">
        <v>118</v>
      </c>
      <c r="H604" t="s">
        <v>98</v>
      </c>
      <c r="I604" t="s">
        <v>39</v>
      </c>
      <c r="J604" t="s">
        <v>37</v>
      </c>
      <c r="K604" s="2">
        <v>46169</v>
      </c>
      <c r="L604" s="2">
        <v>46259</v>
      </c>
      <c r="M604" t="s">
        <v>38</v>
      </c>
      <c r="N604" t="s">
        <v>55</v>
      </c>
      <c r="O604">
        <v>3</v>
      </c>
      <c r="P604" t="s">
        <v>50</v>
      </c>
      <c r="Q604" s="2">
        <v>46235</v>
      </c>
      <c r="R604" t="s">
        <v>38</v>
      </c>
    </row>
    <row r="605" spans="1:18" x14ac:dyDescent="0.2">
      <c r="A605" t="s">
        <v>1266</v>
      </c>
      <c r="B605" t="s">
        <v>1267</v>
      </c>
      <c r="C605" t="s">
        <v>73</v>
      </c>
      <c r="D605" t="s">
        <v>74</v>
      </c>
      <c r="E605" t="s">
        <v>60</v>
      </c>
      <c r="F605" t="s">
        <v>67</v>
      </c>
      <c r="G605" t="s">
        <v>118</v>
      </c>
      <c r="H605" t="s">
        <v>47</v>
      </c>
      <c r="I605" t="s">
        <v>70</v>
      </c>
      <c r="J605" t="s">
        <v>37</v>
      </c>
      <c r="K605" s="2">
        <v>46124</v>
      </c>
      <c r="L605" s="2">
        <v>46304</v>
      </c>
      <c r="M605" t="s">
        <v>64</v>
      </c>
      <c r="N605" t="s">
        <v>55</v>
      </c>
      <c r="O605">
        <v>0</v>
      </c>
      <c r="P605" t="s">
        <v>111</v>
      </c>
      <c r="Q605" s="2">
        <v>46353</v>
      </c>
      <c r="R605" t="s">
        <v>57</v>
      </c>
    </row>
    <row r="606" spans="1:18" x14ac:dyDescent="0.2">
      <c r="A606" t="s">
        <v>1268</v>
      </c>
      <c r="B606" t="s">
        <v>1269</v>
      </c>
      <c r="C606" t="s">
        <v>73</v>
      </c>
      <c r="D606" t="s">
        <v>74</v>
      </c>
      <c r="E606" t="s">
        <v>53</v>
      </c>
      <c r="F606" t="s">
        <v>67</v>
      </c>
      <c r="G606" t="s">
        <v>118</v>
      </c>
      <c r="H606" t="s">
        <v>36</v>
      </c>
      <c r="I606" t="s">
        <v>106</v>
      </c>
      <c r="J606" t="s">
        <v>37</v>
      </c>
      <c r="K606" s="2">
        <v>46136</v>
      </c>
      <c r="L606" s="2">
        <v>46316</v>
      </c>
      <c r="M606" t="s">
        <v>64</v>
      </c>
      <c r="N606" t="s">
        <v>75</v>
      </c>
      <c r="O606">
        <v>1</v>
      </c>
      <c r="P606" t="s">
        <v>70</v>
      </c>
      <c r="Q606" s="2">
        <v>46250</v>
      </c>
      <c r="R606" t="s">
        <v>38</v>
      </c>
    </row>
    <row r="607" spans="1:18" x14ac:dyDescent="0.2">
      <c r="A607" t="s">
        <v>1270</v>
      </c>
      <c r="B607" t="s">
        <v>1271</v>
      </c>
      <c r="C607" t="s">
        <v>42</v>
      </c>
      <c r="D607" t="s">
        <v>43</v>
      </c>
      <c r="E607" t="s">
        <v>105</v>
      </c>
      <c r="F607" t="s">
        <v>67</v>
      </c>
      <c r="G607" t="s">
        <v>68</v>
      </c>
      <c r="H607" t="s">
        <v>47</v>
      </c>
      <c r="I607" t="s">
        <v>106</v>
      </c>
      <c r="J607" t="s">
        <v>63</v>
      </c>
      <c r="K607" s="2">
        <v>46256</v>
      </c>
      <c r="L607" s="2">
        <v>46621</v>
      </c>
      <c r="M607" t="s">
        <v>64</v>
      </c>
      <c r="N607" t="s">
        <v>55</v>
      </c>
      <c r="O607">
        <v>2</v>
      </c>
      <c r="P607" t="s">
        <v>50</v>
      </c>
      <c r="Q607" s="2">
        <v>46243</v>
      </c>
      <c r="R607" t="s">
        <v>64</v>
      </c>
    </row>
    <row r="608" spans="1:18" x14ac:dyDescent="0.2">
      <c r="A608" t="s">
        <v>1272</v>
      </c>
      <c r="B608" t="s">
        <v>1273</v>
      </c>
      <c r="C608" t="s">
        <v>31</v>
      </c>
      <c r="D608" t="s">
        <v>87</v>
      </c>
      <c r="E608" t="s">
        <v>105</v>
      </c>
      <c r="F608" t="s">
        <v>34</v>
      </c>
      <c r="G608" t="s">
        <v>35</v>
      </c>
      <c r="H608" t="s">
        <v>36</v>
      </c>
      <c r="I608" t="s">
        <v>56</v>
      </c>
      <c r="J608" t="s">
        <v>63</v>
      </c>
      <c r="K608" s="2">
        <v>45854</v>
      </c>
      <c r="L608" s="2">
        <v>46034</v>
      </c>
      <c r="M608" t="s">
        <v>38</v>
      </c>
      <c r="N608" t="s">
        <v>75</v>
      </c>
      <c r="O608">
        <v>3</v>
      </c>
      <c r="P608" t="s">
        <v>50</v>
      </c>
      <c r="Q608" s="2">
        <v>46411</v>
      </c>
      <c r="R608" t="s">
        <v>84</v>
      </c>
    </row>
    <row r="609" spans="1:18" x14ac:dyDescent="0.2">
      <c r="A609" t="s">
        <v>1274</v>
      </c>
      <c r="B609" t="s">
        <v>1275</v>
      </c>
      <c r="C609" t="s">
        <v>96</v>
      </c>
      <c r="D609" t="s">
        <v>97</v>
      </c>
      <c r="E609" t="s">
        <v>44</v>
      </c>
      <c r="F609" t="s">
        <v>67</v>
      </c>
      <c r="G609" t="s">
        <v>68</v>
      </c>
      <c r="H609" t="s">
        <v>36</v>
      </c>
      <c r="I609" t="s">
        <v>54</v>
      </c>
      <c r="J609" t="s">
        <v>48</v>
      </c>
      <c r="K609" s="2">
        <v>46033</v>
      </c>
      <c r="L609" s="2">
        <v>46123</v>
      </c>
      <c r="M609" t="s">
        <v>38</v>
      </c>
      <c r="N609" t="s">
        <v>49</v>
      </c>
      <c r="O609">
        <v>4</v>
      </c>
      <c r="P609" t="s">
        <v>106</v>
      </c>
      <c r="Q609" s="2">
        <v>46397</v>
      </c>
      <c r="R609" t="s">
        <v>84</v>
      </c>
    </row>
    <row r="610" spans="1:18" x14ac:dyDescent="0.2">
      <c r="A610" t="s">
        <v>1276</v>
      </c>
      <c r="B610" t="s">
        <v>1277</v>
      </c>
      <c r="C610" t="s">
        <v>31</v>
      </c>
      <c r="D610" t="s">
        <v>87</v>
      </c>
      <c r="E610" t="s">
        <v>91</v>
      </c>
      <c r="F610" t="s">
        <v>45</v>
      </c>
      <c r="G610" t="s">
        <v>61</v>
      </c>
      <c r="H610" t="s">
        <v>88</v>
      </c>
      <c r="I610" t="s">
        <v>111</v>
      </c>
      <c r="J610" t="s">
        <v>63</v>
      </c>
      <c r="K610" s="2">
        <v>46045</v>
      </c>
      <c r="L610" s="2">
        <v>46410</v>
      </c>
      <c r="M610" t="s">
        <v>64</v>
      </c>
      <c r="N610" t="s">
        <v>55</v>
      </c>
      <c r="O610">
        <v>1</v>
      </c>
      <c r="P610" t="s">
        <v>106</v>
      </c>
      <c r="Q610" s="2">
        <v>46271</v>
      </c>
      <c r="R610" t="s">
        <v>38</v>
      </c>
    </row>
    <row r="611" spans="1:18" x14ac:dyDescent="0.2">
      <c r="A611" t="s">
        <v>1278</v>
      </c>
      <c r="B611" t="s">
        <v>1279</v>
      </c>
      <c r="C611" t="s">
        <v>31</v>
      </c>
      <c r="D611" t="s">
        <v>87</v>
      </c>
      <c r="E611" t="s">
        <v>80</v>
      </c>
      <c r="F611" t="s">
        <v>67</v>
      </c>
      <c r="G611" t="s">
        <v>68</v>
      </c>
      <c r="H611" t="s">
        <v>88</v>
      </c>
      <c r="I611" t="s">
        <v>62</v>
      </c>
      <c r="J611" t="s">
        <v>48</v>
      </c>
      <c r="K611" s="2">
        <v>45885</v>
      </c>
      <c r="L611" s="2">
        <v>46250</v>
      </c>
      <c r="M611" t="s">
        <v>38</v>
      </c>
      <c r="N611" t="s">
        <v>49</v>
      </c>
      <c r="O611">
        <v>2</v>
      </c>
      <c r="P611" t="s">
        <v>106</v>
      </c>
      <c r="Q611" s="2">
        <v>46281</v>
      </c>
      <c r="R611" t="s">
        <v>38</v>
      </c>
    </row>
    <row r="612" spans="1:18" x14ac:dyDescent="0.2">
      <c r="A612" t="s">
        <v>1280</v>
      </c>
      <c r="B612" t="s">
        <v>1281</v>
      </c>
      <c r="C612" t="s">
        <v>96</v>
      </c>
      <c r="D612" t="s">
        <v>97</v>
      </c>
      <c r="E612" t="s">
        <v>80</v>
      </c>
      <c r="F612" t="s">
        <v>34</v>
      </c>
      <c r="G612" t="s">
        <v>35</v>
      </c>
      <c r="H612" t="s">
        <v>47</v>
      </c>
      <c r="I612" t="s">
        <v>62</v>
      </c>
      <c r="J612" t="s">
        <v>37</v>
      </c>
      <c r="K612" s="2">
        <v>46243</v>
      </c>
      <c r="L612" s="2">
        <v>46608</v>
      </c>
      <c r="M612" t="s">
        <v>64</v>
      </c>
      <c r="N612" t="s">
        <v>75</v>
      </c>
      <c r="O612">
        <v>0</v>
      </c>
      <c r="P612" t="s">
        <v>70</v>
      </c>
      <c r="Q612" s="2">
        <v>46283</v>
      </c>
      <c r="R612" t="s">
        <v>57</v>
      </c>
    </row>
    <row r="613" spans="1:18" x14ac:dyDescent="0.2">
      <c r="A613" t="s">
        <v>1282</v>
      </c>
      <c r="B613" t="s">
        <v>1283</v>
      </c>
      <c r="C613" t="s">
        <v>31</v>
      </c>
      <c r="D613" t="s">
        <v>32</v>
      </c>
      <c r="E613" t="s">
        <v>91</v>
      </c>
      <c r="F613" t="s">
        <v>45</v>
      </c>
      <c r="G613" t="s">
        <v>46</v>
      </c>
      <c r="H613" t="s">
        <v>88</v>
      </c>
      <c r="I613" t="s">
        <v>39</v>
      </c>
      <c r="J613" t="s">
        <v>37</v>
      </c>
      <c r="K613" s="2">
        <v>45852</v>
      </c>
      <c r="L613" s="2">
        <v>46217</v>
      </c>
      <c r="M613" t="s">
        <v>38</v>
      </c>
      <c r="N613" t="s">
        <v>49</v>
      </c>
      <c r="O613">
        <v>3</v>
      </c>
      <c r="P613" t="s">
        <v>54</v>
      </c>
      <c r="Q613" s="2">
        <v>46128</v>
      </c>
      <c r="R613" t="s">
        <v>64</v>
      </c>
    </row>
    <row r="614" spans="1:18" x14ac:dyDescent="0.2">
      <c r="A614" t="s">
        <v>1284</v>
      </c>
      <c r="B614" t="s">
        <v>1285</v>
      </c>
      <c r="C614" t="s">
        <v>31</v>
      </c>
      <c r="D614" t="s">
        <v>32</v>
      </c>
      <c r="E614" t="s">
        <v>91</v>
      </c>
      <c r="F614" t="s">
        <v>45</v>
      </c>
      <c r="G614" t="s">
        <v>61</v>
      </c>
      <c r="H614" t="s">
        <v>88</v>
      </c>
      <c r="I614" t="s">
        <v>111</v>
      </c>
      <c r="J614" t="s">
        <v>63</v>
      </c>
      <c r="K614" s="2">
        <v>46246</v>
      </c>
      <c r="L614" s="2">
        <v>46426</v>
      </c>
      <c r="M614" t="s">
        <v>64</v>
      </c>
      <c r="N614" t="s">
        <v>55</v>
      </c>
      <c r="O614">
        <v>2</v>
      </c>
      <c r="P614" t="s">
        <v>62</v>
      </c>
      <c r="Q614" s="2">
        <v>46325</v>
      </c>
      <c r="R614" t="s">
        <v>84</v>
      </c>
    </row>
    <row r="615" spans="1:18" x14ac:dyDescent="0.2">
      <c r="A615" t="s">
        <v>1286</v>
      </c>
      <c r="B615" t="s">
        <v>1287</v>
      </c>
      <c r="C615" t="s">
        <v>42</v>
      </c>
      <c r="D615" t="s">
        <v>43</v>
      </c>
      <c r="E615" t="s">
        <v>80</v>
      </c>
      <c r="F615" t="s">
        <v>67</v>
      </c>
      <c r="G615" t="s">
        <v>68</v>
      </c>
      <c r="H615" t="s">
        <v>98</v>
      </c>
      <c r="I615" t="s">
        <v>54</v>
      </c>
      <c r="J615" t="s">
        <v>48</v>
      </c>
      <c r="K615" s="2">
        <v>46209</v>
      </c>
      <c r="L615" s="2">
        <v>46299</v>
      </c>
      <c r="M615" t="s">
        <v>64</v>
      </c>
      <c r="N615" t="s">
        <v>49</v>
      </c>
      <c r="O615">
        <v>5</v>
      </c>
      <c r="P615" t="s">
        <v>111</v>
      </c>
      <c r="Q615" s="2">
        <v>46358</v>
      </c>
      <c r="R615" t="s">
        <v>64</v>
      </c>
    </row>
    <row r="616" spans="1:18" x14ac:dyDescent="0.2">
      <c r="A616" t="s">
        <v>1288</v>
      </c>
      <c r="B616" t="s">
        <v>1289</v>
      </c>
      <c r="C616" t="s">
        <v>96</v>
      </c>
      <c r="D616" t="s">
        <v>97</v>
      </c>
      <c r="E616" t="s">
        <v>105</v>
      </c>
      <c r="F616" t="s">
        <v>67</v>
      </c>
      <c r="G616" t="s">
        <v>68</v>
      </c>
      <c r="H616" t="s">
        <v>98</v>
      </c>
      <c r="J616" t="s">
        <v>37</v>
      </c>
      <c r="K616" s="2">
        <v>46047</v>
      </c>
      <c r="L616" s="2">
        <v>46137</v>
      </c>
      <c r="M616" t="s">
        <v>38</v>
      </c>
      <c r="N616" t="s">
        <v>75</v>
      </c>
      <c r="O616">
        <v>4</v>
      </c>
      <c r="P616" t="s">
        <v>39</v>
      </c>
      <c r="Q616" s="2">
        <v>46241</v>
      </c>
      <c r="R616" t="s">
        <v>38</v>
      </c>
    </row>
    <row r="617" spans="1:18" x14ac:dyDescent="0.2">
      <c r="A617" t="s">
        <v>1290</v>
      </c>
      <c r="B617" t="s">
        <v>1291</v>
      </c>
      <c r="C617" t="s">
        <v>78</v>
      </c>
      <c r="D617" t="s">
        <v>79</v>
      </c>
      <c r="E617" t="s">
        <v>53</v>
      </c>
      <c r="F617" t="s">
        <v>34</v>
      </c>
      <c r="G617" t="s">
        <v>35</v>
      </c>
      <c r="H617" t="s">
        <v>88</v>
      </c>
      <c r="I617" t="s">
        <v>111</v>
      </c>
      <c r="J617" t="s">
        <v>37</v>
      </c>
      <c r="K617" s="2">
        <v>46098</v>
      </c>
      <c r="L617" s="2">
        <v>46463</v>
      </c>
      <c r="M617" t="s">
        <v>69</v>
      </c>
      <c r="N617" t="s">
        <v>75</v>
      </c>
      <c r="O617">
        <v>1</v>
      </c>
      <c r="P617" t="s">
        <v>50</v>
      </c>
      <c r="Q617" s="2">
        <v>46327</v>
      </c>
      <c r="R617" t="s">
        <v>64</v>
      </c>
    </row>
    <row r="618" spans="1:18" x14ac:dyDescent="0.2">
      <c r="A618" t="s">
        <v>1292</v>
      </c>
      <c r="B618" t="s">
        <v>1293</v>
      </c>
      <c r="C618" t="s">
        <v>103</v>
      </c>
      <c r="D618" t="s">
        <v>104</v>
      </c>
      <c r="E618" t="s">
        <v>80</v>
      </c>
      <c r="F618" t="s">
        <v>34</v>
      </c>
      <c r="G618" t="s">
        <v>35</v>
      </c>
      <c r="H618" t="s">
        <v>88</v>
      </c>
      <c r="I618" t="s">
        <v>39</v>
      </c>
      <c r="J618" t="s">
        <v>37</v>
      </c>
      <c r="K618" s="2">
        <v>46153</v>
      </c>
      <c r="L618" s="2">
        <v>46243</v>
      </c>
      <c r="M618" t="s">
        <v>38</v>
      </c>
      <c r="N618" t="s">
        <v>75</v>
      </c>
      <c r="O618">
        <v>2</v>
      </c>
      <c r="P618" t="s">
        <v>70</v>
      </c>
      <c r="Q618" s="2">
        <v>46149</v>
      </c>
      <c r="R618" t="s">
        <v>38</v>
      </c>
    </row>
    <row r="619" spans="1:18" x14ac:dyDescent="0.2">
      <c r="A619" t="s">
        <v>1294</v>
      </c>
      <c r="B619" t="s">
        <v>1295</v>
      </c>
      <c r="C619" t="s">
        <v>96</v>
      </c>
      <c r="D619" t="s">
        <v>97</v>
      </c>
      <c r="E619" t="s">
        <v>105</v>
      </c>
      <c r="F619" t="s">
        <v>67</v>
      </c>
      <c r="G619" t="s">
        <v>68</v>
      </c>
      <c r="H619" t="s">
        <v>88</v>
      </c>
      <c r="I619" t="s">
        <v>106</v>
      </c>
      <c r="J619" t="s">
        <v>48</v>
      </c>
      <c r="K619" s="2">
        <v>46066</v>
      </c>
      <c r="L619" s="2">
        <v>46246</v>
      </c>
      <c r="M619" t="s">
        <v>38</v>
      </c>
      <c r="N619" t="s">
        <v>55</v>
      </c>
      <c r="O619">
        <v>2</v>
      </c>
      <c r="P619" t="s">
        <v>111</v>
      </c>
      <c r="Q619" s="2">
        <v>46221</v>
      </c>
      <c r="R619" t="s">
        <v>38</v>
      </c>
    </row>
    <row r="620" spans="1:18" x14ac:dyDescent="0.2">
      <c r="A620" t="s">
        <v>1296</v>
      </c>
      <c r="B620" t="s">
        <v>1297</v>
      </c>
      <c r="C620" t="s">
        <v>31</v>
      </c>
      <c r="D620" t="s">
        <v>83</v>
      </c>
      <c r="E620" t="s">
        <v>91</v>
      </c>
      <c r="F620" t="s">
        <v>67</v>
      </c>
      <c r="G620" t="s">
        <v>118</v>
      </c>
      <c r="H620" t="s">
        <v>88</v>
      </c>
      <c r="I620" t="s">
        <v>54</v>
      </c>
      <c r="J620" t="s">
        <v>63</v>
      </c>
      <c r="K620" s="2">
        <v>46072</v>
      </c>
      <c r="L620" s="2">
        <v>46162</v>
      </c>
      <c r="M620" t="s">
        <v>38</v>
      </c>
      <c r="N620" t="s">
        <v>55</v>
      </c>
      <c r="O620">
        <v>2</v>
      </c>
      <c r="P620" t="s">
        <v>111</v>
      </c>
      <c r="Q620" s="2">
        <v>46173</v>
      </c>
      <c r="R620" t="s">
        <v>38</v>
      </c>
    </row>
    <row r="621" spans="1:18" x14ac:dyDescent="0.2">
      <c r="A621" t="s">
        <v>1298</v>
      </c>
      <c r="B621" t="s">
        <v>1299</v>
      </c>
      <c r="C621" t="s">
        <v>31</v>
      </c>
      <c r="D621" t="s">
        <v>83</v>
      </c>
      <c r="E621" t="s">
        <v>105</v>
      </c>
      <c r="F621" t="s">
        <v>67</v>
      </c>
      <c r="G621" t="s">
        <v>118</v>
      </c>
      <c r="H621" t="s">
        <v>47</v>
      </c>
      <c r="I621" t="s">
        <v>54</v>
      </c>
      <c r="J621" t="s">
        <v>48</v>
      </c>
      <c r="K621" s="2">
        <v>45910</v>
      </c>
      <c r="L621" s="2">
        <v>46090</v>
      </c>
      <c r="M621" t="s">
        <v>38</v>
      </c>
      <c r="N621" t="s">
        <v>55</v>
      </c>
      <c r="O621">
        <v>3</v>
      </c>
      <c r="P621" t="s">
        <v>70</v>
      </c>
      <c r="Q621" s="2">
        <v>46257</v>
      </c>
      <c r="R621" t="s">
        <v>38</v>
      </c>
    </row>
    <row r="622" spans="1:18" x14ac:dyDescent="0.2">
      <c r="A622" t="s">
        <v>1300</v>
      </c>
      <c r="B622" t="s">
        <v>1301</v>
      </c>
      <c r="C622" t="s">
        <v>31</v>
      </c>
      <c r="D622" t="s">
        <v>83</v>
      </c>
      <c r="E622" t="s">
        <v>105</v>
      </c>
      <c r="F622" t="s">
        <v>45</v>
      </c>
      <c r="G622" t="s">
        <v>61</v>
      </c>
      <c r="H622" t="s">
        <v>88</v>
      </c>
      <c r="I622" t="s">
        <v>62</v>
      </c>
      <c r="J622" t="s">
        <v>37</v>
      </c>
      <c r="K622" s="2">
        <v>46189</v>
      </c>
      <c r="L622" s="2">
        <v>46279</v>
      </c>
      <c r="M622" t="s">
        <v>38</v>
      </c>
      <c r="N622" t="s">
        <v>49</v>
      </c>
      <c r="O622">
        <v>0</v>
      </c>
      <c r="P622" t="s">
        <v>50</v>
      </c>
      <c r="Q622" s="2">
        <v>46254</v>
      </c>
      <c r="R622" t="s">
        <v>57</v>
      </c>
    </row>
    <row r="623" spans="1:18" x14ac:dyDescent="0.2">
      <c r="A623" t="s">
        <v>1302</v>
      </c>
      <c r="B623" t="s">
        <v>1303</v>
      </c>
      <c r="C623" t="s">
        <v>42</v>
      </c>
      <c r="D623" t="s">
        <v>43</v>
      </c>
      <c r="E623" t="s">
        <v>91</v>
      </c>
      <c r="F623" t="s">
        <v>45</v>
      </c>
      <c r="G623" t="s">
        <v>46</v>
      </c>
      <c r="H623" t="s">
        <v>88</v>
      </c>
      <c r="I623" t="s">
        <v>111</v>
      </c>
      <c r="J623" t="s">
        <v>48</v>
      </c>
      <c r="K623" s="2">
        <v>45919</v>
      </c>
      <c r="L623" s="2">
        <v>46009</v>
      </c>
      <c r="M623" t="s">
        <v>38</v>
      </c>
      <c r="N623" t="s">
        <v>49</v>
      </c>
      <c r="O623">
        <v>0</v>
      </c>
      <c r="P623" t="s">
        <v>39</v>
      </c>
      <c r="Q623" s="2">
        <v>46314</v>
      </c>
      <c r="R623" t="s">
        <v>57</v>
      </c>
    </row>
    <row r="624" spans="1:18" x14ac:dyDescent="0.2">
      <c r="A624" t="s">
        <v>1304</v>
      </c>
      <c r="B624" t="s">
        <v>1305</v>
      </c>
      <c r="C624" t="s">
        <v>78</v>
      </c>
      <c r="D624" t="s">
        <v>79</v>
      </c>
      <c r="E624" t="s">
        <v>44</v>
      </c>
      <c r="F624" t="s">
        <v>45</v>
      </c>
      <c r="G624" t="s">
        <v>61</v>
      </c>
      <c r="H624" t="s">
        <v>98</v>
      </c>
      <c r="I624" t="s">
        <v>106</v>
      </c>
      <c r="J624" t="s">
        <v>48</v>
      </c>
      <c r="K624" s="2">
        <v>45810</v>
      </c>
      <c r="L624" s="2">
        <v>45900</v>
      </c>
      <c r="M624" t="s">
        <v>38</v>
      </c>
      <c r="N624" t="s">
        <v>55</v>
      </c>
      <c r="O624">
        <v>0</v>
      </c>
      <c r="P624" t="s">
        <v>106</v>
      </c>
      <c r="Q624" s="2">
        <v>46123</v>
      </c>
      <c r="R624" t="s">
        <v>57</v>
      </c>
    </row>
    <row r="625" spans="1:18" x14ac:dyDescent="0.2">
      <c r="A625" t="s">
        <v>1306</v>
      </c>
      <c r="B625" t="s">
        <v>1307</v>
      </c>
      <c r="C625" t="s">
        <v>31</v>
      </c>
      <c r="D625" t="s">
        <v>32</v>
      </c>
      <c r="E625" t="s">
        <v>44</v>
      </c>
      <c r="F625" t="s">
        <v>45</v>
      </c>
      <c r="G625" t="s">
        <v>46</v>
      </c>
      <c r="H625" t="s">
        <v>98</v>
      </c>
      <c r="I625" t="s">
        <v>70</v>
      </c>
      <c r="J625" t="s">
        <v>37</v>
      </c>
      <c r="K625" s="2">
        <v>45867</v>
      </c>
      <c r="L625" s="2">
        <v>46232</v>
      </c>
      <c r="M625" t="s">
        <v>38</v>
      </c>
      <c r="N625" t="s">
        <v>55</v>
      </c>
      <c r="O625">
        <v>5</v>
      </c>
      <c r="P625" t="s">
        <v>106</v>
      </c>
      <c r="Q625" s="2">
        <v>46200</v>
      </c>
      <c r="R625" t="s">
        <v>64</v>
      </c>
    </row>
    <row r="626" spans="1:18" x14ac:dyDescent="0.2">
      <c r="A626" t="s">
        <v>1308</v>
      </c>
      <c r="B626" t="s">
        <v>1309</v>
      </c>
      <c r="C626" t="s">
        <v>73</v>
      </c>
      <c r="D626" t="s">
        <v>74</v>
      </c>
      <c r="E626" t="s">
        <v>60</v>
      </c>
      <c r="F626" t="s">
        <v>34</v>
      </c>
      <c r="G626" t="s">
        <v>35</v>
      </c>
      <c r="H626" t="s">
        <v>47</v>
      </c>
      <c r="I626" t="s">
        <v>62</v>
      </c>
      <c r="J626" t="s">
        <v>48</v>
      </c>
      <c r="K626" s="2">
        <v>45795</v>
      </c>
      <c r="L626" s="2">
        <v>45975</v>
      </c>
      <c r="M626" t="s">
        <v>38</v>
      </c>
      <c r="N626" t="s">
        <v>55</v>
      </c>
      <c r="O626">
        <v>1</v>
      </c>
      <c r="P626" t="s">
        <v>62</v>
      </c>
      <c r="Q626" s="2">
        <v>46224</v>
      </c>
      <c r="R626" t="s">
        <v>64</v>
      </c>
    </row>
    <row r="627" spans="1:18" x14ac:dyDescent="0.2">
      <c r="A627" t="s">
        <v>1310</v>
      </c>
      <c r="B627" t="s">
        <v>1311</v>
      </c>
      <c r="C627" t="s">
        <v>103</v>
      </c>
      <c r="D627" t="s">
        <v>104</v>
      </c>
      <c r="E627" t="s">
        <v>105</v>
      </c>
      <c r="F627" t="s">
        <v>34</v>
      </c>
      <c r="G627" t="s">
        <v>35</v>
      </c>
      <c r="H627" t="s">
        <v>88</v>
      </c>
      <c r="I627" t="s">
        <v>111</v>
      </c>
      <c r="J627" t="s">
        <v>37</v>
      </c>
      <c r="K627" s="2">
        <v>46163</v>
      </c>
      <c r="L627" s="2">
        <v>46253</v>
      </c>
      <c r="M627" t="s">
        <v>38</v>
      </c>
      <c r="N627" t="s">
        <v>49</v>
      </c>
      <c r="O627">
        <v>2</v>
      </c>
      <c r="P627" t="s">
        <v>111</v>
      </c>
      <c r="Q627" s="2">
        <v>46303</v>
      </c>
      <c r="R627" t="s">
        <v>64</v>
      </c>
    </row>
    <row r="628" spans="1:18" x14ac:dyDescent="0.2">
      <c r="A628" t="s">
        <v>1312</v>
      </c>
      <c r="B628" t="s">
        <v>1313</v>
      </c>
      <c r="C628" t="s">
        <v>73</v>
      </c>
      <c r="D628" t="s">
        <v>74</v>
      </c>
      <c r="E628" t="s">
        <v>53</v>
      </c>
      <c r="F628" t="s">
        <v>45</v>
      </c>
      <c r="G628" t="s">
        <v>46</v>
      </c>
      <c r="H628" t="s">
        <v>98</v>
      </c>
      <c r="I628" t="s">
        <v>106</v>
      </c>
      <c r="J628" t="s">
        <v>63</v>
      </c>
      <c r="K628" s="2">
        <v>45952</v>
      </c>
      <c r="L628" s="2">
        <v>46317</v>
      </c>
      <c r="M628" t="s">
        <v>64</v>
      </c>
      <c r="N628" t="s">
        <v>49</v>
      </c>
      <c r="O628">
        <v>1</v>
      </c>
      <c r="P628" t="s">
        <v>111</v>
      </c>
      <c r="Q628" s="2">
        <v>46285</v>
      </c>
      <c r="R628" t="s">
        <v>64</v>
      </c>
    </row>
    <row r="629" spans="1:18" x14ac:dyDescent="0.2">
      <c r="A629" t="s">
        <v>1314</v>
      </c>
      <c r="B629" t="s">
        <v>1315</v>
      </c>
      <c r="C629" t="s">
        <v>31</v>
      </c>
      <c r="D629" t="s">
        <v>87</v>
      </c>
      <c r="E629" t="s">
        <v>105</v>
      </c>
      <c r="F629" t="s">
        <v>45</v>
      </c>
      <c r="G629" t="s">
        <v>61</v>
      </c>
      <c r="H629" t="s">
        <v>88</v>
      </c>
      <c r="I629" t="s">
        <v>111</v>
      </c>
      <c r="J629" t="s">
        <v>48</v>
      </c>
      <c r="K629" s="2">
        <v>46080</v>
      </c>
      <c r="L629" s="2">
        <v>46445</v>
      </c>
      <c r="M629" t="s">
        <v>84</v>
      </c>
      <c r="N629" t="s">
        <v>49</v>
      </c>
      <c r="O629">
        <v>0</v>
      </c>
      <c r="P629" t="s">
        <v>56</v>
      </c>
      <c r="Q629" s="2">
        <v>46234</v>
      </c>
      <c r="R629" t="s">
        <v>57</v>
      </c>
    </row>
    <row r="630" spans="1:18" x14ac:dyDescent="0.2">
      <c r="A630" t="s">
        <v>1316</v>
      </c>
      <c r="B630" t="s">
        <v>1317</v>
      </c>
      <c r="C630" t="s">
        <v>31</v>
      </c>
      <c r="D630" t="s">
        <v>87</v>
      </c>
      <c r="E630" t="s">
        <v>44</v>
      </c>
      <c r="F630" t="s">
        <v>45</v>
      </c>
      <c r="G630" t="s">
        <v>61</v>
      </c>
      <c r="H630" t="s">
        <v>88</v>
      </c>
      <c r="I630" t="s">
        <v>39</v>
      </c>
      <c r="J630" t="s">
        <v>63</v>
      </c>
      <c r="K630" s="2">
        <v>46205</v>
      </c>
      <c r="L630" s="2">
        <v>46385</v>
      </c>
      <c r="M630" t="s">
        <v>64</v>
      </c>
      <c r="N630" t="s">
        <v>55</v>
      </c>
      <c r="O630">
        <v>1</v>
      </c>
      <c r="P630" t="s">
        <v>111</v>
      </c>
      <c r="Q630" s="2">
        <v>46307</v>
      </c>
      <c r="R630" t="s">
        <v>64</v>
      </c>
    </row>
    <row r="631" spans="1:18" x14ac:dyDescent="0.2">
      <c r="A631" t="s">
        <v>1318</v>
      </c>
      <c r="B631" t="s">
        <v>1319</v>
      </c>
      <c r="C631" t="s">
        <v>73</v>
      </c>
      <c r="D631" t="s">
        <v>74</v>
      </c>
      <c r="E631" t="s">
        <v>44</v>
      </c>
      <c r="F631" t="s">
        <v>34</v>
      </c>
      <c r="G631" t="s">
        <v>35</v>
      </c>
      <c r="H631" t="s">
        <v>47</v>
      </c>
      <c r="I631" t="s">
        <v>39</v>
      </c>
      <c r="J631" t="s">
        <v>48</v>
      </c>
      <c r="K631" s="2">
        <v>46009</v>
      </c>
      <c r="L631" s="2">
        <v>46189</v>
      </c>
      <c r="M631" t="s">
        <v>38</v>
      </c>
      <c r="N631" t="s">
        <v>49</v>
      </c>
      <c r="O631">
        <v>2</v>
      </c>
      <c r="P631" t="s">
        <v>54</v>
      </c>
      <c r="Q631" s="2">
        <v>46127</v>
      </c>
      <c r="R631" t="s">
        <v>64</v>
      </c>
    </row>
    <row r="632" spans="1:18" x14ac:dyDescent="0.2">
      <c r="A632" t="s">
        <v>1320</v>
      </c>
      <c r="B632" t="s">
        <v>1321</v>
      </c>
      <c r="C632" t="s">
        <v>31</v>
      </c>
      <c r="D632" t="s">
        <v>87</v>
      </c>
      <c r="E632" t="s">
        <v>91</v>
      </c>
      <c r="F632" t="s">
        <v>34</v>
      </c>
      <c r="G632" t="s">
        <v>35</v>
      </c>
      <c r="H632" t="s">
        <v>98</v>
      </c>
      <c r="I632" t="s">
        <v>54</v>
      </c>
      <c r="J632" t="s">
        <v>37</v>
      </c>
      <c r="K632" s="2">
        <v>45964</v>
      </c>
      <c r="L632" s="2">
        <v>46144</v>
      </c>
      <c r="M632" t="s">
        <v>38</v>
      </c>
      <c r="N632" t="s">
        <v>49</v>
      </c>
      <c r="O632">
        <v>2</v>
      </c>
      <c r="P632" t="s">
        <v>70</v>
      </c>
      <c r="Q632" s="2">
        <v>46208</v>
      </c>
      <c r="R632" t="s">
        <v>38</v>
      </c>
    </row>
    <row r="633" spans="1:18" x14ac:dyDescent="0.2">
      <c r="A633" t="s">
        <v>1322</v>
      </c>
      <c r="B633" t="s">
        <v>1323</v>
      </c>
      <c r="C633" t="s">
        <v>78</v>
      </c>
      <c r="D633" t="s">
        <v>79</v>
      </c>
      <c r="E633" t="s">
        <v>91</v>
      </c>
      <c r="F633" t="s">
        <v>45</v>
      </c>
      <c r="G633" t="s">
        <v>46</v>
      </c>
      <c r="H633" t="s">
        <v>98</v>
      </c>
      <c r="I633" t="s">
        <v>54</v>
      </c>
      <c r="J633" t="s">
        <v>37</v>
      </c>
      <c r="K633" s="2">
        <v>46211</v>
      </c>
      <c r="L633" s="2">
        <v>46301</v>
      </c>
      <c r="M633" t="s">
        <v>64</v>
      </c>
      <c r="N633" t="s">
        <v>49</v>
      </c>
      <c r="O633">
        <v>1</v>
      </c>
      <c r="P633" t="s">
        <v>56</v>
      </c>
      <c r="Q633" s="2">
        <v>46235</v>
      </c>
      <c r="R633" t="s">
        <v>38</v>
      </c>
    </row>
    <row r="634" spans="1:18" x14ac:dyDescent="0.2">
      <c r="A634" t="s">
        <v>1324</v>
      </c>
      <c r="B634" t="s">
        <v>1325</v>
      </c>
      <c r="C634" t="s">
        <v>73</v>
      </c>
      <c r="D634" t="s">
        <v>74</v>
      </c>
      <c r="E634" t="s">
        <v>44</v>
      </c>
      <c r="F634" t="s">
        <v>45</v>
      </c>
      <c r="G634" t="s">
        <v>46</v>
      </c>
      <c r="H634" t="s">
        <v>88</v>
      </c>
      <c r="I634" t="s">
        <v>54</v>
      </c>
      <c r="J634" t="s">
        <v>37</v>
      </c>
      <c r="K634" s="2">
        <v>46120</v>
      </c>
      <c r="L634" s="2">
        <v>46300</v>
      </c>
      <c r="M634" t="s">
        <v>84</v>
      </c>
      <c r="N634" t="s">
        <v>75</v>
      </c>
      <c r="O634">
        <v>3</v>
      </c>
      <c r="P634" t="s">
        <v>50</v>
      </c>
      <c r="Q634" s="2">
        <v>46155</v>
      </c>
      <c r="R634" t="s">
        <v>38</v>
      </c>
    </row>
    <row r="635" spans="1:18" x14ac:dyDescent="0.2">
      <c r="A635" t="s">
        <v>1326</v>
      </c>
      <c r="B635" t="s">
        <v>1327</v>
      </c>
      <c r="C635" t="s">
        <v>78</v>
      </c>
      <c r="D635" t="s">
        <v>79</v>
      </c>
      <c r="E635" t="s">
        <v>80</v>
      </c>
      <c r="F635" t="s">
        <v>67</v>
      </c>
      <c r="G635" t="s">
        <v>118</v>
      </c>
      <c r="H635" t="s">
        <v>88</v>
      </c>
      <c r="I635" t="s">
        <v>62</v>
      </c>
      <c r="J635" t="s">
        <v>48</v>
      </c>
      <c r="K635" s="2">
        <v>45886</v>
      </c>
      <c r="L635" s="2">
        <v>45976</v>
      </c>
      <c r="M635" t="s">
        <v>38</v>
      </c>
      <c r="N635" t="s">
        <v>75</v>
      </c>
      <c r="O635">
        <v>0</v>
      </c>
      <c r="P635" t="s">
        <v>56</v>
      </c>
      <c r="Q635" s="2">
        <v>46310</v>
      </c>
      <c r="R635" t="s">
        <v>57</v>
      </c>
    </row>
    <row r="636" spans="1:18" x14ac:dyDescent="0.2">
      <c r="A636" t="s">
        <v>1328</v>
      </c>
      <c r="B636" t="s">
        <v>1329</v>
      </c>
      <c r="C636" t="s">
        <v>96</v>
      </c>
      <c r="D636" t="s">
        <v>97</v>
      </c>
      <c r="E636" t="s">
        <v>60</v>
      </c>
      <c r="F636" t="s">
        <v>34</v>
      </c>
      <c r="G636" t="s">
        <v>35</v>
      </c>
      <c r="H636" t="s">
        <v>36</v>
      </c>
      <c r="I636" t="s">
        <v>56</v>
      </c>
      <c r="J636" t="s">
        <v>37</v>
      </c>
      <c r="K636" s="2">
        <v>46081</v>
      </c>
      <c r="L636" s="2">
        <v>46261</v>
      </c>
      <c r="M636" t="s">
        <v>38</v>
      </c>
      <c r="N636" t="s">
        <v>75</v>
      </c>
      <c r="O636">
        <v>3</v>
      </c>
      <c r="P636" t="s">
        <v>50</v>
      </c>
      <c r="Q636" s="2">
        <v>46260</v>
      </c>
      <c r="R636" t="s">
        <v>38</v>
      </c>
    </row>
    <row r="637" spans="1:18" x14ac:dyDescent="0.2">
      <c r="A637" t="s">
        <v>1330</v>
      </c>
      <c r="B637" t="s">
        <v>1331</v>
      </c>
      <c r="C637" t="s">
        <v>73</v>
      </c>
      <c r="D637" t="s">
        <v>74</v>
      </c>
      <c r="E637" t="s">
        <v>44</v>
      </c>
      <c r="F637" t="s">
        <v>34</v>
      </c>
      <c r="G637" t="s">
        <v>35</v>
      </c>
      <c r="H637" t="s">
        <v>47</v>
      </c>
      <c r="I637" t="s">
        <v>54</v>
      </c>
      <c r="J637" t="s">
        <v>37</v>
      </c>
      <c r="K637" s="2">
        <v>46273</v>
      </c>
      <c r="L637" s="2">
        <v>46363</v>
      </c>
      <c r="M637" t="s">
        <v>69</v>
      </c>
      <c r="N637" t="s">
        <v>75</v>
      </c>
      <c r="O637">
        <v>3</v>
      </c>
      <c r="P637" t="s">
        <v>56</v>
      </c>
      <c r="Q637" s="2">
        <v>46327</v>
      </c>
      <c r="R637" t="s">
        <v>84</v>
      </c>
    </row>
    <row r="638" spans="1:18" x14ac:dyDescent="0.2">
      <c r="A638" t="s">
        <v>1332</v>
      </c>
      <c r="B638" t="s">
        <v>1333</v>
      </c>
      <c r="C638" t="s">
        <v>96</v>
      </c>
      <c r="D638" t="s">
        <v>97</v>
      </c>
      <c r="E638" t="s">
        <v>80</v>
      </c>
      <c r="F638" t="s">
        <v>34</v>
      </c>
      <c r="G638" t="s">
        <v>35</v>
      </c>
      <c r="H638" t="s">
        <v>36</v>
      </c>
      <c r="I638" t="s">
        <v>70</v>
      </c>
      <c r="J638" t="s">
        <v>63</v>
      </c>
      <c r="K638" s="2">
        <v>46078</v>
      </c>
      <c r="L638" s="2">
        <v>46443</v>
      </c>
      <c r="M638" t="s">
        <v>64</v>
      </c>
      <c r="N638" t="s">
        <v>75</v>
      </c>
      <c r="O638">
        <v>2</v>
      </c>
      <c r="P638" t="s">
        <v>106</v>
      </c>
      <c r="Q638" s="2">
        <v>46293</v>
      </c>
      <c r="R638" t="s">
        <v>38</v>
      </c>
    </row>
    <row r="639" spans="1:18" x14ac:dyDescent="0.2">
      <c r="A639" t="s">
        <v>1334</v>
      </c>
      <c r="B639" t="s">
        <v>1335</v>
      </c>
      <c r="C639" t="s">
        <v>73</v>
      </c>
      <c r="D639" t="s">
        <v>74</v>
      </c>
      <c r="E639" t="s">
        <v>91</v>
      </c>
      <c r="F639" t="s">
        <v>34</v>
      </c>
      <c r="G639" t="s">
        <v>35</v>
      </c>
      <c r="H639" t="s">
        <v>88</v>
      </c>
      <c r="I639" t="s">
        <v>62</v>
      </c>
      <c r="J639" t="s">
        <v>63</v>
      </c>
      <c r="K639" s="2">
        <v>45899</v>
      </c>
      <c r="L639" s="2">
        <v>45989</v>
      </c>
      <c r="M639" t="s">
        <v>38</v>
      </c>
      <c r="N639" t="s">
        <v>55</v>
      </c>
      <c r="O639">
        <v>3</v>
      </c>
      <c r="P639" t="s">
        <v>39</v>
      </c>
      <c r="Q639" s="2">
        <v>46132</v>
      </c>
      <c r="R639" t="s">
        <v>38</v>
      </c>
    </row>
    <row r="640" spans="1:18" x14ac:dyDescent="0.2">
      <c r="A640" t="s">
        <v>1336</v>
      </c>
      <c r="B640" t="s">
        <v>1337</v>
      </c>
      <c r="C640" t="s">
        <v>31</v>
      </c>
      <c r="D640" t="s">
        <v>32</v>
      </c>
      <c r="E640" t="s">
        <v>53</v>
      </c>
      <c r="F640" t="s">
        <v>34</v>
      </c>
      <c r="G640" t="s">
        <v>35</v>
      </c>
      <c r="H640" t="s">
        <v>88</v>
      </c>
      <c r="I640" t="s">
        <v>50</v>
      </c>
      <c r="J640" t="s">
        <v>63</v>
      </c>
      <c r="K640" s="2">
        <v>46145</v>
      </c>
      <c r="L640" s="2">
        <v>46235</v>
      </c>
      <c r="M640" t="s">
        <v>38</v>
      </c>
      <c r="N640" t="s">
        <v>49</v>
      </c>
      <c r="O640">
        <v>1</v>
      </c>
      <c r="P640" t="s">
        <v>62</v>
      </c>
      <c r="Q640" s="2">
        <v>46121</v>
      </c>
      <c r="R640" t="s">
        <v>64</v>
      </c>
    </row>
    <row r="641" spans="1:18" x14ac:dyDescent="0.2">
      <c r="A641" t="s">
        <v>1338</v>
      </c>
      <c r="B641" t="s">
        <v>1339</v>
      </c>
      <c r="C641" t="s">
        <v>78</v>
      </c>
      <c r="D641" t="s">
        <v>79</v>
      </c>
      <c r="E641" t="s">
        <v>60</v>
      </c>
      <c r="F641" t="s">
        <v>67</v>
      </c>
      <c r="G641" t="s">
        <v>68</v>
      </c>
      <c r="H641" t="s">
        <v>36</v>
      </c>
      <c r="I641" t="s">
        <v>62</v>
      </c>
      <c r="J641" t="s">
        <v>37</v>
      </c>
      <c r="K641" s="2">
        <v>46191</v>
      </c>
      <c r="L641" s="2">
        <v>46371</v>
      </c>
      <c r="M641" t="s">
        <v>64</v>
      </c>
      <c r="N641" t="s">
        <v>75</v>
      </c>
      <c r="O641">
        <v>4</v>
      </c>
      <c r="P641" t="s">
        <v>62</v>
      </c>
      <c r="Q641" s="2">
        <v>46387</v>
      </c>
      <c r="R641" t="s">
        <v>84</v>
      </c>
    </row>
    <row r="642" spans="1:18" x14ac:dyDescent="0.2">
      <c r="A642" t="s">
        <v>1340</v>
      </c>
      <c r="B642" t="s">
        <v>1341</v>
      </c>
      <c r="C642" t="s">
        <v>31</v>
      </c>
      <c r="D642" t="s">
        <v>87</v>
      </c>
      <c r="E642" t="s">
        <v>105</v>
      </c>
      <c r="F642" t="s">
        <v>34</v>
      </c>
      <c r="G642" t="s">
        <v>35</v>
      </c>
      <c r="H642" t="s">
        <v>88</v>
      </c>
      <c r="I642" t="s">
        <v>106</v>
      </c>
      <c r="J642" t="s">
        <v>37</v>
      </c>
      <c r="K642" s="2">
        <v>45859</v>
      </c>
      <c r="L642" s="2">
        <v>45949</v>
      </c>
      <c r="M642" t="s">
        <v>38</v>
      </c>
      <c r="N642" t="s">
        <v>75</v>
      </c>
      <c r="O642">
        <v>1</v>
      </c>
      <c r="P642" t="s">
        <v>39</v>
      </c>
      <c r="Q642" s="2">
        <v>46318</v>
      </c>
      <c r="R642" t="s">
        <v>84</v>
      </c>
    </row>
    <row r="643" spans="1:18" x14ac:dyDescent="0.2">
      <c r="A643" t="s">
        <v>1342</v>
      </c>
      <c r="B643" t="s">
        <v>1343</v>
      </c>
      <c r="C643" t="s">
        <v>31</v>
      </c>
      <c r="D643" t="s">
        <v>83</v>
      </c>
      <c r="E643" t="s">
        <v>91</v>
      </c>
      <c r="F643" t="s">
        <v>45</v>
      </c>
      <c r="G643" t="s">
        <v>46</v>
      </c>
      <c r="H643" t="s">
        <v>88</v>
      </c>
      <c r="I643" t="s">
        <v>62</v>
      </c>
      <c r="J643" t="s">
        <v>48</v>
      </c>
      <c r="K643" s="2">
        <v>45940</v>
      </c>
      <c r="L643" s="2">
        <v>46120</v>
      </c>
      <c r="M643" t="s">
        <v>38</v>
      </c>
      <c r="N643" t="s">
        <v>49</v>
      </c>
      <c r="O643">
        <v>3</v>
      </c>
      <c r="P643" t="s">
        <v>54</v>
      </c>
      <c r="Q643" s="2">
        <v>46202</v>
      </c>
      <c r="R643" t="s">
        <v>64</v>
      </c>
    </row>
    <row r="644" spans="1:18" x14ac:dyDescent="0.2">
      <c r="A644" t="s">
        <v>1344</v>
      </c>
      <c r="B644" t="s">
        <v>1345</v>
      </c>
      <c r="C644" t="s">
        <v>103</v>
      </c>
      <c r="D644" t="s">
        <v>104</v>
      </c>
      <c r="E644" t="s">
        <v>60</v>
      </c>
      <c r="F644" t="s">
        <v>67</v>
      </c>
      <c r="G644" t="s">
        <v>68</v>
      </c>
      <c r="H644" t="s">
        <v>98</v>
      </c>
      <c r="I644" t="s">
        <v>111</v>
      </c>
      <c r="J644" t="s">
        <v>37</v>
      </c>
      <c r="K644" s="2">
        <v>45985</v>
      </c>
      <c r="L644" s="2">
        <v>46075</v>
      </c>
      <c r="M644" t="s">
        <v>38</v>
      </c>
      <c r="N644" t="s">
        <v>55</v>
      </c>
      <c r="O644">
        <v>1</v>
      </c>
      <c r="P644" t="s">
        <v>111</v>
      </c>
      <c r="Q644" s="2">
        <v>46145</v>
      </c>
      <c r="R644" t="s">
        <v>38</v>
      </c>
    </row>
    <row r="645" spans="1:18" x14ac:dyDescent="0.2">
      <c r="A645" t="s">
        <v>1346</v>
      </c>
      <c r="B645" t="s">
        <v>1347</v>
      </c>
      <c r="C645" t="s">
        <v>96</v>
      </c>
      <c r="D645" t="s">
        <v>97</v>
      </c>
      <c r="E645" t="s">
        <v>91</v>
      </c>
      <c r="F645" t="s">
        <v>34</v>
      </c>
      <c r="G645" t="s">
        <v>35</v>
      </c>
      <c r="H645" t="s">
        <v>47</v>
      </c>
      <c r="I645" t="s">
        <v>56</v>
      </c>
      <c r="J645" t="s">
        <v>63</v>
      </c>
      <c r="K645" s="2">
        <v>46232</v>
      </c>
      <c r="L645" s="2">
        <v>46412</v>
      </c>
      <c r="M645" t="s">
        <v>64</v>
      </c>
      <c r="N645" t="s">
        <v>55</v>
      </c>
      <c r="O645">
        <v>2</v>
      </c>
      <c r="P645" t="s">
        <v>70</v>
      </c>
      <c r="Q645" s="2">
        <v>46130</v>
      </c>
      <c r="R645" t="s">
        <v>38</v>
      </c>
    </row>
    <row r="646" spans="1:18" x14ac:dyDescent="0.2">
      <c r="A646" t="s">
        <v>1348</v>
      </c>
      <c r="B646" t="s">
        <v>1349</v>
      </c>
      <c r="C646" t="s">
        <v>78</v>
      </c>
      <c r="D646" t="s">
        <v>79</v>
      </c>
      <c r="E646" t="s">
        <v>53</v>
      </c>
      <c r="F646" t="s">
        <v>45</v>
      </c>
      <c r="G646" t="s">
        <v>46</v>
      </c>
      <c r="H646" t="s">
        <v>36</v>
      </c>
      <c r="I646" t="s">
        <v>39</v>
      </c>
      <c r="J646" t="s">
        <v>63</v>
      </c>
      <c r="K646" s="2">
        <v>45935</v>
      </c>
      <c r="L646" s="2">
        <v>46300</v>
      </c>
      <c r="M646" t="s">
        <v>84</v>
      </c>
      <c r="N646" t="s">
        <v>55</v>
      </c>
      <c r="O646">
        <v>1</v>
      </c>
      <c r="P646" t="s">
        <v>56</v>
      </c>
      <c r="Q646" s="2">
        <v>46382</v>
      </c>
      <c r="R646" t="s">
        <v>84</v>
      </c>
    </row>
    <row r="647" spans="1:18" x14ac:dyDescent="0.2">
      <c r="A647" t="s">
        <v>1350</v>
      </c>
      <c r="B647" t="s">
        <v>1351</v>
      </c>
      <c r="C647" t="s">
        <v>31</v>
      </c>
      <c r="D647" t="s">
        <v>87</v>
      </c>
      <c r="E647" t="s">
        <v>53</v>
      </c>
      <c r="F647" t="s">
        <v>67</v>
      </c>
      <c r="G647" t="s">
        <v>118</v>
      </c>
      <c r="H647" t="s">
        <v>88</v>
      </c>
      <c r="I647" t="s">
        <v>106</v>
      </c>
      <c r="J647" t="s">
        <v>37</v>
      </c>
      <c r="K647" s="2">
        <v>46086</v>
      </c>
      <c r="L647" s="2">
        <v>46451</v>
      </c>
      <c r="M647" t="s">
        <v>69</v>
      </c>
      <c r="N647" t="s">
        <v>55</v>
      </c>
      <c r="O647">
        <v>2</v>
      </c>
      <c r="P647" t="s">
        <v>70</v>
      </c>
      <c r="Q647" s="2">
        <v>46319</v>
      </c>
      <c r="R647" t="s">
        <v>84</v>
      </c>
    </row>
    <row r="648" spans="1:18" x14ac:dyDescent="0.2">
      <c r="A648" t="s">
        <v>1352</v>
      </c>
      <c r="B648" t="s">
        <v>1353</v>
      </c>
      <c r="C648" t="s">
        <v>96</v>
      </c>
      <c r="D648" t="s">
        <v>97</v>
      </c>
      <c r="E648" t="s">
        <v>91</v>
      </c>
      <c r="F648" t="s">
        <v>45</v>
      </c>
      <c r="G648" t="s">
        <v>61</v>
      </c>
      <c r="H648" t="s">
        <v>88</v>
      </c>
      <c r="I648" t="s">
        <v>50</v>
      </c>
      <c r="J648" t="s">
        <v>37</v>
      </c>
      <c r="K648" s="2">
        <v>46262</v>
      </c>
      <c r="L648" s="2">
        <v>46627</v>
      </c>
      <c r="M648" t="s">
        <v>64</v>
      </c>
      <c r="N648" t="s">
        <v>49</v>
      </c>
      <c r="O648">
        <v>2</v>
      </c>
      <c r="P648" t="s">
        <v>54</v>
      </c>
      <c r="Q648" s="2">
        <v>46242</v>
      </c>
      <c r="R648" t="s">
        <v>38</v>
      </c>
    </row>
    <row r="649" spans="1:18" x14ac:dyDescent="0.2">
      <c r="A649" t="s">
        <v>1354</v>
      </c>
      <c r="B649" t="s">
        <v>1355</v>
      </c>
      <c r="C649" t="s">
        <v>78</v>
      </c>
      <c r="D649" t="s">
        <v>79</v>
      </c>
      <c r="E649" t="s">
        <v>105</v>
      </c>
      <c r="F649" t="s">
        <v>45</v>
      </c>
      <c r="G649" t="s">
        <v>61</v>
      </c>
      <c r="H649" t="s">
        <v>88</v>
      </c>
      <c r="I649" t="s">
        <v>39</v>
      </c>
      <c r="J649" t="s">
        <v>63</v>
      </c>
      <c r="K649" s="2">
        <v>45862</v>
      </c>
      <c r="L649" s="2">
        <v>46227</v>
      </c>
      <c r="M649" t="s">
        <v>38</v>
      </c>
      <c r="N649" t="s">
        <v>75</v>
      </c>
      <c r="O649">
        <v>3</v>
      </c>
      <c r="P649" t="s">
        <v>70</v>
      </c>
      <c r="Q649" s="2">
        <v>46234</v>
      </c>
      <c r="R649" t="s">
        <v>38</v>
      </c>
    </row>
    <row r="650" spans="1:18" x14ac:dyDescent="0.2">
      <c r="A650" t="s">
        <v>1356</v>
      </c>
      <c r="B650" t="s">
        <v>1357</v>
      </c>
      <c r="C650" t="s">
        <v>31</v>
      </c>
      <c r="D650" t="s">
        <v>87</v>
      </c>
      <c r="E650" t="s">
        <v>80</v>
      </c>
      <c r="F650" t="s">
        <v>67</v>
      </c>
      <c r="G650" t="s">
        <v>118</v>
      </c>
      <c r="H650" t="s">
        <v>98</v>
      </c>
      <c r="I650" t="s">
        <v>70</v>
      </c>
      <c r="J650" t="s">
        <v>37</v>
      </c>
      <c r="K650" s="2">
        <v>45900</v>
      </c>
      <c r="L650" s="2">
        <v>46080</v>
      </c>
      <c r="M650" t="s">
        <v>38</v>
      </c>
      <c r="N650" t="s">
        <v>75</v>
      </c>
      <c r="O650">
        <v>4</v>
      </c>
      <c r="P650" t="s">
        <v>70</v>
      </c>
      <c r="Q650" s="2">
        <v>46214</v>
      </c>
      <c r="R650" t="s">
        <v>38</v>
      </c>
    </row>
    <row r="651" spans="1:18" x14ac:dyDescent="0.2">
      <c r="A651" t="s">
        <v>1358</v>
      </c>
      <c r="B651" t="s">
        <v>1359</v>
      </c>
      <c r="C651" t="s">
        <v>31</v>
      </c>
      <c r="D651" t="s">
        <v>32</v>
      </c>
      <c r="E651" t="s">
        <v>44</v>
      </c>
      <c r="F651" t="s">
        <v>67</v>
      </c>
      <c r="G651" t="s">
        <v>118</v>
      </c>
      <c r="H651" t="s">
        <v>36</v>
      </c>
      <c r="I651" t="s">
        <v>70</v>
      </c>
      <c r="J651" t="s">
        <v>37</v>
      </c>
      <c r="K651" s="2">
        <v>46029</v>
      </c>
      <c r="L651" s="2">
        <v>46394</v>
      </c>
      <c r="M651" t="s">
        <v>64</v>
      </c>
      <c r="N651" t="s">
        <v>55</v>
      </c>
      <c r="O651">
        <v>1</v>
      </c>
      <c r="P651" t="s">
        <v>39</v>
      </c>
      <c r="Q651" s="2">
        <v>46202</v>
      </c>
      <c r="R651" t="s">
        <v>38</v>
      </c>
    </row>
    <row r="652" spans="1:18" x14ac:dyDescent="0.2">
      <c r="A652" t="s">
        <v>1360</v>
      </c>
      <c r="B652" t="s">
        <v>1361</v>
      </c>
      <c r="C652" t="s">
        <v>96</v>
      </c>
      <c r="D652" t="s">
        <v>97</v>
      </c>
      <c r="E652" t="s">
        <v>80</v>
      </c>
      <c r="F652" t="s">
        <v>45</v>
      </c>
      <c r="G652" t="s">
        <v>61</v>
      </c>
      <c r="H652" t="s">
        <v>36</v>
      </c>
      <c r="I652" t="s">
        <v>54</v>
      </c>
      <c r="J652" t="s">
        <v>63</v>
      </c>
      <c r="K652" s="2">
        <v>45907</v>
      </c>
      <c r="L652" s="2">
        <v>46087</v>
      </c>
      <c r="M652" t="s">
        <v>38</v>
      </c>
      <c r="N652" t="s">
        <v>49</v>
      </c>
      <c r="O652">
        <v>3</v>
      </c>
      <c r="P652" t="s">
        <v>106</v>
      </c>
      <c r="Q652" s="2">
        <v>46178</v>
      </c>
      <c r="R652" t="s">
        <v>38</v>
      </c>
    </row>
    <row r="653" spans="1:18" x14ac:dyDescent="0.2">
      <c r="A653" t="s">
        <v>1362</v>
      </c>
      <c r="B653" t="s">
        <v>1363</v>
      </c>
      <c r="C653" t="s">
        <v>31</v>
      </c>
      <c r="D653" t="s">
        <v>32</v>
      </c>
      <c r="E653" t="s">
        <v>91</v>
      </c>
      <c r="F653" t="s">
        <v>45</v>
      </c>
      <c r="G653" t="s">
        <v>46</v>
      </c>
      <c r="H653" t="s">
        <v>88</v>
      </c>
      <c r="I653" t="s">
        <v>62</v>
      </c>
      <c r="J653" t="s">
        <v>48</v>
      </c>
      <c r="K653" s="2">
        <v>45941</v>
      </c>
      <c r="L653" s="2">
        <v>46306</v>
      </c>
      <c r="M653" t="s">
        <v>69</v>
      </c>
      <c r="N653" t="s">
        <v>55</v>
      </c>
      <c r="O653">
        <v>1</v>
      </c>
      <c r="P653" t="s">
        <v>106</v>
      </c>
      <c r="Q653" s="2">
        <v>46247</v>
      </c>
      <c r="R653" t="s">
        <v>64</v>
      </c>
    </row>
    <row r="654" spans="1:18" x14ac:dyDescent="0.2">
      <c r="A654" t="s">
        <v>1364</v>
      </c>
      <c r="B654" t="s">
        <v>1365</v>
      </c>
      <c r="C654" t="s">
        <v>103</v>
      </c>
      <c r="D654" t="s">
        <v>104</v>
      </c>
      <c r="E654" t="s">
        <v>91</v>
      </c>
      <c r="F654" t="s">
        <v>34</v>
      </c>
      <c r="G654" t="s">
        <v>35</v>
      </c>
      <c r="H654" t="s">
        <v>98</v>
      </c>
      <c r="I654" t="s">
        <v>106</v>
      </c>
      <c r="J654" t="s">
        <v>37</v>
      </c>
      <c r="K654" s="2">
        <v>46210</v>
      </c>
      <c r="L654" s="2">
        <v>46390</v>
      </c>
      <c r="M654" t="s">
        <v>84</v>
      </c>
      <c r="N654" t="s">
        <v>75</v>
      </c>
      <c r="O654">
        <v>0</v>
      </c>
      <c r="P654" t="s">
        <v>62</v>
      </c>
      <c r="Q654" s="2">
        <v>46389</v>
      </c>
      <c r="R654" t="s">
        <v>57</v>
      </c>
    </row>
    <row r="655" spans="1:18" x14ac:dyDescent="0.2">
      <c r="A655" t="s">
        <v>1366</v>
      </c>
      <c r="B655" t="s">
        <v>1367</v>
      </c>
      <c r="C655" t="s">
        <v>96</v>
      </c>
      <c r="D655" t="s">
        <v>97</v>
      </c>
      <c r="E655" t="s">
        <v>91</v>
      </c>
      <c r="F655" t="s">
        <v>67</v>
      </c>
      <c r="G655" t="s">
        <v>118</v>
      </c>
      <c r="H655" t="s">
        <v>98</v>
      </c>
      <c r="I655" t="s">
        <v>50</v>
      </c>
      <c r="J655" t="s">
        <v>48</v>
      </c>
      <c r="K655" s="2">
        <v>46009</v>
      </c>
      <c r="L655" s="2">
        <v>46374</v>
      </c>
      <c r="M655" t="s">
        <v>84</v>
      </c>
      <c r="N655" t="s">
        <v>55</v>
      </c>
      <c r="O655">
        <v>3</v>
      </c>
      <c r="P655" t="s">
        <v>56</v>
      </c>
      <c r="Q655" s="2">
        <v>46119</v>
      </c>
      <c r="R655" t="s">
        <v>38</v>
      </c>
    </row>
    <row r="656" spans="1:18" x14ac:dyDescent="0.2">
      <c r="A656" t="s">
        <v>1368</v>
      </c>
      <c r="B656" t="s">
        <v>1369</v>
      </c>
      <c r="C656" t="s">
        <v>31</v>
      </c>
      <c r="D656" t="s">
        <v>32</v>
      </c>
      <c r="E656" t="s">
        <v>91</v>
      </c>
      <c r="F656" t="s">
        <v>45</v>
      </c>
      <c r="G656" t="s">
        <v>61</v>
      </c>
      <c r="H656" t="s">
        <v>88</v>
      </c>
      <c r="I656" t="s">
        <v>56</v>
      </c>
      <c r="J656" t="s">
        <v>63</v>
      </c>
      <c r="K656" s="2">
        <v>46201</v>
      </c>
      <c r="L656" s="2">
        <v>46566</v>
      </c>
      <c r="M656" t="s">
        <v>84</v>
      </c>
      <c r="N656" t="s">
        <v>49</v>
      </c>
      <c r="O656">
        <v>2</v>
      </c>
      <c r="P656" t="s">
        <v>111</v>
      </c>
      <c r="Q656" s="2">
        <v>46273</v>
      </c>
      <c r="R656" t="s">
        <v>38</v>
      </c>
    </row>
    <row r="657" spans="1:18" x14ac:dyDescent="0.2">
      <c r="A657" t="s">
        <v>1370</v>
      </c>
      <c r="B657" t="s">
        <v>1371</v>
      </c>
      <c r="C657" t="s">
        <v>31</v>
      </c>
      <c r="D657" t="s">
        <v>87</v>
      </c>
      <c r="E657" t="s">
        <v>80</v>
      </c>
      <c r="F657" t="s">
        <v>34</v>
      </c>
      <c r="G657" t="s">
        <v>35</v>
      </c>
      <c r="H657" t="s">
        <v>47</v>
      </c>
      <c r="I657" t="s">
        <v>62</v>
      </c>
      <c r="J657" t="s">
        <v>48</v>
      </c>
      <c r="K657" s="2">
        <v>46245</v>
      </c>
      <c r="L657" s="2">
        <v>46425</v>
      </c>
      <c r="M657" t="s">
        <v>64</v>
      </c>
      <c r="N657" t="s">
        <v>49</v>
      </c>
      <c r="O657">
        <v>1</v>
      </c>
      <c r="P657" t="s">
        <v>111</v>
      </c>
      <c r="Q657" s="2">
        <v>46230</v>
      </c>
      <c r="R657" t="s">
        <v>38</v>
      </c>
    </row>
    <row r="658" spans="1:18" x14ac:dyDescent="0.2">
      <c r="A658" t="s">
        <v>1372</v>
      </c>
      <c r="B658" t="s">
        <v>1373</v>
      </c>
      <c r="C658" t="s">
        <v>78</v>
      </c>
      <c r="D658" t="s">
        <v>79</v>
      </c>
      <c r="E658" t="s">
        <v>53</v>
      </c>
      <c r="F658" t="s">
        <v>34</v>
      </c>
      <c r="G658" t="s">
        <v>35</v>
      </c>
      <c r="H658" t="s">
        <v>98</v>
      </c>
      <c r="I658" t="s">
        <v>50</v>
      </c>
      <c r="J658" t="s">
        <v>48</v>
      </c>
      <c r="K658" s="2">
        <v>46264</v>
      </c>
      <c r="L658" s="2">
        <v>46629</v>
      </c>
      <c r="M658" t="s">
        <v>64</v>
      </c>
      <c r="N658" t="s">
        <v>75</v>
      </c>
      <c r="O658">
        <v>5</v>
      </c>
      <c r="P658" t="s">
        <v>56</v>
      </c>
      <c r="Q658" s="2">
        <v>46357</v>
      </c>
      <c r="R658" t="s">
        <v>84</v>
      </c>
    </row>
    <row r="659" spans="1:18" x14ac:dyDescent="0.2">
      <c r="A659" t="s">
        <v>1374</v>
      </c>
      <c r="B659" t="s">
        <v>1375</v>
      </c>
      <c r="C659" t="s">
        <v>96</v>
      </c>
      <c r="D659" t="s">
        <v>97</v>
      </c>
      <c r="E659" t="s">
        <v>91</v>
      </c>
      <c r="F659" t="s">
        <v>67</v>
      </c>
      <c r="G659" t="s">
        <v>68</v>
      </c>
      <c r="H659" t="s">
        <v>36</v>
      </c>
      <c r="I659" t="s">
        <v>62</v>
      </c>
      <c r="J659" t="s">
        <v>48</v>
      </c>
      <c r="K659" s="2">
        <v>46226</v>
      </c>
      <c r="L659" s="2">
        <v>46316</v>
      </c>
      <c r="M659" t="s">
        <v>64</v>
      </c>
      <c r="N659" t="s">
        <v>49</v>
      </c>
      <c r="O659">
        <v>0</v>
      </c>
      <c r="P659" t="s">
        <v>50</v>
      </c>
      <c r="Q659" s="2">
        <v>46270</v>
      </c>
      <c r="R659" t="s">
        <v>57</v>
      </c>
    </row>
    <row r="660" spans="1:18" x14ac:dyDescent="0.2">
      <c r="A660" t="s">
        <v>1376</v>
      </c>
      <c r="B660" t="s">
        <v>1377</v>
      </c>
      <c r="C660" t="s">
        <v>31</v>
      </c>
      <c r="D660" t="s">
        <v>32</v>
      </c>
      <c r="E660" t="s">
        <v>53</v>
      </c>
      <c r="F660" t="s">
        <v>67</v>
      </c>
      <c r="G660" t="s">
        <v>118</v>
      </c>
      <c r="H660" t="s">
        <v>36</v>
      </c>
      <c r="I660" t="s">
        <v>54</v>
      </c>
      <c r="J660" t="s">
        <v>48</v>
      </c>
      <c r="K660" s="2">
        <v>46164</v>
      </c>
      <c r="L660" s="2">
        <v>46529</v>
      </c>
      <c r="M660" t="s">
        <v>64</v>
      </c>
      <c r="N660" t="s">
        <v>49</v>
      </c>
      <c r="O660">
        <v>0</v>
      </c>
      <c r="P660" t="s">
        <v>62</v>
      </c>
      <c r="Q660" s="2">
        <v>46300</v>
      </c>
      <c r="R660" t="s">
        <v>57</v>
      </c>
    </row>
    <row r="661" spans="1:18" x14ac:dyDescent="0.2">
      <c r="A661" t="s">
        <v>1378</v>
      </c>
      <c r="B661" t="s">
        <v>1379</v>
      </c>
      <c r="C661" t="s">
        <v>78</v>
      </c>
      <c r="D661" t="s">
        <v>79</v>
      </c>
      <c r="E661" t="s">
        <v>105</v>
      </c>
      <c r="F661" t="s">
        <v>67</v>
      </c>
      <c r="G661" t="s">
        <v>68</v>
      </c>
      <c r="H661" t="s">
        <v>47</v>
      </c>
      <c r="I661" t="s">
        <v>111</v>
      </c>
      <c r="J661" t="s">
        <v>48</v>
      </c>
      <c r="K661" s="2">
        <v>46184</v>
      </c>
      <c r="L661" s="2">
        <v>46274</v>
      </c>
      <c r="M661" t="s">
        <v>38</v>
      </c>
      <c r="N661" t="s">
        <v>55</v>
      </c>
      <c r="O661">
        <v>2</v>
      </c>
      <c r="P661" t="s">
        <v>70</v>
      </c>
      <c r="Q661" s="2">
        <v>46337</v>
      </c>
      <c r="R661" t="s">
        <v>84</v>
      </c>
    </row>
    <row r="662" spans="1:18" x14ac:dyDescent="0.2">
      <c r="A662" t="s">
        <v>1380</v>
      </c>
      <c r="B662" t="s">
        <v>1381</v>
      </c>
      <c r="C662" t="s">
        <v>78</v>
      </c>
      <c r="D662" t="s">
        <v>79</v>
      </c>
      <c r="E662" t="s">
        <v>80</v>
      </c>
      <c r="F662" t="s">
        <v>45</v>
      </c>
      <c r="G662" t="s">
        <v>61</v>
      </c>
      <c r="H662" t="s">
        <v>88</v>
      </c>
      <c r="I662" t="s">
        <v>50</v>
      </c>
      <c r="J662" t="s">
        <v>63</v>
      </c>
      <c r="K662" s="2">
        <v>45941</v>
      </c>
      <c r="L662" s="2">
        <v>46306</v>
      </c>
      <c r="M662" t="s">
        <v>64</v>
      </c>
      <c r="N662" t="s">
        <v>49</v>
      </c>
      <c r="O662">
        <v>0</v>
      </c>
      <c r="P662" t="s">
        <v>111</v>
      </c>
      <c r="Q662" s="2">
        <v>46352</v>
      </c>
      <c r="R662" t="s">
        <v>57</v>
      </c>
    </row>
    <row r="663" spans="1:18" x14ac:dyDescent="0.2">
      <c r="A663" t="s">
        <v>1382</v>
      </c>
      <c r="B663" t="s">
        <v>1383</v>
      </c>
      <c r="C663" t="s">
        <v>31</v>
      </c>
      <c r="D663" t="s">
        <v>32</v>
      </c>
      <c r="E663" t="s">
        <v>105</v>
      </c>
      <c r="F663" t="s">
        <v>67</v>
      </c>
      <c r="G663" t="s">
        <v>68</v>
      </c>
      <c r="H663" t="s">
        <v>47</v>
      </c>
      <c r="J663" t="s">
        <v>63</v>
      </c>
      <c r="K663" s="2">
        <v>46213</v>
      </c>
      <c r="L663" s="2">
        <v>46393</v>
      </c>
      <c r="M663" t="s">
        <v>84</v>
      </c>
      <c r="N663" t="s">
        <v>55</v>
      </c>
      <c r="O663">
        <v>3</v>
      </c>
      <c r="P663" t="s">
        <v>50</v>
      </c>
      <c r="Q663" s="2">
        <v>46255</v>
      </c>
      <c r="R663" t="s">
        <v>38</v>
      </c>
    </row>
    <row r="664" spans="1:18" x14ac:dyDescent="0.2">
      <c r="A664" t="s">
        <v>1384</v>
      </c>
      <c r="B664" t="s">
        <v>1385</v>
      </c>
      <c r="C664" t="s">
        <v>31</v>
      </c>
      <c r="D664" t="s">
        <v>83</v>
      </c>
      <c r="E664" t="s">
        <v>91</v>
      </c>
      <c r="F664" t="s">
        <v>67</v>
      </c>
      <c r="G664" t="s">
        <v>118</v>
      </c>
      <c r="H664" t="s">
        <v>36</v>
      </c>
      <c r="I664" t="s">
        <v>56</v>
      </c>
      <c r="J664" t="s">
        <v>63</v>
      </c>
      <c r="K664" s="2">
        <v>45983</v>
      </c>
      <c r="L664" s="2">
        <v>46073</v>
      </c>
      <c r="M664" t="s">
        <v>38</v>
      </c>
      <c r="N664" t="s">
        <v>55</v>
      </c>
      <c r="O664">
        <v>2</v>
      </c>
      <c r="P664" t="s">
        <v>39</v>
      </c>
      <c r="Q664" s="2">
        <v>46147</v>
      </c>
      <c r="R664" t="s">
        <v>38</v>
      </c>
    </row>
    <row r="665" spans="1:18" x14ac:dyDescent="0.2">
      <c r="A665" t="s">
        <v>1386</v>
      </c>
      <c r="B665" t="s">
        <v>1387</v>
      </c>
      <c r="C665" t="s">
        <v>31</v>
      </c>
      <c r="D665" t="s">
        <v>83</v>
      </c>
      <c r="E665" t="s">
        <v>105</v>
      </c>
      <c r="F665" t="s">
        <v>67</v>
      </c>
      <c r="G665" t="s">
        <v>118</v>
      </c>
      <c r="H665" t="s">
        <v>88</v>
      </c>
      <c r="I665" t="s">
        <v>70</v>
      </c>
      <c r="J665" t="s">
        <v>63</v>
      </c>
      <c r="K665" s="2">
        <v>45890</v>
      </c>
      <c r="L665" s="2">
        <v>45980</v>
      </c>
      <c r="M665" t="s">
        <v>38</v>
      </c>
      <c r="N665" t="s">
        <v>49</v>
      </c>
      <c r="O665">
        <v>0</v>
      </c>
      <c r="P665" t="s">
        <v>111</v>
      </c>
      <c r="Q665" s="2">
        <v>46207</v>
      </c>
      <c r="R665" t="s">
        <v>57</v>
      </c>
    </row>
    <row r="666" spans="1:18" x14ac:dyDescent="0.2">
      <c r="A666" t="s">
        <v>1388</v>
      </c>
      <c r="B666" t="s">
        <v>1389</v>
      </c>
      <c r="C666" t="s">
        <v>31</v>
      </c>
      <c r="D666" t="s">
        <v>32</v>
      </c>
      <c r="E666" t="s">
        <v>105</v>
      </c>
      <c r="F666" t="s">
        <v>67</v>
      </c>
      <c r="G666" t="s">
        <v>68</v>
      </c>
      <c r="H666" t="s">
        <v>47</v>
      </c>
      <c r="I666" t="s">
        <v>54</v>
      </c>
      <c r="J666" t="s">
        <v>37</v>
      </c>
      <c r="K666" s="2">
        <v>45941</v>
      </c>
      <c r="L666" s="2">
        <v>46031</v>
      </c>
      <c r="M666" t="s">
        <v>38</v>
      </c>
      <c r="N666" t="s">
        <v>55</v>
      </c>
      <c r="O666">
        <v>2</v>
      </c>
      <c r="P666" t="s">
        <v>106</v>
      </c>
      <c r="Q666" s="2">
        <v>46132</v>
      </c>
      <c r="R666" t="s">
        <v>64</v>
      </c>
    </row>
    <row r="667" spans="1:18" x14ac:dyDescent="0.2">
      <c r="A667" t="s">
        <v>1390</v>
      </c>
      <c r="B667" t="s">
        <v>1391</v>
      </c>
      <c r="C667" t="s">
        <v>96</v>
      </c>
      <c r="D667" t="s">
        <v>97</v>
      </c>
      <c r="E667" t="s">
        <v>80</v>
      </c>
      <c r="F667" t="s">
        <v>34</v>
      </c>
      <c r="G667" t="s">
        <v>35</v>
      </c>
      <c r="H667" t="s">
        <v>98</v>
      </c>
      <c r="I667" t="s">
        <v>39</v>
      </c>
      <c r="J667" t="s">
        <v>37</v>
      </c>
      <c r="K667" s="2">
        <v>46148</v>
      </c>
      <c r="L667" s="2">
        <v>46328</v>
      </c>
      <c r="M667" t="s">
        <v>64</v>
      </c>
      <c r="N667" t="s">
        <v>49</v>
      </c>
      <c r="O667">
        <v>2</v>
      </c>
      <c r="P667" t="s">
        <v>106</v>
      </c>
      <c r="Q667" s="2">
        <v>46388</v>
      </c>
      <c r="R667" t="s">
        <v>84</v>
      </c>
    </row>
    <row r="668" spans="1:18" x14ac:dyDescent="0.2">
      <c r="A668" t="s">
        <v>1392</v>
      </c>
      <c r="B668" t="s">
        <v>1393</v>
      </c>
      <c r="C668" t="s">
        <v>103</v>
      </c>
      <c r="D668" t="s">
        <v>104</v>
      </c>
      <c r="E668" t="s">
        <v>91</v>
      </c>
      <c r="F668" t="s">
        <v>34</v>
      </c>
      <c r="G668" t="s">
        <v>35</v>
      </c>
      <c r="H668" t="s">
        <v>47</v>
      </c>
      <c r="I668" t="s">
        <v>39</v>
      </c>
      <c r="J668" t="s">
        <v>63</v>
      </c>
      <c r="K668" s="2">
        <v>46154</v>
      </c>
      <c r="L668" s="2">
        <v>46244</v>
      </c>
      <c r="M668" t="s">
        <v>38</v>
      </c>
      <c r="N668" t="s">
        <v>55</v>
      </c>
      <c r="O668">
        <v>1</v>
      </c>
      <c r="P668" t="s">
        <v>54</v>
      </c>
      <c r="Q668" s="2">
        <v>46268</v>
      </c>
      <c r="R668" t="s">
        <v>38</v>
      </c>
    </row>
    <row r="669" spans="1:18" x14ac:dyDescent="0.2">
      <c r="A669" t="s">
        <v>1394</v>
      </c>
      <c r="B669" t="s">
        <v>1395</v>
      </c>
      <c r="C669" t="s">
        <v>31</v>
      </c>
      <c r="D669" t="s">
        <v>32</v>
      </c>
      <c r="E669" t="s">
        <v>53</v>
      </c>
      <c r="F669" t="s">
        <v>34</v>
      </c>
      <c r="G669" t="s">
        <v>35</v>
      </c>
      <c r="H669" t="s">
        <v>47</v>
      </c>
      <c r="I669" t="s">
        <v>62</v>
      </c>
      <c r="J669" t="s">
        <v>63</v>
      </c>
      <c r="K669" s="2">
        <v>46237</v>
      </c>
      <c r="L669" s="2">
        <v>46602</v>
      </c>
      <c r="M669" t="s">
        <v>64</v>
      </c>
      <c r="O669">
        <v>3</v>
      </c>
      <c r="P669" t="s">
        <v>62</v>
      </c>
      <c r="Q669" s="2">
        <v>46198</v>
      </c>
      <c r="R669" t="s">
        <v>38</v>
      </c>
    </row>
    <row r="670" spans="1:18" x14ac:dyDescent="0.2">
      <c r="A670" t="s">
        <v>1396</v>
      </c>
      <c r="B670" t="s">
        <v>1397</v>
      </c>
      <c r="C670" t="s">
        <v>73</v>
      </c>
      <c r="D670" t="s">
        <v>74</v>
      </c>
      <c r="E670" t="s">
        <v>60</v>
      </c>
      <c r="F670" t="s">
        <v>34</v>
      </c>
      <c r="G670" t="s">
        <v>35</v>
      </c>
      <c r="H670" t="s">
        <v>47</v>
      </c>
      <c r="I670" t="s">
        <v>56</v>
      </c>
      <c r="J670" t="s">
        <v>37</v>
      </c>
      <c r="K670" s="2">
        <v>45951</v>
      </c>
      <c r="L670" s="2">
        <v>46316</v>
      </c>
      <c r="M670" t="s">
        <v>69</v>
      </c>
      <c r="N670" t="s">
        <v>49</v>
      </c>
      <c r="O670">
        <v>1</v>
      </c>
      <c r="P670" t="s">
        <v>62</v>
      </c>
      <c r="Q670" s="2">
        <v>46329</v>
      </c>
      <c r="R670" t="s">
        <v>84</v>
      </c>
    </row>
    <row r="671" spans="1:18" x14ac:dyDescent="0.2">
      <c r="A671" t="s">
        <v>1398</v>
      </c>
      <c r="B671" t="s">
        <v>1399</v>
      </c>
      <c r="C671" t="s">
        <v>31</v>
      </c>
      <c r="D671" t="s">
        <v>32</v>
      </c>
      <c r="E671" t="s">
        <v>105</v>
      </c>
      <c r="F671" t="s">
        <v>45</v>
      </c>
      <c r="G671" t="s">
        <v>46</v>
      </c>
      <c r="H671" t="s">
        <v>47</v>
      </c>
      <c r="I671" t="s">
        <v>70</v>
      </c>
      <c r="J671" t="s">
        <v>37</v>
      </c>
      <c r="K671" s="2">
        <v>45925</v>
      </c>
      <c r="L671" s="2">
        <v>46290</v>
      </c>
      <c r="M671" t="s">
        <v>38</v>
      </c>
      <c r="N671" t="s">
        <v>75</v>
      </c>
      <c r="O671">
        <v>0</v>
      </c>
      <c r="P671" t="s">
        <v>56</v>
      </c>
      <c r="Q671" s="2">
        <v>46283</v>
      </c>
      <c r="R671" t="s">
        <v>57</v>
      </c>
    </row>
    <row r="672" spans="1:18" x14ac:dyDescent="0.2">
      <c r="A672" t="s">
        <v>1400</v>
      </c>
      <c r="B672" t="s">
        <v>1401</v>
      </c>
      <c r="C672" t="s">
        <v>73</v>
      </c>
      <c r="D672" t="s">
        <v>74</v>
      </c>
      <c r="E672" t="s">
        <v>53</v>
      </c>
      <c r="F672" t="s">
        <v>45</v>
      </c>
      <c r="G672" t="s">
        <v>46</v>
      </c>
      <c r="H672" t="s">
        <v>47</v>
      </c>
      <c r="I672" t="s">
        <v>62</v>
      </c>
      <c r="J672" t="s">
        <v>63</v>
      </c>
      <c r="K672" s="2">
        <v>46162</v>
      </c>
      <c r="L672" s="2">
        <v>46342</v>
      </c>
      <c r="M672" t="s">
        <v>84</v>
      </c>
      <c r="N672" t="s">
        <v>55</v>
      </c>
      <c r="O672">
        <v>2</v>
      </c>
      <c r="P672" t="s">
        <v>56</v>
      </c>
      <c r="Q672" s="2">
        <v>46365</v>
      </c>
      <c r="R672" t="s">
        <v>64</v>
      </c>
    </row>
    <row r="673" spans="1:18" x14ac:dyDescent="0.2">
      <c r="A673" t="s">
        <v>1402</v>
      </c>
      <c r="B673" t="s">
        <v>1403</v>
      </c>
      <c r="C673" t="s">
        <v>78</v>
      </c>
      <c r="D673" t="s">
        <v>79</v>
      </c>
      <c r="E673" t="s">
        <v>60</v>
      </c>
      <c r="F673" t="s">
        <v>34</v>
      </c>
      <c r="G673" t="s">
        <v>35</v>
      </c>
      <c r="H673" t="s">
        <v>47</v>
      </c>
      <c r="I673" t="s">
        <v>39</v>
      </c>
      <c r="J673" t="s">
        <v>63</v>
      </c>
      <c r="K673" s="2">
        <v>46188</v>
      </c>
      <c r="L673" s="2">
        <v>46368</v>
      </c>
      <c r="M673" t="s">
        <v>69</v>
      </c>
      <c r="N673" t="s">
        <v>55</v>
      </c>
      <c r="O673">
        <v>2</v>
      </c>
      <c r="P673" t="s">
        <v>50</v>
      </c>
      <c r="Q673" s="2">
        <v>46387</v>
      </c>
      <c r="R673" t="s">
        <v>84</v>
      </c>
    </row>
    <row r="674" spans="1:18" x14ac:dyDescent="0.2">
      <c r="A674" t="s">
        <v>1404</v>
      </c>
      <c r="B674" t="s">
        <v>1405</v>
      </c>
      <c r="C674" t="s">
        <v>31</v>
      </c>
      <c r="D674" t="s">
        <v>87</v>
      </c>
      <c r="E674" t="s">
        <v>91</v>
      </c>
      <c r="F674" t="s">
        <v>67</v>
      </c>
      <c r="G674" t="s">
        <v>68</v>
      </c>
      <c r="H674" t="s">
        <v>88</v>
      </c>
      <c r="I674" t="s">
        <v>50</v>
      </c>
      <c r="J674" t="s">
        <v>63</v>
      </c>
      <c r="K674" s="2">
        <v>45939</v>
      </c>
      <c r="L674" s="2">
        <v>46029</v>
      </c>
      <c r="M674" t="s">
        <v>38</v>
      </c>
      <c r="N674" t="s">
        <v>55</v>
      </c>
      <c r="O674">
        <v>3</v>
      </c>
      <c r="P674" t="s">
        <v>106</v>
      </c>
      <c r="Q674" s="2">
        <v>46405</v>
      </c>
      <c r="R674" t="s">
        <v>84</v>
      </c>
    </row>
    <row r="675" spans="1:18" x14ac:dyDescent="0.2">
      <c r="A675" t="s">
        <v>1406</v>
      </c>
      <c r="B675" t="s">
        <v>1407</v>
      </c>
      <c r="C675" t="s">
        <v>103</v>
      </c>
      <c r="D675" t="s">
        <v>104</v>
      </c>
      <c r="E675" t="s">
        <v>91</v>
      </c>
      <c r="F675" t="s">
        <v>34</v>
      </c>
      <c r="G675" t="s">
        <v>35</v>
      </c>
      <c r="H675" t="s">
        <v>88</v>
      </c>
      <c r="I675" t="s">
        <v>111</v>
      </c>
      <c r="J675" t="s">
        <v>63</v>
      </c>
      <c r="K675" s="2">
        <v>46182</v>
      </c>
      <c r="L675" s="2">
        <v>46362</v>
      </c>
      <c r="M675" t="s">
        <v>69</v>
      </c>
      <c r="N675" t="s">
        <v>49</v>
      </c>
      <c r="O675">
        <v>2</v>
      </c>
      <c r="P675" t="s">
        <v>70</v>
      </c>
      <c r="Q675" s="2">
        <v>46256</v>
      </c>
      <c r="R675" t="s">
        <v>38</v>
      </c>
    </row>
    <row r="676" spans="1:18" x14ac:dyDescent="0.2">
      <c r="A676" t="s">
        <v>1408</v>
      </c>
      <c r="B676" t="s">
        <v>1409</v>
      </c>
      <c r="C676" t="s">
        <v>42</v>
      </c>
      <c r="D676" t="s">
        <v>43</v>
      </c>
      <c r="E676" t="s">
        <v>53</v>
      </c>
      <c r="F676" t="s">
        <v>67</v>
      </c>
      <c r="G676" t="s">
        <v>118</v>
      </c>
      <c r="H676" t="s">
        <v>36</v>
      </c>
      <c r="I676" t="s">
        <v>70</v>
      </c>
      <c r="J676" t="s">
        <v>37</v>
      </c>
      <c r="K676" s="2">
        <v>46236</v>
      </c>
      <c r="L676" s="2">
        <v>46601</v>
      </c>
      <c r="M676" t="s">
        <v>64</v>
      </c>
      <c r="N676" t="s">
        <v>55</v>
      </c>
      <c r="O676">
        <v>1</v>
      </c>
      <c r="P676" t="s">
        <v>39</v>
      </c>
      <c r="Q676" s="2">
        <v>46409</v>
      </c>
      <c r="R676" t="s">
        <v>64</v>
      </c>
    </row>
    <row r="677" spans="1:18" x14ac:dyDescent="0.2">
      <c r="A677" t="s">
        <v>1410</v>
      </c>
      <c r="B677" t="s">
        <v>1411</v>
      </c>
      <c r="C677" t="s">
        <v>73</v>
      </c>
      <c r="D677" t="s">
        <v>74</v>
      </c>
      <c r="E677" t="s">
        <v>80</v>
      </c>
      <c r="F677" t="s">
        <v>67</v>
      </c>
      <c r="G677" t="s">
        <v>68</v>
      </c>
      <c r="H677" t="s">
        <v>88</v>
      </c>
      <c r="I677" t="s">
        <v>70</v>
      </c>
      <c r="J677" t="s">
        <v>63</v>
      </c>
      <c r="K677" s="2">
        <v>46068</v>
      </c>
      <c r="L677" s="2">
        <v>46158</v>
      </c>
      <c r="M677" t="s">
        <v>38</v>
      </c>
      <c r="N677" t="s">
        <v>49</v>
      </c>
      <c r="O677">
        <v>1</v>
      </c>
      <c r="P677" t="s">
        <v>39</v>
      </c>
      <c r="Q677" s="2">
        <v>46118</v>
      </c>
      <c r="R677" t="s">
        <v>38</v>
      </c>
    </row>
    <row r="678" spans="1:18" x14ac:dyDescent="0.2">
      <c r="A678" t="s">
        <v>1412</v>
      </c>
      <c r="B678" t="s">
        <v>1413</v>
      </c>
      <c r="C678" t="s">
        <v>31</v>
      </c>
      <c r="D678" t="s">
        <v>87</v>
      </c>
      <c r="E678" t="s">
        <v>44</v>
      </c>
      <c r="F678" t="s">
        <v>34</v>
      </c>
      <c r="G678" t="s">
        <v>35</v>
      </c>
      <c r="H678" t="s">
        <v>88</v>
      </c>
      <c r="I678" t="s">
        <v>54</v>
      </c>
      <c r="J678" t="s">
        <v>37</v>
      </c>
      <c r="K678" s="2">
        <v>46186</v>
      </c>
      <c r="L678" s="2">
        <v>46276</v>
      </c>
      <c r="M678" t="s">
        <v>38</v>
      </c>
      <c r="N678" t="s">
        <v>75</v>
      </c>
      <c r="O678">
        <v>1</v>
      </c>
      <c r="P678" t="s">
        <v>62</v>
      </c>
      <c r="Q678" s="2">
        <v>46378</v>
      </c>
      <c r="R678" t="s">
        <v>84</v>
      </c>
    </row>
    <row r="679" spans="1:18" x14ac:dyDescent="0.2">
      <c r="A679" t="s">
        <v>1414</v>
      </c>
      <c r="B679" t="s">
        <v>1415</v>
      </c>
      <c r="C679" t="s">
        <v>42</v>
      </c>
      <c r="D679" t="s">
        <v>43</v>
      </c>
      <c r="E679" t="s">
        <v>105</v>
      </c>
      <c r="F679" t="s">
        <v>45</v>
      </c>
      <c r="G679" t="s">
        <v>61</v>
      </c>
      <c r="H679" t="s">
        <v>88</v>
      </c>
      <c r="I679" t="s">
        <v>54</v>
      </c>
      <c r="J679" t="s">
        <v>48</v>
      </c>
      <c r="K679" s="2">
        <v>45850</v>
      </c>
      <c r="L679" s="2">
        <v>46215</v>
      </c>
      <c r="M679" t="s">
        <v>38</v>
      </c>
      <c r="N679" t="s">
        <v>55</v>
      </c>
      <c r="O679">
        <v>2</v>
      </c>
      <c r="P679" t="s">
        <v>62</v>
      </c>
      <c r="Q679" s="2">
        <v>46268</v>
      </c>
      <c r="R679" t="s">
        <v>38</v>
      </c>
    </row>
    <row r="680" spans="1:18" x14ac:dyDescent="0.2">
      <c r="A680" t="s">
        <v>1416</v>
      </c>
      <c r="B680" t="s">
        <v>1417</v>
      </c>
      <c r="C680" t="s">
        <v>96</v>
      </c>
      <c r="D680" t="s">
        <v>97</v>
      </c>
      <c r="E680" t="s">
        <v>91</v>
      </c>
      <c r="F680" t="s">
        <v>45</v>
      </c>
      <c r="G680" t="s">
        <v>61</v>
      </c>
      <c r="H680" t="s">
        <v>88</v>
      </c>
      <c r="I680" t="s">
        <v>39</v>
      </c>
      <c r="J680" t="s">
        <v>37</v>
      </c>
      <c r="K680" s="2">
        <v>45797</v>
      </c>
      <c r="L680" s="2">
        <v>45977</v>
      </c>
      <c r="M680" t="s">
        <v>38</v>
      </c>
      <c r="N680" t="s">
        <v>49</v>
      </c>
      <c r="O680">
        <v>3</v>
      </c>
      <c r="P680" t="s">
        <v>106</v>
      </c>
      <c r="Q680" s="2">
        <v>46144</v>
      </c>
      <c r="R680" t="s">
        <v>38</v>
      </c>
    </row>
    <row r="681" spans="1:18" x14ac:dyDescent="0.2">
      <c r="A681" t="s">
        <v>1418</v>
      </c>
      <c r="B681" t="s">
        <v>1419</v>
      </c>
      <c r="C681" t="s">
        <v>96</v>
      </c>
      <c r="D681" t="s">
        <v>97</v>
      </c>
      <c r="E681" t="s">
        <v>53</v>
      </c>
      <c r="F681" t="s">
        <v>45</v>
      </c>
      <c r="G681" t="s">
        <v>46</v>
      </c>
      <c r="H681" t="s">
        <v>36</v>
      </c>
      <c r="I681" t="s">
        <v>50</v>
      </c>
      <c r="J681" t="s">
        <v>48</v>
      </c>
      <c r="K681" s="2">
        <v>46070</v>
      </c>
      <c r="L681" s="2">
        <v>46250</v>
      </c>
      <c r="M681" t="s">
        <v>38</v>
      </c>
      <c r="N681" t="s">
        <v>55</v>
      </c>
      <c r="O681">
        <v>0</v>
      </c>
      <c r="P681" t="s">
        <v>50</v>
      </c>
      <c r="Q681" s="2">
        <v>46335</v>
      </c>
      <c r="R681" t="s">
        <v>57</v>
      </c>
    </row>
    <row r="682" spans="1:18" x14ac:dyDescent="0.2">
      <c r="A682" t="s">
        <v>1420</v>
      </c>
      <c r="B682" t="s">
        <v>1421</v>
      </c>
      <c r="C682" t="s">
        <v>42</v>
      </c>
      <c r="D682" t="s">
        <v>43</v>
      </c>
      <c r="E682" t="s">
        <v>80</v>
      </c>
      <c r="F682" t="s">
        <v>67</v>
      </c>
      <c r="G682" t="s">
        <v>68</v>
      </c>
      <c r="H682" t="s">
        <v>47</v>
      </c>
      <c r="I682" t="s">
        <v>56</v>
      </c>
      <c r="J682" t="s">
        <v>37</v>
      </c>
      <c r="K682" s="2">
        <v>46160</v>
      </c>
      <c r="L682" s="2">
        <v>46340</v>
      </c>
      <c r="M682" t="s">
        <v>64</v>
      </c>
      <c r="N682" t="s">
        <v>75</v>
      </c>
      <c r="O682">
        <v>2</v>
      </c>
      <c r="P682" t="s">
        <v>111</v>
      </c>
      <c r="Q682" s="2">
        <v>46334</v>
      </c>
      <c r="R682" t="s">
        <v>84</v>
      </c>
    </row>
    <row r="683" spans="1:18" x14ac:dyDescent="0.2">
      <c r="A683" t="s">
        <v>1422</v>
      </c>
      <c r="B683" t="s">
        <v>1423</v>
      </c>
      <c r="C683" t="s">
        <v>78</v>
      </c>
      <c r="D683" t="s">
        <v>79</v>
      </c>
      <c r="E683" t="s">
        <v>53</v>
      </c>
      <c r="F683" t="s">
        <v>45</v>
      </c>
      <c r="G683" t="s">
        <v>46</v>
      </c>
      <c r="H683" t="s">
        <v>36</v>
      </c>
      <c r="I683" t="s">
        <v>39</v>
      </c>
      <c r="J683" t="s">
        <v>37</v>
      </c>
      <c r="K683" s="2">
        <v>46092</v>
      </c>
      <c r="L683" s="2">
        <v>46457</v>
      </c>
      <c r="M683" t="s">
        <v>64</v>
      </c>
      <c r="N683" t="s">
        <v>55</v>
      </c>
      <c r="O683">
        <v>2</v>
      </c>
      <c r="P683" t="s">
        <v>39</v>
      </c>
      <c r="Q683" s="2">
        <v>46135</v>
      </c>
      <c r="R683" t="s">
        <v>64</v>
      </c>
    </row>
    <row r="684" spans="1:18" x14ac:dyDescent="0.2">
      <c r="A684" t="s">
        <v>1424</v>
      </c>
      <c r="B684" t="s">
        <v>1425</v>
      </c>
      <c r="C684" t="s">
        <v>78</v>
      </c>
      <c r="D684" t="s">
        <v>79</v>
      </c>
      <c r="E684" t="s">
        <v>80</v>
      </c>
      <c r="F684" t="s">
        <v>45</v>
      </c>
      <c r="G684" t="s">
        <v>46</v>
      </c>
      <c r="H684" t="s">
        <v>98</v>
      </c>
      <c r="I684" t="s">
        <v>56</v>
      </c>
      <c r="J684" t="s">
        <v>63</v>
      </c>
      <c r="K684" s="2">
        <v>46215</v>
      </c>
      <c r="L684" s="2">
        <v>46395</v>
      </c>
      <c r="M684" t="s">
        <v>64</v>
      </c>
      <c r="N684" t="s">
        <v>75</v>
      </c>
      <c r="O684">
        <v>5</v>
      </c>
      <c r="P684" t="s">
        <v>62</v>
      </c>
      <c r="Q684" s="2">
        <v>46180</v>
      </c>
      <c r="R684" t="s">
        <v>64</v>
      </c>
    </row>
    <row r="685" spans="1:18" x14ac:dyDescent="0.2">
      <c r="A685" t="s">
        <v>1426</v>
      </c>
      <c r="B685" t="s">
        <v>1427</v>
      </c>
      <c r="C685" t="s">
        <v>73</v>
      </c>
      <c r="D685" t="s">
        <v>74</v>
      </c>
      <c r="E685" t="s">
        <v>105</v>
      </c>
      <c r="F685" t="s">
        <v>45</v>
      </c>
      <c r="G685" t="s">
        <v>46</v>
      </c>
      <c r="H685" t="s">
        <v>36</v>
      </c>
      <c r="I685" t="s">
        <v>50</v>
      </c>
      <c r="J685" t="s">
        <v>63</v>
      </c>
      <c r="K685" s="2">
        <v>46196</v>
      </c>
      <c r="L685" s="2">
        <v>46376</v>
      </c>
      <c r="M685" t="s">
        <v>64</v>
      </c>
      <c r="N685" t="s">
        <v>49</v>
      </c>
      <c r="O685">
        <v>1</v>
      </c>
      <c r="P685" t="s">
        <v>39</v>
      </c>
      <c r="Q685" s="2">
        <v>46141</v>
      </c>
      <c r="R685" t="s">
        <v>38</v>
      </c>
    </row>
    <row r="686" spans="1:18" x14ac:dyDescent="0.2">
      <c r="A686" t="s">
        <v>1428</v>
      </c>
      <c r="B686" t="s">
        <v>1429</v>
      </c>
      <c r="C686" t="s">
        <v>42</v>
      </c>
      <c r="D686" t="s">
        <v>43</v>
      </c>
      <c r="E686" t="s">
        <v>53</v>
      </c>
      <c r="F686" t="s">
        <v>67</v>
      </c>
      <c r="G686" t="s">
        <v>118</v>
      </c>
      <c r="H686" t="s">
        <v>47</v>
      </c>
      <c r="I686" t="s">
        <v>70</v>
      </c>
      <c r="J686" t="s">
        <v>48</v>
      </c>
      <c r="K686" s="2">
        <v>45886</v>
      </c>
      <c r="L686" s="2">
        <v>46066</v>
      </c>
      <c r="M686" t="s">
        <v>38</v>
      </c>
      <c r="N686" t="s">
        <v>55</v>
      </c>
      <c r="O686">
        <v>1</v>
      </c>
      <c r="P686" t="s">
        <v>56</v>
      </c>
      <c r="Q686" s="2">
        <v>46376</v>
      </c>
      <c r="R686" t="s">
        <v>64</v>
      </c>
    </row>
    <row r="687" spans="1:18" x14ac:dyDescent="0.2">
      <c r="A687" t="s">
        <v>1430</v>
      </c>
      <c r="B687" t="s">
        <v>1431</v>
      </c>
      <c r="C687" t="s">
        <v>103</v>
      </c>
      <c r="D687" t="s">
        <v>104</v>
      </c>
      <c r="E687" t="s">
        <v>91</v>
      </c>
      <c r="F687" t="s">
        <v>34</v>
      </c>
      <c r="G687" t="s">
        <v>35</v>
      </c>
      <c r="H687" t="s">
        <v>36</v>
      </c>
      <c r="I687" t="s">
        <v>54</v>
      </c>
      <c r="J687" t="s">
        <v>63</v>
      </c>
      <c r="K687" s="2">
        <v>46033</v>
      </c>
      <c r="L687" s="2">
        <v>46398</v>
      </c>
      <c r="M687" t="s">
        <v>84</v>
      </c>
      <c r="N687" t="s">
        <v>49</v>
      </c>
      <c r="O687">
        <v>5</v>
      </c>
      <c r="P687" t="s">
        <v>50</v>
      </c>
      <c r="Q687" s="2">
        <v>46372</v>
      </c>
      <c r="R687" t="s">
        <v>84</v>
      </c>
    </row>
    <row r="688" spans="1:18" x14ac:dyDescent="0.2">
      <c r="A688" t="s">
        <v>1432</v>
      </c>
      <c r="B688" t="s">
        <v>1433</v>
      </c>
      <c r="C688" t="s">
        <v>31</v>
      </c>
      <c r="D688" t="s">
        <v>32</v>
      </c>
      <c r="E688" t="s">
        <v>44</v>
      </c>
      <c r="F688" t="s">
        <v>45</v>
      </c>
      <c r="G688" t="s">
        <v>46</v>
      </c>
      <c r="H688" t="s">
        <v>88</v>
      </c>
      <c r="I688" t="s">
        <v>56</v>
      </c>
      <c r="J688" t="s">
        <v>48</v>
      </c>
      <c r="K688" s="2">
        <v>46177</v>
      </c>
      <c r="L688" s="2">
        <v>46267</v>
      </c>
      <c r="M688" t="s">
        <v>38</v>
      </c>
      <c r="N688" t="s">
        <v>75</v>
      </c>
      <c r="O688">
        <v>0</v>
      </c>
      <c r="P688" t="s">
        <v>62</v>
      </c>
      <c r="Q688" s="2">
        <v>46217</v>
      </c>
      <c r="R688" t="s">
        <v>57</v>
      </c>
    </row>
    <row r="689" spans="1:18" x14ac:dyDescent="0.2">
      <c r="A689" t="s">
        <v>1434</v>
      </c>
      <c r="B689" t="s">
        <v>1435</v>
      </c>
      <c r="C689" t="s">
        <v>42</v>
      </c>
      <c r="D689" t="s">
        <v>43</v>
      </c>
      <c r="E689" t="s">
        <v>91</v>
      </c>
      <c r="F689" t="s">
        <v>67</v>
      </c>
      <c r="G689" t="s">
        <v>118</v>
      </c>
      <c r="H689" t="s">
        <v>88</v>
      </c>
      <c r="I689" t="s">
        <v>54</v>
      </c>
      <c r="J689" t="s">
        <v>37</v>
      </c>
      <c r="K689" s="2">
        <v>46162</v>
      </c>
      <c r="L689" s="2">
        <v>46342</v>
      </c>
      <c r="M689" t="s">
        <v>64</v>
      </c>
      <c r="N689" t="s">
        <v>55</v>
      </c>
      <c r="O689">
        <v>3</v>
      </c>
      <c r="P689" t="s">
        <v>106</v>
      </c>
      <c r="Q689" s="2">
        <v>46141</v>
      </c>
      <c r="R689" t="s">
        <v>64</v>
      </c>
    </row>
    <row r="690" spans="1:18" x14ac:dyDescent="0.2">
      <c r="A690" t="s">
        <v>1436</v>
      </c>
      <c r="B690" t="s">
        <v>1437</v>
      </c>
      <c r="C690" t="s">
        <v>103</v>
      </c>
      <c r="D690" t="s">
        <v>104</v>
      </c>
      <c r="E690" t="s">
        <v>44</v>
      </c>
      <c r="F690" t="s">
        <v>34</v>
      </c>
      <c r="G690" t="s">
        <v>35</v>
      </c>
      <c r="H690" t="s">
        <v>88</v>
      </c>
      <c r="I690" t="s">
        <v>39</v>
      </c>
      <c r="J690" t="s">
        <v>37</v>
      </c>
      <c r="K690" s="2">
        <v>46182</v>
      </c>
      <c r="L690" s="2">
        <v>46272</v>
      </c>
      <c r="M690" t="s">
        <v>38</v>
      </c>
      <c r="N690" t="s">
        <v>55</v>
      </c>
      <c r="O690">
        <v>0</v>
      </c>
      <c r="P690" t="s">
        <v>56</v>
      </c>
      <c r="Q690" s="2">
        <v>46279</v>
      </c>
      <c r="R690" t="s">
        <v>57</v>
      </c>
    </row>
    <row r="691" spans="1:18" x14ac:dyDescent="0.2">
      <c r="A691" t="s">
        <v>1438</v>
      </c>
      <c r="B691" t="s">
        <v>1439</v>
      </c>
      <c r="C691" t="s">
        <v>31</v>
      </c>
      <c r="D691" t="s">
        <v>87</v>
      </c>
      <c r="E691" t="s">
        <v>80</v>
      </c>
      <c r="F691" t="s">
        <v>34</v>
      </c>
      <c r="G691" t="s">
        <v>35</v>
      </c>
      <c r="H691" t="s">
        <v>47</v>
      </c>
      <c r="I691" t="s">
        <v>111</v>
      </c>
      <c r="J691" t="s">
        <v>63</v>
      </c>
      <c r="K691" s="2">
        <v>46089</v>
      </c>
      <c r="L691" s="2">
        <v>46269</v>
      </c>
      <c r="M691" t="s">
        <v>38</v>
      </c>
      <c r="N691" t="s">
        <v>75</v>
      </c>
      <c r="O691">
        <v>0</v>
      </c>
      <c r="P691" t="s">
        <v>50</v>
      </c>
      <c r="Q691" s="2">
        <v>46164</v>
      </c>
      <c r="R691" t="s">
        <v>57</v>
      </c>
    </row>
    <row r="692" spans="1:18" x14ac:dyDescent="0.2">
      <c r="A692" t="s">
        <v>1440</v>
      </c>
      <c r="B692" t="s">
        <v>1441</v>
      </c>
      <c r="C692" t="s">
        <v>31</v>
      </c>
      <c r="D692" t="s">
        <v>83</v>
      </c>
      <c r="E692" t="s">
        <v>91</v>
      </c>
      <c r="F692" t="s">
        <v>67</v>
      </c>
      <c r="G692" t="s">
        <v>118</v>
      </c>
      <c r="H692" t="s">
        <v>36</v>
      </c>
      <c r="I692" t="s">
        <v>106</v>
      </c>
      <c r="J692" t="s">
        <v>63</v>
      </c>
      <c r="K692" s="2">
        <v>46154</v>
      </c>
      <c r="L692" s="2">
        <v>46519</v>
      </c>
      <c r="M692" t="s">
        <v>64</v>
      </c>
      <c r="N692" t="s">
        <v>49</v>
      </c>
      <c r="O692">
        <v>3</v>
      </c>
      <c r="P692" t="s">
        <v>70</v>
      </c>
      <c r="Q692" s="2">
        <v>46159</v>
      </c>
      <c r="R692" t="s">
        <v>38</v>
      </c>
    </row>
    <row r="693" spans="1:18" x14ac:dyDescent="0.2">
      <c r="A693" t="s">
        <v>1442</v>
      </c>
      <c r="B693" t="s">
        <v>1443</v>
      </c>
      <c r="C693" t="s">
        <v>31</v>
      </c>
      <c r="D693" t="s">
        <v>83</v>
      </c>
      <c r="E693" t="s">
        <v>44</v>
      </c>
      <c r="F693" t="s">
        <v>45</v>
      </c>
      <c r="G693" t="s">
        <v>46</v>
      </c>
      <c r="H693" t="s">
        <v>36</v>
      </c>
      <c r="I693" t="s">
        <v>70</v>
      </c>
      <c r="J693" t="s">
        <v>48</v>
      </c>
      <c r="K693" s="2">
        <v>46237</v>
      </c>
      <c r="L693" s="2">
        <v>46602</v>
      </c>
      <c r="M693" t="s">
        <v>69</v>
      </c>
      <c r="N693" t="s">
        <v>49</v>
      </c>
      <c r="O693">
        <v>3</v>
      </c>
      <c r="P693" t="s">
        <v>54</v>
      </c>
      <c r="Q693" s="2">
        <v>46218</v>
      </c>
      <c r="R693" t="s">
        <v>38</v>
      </c>
    </row>
    <row r="694" spans="1:18" x14ac:dyDescent="0.2">
      <c r="A694" t="s">
        <v>1444</v>
      </c>
      <c r="B694" t="s">
        <v>1445</v>
      </c>
      <c r="C694" t="s">
        <v>31</v>
      </c>
      <c r="D694" t="s">
        <v>87</v>
      </c>
      <c r="E694" t="s">
        <v>60</v>
      </c>
      <c r="F694" t="s">
        <v>67</v>
      </c>
      <c r="G694" t="s">
        <v>118</v>
      </c>
      <c r="H694" t="s">
        <v>98</v>
      </c>
      <c r="I694" t="s">
        <v>106</v>
      </c>
      <c r="J694" t="s">
        <v>63</v>
      </c>
      <c r="K694" s="2">
        <v>46046</v>
      </c>
      <c r="L694" s="2">
        <v>46411</v>
      </c>
      <c r="M694" t="s">
        <v>69</v>
      </c>
      <c r="N694" t="s">
        <v>55</v>
      </c>
      <c r="O694">
        <v>3</v>
      </c>
      <c r="P694" t="s">
        <v>56</v>
      </c>
      <c r="Q694" s="2">
        <v>46329</v>
      </c>
      <c r="R694" t="s">
        <v>84</v>
      </c>
    </row>
    <row r="695" spans="1:18" x14ac:dyDescent="0.2">
      <c r="A695" t="s">
        <v>1446</v>
      </c>
      <c r="B695" t="s">
        <v>1447</v>
      </c>
      <c r="C695" t="s">
        <v>31</v>
      </c>
      <c r="D695" t="s">
        <v>32</v>
      </c>
      <c r="E695" t="s">
        <v>53</v>
      </c>
      <c r="F695" t="s">
        <v>34</v>
      </c>
      <c r="G695" t="s">
        <v>35</v>
      </c>
      <c r="H695" t="s">
        <v>47</v>
      </c>
      <c r="I695" t="s">
        <v>39</v>
      </c>
      <c r="J695" t="s">
        <v>37</v>
      </c>
      <c r="K695" s="2">
        <v>45869</v>
      </c>
      <c r="L695" s="2">
        <v>46234</v>
      </c>
      <c r="M695" t="s">
        <v>38</v>
      </c>
      <c r="N695" t="s">
        <v>55</v>
      </c>
      <c r="O695">
        <v>3</v>
      </c>
      <c r="P695" t="s">
        <v>62</v>
      </c>
      <c r="Q695" s="2">
        <v>46368</v>
      </c>
      <c r="R695" t="s">
        <v>84</v>
      </c>
    </row>
    <row r="696" spans="1:18" x14ac:dyDescent="0.2">
      <c r="A696" t="s">
        <v>1448</v>
      </c>
      <c r="B696" t="s">
        <v>1449</v>
      </c>
      <c r="C696" t="s">
        <v>96</v>
      </c>
      <c r="D696" t="s">
        <v>97</v>
      </c>
      <c r="E696" t="s">
        <v>80</v>
      </c>
      <c r="F696" t="s">
        <v>34</v>
      </c>
      <c r="G696" t="s">
        <v>35</v>
      </c>
      <c r="H696" t="s">
        <v>88</v>
      </c>
      <c r="I696" t="s">
        <v>54</v>
      </c>
      <c r="J696" t="s">
        <v>63</v>
      </c>
      <c r="K696" s="2">
        <v>46181</v>
      </c>
      <c r="L696" s="2">
        <v>46271</v>
      </c>
      <c r="M696" t="s">
        <v>38</v>
      </c>
      <c r="N696" t="s">
        <v>55</v>
      </c>
      <c r="O696">
        <v>1</v>
      </c>
      <c r="P696" t="s">
        <v>56</v>
      </c>
      <c r="Q696" s="2">
        <v>46119</v>
      </c>
      <c r="R696" t="s">
        <v>38</v>
      </c>
    </row>
    <row r="697" spans="1:18" x14ac:dyDescent="0.2">
      <c r="A697" t="s">
        <v>1450</v>
      </c>
      <c r="B697" t="s">
        <v>1451</v>
      </c>
      <c r="C697" t="s">
        <v>31</v>
      </c>
      <c r="D697" t="s">
        <v>83</v>
      </c>
      <c r="E697" t="s">
        <v>53</v>
      </c>
      <c r="F697" t="s">
        <v>67</v>
      </c>
      <c r="G697" t="s">
        <v>68</v>
      </c>
      <c r="H697" t="s">
        <v>36</v>
      </c>
      <c r="I697" t="s">
        <v>70</v>
      </c>
      <c r="J697" t="s">
        <v>48</v>
      </c>
      <c r="K697" s="2">
        <v>46188</v>
      </c>
      <c r="L697" s="2">
        <v>46278</v>
      </c>
      <c r="M697" t="s">
        <v>38</v>
      </c>
      <c r="N697" t="s">
        <v>55</v>
      </c>
      <c r="O697">
        <v>4</v>
      </c>
      <c r="P697" t="s">
        <v>56</v>
      </c>
      <c r="Q697" s="2">
        <v>46236</v>
      </c>
      <c r="R697" t="s">
        <v>64</v>
      </c>
    </row>
    <row r="698" spans="1:18" x14ac:dyDescent="0.2">
      <c r="A698" t="s">
        <v>1452</v>
      </c>
      <c r="B698" t="s">
        <v>1453</v>
      </c>
      <c r="C698" t="s">
        <v>42</v>
      </c>
      <c r="D698" t="s">
        <v>43</v>
      </c>
      <c r="E698" t="s">
        <v>44</v>
      </c>
      <c r="F698" t="s">
        <v>45</v>
      </c>
      <c r="G698" t="s">
        <v>46</v>
      </c>
      <c r="H698" t="s">
        <v>88</v>
      </c>
      <c r="I698" t="s">
        <v>39</v>
      </c>
      <c r="J698" t="s">
        <v>48</v>
      </c>
      <c r="K698" s="2">
        <v>45943</v>
      </c>
      <c r="L698" s="2">
        <v>46123</v>
      </c>
      <c r="M698" t="s">
        <v>38</v>
      </c>
      <c r="N698" t="s">
        <v>49</v>
      </c>
      <c r="O698">
        <v>2</v>
      </c>
      <c r="P698" t="s">
        <v>62</v>
      </c>
      <c r="Q698" s="2">
        <v>46281</v>
      </c>
      <c r="R698" t="s">
        <v>64</v>
      </c>
    </row>
    <row r="699" spans="1:18" x14ac:dyDescent="0.2">
      <c r="A699" t="s">
        <v>1454</v>
      </c>
      <c r="B699" t="s">
        <v>1455</v>
      </c>
      <c r="C699" t="s">
        <v>31</v>
      </c>
      <c r="D699" t="s">
        <v>87</v>
      </c>
      <c r="E699" t="s">
        <v>53</v>
      </c>
      <c r="F699" t="s">
        <v>34</v>
      </c>
      <c r="G699" t="s">
        <v>35</v>
      </c>
      <c r="H699" t="s">
        <v>98</v>
      </c>
      <c r="I699" t="s">
        <v>39</v>
      </c>
      <c r="J699" t="s">
        <v>63</v>
      </c>
      <c r="K699" s="2">
        <v>45854</v>
      </c>
      <c r="L699" s="2">
        <v>46034</v>
      </c>
      <c r="M699" t="s">
        <v>38</v>
      </c>
      <c r="N699" t="s">
        <v>55</v>
      </c>
      <c r="O699">
        <v>5</v>
      </c>
      <c r="P699" t="s">
        <v>70</v>
      </c>
      <c r="Q699" s="2">
        <v>46258</v>
      </c>
      <c r="R699" t="s">
        <v>64</v>
      </c>
    </row>
    <row r="700" spans="1:18" x14ac:dyDescent="0.2">
      <c r="A700" t="s">
        <v>1456</v>
      </c>
      <c r="B700" t="s">
        <v>1457</v>
      </c>
      <c r="C700" t="s">
        <v>78</v>
      </c>
      <c r="D700" t="s">
        <v>79</v>
      </c>
      <c r="E700" t="s">
        <v>91</v>
      </c>
      <c r="F700" t="s">
        <v>34</v>
      </c>
      <c r="G700" t="s">
        <v>35</v>
      </c>
      <c r="H700" t="s">
        <v>47</v>
      </c>
      <c r="I700" t="s">
        <v>54</v>
      </c>
      <c r="J700" t="s">
        <v>37</v>
      </c>
      <c r="K700" s="2">
        <v>45857</v>
      </c>
      <c r="L700" s="2">
        <v>46037</v>
      </c>
      <c r="M700" t="s">
        <v>38</v>
      </c>
      <c r="N700" t="s">
        <v>55</v>
      </c>
      <c r="O700">
        <v>2</v>
      </c>
      <c r="P700" t="s">
        <v>54</v>
      </c>
      <c r="Q700" s="2">
        <v>46252</v>
      </c>
      <c r="R700" t="s">
        <v>64</v>
      </c>
    </row>
    <row r="701" spans="1:18" x14ac:dyDescent="0.2">
      <c r="A701" t="s">
        <v>1458</v>
      </c>
      <c r="B701" t="s">
        <v>1459</v>
      </c>
      <c r="C701" t="s">
        <v>31</v>
      </c>
      <c r="D701" t="s">
        <v>83</v>
      </c>
      <c r="E701" t="s">
        <v>53</v>
      </c>
      <c r="F701" t="s">
        <v>34</v>
      </c>
      <c r="G701" t="s">
        <v>35</v>
      </c>
      <c r="H701" t="s">
        <v>47</v>
      </c>
      <c r="I701" t="s">
        <v>111</v>
      </c>
      <c r="J701" t="s">
        <v>37</v>
      </c>
      <c r="K701" s="2">
        <v>46228</v>
      </c>
      <c r="L701" s="2">
        <v>46408</v>
      </c>
      <c r="M701" t="s">
        <v>64</v>
      </c>
      <c r="N701" t="s">
        <v>55</v>
      </c>
      <c r="O701">
        <v>1</v>
      </c>
      <c r="P701" t="s">
        <v>39</v>
      </c>
      <c r="Q701" s="2">
        <v>46211</v>
      </c>
      <c r="R701" t="s">
        <v>38</v>
      </c>
    </row>
    <row r="702" spans="1:18" x14ac:dyDescent="0.2">
      <c r="A702" t="s">
        <v>1460</v>
      </c>
      <c r="B702" t="s">
        <v>1461</v>
      </c>
      <c r="C702" t="s">
        <v>31</v>
      </c>
      <c r="D702" t="s">
        <v>83</v>
      </c>
      <c r="E702" t="s">
        <v>44</v>
      </c>
      <c r="F702" t="s">
        <v>67</v>
      </c>
      <c r="G702" t="s">
        <v>68</v>
      </c>
      <c r="H702" t="s">
        <v>36</v>
      </c>
      <c r="I702" t="s">
        <v>54</v>
      </c>
      <c r="J702" t="s">
        <v>48</v>
      </c>
      <c r="K702" s="2">
        <v>46240</v>
      </c>
      <c r="L702" s="2">
        <v>46330</v>
      </c>
      <c r="M702" t="s">
        <v>64</v>
      </c>
      <c r="N702" t="s">
        <v>55</v>
      </c>
      <c r="O702">
        <v>3</v>
      </c>
      <c r="P702" t="s">
        <v>70</v>
      </c>
      <c r="Q702" s="2">
        <v>46321</v>
      </c>
      <c r="R702" t="s">
        <v>64</v>
      </c>
    </row>
    <row r="703" spans="1:18" x14ac:dyDescent="0.2">
      <c r="A703" t="s">
        <v>1462</v>
      </c>
      <c r="B703" t="s">
        <v>1463</v>
      </c>
      <c r="C703" t="s">
        <v>42</v>
      </c>
      <c r="D703" t="s">
        <v>43</v>
      </c>
      <c r="E703" t="s">
        <v>105</v>
      </c>
      <c r="F703" t="s">
        <v>67</v>
      </c>
      <c r="G703" t="s">
        <v>118</v>
      </c>
      <c r="H703" t="s">
        <v>47</v>
      </c>
      <c r="I703" t="s">
        <v>39</v>
      </c>
      <c r="J703" t="s">
        <v>63</v>
      </c>
      <c r="K703" s="2">
        <v>45885</v>
      </c>
      <c r="L703" s="2">
        <v>46250</v>
      </c>
      <c r="M703" t="s">
        <v>38</v>
      </c>
      <c r="N703" t="s">
        <v>55</v>
      </c>
      <c r="O703">
        <v>1</v>
      </c>
      <c r="P703" t="s">
        <v>39</v>
      </c>
      <c r="Q703" s="2">
        <v>46242</v>
      </c>
      <c r="R703" t="s">
        <v>38</v>
      </c>
    </row>
    <row r="704" spans="1:18" x14ac:dyDescent="0.2">
      <c r="A704" t="s">
        <v>1464</v>
      </c>
      <c r="B704" t="s">
        <v>1465</v>
      </c>
      <c r="C704" t="s">
        <v>96</v>
      </c>
      <c r="D704" t="s">
        <v>97</v>
      </c>
      <c r="E704" t="s">
        <v>60</v>
      </c>
      <c r="F704" t="s">
        <v>45</v>
      </c>
      <c r="G704" t="s">
        <v>46</v>
      </c>
      <c r="H704" t="s">
        <v>36</v>
      </c>
      <c r="I704" t="s">
        <v>106</v>
      </c>
      <c r="J704" t="s">
        <v>48</v>
      </c>
      <c r="K704" s="2">
        <v>45839</v>
      </c>
      <c r="L704" s="2">
        <v>46204</v>
      </c>
      <c r="M704" t="s">
        <v>38</v>
      </c>
      <c r="N704" t="s">
        <v>55</v>
      </c>
      <c r="O704">
        <v>1</v>
      </c>
      <c r="P704" t="s">
        <v>56</v>
      </c>
      <c r="Q704" s="2">
        <v>46186</v>
      </c>
      <c r="R704" t="s">
        <v>38</v>
      </c>
    </row>
    <row r="705" spans="1:18" x14ac:dyDescent="0.2">
      <c r="A705" t="s">
        <v>1466</v>
      </c>
      <c r="B705" t="s">
        <v>1467</v>
      </c>
      <c r="C705" t="s">
        <v>42</v>
      </c>
      <c r="D705" t="s">
        <v>43</v>
      </c>
      <c r="E705" t="s">
        <v>44</v>
      </c>
      <c r="F705" t="s">
        <v>67</v>
      </c>
      <c r="G705" t="s">
        <v>118</v>
      </c>
      <c r="H705" t="s">
        <v>47</v>
      </c>
      <c r="I705" t="s">
        <v>56</v>
      </c>
      <c r="J705" t="s">
        <v>63</v>
      </c>
      <c r="K705" s="2">
        <v>45954</v>
      </c>
      <c r="L705" s="2">
        <v>46319</v>
      </c>
      <c r="M705" t="s">
        <v>64</v>
      </c>
      <c r="N705" t="s">
        <v>55</v>
      </c>
      <c r="O705">
        <v>0</v>
      </c>
      <c r="P705" t="s">
        <v>62</v>
      </c>
      <c r="Q705" s="2">
        <v>46393</v>
      </c>
      <c r="R705" t="s">
        <v>57</v>
      </c>
    </row>
    <row r="706" spans="1:18" x14ac:dyDescent="0.2">
      <c r="A706" t="s">
        <v>1468</v>
      </c>
      <c r="B706" t="s">
        <v>1469</v>
      </c>
      <c r="C706" t="s">
        <v>78</v>
      </c>
      <c r="D706" t="s">
        <v>79</v>
      </c>
      <c r="E706" t="s">
        <v>44</v>
      </c>
      <c r="F706" t="s">
        <v>45</v>
      </c>
      <c r="G706" t="s">
        <v>46</v>
      </c>
      <c r="H706" t="s">
        <v>47</v>
      </c>
      <c r="I706" t="s">
        <v>62</v>
      </c>
      <c r="J706" t="s">
        <v>63</v>
      </c>
      <c r="K706" s="2">
        <v>46078</v>
      </c>
      <c r="L706" s="2">
        <v>46168</v>
      </c>
      <c r="M706" t="s">
        <v>38</v>
      </c>
      <c r="N706" t="s">
        <v>75</v>
      </c>
      <c r="O706">
        <v>2</v>
      </c>
      <c r="P706" t="s">
        <v>70</v>
      </c>
      <c r="Q706" s="2">
        <v>46230</v>
      </c>
      <c r="R706" t="s">
        <v>38</v>
      </c>
    </row>
    <row r="707" spans="1:18" x14ac:dyDescent="0.2">
      <c r="A707" t="s">
        <v>1470</v>
      </c>
      <c r="B707" t="s">
        <v>1471</v>
      </c>
      <c r="C707" t="s">
        <v>31</v>
      </c>
      <c r="D707" t="s">
        <v>32</v>
      </c>
      <c r="E707" t="s">
        <v>105</v>
      </c>
      <c r="F707" t="s">
        <v>67</v>
      </c>
      <c r="G707" t="s">
        <v>68</v>
      </c>
      <c r="H707" t="s">
        <v>47</v>
      </c>
      <c r="I707" t="s">
        <v>56</v>
      </c>
      <c r="J707" t="s">
        <v>63</v>
      </c>
      <c r="K707" s="2">
        <v>46093</v>
      </c>
      <c r="L707" s="2">
        <v>46183</v>
      </c>
      <c r="M707" t="s">
        <v>38</v>
      </c>
      <c r="N707" t="s">
        <v>49</v>
      </c>
      <c r="O707">
        <v>2</v>
      </c>
      <c r="P707" t="s">
        <v>50</v>
      </c>
      <c r="Q707" s="2">
        <v>46175</v>
      </c>
      <c r="R707" t="s">
        <v>38</v>
      </c>
    </row>
    <row r="708" spans="1:18" x14ac:dyDescent="0.2">
      <c r="A708" t="s">
        <v>1472</v>
      </c>
      <c r="B708" t="s">
        <v>1473</v>
      </c>
      <c r="C708" t="s">
        <v>31</v>
      </c>
      <c r="D708" t="s">
        <v>32</v>
      </c>
      <c r="E708" t="s">
        <v>60</v>
      </c>
      <c r="F708" t="s">
        <v>45</v>
      </c>
      <c r="G708" t="s">
        <v>61</v>
      </c>
      <c r="H708" t="s">
        <v>88</v>
      </c>
      <c r="I708" t="s">
        <v>50</v>
      </c>
      <c r="J708" t="s">
        <v>37</v>
      </c>
      <c r="K708" s="2">
        <v>45928</v>
      </c>
      <c r="L708" s="2">
        <v>46108</v>
      </c>
      <c r="M708" t="s">
        <v>38</v>
      </c>
      <c r="N708" t="s">
        <v>55</v>
      </c>
      <c r="O708">
        <v>2</v>
      </c>
      <c r="P708" t="s">
        <v>106</v>
      </c>
      <c r="Q708" s="2">
        <v>46261</v>
      </c>
      <c r="R708" t="s">
        <v>64</v>
      </c>
    </row>
    <row r="709" spans="1:18" x14ac:dyDescent="0.2">
      <c r="A709" t="s">
        <v>1474</v>
      </c>
      <c r="B709" t="s">
        <v>1475</v>
      </c>
      <c r="C709" t="s">
        <v>96</v>
      </c>
      <c r="D709" t="s">
        <v>97</v>
      </c>
      <c r="E709" t="s">
        <v>105</v>
      </c>
      <c r="F709" t="s">
        <v>67</v>
      </c>
      <c r="G709" t="s">
        <v>68</v>
      </c>
      <c r="H709" t="s">
        <v>36</v>
      </c>
      <c r="I709" t="s">
        <v>50</v>
      </c>
      <c r="J709" t="s">
        <v>48</v>
      </c>
      <c r="K709" s="2">
        <v>45877</v>
      </c>
      <c r="L709" s="2">
        <v>46242</v>
      </c>
      <c r="M709" t="s">
        <v>38</v>
      </c>
      <c r="N709" t="s">
        <v>55</v>
      </c>
      <c r="O709">
        <v>2</v>
      </c>
      <c r="P709" t="s">
        <v>70</v>
      </c>
      <c r="Q709" s="2">
        <v>46190</v>
      </c>
      <c r="R709" t="s">
        <v>38</v>
      </c>
    </row>
    <row r="710" spans="1:18" x14ac:dyDescent="0.2">
      <c r="A710" t="s">
        <v>1476</v>
      </c>
      <c r="B710" t="s">
        <v>1477</v>
      </c>
      <c r="C710" t="s">
        <v>96</v>
      </c>
      <c r="D710" t="s">
        <v>97</v>
      </c>
      <c r="E710" t="s">
        <v>91</v>
      </c>
      <c r="F710" t="s">
        <v>34</v>
      </c>
      <c r="G710" t="s">
        <v>35</v>
      </c>
      <c r="H710" t="s">
        <v>47</v>
      </c>
      <c r="J710" t="s">
        <v>37</v>
      </c>
      <c r="K710" s="2">
        <v>46229</v>
      </c>
      <c r="L710" s="2">
        <v>46409</v>
      </c>
      <c r="M710" t="s">
        <v>84</v>
      </c>
      <c r="N710" t="s">
        <v>75</v>
      </c>
      <c r="O710">
        <v>2</v>
      </c>
      <c r="P710" t="s">
        <v>106</v>
      </c>
      <c r="Q710" s="2">
        <v>46278</v>
      </c>
      <c r="R710" t="s">
        <v>38</v>
      </c>
    </row>
    <row r="711" spans="1:18" x14ac:dyDescent="0.2">
      <c r="A711" t="s">
        <v>1478</v>
      </c>
      <c r="B711" t="s">
        <v>1479</v>
      </c>
      <c r="C711" t="s">
        <v>78</v>
      </c>
      <c r="D711" t="s">
        <v>79</v>
      </c>
      <c r="E711" t="s">
        <v>80</v>
      </c>
      <c r="F711" t="s">
        <v>45</v>
      </c>
      <c r="G711" t="s">
        <v>46</v>
      </c>
      <c r="H711" t="s">
        <v>88</v>
      </c>
      <c r="I711" t="s">
        <v>111</v>
      </c>
      <c r="J711" t="s">
        <v>63</v>
      </c>
      <c r="K711" s="2">
        <v>46000</v>
      </c>
      <c r="L711" s="2">
        <v>46365</v>
      </c>
      <c r="M711" t="s">
        <v>64</v>
      </c>
      <c r="N711" t="s">
        <v>49</v>
      </c>
      <c r="O711">
        <v>1</v>
      </c>
      <c r="P711" t="s">
        <v>54</v>
      </c>
      <c r="Q711" s="2">
        <v>46311</v>
      </c>
      <c r="R711" t="s">
        <v>64</v>
      </c>
    </row>
    <row r="712" spans="1:18" x14ac:dyDescent="0.2">
      <c r="A712" t="s">
        <v>1480</v>
      </c>
      <c r="B712" t="s">
        <v>1481</v>
      </c>
      <c r="C712" t="s">
        <v>31</v>
      </c>
      <c r="D712" t="s">
        <v>87</v>
      </c>
      <c r="E712" t="s">
        <v>44</v>
      </c>
      <c r="F712" t="s">
        <v>34</v>
      </c>
      <c r="G712" t="s">
        <v>35</v>
      </c>
      <c r="H712" t="s">
        <v>88</v>
      </c>
      <c r="I712" t="s">
        <v>54</v>
      </c>
      <c r="J712" t="s">
        <v>37</v>
      </c>
      <c r="K712" s="2">
        <v>45840</v>
      </c>
      <c r="L712" s="2">
        <v>45930</v>
      </c>
      <c r="M712" t="s">
        <v>38</v>
      </c>
      <c r="N712" t="s">
        <v>75</v>
      </c>
      <c r="O712">
        <v>3</v>
      </c>
      <c r="P712" t="s">
        <v>50</v>
      </c>
      <c r="Q712" s="2">
        <v>46183</v>
      </c>
      <c r="R712" t="s">
        <v>38</v>
      </c>
    </row>
    <row r="713" spans="1:18" x14ac:dyDescent="0.2">
      <c r="A713" t="s">
        <v>1482</v>
      </c>
      <c r="B713" t="s">
        <v>1483</v>
      </c>
      <c r="C713" t="s">
        <v>31</v>
      </c>
      <c r="D713" t="s">
        <v>32</v>
      </c>
      <c r="E713" t="s">
        <v>44</v>
      </c>
      <c r="F713" t="s">
        <v>67</v>
      </c>
      <c r="G713" t="s">
        <v>118</v>
      </c>
      <c r="H713" t="s">
        <v>36</v>
      </c>
      <c r="I713" t="s">
        <v>62</v>
      </c>
      <c r="J713" t="s">
        <v>63</v>
      </c>
      <c r="K713" s="2">
        <v>46151</v>
      </c>
      <c r="L713" s="2">
        <v>46241</v>
      </c>
      <c r="M713" t="s">
        <v>38</v>
      </c>
      <c r="N713" t="s">
        <v>55</v>
      </c>
      <c r="O713">
        <v>0</v>
      </c>
      <c r="P713" t="s">
        <v>50</v>
      </c>
      <c r="Q713" s="2">
        <v>46185</v>
      </c>
      <c r="R713" t="s">
        <v>57</v>
      </c>
    </row>
    <row r="714" spans="1:18" x14ac:dyDescent="0.2">
      <c r="A714" t="s">
        <v>1484</v>
      </c>
      <c r="B714" t="s">
        <v>1485</v>
      </c>
      <c r="C714" t="s">
        <v>31</v>
      </c>
      <c r="D714" t="s">
        <v>83</v>
      </c>
      <c r="E714" t="s">
        <v>91</v>
      </c>
      <c r="F714" t="s">
        <v>67</v>
      </c>
      <c r="G714" t="s">
        <v>68</v>
      </c>
      <c r="H714" t="s">
        <v>98</v>
      </c>
      <c r="I714" t="s">
        <v>106</v>
      </c>
      <c r="J714" t="s">
        <v>48</v>
      </c>
      <c r="K714" s="2">
        <v>46248</v>
      </c>
      <c r="L714" s="2">
        <v>46613</v>
      </c>
      <c r="M714" t="s">
        <v>64</v>
      </c>
      <c r="N714" t="s">
        <v>49</v>
      </c>
      <c r="O714">
        <v>0</v>
      </c>
      <c r="P714" t="s">
        <v>106</v>
      </c>
      <c r="Q714" s="2">
        <v>46359</v>
      </c>
      <c r="R714" t="s">
        <v>57</v>
      </c>
    </row>
    <row r="715" spans="1:18" x14ac:dyDescent="0.2">
      <c r="A715" t="s">
        <v>1486</v>
      </c>
      <c r="B715" t="s">
        <v>1487</v>
      </c>
      <c r="C715" t="s">
        <v>42</v>
      </c>
      <c r="D715" t="s">
        <v>43</v>
      </c>
      <c r="E715" t="s">
        <v>44</v>
      </c>
      <c r="F715" t="s">
        <v>45</v>
      </c>
      <c r="G715" t="s">
        <v>46</v>
      </c>
      <c r="H715" t="s">
        <v>47</v>
      </c>
      <c r="I715" t="s">
        <v>62</v>
      </c>
      <c r="J715" t="s">
        <v>37</v>
      </c>
      <c r="K715" s="2">
        <v>46199</v>
      </c>
      <c r="L715" s="2">
        <v>46289</v>
      </c>
      <c r="M715" t="s">
        <v>38</v>
      </c>
      <c r="N715" t="s">
        <v>75</v>
      </c>
      <c r="O715">
        <v>1</v>
      </c>
      <c r="P715" t="s">
        <v>106</v>
      </c>
      <c r="Q715" s="2">
        <v>46385</v>
      </c>
      <c r="R715" t="s">
        <v>84</v>
      </c>
    </row>
    <row r="716" spans="1:18" x14ac:dyDescent="0.2">
      <c r="A716" t="s">
        <v>1488</v>
      </c>
      <c r="B716" t="s">
        <v>1489</v>
      </c>
      <c r="C716" t="s">
        <v>78</v>
      </c>
      <c r="D716" t="s">
        <v>79</v>
      </c>
      <c r="E716" t="s">
        <v>53</v>
      </c>
      <c r="F716" t="s">
        <v>67</v>
      </c>
      <c r="G716" t="s">
        <v>68</v>
      </c>
      <c r="H716" t="s">
        <v>47</v>
      </c>
      <c r="I716" t="s">
        <v>39</v>
      </c>
      <c r="J716" t="s">
        <v>37</v>
      </c>
      <c r="K716" s="2">
        <v>45824</v>
      </c>
      <c r="L716" s="2">
        <v>46189</v>
      </c>
      <c r="M716" t="s">
        <v>38</v>
      </c>
      <c r="N716" t="s">
        <v>55</v>
      </c>
      <c r="O716">
        <v>1</v>
      </c>
      <c r="P716" t="s">
        <v>111</v>
      </c>
      <c r="Q716" s="2">
        <v>46372</v>
      </c>
      <c r="R716" t="s">
        <v>64</v>
      </c>
    </row>
    <row r="717" spans="1:18" x14ac:dyDescent="0.2">
      <c r="A717" t="s">
        <v>1490</v>
      </c>
      <c r="B717" t="s">
        <v>1491</v>
      </c>
      <c r="C717" t="s">
        <v>78</v>
      </c>
      <c r="D717" t="s">
        <v>79</v>
      </c>
      <c r="E717" t="s">
        <v>60</v>
      </c>
      <c r="F717" t="s">
        <v>34</v>
      </c>
      <c r="G717" t="s">
        <v>35</v>
      </c>
      <c r="H717" t="s">
        <v>88</v>
      </c>
      <c r="I717" t="s">
        <v>54</v>
      </c>
      <c r="J717" t="s">
        <v>63</v>
      </c>
      <c r="K717" s="2">
        <v>46059</v>
      </c>
      <c r="L717" s="2">
        <v>46149</v>
      </c>
      <c r="M717" t="s">
        <v>38</v>
      </c>
      <c r="N717" t="s">
        <v>75</v>
      </c>
      <c r="O717">
        <v>0</v>
      </c>
      <c r="P717" t="s">
        <v>54</v>
      </c>
      <c r="Q717" s="2">
        <v>46382</v>
      </c>
      <c r="R717" t="s">
        <v>57</v>
      </c>
    </row>
    <row r="718" spans="1:18" x14ac:dyDescent="0.2">
      <c r="A718" t="s">
        <v>1492</v>
      </c>
      <c r="B718" t="s">
        <v>1493</v>
      </c>
      <c r="C718" t="s">
        <v>78</v>
      </c>
      <c r="D718" t="s">
        <v>79</v>
      </c>
      <c r="E718" t="s">
        <v>44</v>
      </c>
      <c r="F718" t="s">
        <v>67</v>
      </c>
      <c r="G718" t="s">
        <v>68</v>
      </c>
      <c r="H718" t="s">
        <v>88</v>
      </c>
      <c r="I718" t="s">
        <v>70</v>
      </c>
      <c r="J718" t="s">
        <v>37</v>
      </c>
      <c r="K718" s="2">
        <v>45857</v>
      </c>
      <c r="L718" s="2">
        <v>46222</v>
      </c>
      <c r="M718" t="s">
        <v>38</v>
      </c>
      <c r="N718" t="s">
        <v>75</v>
      </c>
      <c r="O718">
        <v>3</v>
      </c>
      <c r="P718" t="s">
        <v>50</v>
      </c>
      <c r="Q718" s="2">
        <v>46275</v>
      </c>
      <c r="R718" t="s">
        <v>38</v>
      </c>
    </row>
    <row r="719" spans="1:18" x14ac:dyDescent="0.2">
      <c r="A719" t="s">
        <v>1494</v>
      </c>
      <c r="B719" t="s">
        <v>1495</v>
      </c>
      <c r="C719" t="s">
        <v>31</v>
      </c>
      <c r="D719" t="s">
        <v>83</v>
      </c>
      <c r="E719" t="s">
        <v>91</v>
      </c>
      <c r="F719" t="s">
        <v>45</v>
      </c>
      <c r="G719" t="s">
        <v>61</v>
      </c>
      <c r="H719" t="s">
        <v>88</v>
      </c>
      <c r="I719" t="s">
        <v>56</v>
      </c>
      <c r="J719" t="s">
        <v>48</v>
      </c>
      <c r="K719" s="2">
        <v>46220</v>
      </c>
      <c r="L719" s="2">
        <v>46310</v>
      </c>
      <c r="M719" t="s">
        <v>64</v>
      </c>
      <c r="N719" t="s">
        <v>49</v>
      </c>
      <c r="O719">
        <v>2</v>
      </c>
      <c r="P719" t="s">
        <v>70</v>
      </c>
      <c r="Q719" s="2">
        <v>46129</v>
      </c>
      <c r="R719" t="s">
        <v>64</v>
      </c>
    </row>
    <row r="720" spans="1:18" x14ac:dyDescent="0.2">
      <c r="A720" t="s">
        <v>1496</v>
      </c>
      <c r="B720" t="s">
        <v>1497</v>
      </c>
      <c r="C720" t="s">
        <v>31</v>
      </c>
      <c r="D720" t="s">
        <v>87</v>
      </c>
      <c r="E720" t="s">
        <v>53</v>
      </c>
      <c r="F720" t="s">
        <v>45</v>
      </c>
      <c r="G720" t="s">
        <v>46</v>
      </c>
      <c r="H720" t="s">
        <v>47</v>
      </c>
      <c r="I720" t="s">
        <v>54</v>
      </c>
      <c r="J720" t="s">
        <v>37</v>
      </c>
      <c r="K720" s="2">
        <v>45949</v>
      </c>
      <c r="L720" s="2">
        <v>46039</v>
      </c>
      <c r="M720" t="s">
        <v>38</v>
      </c>
      <c r="N720" t="s">
        <v>55</v>
      </c>
      <c r="O720">
        <v>2</v>
      </c>
      <c r="P720" t="s">
        <v>39</v>
      </c>
      <c r="Q720" s="2">
        <v>46158</v>
      </c>
      <c r="R720" t="s">
        <v>38</v>
      </c>
    </row>
    <row r="721" spans="1:18" x14ac:dyDescent="0.2">
      <c r="A721" t="s">
        <v>1498</v>
      </c>
      <c r="B721" t="s">
        <v>1499</v>
      </c>
      <c r="C721" t="s">
        <v>78</v>
      </c>
      <c r="D721" t="s">
        <v>79</v>
      </c>
      <c r="E721" t="s">
        <v>105</v>
      </c>
      <c r="F721" t="s">
        <v>45</v>
      </c>
      <c r="G721" t="s">
        <v>61</v>
      </c>
      <c r="H721" t="s">
        <v>98</v>
      </c>
      <c r="I721" t="s">
        <v>39</v>
      </c>
      <c r="J721" t="s">
        <v>37</v>
      </c>
      <c r="K721" s="2">
        <v>46093</v>
      </c>
      <c r="L721" s="2">
        <v>46273</v>
      </c>
      <c r="M721" t="s">
        <v>38</v>
      </c>
      <c r="N721" t="s">
        <v>75</v>
      </c>
      <c r="O721">
        <v>4</v>
      </c>
      <c r="P721" t="s">
        <v>50</v>
      </c>
      <c r="Q721" s="2">
        <v>46214</v>
      </c>
      <c r="R721" t="s">
        <v>64</v>
      </c>
    </row>
    <row r="722" spans="1:18" x14ac:dyDescent="0.2">
      <c r="A722" t="s">
        <v>1500</v>
      </c>
      <c r="B722" t="s">
        <v>1501</v>
      </c>
      <c r="C722" t="s">
        <v>31</v>
      </c>
      <c r="D722" t="s">
        <v>87</v>
      </c>
      <c r="E722" t="s">
        <v>53</v>
      </c>
      <c r="F722" t="s">
        <v>34</v>
      </c>
      <c r="G722" t="s">
        <v>35</v>
      </c>
      <c r="H722" t="s">
        <v>88</v>
      </c>
      <c r="I722" t="s">
        <v>70</v>
      </c>
      <c r="J722" t="s">
        <v>48</v>
      </c>
      <c r="K722" s="2">
        <v>46018</v>
      </c>
      <c r="L722" s="2">
        <v>46108</v>
      </c>
      <c r="M722" t="s">
        <v>38</v>
      </c>
      <c r="N722" t="s">
        <v>55</v>
      </c>
      <c r="O722">
        <v>3</v>
      </c>
      <c r="P722" t="s">
        <v>50</v>
      </c>
      <c r="Q722" s="2">
        <v>46359</v>
      </c>
      <c r="R722" t="s">
        <v>84</v>
      </c>
    </row>
    <row r="723" spans="1:18" x14ac:dyDescent="0.2">
      <c r="A723" t="s">
        <v>1502</v>
      </c>
      <c r="B723" t="s">
        <v>1503</v>
      </c>
      <c r="C723" t="s">
        <v>31</v>
      </c>
      <c r="D723" t="s">
        <v>83</v>
      </c>
      <c r="E723" t="s">
        <v>105</v>
      </c>
      <c r="F723" t="s">
        <v>34</v>
      </c>
      <c r="G723" t="s">
        <v>35</v>
      </c>
      <c r="H723" t="s">
        <v>36</v>
      </c>
      <c r="I723" t="s">
        <v>70</v>
      </c>
      <c r="J723" t="s">
        <v>63</v>
      </c>
      <c r="K723" s="2">
        <v>45908</v>
      </c>
      <c r="L723" s="2">
        <v>45998</v>
      </c>
      <c r="M723" t="s">
        <v>38</v>
      </c>
      <c r="N723" t="s">
        <v>55</v>
      </c>
      <c r="O723">
        <v>5</v>
      </c>
      <c r="P723" t="s">
        <v>106</v>
      </c>
      <c r="Q723" s="2">
        <v>46187</v>
      </c>
      <c r="R723" t="s">
        <v>38</v>
      </c>
    </row>
    <row r="724" spans="1:18" x14ac:dyDescent="0.2">
      <c r="A724" t="s">
        <v>1504</v>
      </c>
      <c r="B724" t="s">
        <v>1505</v>
      </c>
      <c r="C724" t="s">
        <v>96</v>
      </c>
      <c r="D724" t="s">
        <v>97</v>
      </c>
      <c r="E724" t="s">
        <v>53</v>
      </c>
      <c r="F724" t="s">
        <v>67</v>
      </c>
      <c r="G724" t="s">
        <v>68</v>
      </c>
      <c r="H724" t="s">
        <v>47</v>
      </c>
      <c r="I724" t="s">
        <v>62</v>
      </c>
      <c r="J724" t="s">
        <v>48</v>
      </c>
      <c r="K724" s="2">
        <v>46255</v>
      </c>
      <c r="L724" s="2">
        <v>46620</v>
      </c>
      <c r="M724" t="s">
        <v>69</v>
      </c>
      <c r="N724" t="s">
        <v>55</v>
      </c>
      <c r="O724">
        <v>1</v>
      </c>
      <c r="P724" t="s">
        <v>50</v>
      </c>
      <c r="Q724" s="2">
        <v>46153</v>
      </c>
      <c r="R724" t="s">
        <v>38</v>
      </c>
    </row>
    <row r="725" spans="1:18" x14ac:dyDescent="0.2">
      <c r="A725" t="s">
        <v>1506</v>
      </c>
      <c r="B725" t="s">
        <v>1507</v>
      </c>
      <c r="C725" t="s">
        <v>31</v>
      </c>
      <c r="D725" t="s">
        <v>83</v>
      </c>
      <c r="E725" t="s">
        <v>80</v>
      </c>
      <c r="F725" t="s">
        <v>67</v>
      </c>
      <c r="G725" t="s">
        <v>68</v>
      </c>
      <c r="H725" t="s">
        <v>47</v>
      </c>
      <c r="I725" t="s">
        <v>106</v>
      </c>
      <c r="J725" t="s">
        <v>37</v>
      </c>
      <c r="K725" s="2">
        <v>46189</v>
      </c>
      <c r="L725" s="2">
        <v>46369</v>
      </c>
      <c r="M725" t="s">
        <v>64</v>
      </c>
      <c r="N725" t="s">
        <v>75</v>
      </c>
      <c r="O725">
        <v>2</v>
      </c>
      <c r="P725" t="s">
        <v>56</v>
      </c>
      <c r="Q725" s="2">
        <v>46295</v>
      </c>
      <c r="R725" t="s">
        <v>64</v>
      </c>
    </row>
    <row r="726" spans="1:18" x14ac:dyDescent="0.2">
      <c r="A726" t="s">
        <v>1508</v>
      </c>
      <c r="B726" t="s">
        <v>1509</v>
      </c>
      <c r="C726" t="s">
        <v>31</v>
      </c>
      <c r="D726" t="s">
        <v>83</v>
      </c>
      <c r="E726" t="s">
        <v>80</v>
      </c>
      <c r="F726" t="s">
        <v>67</v>
      </c>
      <c r="G726" t="s">
        <v>118</v>
      </c>
      <c r="H726" t="s">
        <v>88</v>
      </c>
      <c r="I726" t="s">
        <v>50</v>
      </c>
      <c r="J726" t="s">
        <v>37</v>
      </c>
      <c r="K726" s="2">
        <v>46212</v>
      </c>
      <c r="L726" s="2">
        <v>46577</v>
      </c>
      <c r="M726" t="s">
        <v>64</v>
      </c>
      <c r="N726" t="s">
        <v>75</v>
      </c>
      <c r="O726">
        <v>2</v>
      </c>
      <c r="P726" t="s">
        <v>106</v>
      </c>
      <c r="Q726" s="2">
        <v>46320</v>
      </c>
      <c r="R726" t="s">
        <v>84</v>
      </c>
    </row>
    <row r="727" spans="1:18" x14ac:dyDescent="0.2">
      <c r="A727" t="s">
        <v>1510</v>
      </c>
      <c r="B727" t="s">
        <v>1511</v>
      </c>
      <c r="C727" t="s">
        <v>31</v>
      </c>
      <c r="D727" t="s">
        <v>87</v>
      </c>
      <c r="E727" t="s">
        <v>91</v>
      </c>
      <c r="F727" t="s">
        <v>67</v>
      </c>
      <c r="G727" t="s">
        <v>68</v>
      </c>
      <c r="H727" t="s">
        <v>88</v>
      </c>
      <c r="I727" t="s">
        <v>111</v>
      </c>
      <c r="J727" t="s">
        <v>48</v>
      </c>
      <c r="K727" s="2">
        <v>46141</v>
      </c>
      <c r="L727" s="2">
        <v>46506</v>
      </c>
      <c r="M727" t="s">
        <v>64</v>
      </c>
      <c r="N727" t="s">
        <v>49</v>
      </c>
      <c r="O727">
        <v>0</v>
      </c>
      <c r="P727" t="s">
        <v>56</v>
      </c>
      <c r="Q727" s="2">
        <v>46240</v>
      </c>
      <c r="R727" t="s">
        <v>57</v>
      </c>
    </row>
    <row r="728" spans="1:18" x14ac:dyDescent="0.2">
      <c r="A728" t="s">
        <v>1512</v>
      </c>
      <c r="B728" t="s">
        <v>1513</v>
      </c>
      <c r="C728" t="s">
        <v>96</v>
      </c>
      <c r="D728" t="s">
        <v>97</v>
      </c>
      <c r="E728" t="s">
        <v>60</v>
      </c>
      <c r="F728" t="s">
        <v>67</v>
      </c>
      <c r="G728" t="s">
        <v>68</v>
      </c>
      <c r="H728" t="s">
        <v>88</v>
      </c>
      <c r="I728" t="s">
        <v>70</v>
      </c>
      <c r="J728" t="s">
        <v>48</v>
      </c>
      <c r="K728" s="2">
        <v>46161</v>
      </c>
      <c r="L728" s="2">
        <v>46341</v>
      </c>
      <c r="M728" t="s">
        <v>84</v>
      </c>
      <c r="N728" t="s">
        <v>75</v>
      </c>
      <c r="O728">
        <v>3</v>
      </c>
      <c r="P728" t="s">
        <v>50</v>
      </c>
      <c r="Q728" s="2">
        <v>46354</v>
      </c>
      <c r="R728" t="s">
        <v>84</v>
      </c>
    </row>
    <row r="729" spans="1:18" x14ac:dyDescent="0.2">
      <c r="A729" t="s">
        <v>1514</v>
      </c>
      <c r="B729" t="s">
        <v>1515</v>
      </c>
      <c r="C729" t="s">
        <v>96</v>
      </c>
      <c r="D729" t="s">
        <v>97</v>
      </c>
      <c r="E729" t="s">
        <v>80</v>
      </c>
      <c r="F729" t="s">
        <v>34</v>
      </c>
      <c r="G729" t="s">
        <v>35</v>
      </c>
      <c r="H729" t="s">
        <v>36</v>
      </c>
      <c r="I729" t="s">
        <v>54</v>
      </c>
      <c r="J729" t="s">
        <v>63</v>
      </c>
      <c r="K729" s="2">
        <v>46070</v>
      </c>
      <c r="L729" s="2">
        <v>46250</v>
      </c>
      <c r="M729" t="s">
        <v>38</v>
      </c>
      <c r="N729" t="s">
        <v>55</v>
      </c>
      <c r="O729">
        <v>2</v>
      </c>
      <c r="P729" t="s">
        <v>111</v>
      </c>
      <c r="Q729" s="2">
        <v>46290</v>
      </c>
      <c r="R729" t="s">
        <v>38</v>
      </c>
    </row>
    <row r="730" spans="1:18" x14ac:dyDescent="0.2">
      <c r="A730" t="s">
        <v>1516</v>
      </c>
      <c r="B730" t="s">
        <v>1517</v>
      </c>
      <c r="C730" t="s">
        <v>78</v>
      </c>
      <c r="D730" t="s">
        <v>79</v>
      </c>
      <c r="E730" t="s">
        <v>80</v>
      </c>
      <c r="F730" t="s">
        <v>45</v>
      </c>
      <c r="G730" t="s">
        <v>61</v>
      </c>
      <c r="H730" t="s">
        <v>47</v>
      </c>
      <c r="I730" t="s">
        <v>50</v>
      </c>
      <c r="J730" t="s">
        <v>37</v>
      </c>
      <c r="K730" s="2">
        <v>46035</v>
      </c>
      <c r="L730" s="2">
        <v>46125</v>
      </c>
      <c r="M730" t="s">
        <v>38</v>
      </c>
      <c r="N730" t="s">
        <v>49</v>
      </c>
      <c r="O730">
        <v>1</v>
      </c>
      <c r="P730" t="s">
        <v>62</v>
      </c>
      <c r="Q730" s="2">
        <v>46278</v>
      </c>
      <c r="R730" t="s">
        <v>38</v>
      </c>
    </row>
    <row r="731" spans="1:18" x14ac:dyDescent="0.2">
      <c r="A731" t="s">
        <v>1518</v>
      </c>
      <c r="B731" t="s">
        <v>1519</v>
      </c>
      <c r="C731" t="s">
        <v>31</v>
      </c>
      <c r="D731" t="s">
        <v>32</v>
      </c>
      <c r="E731" t="s">
        <v>105</v>
      </c>
      <c r="F731" t="s">
        <v>67</v>
      </c>
      <c r="G731" t="s">
        <v>68</v>
      </c>
      <c r="H731" t="s">
        <v>47</v>
      </c>
      <c r="I731" t="s">
        <v>39</v>
      </c>
      <c r="J731" t="s">
        <v>48</v>
      </c>
      <c r="K731" s="2">
        <v>45887</v>
      </c>
      <c r="L731" s="2">
        <v>46252</v>
      </c>
      <c r="M731" t="s">
        <v>38</v>
      </c>
      <c r="N731" t="s">
        <v>75</v>
      </c>
      <c r="O731">
        <v>2</v>
      </c>
      <c r="P731" t="s">
        <v>56</v>
      </c>
      <c r="Q731" s="2">
        <v>46244</v>
      </c>
      <c r="R731" t="s">
        <v>38</v>
      </c>
    </row>
    <row r="732" spans="1:18" x14ac:dyDescent="0.2">
      <c r="A732" t="s">
        <v>1520</v>
      </c>
      <c r="B732" t="s">
        <v>1521</v>
      </c>
      <c r="C732" t="s">
        <v>31</v>
      </c>
      <c r="D732" t="s">
        <v>87</v>
      </c>
      <c r="E732" t="s">
        <v>53</v>
      </c>
      <c r="F732" t="s">
        <v>67</v>
      </c>
      <c r="G732" t="s">
        <v>68</v>
      </c>
      <c r="H732" t="s">
        <v>36</v>
      </c>
      <c r="I732" t="s">
        <v>111</v>
      </c>
      <c r="J732" t="s">
        <v>37</v>
      </c>
      <c r="K732" s="2">
        <v>45829</v>
      </c>
      <c r="L732" s="2">
        <v>46009</v>
      </c>
      <c r="M732" t="s">
        <v>38</v>
      </c>
      <c r="N732" t="s">
        <v>49</v>
      </c>
      <c r="O732">
        <v>1</v>
      </c>
      <c r="P732" t="s">
        <v>106</v>
      </c>
      <c r="Q732" s="2">
        <v>46247</v>
      </c>
      <c r="R732" t="s">
        <v>64</v>
      </c>
    </row>
    <row r="733" spans="1:18" x14ac:dyDescent="0.2">
      <c r="A733" t="s">
        <v>1522</v>
      </c>
      <c r="B733" t="s">
        <v>1523</v>
      </c>
      <c r="C733" t="s">
        <v>78</v>
      </c>
      <c r="D733" t="s">
        <v>79</v>
      </c>
      <c r="E733" t="s">
        <v>44</v>
      </c>
      <c r="F733" t="s">
        <v>67</v>
      </c>
      <c r="G733" t="s">
        <v>68</v>
      </c>
      <c r="H733" t="s">
        <v>88</v>
      </c>
      <c r="I733" t="s">
        <v>62</v>
      </c>
      <c r="J733" t="s">
        <v>48</v>
      </c>
      <c r="K733" s="2">
        <v>46029</v>
      </c>
      <c r="L733" s="2">
        <v>46209</v>
      </c>
      <c r="M733" t="s">
        <v>38</v>
      </c>
      <c r="N733" t="s">
        <v>49</v>
      </c>
      <c r="O733">
        <v>1</v>
      </c>
      <c r="P733" t="s">
        <v>54</v>
      </c>
      <c r="Q733" s="2">
        <v>46338</v>
      </c>
      <c r="R733" t="s">
        <v>84</v>
      </c>
    </row>
    <row r="734" spans="1:18" x14ac:dyDescent="0.2">
      <c r="A734" t="s">
        <v>1524</v>
      </c>
      <c r="B734" t="s">
        <v>1525</v>
      </c>
      <c r="C734" t="s">
        <v>78</v>
      </c>
      <c r="D734" t="s">
        <v>79</v>
      </c>
      <c r="E734" t="s">
        <v>53</v>
      </c>
      <c r="F734" t="s">
        <v>45</v>
      </c>
      <c r="G734" t="s">
        <v>46</v>
      </c>
      <c r="H734" t="s">
        <v>88</v>
      </c>
      <c r="I734" t="s">
        <v>106</v>
      </c>
      <c r="J734" t="s">
        <v>63</v>
      </c>
      <c r="K734" s="2">
        <v>46268</v>
      </c>
      <c r="L734" s="2">
        <v>46358</v>
      </c>
      <c r="M734" t="s">
        <v>84</v>
      </c>
      <c r="N734" t="s">
        <v>75</v>
      </c>
      <c r="O734">
        <v>2</v>
      </c>
      <c r="P734" t="s">
        <v>39</v>
      </c>
      <c r="Q734" s="2">
        <v>46173</v>
      </c>
      <c r="R734" t="s">
        <v>38</v>
      </c>
    </row>
    <row r="735" spans="1:18" x14ac:dyDescent="0.2">
      <c r="A735" t="s">
        <v>1526</v>
      </c>
      <c r="B735" t="s">
        <v>1527</v>
      </c>
      <c r="C735" t="s">
        <v>103</v>
      </c>
      <c r="D735" t="s">
        <v>104</v>
      </c>
      <c r="E735" t="s">
        <v>91</v>
      </c>
      <c r="F735" t="s">
        <v>67</v>
      </c>
      <c r="G735" t="s">
        <v>68</v>
      </c>
      <c r="H735" t="s">
        <v>88</v>
      </c>
      <c r="I735" t="s">
        <v>70</v>
      </c>
      <c r="J735" t="s">
        <v>63</v>
      </c>
      <c r="K735" s="2">
        <v>46257</v>
      </c>
      <c r="L735" s="2">
        <v>46347</v>
      </c>
      <c r="M735" t="s">
        <v>84</v>
      </c>
      <c r="N735" t="s">
        <v>75</v>
      </c>
      <c r="O735">
        <v>1</v>
      </c>
      <c r="P735" t="s">
        <v>39</v>
      </c>
      <c r="Q735" s="2">
        <v>46308</v>
      </c>
      <c r="R735" t="s">
        <v>64</v>
      </c>
    </row>
    <row r="736" spans="1:18" x14ac:dyDescent="0.2">
      <c r="A736" t="s">
        <v>1528</v>
      </c>
      <c r="B736" t="s">
        <v>1529</v>
      </c>
      <c r="C736" t="s">
        <v>73</v>
      </c>
      <c r="D736" t="s">
        <v>74</v>
      </c>
      <c r="E736" t="s">
        <v>105</v>
      </c>
      <c r="F736" t="s">
        <v>67</v>
      </c>
      <c r="G736" t="s">
        <v>118</v>
      </c>
      <c r="H736" t="s">
        <v>88</v>
      </c>
      <c r="I736" t="s">
        <v>56</v>
      </c>
      <c r="J736" t="s">
        <v>63</v>
      </c>
      <c r="K736" s="2">
        <v>46018</v>
      </c>
      <c r="L736" s="2">
        <v>46108</v>
      </c>
      <c r="M736" t="s">
        <v>38</v>
      </c>
      <c r="N736" t="s">
        <v>49</v>
      </c>
      <c r="O736">
        <v>3</v>
      </c>
      <c r="P736" t="s">
        <v>62</v>
      </c>
      <c r="Q736" s="2">
        <v>46348</v>
      </c>
      <c r="R736" t="s">
        <v>84</v>
      </c>
    </row>
    <row r="737" spans="1:18" x14ac:dyDescent="0.2">
      <c r="A737" t="s">
        <v>1530</v>
      </c>
      <c r="B737" t="s">
        <v>1531</v>
      </c>
      <c r="C737" t="s">
        <v>78</v>
      </c>
      <c r="D737" t="s">
        <v>79</v>
      </c>
      <c r="E737" t="s">
        <v>105</v>
      </c>
      <c r="F737" t="s">
        <v>34</v>
      </c>
      <c r="G737" t="s">
        <v>35</v>
      </c>
      <c r="H737" t="s">
        <v>98</v>
      </c>
      <c r="I737" t="s">
        <v>111</v>
      </c>
      <c r="J737" t="s">
        <v>63</v>
      </c>
      <c r="K737" s="2">
        <v>46056</v>
      </c>
      <c r="L737" s="2">
        <v>46236</v>
      </c>
      <c r="M737" t="s">
        <v>38</v>
      </c>
      <c r="N737" t="s">
        <v>55</v>
      </c>
      <c r="O737">
        <v>4</v>
      </c>
      <c r="P737" t="s">
        <v>62</v>
      </c>
      <c r="Q737" s="2">
        <v>46198</v>
      </c>
      <c r="R737" t="s">
        <v>38</v>
      </c>
    </row>
    <row r="738" spans="1:18" x14ac:dyDescent="0.2">
      <c r="A738" t="s">
        <v>1532</v>
      </c>
      <c r="B738" t="s">
        <v>1533</v>
      </c>
      <c r="C738" t="s">
        <v>31</v>
      </c>
      <c r="D738" t="s">
        <v>32</v>
      </c>
      <c r="E738" t="s">
        <v>91</v>
      </c>
      <c r="F738" t="s">
        <v>34</v>
      </c>
      <c r="G738" t="s">
        <v>35</v>
      </c>
      <c r="H738" t="s">
        <v>88</v>
      </c>
      <c r="I738" t="s">
        <v>70</v>
      </c>
      <c r="J738" t="s">
        <v>37</v>
      </c>
      <c r="K738" s="2">
        <v>46231</v>
      </c>
      <c r="L738" s="2">
        <v>46321</v>
      </c>
      <c r="M738" t="s">
        <v>64</v>
      </c>
      <c r="N738" t="s">
        <v>55</v>
      </c>
      <c r="O738">
        <v>3</v>
      </c>
      <c r="P738" t="s">
        <v>39</v>
      </c>
      <c r="Q738" s="2">
        <v>46168</v>
      </c>
      <c r="R738" t="s">
        <v>38</v>
      </c>
    </row>
    <row r="739" spans="1:18" x14ac:dyDescent="0.2">
      <c r="A739" t="s">
        <v>1534</v>
      </c>
      <c r="B739" t="s">
        <v>1535</v>
      </c>
      <c r="C739" t="s">
        <v>73</v>
      </c>
      <c r="D739" t="s">
        <v>74</v>
      </c>
      <c r="E739" t="s">
        <v>80</v>
      </c>
      <c r="F739" t="s">
        <v>34</v>
      </c>
      <c r="G739" t="s">
        <v>35</v>
      </c>
      <c r="H739" t="s">
        <v>47</v>
      </c>
      <c r="I739" t="s">
        <v>111</v>
      </c>
      <c r="J739" t="s">
        <v>37</v>
      </c>
      <c r="K739" s="2">
        <v>45993</v>
      </c>
      <c r="L739" s="2">
        <v>46173</v>
      </c>
      <c r="M739" t="s">
        <v>38</v>
      </c>
      <c r="N739" t="s">
        <v>55</v>
      </c>
      <c r="O739">
        <v>1</v>
      </c>
      <c r="P739" t="s">
        <v>62</v>
      </c>
      <c r="Q739" s="2">
        <v>46355</v>
      </c>
      <c r="R739" t="s">
        <v>84</v>
      </c>
    </row>
    <row r="740" spans="1:18" x14ac:dyDescent="0.2">
      <c r="A740" t="s">
        <v>1536</v>
      </c>
      <c r="B740" t="s">
        <v>1537</v>
      </c>
      <c r="C740" t="s">
        <v>78</v>
      </c>
      <c r="D740" t="s">
        <v>79</v>
      </c>
      <c r="E740" t="s">
        <v>105</v>
      </c>
      <c r="F740" t="s">
        <v>34</v>
      </c>
      <c r="G740" t="s">
        <v>35</v>
      </c>
      <c r="H740" t="s">
        <v>98</v>
      </c>
      <c r="I740" t="s">
        <v>54</v>
      </c>
      <c r="J740" t="s">
        <v>48</v>
      </c>
      <c r="K740" s="2">
        <v>46016</v>
      </c>
      <c r="L740" s="2">
        <v>46196</v>
      </c>
      <c r="M740" t="s">
        <v>38</v>
      </c>
      <c r="N740" t="s">
        <v>75</v>
      </c>
      <c r="O740">
        <v>5</v>
      </c>
      <c r="P740" t="s">
        <v>39</v>
      </c>
      <c r="Q740" s="2">
        <v>46250</v>
      </c>
      <c r="R740" t="s">
        <v>64</v>
      </c>
    </row>
    <row r="741" spans="1:18" x14ac:dyDescent="0.2">
      <c r="A741" t="s">
        <v>1538</v>
      </c>
      <c r="B741" t="s">
        <v>1539</v>
      </c>
      <c r="C741" t="s">
        <v>78</v>
      </c>
      <c r="D741" t="s">
        <v>79</v>
      </c>
      <c r="E741" t="s">
        <v>105</v>
      </c>
      <c r="F741" t="s">
        <v>67</v>
      </c>
      <c r="G741" t="s">
        <v>68</v>
      </c>
      <c r="H741" t="s">
        <v>47</v>
      </c>
      <c r="I741" t="s">
        <v>106</v>
      </c>
      <c r="J741" t="s">
        <v>63</v>
      </c>
      <c r="K741" s="2">
        <v>45845</v>
      </c>
      <c r="L741" s="2">
        <v>46210</v>
      </c>
      <c r="M741" t="s">
        <v>38</v>
      </c>
      <c r="N741" t="s">
        <v>49</v>
      </c>
      <c r="O741">
        <v>2</v>
      </c>
      <c r="P741" t="s">
        <v>62</v>
      </c>
      <c r="Q741" s="2">
        <v>46286</v>
      </c>
      <c r="R741" t="s">
        <v>64</v>
      </c>
    </row>
    <row r="742" spans="1:18" x14ac:dyDescent="0.2">
      <c r="A742" t="s">
        <v>1540</v>
      </c>
      <c r="B742" t="s">
        <v>1541</v>
      </c>
      <c r="C742" t="s">
        <v>31</v>
      </c>
      <c r="D742" t="s">
        <v>83</v>
      </c>
      <c r="E742" t="s">
        <v>105</v>
      </c>
      <c r="F742" t="s">
        <v>45</v>
      </c>
      <c r="G742" t="s">
        <v>61</v>
      </c>
      <c r="H742" t="s">
        <v>36</v>
      </c>
      <c r="I742" t="s">
        <v>62</v>
      </c>
      <c r="J742" t="s">
        <v>48</v>
      </c>
      <c r="K742" s="2">
        <v>46210</v>
      </c>
      <c r="L742" s="2">
        <v>46575</v>
      </c>
      <c r="M742" t="s">
        <v>64</v>
      </c>
      <c r="N742" t="s">
        <v>49</v>
      </c>
      <c r="O742">
        <v>1</v>
      </c>
      <c r="P742" t="s">
        <v>70</v>
      </c>
      <c r="Q742" s="2">
        <v>46321</v>
      </c>
      <c r="R742" t="s">
        <v>84</v>
      </c>
    </row>
    <row r="743" spans="1:18" x14ac:dyDescent="0.2">
      <c r="A743" t="s">
        <v>1542</v>
      </c>
      <c r="B743" t="s">
        <v>1543</v>
      </c>
      <c r="C743" t="s">
        <v>31</v>
      </c>
      <c r="D743" t="s">
        <v>32</v>
      </c>
      <c r="E743" t="s">
        <v>60</v>
      </c>
      <c r="F743" t="s">
        <v>34</v>
      </c>
      <c r="G743" t="s">
        <v>35</v>
      </c>
      <c r="H743" t="s">
        <v>47</v>
      </c>
      <c r="I743" t="s">
        <v>62</v>
      </c>
      <c r="J743" t="s">
        <v>37</v>
      </c>
      <c r="K743" s="2">
        <v>45844</v>
      </c>
      <c r="L743" s="2">
        <v>46209</v>
      </c>
      <c r="M743" t="s">
        <v>38</v>
      </c>
      <c r="N743" t="s">
        <v>75</v>
      </c>
      <c r="O743">
        <v>1</v>
      </c>
      <c r="P743" t="s">
        <v>39</v>
      </c>
      <c r="Q743" s="2">
        <v>46280</v>
      </c>
      <c r="R743" t="s">
        <v>64</v>
      </c>
    </row>
    <row r="744" spans="1:18" x14ac:dyDescent="0.2">
      <c r="A744" t="s">
        <v>1544</v>
      </c>
      <c r="B744" t="s">
        <v>1545</v>
      </c>
      <c r="C744" t="s">
        <v>73</v>
      </c>
      <c r="D744" t="s">
        <v>74</v>
      </c>
      <c r="E744" t="s">
        <v>105</v>
      </c>
      <c r="F744" t="s">
        <v>34</v>
      </c>
      <c r="G744" t="s">
        <v>35</v>
      </c>
      <c r="H744" t="s">
        <v>88</v>
      </c>
      <c r="I744" t="s">
        <v>70</v>
      </c>
      <c r="J744" t="s">
        <v>48</v>
      </c>
      <c r="K744" s="2">
        <v>45983</v>
      </c>
      <c r="L744" s="2">
        <v>46163</v>
      </c>
      <c r="M744" t="s">
        <v>38</v>
      </c>
      <c r="N744" t="s">
        <v>55</v>
      </c>
      <c r="O744">
        <v>1</v>
      </c>
      <c r="P744" t="s">
        <v>54</v>
      </c>
      <c r="Q744" s="2">
        <v>46347</v>
      </c>
      <c r="R744" t="s">
        <v>84</v>
      </c>
    </row>
    <row r="745" spans="1:18" x14ac:dyDescent="0.2">
      <c r="A745" t="s">
        <v>1546</v>
      </c>
      <c r="B745" t="s">
        <v>1547</v>
      </c>
      <c r="C745" t="s">
        <v>31</v>
      </c>
      <c r="D745" t="s">
        <v>32</v>
      </c>
      <c r="E745" t="s">
        <v>60</v>
      </c>
      <c r="F745" t="s">
        <v>67</v>
      </c>
      <c r="G745" t="s">
        <v>68</v>
      </c>
      <c r="H745" t="s">
        <v>36</v>
      </c>
      <c r="I745" t="s">
        <v>62</v>
      </c>
      <c r="J745" t="s">
        <v>63</v>
      </c>
      <c r="K745" s="2">
        <v>45881</v>
      </c>
      <c r="L745" s="2">
        <v>46061</v>
      </c>
      <c r="M745" t="s">
        <v>38</v>
      </c>
      <c r="N745" t="s">
        <v>49</v>
      </c>
      <c r="O745">
        <v>0</v>
      </c>
      <c r="P745" t="s">
        <v>39</v>
      </c>
      <c r="Q745" s="2">
        <v>46255</v>
      </c>
      <c r="R745" t="s">
        <v>57</v>
      </c>
    </row>
    <row r="746" spans="1:18" x14ac:dyDescent="0.2">
      <c r="A746" t="s">
        <v>1548</v>
      </c>
      <c r="B746" t="s">
        <v>1549</v>
      </c>
      <c r="C746" t="s">
        <v>96</v>
      </c>
      <c r="D746" t="s">
        <v>97</v>
      </c>
      <c r="E746" t="s">
        <v>105</v>
      </c>
      <c r="F746" t="s">
        <v>34</v>
      </c>
      <c r="G746" t="s">
        <v>35</v>
      </c>
      <c r="H746" t="s">
        <v>88</v>
      </c>
      <c r="I746" t="s">
        <v>70</v>
      </c>
      <c r="J746" t="s">
        <v>37</v>
      </c>
      <c r="K746" s="2">
        <v>46221</v>
      </c>
      <c r="L746" s="2">
        <v>46311</v>
      </c>
      <c r="M746" t="s">
        <v>64</v>
      </c>
      <c r="N746" t="s">
        <v>55</v>
      </c>
      <c r="O746">
        <v>0</v>
      </c>
      <c r="P746" t="s">
        <v>54</v>
      </c>
      <c r="Q746" s="2">
        <v>46154</v>
      </c>
      <c r="R746" t="s">
        <v>57</v>
      </c>
    </row>
    <row r="747" spans="1:18" x14ac:dyDescent="0.2">
      <c r="A747" t="s">
        <v>1550</v>
      </c>
      <c r="B747" t="s">
        <v>1551</v>
      </c>
      <c r="C747" t="s">
        <v>73</v>
      </c>
      <c r="D747" t="s">
        <v>74</v>
      </c>
      <c r="E747" t="s">
        <v>80</v>
      </c>
      <c r="F747" t="s">
        <v>67</v>
      </c>
      <c r="G747" t="s">
        <v>68</v>
      </c>
      <c r="H747" t="s">
        <v>36</v>
      </c>
      <c r="I747" t="s">
        <v>62</v>
      </c>
      <c r="J747" t="s">
        <v>37</v>
      </c>
      <c r="K747" s="2">
        <v>46238</v>
      </c>
      <c r="L747" s="2">
        <v>46418</v>
      </c>
      <c r="M747" t="s">
        <v>84</v>
      </c>
      <c r="N747" t="s">
        <v>55</v>
      </c>
      <c r="O747">
        <v>5</v>
      </c>
      <c r="P747" t="s">
        <v>50</v>
      </c>
      <c r="Q747" s="2">
        <v>46329</v>
      </c>
      <c r="R747" t="s">
        <v>84</v>
      </c>
    </row>
    <row r="748" spans="1:18" x14ac:dyDescent="0.2">
      <c r="A748" t="s">
        <v>1552</v>
      </c>
      <c r="B748" t="s">
        <v>1553</v>
      </c>
      <c r="C748" t="s">
        <v>42</v>
      </c>
      <c r="D748" t="s">
        <v>43</v>
      </c>
      <c r="E748" t="s">
        <v>105</v>
      </c>
      <c r="F748" t="s">
        <v>45</v>
      </c>
      <c r="G748" t="s">
        <v>61</v>
      </c>
      <c r="H748" t="s">
        <v>36</v>
      </c>
      <c r="I748" t="s">
        <v>39</v>
      </c>
      <c r="J748" t="s">
        <v>48</v>
      </c>
      <c r="K748" s="2">
        <v>46215</v>
      </c>
      <c r="L748" s="2">
        <v>46395</v>
      </c>
      <c r="M748" t="s">
        <v>69</v>
      </c>
      <c r="N748" t="s">
        <v>49</v>
      </c>
      <c r="O748">
        <v>4</v>
      </c>
      <c r="P748" t="s">
        <v>39</v>
      </c>
      <c r="Q748" s="2">
        <v>46394</v>
      </c>
      <c r="R748" t="s">
        <v>64</v>
      </c>
    </row>
    <row r="749" spans="1:18" x14ac:dyDescent="0.2">
      <c r="A749" t="s">
        <v>1554</v>
      </c>
      <c r="B749" t="s">
        <v>1555</v>
      </c>
      <c r="C749" t="s">
        <v>31</v>
      </c>
      <c r="D749" t="s">
        <v>83</v>
      </c>
      <c r="E749" t="s">
        <v>60</v>
      </c>
      <c r="F749" t="s">
        <v>34</v>
      </c>
      <c r="G749" t="s">
        <v>35</v>
      </c>
      <c r="H749" t="s">
        <v>88</v>
      </c>
      <c r="I749" t="s">
        <v>50</v>
      </c>
      <c r="J749" t="s">
        <v>48</v>
      </c>
      <c r="K749" s="2">
        <v>46165</v>
      </c>
      <c r="L749" s="2">
        <v>46345</v>
      </c>
      <c r="M749" t="s">
        <v>64</v>
      </c>
      <c r="N749" t="s">
        <v>55</v>
      </c>
      <c r="O749">
        <v>0</v>
      </c>
      <c r="P749" t="s">
        <v>50</v>
      </c>
      <c r="Q749" s="2">
        <v>46282</v>
      </c>
      <c r="R749" t="s">
        <v>57</v>
      </c>
    </row>
    <row r="750" spans="1:18" x14ac:dyDescent="0.2">
      <c r="A750" t="s">
        <v>1556</v>
      </c>
      <c r="B750" t="s">
        <v>1557</v>
      </c>
      <c r="C750" t="s">
        <v>78</v>
      </c>
      <c r="D750" t="s">
        <v>79</v>
      </c>
      <c r="E750" t="s">
        <v>80</v>
      </c>
      <c r="F750" t="s">
        <v>67</v>
      </c>
      <c r="G750" t="s">
        <v>118</v>
      </c>
      <c r="H750" t="s">
        <v>47</v>
      </c>
      <c r="I750" t="s">
        <v>70</v>
      </c>
      <c r="J750" t="s">
        <v>37</v>
      </c>
      <c r="K750" s="2">
        <v>46097</v>
      </c>
      <c r="L750" s="2">
        <v>46462</v>
      </c>
      <c r="M750" t="s">
        <v>69</v>
      </c>
      <c r="N750" t="s">
        <v>75</v>
      </c>
      <c r="O750">
        <v>3</v>
      </c>
      <c r="P750" t="s">
        <v>50</v>
      </c>
      <c r="Q750" s="2">
        <v>46338</v>
      </c>
      <c r="R750" t="s">
        <v>84</v>
      </c>
    </row>
    <row r="751" spans="1:18" x14ac:dyDescent="0.2">
      <c r="A751" t="s">
        <v>1558</v>
      </c>
      <c r="B751" t="s">
        <v>1559</v>
      </c>
      <c r="C751" t="s">
        <v>78</v>
      </c>
      <c r="D751" t="s">
        <v>79</v>
      </c>
      <c r="E751" t="s">
        <v>80</v>
      </c>
      <c r="F751" t="s">
        <v>45</v>
      </c>
      <c r="G751" t="s">
        <v>61</v>
      </c>
      <c r="H751" t="s">
        <v>47</v>
      </c>
      <c r="I751" t="s">
        <v>56</v>
      </c>
      <c r="J751" t="s">
        <v>63</v>
      </c>
      <c r="K751" s="2">
        <v>46191</v>
      </c>
      <c r="L751" s="2">
        <v>46281</v>
      </c>
      <c r="M751" t="s">
        <v>38</v>
      </c>
      <c r="N751" t="s">
        <v>49</v>
      </c>
      <c r="O751">
        <v>3</v>
      </c>
      <c r="P751" t="s">
        <v>56</v>
      </c>
      <c r="Q751" s="2">
        <v>46336</v>
      </c>
      <c r="R751" t="s">
        <v>84</v>
      </c>
    </row>
    <row r="752" spans="1:18" x14ac:dyDescent="0.2">
      <c r="A752" t="s">
        <v>1560</v>
      </c>
      <c r="B752" t="s">
        <v>1561</v>
      </c>
      <c r="C752" t="s">
        <v>31</v>
      </c>
      <c r="D752" t="s">
        <v>87</v>
      </c>
      <c r="E752" t="s">
        <v>60</v>
      </c>
      <c r="F752" t="s">
        <v>67</v>
      </c>
      <c r="G752" t="s">
        <v>68</v>
      </c>
      <c r="H752" t="s">
        <v>88</v>
      </c>
      <c r="I752" t="s">
        <v>54</v>
      </c>
      <c r="J752" t="s">
        <v>37</v>
      </c>
      <c r="K752" s="2">
        <v>45985</v>
      </c>
      <c r="L752" s="2">
        <v>46165</v>
      </c>
      <c r="M752" t="s">
        <v>38</v>
      </c>
      <c r="O752">
        <v>2</v>
      </c>
      <c r="P752" t="s">
        <v>62</v>
      </c>
      <c r="Q752" s="2">
        <v>46147</v>
      </c>
      <c r="R752" t="s">
        <v>38</v>
      </c>
    </row>
    <row r="753" spans="1:18" x14ac:dyDescent="0.2">
      <c r="A753" t="s">
        <v>1562</v>
      </c>
      <c r="B753" t="s">
        <v>1563</v>
      </c>
      <c r="C753" t="s">
        <v>103</v>
      </c>
      <c r="D753" t="s">
        <v>104</v>
      </c>
      <c r="E753" t="s">
        <v>80</v>
      </c>
      <c r="F753" t="s">
        <v>67</v>
      </c>
      <c r="G753" t="s">
        <v>118</v>
      </c>
      <c r="H753" t="s">
        <v>47</v>
      </c>
      <c r="I753" t="s">
        <v>50</v>
      </c>
      <c r="J753" t="s">
        <v>37</v>
      </c>
      <c r="K753" s="2">
        <v>45861</v>
      </c>
      <c r="L753" s="2">
        <v>46041</v>
      </c>
      <c r="M753" t="s">
        <v>38</v>
      </c>
      <c r="N753" t="s">
        <v>75</v>
      </c>
      <c r="O753">
        <v>1</v>
      </c>
      <c r="P753" t="s">
        <v>106</v>
      </c>
      <c r="Q753" s="2">
        <v>46298</v>
      </c>
      <c r="R753" t="s">
        <v>64</v>
      </c>
    </row>
    <row r="754" spans="1:18" x14ac:dyDescent="0.2">
      <c r="A754" t="s">
        <v>1564</v>
      </c>
      <c r="B754" t="s">
        <v>1565</v>
      </c>
      <c r="C754" t="s">
        <v>103</v>
      </c>
      <c r="D754" t="s">
        <v>104</v>
      </c>
      <c r="E754" t="s">
        <v>105</v>
      </c>
      <c r="F754" t="s">
        <v>45</v>
      </c>
      <c r="G754" t="s">
        <v>61</v>
      </c>
      <c r="H754" t="s">
        <v>47</v>
      </c>
      <c r="I754" t="s">
        <v>39</v>
      </c>
      <c r="J754" t="s">
        <v>48</v>
      </c>
      <c r="K754" s="2">
        <v>45908</v>
      </c>
      <c r="L754" s="2">
        <v>46088</v>
      </c>
      <c r="M754" t="s">
        <v>38</v>
      </c>
      <c r="N754" t="s">
        <v>55</v>
      </c>
      <c r="O754">
        <v>3</v>
      </c>
      <c r="P754" t="s">
        <v>62</v>
      </c>
      <c r="Q754" s="2">
        <v>46405</v>
      </c>
      <c r="R754" t="s">
        <v>84</v>
      </c>
    </row>
    <row r="755" spans="1:18" x14ac:dyDescent="0.2">
      <c r="A755" t="s">
        <v>1566</v>
      </c>
      <c r="B755" t="s">
        <v>1567</v>
      </c>
      <c r="C755" t="s">
        <v>78</v>
      </c>
      <c r="D755" t="s">
        <v>79</v>
      </c>
      <c r="E755" t="s">
        <v>60</v>
      </c>
      <c r="F755" t="s">
        <v>67</v>
      </c>
      <c r="G755" t="s">
        <v>68</v>
      </c>
      <c r="H755" t="s">
        <v>47</v>
      </c>
      <c r="I755" t="s">
        <v>56</v>
      </c>
      <c r="J755" t="s">
        <v>37</v>
      </c>
      <c r="K755" s="2">
        <v>45909</v>
      </c>
      <c r="L755" s="2">
        <v>46274</v>
      </c>
      <c r="M755" t="s">
        <v>38</v>
      </c>
      <c r="N755" t="s">
        <v>49</v>
      </c>
      <c r="O755">
        <v>0</v>
      </c>
      <c r="P755" t="s">
        <v>106</v>
      </c>
      <c r="Q755" s="2">
        <v>46408</v>
      </c>
      <c r="R755" t="s">
        <v>57</v>
      </c>
    </row>
    <row r="756" spans="1:18" x14ac:dyDescent="0.2">
      <c r="A756" t="s">
        <v>1568</v>
      </c>
      <c r="B756" t="s">
        <v>1569</v>
      </c>
      <c r="C756" t="s">
        <v>31</v>
      </c>
      <c r="D756" t="s">
        <v>83</v>
      </c>
      <c r="E756" t="s">
        <v>44</v>
      </c>
      <c r="F756" t="s">
        <v>67</v>
      </c>
      <c r="G756" t="s">
        <v>68</v>
      </c>
      <c r="H756" t="s">
        <v>47</v>
      </c>
      <c r="I756" t="s">
        <v>111</v>
      </c>
      <c r="J756" t="s">
        <v>37</v>
      </c>
      <c r="K756" s="2">
        <v>46020</v>
      </c>
      <c r="L756" s="2">
        <v>46110</v>
      </c>
      <c r="M756" t="s">
        <v>38</v>
      </c>
      <c r="N756" t="s">
        <v>75</v>
      </c>
      <c r="O756">
        <v>3</v>
      </c>
      <c r="P756" t="s">
        <v>62</v>
      </c>
      <c r="Q756" s="2">
        <v>46176</v>
      </c>
      <c r="R756" t="s">
        <v>64</v>
      </c>
    </row>
    <row r="757" spans="1:18" x14ac:dyDescent="0.2">
      <c r="A757" t="s">
        <v>1570</v>
      </c>
      <c r="B757" t="s">
        <v>1571</v>
      </c>
      <c r="C757" t="s">
        <v>78</v>
      </c>
      <c r="D757" t="s">
        <v>79</v>
      </c>
      <c r="E757" t="s">
        <v>53</v>
      </c>
      <c r="F757" t="s">
        <v>45</v>
      </c>
      <c r="G757" t="s">
        <v>46</v>
      </c>
      <c r="H757" t="s">
        <v>47</v>
      </c>
      <c r="J757" t="s">
        <v>63</v>
      </c>
      <c r="K757" s="2">
        <v>45874</v>
      </c>
      <c r="L757" s="2">
        <v>46239</v>
      </c>
      <c r="M757" t="s">
        <v>38</v>
      </c>
      <c r="N757" t="s">
        <v>55</v>
      </c>
      <c r="O757">
        <v>3</v>
      </c>
      <c r="P757" t="s">
        <v>39</v>
      </c>
      <c r="Q757" s="2">
        <v>46260</v>
      </c>
      <c r="R757" t="s">
        <v>64</v>
      </c>
    </row>
    <row r="758" spans="1:18" x14ac:dyDescent="0.2">
      <c r="A758" t="s">
        <v>1572</v>
      </c>
      <c r="B758" t="s">
        <v>1573</v>
      </c>
      <c r="C758" t="s">
        <v>73</v>
      </c>
      <c r="D758" t="s">
        <v>74</v>
      </c>
      <c r="E758" t="s">
        <v>105</v>
      </c>
      <c r="F758" t="s">
        <v>67</v>
      </c>
      <c r="G758" t="s">
        <v>68</v>
      </c>
      <c r="H758" t="s">
        <v>88</v>
      </c>
      <c r="I758" t="s">
        <v>62</v>
      </c>
      <c r="J758" t="s">
        <v>63</v>
      </c>
      <c r="K758" s="2">
        <v>45905</v>
      </c>
      <c r="L758" s="2">
        <v>46085</v>
      </c>
      <c r="M758" t="s">
        <v>38</v>
      </c>
      <c r="N758" t="s">
        <v>75</v>
      </c>
      <c r="O758">
        <v>2</v>
      </c>
      <c r="P758" t="s">
        <v>39</v>
      </c>
      <c r="Q758" s="2">
        <v>46292</v>
      </c>
      <c r="R758" t="s">
        <v>38</v>
      </c>
    </row>
    <row r="759" spans="1:18" x14ac:dyDescent="0.2">
      <c r="A759" t="s">
        <v>1574</v>
      </c>
      <c r="B759" t="s">
        <v>1575</v>
      </c>
      <c r="C759" t="s">
        <v>31</v>
      </c>
      <c r="D759" t="s">
        <v>87</v>
      </c>
      <c r="E759" t="s">
        <v>91</v>
      </c>
      <c r="F759" t="s">
        <v>67</v>
      </c>
      <c r="G759" t="s">
        <v>118</v>
      </c>
      <c r="H759" t="s">
        <v>98</v>
      </c>
      <c r="I759" t="s">
        <v>111</v>
      </c>
      <c r="J759" t="s">
        <v>48</v>
      </c>
      <c r="K759" s="2">
        <v>45841</v>
      </c>
      <c r="L759" s="2">
        <v>46206</v>
      </c>
      <c r="M759" t="s">
        <v>38</v>
      </c>
      <c r="N759" t="s">
        <v>55</v>
      </c>
      <c r="O759">
        <v>2</v>
      </c>
      <c r="P759" t="s">
        <v>50</v>
      </c>
      <c r="Q759" s="2">
        <v>46167</v>
      </c>
      <c r="R759" t="s">
        <v>64</v>
      </c>
    </row>
    <row r="760" spans="1:18" x14ac:dyDescent="0.2">
      <c r="A760" t="s">
        <v>1576</v>
      </c>
      <c r="B760" t="s">
        <v>1577</v>
      </c>
      <c r="C760" t="s">
        <v>31</v>
      </c>
      <c r="D760" t="s">
        <v>87</v>
      </c>
      <c r="E760" t="s">
        <v>91</v>
      </c>
      <c r="F760" t="s">
        <v>45</v>
      </c>
      <c r="G760" t="s">
        <v>61</v>
      </c>
      <c r="H760" t="s">
        <v>36</v>
      </c>
      <c r="I760" t="s">
        <v>54</v>
      </c>
      <c r="J760" t="s">
        <v>48</v>
      </c>
      <c r="K760" s="2">
        <v>46188</v>
      </c>
      <c r="L760" s="2">
        <v>46278</v>
      </c>
      <c r="M760" t="s">
        <v>38</v>
      </c>
      <c r="N760" t="s">
        <v>55</v>
      </c>
      <c r="O760">
        <v>5</v>
      </c>
      <c r="P760" t="s">
        <v>56</v>
      </c>
      <c r="Q760" s="2">
        <v>46303</v>
      </c>
      <c r="R760" t="s">
        <v>84</v>
      </c>
    </row>
    <row r="761" spans="1:18" x14ac:dyDescent="0.2">
      <c r="A761" t="s">
        <v>1578</v>
      </c>
      <c r="B761" t="s">
        <v>1579</v>
      </c>
      <c r="C761" t="s">
        <v>96</v>
      </c>
      <c r="D761" t="s">
        <v>97</v>
      </c>
      <c r="E761" t="s">
        <v>105</v>
      </c>
      <c r="F761" t="s">
        <v>45</v>
      </c>
      <c r="G761" t="s">
        <v>46</v>
      </c>
      <c r="H761" t="s">
        <v>98</v>
      </c>
      <c r="I761" t="s">
        <v>70</v>
      </c>
      <c r="J761" t="s">
        <v>48</v>
      </c>
      <c r="K761" s="2">
        <v>46140</v>
      </c>
      <c r="L761" s="2">
        <v>46320</v>
      </c>
      <c r="M761" t="s">
        <v>69</v>
      </c>
      <c r="N761" t="s">
        <v>75</v>
      </c>
      <c r="O761">
        <v>5</v>
      </c>
      <c r="P761" t="s">
        <v>106</v>
      </c>
      <c r="Q761" s="2">
        <v>46202</v>
      </c>
      <c r="R761" t="s">
        <v>38</v>
      </c>
    </row>
    <row r="762" spans="1:18" x14ac:dyDescent="0.2">
      <c r="A762" t="s">
        <v>1580</v>
      </c>
      <c r="B762" t="s">
        <v>1581</v>
      </c>
      <c r="C762" t="s">
        <v>96</v>
      </c>
      <c r="D762" t="s">
        <v>97</v>
      </c>
      <c r="E762" t="s">
        <v>91</v>
      </c>
      <c r="F762" t="s">
        <v>45</v>
      </c>
      <c r="G762" t="s">
        <v>61</v>
      </c>
      <c r="H762" t="s">
        <v>88</v>
      </c>
      <c r="I762" t="s">
        <v>70</v>
      </c>
      <c r="J762" t="s">
        <v>48</v>
      </c>
      <c r="K762" s="2">
        <v>46008</v>
      </c>
      <c r="L762" s="2">
        <v>46373</v>
      </c>
      <c r="M762" t="s">
        <v>64</v>
      </c>
      <c r="N762" t="s">
        <v>75</v>
      </c>
      <c r="O762">
        <v>3</v>
      </c>
      <c r="P762" t="s">
        <v>56</v>
      </c>
      <c r="Q762" s="2">
        <v>46258</v>
      </c>
      <c r="R762" t="s">
        <v>64</v>
      </c>
    </row>
    <row r="763" spans="1:18" x14ac:dyDescent="0.2">
      <c r="A763" t="s">
        <v>1582</v>
      </c>
      <c r="B763" t="s">
        <v>1583</v>
      </c>
      <c r="C763" t="s">
        <v>96</v>
      </c>
      <c r="D763" t="s">
        <v>97</v>
      </c>
      <c r="E763" t="s">
        <v>53</v>
      </c>
      <c r="F763" t="s">
        <v>67</v>
      </c>
      <c r="G763" t="s">
        <v>68</v>
      </c>
      <c r="H763" t="s">
        <v>88</v>
      </c>
      <c r="I763" t="s">
        <v>54</v>
      </c>
      <c r="J763" t="s">
        <v>48</v>
      </c>
      <c r="K763" s="2">
        <v>45938</v>
      </c>
      <c r="L763" s="2">
        <v>46303</v>
      </c>
      <c r="M763" t="s">
        <v>84</v>
      </c>
      <c r="N763" t="s">
        <v>49</v>
      </c>
      <c r="O763">
        <v>0</v>
      </c>
      <c r="P763" t="s">
        <v>39</v>
      </c>
      <c r="Q763" s="2">
        <v>46153</v>
      </c>
      <c r="R763" t="s">
        <v>57</v>
      </c>
    </row>
    <row r="764" spans="1:18" x14ac:dyDescent="0.2">
      <c r="A764" t="s">
        <v>1584</v>
      </c>
      <c r="B764" t="s">
        <v>1585</v>
      </c>
      <c r="C764" t="s">
        <v>73</v>
      </c>
      <c r="D764" t="s">
        <v>74</v>
      </c>
      <c r="E764" t="s">
        <v>80</v>
      </c>
      <c r="F764" t="s">
        <v>34</v>
      </c>
      <c r="G764" t="s">
        <v>35</v>
      </c>
      <c r="H764" t="s">
        <v>36</v>
      </c>
      <c r="I764" t="s">
        <v>54</v>
      </c>
      <c r="J764" t="s">
        <v>37</v>
      </c>
      <c r="K764" s="2">
        <v>46026</v>
      </c>
      <c r="L764" s="2">
        <v>46116</v>
      </c>
      <c r="M764" t="s">
        <v>38</v>
      </c>
      <c r="N764" t="s">
        <v>75</v>
      </c>
      <c r="O764">
        <v>1</v>
      </c>
      <c r="P764" t="s">
        <v>111</v>
      </c>
      <c r="Q764" s="2">
        <v>46385</v>
      </c>
      <c r="R764" t="s">
        <v>84</v>
      </c>
    </row>
    <row r="765" spans="1:18" x14ac:dyDescent="0.2">
      <c r="A765" t="s">
        <v>1586</v>
      </c>
      <c r="B765" t="s">
        <v>1587</v>
      </c>
      <c r="C765" t="s">
        <v>42</v>
      </c>
      <c r="D765" t="s">
        <v>43</v>
      </c>
      <c r="E765" t="s">
        <v>60</v>
      </c>
      <c r="F765" t="s">
        <v>34</v>
      </c>
      <c r="G765" t="s">
        <v>35</v>
      </c>
      <c r="H765" t="s">
        <v>47</v>
      </c>
      <c r="I765" t="s">
        <v>50</v>
      </c>
      <c r="J765" t="s">
        <v>48</v>
      </c>
      <c r="K765" s="2">
        <v>46163</v>
      </c>
      <c r="L765" s="2">
        <v>46343</v>
      </c>
      <c r="M765" t="s">
        <v>64</v>
      </c>
      <c r="N765" t="s">
        <v>75</v>
      </c>
      <c r="O765">
        <v>1</v>
      </c>
      <c r="P765" t="s">
        <v>56</v>
      </c>
      <c r="Q765" s="2">
        <v>46319</v>
      </c>
      <c r="R765" t="s">
        <v>64</v>
      </c>
    </row>
    <row r="766" spans="1:18" x14ac:dyDescent="0.2">
      <c r="A766" t="s">
        <v>1588</v>
      </c>
      <c r="B766" t="s">
        <v>1589</v>
      </c>
      <c r="C766" t="s">
        <v>31</v>
      </c>
      <c r="D766" t="s">
        <v>83</v>
      </c>
      <c r="E766" t="s">
        <v>44</v>
      </c>
      <c r="F766" t="s">
        <v>34</v>
      </c>
      <c r="G766" t="s">
        <v>35</v>
      </c>
      <c r="H766" t="s">
        <v>88</v>
      </c>
      <c r="I766" t="s">
        <v>70</v>
      </c>
      <c r="J766" t="s">
        <v>48</v>
      </c>
      <c r="K766" s="2">
        <v>45894</v>
      </c>
      <c r="L766" s="2">
        <v>45984</v>
      </c>
      <c r="M766" t="s">
        <v>38</v>
      </c>
      <c r="N766" t="s">
        <v>55</v>
      </c>
      <c r="O766">
        <v>0</v>
      </c>
      <c r="P766" t="s">
        <v>111</v>
      </c>
      <c r="Q766" s="2">
        <v>46350</v>
      </c>
      <c r="R766" t="s">
        <v>57</v>
      </c>
    </row>
    <row r="767" spans="1:18" x14ac:dyDescent="0.2">
      <c r="A767" t="s">
        <v>1590</v>
      </c>
      <c r="B767" t="s">
        <v>1591</v>
      </c>
      <c r="C767" t="s">
        <v>73</v>
      </c>
      <c r="D767" t="s">
        <v>74</v>
      </c>
      <c r="E767" t="s">
        <v>53</v>
      </c>
      <c r="F767" t="s">
        <v>34</v>
      </c>
      <c r="G767" t="s">
        <v>35</v>
      </c>
      <c r="H767" t="s">
        <v>47</v>
      </c>
      <c r="I767" t="s">
        <v>70</v>
      </c>
      <c r="J767" t="s">
        <v>37</v>
      </c>
      <c r="K767" s="2">
        <v>46094</v>
      </c>
      <c r="L767" s="2">
        <v>46274</v>
      </c>
      <c r="M767" t="s">
        <v>38</v>
      </c>
      <c r="N767" t="s">
        <v>55</v>
      </c>
      <c r="O767">
        <v>1</v>
      </c>
      <c r="P767" t="s">
        <v>56</v>
      </c>
      <c r="Q767" s="2">
        <v>46318</v>
      </c>
      <c r="R767" t="s">
        <v>84</v>
      </c>
    </row>
    <row r="768" spans="1:18" x14ac:dyDescent="0.2">
      <c r="A768" t="s">
        <v>1592</v>
      </c>
      <c r="B768" t="s">
        <v>1593</v>
      </c>
      <c r="C768" t="s">
        <v>78</v>
      </c>
      <c r="D768" t="s">
        <v>79</v>
      </c>
      <c r="E768" t="s">
        <v>105</v>
      </c>
      <c r="F768" t="s">
        <v>67</v>
      </c>
      <c r="G768" t="s">
        <v>68</v>
      </c>
      <c r="H768" t="s">
        <v>88</v>
      </c>
      <c r="I768" t="s">
        <v>62</v>
      </c>
      <c r="J768" t="s">
        <v>63</v>
      </c>
      <c r="K768" s="2">
        <v>46176</v>
      </c>
      <c r="L768" s="2">
        <v>46356</v>
      </c>
      <c r="M768" t="s">
        <v>64</v>
      </c>
      <c r="N768" t="s">
        <v>55</v>
      </c>
      <c r="O768">
        <v>2</v>
      </c>
      <c r="P768" t="s">
        <v>39</v>
      </c>
      <c r="Q768" s="2">
        <v>46386</v>
      </c>
      <c r="R768" t="s">
        <v>84</v>
      </c>
    </row>
    <row r="769" spans="1:18" x14ac:dyDescent="0.2">
      <c r="A769" t="s">
        <v>1594</v>
      </c>
      <c r="B769" t="s">
        <v>1595</v>
      </c>
      <c r="C769" t="s">
        <v>31</v>
      </c>
      <c r="D769" t="s">
        <v>32</v>
      </c>
      <c r="E769" t="s">
        <v>105</v>
      </c>
      <c r="F769" t="s">
        <v>34</v>
      </c>
      <c r="G769" t="s">
        <v>35</v>
      </c>
      <c r="H769" t="s">
        <v>47</v>
      </c>
      <c r="I769" t="s">
        <v>39</v>
      </c>
      <c r="J769" t="s">
        <v>48</v>
      </c>
      <c r="K769" s="2">
        <v>45817</v>
      </c>
      <c r="L769" s="2">
        <v>45907</v>
      </c>
      <c r="M769" t="s">
        <v>38</v>
      </c>
      <c r="N769" t="s">
        <v>49</v>
      </c>
      <c r="O769">
        <v>2</v>
      </c>
      <c r="P769" t="s">
        <v>62</v>
      </c>
      <c r="Q769" s="2">
        <v>46237</v>
      </c>
      <c r="R769" t="s">
        <v>64</v>
      </c>
    </row>
    <row r="770" spans="1:18" x14ac:dyDescent="0.2">
      <c r="A770" t="s">
        <v>1596</v>
      </c>
      <c r="B770" t="s">
        <v>1597</v>
      </c>
      <c r="C770" t="s">
        <v>42</v>
      </c>
      <c r="D770" t="s">
        <v>43</v>
      </c>
      <c r="E770" t="s">
        <v>105</v>
      </c>
      <c r="F770" t="s">
        <v>67</v>
      </c>
      <c r="G770" t="s">
        <v>118</v>
      </c>
      <c r="H770" t="s">
        <v>47</v>
      </c>
      <c r="I770" t="s">
        <v>56</v>
      </c>
      <c r="J770" t="s">
        <v>48</v>
      </c>
      <c r="K770" s="2">
        <v>46022</v>
      </c>
      <c r="L770" s="2">
        <v>46112</v>
      </c>
      <c r="M770" t="s">
        <v>38</v>
      </c>
      <c r="N770" t="s">
        <v>55</v>
      </c>
      <c r="O770">
        <v>1</v>
      </c>
      <c r="P770" t="s">
        <v>70</v>
      </c>
      <c r="Q770" s="2">
        <v>46292</v>
      </c>
      <c r="R770" t="s">
        <v>38</v>
      </c>
    </row>
    <row r="771" spans="1:18" x14ac:dyDescent="0.2">
      <c r="A771" t="s">
        <v>1598</v>
      </c>
      <c r="B771" t="s">
        <v>1599</v>
      </c>
      <c r="C771" t="s">
        <v>31</v>
      </c>
      <c r="D771" t="s">
        <v>87</v>
      </c>
      <c r="E771" t="s">
        <v>91</v>
      </c>
      <c r="F771" t="s">
        <v>45</v>
      </c>
      <c r="G771" t="s">
        <v>61</v>
      </c>
      <c r="H771" t="s">
        <v>88</v>
      </c>
      <c r="I771" t="s">
        <v>54</v>
      </c>
      <c r="J771" t="s">
        <v>37</v>
      </c>
      <c r="K771" s="2">
        <v>46188</v>
      </c>
      <c r="L771" s="2">
        <v>46368</v>
      </c>
      <c r="M771" t="s">
        <v>84</v>
      </c>
      <c r="N771" t="s">
        <v>55</v>
      </c>
      <c r="O771">
        <v>2</v>
      </c>
      <c r="P771" t="s">
        <v>62</v>
      </c>
      <c r="Q771" s="2">
        <v>46348</v>
      </c>
      <c r="R771" t="s">
        <v>64</v>
      </c>
    </row>
    <row r="772" spans="1:18" x14ac:dyDescent="0.2">
      <c r="A772" t="s">
        <v>1600</v>
      </c>
      <c r="B772" t="s">
        <v>1601</v>
      </c>
      <c r="C772" t="s">
        <v>96</v>
      </c>
      <c r="D772" t="s">
        <v>97</v>
      </c>
      <c r="E772" t="s">
        <v>44</v>
      </c>
      <c r="F772" t="s">
        <v>67</v>
      </c>
      <c r="G772" t="s">
        <v>68</v>
      </c>
      <c r="H772" t="s">
        <v>98</v>
      </c>
      <c r="I772" t="s">
        <v>70</v>
      </c>
      <c r="J772" t="s">
        <v>48</v>
      </c>
      <c r="K772" s="2">
        <v>46188</v>
      </c>
      <c r="L772" s="2">
        <v>46553</v>
      </c>
      <c r="M772" t="s">
        <v>84</v>
      </c>
      <c r="N772" t="s">
        <v>49</v>
      </c>
      <c r="O772">
        <v>2</v>
      </c>
      <c r="P772" t="s">
        <v>111</v>
      </c>
      <c r="Q772" s="2">
        <v>46357</v>
      </c>
      <c r="R772" t="s">
        <v>84</v>
      </c>
    </row>
    <row r="773" spans="1:18" x14ac:dyDescent="0.2">
      <c r="A773" t="s">
        <v>1602</v>
      </c>
      <c r="B773" t="s">
        <v>1603</v>
      </c>
      <c r="C773" t="s">
        <v>31</v>
      </c>
      <c r="D773" t="s">
        <v>32</v>
      </c>
      <c r="E773" t="s">
        <v>105</v>
      </c>
      <c r="F773" t="s">
        <v>45</v>
      </c>
      <c r="G773" t="s">
        <v>46</v>
      </c>
      <c r="H773" t="s">
        <v>88</v>
      </c>
      <c r="I773" t="s">
        <v>56</v>
      </c>
      <c r="J773" t="s">
        <v>63</v>
      </c>
      <c r="K773" s="2">
        <v>45848</v>
      </c>
      <c r="L773" s="2">
        <v>45938</v>
      </c>
      <c r="M773" t="s">
        <v>38</v>
      </c>
      <c r="N773" t="s">
        <v>49</v>
      </c>
      <c r="O773">
        <v>1</v>
      </c>
      <c r="P773" t="s">
        <v>106</v>
      </c>
      <c r="Q773" s="2">
        <v>46190</v>
      </c>
      <c r="R773" t="s">
        <v>38</v>
      </c>
    </row>
    <row r="774" spans="1:18" x14ac:dyDescent="0.2">
      <c r="A774" t="s">
        <v>1604</v>
      </c>
      <c r="B774" t="s">
        <v>1605</v>
      </c>
      <c r="C774" t="s">
        <v>73</v>
      </c>
      <c r="D774" t="s">
        <v>74</v>
      </c>
      <c r="E774" t="s">
        <v>91</v>
      </c>
      <c r="F774" t="s">
        <v>67</v>
      </c>
      <c r="G774" t="s">
        <v>118</v>
      </c>
      <c r="H774" t="s">
        <v>88</v>
      </c>
      <c r="I774" t="s">
        <v>56</v>
      </c>
      <c r="J774" t="s">
        <v>63</v>
      </c>
      <c r="K774" s="2">
        <v>45936</v>
      </c>
      <c r="L774" s="2">
        <v>46116</v>
      </c>
      <c r="M774" t="s">
        <v>38</v>
      </c>
      <c r="N774" t="s">
        <v>75</v>
      </c>
      <c r="O774">
        <v>2</v>
      </c>
      <c r="P774" t="s">
        <v>106</v>
      </c>
      <c r="Q774" s="2">
        <v>46349</v>
      </c>
      <c r="R774" t="s">
        <v>64</v>
      </c>
    </row>
    <row r="775" spans="1:18" x14ac:dyDescent="0.2">
      <c r="A775" t="s">
        <v>1606</v>
      </c>
      <c r="B775" t="s">
        <v>1607</v>
      </c>
      <c r="C775" t="s">
        <v>78</v>
      </c>
      <c r="D775" t="s">
        <v>79</v>
      </c>
      <c r="E775" t="s">
        <v>105</v>
      </c>
      <c r="F775" t="s">
        <v>34</v>
      </c>
      <c r="G775" t="s">
        <v>35</v>
      </c>
      <c r="H775" t="s">
        <v>47</v>
      </c>
      <c r="I775" t="s">
        <v>39</v>
      </c>
      <c r="J775" t="s">
        <v>48</v>
      </c>
      <c r="K775" s="2">
        <v>46200</v>
      </c>
      <c r="L775" s="2">
        <v>46380</v>
      </c>
      <c r="M775" t="s">
        <v>84</v>
      </c>
      <c r="N775" t="s">
        <v>75</v>
      </c>
      <c r="O775">
        <v>3</v>
      </c>
      <c r="P775" t="s">
        <v>70</v>
      </c>
      <c r="Q775" s="2">
        <v>46130</v>
      </c>
      <c r="R775" t="s">
        <v>64</v>
      </c>
    </row>
    <row r="776" spans="1:18" x14ac:dyDescent="0.2">
      <c r="A776" t="s">
        <v>1608</v>
      </c>
      <c r="B776" t="s">
        <v>1609</v>
      </c>
      <c r="C776" t="s">
        <v>73</v>
      </c>
      <c r="D776" t="s">
        <v>74</v>
      </c>
      <c r="E776" t="s">
        <v>91</v>
      </c>
      <c r="F776" t="s">
        <v>45</v>
      </c>
      <c r="G776" t="s">
        <v>61</v>
      </c>
      <c r="H776" t="s">
        <v>47</v>
      </c>
      <c r="I776" t="s">
        <v>56</v>
      </c>
      <c r="J776" t="s">
        <v>37</v>
      </c>
      <c r="K776" s="2">
        <v>45826</v>
      </c>
      <c r="L776" s="2">
        <v>46191</v>
      </c>
      <c r="M776" t="s">
        <v>38</v>
      </c>
      <c r="N776" t="s">
        <v>49</v>
      </c>
      <c r="O776">
        <v>3</v>
      </c>
      <c r="P776" t="s">
        <v>62</v>
      </c>
      <c r="Q776" s="2">
        <v>46384</v>
      </c>
      <c r="R776" t="s">
        <v>64</v>
      </c>
    </row>
    <row r="777" spans="1:18" x14ac:dyDescent="0.2">
      <c r="A777" t="s">
        <v>1610</v>
      </c>
      <c r="B777" t="s">
        <v>1611</v>
      </c>
      <c r="C777" t="s">
        <v>73</v>
      </c>
      <c r="D777" t="s">
        <v>74</v>
      </c>
      <c r="E777" t="s">
        <v>44</v>
      </c>
      <c r="F777" t="s">
        <v>67</v>
      </c>
      <c r="G777" t="s">
        <v>118</v>
      </c>
      <c r="H777" t="s">
        <v>47</v>
      </c>
      <c r="I777" t="s">
        <v>106</v>
      </c>
      <c r="J777" t="s">
        <v>48</v>
      </c>
      <c r="K777" s="2">
        <v>45848</v>
      </c>
      <c r="L777" s="2">
        <v>46213</v>
      </c>
      <c r="M777" t="s">
        <v>38</v>
      </c>
      <c r="N777" t="s">
        <v>55</v>
      </c>
      <c r="O777">
        <v>3</v>
      </c>
      <c r="P777" t="s">
        <v>39</v>
      </c>
      <c r="Q777" s="2">
        <v>46347</v>
      </c>
      <c r="R777" t="s">
        <v>84</v>
      </c>
    </row>
    <row r="778" spans="1:18" x14ac:dyDescent="0.2">
      <c r="A778" t="s">
        <v>1612</v>
      </c>
      <c r="B778" t="s">
        <v>1613</v>
      </c>
      <c r="C778" t="s">
        <v>31</v>
      </c>
      <c r="D778" t="s">
        <v>87</v>
      </c>
      <c r="E778" t="s">
        <v>80</v>
      </c>
      <c r="F778" t="s">
        <v>67</v>
      </c>
      <c r="G778" t="s">
        <v>68</v>
      </c>
      <c r="H778" t="s">
        <v>88</v>
      </c>
      <c r="I778" t="s">
        <v>56</v>
      </c>
      <c r="J778" t="s">
        <v>48</v>
      </c>
      <c r="K778" s="2">
        <v>45956</v>
      </c>
      <c r="L778" s="2">
        <v>46321</v>
      </c>
      <c r="M778" t="s">
        <v>69</v>
      </c>
      <c r="N778" t="s">
        <v>75</v>
      </c>
      <c r="O778">
        <v>2</v>
      </c>
      <c r="P778" t="s">
        <v>54</v>
      </c>
      <c r="Q778" s="2">
        <v>46148</v>
      </c>
      <c r="R778" t="s">
        <v>38</v>
      </c>
    </row>
    <row r="779" spans="1:18" x14ac:dyDescent="0.2">
      <c r="A779" t="s">
        <v>1614</v>
      </c>
      <c r="B779" t="s">
        <v>1615</v>
      </c>
      <c r="C779" t="s">
        <v>42</v>
      </c>
      <c r="D779" t="s">
        <v>43</v>
      </c>
      <c r="E779" t="s">
        <v>105</v>
      </c>
      <c r="F779" t="s">
        <v>67</v>
      </c>
      <c r="G779" t="s">
        <v>68</v>
      </c>
      <c r="H779" t="s">
        <v>88</v>
      </c>
      <c r="I779" t="s">
        <v>39</v>
      </c>
      <c r="J779" t="s">
        <v>37</v>
      </c>
      <c r="K779" s="2">
        <v>46055</v>
      </c>
      <c r="L779" s="2">
        <v>46235</v>
      </c>
      <c r="M779" t="s">
        <v>38</v>
      </c>
      <c r="N779" t="s">
        <v>49</v>
      </c>
      <c r="O779">
        <v>0</v>
      </c>
      <c r="P779" t="s">
        <v>56</v>
      </c>
      <c r="Q779" s="2">
        <v>46140</v>
      </c>
      <c r="R779" t="s">
        <v>57</v>
      </c>
    </row>
    <row r="780" spans="1:18" x14ac:dyDescent="0.2">
      <c r="A780" t="s">
        <v>1616</v>
      </c>
      <c r="B780" t="s">
        <v>1617</v>
      </c>
      <c r="C780" t="s">
        <v>31</v>
      </c>
      <c r="D780" t="s">
        <v>87</v>
      </c>
      <c r="E780" t="s">
        <v>105</v>
      </c>
      <c r="F780" t="s">
        <v>34</v>
      </c>
      <c r="G780" t="s">
        <v>35</v>
      </c>
      <c r="H780" t="s">
        <v>36</v>
      </c>
      <c r="I780" t="s">
        <v>50</v>
      </c>
      <c r="J780" t="s">
        <v>37</v>
      </c>
      <c r="K780" s="2">
        <v>45900</v>
      </c>
      <c r="L780" s="2">
        <v>45990</v>
      </c>
      <c r="M780" t="s">
        <v>38</v>
      </c>
      <c r="N780" t="s">
        <v>75</v>
      </c>
      <c r="O780">
        <v>4</v>
      </c>
      <c r="P780" t="s">
        <v>54</v>
      </c>
      <c r="Q780" s="2">
        <v>46156</v>
      </c>
      <c r="R780" t="s">
        <v>64</v>
      </c>
    </row>
    <row r="781" spans="1:18" x14ac:dyDescent="0.2">
      <c r="A781" t="s">
        <v>1618</v>
      </c>
      <c r="B781" t="s">
        <v>1619</v>
      </c>
      <c r="C781" t="s">
        <v>73</v>
      </c>
      <c r="D781" t="s">
        <v>74</v>
      </c>
      <c r="E781" t="s">
        <v>80</v>
      </c>
      <c r="F781" t="s">
        <v>34</v>
      </c>
      <c r="G781" t="s">
        <v>35</v>
      </c>
      <c r="H781" t="s">
        <v>88</v>
      </c>
      <c r="I781" t="s">
        <v>70</v>
      </c>
      <c r="J781" t="s">
        <v>63</v>
      </c>
      <c r="K781" s="2">
        <v>45818</v>
      </c>
      <c r="L781" s="2">
        <v>45998</v>
      </c>
      <c r="M781" t="s">
        <v>38</v>
      </c>
      <c r="N781" t="s">
        <v>75</v>
      </c>
      <c r="O781">
        <v>2</v>
      </c>
      <c r="P781" t="s">
        <v>50</v>
      </c>
      <c r="Q781" s="2">
        <v>46203</v>
      </c>
      <c r="R781" t="s">
        <v>38</v>
      </c>
    </row>
    <row r="782" spans="1:18" x14ac:dyDescent="0.2">
      <c r="A782" t="s">
        <v>1620</v>
      </c>
      <c r="B782" t="s">
        <v>1621</v>
      </c>
      <c r="C782" t="s">
        <v>78</v>
      </c>
      <c r="D782" t="s">
        <v>79</v>
      </c>
      <c r="E782" t="s">
        <v>53</v>
      </c>
      <c r="F782" t="s">
        <v>34</v>
      </c>
      <c r="G782" t="s">
        <v>35</v>
      </c>
      <c r="H782" t="s">
        <v>47</v>
      </c>
      <c r="I782" t="s">
        <v>54</v>
      </c>
      <c r="J782" t="s">
        <v>48</v>
      </c>
      <c r="K782" s="2">
        <v>46121</v>
      </c>
      <c r="L782" s="2">
        <v>46301</v>
      </c>
      <c r="M782" t="s">
        <v>64</v>
      </c>
      <c r="N782" t="s">
        <v>49</v>
      </c>
      <c r="O782">
        <v>3</v>
      </c>
      <c r="P782" t="s">
        <v>111</v>
      </c>
      <c r="Q782" s="2">
        <v>46394</v>
      </c>
      <c r="R782" t="s">
        <v>64</v>
      </c>
    </row>
    <row r="783" spans="1:18" x14ac:dyDescent="0.2">
      <c r="A783" t="s">
        <v>1622</v>
      </c>
      <c r="B783" t="s">
        <v>1623</v>
      </c>
      <c r="C783" t="s">
        <v>96</v>
      </c>
      <c r="D783" t="s">
        <v>97</v>
      </c>
      <c r="E783" t="s">
        <v>60</v>
      </c>
      <c r="F783" t="s">
        <v>34</v>
      </c>
      <c r="G783" t="s">
        <v>35</v>
      </c>
      <c r="H783" t="s">
        <v>98</v>
      </c>
      <c r="I783" t="s">
        <v>106</v>
      </c>
      <c r="J783" t="s">
        <v>63</v>
      </c>
      <c r="K783" s="2">
        <v>46036</v>
      </c>
      <c r="L783" s="2">
        <v>46216</v>
      </c>
      <c r="M783" t="s">
        <v>38</v>
      </c>
      <c r="N783" t="s">
        <v>75</v>
      </c>
      <c r="O783">
        <v>3</v>
      </c>
      <c r="P783" t="s">
        <v>39</v>
      </c>
      <c r="Q783" s="2">
        <v>46330</v>
      </c>
      <c r="R783" t="s">
        <v>84</v>
      </c>
    </row>
    <row r="784" spans="1:18" x14ac:dyDescent="0.2">
      <c r="A784" t="s">
        <v>1624</v>
      </c>
      <c r="B784" t="s">
        <v>1625</v>
      </c>
      <c r="C784" t="s">
        <v>42</v>
      </c>
      <c r="D784" t="s">
        <v>43</v>
      </c>
      <c r="E784" t="s">
        <v>44</v>
      </c>
      <c r="F784" t="s">
        <v>67</v>
      </c>
      <c r="G784" t="s">
        <v>68</v>
      </c>
      <c r="H784" t="s">
        <v>88</v>
      </c>
      <c r="I784" t="s">
        <v>56</v>
      </c>
      <c r="J784" t="s">
        <v>37</v>
      </c>
      <c r="K784" s="2">
        <v>45873</v>
      </c>
      <c r="L784" s="2">
        <v>45963</v>
      </c>
      <c r="M784" t="s">
        <v>38</v>
      </c>
      <c r="N784" t="s">
        <v>49</v>
      </c>
      <c r="O784">
        <v>2</v>
      </c>
      <c r="P784" t="s">
        <v>50</v>
      </c>
      <c r="Q784" s="2">
        <v>46180</v>
      </c>
      <c r="R784" t="s">
        <v>38</v>
      </c>
    </row>
    <row r="785" spans="1:18" x14ac:dyDescent="0.2">
      <c r="A785" t="s">
        <v>1626</v>
      </c>
      <c r="B785" t="s">
        <v>1627</v>
      </c>
      <c r="C785" t="s">
        <v>31</v>
      </c>
      <c r="D785" t="s">
        <v>32</v>
      </c>
      <c r="E785" t="s">
        <v>80</v>
      </c>
      <c r="F785" t="s">
        <v>67</v>
      </c>
      <c r="G785" t="s">
        <v>68</v>
      </c>
      <c r="H785" t="s">
        <v>36</v>
      </c>
      <c r="I785" t="s">
        <v>111</v>
      </c>
      <c r="J785" t="s">
        <v>63</v>
      </c>
      <c r="K785" s="2">
        <v>45846</v>
      </c>
      <c r="L785" s="2">
        <v>45936</v>
      </c>
      <c r="M785" t="s">
        <v>38</v>
      </c>
      <c r="N785" t="s">
        <v>55</v>
      </c>
      <c r="O785">
        <v>0</v>
      </c>
      <c r="P785" t="s">
        <v>70</v>
      </c>
      <c r="Q785" s="2">
        <v>46253</v>
      </c>
      <c r="R785" t="s">
        <v>57</v>
      </c>
    </row>
    <row r="786" spans="1:18" x14ac:dyDescent="0.2">
      <c r="A786" t="s">
        <v>1628</v>
      </c>
      <c r="B786" t="s">
        <v>1629</v>
      </c>
      <c r="C786" t="s">
        <v>96</v>
      </c>
      <c r="D786" t="s">
        <v>97</v>
      </c>
      <c r="E786" t="s">
        <v>91</v>
      </c>
      <c r="F786" t="s">
        <v>67</v>
      </c>
      <c r="G786" t="s">
        <v>118</v>
      </c>
      <c r="H786" t="s">
        <v>88</v>
      </c>
      <c r="I786" t="s">
        <v>39</v>
      </c>
      <c r="J786" t="s">
        <v>48</v>
      </c>
      <c r="K786" s="2">
        <v>46213</v>
      </c>
      <c r="L786" s="2">
        <v>46578</v>
      </c>
      <c r="M786" t="s">
        <v>84</v>
      </c>
      <c r="N786" t="s">
        <v>49</v>
      </c>
      <c r="O786">
        <v>1</v>
      </c>
      <c r="P786" t="s">
        <v>50</v>
      </c>
      <c r="Q786" s="2">
        <v>46379</v>
      </c>
      <c r="R786" t="s">
        <v>64</v>
      </c>
    </row>
    <row r="787" spans="1:18" x14ac:dyDescent="0.2">
      <c r="A787" t="s">
        <v>1630</v>
      </c>
      <c r="B787" t="s">
        <v>1631</v>
      </c>
      <c r="C787" t="s">
        <v>31</v>
      </c>
      <c r="D787" t="s">
        <v>87</v>
      </c>
      <c r="E787" t="s">
        <v>91</v>
      </c>
      <c r="F787" t="s">
        <v>67</v>
      </c>
      <c r="G787" t="s">
        <v>118</v>
      </c>
      <c r="H787" t="s">
        <v>98</v>
      </c>
      <c r="I787" t="s">
        <v>39</v>
      </c>
      <c r="J787" t="s">
        <v>63</v>
      </c>
      <c r="K787" s="2">
        <v>45863</v>
      </c>
      <c r="L787" s="2">
        <v>46043</v>
      </c>
      <c r="M787" t="s">
        <v>38</v>
      </c>
      <c r="N787" t="s">
        <v>49</v>
      </c>
      <c r="O787">
        <v>5</v>
      </c>
      <c r="P787" t="s">
        <v>70</v>
      </c>
      <c r="Q787" s="2">
        <v>46217</v>
      </c>
      <c r="R787" t="s">
        <v>64</v>
      </c>
    </row>
    <row r="788" spans="1:18" x14ac:dyDescent="0.2">
      <c r="A788" t="s">
        <v>1632</v>
      </c>
      <c r="B788" t="s">
        <v>1633</v>
      </c>
      <c r="C788" t="s">
        <v>78</v>
      </c>
      <c r="D788" t="s">
        <v>79</v>
      </c>
      <c r="E788" t="s">
        <v>44</v>
      </c>
      <c r="F788" t="s">
        <v>34</v>
      </c>
      <c r="G788" t="s">
        <v>35</v>
      </c>
      <c r="H788" t="s">
        <v>47</v>
      </c>
      <c r="I788" t="s">
        <v>111</v>
      </c>
      <c r="J788" t="s">
        <v>48</v>
      </c>
      <c r="K788" s="2">
        <v>46263</v>
      </c>
      <c r="L788" s="2">
        <v>46628</v>
      </c>
      <c r="M788" t="s">
        <v>64</v>
      </c>
      <c r="N788" t="s">
        <v>55</v>
      </c>
      <c r="O788">
        <v>0</v>
      </c>
      <c r="P788" t="s">
        <v>54</v>
      </c>
      <c r="Q788" s="2">
        <v>46268</v>
      </c>
      <c r="R788" t="s">
        <v>57</v>
      </c>
    </row>
    <row r="789" spans="1:18" x14ac:dyDescent="0.2">
      <c r="A789" t="s">
        <v>1634</v>
      </c>
      <c r="B789" t="s">
        <v>1635</v>
      </c>
      <c r="C789" t="s">
        <v>31</v>
      </c>
      <c r="D789" t="s">
        <v>83</v>
      </c>
      <c r="E789" t="s">
        <v>60</v>
      </c>
      <c r="F789" t="s">
        <v>34</v>
      </c>
      <c r="G789" t="s">
        <v>35</v>
      </c>
      <c r="H789" t="s">
        <v>88</v>
      </c>
      <c r="I789" t="s">
        <v>70</v>
      </c>
      <c r="J789" t="s">
        <v>63</v>
      </c>
      <c r="K789" s="2">
        <v>46054</v>
      </c>
      <c r="L789" s="2">
        <v>46144</v>
      </c>
      <c r="M789" t="s">
        <v>38</v>
      </c>
      <c r="N789" t="s">
        <v>49</v>
      </c>
      <c r="O789">
        <v>0</v>
      </c>
      <c r="P789" t="s">
        <v>54</v>
      </c>
      <c r="Q789" s="2">
        <v>46209</v>
      </c>
      <c r="R789" t="s">
        <v>57</v>
      </c>
    </row>
    <row r="790" spans="1:18" x14ac:dyDescent="0.2">
      <c r="A790" t="s">
        <v>1636</v>
      </c>
      <c r="B790" t="s">
        <v>1637</v>
      </c>
      <c r="C790" t="s">
        <v>78</v>
      </c>
      <c r="D790" t="s">
        <v>79</v>
      </c>
      <c r="E790" t="s">
        <v>80</v>
      </c>
      <c r="F790" t="s">
        <v>45</v>
      </c>
      <c r="G790" t="s">
        <v>46</v>
      </c>
      <c r="H790" t="s">
        <v>88</v>
      </c>
      <c r="I790" t="s">
        <v>56</v>
      </c>
      <c r="J790" t="s">
        <v>63</v>
      </c>
      <c r="K790" s="2">
        <v>45934</v>
      </c>
      <c r="L790" s="2">
        <v>46024</v>
      </c>
      <c r="M790" t="s">
        <v>38</v>
      </c>
      <c r="N790" t="s">
        <v>49</v>
      </c>
      <c r="O790">
        <v>3</v>
      </c>
      <c r="P790" t="s">
        <v>70</v>
      </c>
      <c r="Q790" s="2">
        <v>46303</v>
      </c>
      <c r="R790" t="s">
        <v>84</v>
      </c>
    </row>
    <row r="791" spans="1:18" x14ac:dyDescent="0.2">
      <c r="A791" t="s">
        <v>1638</v>
      </c>
      <c r="B791" t="s">
        <v>1639</v>
      </c>
      <c r="C791" t="s">
        <v>31</v>
      </c>
      <c r="D791" t="s">
        <v>87</v>
      </c>
      <c r="E791" t="s">
        <v>80</v>
      </c>
      <c r="F791" t="s">
        <v>67</v>
      </c>
      <c r="G791" t="s">
        <v>118</v>
      </c>
      <c r="H791" t="s">
        <v>47</v>
      </c>
      <c r="I791" t="s">
        <v>56</v>
      </c>
      <c r="J791" t="s">
        <v>63</v>
      </c>
      <c r="K791" s="2">
        <v>46041</v>
      </c>
      <c r="L791" s="2">
        <v>46131</v>
      </c>
      <c r="M791" t="s">
        <v>38</v>
      </c>
      <c r="N791" t="s">
        <v>49</v>
      </c>
      <c r="O791">
        <v>3</v>
      </c>
      <c r="P791" t="s">
        <v>111</v>
      </c>
      <c r="Q791" s="2">
        <v>46120</v>
      </c>
      <c r="R791" t="s">
        <v>38</v>
      </c>
    </row>
    <row r="792" spans="1:18" x14ac:dyDescent="0.2">
      <c r="A792" t="s">
        <v>1640</v>
      </c>
      <c r="B792" t="s">
        <v>1641</v>
      </c>
      <c r="C792" t="s">
        <v>103</v>
      </c>
      <c r="D792" t="s">
        <v>104</v>
      </c>
      <c r="E792" t="s">
        <v>44</v>
      </c>
      <c r="F792" t="s">
        <v>45</v>
      </c>
      <c r="G792" t="s">
        <v>61</v>
      </c>
      <c r="H792" t="s">
        <v>88</v>
      </c>
      <c r="I792" t="s">
        <v>111</v>
      </c>
      <c r="J792" t="s">
        <v>63</v>
      </c>
      <c r="K792" s="2">
        <v>46134</v>
      </c>
      <c r="L792" s="2">
        <v>46224</v>
      </c>
      <c r="M792" t="s">
        <v>38</v>
      </c>
      <c r="N792" t="s">
        <v>55</v>
      </c>
      <c r="O792">
        <v>2</v>
      </c>
      <c r="P792" t="s">
        <v>62</v>
      </c>
      <c r="Q792" s="2">
        <v>46371</v>
      </c>
      <c r="R792" t="s">
        <v>84</v>
      </c>
    </row>
    <row r="793" spans="1:18" x14ac:dyDescent="0.2">
      <c r="A793" t="s">
        <v>1642</v>
      </c>
      <c r="B793" t="s">
        <v>1643</v>
      </c>
      <c r="C793" t="s">
        <v>42</v>
      </c>
      <c r="D793" t="s">
        <v>43</v>
      </c>
      <c r="E793" t="s">
        <v>44</v>
      </c>
      <c r="F793" t="s">
        <v>34</v>
      </c>
      <c r="G793" t="s">
        <v>35</v>
      </c>
      <c r="H793" t="s">
        <v>88</v>
      </c>
      <c r="I793" t="s">
        <v>106</v>
      </c>
      <c r="J793" t="s">
        <v>48</v>
      </c>
      <c r="K793" s="2">
        <v>45940</v>
      </c>
      <c r="L793" s="2">
        <v>46305</v>
      </c>
      <c r="M793" t="s">
        <v>69</v>
      </c>
      <c r="N793" t="s">
        <v>49</v>
      </c>
      <c r="O793">
        <v>1</v>
      </c>
      <c r="P793" t="s">
        <v>111</v>
      </c>
      <c r="Q793" s="2">
        <v>46257</v>
      </c>
      <c r="R793" t="s">
        <v>38</v>
      </c>
    </row>
    <row r="794" spans="1:18" x14ac:dyDescent="0.2">
      <c r="A794" t="s">
        <v>1644</v>
      </c>
      <c r="B794" t="s">
        <v>1645</v>
      </c>
      <c r="C794" t="s">
        <v>78</v>
      </c>
      <c r="D794" t="s">
        <v>79</v>
      </c>
      <c r="E794" t="s">
        <v>60</v>
      </c>
      <c r="F794" t="s">
        <v>67</v>
      </c>
      <c r="G794" t="s">
        <v>118</v>
      </c>
      <c r="H794" t="s">
        <v>88</v>
      </c>
      <c r="I794" t="s">
        <v>56</v>
      </c>
      <c r="J794" t="s">
        <v>48</v>
      </c>
      <c r="K794" s="2">
        <v>46209</v>
      </c>
      <c r="L794" s="2">
        <v>46574</v>
      </c>
      <c r="M794" t="s">
        <v>64</v>
      </c>
      <c r="N794" t="s">
        <v>49</v>
      </c>
      <c r="O794">
        <v>2</v>
      </c>
      <c r="P794" t="s">
        <v>39</v>
      </c>
      <c r="Q794" s="2">
        <v>46414</v>
      </c>
      <c r="R794" t="s">
        <v>84</v>
      </c>
    </row>
    <row r="795" spans="1:18" x14ac:dyDescent="0.2">
      <c r="A795" t="s">
        <v>1646</v>
      </c>
      <c r="B795" t="s">
        <v>1647</v>
      </c>
      <c r="C795" t="s">
        <v>31</v>
      </c>
      <c r="D795" t="s">
        <v>83</v>
      </c>
      <c r="E795" t="s">
        <v>44</v>
      </c>
      <c r="F795" t="s">
        <v>34</v>
      </c>
      <c r="G795" t="s">
        <v>35</v>
      </c>
      <c r="H795" t="s">
        <v>47</v>
      </c>
      <c r="I795" t="s">
        <v>70</v>
      </c>
      <c r="J795" t="s">
        <v>37</v>
      </c>
      <c r="K795" s="2">
        <v>46020</v>
      </c>
      <c r="L795" s="2">
        <v>46385</v>
      </c>
      <c r="M795" t="s">
        <v>64</v>
      </c>
      <c r="N795" t="s">
        <v>55</v>
      </c>
      <c r="O795">
        <v>1</v>
      </c>
      <c r="P795" t="s">
        <v>62</v>
      </c>
      <c r="Q795" s="2">
        <v>46168</v>
      </c>
      <c r="R795" t="s">
        <v>38</v>
      </c>
    </row>
    <row r="796" spans="1:18" x14ac:dyDescent="0.2">
      <c r="A796" t="s">
        <v>1648</v>
      </c>
      <c r="B796" t="s">
        <v>1649</v>
      </c>
      <c r="C796" t="s">
        <v>31</v>
      </c>
      <c r="D796" t="s">
        <v>87</v>
      </c>
      <c r="E796" t="s">
        <v>60</v>
      </c>
      <c r="F796" t="s">
        <v>45</v>
      </c>
      <c r="G796" t="s">
        <v>46</v>
      </c>
      <c r="H796" t="s">
        <v>47</v>
      </c>
      <c r="I796" t="s">
        <v>39</v>
      </c>
      <c r="J796" t="s">
        <v>37</v>
      </c>
      <c r="K796" s="2">
        <v>45842</v>
      </c>
      <c r="L796" s="2">
        <v>46207</v>
      </c>
      <c r="M796" t="s">
        <v>38</v>
      </c>
      <c r="N796" t="s">
        <v>55</v>
      </c>
      <c r="O796">
        <v>3</v>
      </c>
      <c r="P796" t="s">
        <v>70</v>
      </c>
      <c r="Q796" s="2">
        <v>46306</v>
      </c>
      <c r="R796" t="s">
        <v>84</v>
      </c>
    </row>
    <row r="797" spans="1:18" x14ac:dyDescent="0.2">
      <c r="A797" t="s">
        <v>1650</v>
      </c>
      <c r="B797" t="s">
        <v>1651</v>
      </c>
      <c r="C797" t="s">
        <v>31</v>
      </c>
      <c r="D797" t="s">
        <v>83</v>
      </c>
      <c r="E797" t="s">
        <v>80</v>
      </c>
      <c r="F797" t="s">
        <v>34</v>
      </c>
      <c r="G797" t="s">
        <v>35</v>
      </c>
      <c r="H797" t="s">
        <v>47</v>
      </c>
      <c r="I797" t="s">
        <v>54</v>
      </c>
      <c r="J797" t="s">
        <v>63</v>
      </c>
      <c r="K797" s="2">
        <v>46175</v>
      </c>
      <c r="L797" s="2">
        <v>46355</v>
      </c>
      <c r="M797" t="s">
        <v>64</v>
      </c>
      <c r="N797" t="s">
        <v>49</v>
      </c>
      <c r="O797">
        <v>2</v>
      </c>
      <c r="P797" t="s">
        <v>54</v>
      </c>
      <c r="Q797" s="2">
        <v>46230</v>
      </c>
      <c r="R797" t="s">
        <v>64</v>
      </c>
    </row>
    <row r="798" spans="1:18" x14ac:dyDescent="0.2">
      <c r="A798" t="s">
        <v>1652</v>
      </c>
      <c r="B798" t="s">
        <v>1653</v>
      </c>
      <c r="C798" t="s">
        <v>78</v>
      </c>
      <c r="D798" t="s">
        <v>79</v>
      </c>
      <c r="E798" t="s">
        <v>91</v>
      </c>
      <c r="F798" t="s">
        <v>45</v>
      </c>
      <c r="G798" t="s">
        <v>46</v>
      </c>
      <c r="H798" t="s">
        <v>98</v>
      </c>
      <c r="I798" t="s">
        <v>70</v>
      </c>
      <c r="J798" t="s">
        <v>63</v>
      </c>
      <c r="K798" s="2">
        <v>46171</v>
      </c>
      <c r="L798" s="2">
        <v>46261</v>
      </c>
      <c r="M798" t="s">
        <v>38</v>
      </c>
      <c r="N798" t="s">
        <v>55</v>
      </c>
      <c r="O798">
        <v>0</v>
      </c>
      <c r="P798" t="s">
        <v>70</v>
      </c>
      <c r="Q798" s="2">
        <v>46299</v>
      </c>
      <c r="R798" t="s">
        <v>57</v>
      </c>
    </row>
    <row r="799" spans="1:18" x14ac:dyDescent="0.2">
      <c r="A799" t="s">
        <v>1654</v>
      </c>
      <c r="B799" t="s">
        <v>1655</v>
      </c>
      <c r="C799" t="s">
        <v>31</v>
      </c>
      <c r="D799" t="s">
        <v>83</v>
      </c>
      <c r="E799" t="s">
        <v>91</v>
      </c>
      <c r="F799" t="s">
        <v>67</v>
      </c>
      <c r="G799" t="s">
        <v>68</v>
      </c>
      <c r="H799" t="s">
        <v>36</v>
      </c>
      <c r="I799" t="s">
        <v>111</v>
      </c>
      <c r="J799" t="s">
        <v>48</v>
      </c>
      <c r="K799" s="2">
        <v>46178</v>
      </c>
      <c r="L799" s="2">
        <v>46268</v>
      </c>
      <c r="M799" t="s">
        <v>38</v>
      </c>
      <c r="N799" t="s">
        <v>49</v>
      </c>
      <c r="O799">
        <v>3</v>
      </c>
      <c r="P799" t="s">
        <v>111</v>
      </c>
      <c r="Q799" s="2">
        <v>46371</v>
      </c>
      <c r="R799" t="s">
        <v>84</v>
      </c>
    </row>
    <row r="800" spans="1:18" x14ac:dyDescent="0.2">
      <c r="A800" t="s">
        <v>1656</v>
      </c>
      <c r="B800" t="s">
        <v>1657</v>
      </c>
      <c r="C800" t="s">
        <v>96</v>
      </c>
      <c r="D800" t="s">
        <v>97</v>
      </c>
      <c r="E800" t="s">
        <v>105</v>
      </c>
      <c r="F800" t="s">
        <v>67</v>
      </c>
      <c r="G800" t="s">
        <v>118</v>
      </c>
      <c r="H800" t="s">
        <v>88</v>
      </c>
      <c r="I800" t="s">
        <v>50</v>
      </c>
      <c r="J800" t="s">
        <v>48</v>
      </c>
      <c r="K800" s="2">
        <v>45875</v>
      </c>
      <c r="L800" s="2">
        <v>46240</v>
      </c>
      <c r="M800" t="s">
        <v>38</v>
      </c>
      <c r="N800" t="s">
        <v>75</v>
      </c>
      <c r="O800">
        <v>0</v>
      </c>
      <c r="P800" t="s">
        <v>106</v>
      </c>
      <c r="Q800" s="2">
        <v>46175</v>
      </c>
      <c r="R800" t="s">
        <v>57</v>
      </c>
    </row>
    <row r="801" spans="1:18" x14ac:dyDescent="0.2">
      <c r="A801" t="s">
        <v>1658</v>
      </c>
      <c r="B801" t="s">
        <v>1659</v>
      </c>
      <c r="C801" t="s">
        <v>103</v>
      </c>
      <c r="D801" t="s">
        <v>104</v>
      </c>
      <c r="E801" t="s">
        <v>53</v>
      </c>
      <c r="F801" t="s">
        <v>45</v>
      </c>
      <c r="G801" t="s">
        <v>46</v>
      </c>
      <c r="H801" t="s">
        <v>98</v>
      </c>
      <c r="I801" t="s">
        <v>56</v>
      </c>
      <c r="J801" t="s">
        <v>63</v>
      </c>
      <c r="K801" s="2">
        <v>46076</v>
      </c>
      <c r="L801" s="2">
        <v>46441</v>
      </c>
      <c r="M801" t="s">
        <v>64</v>
      </c>
      <c r="N801" t="s">
        <v>55</v>
      </c>
      <c r="O801">
        <v>2</v>
      </c>
      <c r="P801" t="s">
        <v>56</v>
      </c>
      <c r="Q801" s="2">
        <v>46153</v>
      </c>
      <c r="R801" t="s">
        <v>38</v>
      </c>
    </row>
    <row r="802" spans="1:18" x14ac:dyDescent="0.2">
      <c r="A802" t="s">
        <v>1660</v>
      </c>
      <c r="B802" t="s">
        <v>1661</v>
      </c>
      <c r="C802" t="s">
        <v>73</v>
      </c>
      <c r="D802" t="s">
        <v>74</v>
      </c>
      <c r="E802" t="s">
        <v>60</v>
      </c>
      <c r="F802" t="s">
        <v>67</v>
      </c>
      <c r="G802" t="s">
        <v>68</v>
      </c>
      <c r="H802" t="s">
        <v>88</v>
      </c>
      <c r="I802" t="s">
        <v>70</v>
      </c>
      <c r="J802" t="s">
        <v>37</v>
      </c>
      <c r="K802" s="2">
        <v>45977</v>
      </c>
      <c r="L802" s="2">
        <v>46157</v>
      </c>
      <c r="M802" t="s">
        <v>38</v>
      </c>
      <c r="N802" t="s">
        <v>75</v>
      </c>
      <c r="O802">
        <v>0</v>
      </c>
      <c r="P802" t="s">
        <v>54</v>
      </c>
      <c r="Q802" s="2">
        <v>46131</v>
      </c>
      <c r="R802" t="s">
        <v>57</v>
      </c>
    </row>
    <row r="803" spans="1:18" x14ac:dyDescent="0.2">
      <c r="A803" t="s">
        <v>1662</v>
      </c>
      <c r="B803" t="s">
        <v>1663</v>
      </c>
      <c r="C803" t="s">
        <v>31</v>
      </c>
      <c r="D803" t="s">
        <v>87</v>
      </c>
      <c r="E803" t="s">
        <v>44</v>
      </c>
      <c r="F803" t="s">
        <v>67</v>
      </c>
      <c r="G803" t="s">
        <v>68</v>
      </c>
      <c r="H803" t="s">
        <v>47</v>
      </c>
      <c r="I803" t="s">
        <v>106</v>
      </c>
      <c r="J803" t="s">
        <v>48</v>
      </c>
      <c r="K803" s="2">
        <v>45802</v>
      </c>
      <c r="L803" s="2">
        <v>46167</v>
      </c>
      <c r="M803" t="s">
        <v>38</v>
      </c>
      <c r="N803" t="s">
        <v>55</v>
      </c>
      <c r="O803">
        <v>1</v>
      </c>
      <c r="P803" t="s">
        <v>62</v>
      </c>
      <c r="Q803" s="2">
        <v>46367</v>
      </c>
      <c r="R803" t="s">
        <v>64</v>
      </c>
    </row>
    <row r="804" spans="1:18" x14ac:dyDescent="0.2">
      <c r="A804" t="s">
        <v>1664</v>
      </c>
      <c r="B804" t="s">
        <v>1665</v>
      </c>
      <c r="C804" t="s">
        <v>73</v>
      </c>
      <c r="D804" t="s">
        <v>74</v>
      </c>
      <c r="E804" t="s">
        <v>60</v>
      </c>
      <c r="F804" t="s">
        <v>34</v>
      </c>
      <c r="G804" t="s">
        <v>35</v>
      </c>
      <c r="H804" t="s">
        <v>88</v>
      </c>
      <c r="J804" t="s">
        <v>37</v>
      </c>
      <c r="K804" s="2">
        <v>46209</v>
      </c>
      <c r="L804" s="2">
        <v>46389</v>
      </c>
      <c r="M804" t="s">
        <v>84</v>
      </c>
      <c r="N804" t="s">
        <v>55</v>
      </c>
      <c r="O804">
        <v>3</v>
      </c>
      <c r="P804" t="s">
        <v>56</v>
      </c>
      <c r="Q804" s="2">
        <v>46374</v>
      </c>
      <c r="R804" t="s">
        <v>64</v>
      </c>
    </row>
    <row r="805" spans="1:18" x14ac:dyDescent="0.2">
      <c r="A805" t="s">
        <v>1666</v>
      </c>
      <c r="B805" t="s">
        <v>1667</v>
      </c>
      <c r="C805" t="s">
        <v>78</v>
      </c>
      <c r="D805" t="s">
        <v>79</v>
      </c>
      <c r="E805" t="s">
        <v>105</v>
      </c>
      <c r="F805" t="s">
        <v>45</v>
      </c>
      <c r="G805" t="s">
        <v>46</v>
      </c>
      <c r="H805" t="s">
        <v>47</v>
      </c>
      <c r="I805" t="s">
        <v>54</v>
      </c>
      <c r="J805" t="s">
        <v>48</v>
      </c>
      <c r="K805" s="2">
        <v>46002</v>
      </c>
      <c r="L805" s="2">
        <v>46367</v>
      </c>
      <c r="M805" t="s">
        <v>84</v>
      </c>
      <c r="N805" t="s">
        <v>49</v>
      </c>
      <c r="O805">
        <v>3</v>
      </c>
      <c r="P805" t="s">
        <v>62</v>
      </c>
      <c r="Q805" s="2">
        <v>46141</v>
      </c>
      <c r="R805" t="s">
        <v>38</v>
      </c>
    </row>
    <row r="806" spans="1:18" x14ac:dyDescent="0.2">
      <c r="A806" t="s">
        <v>1668</v>
      </c>
      <c r="B806" t="s">
        <v>1669</v>
      </c>
      <c r="C806" t="s">
        <v>31</v>
      </c>
      <c r="D806" t="s">
        <v>87</v>
      </c>
      <c r="E806" t="s">
        <v>60</v>
      </c>
      <c r="F806" t="s">
        <v>34</v>
      </c>
      <c r="G806" t="s">
        <v>35</v>
      </c>
      <c r="H806" t="s">
        <v>47</v>
      </c>
      <c r="I806" t="s">
        <v>111</v>
      </c>
      <c r="J806" t="s">
        <v>48</v>
      </c>
      <c r="K806" s="2">
        <v>46215</v>
      </c>
      <c r="L806" s="2">
        <v>46580</v>
      </c>
      <c r="M806" t="s">
        <v>69</v>
      </c>
      <c r="N806" t="s">
        <v>75</v>
      </c>
      <c r="O806">
        <v>1</v>
      </c>
      <c r="P806" t="s">
        <v>70</v>
      </c>
      <c r="Q806" s="2">
        <v>46290</v>
      </c>
      <c r="R806" t="s">
        <v>38</v>
      </c>
    </row>
    <row r="807" spans="1:18" x14ac:dyDescent="0.2">
      <c r="A807" t="s">
        <v>1670</v>
      </c>
      <c r="B807" t="s">
        <v>1671</v>
      </c>
      <c r="C807" t="s">
        <v>31</v>
      </c>
      <c r="D807" t="s">
        <v>83</v>
      </c>
      <c r="E807" t="s">
        <v>44</v>
      </c>
      <c r="F807" t="s">
        <v>34</v>
      </c>
      <c r="G807" t="s">
        <v>35</v>
      </c>
      <c r="H807" t="s">
        <v>88</v>
      </c>
      <c r="I807" t="s">
        <v>39</v>
      </c>
      <c r="J807" t="s">
        <v>48</v>
      </c>
      <c r="K807" s="2">
        <v>45865</v>
      </c>
      <c r="L807" s="2">
        <v>45955</v>
      </c>
      <c r="M807" t="s">
        <v>38</v>
      </c>
      <c r="N807" t="s">
        <v>49</v>
      </c>
      <c r="O807">
        <v>1</v>
      </c>
      <c r="P807" t="s">
        <v>56</v>
      </c>
      <c r="Q807" s="2">
        <v>46144</v>
      </c>
      <c r="R807" t="s">
        <v>64</v>
      </c>
    </row>
    <row r="808" spans="1:18" x14ac:dyDescent="0.2">
      <c r="A808" t="s">
        <v>1672</v>
      </c>
      <c r="B808" t="s">
        <v>1673</v>
      </c>
      <c r="C808" t="s">
        <v>31</v>
      </c>
      <c r="D808" t="s">
        <v>32</v>
      </c>
      <c r="E808" t="s">
        <v>53</v>
      </c>
      <c r="F808" t="s">
        <v>45</v>
      </c>
      <c r="G808" t="s">
        <v>61</v>
      </c>
      <c r="H808" t="s">
        <v>88</v>
      </c>
      <c r="I808" t="s">
        <v>54</v>
      </c>
      <c r="J808" t="s">
        <v>37</v>
      </c>
      <c r="K808" s="2">
        <v>46126</v>
      </c>
      <c r="L808" s="2">
        <v>46216</v>
      </c>
      <c r="M808" t="s">
        <v>38</v>
      </c>
      <c r="N808" t="s">
        <v>49</v>
      </c>
      <c r="O808">
        <v>3</v>
      </c>
      <c r="P808" t="s">
        <v>54</v>
      </c>
      <c r="Q808" s="2">
        <v>46360</v>
      </c>
      <c r="R808" t="s">
        <v>84</v>
      </c>
    </row>
    <row r="809" spans="1:18" x14ac:dyDescent="0.2">
      <c r="A809" t="s">
        <v>1675</v>
      </c>
      <c r="B809" t="s">
        <v>1676</v>
      </c>
      <c r="C809" t="s">
        <v>73</v>
      </c>
      <c r="D809" t="s">
        <v>74</v>
      </c>
      <c r="E809" t="s">
        <v>44</v>
      </c>
      <c r="F809" t="s">
        <v>67</v>
      </c>
      <c r="G809" t="s">
        <v>118</v>
      </c>
      <c r="H809" t="s">
        <v>88</v>
      </c>
      <c r="I809" t="s">
        <v>56</v>
      </c>
      <c r="J809" t="s">
        <v>63</v>
      </c>
      <c r="K809" s="2">
        <v>46088</v>
      </c>
      <c r="L809" s="2">
        <v>46453</v>
      </c>
      <c r="M809" t="s">
        <v>64</v>
      </c>
      <c r="N809" t="s">
        <v>49</v>
      </c>
      <c r="O809">
        <v>1</v>
      </c>
      <c r="P809" t="s">
        <v>70</v>
      </c>
      <c r="Q809" s="2">
        <v>46384</v>
      </c>
      <c r="R809" t="s">
        <v>84</v>
      </c>
    </row>
    <row r="810" spans="1:18" x14ac:dyDescent="0.2">
      <c r="A810" t="s">
        <v>1677</v>
      </c>
      <c r="B810" t="s">
        <v>1678</v>
      </c>
      <c r="C810" t="s">
        <v>103</v>
      </c>
      <c r="D810" t="s">
        <v>104</v>
      </c>
      <c r="E810" t="s">
        <v>80</v>
      </c>
      <c r="F810" t="s">
        <v>45</v>
      </c>
      <c r="G810" t="s">
        <v>61</v>
      </c>
      <c r="H810" t="s">
        <v>36</v>
      </c>
      <c r="I810" t="s">
        <v>111</v>
      </c>
      <c r="J810" t="s">
        <v>37</v>
      </c>
      <c r="K810" s="2">
        <v>46132</v>
      </c>
      <c r="L810" s="2">
        <v>46222</v>
      </c>
      <c r="M810" t="s">
        <v>38</v>
      </c>
      <c r="N810" t="s">
        <v>55</v>
      </c>
      <c r="O810">
        <v>1</v>
      </c>
      <c r="P810" t="s">
        <v>50</v>
      </c>
      <c r="Q810" s="2">
        <v>46381</v>
      </c>
      <c r="R810" t="s">
        <v>64</v>
      </c>
    </row>
    <row r="811" spans="1:18" x14ac:dyDescent="0.2">
      <c r="A811" t="s">
        <v>1679</v>
      </c>
      <c r="B811" t="s">
        <v>1680</v>
      </c>
      <c r="C811" t="s">
        <v>42</v>
      </c>
      <c r="D811" t="s">
        <v>43</v>
      </c>
      <c r="E811" t="s">
        <v>91</v>
      </c>
      <c r="F811" t="s">
        <v>45</v>
      </c>
      <c r="G811" t="s">
        <v>46</v>
      </c>
      <c r="H811" t="s">
        <v>88</v>
      </c>
      <c r="I811" t="s">
        <v>111</v>
      </c>
      <c r="J811" t="s">
        <v>48</v>
      </c>
      <c r="K811" s="2">
        <v>46217</v>
      </c>
      <c r="L811" s="2">
        <v>46307</v>
      </c>
      <c r="M811" t="s">
        <v>64</v>
      </c>
      <c r="N811" t="s">
        <v>55</v>
      </c>
      <c r="O811">
        <v>2</v>
      </c>
      <c r="P811" t="s">
        <v>39</v>
      </c>
      <c r="Q811" s="2">
        <v>46257</v>
      </c>
      <c r="R811" t="s">
        <v>38</v>
      </c>
    </row>
    <row r="812" spans="1:18" x14ac:dyDescent="0.2">
      <c r="A812" t="s">
        <v>1681</v>
      </c>
      <c r="B812" t="s">
        <v>1682</v>
      </c>
      <c r="C812" t="s">
        <v>78</v>
      </c>
      <c r="D812" t="s">
        <v>79</v>
      </c>
      <c r="E812" t="s">
        <v>80</v>
      </c>
      <c r="F812" t="s">
        <v>67</v>
      </c>
      <c r="G812" t="s">
        <v>118</v>
      </c>
      <c r="H812" t="s">
        <v>47</v>
      </c>
      <c r="I812" t="s">
        <v>62</v>
      </c>
      <c r="J812" t="s">
        <v>48</v>
      </c>
      <c r="K812" s="2">
        <v>46079</v>
      </c>
      <c r="L812" s="2">
        <v>46259</v>
      </c>
      <c r="M812" t="s">
        <v>38</v>
      </c>
      <c r="N812" t="s">
        <v>55</v>
      </c>
      <c r="O812">
        <v>1</v>
      </c>
      <c r="P812" t="s">
        <v>56</v>
      </c>
      <c r="Q812" s="2">
        <v>46220</v>
      </c>
      <c r="R812" t="s">
        <v>38</v>
      </c>
    </row>
    <row r="813" spans="1:18" x14ac:dyDescent="0.2">
      <c r="A813" t="s">
        <v>1683</v>
      </c>
      <c r="B813" t="s">
        <v>1684</v>
      </c>
      <c r="C813" t="s">
        <v>78</v>
      </c>
      <c r="D813" t="s">
        <v>79</v>
      </c>
      <c r="E813" t="s">
        <v>105</v>
      </c>
      <c r="F813" t="s">
        <v>45</v>
      </c>
      <c r="G813" t="s">
        <v>61</v>
      </c>
      <c r="H813" t="s">
        <v>36</v>
      </c>
      <c r="I813" t="s">
        <v>106</v>
      </c>
      <c r="J813" t="s">
        <v>37</v>
      </c>
      <c r="K813" s="2">
        <v>45803</v>
      </c>
      <c r="L813" s="2">
        <v>45983</v>
      </c>
      <c r="M813" t="s">
        <v>38</v>
      </c>
      <c r="N813" t="s">
        <v>49</v>
      </c>
      <c r="O813">
        <v>1</v>
      </c>
      <c r="P813" t="s">
        <v>39</v>
      </c>
      <c r="Q813" s="2">
        <v>46129</v>
      </c>
      <c r="R813" t="s">
        <v>64</v>
      </c>
    </row>
    <row r="814" spans="1:18" x14ac:dyDescent="0.2">
      <c r="A814" t="s">
        <v>1685</v>
      </c>
      <c r="B814" t="s">
        <v>1686</v>
      </c>
      <c r="C814" t="s">
        <v>42</v>
      </c>
      <c r="D814" t="s">
        <v>43</v>
      </c>
      <c r="E814" t="s">
        <v>91</v>
      </c>
      <c r="F814" t="s">
        <v>45</v>
      </c>
      <c r="G814" t="s">
        <v>61</v>
      </c>
      <c r="H814" t="s">
        <v>98</v>
      </c>
      <c r="I814" t="s">
        <v>56</v>
      </c>
      <c r="J814" t="s">
        <v>37</v>
      </c>
      <c r="K814" s="2">
        <v>45836</v>
      </c>
      <c r="L814" s="2">
        <v>46201</v>
      </c>
      <c r="M814" t="s">
        <v>38</v>
      </c>
      <c r="N814" t="s">
        <v>75</v>
      </c>
      <c r="O814">
        <v>3</v>
      </c>
      <c r="P814" t="s">
        <v>111</v>
      </c>
      <c r="Q814" s="2">
        <v>46408</v>
      </c>
      <c r="R814" t="s">
        <v>84</v>
      </c>
    </row>
    <row r="815" spans="1:18" x14ac:dyDescent="0.2">
      <c r="A815" t="s">
        <v>1687</v>
      </c>
      <c r="B815" t="s">
        <v>1688</v>
      </c>
      <c r="C815" t="s">
        <v>42</v>
      </c>
      <c r="D815" t="s">
        <v>43</v>
      </c>
      <c r="E815" t="s">
        <v>44</v>
      </c>
      <c r="F815" t="s">
        <v>34</v>
      </c>
      <c r="G815" t="s">
        <v>35</v>
      </c>
      <c r="H815" t="s">
        <v>36</v>
      </c>
      <c r="I815" t="s">
        <v>56</v>
      </c>
      <c r="J815" t="s">
        <v>63</v>
      </c>
      <c r="K815" s="2">
        <v>45866</v>
      </c>
      <c r="L815" s="2">
        <v>46231</v>
      </c>
      <c r="M815" t="s">
        <v>38</v>
      </c>
      <c r="N815" t="s">
        <v>75</v>
      </c>
      <c r="O815">
        <v>0</v>
      </c>
      <c r="P815" t="s">
        <v>62</v>
      </c>
      <c r="Q815" s="2">
        <v>46242</v>
      </c>
      <c r="R815" t="s">
        <v>57</v>
      </c>
    </row>
    <row r="816" spans="1:18" x14ac:dyDescent="0.2">
      <c r="A816" t="s">
        <v>1689</v>
      </c>
      <c r="B816" t="s">
        <v>1690</v>
      </c>
      <c r="C816" t="s">
        <v>42</v>
      </c>
      <c r="D816" t="s">
        <v>43</v>
      </c>
      <c r="E816" t="s">
        <v>53</v>
      </c>
      <c r="F816" t="s">
        <v>45</v>
      </c>
      <c r="G816" t="s">
        <v>61</v>
      </c>
      <c r="H816" t="s">
        <v>47</v>
      </c>
      <c r="I816" t="s">
        <v>56</v>
      </c>
      <c r="J816" t="s">
        <v>63</v>
      </c>
      <c r="K816" s="2">
        <v>45875</v>
      </c>
      <c r="L816" s="2">
        <v>46240</v>
      </c>
      <c r="M816" t="s">
        <v>38</v>
      </c>
      <c r="N816" t="s">
        <v>49</v>
      </c>
      <c r="O816">
        <v>0</v>
      </c>
      <c r="P816" t="s">
        <v>106</v>
      </c>
      <c r="Q816" s="2">
        <v>46178</v>
      </c>
      <c r="R816" t="s">
        <v>57</v>
      </c>
    </row>
    <row r="817" spans="1:18" x14ac:dyDescent="0.2">
      <c r="A817" t="s">
        <v>1691</v>
      </c>
      <c r="B817" t="s">
        <v>1692</v>
      </c>
      <c r="C817" t="s">
        <v>31</v>
      </c>
      <c r="D817" t="s">
        <v>87</v>
      </c>
      <c r="E817" t="s">
        <v>80</v>
      </c>
      <c r="F817" t="s">
        <v>67</v>
      </c>
      <c r="G817" t="s">
        <v>68</v>
      </c>
      <c r="H817" t="s">
        <v>88</v>
      </c>
      <c r="I817" t="s">
        <v>111</v>
      </c>
      <c r="J817" t="s">
        <v>48</v>
      </c>
      <c r="K817" s="2">
        <v>46271</v>
      </c>
      <c r="L817" s="2">
        <v>46451</v>
      </c>
      <c r="M817" t="s">
        <v>64</v>
      </c>
      <c r="N817" t="s">
        <v>75</v>
      </c>
      <c r="O817">
        <v>3</v>
      </c>
      <c r="P817" t="s">
        <v>56</v>
      </c>
      <c r="Q817" s="2">
        <v>46399</v>
      </c>
      <c r="R817" t="s">
        <v>64</v>
      </c>
    </row>
    <row r="818" spans="1:18" x14ac:dyDescent="0.2">
      <c r="A818" t="s">
        <v>1693</v>
      </c>
      <c r="B818" t="s">
        <v>1694</v>
      </c>
      <c r="C818" t="s">
        <v>31</v>
      </c>
      <c r="D818" t="s">
        <v>83</v>
      </c>
      <c r="E818" t="s">
        <v>105</v>
      </c>
      <c r="F818" t="s">
        <v>34</v>
      </c>
      <c r="G818" t="s">
        <v>35</v>
      </c>
      <c r="H818" t="s">
        <v>88</v>
      </c>
      <c r="I818" t="s">
        <v>56</v>
      </c>
      <c r="J818" t="s">
        <v>63</v>
      </c>
      <c r="K818" s="2">
        <v>45883</v>
      </c>
      <c r="L818" s="2">
        <v>46063</v>
      </c>
      <c r="M818" t="s">
        <v>38</v>
      </c>
      <c r="N818" t="s">
        <v>75</v>
      </c>
      <c r="O818">
        <v>3</v>
      </c>
      <c r="P818" t="s">
        <v>39</v>
      </c>
      <c r="Q818" s="2">
        <v>46180</v>
      </c>
      <c r="R818" t="s">
        <v>64</v>
      </c>
    </row>
    <row r="819" spans="1:18" x14ac:dyDescent="0.2">
      <c r="A819" t="s">
        <v>1695</v>
      </c>
      <c r="B819" t="s">
        <v>1696</v>
      </c>
      <c r="C819" t="s">
        <v>42</v>
      </c>
      <c r="D819" t="s">
        <v>43</v>
      </c>
      <c r="E819" t="s">
        <v>91</v>
      </c>
      <c r="F819" t="s">
        <v>45</v>
      </c>
      <c r="G819" t="s">
        <v>46</v>
      </c>
      <c r="H819" t="s">
        <v>47</v>
      </c>
      <c r="I819" t="s">
        <v>111</v>
      </c>
      <c r="J819" t="s">
        <v>48</v>
      </c>
      <c r="K819" s="2">
        <v>45979</v>
      </c>
      <c r="L819" s="2">
        <v>46159</v>
      </c>
      <c r="M819" t="s">
        <v>38</v>
      </c>
      <c r="N819" t="s">
        <v>55</v>
      </c>
      <c r="O819">
        <v>1</v>
      </c>
      <c r="P819" t="s">
        <v>106</v>
      </c>
      <c r="Q819" s="2">
        <v>46146</v>
      </c>
      <c r="R819" t="s">
        <v>38</v>
      </c>
    </row>
    <row r="820" spans="1:18" x14ac:dyDescent="0.2">
      <c r="A820" t="s">
        <v>1697</v>
      </c>
      <c r="B820" t="s">
        <v>1698</v>
      </c>
      <c r="C820" t="s">
        <v>103</v>
      </c>
      <c r="D820" t="s">
        <v>104</v>
      </c>
      <c r="E820" t="s">
        <v>60</v>
      </c>
      <c r="F820" t="s">
        <v>34</v>
      </c>
      <c r="G820" t="s">
        <v>35</v>
      </c>
      <c r="H820" t="s">
        <v>47</v>
      </c>
      <c r="I820" t="s">
        <v>70</v>
      </c>
      <c r="J820" t="s">
        <v>63</v>
      </c>
      <c r="K820" s="2">
        <v>46236</v>
      </c>
      <c r="L820" s="2">
        <v>46601</v>
      </c>
      <c r="M820" t="s">
        <v>64</v>
      </c>
      <c r="N820" t="s">
        <v>49</v>
      </c>
      <c r="O820">
        <v>0</v>
      </c>
      <c r="P820" t="s">
        <v>106</v>
      </c>
      <c r="Q820" s="2">
        <v>46236</v>
      </c>
      <c r="R820" t="s">
        <v>57</v>
      </c>
    </row>
    <row r="821" spans="1:18" x14ac:dyDescent="0.2">
      <c r="A821" t="s">
        <v>1699</v>
      </c>
      <c r="B821" t="s">
        <v>1700</v>
      </c>
      <c r="C821" t="s">
        <v>73</v>
      </c>
      <c r="D821" t="s">
        <v>74</v>
      </c>
      <c r="E821" t="s">
        <v>105</v>
      </c>
      <c r="F821" t="s">
        <v>34</v>
      </c>
      <c r="G821" t="s">
        <v>35</v>
      </c>
      <c r="H821" t="s">
        <v>88</v>
      </c>
      <c r="I821" t="s">
        <v>56</v>
      </c>
      <c r="J821" t="s">
        <v>37</v>
      </c>
      <c r="K821" s="2">
        <v>46202</v>
      </c>
      <c r="L821" s="2">
        <v>46292</v>
      </c>
      <c r="M821" t="s">
        <v>38</v>
      </c>
      <c r="N821" t="s">
        <v>75</v>
      </c>
      <c r="O821">
        <v>2</v>
      </c>
      <c r="P821" t="s">
        <v>39</v>
      </c>
      <c r="Q821" s="2">
        <v>46286</v>
      </c>
      <c r="R821" t="s">
        <v>38</v>
      </c>
    </row>
    <row r="822" spans="1:18" x14ac:dyDescent="0.2">
      <c r="A822" t="s">
        <v>1701</v>
      </c>
      <c r="B822" t="s">
        <v>1702</v>
      </c>
      <c r="C822" t="s">
        <v>73</v>
      </c>
      <c r="D822" t="s">
        <v>74</v>
      </c>
      <c r="E822" t="s">
        <v>105</v>
      </c>
      <c r="F822" t="s">
        <v>45</v>
      </c>
      <c r="G822" t="s">
        <v>61</v>
      </c>
      <c r="H822" t="s">
        <v>47</v>
      </c>
      <c r="I822" t="s">
        <v>50</v>
      </c>
      <c r="J822" t="s">
        <v>63</v>
      </c>
      <c r="K822" s="2">
        <v>45809</v>
      </c>
      <c r="L822" s="2">
        <v>46174</v>
      </c>
      <c r="M822" t="s">
        <v>38</v>
      </c>
      <c r="N822" t="s">
        <v>55</v>
      </c>
      <c r="O822">
        <v>0</v>
      </c>
      <c r="P822" t="s">
        <v>106</v>
      </c>
      <c r="Q822" s="2">
        <v>46223</v>
      </c>
      <c r="R822" t="s">
        <v>57</v>
      </c>
    </row>
    <row r="823" spans="1:18" x14ac:dyDescent="0.2">
      <c r="A823" t="s">
        <v>1703</v>
      </c>
      <c r="B823" t="s">
        <v>1704</v>
      </c>
      <c r="C823" t="s">
        <v>78</v>
      </c>
      <c r="D823" t="s">
        <v>79</v>
      </c>
      <c r="E823" t="s">
        <v>60</v>
      </c>
      <c r="F823" t="s">
        <v>45</v>
      </c>
      <c r="G823" t="s">
        <v>61</v>
      </c>
      <c r="H823" t="s">
        <v>47</v>
      </c>
      <c r="I823" t="s">
        <v>50</v>
      </c>
      <c r="J823" t="s">
        <v>63</v>
      </c>
      <c r="K823" s="2">
        <v>46080</v>
      </c>
      <c r="L823" s="2">
        <v>46445</v>
      </c>
      <c r="M823" t="s">
        <v>64</v>
      </c>
      <c r="N823" t="s">
        <v>55</v>
      </c>
      <c r="O823">
        <v>1</v>
      </c>
      <c r="P823" t="s">
        <v>70</v>
      </c>
      <c r="Q823" s="2">
        <v>46404</v>
      </c>
      <c r="R823" t="s">
        <v>84</v>
      </c>
    </row>
    <row r="824" spans="1:18" x14ac:dyDescent="0.2">
      <c r="A824" t="s">
        <v>1705</v>
      </c>
      <c r="B824" t="s">
        <v>1706</v>
      </c>
      <c r="C824" t="s">
        <v>73</v>
      </c>
      <c r="D824" t="s">
        <v>74</v>
      </c>
      <c r="E824" t="s">
        <v>60</v>
      </c>
      <c r="F824" t="s">
        <v>34</v>
      </c>
      <c r="G824" t="s">
        <v>35</v>
      </c>
      <c r="H824" t="s">
        <v>88</v>
      </c>
      <c r="I824" t="s">
        <v>111</v>
      </c>
      <c r="J824" t="s">
        <v>37</v>
      </c>
      <c r="K824" s="2">
        <v>46113</v>
      </c>
      <c r="L824" s="2">
        <v>46293</v>
      </c>
      <c r="M824" t="s">
        <v>38</v>
      </c>
      <c r="N824" t="s">
        <v>55</v>
      </c>
      <c r="O824">
        <v>2</v>
      </c>
      <c r="P824" t="s">
        <v>106</v>
      </c>
      <c r="Q824" s="2">
        <v>46239</v>
      </c>
      <c r="R824" t="s">
        <v>64</v>
      </c>
    </row>
    <row r="825" spans="1:18" x14ac:dyDescent="0.2">
      <c r="A825" t="s">
        <v>1707</v>
      </c>
      <c r="B825" t="s">
        <v>1708</v>
      </c>
      <c r="C825" t="s">
        <v>96</v>
      </c>
      <c r="D825" t="s">
        <v>97</v>
      </c>
      <c r="E825" t="s">
        <v>91</v>
      </c>
      <c r="F825" t="s">
        <v>34</v>
      </c>
      <c r="G825" t="s">
        <v>35</v>
      </c>
      <c r="H825" t="s">
        <v>47</v>
      </c>
      <c r="I825" t="s">
        <v>62</v>
      </c>
      <c r="J825" t="s">
        <v>48</v>
      </c>
      <c r="K825" s="2">
        <v>46090</v>
      </c>
      <c r="L825" s="2">
        <v>46180</v>
      </c>
      <c r="M825" t="s">
        <v>38</v>
      </c>
      <c r="N825" t="s">
        <v>75</v>
      </c>
      <c r="O825">
        <v>0</v>
      </c>
      <c r="P825" t="s">
        <v>111</v>
      </c>
      <c r="Q825" s="2">
        <v>46300</v>
      </c>
      <c r="R825" t="s">
        <v>57</v>
      </c>
    </row>
    <row r="826" spans="1:18" x14ac:dyDescent="0.2">
      <c r="A826" t="s">
        <v>1709</v>
      </c>
      <c r="B826" t="s">
        <v>1710</v>
      </c>
      <c r="C826" t="s">
        <v>42</v>
      </c>
      <c r="D826" t="s">
        <v>43</v>
      </c>
      <c r="E826" t="s">
        <v>60</v>
      </c>
      <c r="F826" t="s">
        <v>67</v>
      </c>
      <c r="G826" t="s">
        <v>68</v>
      </c>
      <c r="H826" t="s">
        <v>36</v>
      </c>
      <c r="I826" t="s">
        <v>50</v>
      </c>
      <c r="J826" t="s">
        <v>37</v>
      </c>
      <c r="K826" s="2">
        <v>45802</v>
      </c>
      <c r="L826" s="2">
        <v>46167</v>
      </c>
      <c r="M826" t="s">
        <v>38</v>
      </c>
      <c r="N826" t="s">
        <v>55</v>
      </c>
      <c r="O826">
        <v>3</v>
      </c>
      <c r="P826" t="s">
        <v>106</v>
      </c>
      <c r="Q826" s="2">
        <v>46414</v>
      </c>
      <c r="R826" t="s">
        <v>84</v>
      </c>
    </row>
    <row r="827" spans="1:18" x14ac:dyDescent="0.2">
      <c r="A827" t="s">
        <v>1711</v>
      </c>
      <c r="B827" t="s">
        <v>1712</v>
      </c>
      <c r="C827" t="s">
        <v>31</v>
      </c>
      <c r="D827" t="s">
        <v>87</v>
      </c>
      <c r="E827" t="s">
        <v>105</v>
      </c>
      <c r="F827" t="s">
        <v>67</v>
      </c>
      <c r="G827" t="s">
        <v>68</v>
      </c>
      <c r="H827" t="s">
        <v>88</v>
      </c>
      <c r="I827" t="s">
        <v>50</v>
      </c>
      <c r="J827" t="s">
        <v>48</v>
      </c>
      <c r="K827" s="2">
        <v>45981</v>
      </c>
      <c r="L827" s="2">
        <v>46161</v>
      </c>
      <c r="M827" t="s">
        <v>38</v>
      </c>
      <c r="N827" t="s">
        <v>49</v>
      </c>
      <c r="O827">
        <v>1</v>
      </c>
      <c r="P827" t="s">
        <v>62</v>
      </c>
      <c r="Q827" s="2">
        <v>46207</v>
      </c>
      <c r="R827" t="s">
        <v>38</v>
      </c>
    </row>
    <row r="828" spans="1:18" x14ac:dyDescent="0.2">
      <c r="A828" t="s">
        <v>1713</v>
      </c>
      <c r="B828" t="s">
        <v>1714</v>
      </c>
      <c r="C828" t="s">
        <v>78</v>
      </c>
      <c r="D828" t="s">
        <v>79</v>
      </c>
      <c r="E828" t="s">
        <v>91</v>
      </c>
      <c r="F828" t="s">
        <v>67</v>
      </c>
      <c r="G828" t="s">
        <v>118</v>
      </c>
      <c r="H828" t="s">
        <v>47</v>
      </c>
      <c r="I828" t="s">
        <v>39</v>
      </c>
      <c r="J828" t="s">
        <v>37</v>
      </c>
      <c r="K828" s="2">
        <v>45849</v>
      </c>
      <c r="L828" s="2">
        <v>46029</v>
      </c>
      <c r="M828" t="s">
        <v>38</v>
      </c>
      <c r="N828" t="s">
        <v>55</v>
      </c>
      <c r="O828">
        <v>1</v>
      </c>
      <c r="P828" t="s">
        <v>50</v>
      </c>
      <c r="Q828" s="2">
        <v>46152</v>
      </c>
      <c r="R828" t="s">
        <v>64</v>
      </c>
    </row>
    <row r="829" spans="1:18" x14ac:dyDescent="0.2">
      <c r="A829" t="s">
        <v>1715</v>
      </c>
      <c r="B829" t="s">
        <v>1716</v>
      </c>
      <c r="C829" t="s">
        <v>31</v>
      </c>
      <c r="D829" t="s">
        <v>32</v>
      </c>
      <c r="E829" t="s">
        <v>91</v>
      </c>
      <c r="F829" t="s">
        <v>67</v>
      </c>
      <c r="G829" t="s">
        <v>68</v>
      </c>
      <c r="H829" t="s">
        <v>47</v>
      </c>
      <c r="I829" t="s">
        <v>106</v>
      </c>
      <c r="J829" t="s">
        <v>37</v>
      </c>
      <c r="K829" s="2">
        <v>45816</v>
      </c>
      <c r="L829" s="2">
        <v>45996</v>
      </c>
      <c r="M829" t="s">
        <v>38</v>
      </c>
      <c r="N829" t="s">
        <v>49</v>
      </c>
      <c r="O829">
        <v>0</v>
      </c>
      <c r="P829" t="s">
        <v>111</v>
      </c>
      <c r="Q829" s="2">
        <v>46138</v>
      </c>
      <c r="R829" t="s">
        <v>57</v>
      </c>
    </row>
    <row r="830" spans="1:18" x14ac:dyDescent="0.2">
      <c r="A830" t="s">
        <v>1717</v>
      </c>
      <c r="B830" t="s">
        <v>1718</v>
      </c>
      <c r="C830" t="s">
        <v>31</v>
      </c>
      <c r="D830" t="s">
        <v>32</v>
      </c>
      <c r="E830" t="s">
        <v>91</v>
      </c>
      <c r="F830" t="s">
        <v>67</v>
      </c>
      <c r="G830" t="s">
        <v>118</v>
      </c>
      <c r="H830" t="s">
        <v>36</v>
      </c>
      <c r="I830" t="s">
        <v>56</v>
      </c>
      <c r="J830" t="s">
        <v>48</v>
      </c>
      <c r="K830" s="2">
        <v>45888</v>
      </c>
      <c r="L830" s="2">
        <v>46068</v>
      </c>
      <c r="M830" t="s">
        <v>38</v>
      </c>
      <c r="N830" t="s">
        <v>49</v>
      </c>
      <c r="O830">
        <v>1</v>
      </c>
      <c r="P830" t="s">
        <v>106</v>
      </c>
      <c r="Q830" s="2">
        <v>46208</v>
      </c>
      <c r="R830" t="s">
        <v>38</v>
      </c>
    </row>
    <row r="831" spans="1:18" x14ac:dyDescent="0.2">
      <c r="A831" t="s">
        <v>1719</v>
      </c>
      <c r="B831" t="s">
        <v>1720</v>
      </c>
      <c r="C831" t="s">
        <v>78</v>
      </c>
      <c r="D831" t="s">
        <v>79</v>
      </c>
      <c r="E831" t="s">
        <v>80</v>
      </c>
      <c r="F831" t="s">
        <v>34</v>
      </c>
      <c r="G831" t="s">
        <v>35</v>
      </c>
      <c r="H831" t="s">
        <v>88</v>
      </c>
      <c r="I831" t="s">
        <v>50</v>
      </c>
      <c r="J831" t="s">
        <v>37</v>
      </c>
      <c r="K831" s="2">
        <v>46015</v>
      </c>
      <c r="L831" s="2">
        <v>46380</v>
      </c>
      <c r="M831" t="s">
        <v>84</v>
      </c>
      <c r="N831" t="s">
        <v>55</v>
      </c>
      <c r="O831">
        <v>2</v>
      </c>
      <c r="P831" t="s">
        <v>62</v>
      </c>
      <c r="Q831" s="2">
        <v>46367</v>
      </c>
      <c r="R831" t="s">
        <v>64</v>
      </c>
    </row>
    <row r="832" spans="1:18" x14ac:dyDescent="0.2">
      <c r="A832" t="s">
        <v>1721</v>
      </c>
      <c r="B832" t="s">
        <v>1722</v>
      </c>
      <c r="C832" t="s">
        <v>31</v>
      </c>
      <c r="D832" t="s">
        <v>83</v>
      </c>
      <c r="E832" t="s">
        <v>44</v>
      </c>
      <c r="F832" t="s">
        <v>67</v>
      </c>
      <c r="G832" t="s">
        <v>68</v>
      </c>
      <c r="H832" t="s">
        <v>47</v>
      </c>
      <c r="I832" t="s">
        <v>54</v>
      </c>
      <c r="J832" t="s">
        <v>37</v>
      </c>
      <c r="K832" s="2">
        <v>46055</v>
      </c>
      <c r="L832" s="2">
        <v>46420</v>
      </c>
      <c r="M832" t="s">
        <v>64</v>
      </c>
      <c r="N832" t="s">
        <v>49</v>
      </c>
      <c r="O832">
        <v>2</v>
      </c>
      <c r="P832" t="s">
        <v>56</v>
      </c>
      <c r="Q832" s="2">
        <v>46165</v>
      </c>
      <c r="R832" t="s">
        <v>64</v>
      </c>
    </row>
    <row r="833" spans="1:18" x14ac:dyDescent="0.2">
      <c r="A833" t="s">
        <v>1723</v>
      </c>
      <c r="B833" t="s">
        <v>1724</v>
      </c>
      <c r="C833" t="s">
        <v>42</v>
      </c>
      <c r="D833" t="s">
        <v>43</v>
      </c>
      <c r="E833" t="s">
        <v>44</v>
      </c>
      <c r="F833" t="s">
        <v>67</v>
      </c>
      <c r="G833" t="s">
        <v>118</v>
      </c>
      <c r="H833" t="s">
        <v>36</v>
      </c>
      <c r="I833" t="s">
        <v>56</v>
      </c>
      <c r="J833" t="s">
        <v>48</v>
      </c>
      <c r="K833" s="2">
        <v>45795</v>
      </c>
      <c r="L833" s="2">
        <v>45975</v>
      </c>
      <c r="M833" t="s">
        <v>38</v>
      </c>
      <c r="N833" t="s">
        <v>49</v>
      </c>
      <c r="O833">
        <v>0</v>
      </c>
      <c r="P833" t="s">
        <v>54</v>
      </c>
      <c r="Q833" s="2">
        <v>46233</v>
      </c>
      <c r="R833" t="s">
        <v>57</v>
      </c>
    </row>
    <row r="834" spans="1:18" x14ac:dyDescent="0.2">
      <c r="A834" t="s">
        <v>1725</v>
      </c>
      <c r="B834" t="s">
        <v>1726</v>
      </c>
      <c r="C834" t="s">
        <v>31</v>
      </c>
      <c r="D834" t="s">
        <v>87</v>
      </c>
      <c r="E834" t="s">
        <v>105</v>
      </c>
      <c r="F834" t="s">
        <v>34</v>
      </c>
      <c r="G834" t="s">
        <v>35</v>
      </c>
      <c r="H834" t="s">
        <v>88</v>
      </c>
      <c r="I834" t="s">
        <v>39</v>
      </c>
      <c r="J834" t="s">
        <v>48</v>
      </c>
      <c r="K834" s="2">
        <v>45819</v>
      </c>
      <c r="L834" s="2">
        <v>46184</v>
      </c>
      <c r="M834" t="s">
        <v>38</v>
      </c>
      <c r="N834" t="s">
        <v>49</v>
      </c>
      <c r="O834">
        <v>1</v>
      </c>
      <c r="P834" t="s">
        <v>56</v>
      </c>
      <c r="Q834" s="2">
        <v>46118</v>
      </c>
      <c r="R834" t="s">
        <v>38</v>
      </c>
    </row>
    <row r="835" spans="1:18" x14ac:dyDescent="0.2">
      <c r="A835" t="s">
        <v>1727</v>
      </c>
      <c r="B835" t="s">
        <v>1728</v>
      </c>
      <c r="C835" t="s">
        <v>31</v>
      </c>
      <c r="D835" t="s">
        <v>32</v>
      </c>
      <c r="E835" t="s">
        <v>91</v>
      </c>
      <c r="F835" t="s">
        <v>34</v>
      </c>
      <c r="G835" t="s">
        <v>35</v>
      </c>
      <c r="H835" t="s">
        <v>88</v>
      </c>
      <c r="I835" t="s">
        <v>50</v>
      </c>
      <c r="J835" t="s">
        <v>37</v>
      </c>
      <c r="K835" s="2">
        <v>45850</v>
      </c>
      <c r="L835" s="2">
        <v>46030</v>
      </c>
      <c r="M835" t="s">
        <v>38</v>
      </c>
      <c r="O835">
        <v>2</v>
      </c>
      <c r="P835" t="s">
        <v>111</v>
      </c>
      <c r="Q835" s="2">
        <v>46171</v>
      </c>
      <c r="R835" t="s">
        <v>38</v>
      </c>
    </row>
    <row r="836" spans="1:18" x14ac:dyDescent="0.2">
      <c r="A836" t="s">
        <v>1729</v>
      </c>
      <c r="B836" t="s">
        <v>1730</v>
      </c>
      <c r="C836" t="s">
        <v>73</v>
      </c>
      <c r="D836" t="s">
        <v>74</v>
      </c>
      <c r="E836" t="s">
        <v>44</v>
      </c>
      <c r="F836" t="s">
        <v>67</v>
      </c>
      <c r="G836" t="s">
        <v>68</v>
      </c>
      <c r="H836" t="s">
        <v>98</v>
      </c>
      <c r="I836" t="s">
        <v>70</v>
      </c>
      <c r="J836" t="s">
        <v>37</v>
      </c>
      <c r="K836" s="2">
        <v>46094</v>
      </c>
      <c r="L836" s="2">
        <v>46184</v>
      </c>
      <c r="M836" t="s">
        <v>38</v>
      </c>
      <c r="N836" t="s">
        <v>49</v>
      </c>
      <c r="O836">
        <v>1</v>
      </c>
      <c r="P836" t="s">
        <v>70</v>
      </c>
      <c r="Q836" s="2">
        <v>46153</v>
      </c>
      <c r="R836" t="s">
        <v>64</v>
      </c>
    </row>
    <row r="837" spans="1:18" x14ac:dyDescent="0.2">
      <c r="A837" t="s">
        <v>1731</v>
      </c>
      <c r="B837" t="s">
        <v>1732</v>
      </c>
      <c r="C837" t="s">
        <v>31</v>
      </c>
      <c r="D837" t="s">
        <v>83</v>
      </c>
      <c r="E837" t="s">
        <v>105</v>
      </c>
      <c r="F837" t="s">
        <v>34</v>
      </c>
      <c r="G837" t="s">
        <v>35</v>
      </c>
      <c r="H837" t="s">
        <v>88</v>
      </c>
      <c r="I837" t="s">
        <v>106</v>
      </c>
      <c r="J837" t="s">
        <v>37</v>
      </c>
      <c r="K837" s="2">
        <v>46178</v>
      </c>
      <c r="L837" s="2">
        <v>46543</v>
      </c>
      <c r="M837" t="s">
        <v>84</v>
      </c>
      <c r="N837" t="s">
        <v>49</v>
      </c>
      <c r="O837">
        <v>0</v>
      </c>
      <c r="P837" t="s">
        <v>54</v>
      </c>
      <c r="Q837" s="2">
        <v>46240</v>
      </c>
      <c r="R837" t="s">
        <v>57</v>
      </c>
    </row>
    <row r="838" spans="1:18" x14ac:dyDescent="0.2">
      <c r="A838" t="s">
        <v>1733</v>
      </c>
      <c r="B838" t="s">
        <v>1734</v>
      </c>
      <c r="C838" t="s">
        <v>31</v>
      </c>
      <c r="D838" t="s">
        <v>32</v>
      </c>
      <c r="E838" t="s">
        <v>53</v>
      </c>
      <c r="F838" t="s">
        <v>34</v>
      </c>
      <c r="G838" t="s">
        <v>35</v>
      </c>
      <c r="H838" t="s">
        <v>88</v>
      </c>
      <c r="I838" t="s">
        <v>111</v>
      </c>
      <c r="J838" t="s">
        <v>63</v>
      </c>
      <c r="K838" s="2">
        <v>45859</v>
      </c>
      <c r="L838" s="2">
        <v>45949</v>
      </c>
      <c r="M838" t="s">
        <v>38</v>
      </c>
      <c r="N838" t="s">
        <v>49</v>
      </c>
      <c r="O838">
        <v>3</v>
      </c>
      <c r="P838" t="s">
        <v>54</v>
      </c>
      <c r="Q838" s="2">
        <v>46259</v>
      </c>
      <c r="R838" t="s">
        <v>64</v>
      </c>
    </row>
    <row r="839" spans="1:18" x14ac:dyDescent="0.2">
      <c r="A839" t="s">
        <v>1735</v>
      </c>
      <c r="B839" t="s">
        <v>1736</v>
      </c>
      <c r="C839" t="s">
        <v>103</v>
      </c>
      <c r="D839" t="s">
        <v>104</v>
      </c>
      <c r="E839" t="s">
        <v>105</v>
      </c>
      <c r="F839" t="s">
        <v>45</v>
      </c>
      <c r="G839" t="s">
        <v>61</v>
      </c>
      <c r="H839" t="s">
        <v>88</v>
      </c>
      <c r="I839" t="s">
        <v>54</v>
      </c>
      <c r="J839" t="s">
        <v>37</v>
      </c>
      <c r="K839" s="2">
        <v>45912</v>
      </c>
      <c r="L839" s="2">
        <v>46002</v>
      </c>
      <c r="M839" t="s">
        <v>38</v>
      </c>
      <c r="N839" t="s">
        <v>55</v>
      </c>
      <c r="O839">
        <v>3</v>
      </c>
      <c r="P839" t="s">
        <v>111</v>
      </c>
      <c r="Q839" s="2">
        <v>46249</v>
      </c>
      <c r="R839" t="s">
        <v>38</v>
      </c>
    </row>
    <row r="840" spans="1:18" x14ac:dyDescent="0.2">
      <c r="A840" t="s">
        <v>1737</v>
      </c>
      <c r="B840" t="s">
        <v>1738</v>
      </c>
      <c r="C840" t="s">
        <v>96</v>
      </c>
      <c r="D840" t="s">
        <v>97</v>
      </c>
      <c r="E840" t="s">
        <v>53</v>
      </c>
      <c r="F840" t="s">
        <v>34</v>
      </c>
      <c r="G840" t="s">
        <v>35</v>
      </c>
      <c r="H840" t="s">
        <v>36</v>
      </c>
      <c r="I840" t="s">
        <v>56</v>
      </c>
      <c r="J840" t="s">
        <v>48</v>
      </c>
      <c r="K840" s="2">
        <v>45933</v>
      </c>
      <c r="L840" s="2">
        <v>46113</v>
      </c>
      <c r="M840" t="s">
        <v>38</v>
      </c>
      <c r="N840" t="s">
        <v>75</v>
      </c>
      <c r="O840">
        <v>5</v>
      </c>
      <c r="P840" t="s">
        <v>54</v>
      </c>
      <c r="Q840" s="2">
        <v>46315</v>
      </c>
      <c r="R840" t="s">
        <v>84</v>
      </c>
    </row>
    <row r="841" spans="1:18" x14ac:dyDescent="0.2">
      <c r="A841" t="s">
        <v>1739</v>
      </c>
      <c r="B841" t="s">
        <v>1740</v>
      </c>
      <c r="C841" t="s">
        <v>73</v>
      </c>
      <c r="D841" t="s">
        <v>74</v>
      </c>
      <c r="E841" t="s">
        <v>80</v>
      </c>
      <c r="F841" t="s">
        <v>45</v>
      </c>
      <c r="G841" t="s">
        <v>61</v>
      </c>
      <c r="H841" t="s">
        <v>98</v>
      </c>
      <c r="I841" t="s">
        <v>106</v>
      </c>
      <c r="J841" t="s">
        <v>37</v>
      </c>
      <c r="K841" s="2">
        <v>46149</v>
      </c>
      <c r="L841" s="2">
        <v>46514</v>
      </c>
      <c r="M841" t="s">
        <v>64</v>
      </c>
      <c r="N841" t="s">
        <v>55</v>
      </c>
      <c r="O841">
        <v>3</v>
      </c>
      <c r="P841" t="s">
        <v>50</v>
      </c>
      <c r="Q841" s="2">
        <v>46278</v>
      </c>
      <c r="R841" t="s">
        <v>38</v>
      </c>
    </row>
    <row r="842" spans="1:18" x14ac:dyDescent="0.2">
      <c r="A842" t="s">
        <v>1741</v>
      </c>
      <c r="B842" t="s">
        <v>1742</v>
      </c>
      <c r="C842" t="s">
        <v>73</v>
      </c>
      <c r="D842" t="s">
        <v>74</v>
      </c>
      <c r="E842" t="s">
        <v>60</v>
      </c>
      <c r="F842" t="s">
        <v>67</v>
      </c>
      <c r="G842" t="s">
        <v>118</v>
      </c>
      <c r="H842" t="s">
        <v>88</v>
      </c>
      <c r="I842" t="s">
        <v>54</v>
      </c>
      <c r="J842" t="s">
        <v>63</v>
      </c>
      <c r="K842" s="2">
        <v>46261</v>
      </c>
      <c r="L842" s="2">
        <v>46441</v>
      </c>
      <c r="M842" t="s">
        <v>64</v>
      </c>
      <c r="N842" t="s">
        <v>55</v>
      </c>
      <c r="O842">
        <v>3</v>
      </c>
      <c r="P842" t="s">
        <v>106</v>
      </c>
      <c r="Q842" s="2">
        <v>46146</v>
      </c>
      <c r="R842" t="s">
        <v>38</v>
      </c>
    </row>
    <row r="843" spans="1:18" x14ac:dyDescent="0.2">
      <c r="A843" t="s">
        <v>1743</v>
      </c>
      <c r="B843" t="s">
        <v>1744</v>
      </c>
      <c r="C843" t="s">
        <v>31</v>
      </c>
      <c r="D843" t="s">
        <v>87</v>
      </c>
      <c r="E843" t="s">
        <v>80</v>
      </c>
      <c r="F843" t="s">
        <v>67</v>
      </c>
      <c r="G843" t="s">
        <v>118</v>
      </c>
      <c r="H843" t="s">
        <v>88</v>
      </c>
      <c r="I843" t="s">
        <v>56</v>
      </c>
      <c r="J843" t="s">
        <v>37</v>
      </c>
      <c r="K843" s="2">
        <v>45808</v>
      </c>
      <c r="L843" s="2">
        <v>45898</v>
      </c>
      <c r="M843" t="s">
        <v>38</v>
      </c>
      <c r="N843" t="s">
        <v>75</v>
      </c>
      <c r="O843">
        <v>3</v>
      </c>
      <c r="P843" t="s">
        <v>62</v>
      </c>
      <c r="Q843" s="2">
        <v>46227</v>
      </c>
      <c r="R843" t="s">
        <v>64</v>
      </c>
    </row>
    <row r="844" spans="1:18" x14ac:dyDescent="0.2">
      <c r="A844" t="s">
        <v>1745</v>
      </c>
      <c r="B844" t="s">
        <v>1746</v>
      </c>
      <c r="C844" t="s">
        <v>78</v>
      </c>
      <c r="D844" t="s">
        <v>79</v>
      </c>
      <c r="E844" t="s">
        <v>60</v>
      </c>
      <c r="F844" t="s">
        <v>45</v>
      </c>
      <c r="G844" t="s">
        <v>46</v>
      </c>
      <c r="H844" t="s">
        <v>47</v>
      </c>
      <c r="I844" t="s">
        <v>70</v>
      </c>
      <c r="J844" t="s">
        <v>63</v>
      </c>
      <c r="K844" s="2">
        <v>45961</v>
      </c>
      <c r="L844" s="2">
        <v>46326</v>
      </c>
      <c r="M844" t="s">
        <v>64</v>
      </c>
      <c r="N844" t="s">
        <v>49</v>
      </c>
      <c r="O844">
        <v>0</v>
      </c>
      <c r="P844" t="s">
        <v>106</v>
      </c>
      <c r="Q844" s="2">
        <v>46125</v>
      </c>
      <c r="R844" t="s">
        <v>57</v>
      </c>
    </row>
    <row r="845" spans="1:18" x14ac:dyDescent="0.2">
      <c r="A845" t="s">
        <v>1747</v>
      </c>
      <c r="B845" t="s">
        <v>1748</v>
      </c>
      <c r="C845" t="s">
        <v>31</v>
      </c>
      <c r="D845" t="s">
        <v>83</v>
      </c>
      <c r="E845" t="s">
        <v>91</v>
      </c>
      <c r="F845" t="s">
        <v>67</v>
      </c>
      <c r="G845" t="s">
        <v>68</v>
      </c>
      <c r="H845" t="s">
        <v>47</v>
      </c>
      <c r="I845" t="s">
        <v>54</v>
      </c>
      <c r="J845" t="s">
        <v>37</v>
      </c>
      <c r="K845" s="2">
        <v>46090</v>
      </c>
      <c r="L845" s="2">
        <v>46455</v>
      </c>
      <c r="M845" t="s">
        <v>64</v>
      </c>
      <c r="N845" t="s">
        <v>55</v>
      </c>
      <c r="O845">
        <v>3</v>
      </c>
      <c r="P845" t="s">
        <v>62</v>
      </c>
      <c r="Q845" s="2">
        <v>46232</v>
      </c>
      <c r="R845" t="s">
        <v>64</v>
      </c>
    </row>
    <row r="846" spans="1:18" x14ac:dyDescent="0.2">
      <c r="A846" t="s">
        <v>1749</v>
      </c>
      <c r="B846" t="s">
        <v>1750</v>
      </c>
      <c r="C846" t="s">
        <v>42</v>
      </c>
      <c r="D846" t="s">
        <v>43</v>
      </c>
      <c r="E846" t="s">
        <v>105</v>
      </c>
      <c r="F846" t="s">
        <v>45</v>
      </c>
      <c r="G846" t="s">
        <v>46</v>
      </c>
      <c r="H846" t="s">
        <v>47</v>
      </c>
      <c r="I846" t="s">
        <v>39</v>
      </c>
      <c r="J846" t="s">
        <v>48</v>
      </c>
      <c r="K846" s="2">
        <v>45889</v>
      </c>
      <c r="L846" s="2">
        <v>46254</v>
      </c>
      <c r="M846" t="s">
        <v>38</v>
      </c>
      <c r="N846" t="s">
        <v>55</v>
      </c>
      <c r="O846">
        <v>3</v>
      </c>
      <c r="P846" t="s">
        <v>54</v>
      </c>
      <c r="Q846" s="2">
        <v>46363</v>
      </c>
      <c r="R846" t="s">
        <v>64</v>
      </c>
    </row>
    <row r="847" spans="1:18" x14ac:dyDescent="0.2">
      <c r="A847" t="s">
        <v>1751</v>
      </c>
      <c r="B847" t="s">
        <v>1752</v>
      </c>
      <c r="C847" t="s">
        <v>42</v>
      </c>
      <c r="D847" t="s">
        <v>43</v>
      </c>
      <c r="E847" t="s">
        <v>105</v>
      </c>
      <c r="F847" t="s">
        <v>34</v>
      </c>
      <c r="G847" t="s">
        <v>35</v>
      </c>
      <c r="H847" t="s">
        <v>47</v>
      </c>
      <c r="I847" t="s">
        <v>70</v>
      </c>
      <c r="J847" t="s">
        <v>48</v>
      </c>
      <c r="K847" s="2">
        <v>45859</v>
      </c>
      <c r="L847" s="2">
        <v>46039</v>
      </c>
      <c r="M847" t="s">
        <v>38</v>
      </c>
      <c r="N847" t="s">
        <v>49</v>
      </c>
      <c r="O847">
        <v>3</v>
      </c>
      <c r="P847" t="s">
        <v>70</v>
      </c>
      <c r="Q847" s="2">
        <v>46182</v>
      </c>
      <c r="R847" t="s">
        <v>38</v>
      </c>
    </row>
    <row r="848" spans="1:18" x14ac:dyDescent="0.2">
      <c r="A848" t="s">
        <v>1753</v>
      </c>
      <c r="B848" t="s">
        <v>1754</v>
      </c>
      <c r="C848" t="s">
        <v>31</v>
      </c>
      <c r="D848" t="s">
        <v>87</v>
      </c>
      <c r="E848" t="s">
        <v>105</v>
      </c>
      <c r="F848" t="s">
        <v>45</v>
      </c>
      <c r="G848" t="s">
        <v>61</v>
      </c>
      <c r="H848" t="s">
        <v>47</v>
      </c>
      <c r="I848" t="s">
        <v>50</v>
      </c>
      <c r="J848" t="s">
        <v>37</v>
      </c>
      <c r="K848" s="2">
        <v>46227</v>
      </c>
      <c r="L848" s="2">
        <v>46592</v>
      </c>
      <c r="M848" t="s">
        <v>69</v>
      </c>
      <c r="N848" t="s">
        <v>55</v>
      </c>
      <c r="O848">
        <v>2</v>
      </c>
      <c r="P848" t="s">
        <v>111</v>
      </c>
      <c r="Q848" s="2">
        <v>46280</v>
      </c>
      <c r="R848" t="s">
        <v>38</v>
      </c>
    </row>
    <row r="849" spans="1:18" x14ac:dyDescent="0.2">
      <c r="A849" t="s">
        <v>1755</v>
      </c>
      <c r="B849" t="s">
        <v>1756</v>
      </c>
      <c r="C849" t="s">
        <v>78</v>
      </c>
      <c r="D849" t="s">
        <v>79</v>
      </c>
      <c r="E849" t="s">
        <v>53</v>
      </c>
      <c r="F849" t="s">
        <v>45</v>
      </c>
      <c r="G849" t="s">
        <v>46</v>
      </c>
      <c r="H849" t="s">
        <v>98</v>
      </c>
      <c r="I849" t="s">
        <v>111</v>
      </c>
      <c r="J849" t="s">
        <v>37</v>
      </c>
      <c r="K849" s="2">
        <v>46083</v>
      </c>
      <c r="L849" s="2">
        <v>46263</v>
      </c>
      <c r="M849" t="s">
        <v>38</v>
      </c>
      <c r="N849" t="s">
        <v>75</v>
      </c>
      <c r="O849">
        <v>0</v>
      </c>
      <c r="P849" t="s">
        <v>111</v>
      </c>
      <c r="Q849" s="2">
        <v>46228</v>
      </c>
      <c r="R849" t="s">
        <v>57</v>
      </c>
    </row>
    <row r="850" spans="1:18" x14ac:dyDescent="0.2">
      <c r="A850" t="s">
        <v>1757</v>
      </c>
      <c r="B850" t="s">
        <v>1758</v>
      </c>
      <c r="C850" t="s">
        <v>103</v>
      </c>
      <c r="D850" t="s">
        <v>104</v>
      </c>
      <c r="E850" t="s">
        <v>80</v>
      </c>
      <c r="F850" t="s">
        <v>67</v>
      </c>
      <c r="G850" t="s">
        <v>68</v>
      </c>
      <c r="H850" t="s">
        <v>47</v>
      </c>
      <c r="I850" t="s">
        <v>111</v>
      </c>
      <c r="J850" t="s">
        <v>48</v>
      </c>
      <c r="K850" s="2">
        <v>45903</v>
      </c>
      <c r="L850" s="2">
        <v>46083</v>
      </c>
      <c r="M850" t="s">
        <v>38</v>
      </c>
      <c r="N850" t="s">
        <v>75</v>
      </c>
      <c r="O850">
        <v>0</v>
      </c>
      <c r="P850" t="s">
        <v>62</v>
      </c>
      <c r="Q850" s="2">
        <v>46346</v>
      </c>
      <c r="R850" t="s">
        <v>57</v>
      </c>
    </row>
    <row r="851" spans="1:18" x14ac:dyDescent="0.2">
      <c r="A851" t="s">
        <v>1759</v>
      </c>
      <c r="B851" t="s">
        <v>1760</v>
      </c>
      <c r="C851" t="s">
        <v>31</v>
      </c>
      <c r="D851" t="s">
        <v>83</v>
      </c>
      <c r="E851" t="s">
        <v>53</v>
      </c>
      <c r="F851" t="s">
        <v>45</v>
      </c>
      <c r="G851" t="s">
        <v>61</v>
      </c>
      <c r="H851" t="s">
        <v>88</v>
      </c>
      <c r="J851" t="s">
        <v>37</v>
      </c>
      <c r="K851" s="2">
        <v>46220</v>
      </c>
      <c r="L851" s="2">
        <v>46585</v>
      </c>
      <c r="M851" t="s">
        <v>64</v>
      </c>
      <c r="N851" t="s">
        <v>55</v>
      </c>
      <c r="O851">
        <v>0</v>
      </c>
      <c r="P851" t="s">
        <v>54</v>
      </c>
      <c r="Q851" s="2">
        <v>46163</v>
      </c>
      <c r="R851" t="s">
        <v>57</v>
      </c>
    </row>
    <row r="852" spans="1:18" x14ac:dyDescent="0.2">
      <c r="A852" t="s">
        <v>1761</v>
      </c>
      <c r="B852" t="s">
        <v>1762</v>
      </c>
      <c r="C852" t="s">
        <v>73</v>
      </c>
      <c r="D852" t="s">
        <v>74</v>
      </c>
      <c r="E852" t="s">
        <v>80</v>
      </c>
      <c r="F852" t="s">
        <v>45</v>
      </c>
      <c r="G852" t="s">
        <v>46</v>
      </c>
      <c r="H852" t="s">
        <v>88</v>
      </c>
      <c r="I852" t="s">
        <v>111</v>
      </c>
      <c r="J852" t="s">
        <v>48</v>
      </c>
      <c r="K852" s="2">
        <v>46008</v>
      </c>
      <c r="L852" s="2">
        <v>46373</v>
      </c>
      <c r="M852" t="s">
        <v>84</v>
      </c>
      <c r="N852" t="s">
        <v>55</v>
      </c>
      <c r="O852">
        <v>3</v>
      </c>
      <c r="P852" t="s">
        <v>39</v>
      </c>
      <c r="Q852" s="2">
        <v>46244</v>
      </c>
      <c r="R852" t="s">
        <v>38</v>
      </c>
    </row>
    <row r="853" spans="1:18" x14ac:dyDescent="0.2">
      <c r="A853" t="s">
        <v>1763</v>
      </c>
      <c r="B853" t="s">
        <v>1764</v>
      </c>
      <c r="C853" t="s">
        <v>103</v>
      </c>
      <c r="D853" t="s">
        <v>104</v>
      </c>
      <c r="E853" t="s">
        <v>105</v>
      </c>
      <c r="F853" t="s">
        <v>67</v>
      </c>
      <c r="G853" t="s">
        <v>118</v>
      </c>
      <c r="H853" t="s">
        <v>47</v>
      </c>
      <c r="I853" t="s">
        <v>54</v>
      </c>
      <c r="J853" t="s">
        <v>37</v>
      </c>
      <c r="K853" s="2">
        <v>45889</v>
      </c>
      <c r="L853" s="2">
        <v>46254</v>
      </c>
      <c r="M853" t="s">
        <v>38</v>
      </c>
      <c r="N853" t="s">
        <v>75</v>
      </c>
      <c r="O853">
        <v>3</v>
      </c>
      <c r="P853" t="s">
        <v>111</v>
      </c>
      <c r="Q853" s="2">
        <v>46275</v>
      </c>
      <c r="R853" t="s">
        <v>38</v>
      </c>
    </row>
    <row r="854" spans="1:18" x14ac:dyDescent="0.2">
      <c r="A854" t="s">
        <v>1765</v>
      </c>
      <c r="B854" t="s">
        <v>1766</v>
      </c>
      <c r="C854" t="s">
        <v>31</v>
      </c>
      <c r="D854" t="s">
        <v>83</v>
      </c>
      <c r="E854" t="s">
        <v>105</v>
      </c>
      <c r="F854" t="s">
        <v>34</v>
      </c>
      <c r="G854" t="s">
        <v>35</v>
      </c>
      <c r="H854" t="s">
        <v>88</v>
      </c>
      <c r="I854" t="s">
        <v>70</v>
      </c>
      <c r="J854" t="s">
        <v>37</v>
      </c>
      <c r="K854" s="2">
        <v>46083</v>
      </c>
      <c r="L854" s="2">
        <v>46173</v>
      </c>
      <c r="M854" t="s">
        <v>38</v>
      </c>
      <c r="N854" t="s">
        <v>55</v>
      </c>
      <c r="O854">
        <v>1</v>
      </c>
      <c r="P854" t="s">
        <v>70</v>
      </c>
      <c r="Q854" s="2">
        <v>46381</v>
      </c>
      <c r="R854" t="s">
        <v>84</v>
      </c>
    </row>
    <row r="855" spans="1:18" x14ac:dyDescent="0.2">
      <c r="A855" t="s">
        <v>1767</v>
      </c>
      <c r="B855" t="s">
        <v>1768</v>
      </c>
      <c r="C855" t="s">
        <v>31</v>
      </c>
      <c r="D855" t="s">
        <v>32</v>
      </c>
      <c r="E855" t="s">
        <v>80</v>
      </c>
      <c r="F855" t="s">
        <v>45</v>
      </c>
      <c r="G855" t="s">
        <v>61</v>
      </c>
      <c r="H855" t="s">
        <v>47</v>
      </c>
      <c r="I855" t="s">
        <v>111</v>
      </c>
      <c r="J855" t="s">
        <v>37</v>
      </c>
      <c r="K855" s="2">
        <v>46204</v>
      </c>
      <c r="L855" s="2">
        <v>46569</v>
      </c>
      <c r="M855" t="s">
        <v>69</v>
      </c>
      <c r="N855" t="s">
        <v>75</v>
      </c>
      <c r="O855">
        <v>0</v>
      </c>
      <c r="P855" t="s">
        <v>56</v>
      </c>
      <c r="Q855" s="2">
        <v>46266</v>
      </c>
      <c r="R855" t="s">
        <v>57</v>
      </c>
    </row>
    <row r="856" spans="1:18" x14ac:dyDescent="0.2">
      <c r="A856" t="s">
        <v>1769</v>
      </c>
      <c r="B856" t="s">
        <v>1770</v>
      </c>
      <c r="C856" t="s">
        <v>42</v>
      </c>
      <c r="D856" t="s">
        <v>43</v>
      </c>
      <c r="E856" t="s">
        <v>60</v>
      </c>
      <c r="F856" t="s">
        <v>34</v>
      </c>
      <c r="G856" t="s">
        <v>35</v>
      </c>
      <c r="H856" t="s">
        <v>36</v>
      </c>
      <c r="I856" t="s">
        <v>50</v>
      </c>
      <c r="J856" t="s">
        <v>37</v>
      </c>
      <c r="K856" s="2">
        <v>46203</v>
      </c>
      <c r="L856" s="2">
        <v>46383</v>
      </c>
      <c r="M856" t="s">
        <v>64</v>
      </c>
      <c r="N856" t="s">
        <v>55</v>
      </c>
      <c r="O856">
        <v>4</v>
      </c>
      <c r="P856" t="s">
        <v>54</v>
      </c>
      <c r="Q856" s="2">
        <v>46305</v>
      </c>
      <c r="R856" t="s">
        <v>84</v>
      </c>
    </row>
    <row r="857" spans="1:18" x14ac:dyDescent="0.2">
      <c r="A857" t="s">
        <v>1771</v>
      </c>
      <c r="B857" t="s">
        <v>1772</v>
      </c>
      <c r="C857" t="s">
        <v>31</v>
      </c>
      <c r="D857" t="s">
        <v>87</v>
      </c>
      <c r="E857" t="s">
        <v>44</v>
      </c>
      <c r="F857" t="s">
        <v>67</v>
      </c>
      <c r="G857" t="s">
        <v>68</v>
      </c>
      <c r="H857" t="s">
        <v>88</v>
      </c>
      <c r="I857" t="s">
        <v>111</v>
      </c>
      <c r="J857" t="s">
        <v>63</v>
      </c>
      <c r="K857" s="2">
        <v>46270</v>
      </c>
      <c r="L857" s="2">
        <v>46450</v>
      </c>
      <c r="M857" t="s">
        <v>64</v>
      </c>
      <c r="N857" t="s">
        <v>55</v>
      </c>
      <c r="O857">
        <v>3</v>
      </c>
      <c r="P857" t="s">
        <v>54</v>
      </c>
      <c r="Q857" s="2">
        <v>46149</v>
      </c>
      <c r="R857" t="s">
        <v>38</v>
      </c>
    </row>
    <row r="858" spans="1:18" x14ac:dyDescent="0.2">
      <c r="A858" t="s">
        <v>1773</v>
      </c>
      <c r="B858" t="s">
        <v>1774</v>
      </c>
      <c r="C858" t="s">
        <v>103</v>
      </c>
      <c r="D858" t="s">
        <v>104</v>
      </c>
      <c r="E858" t="s">
        <v>60</v>
      </c>
      <c r="F858" t="s">
        <v>45</v>
      </c>
      <c r="G858" t="s">
        <v>46</v>
      </c>
      <c r="H858" t="s">
        <v>88</v>
      </c>
      <c r="I858" t="s">
        <v>70</v>
      </c>
      <c r="J858" t="s">
        <v>63</v>
      </c>
      <c r="K858" s="2">
        <v>46244</v>
      </c>
      <c r="L858" s="2">
        <v>46609</v>
      </c>
      <c r="M858" t="s">
        <v>64</v>
      </c>
      <c r="N858" t="s">
        <v>55</v>
      </c>
      <c r="O858">
        <v>0</v>
      </c>
      <c r="P858" t="s">
        <v>39</v>
      </c>
      <c r="Q858" s="2">
        <v>46294</v>
      </c>
      <c r="R858" t="s">
        <v>57</v>
      </c>
    </row>
    <row r="859" spans="1:18" x14ac:dyDescent="0.2">
      <c r="A859" t="s">
        <v>1775</v>
      </c>
      <c r="B859" t="s">
        <v>1776</v>
      </c>
      <c r="C859" t="s">
        <v>103</v>
      </c>
      <c r="D859" t="s">
        <v>104</v>
      </c>
      <c r="E859" t="s">
        <v>53</v>
      </c>
      <c r="F859" t="s">
        <v>45</v>
      </c>
      <c r="G859" t="s">
        <v>61</v>
      </c>
      <c r="H859" t="s">
        <v>36</v>
      </c>
      <c r="I859" t="s">
        <v>62</v>
      </c>
      <c r="J859" t="s">
        <v>63</v>
      </c>
      <c r="K859" s="2">
        <v>45976</v>
      </c>
      <c r="L859" s="2">
        <v>46341</v>
      </c>
      <c r="M859" t="s">
        <v>64</v>
      </c>
      <c r="N859" t="s">
        <v>49</v>
      </c>
      <c r="O859">
        <v>3</v>
      </c>
      <c r="P859" t="s">
        <v>50</v>
      </c>
      <c r="Q859" s="2">
        <v>46245</v>
      </c>
      <c r="R859" t="s">
        <v>38</v>
      </c>
    </row>
    <row r="860" spans="1:18" x14ac:dyDescent="0.2">
      <c r="A860" t="s">
        <v>1777</v>
      </c>
      <c r="B860" t="s">
        <v>1778</v>
      </c>
      <c r="C860" t="s">
        <v>31</v>
      </c>
      <c r="D860" t="s">
        <v>87</v>
      </c>
      <c r="E860" t="s">
        <v>53</v>
      </c>
      <c r="F860" t="s">
        <v>45</v>
      </c>
      <c r="G860" t="s">
        <v>46</v>
      </c>
      <c r="H860" t="s">
        <v>47</v>
      </c>
      <c r="I860" t="s">
        <v>70</v>
      </c>
      <c r="J860" t="s">
        <v>48</v>
      </c>
      <c r="K860" s="2">
        <v>46211</v>
      </c>
      <c r="L860" s="2">
        <v>46576</v>
      </c>
      <c r="M860" t="s">
        <v>69</v>
      </c>
      <c r="N860" t="s">
        <v>75</v>
      </c>
      <c r="O860">
        <v>2</v>
      </c>
      <c r="P860" t="s">
        <v>54</v>
      </c>
      <c r="Q860" s="2">
        <v>46357</v>
      </c>
      <c r="R860" t="s">
        <v>64</v>
      </c>
    </row>
    <row r="861" spans="1:18" x14ac:dyDescent="0.2">
      <c r="A861" t="s">
        <v>1779</v>
      </c>
      <c r="B861" t="s">
        <v>1780</v>
      </c>
      <c r="C861" t="s">
        <v>78</v>
      </c>
      <c r="D861" t="s">
        <v>79</v>
      </c>
      <c r="E861" t="s">
        <v>44</v>
      </c>
      <c r="F861" t="s">
        <v>45</v>
      </c>
      <c r="G861" t="s">
        <v>46</v>
      </c>
      <c r="H861" t="s">
        <v>47</v>
      </c>
      <c r="I861" t="s">
        <v>39</v>
      </c>
      <c r="J861" t="s">
        <v>37</v>
      </c>
      <c r="K861" s="2">
        <v>46110</v>
      </c>
      <c r="L861" s="2">
        <v>46200</v>
      </c>
      <c r="M861" t="s">
        <v>38</v>
      </c>
      <c r="N861" t="s">
        <v>55</v>
      </c>
      <c r="O861">
        <v>1</v>
      </c>
      <c r="P861" t="s">
        <v>106</v>
      </c>
      <c r="Q861" s="2">
        <v>46376</v>
      </c>
      <c r="R861" t="s">
        <v>84</v>
      </c>
    </row>
    <row r="862" spans="1:18" x14ac:dyDescent="0.2">
      <c r="A862" t="s">
        <v>1781</v>
      </c>
      <c r="B862" t="s">
        <v>1782</v>
      </c>
      <c r="C862" t="s">
        <v>73</v>
      </c>
      <c r="D862" t="s">
        <v>74</v>
      </c>
      <c r="E862" t="s">
        <v>44</v>
      </c>
      <c r="F862" t="s">
        <v>67</v>
      </c>
      <c r="G862" t="s">
        <v>68</v>
      </c>
      <c r="H862" t="s">
        <v>88</v>
      </c>
      <c r="I862" t="s">
        <v>62</v>
      </c>
      <c r="J862" t="s">
        <v>48</v>
      </c>
      <c r="K862" s="2">
        <v>45879</v>
      </c>
      <c r="L862" s="2">
        <v>46059</v>
      </c>
      <c r="M862" t="s">
        <v>38</v>
      </c>
      <c r="N862" t="s">
        <v>49</v>
      </c>
      <c r="O862">
        <v>3</v>
      </c>
      <c r="P862" t="s">
        <v>54</v>
      </c>
      <c r="Q862" s="2">
        <v>46296</v>
      </c>
      <c r="R862" t="s">
        <v>64</v>
      </c>
    </row>
    <row r="863" spans="1:18" x14ac:dyDescent="0.2">
      <c r="A863" t="s">
        <v>1783</v>
      </c>
      <c r="B863" t="s">
        <v>1784</v>
      </c>
      <c r="C863" t="s">
        <v>78</v>
      </c>
      <c r="D863" t="s">
        <v>79</v>
      </c>
      <c r="E863" t="s">
        <v>91</v>
      </c>
      <c r="F863" t="s">
        <v>45</v>
      </c>
      <c r="G863" t="s">
        <v>61</v>
      </c>
      <c r="H863" t="s">
        <v>47</v>
      </c>
      <c r="I863" t="s">
        <v>62</v>
      </c>
      <c r="J863" t="s">
        <v>37</v>
      </c>
      <c r="K863" s="2">
        <v>45989</v>
      </c>
      <c r="L863" s="2">
        <v>46169</v>
      </c>
      <c r="M863" t="s">
        <v>38</v>
      </c>
      <c r="N863" t="s">
        <v>75</v>
      </c>
      <c r="O863">
        <v>2</v>
      </c>
      <c r="P863" t="s">
        <v>50</v>
      </c>
      <c r="Q863" s="2">
        <v>46176</v>
      </c>
      <c r="R863" t="s">
        <v>38</v>
      </c>
    </row>
    <row r="864" spans="1:18" x14ac:dyDescent="0.2">
      <c r="A864" t="s">
        <v>1785</v>
      </c>
      <c r="B864" t="s">
        <v>1786</v>
      </c>
      <c r="C864" t="s">
        <v>103</v>
      </c>
      <c r="D864" t="s">
        <v>104</v>
      </c>
      <c r="E864" t="s">
        <v>80</v>
      </c>
      <c r="F864" t="s">
        <v>45</v>
      </c>
      <c r="G864" t="s">
        <v>61</v>
      </c>
      <c r="H864" t="s">
        <v>36</v>
      </c>
      <c r="I864" t="s">
        <v>106</v>
      </c>
      <c r="J864" t="s">
        <v>37</v>
      </c>
      <c r="K864" s="2">
        <v>45903</v>
      </c>
      <c r="L864" s="2">
        <v>46083</v>
      </c>
      <c r="M864" t="s">
        <v>38</v>
      </c>
      <c r="N864" t="s">
        <v>55</v>
      </c>
      <c r="O864">
        <v>4</v>
      </c>
      <c r="P864" t="s">
        <v>50</v>
      </c>
      <c r="Q864" s="2">
        <v>46401</v>
      </c>
      <c r="R864" t="s">
        <v>84</v>
      </c>
    </row>
    <row r="865" spans="1:18" x14ac:dyDescent="0.2">
      <c r="A865" t="s">
        <v>1787</v>
      </c>
      <c r="B865" t="s">
        <v>1788</v>
      </c>
      <c r="C865" t="s">
        <v>31</v>
      </c>
      <c r="D865" t="s">
        <v>87</v>
      </c>
      <c r="E865" t="s">
        <v>44</v>
      </c>
      <c r="F865" t="s">
        <v>34</v>
      </c>
      <c r="G865" t="s">
        <v>35</v>
      </c>
      <c r="H865" t="s">
        <v>88</v>
      </c>
      <c r="I865" t="s">
        <v>54</v>
      </c>
      <c r="J865" t="s">
        <v>37</v>
      </c>
      <c r="K865" s="2">
        <v>46273</v>
      </c>
      <c r="L865" s="2">
        <v>46638</v>
      </c>
      <c r="M865" t="s">
        <v>64</v>
      </c>
      <c r="N865" t="s">
        <v>55</v>
      </c>
      <c r="O865">
        <v>2</v>
      </c>
      <c r="P865" t="s">
        <v>39</v>
      </c>
      <c r="Q865" s="2">
        <v>46244</v>
      </c>
      <c r="R865" t="s">
        <v>38</v>
      </c>
    </row>
    <row r="866" spans="1:18" x14ac:dyDescent="0.2">
      <c r="A866" t="s">
        <v>1789</v>
      </c>
      <c r="B866" t="s">
        <v>1790</v>
      </c>
      <c r="C866" t="s">
        <v>31</v>
      </c>
      <c r="D866" t="s">
        <v>87</v>
      </c>
      <c r="E866" t="s">
        <v>91</v>
      </c>
      <c r="F866" t="s">
        <v>34</v>
      </c>
      <c r="G866" t="s">
        <v>35</v>
      </c>
      <c r="H866" t="s">
        <v>88</v>
      </c>
      <c r="I866" t="s">
        <v>39</v>
      </c>
      <c r="J866" t="s">
        <v>63</v>
      </c>
      <c r="K866" s="2">
        <v>45919</v>
      </c>
      <c r="L866" s="2">
        <v>46284</v>
      </c>
      <c r="M866" t="s">
        <v>38</v>
      </c>
      <c r="N866" t="s">
        <v>75</v>
      </c>
      <c r="O866">
        <v>2</v>
      </c>
      <c r="P866" t="s">
        <v>111</v>
      </c>
      <c r="Q866" s="2">
        <v>46144</v>
      </c>
      <c r="R866" t="s">
        <v>38</v>
      </c>
    </row>
    <row r="867" spans="1:18" x14ac:dyDescent="0.2">
      <c r="A867" t="s">
        <v>1791</v>
      </c>
      <c r="B867" t="s">
        <v>1792</v>
      </c>
      <c r="C867" t="s">
        <v>31</v>
      </c>
      <c r="D867" t="s">
        <v>83</v>
      </c>
      <c r="E867" t="s">
        <v>80</v>
      </c>
      <c r="F867" t="s">
        <v>34</v>
      </c>
      <c r="G867" t="s">
        <v>35</v>
      </c>
      <c r="H867" t="s">
        <v>47</v>
      </c>
      <c r="I867" t="s">
        <v>70</v>
      </c>
      <c r="J867" t="s">
        <v>37</v>
      </c>
      <c r="K867" s="2">
        <v>46256</v>
      </c>
      <c r="L867" s="2">
        <v>46436</v>
      </c>
      <c r="M867" t="s">
        <v>64</v>
      </c>
      <c r="N867" t="s">
        <v>49</v>
      </c>
      <c r="O867">
        <v>1</v>
      </c>
      <c r="P867" t="s">
        <v>70</v>
      </c>
      <c r="Q867" s="2">
        <v>46205</v>
      </c>
      <c r="R867" t="s">
        <v>38</v>
      </c>
    </row>
    <row r="868" spans="1:18" x14ac:dyDescent="0.2">
      <c r="A868" t="s">
        <v>1793</v>
      </c>
      <c r="B868" t="s">
        <v>1794</v>
      </c>
      <c r="C868" t="s">
        <v>73</v>
      </c>
      <c r="D868" t="s">
        <v>74</v>
      </c>
      <c r="E868" t="s">
        <v>91</v>
      </c>
      <c r="F868" t="s">
        <v>45</v>
      </c>
      <c r="G868" t="s">
        <v>61</v>
      </c>
      <c r="H868" t="s">
        <v>36</v>
      </c>
      <c r="I868" t="s">
        <v>106</v>
      </c>
      <c r="J868" t="s">
        <v>48</v>
      </c>
      <c r="K868" s="2">
        <v>46226</v>
      </c>
      <c r="L868" s="2">
        <v>46591</v>
      </c>
      <c r="M868" t="s">
        <v>64</v>
      </c>
      <c r="N868" t="s">
        <v>55</v>
      </c>
      <c r="O868">
        <v>5</v>
      </c>
      <c r="P868" t="s">
        <v>106</v>
      </c>
      <c r="Q868" s="2">
        <v>46123</v>
      </c>
      <c r="R868" t="s">
        <v>64</v>
      </c>
    </row>
    <row r="869" spans="1:18" x14ac:dyDescent="0.2">
      <c r="A869" t="s">
        <v>1795</v>
      </c>
      <c r="B869" t="s">
        <v>1796</v>
      </c>
      <c r="C869" t="s">
        <v>31</v>
      </c>
      <c r="D869" t="s">
        <v>87</v>
      </c>
      <c r="E869" t="s">
        <v>91</v>
      </c>
      <c r="F869" t="s">
        <v>34</v>
      </c>
      <c r="G869" t="s">
        <v>35</v>
      </c>
      <c r="H869" t="s">
        <v>88</v>
      </c>
      <c r="I869" t="s">
        <v>39</v>
      </c>
      <c r="J869" t="s">
        <v>63</v>
      </c>
      <c r="K869" s="2">
        <v>46242</v>
      </c>
      <c r="L869" s="2">
        <v>46332</v>
      </c>
      <c r="M869" t="s">
        <v>84</v>
      </c>
      <c r="N869" t="s">
        <v>49</v>
      </c>
      <c r="O869">
        <v>2</v>
      </c>
      <c r="P869" t="s">
        <v>54</v>
      </c>
      <c r="Q869" s="2">
        <v>46157</v>
      </c>
      <c r="R869" t="s">
        <v>64</v>
      </c>
    </row>
    <row r="870" spans="1:18" x14ac:dyDescent="0.2">
      <c r="A870" t="s">
        <v>1797</v>
      </c>
      <c r="B870" t="s">
        <v>1798</v>
      </c>
      <c r="C870" t="s">
        <v>31</v>
      </c>
      <c r="D870" t="s">
        <v>32</v>
      </c>
      <c r="E870" t="s">
        <v>44</v>
      </c>
      <c r="F870" t="s">
        <v>34</v>
      </c>
      <c r="G870" t="s">
        <v>35</v>
      </c>
      <c r="H870" t="s">
        <v>88</v>
      </c>
      <c r="I870" t="s">
        <v>39</v>
      </c>
      <c r="J870" t="s">
        <v>37</v>
      </c>
      <c r="K870" s="2">
        <v>46116</v>
      </c>
      <c r="L870" s="2">
        <v>46296</v>
      </c>
      <c r="M870" t="s">
        <v>84</v>
      </c>
      <c r="N870" t="s">
        <v>75</v>
      </c>
      <c r="O870">
        <v>3</v>
      </c>
      <c r="P870" t="s">
        <v>70</v>
      </c>
      <c r="Q870" s="2">
        <v>46405</v>
      </c>
      <c r="R870" t="s">
        <v>84</v>
      </c>
    </row>
    <row r="871" spans="1:18" x14ac:dyDescent="0.2">
      <c r="A871" t="s">
        <v>1799</v>
      </c>
      <c r="B871" t="s">
        <v>1800</v>
      </c>
      <c r="C871" t="s">
        <v>73</v>
      </c>
      <c r="D871" t="s">
        <v>74</v>
      </c>
      <c r="E871" t="s">
        <v>44</v>
      </c>
      <c r="F871" t="s">
        <v>45</v>
      </c>
      <c r="G871" t="s">
        <v>46</v>
      </c>
      <c r="H871" t="s">
        <v>36</v>
      </c>
      <c r="I871" t="s">
        <v>50</v>
      </c>
      <c r="J871" t="s">
        <v>48</v>
      </c>
      <c r="K871" s="2">
        <v>46113</v>
      </c>
      <c r="L871" s="2">
        <v>46478</v>
      </c>
      <c r="M871" t="s">
        <v>84</v>
      </c>
      <c r="N871" t="s">
        <v>55</v>
      </c>
      <c r="O871">
        <v>0</v>
      </c>
      <c r="P871" t="s">
        <v>54</v>
      </c>
      <c r="Q871" s="2">
        <v>46226</v>
      </c>
      <c r="R871" t="s">
        <v>57</v>
      </c>
    </row>
    <row r="872" spans="1:18" x14ac:dyDescent="0.2">
      <c r="A872" t="s">
        <v>1801</v>
      </c>
      <c r="B872" t="s">
        <v>1802</v>
      </c>
      <c r="C872" t="s">
        <v>31</v>
      </c>
      <c r="D872" t="s">
        <v>83</v>
      </c>
      <c r="E872" t="s">
        <v>91</v>
      </c>
      <c r="F872" t="s">
        <v>67</v>
      </c>
      <c r="G872" t="s">
        <v>68</v>
      </c>
      <c r="H872" t="s">
        <v>36</v>
      </c>
      <c r="I872" t="s">
        <v>50</v>
      </c>
      <c r="J872" t="s">
        <v>37</v>
      </c>
      <c r="K872" s="2">
        <v>46117</v>
      </c>
      <c r="L872" s="2">
        <v>46207</v>
      </c>
      <c r="M872" t="s">
        <v>38</v>
      </c>
      <c r="N872" t="s">
        <v>75</v>
      </c>
      <c r="O872">
        <v>5</v>
      </c>
      <c r="P872" t="s">
        <v>62</v>
      </c>
      <c r="Q872" s="2">
        <v>46261</v>
      </c>
      <c r="R872" t="s">
        <v>64</v>
      </c>
    </row>
    <row r="873" spans="1:18" x14ac:dyDescent="0.2">
      <c r="A873" t="s">
        <v>1803</v>
      </c>
      <c r="B873" t="s">
        <v>1804</v>
      </c>
      <c r="C873" t="s">
        <v>73</v>
      </c>
      <c r="D873" t="s">
        <v>74</v>
      </c>
      <c r="E873" t="s">
        <v>53</v>
      </c>
      <c r="F873" t="s">
        <v>45</v>
      </c>
      <c r="G873" t="s">
        <v>46</v>
      </c>
      <c r="H873" t="s">
        <v>36</v>
      </c>
      <c r="I873" t="s">
        <v>50</v>
      </c>
      <c r="J873" t="s">
        <v>63</v>
      </c>
      <c r="K873" s="2">
        <v>46124</v>
      </c>
      <c r="L873" s="2">
        <v>46304</v>
      </c>
      <c r="M873" t="s">
        <v>69</v>
      </c>
      <c r="N873" t="s">
        <v>55</v>
      </c>
      <c r="O873">
        <v>3</v>
      </c>
      <c r="P873" t="s">
        <v>111</v>
      </c>
      <c r="Q873" s="2">
        <v>46296</v>
      </c>
      <c r="R873" t="s">
        <v>84</v>
      </c>
    </row>
    <row r="874" spans="1:18" x14ac:dyDescent="0.2">
      <c r="A874" t="s">
        <v>1805</v>
      </c>
      <c r="B874" t="s">
        <v>1806</v>
      </c>
      <c r="C874" t="s">
        <v>42</v>
      </c>
      <c r="D874" t="s">
        <v>43</v>
      </c>
      <c r="E874" t="s">
        <v>105</v>
      </c>
      <c r="F874" t="s">
        <v>34</v>
      </c>
      <c r="G874" t="s">
        <v>35</v>
      </c>
      <c r="H874" t="s">
        <v>98</v>
      </c>
      <c r="I874" t="s">
        <v>62</v>
      </c>
      <c r="J874" t="s">
        <v>63</v>
      </c>
      <c r="K874" s="2">
        <v>46196</v>
      </c>
      <c r="L874" s="2">
        <v>46561</v>
      </c>
      <c r="M874" t="s">
        <v>69</v>
      </c>
      <c r="N874" t="s">
        <v>75</v>
      </c>
      <c r="O874">
        <v>5</v>
      </c>
      <c r="P874" t="s">
        <v>54</v>
      </c>
      <c r="Q874" s="2">
        <v>46262</v>
      </c>
      <c r="R874" t="s">
        <v>64</v>
      </c>
    </row>
    <row r="875" spans="1:18" x14ac:dyDescent="0.2">
      <c r="A875" t="s">
        <v>1807</v>
      </c>
      <c r="B875" t="s">
        <v>1808</v>
      </c>
      <c r="C875" t="s">
        <v>78</v>
      </c>
      <c r="D875" t="s">
        <v>79</v>
      </c>
      <c r="E875" t="s">
        <v>80</v>
      </c>
      <c r="F875" t="s">
        <v>67</v>
      </c>
      <c r="G875" t="s">
        <v>68</v>
      </c>
      <c r="H875" t="s">
        <v>47</v>
      </c>
      <c r="I875" t="s">
        <v>70</v>
      </c>
      <c r="J875" t="s">
        <v>63</v>
      </c>
      <c r="K875" s="2">
        <v>46011</v>
      </c>
      <c r="L875" s="2">
        <v>46376</v>
      </c>
      <c r="M875" t="s">
        <v>69</v>
      </c>
      <c r="N875" t="s">
        <v>55</v>
      </c>
      <c r="O875">
        <v>3</v>
      </c>
      <c r="P875" t="s">
        <v>39</v>
      </c>
      <c r="Q875" s="2">
        <v>46415</v>
      </c>
      <c r="R875" t="s">
        <v>64</v>
      </c>
    </row>
    <row r="876" spans="1:18" x14ac:dyDescent="0.2">
      <c r="A876" t="s">
        <v>1809</v>
      </c>
      <c r="B876" t="s">
        <v>1810</v>
      </c>
      <c r="C876" t="s">
        <v>73</v>
      </c>
      <c r="D876" t="s">
        <v>74</v>
      </c>
      <c r="E876" t="s">
        <v>91</v>
      </c>
      <c r="F876" t="s">
        <v>67</v>
      </c>
      <c r="G876" t="s">
        <v>68</v>
      </c>
      <c r="H876" t="s">
        <v>88</v>
      </c>
      <c r="I876" t="s">
        <v>39</v>
      </c>
      <c r="J876" t="s">
        <v>48</v>
      </c>
      <c r="K876" s="2">
        <v>46194</v>
      </c>
      <c r="L876" s="2">
        <v>46374</v>
      </c>
      <c r="M876" t="s">
        <v>64</v>
      </c>
      <c r="N876" t="s">
        <v>75</v>
      </c>
      <c r="O876">
        <v>0</v>
      </c>
      <c r="P876" t="s">
        <v>111</v>
      </c>
      <c r="Q876" s="2">
        <v>46210</v>
      </c>
      <c r="R876" t="s">
        <v>57</v>
      </c>
    </row>
    <row r="877" spans="1:18" x14ac:dyDescent="0.2">
      <c r="A877" t="s">
        <v>1811</v>
      </c>
      <c r="B877" t="s">
        <v>1812</v>
      </c>
      <c r="C877" t="s">
        <v>73</v>
      </c>
      <c r="D877" t="s">
        <v>74</v>
      </c>
      <c r="E877" t="s">
        <v>105</v>
      </c>
      <c r="F877" t="s">
        <v>34</v>
      </c>
      <c r="G877" t="s">
        <v>35</v>
      </c>
      <c r="H877" t="s">
        <v>88</v>
      </c>
      <c r="I877" t="s">
        <v>111</v>
      </c>
      <c r="J877" t="s">
        <v>63</v>
      </c>
      <c r="K877" s="2">
        <v>45972</v>
      </c>
      <c r="L877" s="2">
        <v>46337</v>
      </c>
      <c r="M877" t="s">
        <v>69</v>
      </c>
      <c r="N877" t="s">
        <v>75</v>
      </c>
      <c r="O877">
        <v>1</v>
      </c>
      <c r="P877" t="s">
        <v>62</v>
      </c>
      <c r="Q877" s="2">
        <v>46244</v>
      </c>
      <c r="R877" t="s">
        <v>38</v>
      </c>
    </row>
    <row r="878" spans="1:18" x14ac:dyDescent="0.2">
      <c r="A878" t="s">
        <v>1813</v>
      </c>
      <c r="B878" t="s">
        <v>1814</v>
      </c>
      <c r="C878" t="s">
        <v>31</v>
      </c>
      <c r="D878" t="s">
        <v>83</v>
      </c>
      <c r="E878" t="s">
        <v>44</v>
      </c>
      <c r="F878" t="s">
        <v>67</v>
      </c>
      <c r="G878" t="s">
        <v>68</v>
      </c>
      <c r="H878" t="s">
        <v>36</v>
      </c>
      <c r="I878" t="s">
        <v>70</v>
      </c>
      <c r="J878" t="s">
        <v>48</v>
      </c>
      <c r="K878" s="2">
        <v>46060</v>
      </c>
      <c r="L878" s="2">
        <v>46240</v>
      </c>
      <c r="M878" t="s">
        <v>38</v>
      </c>
      <c r="N878" t="s">
        <v>75</v>
      </c>
      <c r="O878">
        <v>4</v>
      </c>
      <c r="P878" t="s">
        <v>56</v>
      </c>
      <c r="Q878" s="2">
        <v>46320</v>
      </c>
      <c r="R878" t="s">
        <v>84</v>
      </c>
    </row>
    <row r="879" spans="1:18" x14ac:dyDescent="0.2">
      <c r="A879" t="s">
        <v>1815</v>
      </c>
      <c r="B879" t="s">
        <v>1816</v>
      </c>
      <c r="C879" t="s">
        <v>31</v>
      </c>
      <c r="D879" t="s">
        <v>83</v>
      </c>
      <c r="E879" t="s">
        <v>60</v>
      </c>
      <c r="F879" t="s">
        <v>34</v>
      </c>
      <c r="G879" t="s">
        <v>35</v>
      </c>
      <c r="H879" t="s">
        <v>36</v>
      </c>
      <c r="I879" t="s">
        <v>50</v>
      </c>
      <c r="J879" t="s">
        <v>37</v>
      </c>
      <c r="K879" s="2">
        <v>45936</v>
      </c>
      <c r="L879" s="2">
        <v>46116</v>
      </c>
      <c r="M879" t="s">
        <v>38</v>
      </c>
      <c r="N879" t="s">
        <v>55</v>
      </c>
      <c r="O879">
        <v>0</v>
      </c>
      <c r="P879" t="s">
        <v>111</v>
      </c>
      <c r="Q879" s="2">
        <v>46273</v>
      </c>
      <c r="R879" t="s">
        <v>57</v>
      </c>
    </row>
    <row r="880" spans="1:18" x14ac:dyDescent="0.2">
      <c r="A880" t="s">
        <v>1817</v>
      </c>
      <c r="B880" t="s">
        <v>1818</v>
      </c>
      <c r="C880" t="s">
        <v>103</v>
      </c>
      <c r="D880" t="s">
        <v>104</v>
      </c>
      <c r="E880" t="s">
        <v>80</v>
      </c>
      <c r="F880" t="s">
        <v>67</v>
      </c>
      <c r="G880" t="s">
        <v>68</v>
      </c>
      <c r="H880" t="s">
        <v>47</v>
      </c>
      <c r="I880" t="s">
        <v>50</v>
      </c>
      <c r="J880" t="s">
        <v>48</v>
      </c>
      <c r="K880" s="2">
        <v>46173</v>
      </c>
      <c r="L880" s="2">
        <v>46263</v>
      </c>
      <c r="M880" t="s">
        <v>38</v>
      </c>
      <c r="N880" t="s">
        <v>75</v>
      </c>
      <c r="O880">
        <v>2</v>
      </c>
      <c r="P880" t="s">
        <v>54</v>
      </c>
      <c r="Q880" s="2">
        <v>46156</v>
      </c>
      <c r="R880" t="s">
        <v>64</v>
      </c>
    </row>
    <row r="881" spans="1:18" x14ac:dyDescent="0.2">
      <c r="A881" t="s">
        <v>1819</v>
      </c>
      <c r="B881" t="s">
        <v>1820</v>
      </c>
      <c r="C881" t="s">
        <v>96</v>
      </c>
      <c r="D881" t="s">
        <v>97</v>
      </c>
      <c r="E881" t="s">
        <v>105</v>
      </c>
      <c r="F881" t="s">
        <v>45</v>
      </c>
      <c r="G881" t="s">
        <v>61</v>
      </c>
      <c r="H881" t="s">
        <v>88</v>
      </c>
      <c r="I881" t="s">
        <v>106</v>
      </c>
      <c r="J881" t="s">
        <v>48</v>
      </c>
      <c r="K881" s="2">
        <v>46224</v>
      </c>
      <c r="L881" s="2">
        <v>46404</v>
      </c>
      <c r="M881" t="s">
        <v>64</v>
      </c>
      <c r="N881" t="s">
        <v>75</v>
      </c>
      <c r="O881">
        <v>1</v>
      </c>
      <c r="P881" t="s">
        <v>70</v>
      </c>
      <c r="Q881" s="2">
        <v>46356</v>
      </c>
      <c r="R881" t="s">
        <v>84</v>
      </c>
    </row>
    <row r="882" spans="1:18" x14ac:dyDescent="0.2">
      <c r="A882" t="s">
        <v>1821</v>
      </c>
      <c r="B882" t="s">
        <v>1822</v>
      </c>
      <c r="C882" t="s">
        <v>31</v>
      </c>
      <c r="D882" t="s">
        <v>32</v>
      </c>
      <c r="E882" t="s">
        <v>53</v>
      </c>
      <c r="F882" t="s">
        <v>67</v>
      </c>
      <c r="G882" t="s">
        <v>68</v>
      </c>
      <c r="H882" t="s">
        <v>36</v>
      </c>
      <c r="I882" t="s">
        <v>50</v>
      </c>
      <c r="J882" t="s">
        <v>37</v>
      </c>
      <c r="K882" s="2">
        <v>46071</v>
      </c>
      <c r="L882" s="2">
        <v>46251</v>
      </c>
      <c r="M882" t="s">
        <v>38</v>
      </c>
      <c r="N882" t="s">
        <v>75</v>
      </c>
      <c r="O882">
        <v>5</v>
      </c>
      <c r="P882" t="s">
        <v>39</v>
      </c>
      <c r="Q882" s="2">
        <v>46332</v>
      </c>
      <c r="R882" t="s">
        <v>84</v>
      </c>
    </row>
    <row r="883" spans="1:18" x14ac:dyDescent="0.2">
      <c r="A883" t="s">
        <v>1823</v>
      </c>
      <c r="B883" t="s">
        <v>1824</v>
      </c>
      <c r="C883" t="s">
        <v>31</v>
      </c>
      <c r="D883" t="s">
        <v>83</v>
      </c>
      <c r="E883" t="s">
        <v>44</v>
      </c>
      <c r="F883" t="s">
        <v>45</v>
      </c>
      <c r="G883" t="s">
        <v>46</v>
      </c>
      <c r="H883" t="s">
        <v>88</v>
      </c>
      <c r="I883" t="s">
        <v>106</v>
      </c>
      <c r="J883" t="s">
        <v>48</v>
      </c>
      <c r="K883" s="2">
        <v>46019</v>
      </c>
      <c r="L883" s="2">
        <v>46109</v>
      </c>
      <c r="M883" t="s">
        <v>38</v>
      </c>
      <c r="N883" t="s">
        <v>49</v>
      </c>
      <c r="O883">
        <v>3</v>
      </c>
      <c r="P883" t="s">
        <v>39</v>
      </c>
      <c r="Q883" s="2">
        <v>46154</v>
      </c>
      <c r="R883" t="s">
        <v>38</v>
      </c>
    </row>
    <row r="884" spans="1:18" x14ac:dyDescent="0.2">
      <c r="A884" t="s">
        <v>1825</v>
      </c>
      <c r="B884" t="s">
        <v>1826</v>
      </c>
      <c r="C884" t="s">
        <v>96</v>
      </c>
      <c r="D884" t="s">
        <v>97</v>
      </c>
      <c r="E884" t="s">
        <v>80</v>
      </c>
      <c r="F884" t="s">
        <v>45</v>
      </c>
      <c r="G884" t="s">
        <v>61</v>
      </c>
      <c r="H884" t="s">
        <v>47</v>
      </c>
      <c r="I884" t="s">
        <v>62</v>
      </c>
      <c r="J884" t="s">
        <v>37</v>
      </c>
      <c r="K884" s="2">
        <v>45941</v>
      </c>
      <c r="L884" s="2">
        <v>46031</v>
      </c>
      <c r="M884" t="s">
        <v>38</v>
      </c>
      <c r="N884" t="s">
        <v>75</v>
      </c>
      <c r="O884">
        <v>1</v>
      </c>
      <c r="P884" t="s">
        <v>62</v>
      </c>
      <c r="Q884" s="2">
        <v>46260</v>
      </c>
      <c r="R884" t="s">
        <v>64</v>
      </c>
    </row>
    <row r="885" spans="1:18" x14ac:dyDescent="0.2">
      <c r="A885" t="s">
        <v>1827</v>
      </c>
      <c r="B885" t="s">
        <v>1828</v>
      </c>
      <c r="C885" t="s">
        <v>31</v>
      </c>
      <c r="D885" t="s">
        <v>87</v>
      </c>
      <c r="E885" t="s">
        <v>80</v>
      </c>
      <c r="F885" t="s">
        <v>45</v>
      </c>
      <c r="G885" t="s">
        <v>46</v>
      </c>
      <c r="H885" t="s">
        <v>88</v>
      </c>
      <c r="I885" t="s">
        <v>70</v>
      </c>
      <c r="J885" t="s">
        <v>37</v>
      </c>
      <c r="K885" s="2">
        <v>46037</v>
      </c>
      <c r="L885" s="2">
        <v>46127</v>
      </c>
      <c r="M885" t="s">
        <v>38</v>
      </c>
      <c r="N885" t="s">
        <v>75</v>
      </c>
      <c r="O885">
        <v>0</v>
      </c>
      <c r="P885" t="s">
        <v>50</v>
      </c>
      <c r="Q885" s="2">
        <v>46322</v>
      </c>
      <c r="R885" t="s">
        <v>57</v>
      </c>
    </row>
    <row r="886" spans="1:18" x14ac:dyDescent="0.2">
      <c r="A886" t="s">
        <v>1829</v>
      </c>
      <c r="B886" t="s">
        <v>1830</v>
      </c>
      <c r="C886" t="s">
        <v>31</v>
      </c>
      <c r="D886" t="s">
        <v>32</v>
      </c>
      <c r="E886" t="s">
        <v>91</v>
      </c>
      <c r="F886" t="s">
        <v>34</v>
      </c>
      <c r="G886" t="s">
        <v>35</v>
      </c>
      <c r="H886" t="s">
        <v>88</v>
      </c>
      <c r="I886" t="s">
        <v>111</v>
      </c>
      <c r="J886" t="s">
        <v>37</v>
      </c>
      <c r="K886" s="2">
        <v>45941</v>
      </c>
      <c r="L886" s="2">
        <v>46306</v>
      </c>
      <c r="M886" t="s">
        <v>64</v>
      </c>
      <c r="N886" t="s">
        <v>55</v>
      </c>
      <c r="O886">
        <v>2</v>
      </c>
      <c r="P886" t="s">
        <v>106</v>
      </c>
      <c r="Q886" s="2">
        <v>46332</v>
      </c>
      <c r="R886" t="s">
        <v>64</v>
      </c>
    </row>
    <row r="887" spans="1:18" x14ac:dyDescent="0.2">
      <c r="A887" t="s">
        <v>1831</v>
      </c>
      <c r="B887" t="s">
        <v>1832</v>
      </c>
      <c r="C887" t="s">
        <v>31</v>
      </c>
      <c r="D887" t="s">
        <v>32</v>
      </c>
      <c r="E887" t="s">
        <v>60</v>
      </c>
      <c r="F887" t="s">
        <v>67</v>
      </c>
      <c r="G887" t="s">
        <v>118</v>
      </c>
      <c r="H887" t="s">
        <v>98</v>
      </c>
      <c r="I887" t="s">
        <v>70</v>
      </c>
      <c r="J887" t="s">
        <v>48</v>
      </c>
      <c r="K887" s="2">
        <v>45873</v>
      </c>
      <c r="L887" s="2">
        <v>45963</v>
      </c>
      <c r="M887" t="s">
        <v>38</v>
      </c>
      <c r="N887" t="s">
        <v>75</v>
      </c>
      <c r="O887">
        <v>4</v>
      </c>
      <c r="P887" t="s">
        <v>106</v>
      </c>
      <c r="Q887" s="2">
        <v>46311</v>
      </c>
      <c r="R887" t="s">
        <v>84</v>
      </c>
    </row>
    <row r="888" spans="1:18" x14ac:dyDescent="0.2">
      <c r="A888" t="s">
        <v>1833</v>
      </c>
      <c r="B888" t="s">
        <v>1834</v>
      </c>
      <c r="C888" t="s">
        <v>96</v>
      </c>
      <c r="D888" t="s">
        <v>97</v>
      </c>
      <c r="E888" t="s">
        <v>44</v>
      </c>
      <c r="F888" t="s">
        <v>34</v>
      </c>
      <c r="G888" t="s">
        <v>35</v>
      </c>
      <c r="H888" t="s">
        <v>88</v>
      </c>
      <c r="I888" t="s">
        <v>111</v>
      </c>
      <c r="J888" t="s">
        <v>37</v>
      </c>
      <c r="K888" s="2">
        <v>46053</v>
      </c>
      <c r="L888" s="2">
        <v>46143</v>
      </c>
      <c r="M888" t="s">
        <v>38</v>
      </c>
      <c r="N888" t="s">
        <v>75</v>
      </c>
      <c r="O888">
        <v>2</v>
      </c>
      <c r="P888" t="s">
        <v>39</v>
      </c>
      <c r="Q888" s="2">
        <v>46135</v>
      </c>
      <c r="R888" t="s">
        <v>64</v>
      </c>
    </row>
    <row r="889" spans="1:18" x14ac:dyDescent="0.2">
      <c r="A889" t="s">
        <v>1835</v>
      </c>
      <c r="B889" t="s">
        <v>1836</v>
      </c>
      <c r="C889" t="s">
        <v>78</v>
      </c>
      <c r="D889" t="s">
        <v>79</v>
      </c>
      <c r="E889" t="s">
        <v>53</v>
      </c>
      <c r="F889" t="s">
        <v>34</v>
      </c>
      <c r="G889" t="s">
        <v>35</v>
      </c>
      <c r="H889" t="s">
        <v>88</v>
      </c>
      <c r="I889" t="s">
        <v>56</v>
      </c>
      <c r="J889" t="s">
        <v>37</v>
      </c>
      <c r="K889" s="2">
        <v>45883</v>
      </c>
      <c r="L889" s="2">
        <v>45973</v>
      </c>
      <c r="M889" t="s">
        <v>38</v>
      </c>
      <c r="N889" t="s">
        <v>49</v>
      </c>
      <c r="O889">
        <v>2</v>
      </c>
      <c r="P889" t="s">
        <v>106</v>
      </c>
      <c r="Q889" s="2">
        <v>46206</v>
      </c>
      <c r="R889" t="s">
        <v>64</v>
      </c>
    </row>
    <row r="890" spans="1:18" x14ac:dyDescent="0.2">
      <c r="A890" t="s">
        <v>1837</v>
      </c>
      <c r="B890" t="s">
        <v>1838</v>
      </c>
      <c r="C890" t="s">
        <v>31</v>
      </c>
      <c r="D890" t="s">
        <v>32</v>
      </c>
      <c r="E890" t="s">
        <v>60</v>
      </c>
      <c r="F890" t="s">
        <v>67</v>
      </c>
      <c r="G890" t="s">
        <v>68</v>
      </c>
      <c r="H890" t="s">
        <v>47</v>
      </c>
      <c r="I890" t="s">
        <v>39</v>
      </c>
      <c r="J890" t="s">
        <v>63</v>
      </c>
      <c r="K890" s="2">
        <v>46003</v>
      </c>
      <c r="L890" s="2">
        <v>46368</v>
      </c>
      <c r="M890" t="s">
        <v>64</v>
      </c>
      <c r="N890" t="s">
        <v>55</v>
      </c>
      <c r="O890">
        <v>0</v>
      </c>
      <c r="P890" t="s">
        <v>50</v>
      </c>
      <c r="Q890" s="2">
        <v>46388</v>
      </c>
      <c r="R890" t="s">
        <v>57</v>
      </c>
    </row>
    <row r="891" spans="1:18" x14ac:dyDescent="0.2">
      <c r="A891" t="s">
        <v>1839</v>
      </c>
      <c r="B891" t="s">
        <v>1840</v>
      </c>
      <c r="C891" t="s">
        <v>73</v>
      </c>
      <c r="D891" t="s">
        <v>74</v>
      </c>
      <c r="E891" t="s">
        <v>80</v>
      </c>
      <c r="F891" t="s">
        <v>34</v>
      </c>
      <c r="G891" t="s">
        <v>35</v>
      </c>
      <c r="H891" t="s">
        <v>36</v>
      </c>
      <c r="I891" t="s">
        <v>106</v>
      </c>
      <c r="J891" t="s">
        <v>48</v>
      </c>
      <c r="K891" s="2">
        <v>46041</v>
      </c>
      <c r="L891" s="2">
        <v>46406</v>
      </c>
      <c r="M891" t="s">
        <v>69</v>
      </c>
      <c r="N891" t="s">
        <v>55</v>
      </c>
      <c r="O891">
        <v>0</v>
      </c>
      <c r="P891" t="s">
        <v>70</v>
      </c>
      <c r="Q891" s="2">
        <v>46282</v>
      </c>
      <c r="R891" t="s">
        <v>57</v>
      </c>
    </row>
    <row r="892" spans="1:18" x14ac:dyDescent="0.2">
      <c r="A892" t="s">
        <v>1841</v>
      </c>
      <c r="B892" t="s">
        <v>1842</v>
      </c>
      <c r="C892" t="s">
        <v>31</v>
      </c>
      <c r="D892" t="s">
        <v>32</v>
      </c>
      <c r="E892" t="s">
        <v>53</v>
      </c>
      <c r="F892" t="s">
        <v>67</v>
      </c>
      <c r="G892" t="s">
        <v>68</v>
      </c>
      <c r="H892" t="s">
        <v>98</v>
      </c>
      <c r="I892" t="s">
        <v>56</v>
      </c>
      <c r="J892" t="s">
        <v>37</v>
      </c>
      <c r="K892" s="2">
        <v>46059</v>
      </c>
      <c r="L892" s="2">
        <v>46239</v>
      </c>
      <c r="M892" t="s">
        <v>38</v>
      </c>
      <c r="N892" t="s">
        <v>55</v>
      </c>
      <c r="O892">
        <v>1</v>
      </c>
      <c r="P892" t="s">
        <v>70</v>
      </c>
      <c r="Q892" s="2">
        <v>46246</v>
      </c>
      <c r="R892" t="s">
        <v>38</v>
      </c>
    </row>
    <row r="893" spans="1:18" x14ac:dyDescent="0.2">
      <c r="A893" t="s">
        <v>1843</v>
      </c>
      <c r="B893" t="s">
        <v>1844</v>
      </c>
      <c r="C893" t="s">
        <v>78</v>
      </c>
      <c r="D893" t="s">
        <v>79</v>
      </c>
      <c r="E893" t="s">
        <v>53</v>
      </c>
      <c r="F893" t="s">
        <v>45</v>
      </c>
      <c r="G893" t="s">
        <v>61</v>
      </c>
      <c r="H893" t="s">
        <v>88</v>
      </c>
      <c r="I893" t="s">
        <v>54</v>
      </c>
      <c r="J893" t="s">
        <v>63</v>
      </c>
      <c r="K893" s="2">
        <v>45920</v>
      </c>
      <c r="L893" s="2">
        <v>46010</v>
      </c>
      <c r="M893" t="s">
        <v>38</v>
      </c>
      <c r="N893" t="s">
        <v>75</v>
      </c>
      <c r="O893">
        <v>3</v>
      </c>
      <c r="P893" t="s">
        <v>50</v>
      </c>
      <c r="Q893" s="2">
        <v>46225</v>
      </c>
      <c r="R893" t="s">
        <v>38</v>
      </c>
    </row>
    <row r="894" spans="1:18" x14ac:dyDescent="0.2">
      <c r="A894" t="s">
        <v>1845</v>
      </c>
      <c r="B894" t="s">
        <v>1846</v>
      </c>
      <c r="C894" t="s">
        <v>103</v>
      </c>
      <c r="D894" t="s">
        <v>104</v>
      </c>
      <c r="E894" t="s">
        <v>60</v>
      </c>
      <c r="F894" t="s">
        <v>67</v>
      </c>
      <c r="G894" t="s">
        <v>68</v>
      </c>
      <c r="H894" t="s">
        <v>88</v>
      </c>
      <c r="I894" t="s">
        <v>50</v>
      </c>
      <c r="J894" t="s">
        <v>37</v>
      </c>
      <c r="K894" s="2">
        <v>45928</v>
      </c>
      <c r="L894" s="2">
        <v>46108</v>
      </c>
      <c r="M894" t="s">
        <v>38</v>
      </c>
      <c r="N894" t="s">
        <v>75</v>
      </c>
      <c r="O894">
        <v>0</v>
      </c>
      <c r="P894" t="s">
        <v>50</v>
      </c>
      <c r="Q894" s="2">
        <v>46323</v>
      </c>
      <c r="R894" t="s">
        <v>57</v>
      </c>
    </row>
    <row r="895" spans="1:18" x14ac:dyDescent="0.2">
      <c r="A895" t="s">
        <v>1847</v>
      </c>
      <c r="B895" t="s">
        <v>1848</v>
      </c>
      <c r="C895" t="s">
        <v>42</v>
      </c>
      <c r="D895" t="s">
        <v>43</v>
      </c>
      <c r="E895" t="s">
        <v>80</v>
      </c>
      <c r="F895" t="s">
        <v>67</v>
      </c>
      <c r="G895" t="s">
        <v>118</v>
      </c>
      <c r="H895" t="s">
        <v>88</v>
      </c>
      <c r="I895" t="s">
        <v>106</v>
      </c>
      <c r="J895" t="s">
        <v>63</v>
      </c>
      <c r="K895" s="2">
        <v>46226</v>
      </c>
      <c r="L895" s="2">
        <v>46316</v>
      </c>
      <c r="M895" t="s">
        <v>64</v>
      </c>
      <c r="N895" t="s">
        <v>49</v>
      </c>
      <c r="O895">
        <v>2</v>
      </c>
      <c r="P895" t="s">
        <v>111</v>
      </c>
      <c r="Q895" s="2">
        <v>46228</v>
      </c>
      <c r="R895" t="s">
        <v>64</v>
      </c>
    </row>
    <row r="896" spans="1:18" x14ac:dyDescent="0.2">
      <c r="A896" t="s">
        <v>1849</v>
      </c>
      <c r="B896" t="s">
        <v>1850</v>
      </c>
      <c r="C896" t="s">
        <v>31</v>
      </c>
      <c r="D896" t="s">
        <v>83</v>
      </c>
      <c r="E896" t="s">
        <v>91</v>
      </c>
      <c r="F896" t="s">
        <v>34</v>
      </c>
      <c r="G896" t="s">
        <v>35</v>
      </c>
      <c r="H896" t="s">
        <v>88</v>
      </c>
      <c r="I896" t="s">
        <v>62</v>
      </c>
      <c r="J896" t="s">
        <v>63</v>
      </c>
      <c r="K896" s="2">
        <v>46032</v>
      </c>
      <c r="L896" s="2">
        <v>46397</v>
      </c>
      <c r="M896" t="s">
        <v>64</v>
      </c>
      <c r="N896" t="s">
        <v>75</v>
      </c>
      <c r="O896">
        <v>2</v>
      </c>
      <c r="P896" t="s">
        <v>111</v>
      </c>
      <c r="Q896" s="2">
        <v>46292</v>
      </c>
      <c r="R896" t="s">
        <v>38</v>
      </c>
    </row>
    <row r="897" spans="1:18" x14ac:dyDescent="0.2">
      <c r="A897" t="s">
        <v>1851</v>
      </c>
      <c r="B897" t="s">
        <v>1852</v>
      </c>
      <c r="C897" t="s">
        <v>31</v>
      </c>
      <c r="D897" t="s">
        <v>32</v>
      </c>
      <c r="E897" t="s">
        <v>91</v>
      </c>
      <c r="F897" t="s">
        <v>45</v>
      </c>
      <c r="G897" t="s">
        <v>46</v>
      </c>
      <c r="H897" t="s">
        <v>88</v>
      </c>
      <c r="I897" t="s">
        <v>62</v>
      </c>
      <c r="J897" t="s">
        <v>63</v>
      </c>
      <c r="K897" s="2">
        <v>46259</v>
      </c>
      <c r="L897" s="2">
        <v>46624</v>
      </c>
      <c r="M897" t="s">
        <v>84</v>
      </c>
      <c r="N897" t="s">
        <v>49</v>
      </c>
      <c r="O897">
        <v>3</v>
      </c>
      <c r="P897" t="s">
        <v>106</v>
      </c>
      <c r="Q897" s="2">
        <v>46402</v>
      </c>
      <c r="R897" t="s">
        <v>84</v>
      </c>
    </row>
    <row r="898" spans="1:18" x14ac:dyDescent="0.2">
      <c r="A898" t="s">
        <v>1853</v>
      </c>
      <c r="B898" t="s">
        <v>1854</v>
      </c>
      <c r="C898" t="s">
        <v>78</v>
      </c>
      <c r="D898" t="s">
        <v>79</v>
      </c>
      <c r="E898" t="s">
        <v>53</v>
      </c>
      <c r="F898" t="s">
        <v>67</v>
      </c>
      <c r="G898" t="s">
        <v>118</v>
      </c>
      <c r="H898" t="s">
        <v>88</v>
      </c>
      <c r="J898" t="s">
        <v>48</v>
      </c>
      <c r="K898" s="2">
        <v>46036</v>
      </c>
      <c r="L898" s="2">
        <v>46126</v>
      </c>
      <c r="M898" t="s">
        <v>38</v>
      </c>
      <c r="N898" t="s">
        <v>55</v>
      </c>
      <c r="O898">
        <v>1</v>
      </c>
      <c r="P898" t="s">
        <v>56</v>
      </c>
      <c r="Q898" s="2">
        <v>46295</v>
      </c>
      <c r="R898" t="s">
        <v>84</v>
      </c>
    </row>
    <row r="899" spans="1:18" x14ac:dyDescent="0.2">
      <c r="A899" t="s">
        <v>1855</v>
      </c>
      <c r="B899" t="s">
        <v>1856</v>
      </c>
      <c r="C899" t="s">
        <v>31</v>
      </c>
      <c r="D899" t="s">
        <v>32</v>
      </c>
      <c r="E899" t="s">
        <v>44</v>
      </c>
      <c r="F899" t="s">
        <v>34</v>
      </c>
      <c r="G899" t="s">
        <v>35</v>
      </c>
      <c r="H899" t="s">
        <v>88</v>
      </c>
      <c r="I899" t="s">
        <v>50</v>
      </c>
      <c r="J899" t="s">
        <v>37</v>
      </c>
      <c r="K899" s="2">
        <v>46082</v>
      </c>
      <c r="L899" s="2">
        <v>46447</v>
      </c>
      <c r="M899" t="s">
        <v>84</v>
      </c>
      <c r="N899" t="s">
        <v>55</v>
      </c>
      <c r="O899">
        <v>3</v>
      </c>
      <c r="P899" t="s">
        <v>50</v>
      </c>
      <c r="Q899" s="2">
        <v>46226</v>
      </c>
      <c r="R899" t="s">
        <v>64</v>
      </c>
    </row>
    <row r="900" spans="1:18" x14ac:dyDescent="0.2">
      <c r="A900" t="s">
        <v>1857</v>
      </c>
      <c r="B900" t="s">
        <v>1858</v>
      </c>
      <c r="C900" t="s">
        <v>78</v>
      </c>
      <c r="D900" t="s">
        <v>79</v>
      </c>
      <c r="E900" t="s">
        <v>60</v>
      </c>
      <c r="F900" t="s">
        <v>45</v>
      </c>
      <c r="G900" t="s">
        <v>61</v>
      </c>
      <c r="H900" t="s">
        <v>88</v>
      </c>
      <c r="I900" t="s">
        <v>54</v>
      </c>
      <c r="J900" t="s">
        <v>37</v>
      </c>
      <c r="K900" s="2">
        <v>46061</v>
      </c>
      <c r="L900" s="2">
        <v>46426</v>
      </c>
      <c r="M900" t="s">
        <v>64</v>
      </c>
      <c r="N900" t="s">
        <v>75</v>
      </c>
      <c r="O900">
        <v>0</v>
      </c>
      <c r="P900" t="s">
        <v>111</v>
      </c>
      <c r="Q900" s="2">
        <v>46277</v>
      </c>
      <c r="R900" t="s">
        <v>57</v>
      </c>
    </row>
    <row r="901" spans="1:18" x14ac:dyDescent="0.2">
      <c r="A901" t="s">
        <v>1859</v>
      </c>
      <c r="B901" t="s">
        <v>1860</v>
      </c>
      <c r="C901" t="s">
        <v>31</v>
      </c>
      <c r="D901" t="s">
        <v>32</v>
      </c>
      <c r="E901" t="s">
        <v>80</v>
      </c>
      <c r="F901" t="s">
        <v>67</v>
      </c>
      <c r="G901" t="s">
        <v>118</v>
      </c>
      <c r="H901" t="s">
        <v>47</v>
      </c>
      <c r="I901" t="s">
        <v>50</v>
      </c>
      <c r="J901" t="s">
        <v>63</v>
      </c>
      <c r="K901" s="2">
        <v>46071</v>
      </c>
      <c r="L901" s="2">
        <v>46251</v>
      </c>
      <c r="M901" t="s">
        <v>38</v>
      </c>
      <c r="N901" t="s">
        <v>55</v>
      </c>
      <c r="O901">
        <v>2</v>
      </c>
      <c r="P901" t="s">
        <v>62</v>
      </c>
      <c r="Q901" s="2">
        <v>46352</v>
      </c>
      <c r="R901" t="s">
        <v>84</v>
      </c>
    </row>
    <row r="902" spans="1:18" x14ac:dyDescent="0.2">
      <c r="A902" t="s">
        <v>1861</v>
      </c>
      <c r="B902" t="s">
        <v>1862</v>
      </c>
      <c r="C902" t="s">
        <v>103</v>
      </c>
      <c r="D902" t="s">
        <v>104</v>
      </c>
      <c r="E902" t="s">
        <v>44</v>
      </c>
      <c r="F902" t="s">
        <v>67</v>
      </c>
      <c r="G902" t="s">
        <v>118</v>
      </c>
      <c r="H902" t="s">
        <v>88</v>
      </c>
      <c r="I902" t="s">
        <v>54</v>
      </c>
      <c r="J902" t="s">
        <v>63</v>
      </c>
      <c r="K902" s="2">
        <v>46205</v>
      </c>
      <c r="L902" s="2">
        <v>46570</v>
      </c>
      <c r="M902" t="s">
        <v>84</v>
      </c>
      <c r="N902" t="s">
        <v>49</v>
      </c>
      <c r="O902">
        <v>3</v>
      </c>
      <c r="P902" t="s">
        <v>111</v>
      </c>
      <c r="Q902" s="2">
        <v>46126</v>
      </c>
      <c r="R902" t="s">
        <v>64</v>
      </c>
    </row>
    <row r="903" spans="1:18" x14ac:dyDescent="0.2">
      <c r="A903" t="s">
        <v>1863</v>
      </c>
      <c r="B903" t="s">
        <v>1864</v>
      </c>
      <c r="C903" t="s">
        <v>103</v>
      </c>
      <c r="D903" t="s">
        <v>104</v>
      </c>
      <c r="E903" t="s">
        <v>53</v>
      </c>
      <c r="F903" t="s">
        <v>34</v>
      </c>
      <c r="G903" t="s">
        <v>35</v>
      </c>
      <c r="H903" t="s">
        <v>47</v>
      </c>
      <c r="I903" t="s">
        <v>62</v>
      </c>
      <c r="J903" t="s">
        <v>48</v>
      </c>
      <c r="K903" s="2">
        <v>45993</v>
      </c>
      <c r="L903" s="2">
        <v>46358</v>
      </c>
      <c r="M903" t="s">
        <v>84</v>
      </c>
      <c r="N903" t="s">
        <v>75</v>
      </c>
      <c r="O903">
        <v>2</v>
      </c>
      <c r="P903" t="s">
        <v>56</v>
      </c>
      <c r="Q903" s="2">
        <v>46237</v>
      </c>
      <c r="R903" t="s">
        <v>64</v>
      </c>
    </row>
    <row r="904" spans="1:18" x14ac:dyDescent="0.2">
      <c r="A904" t="s">
        <v>1865</v>
      </c>
      <c r="B904" t="s">
        <v>1866</v>
      </c>
      <c r="C904" t="s">
        <v>73</v>
      </c>
      <c r="D904" t="s">
        <v>74</v>
      </c>
      <c r="E904" t="s">
        <v>44</v>
      </c>
      <c r="F904" t="s">
        <v>45</v>
      </c>
      <c r="G904" t="s">
        <v>46</v>
      </c>
      <c r="H904" t="s">
        <v>88</v>
      </c>
      <c r="I904" t="s">
        <v>111</v>
      </c>
      <c r="J904" t="s">
        <v>48</v>
      </c>
      <c r="K904" s="2">
        <v>46150</v>
      </c>
      <c r="L904" s="2">
        <v>46515</v>
      </c>
      <c r="M904" t="s">
        <v>84</v>
      </c>
      <c r="N904" t="s">
        <v>55</v>
      </c>
      <c r="O904">
        <v>3</v>
      </c>
      <c r="P904" t="s">
        <v>54</v>
      </c>
      <c r="Q904" s="2">
        <v>46371</v>
      </c>
      <c r="R904" t="s">
        <v>84</v>
      </c>
    </row>
    <row r="905" spans="1:18" x14ac:dyDescent="0.2">
      <c r="A905" t="s">
        <v>1867</v>
      </c>
      <c r="B905" t="s">
        <v>1868</v>
      </c>
      <c r="C905" t="s">
        <v>42</v>
      </c>
      <c r="D905" t="s">
        <v>43</v>
      </c>
      <c r="E905" t="s">
        <v>105</v>
      </c>
      <c r="F905" t="s">
        <v>67</v>
      </c>
      <c r="G905" t="s">
        <v>68</v>
      </c>
      <c r="H905" t="s">
        <v>36</v>
      </c>
      <c r="I905" t="s">
        <v>62</v>
      </c>
      <c r="J905" t="s">
        <v>63</v>
      </c>
      <c r="K905" s="2">
        <v>45832</v>
      </c>
      <c r="L905" s="2">
        <v>46197</v>
      </c>
      <c r="M905" t="s">
        <v>38</v>
      </c>
      <c r="N905" t="s">
        <v>75</v>
      </c>
      <c r="O905">
        <v>3</v>
      </c>
      <c r="P905" t="s">
        <v>70</v>
      </c>
      <c r="Q905" s="2">
        <v>46151</v>
      </c>
      <c r="R905" t="s">
        <v>38</v>
      </c>
    </row>
    <row r="906" spans="1:18" x14ac:dyDescent="0.2">
      <c r="A906" t="s">
        <v>1869</v>
      </c>
      <c r="B906" t="s">
        <v>1870</v>
      </c>
      <c r="C906" t="s">
        <v>96</v>
      </c>
      <c r="D906" t="s">
        <v>97</v>
      </c>
      <c r="E906" t="s">
        <v>80</v>
      </c>
      <c r="F906" t="s">
        <v>34</v>
      </c>
      <c r="G906" t="s">
        <v>35</v>
      </c>
      <c r="H906" t="s">
        <v>88</v>
      </c>
      <c r="I906" t="s">
        <v>39</v>
      </c>
      <c r="J906" t="s">
        <v>48</v>
      </c>
      <c r="K906" s="2">
        <v>46126</v>
      </c>
      <c r="L906" s="2">
        <v>46306</v>
      </c>
      <c r="M906" t="s">
        <v>84</v>
      </c>
      <c r="N906" t="s">
        <v>75</v>
      </c>
      <c r="O906">
        <v>3</v>
      </c>
      <c r="P906" t="s">
        <v>70</v>
      </c>
      <c r="Q906" s="2">
        <v>46376</v>
      </c>
      <c r="R906" t="s">
        <v>84</v>
      </c>
    </row>
    <row r="907" spans="1:18" x14ac:dyDescent="0.2">
      <c r="A907" t="s">
        <v>1871</v>
      </c>
      <c r="B907" t="s">
        <v>1872</v>
      </c>
      <c r="C907" t="s">
        <v>103</v>
      </c>
      <c r="D907" t="s">
        <v>104</v>
      </c>
      <c r="E907" t="s">
        <v>60</v>
      </c>
      <c r="F907" t="s">
        <v>45</v>
      </c>
      <c r="G907" t="s">
        <v>61</v>
      </c>
      <c r="H907" t="s">
        <v>36</v>
      </c>
      <c r="I907" t="s">
        <v>70</v>
      </c>
      <c r="J907" t="s">
        <v>37</v>
      </c>
      <c r="K907" s="2">
        <v>45906</v>
      </c>
      <c r="L907" s="2">
        <v>45996</v>
      </c>
      <c r="M907" t="s">
        <v>38</v>
      </c>
      <c r="N907" t="s">
        <v>75</v>
      </c>
      <c r="O907">
        <v>3</v>
      </c>
      <c r="P907" t="s">
        <v>54</v>
      </c>
      <c r="Q907" s="2">
        <v>46288</v>
      </c>
      <c r="R907" t="s">
        <v>64</v>
      </c>
    </row>
    <row r="908" spans="1:18" x14ac:dyDescent="0.2">
      <c r="A908" t="s">
        <v>1873</v>
      </c>
      <c r="B908" t="s">
        <v>1874</v>
      </c>
      <c r="C908" t="s">
        <v>96</v>
      </c>
      <c r="D908" t="s">
        <v>97</v>
      </c>
      <c r="E908" t="s">
        <v>53</v>
      </c>
      <c r="F908" t="s">
        <v>67</v>
      </c>
      <c r="G908" t="s">
        <v>68</v>
      </c>
      <c r="H908" t="s">
        <v>88</v>
      </c>
      <c r="I908" t="s">
        <v>70</v>
      </c>
      <c r="J908" t="s">
        <v>37</v>
      </c>
      <c r="K908" s="2">
        <v>46041</v>
      </c>
      <c r="L908" s="2">
        <v>46406</v>
      </c>
      <c r="M908" t="s">
        <v>64</v>
      </c>
      <c r="N908" t="s">
        <v>55</v>
      </c>
      <c r="O908">
        <v>2</v>
      </c>
      <c r="P908" t="s">
        <v>56</v>
      </c>
      <c r="Q908" s="2">
        <v>46290</v>
      </c>
      <c r="R908" t="s">
        <v>64</v>
      </c>
    </row>
    <row r="909" spans="1:18" x14ac:dyDescent="0.2">
      <c r="A909" t="s">
        <v>1875</v>
      </c>
      <c r="B909" t="s">
        <v>1876</v>
      </c>
      <c r="C909" t="s">
        <v>42</v>
      </c>
      <c r="D909" t="s">
        <v>43</v>
      </c>
      <c r="E909" t="s">
        <v>60</v>
      </c>
      <c r="F909" t="s">
        <v>34</v>
      </c>
      <c r="G909" t="s">
        <v>35</v>
      </c>
      <c r="H909" t="s">
        <v>47</v>
      </c>
      <c r="I909" t="s">
        <v>50</v>
      </c>
      <c r="J909" t="s">
        <v>63</v>
      </c>
      <c r="K909" s="2">
        <v>46200</v>
      </c>
      <c r="L909" s="2">
        <v>46565</v>
      </c>
      <c r="M909" t="s">
        <v>64</v>
      </c>
      <c r="N909" t="s">
        <v>55</v>
      </c>
      <c r="O909">
        <v>2</v>
      </c>
      <c r="P909" t="s">
        <v>50</v>
      </c>
      <c r="Q909" s="2">
        <v>46403</v>
      </c>
      <c r="R909" t="s">
        <v>84</v>
      </c>
    </row>
    <row r="910" spans="1:18" x14ac:dyDescent="0.2">
      <c r="A910" t="s">
        <v>1877</v>
      </c>
      <c r="B910" t="s">
        <v>1878</v>
      </c>
      <c r="C910" t="s">
        <v>42</v>
      </c>
      <c r="D910" t="s">
        <v>43</v>
      </c>
      <c r="E910" t="s">
        <v>80</v>
      </c>
      <c r="F910" t="s">
        <v>34</v>
      </c>
      <c r="G910" t="s">
        <v>35</v>
      </c>
      <c r="H910" t="s">
        <v>36</v>
      </c>
      <c r="I910" t="s">
        <v>56</v>
      </c>
      <c r="J910" t="s">
        <v>48</v>
      </c>
      <c r="K910" s="2">
        <v>46196</v>
      </c>
      <c r="L910" s="2">
        <v>46561</v>
      </c>
      <c r="M910" t="s">
        <v>84</v>
      </c>
      <c r="N910" t="s">
        <v>55</v>
      </c>
      <c r="O910">
        <v>4</v>
      </c>
      <c r="P910" t="s">
        <v>39</v>
      </c>
      <c r="Q910" s="2">
        <v>46264</v>
      </c>
      <c r="R910" t="s">
        <v>38</v>
      </c>
    </row>
    <row r="911" spans="1:18" x14ac:dyDescent="0.2">
      <c r="A911" t="s">
        <v>1879</v>
      </c>
      <c r="B911" t="s">
        <v>1880</v>
      </c>
      <c r="C911" t="s">
        <v>31</v>
      </c>
      <c r="D911" t="s">
        <v>83</v>
      </c>
      <c r="E911" t="s">
        <v>44</v>
      </c>
      <c r="F911" t="s">
        <v>45</v>
      </c>
      <c r="G911" t="s">
        <v>61</v>
      </c>
      <c r="H911" t="s">
        <v>88</v>
      </c>
      <c r="I911" t="s">
        <v>56</v>
      </c>
      <c r="J911" t="s">
        <v>63</v>
      </c>
      <c r="K911" s="2">
        <v>46089</v>
      </c>
      <c r="L911" s="2">
        <v>46454</v>
      </c>
      <c r="M911" t="s">
        <v>64</v>
      </c>
      <c r="N911" t="s">
        <v>49</v>
      </c>
      <c r="O911">
        <v>3</v>
      </c>
      <c r="P911" t="s">
        <v>50</v>
      </c>
      <c r="Q911" s="2">
        <v>46359</v>
      </c>
      <c r="R911" t="s">
        <v>84</v>
      </c>
    </row>
    <row r="912" spans="1:18" x14ac:dyDescent="0.2">
      <c r="A912" t="s">
        <v>1881</v>
      </c>
      <c r="B912" t="s">
        <v>1882</v>
      </c>
      <c r="C912" t="s">
        <v>78</v>
      </c>
      <c r="D912" t="s">
        <v>79</v>
      </c>
      <c r="E912" t="s">
        <v>60</v>
      </c>
      <c r="F912" t="s">
        <v>34</v>
      </c>
      <c r="G912" t="s">
        <v>35</v>
      </c>
      <c r="H912" t="s">
        <v>88</v>
      </c>
      <c r="I912" t="s">
        <v>111</v>
      </c>
      <c r="J912" t="s">
        <v>63</v>
      </c>
      <c r="K912" s="2">
        <v>45944</v>
      </c>
      <c r="L912" s="2">
        <v>46034</v>
      </c>
      <c r="M912" t="s">
        <v>38</v>
      </c>
      <c r="N912" t="s">
        <v>49</v>
      </c>
      <c r="O912">
        <v>3</v>
      </c>
      <c r="P912" t="s">
        <v>70</v>
      </c>
      <c r="Q912" s="2">
        <v>46204</v>
      </c>
      <c r="R912" t="s">
        <v>38</v>
      </c>
    </row>
    <row r="913" spans="1:18" x14ac:dyDescent="0.2">
      <c r="A913" t="s">
        <v>1883</v>
      </c>
      <c r="B913" t="s">
        <v>1884</v>
      </c>
      <c r="C913" t="s">
        <v>31</v>
      </c>
      <c r="D913" t="s">
        <v>87</v>
      </c>
      <c r="E913" t="s">
        <v>53</v>
      </c>
      <c r="F913" t="s">
        <v>67</v>
      </c>
      <c r="G913" t="s">
        <v>68</v>
      </c>
      <c r="H913" t="s">
        <v>47</v>
      </c>
      <c r="I913" t="s">
        <v>50</v>
      </c>
      <c r="J913" t="s">
        <v>63</v>
      </c>
      <c r="K913" s="2">
        <v>46133</v>
      </c>
      <c r="L913" s="2">
        <v>46498</v>
      </c>
      <c r="M913" t="s">
        <v>84</v>
      </c>
      <c r="N913" t="s">
        <v>49</v>
      </c>
      <c r="O913">
        <v>1</v>
      </c>
      <c r="P913" t="s">
        <v>54</v>
      </c>
      <c r="Q913" s="2">
        <v>46297</v>
      </c>
      <c r="R913" t="s">
        <v>84</v>
      </c>
    </row>
    <row r="914" spans="1:18" x14ac:dyDescent="0.2">
      <c r="A914" t="s">
        <v>1885</v>
      </c>
      <c r="B914" t="s">
        <v>1886</v>
      </c>
      <c r="C914" t="s">
        <v>31</v>
      </c>
      <c r="D914" t="s">
        <v>32</v>
      </c>
      <c r="E914" t="s">
        <v>53</v>
      </c>
      <c r="F914" t="s">
        <v>34</v>
      </c>
      <c r="G914" t="s">
        <v>35</v>
      </c>
      <c r="H914" t="s">
        <v>88</v>
      </c>
      <c r="I914" t="s">
        <v>62</v>
      </c>
      <c r="J914" t="s">
        <v>48</v>
      </c>
      <c r="K914" s="2">
        <v>45955</v>
      </c>
      <c r="L914" s="2">
        <v>46045</v>
      </c>
      <c r="M914" t="s">
        <v>38</v>
      </c>
      <c r="N914" t="s">
        <v>75</v>
      </c>
      <c r="O914">
        <v>0</v>
      </c>
      <c r="P914" t="s">
        <v>111</v>
      </c>
      <c r="Q914" s="2">
        <v>46253</v>
      </c>
      <c r="R914" t="s">
        <v>57</v>
      </c>
    </row>
    <row r="915" spans="1:18" x14ac:dyDescent="0.2">
      <c r="A915" t="s">
        <v>1887</v>
      </c>
      <c r="B915" t="s">
        <v>1888</v>
      </c>
      <c r="C915" t="s">
        <v>42</v>
      </c>
      <c r="D915" t="s">
        <v>43</v>
      </c>
      <c r="E915" t="s">
        <v>44</v>
      </c>
      <c r="F915" t="s">
        <v>34</v>
      </c>
      <c r="G915" t="s">
        <v>35</v>
      </c>
      <c r="H915" t="s">
        <v>47</v>
      </c>
      <c r="I915" t="s">
        <v>50</v>
      </c>
      <c r="J915" t="s">
        <v>37</v>
      </c>
      <c r="K915" s="2">
        <v>45922</v>
      </c>
      <c r="L915" s="2">
        <v>46287</v>
      </c>
      <c r="M915" t="s">
        <v>38</v>
      </c>
      <c r="N915" t="s">
        <v>55</v>
      </c>
      <c r="O915">
        <v>1</v>
      </c>
      <c r="P915" t="s">
        <v>70</v>
      </c>
      <c r="Q915" s="2">
        <v>46348</v>
      </c>
      <c r="R915" t="s">
        <v>64</v>
      </c>
    </row>
    <row r="916" spans="1:18" x14ac:dyDescent="0.2">
      <c r="A916" t="s">
        <v>1889</v>
      </c>
      <c r="B916" t="s">
        <v>1890</v>
      </c>
      <c r="C916" t="s">
        <v>103</v>
      </c>
      <c r="D916" t="s">
        <v>104</v>
      </c>
      <c r="E916" t="s">
        <v>91</v>
      </c>
      <c r="F916" t="s">
        <v>34</v>
      </c>
      <c r="G916" t="s">
        <v>35</v>
      </c>
      <c r="H916" t="s">
        <v>36</v>
      </c>
      <c r="I916" t="s">
        <v>70</v>
      </c>
      <c r="J916" t="s">
        <v>63</v>
      </c>
      <c r="K916" s="2">
        <v>45812</v>
      </c>
      <c r="L916" s="2">
        <v>45902</v>
      </c>
      <c r="M916" t="s">
        <v>38</v>
      </c>
      <c r="N916" t="s">
        <v>49</v>
      </c>
      <c r="O916">
        <v>2</v>
      </c>
      <c r="P916" t="s">
        <v>111</v>
      </c>
      <c r="Q916" s="2">
        <v>46146</v>
      </c>
      <c r="R916" t="s">
        <v>64</v>
      </c>
    </row>
    <row r="917" spans="1:18" x14ac:dyDescent="0.2">
      <c r="A917" t="s">
        <v>1891</v>
      </c>
      <c r="B917" t="s">
        <v>1892</v>
      </c>
      <c r="C917" t="s">
        <v>31</v>
      </c>
      <c r="D917" t="s">
        <v>32</v>
      </c>
      <c r="E917" t="s">
        <v>60</v>
      </c>
      <c r="F917" t="s">
        <v>67</v>
      </c>
      <c r="G917" t="s">
        <v>68</v>
      </c>
      <c r="H917" t="s">
        <v>36</v>
      </c>
      <c r="I917" t="s">
        <v>39</v>
      </c>
      <c r="J917" t="s">
        <v>48</v>
      </c>
      <c r="K917" s="2">
        <v>46112</v>
      </c>
      <c r="L917" s="2">
        <v>46477</v>
      </c>
      <c r="M917" t="s">
        <v>64</v>
      </c>
      <c r="N917" t="s">
        <v>75</v>
      </c>
      <c r="O917">
        <v>0</v>
      </c>
      <c r="P917" t="s">
        <v>70</v>
      </c>
      <c r="Q917" s="2">
        <v>46341</v>
      </c>
      <c r="R917" t="s">
        <v>57</v>
      </c>
    </row>
    <row r="918" spans="1:18" x14ac:dyDescent="0.2">
      <c r="A918" t="s">
        <v>1893</v>
      </c>
      <c r="B918" t="s">
        <v>1894</v>
      </c>
      <c r="C918" t="s">
        <v>103</v>
      </c>
      <c r="D918" t="s">
        <v>104</v>
      </c>
      <c r="E918" t="s">
        <v>60</v>
      </c>
      <c r="F918" t="s">
        <v>34</v>
      </c>
      <c r="G918" t="s">
        <v>35</v>
      </c>
      <c r="H918" t="s">
        <v>88</v>
      </c>
      <c r="I918" t="s">
        <v>39</v>
      </c>
      <c r="J918" t="s">
        <v>63</v>
      </c>
      <c r="K918" s="2">
        <v>45978</v>
      </c>
      <c r="L918" s="2">
        <v>46158</v>
      </c>
      <c r="M918" t="s">
        <v>38</v>
      </c>
      <c r="O918">
        <v>0</v>
      </c>
      <c r="P918" t="s">
        <v>111</v>
      </c>
      <c r="Q918" s="2">
        <v>46341</v>
      </c>
      <c r="R918" t="s">
        <v>57</v>
      </c>
    </row>
    <row r="919" spans="1:18" x14ac:dyDescent="0.2">
      <c r="A919" t="s">
        <v>1895</v>
      </c>
      <c r="B919" t="s">
        <v>1896</v>
      </c>
      <c r="C919" t="s">
        <v>42</v>
      </c>
      <c r="D919" t="s">
        <v>43</v>
      </c>
      <c r="E919" t="s">
        <v>80</v>
      </c>
      <c r="F919" t="s">
        <v>45</v>
      </c>
      <c r="G919" t="s">
        <v>61</v>
      </c>
      <c r="H919" t="s">
        <v>88</v>
      </c>
      <c r="I919" t="s">
        <v>111</v>
      </c>
      <c r="J919" t="s">
        <v>63</v>
      </c>
      <c r="K919" s="2">
        <v>45952</v>
      </c>
      <c r="L919" s="2">
        <v>46042</v>
      </c>
      <c r="M919" t="s">
        <v>38</v>
      </c>
      <c r="N919" t="s">
        <v>75</v>
      </c>
      <c r="O919">
        <v>3</v>
      </c>
      <c r="P919" t="s">
        <v>54</v>
      </c>
      <c r="Q919" s="2">
        <v>46378</v>
      </c>
      <c r="R919" t="s">
        <v>64</v>
      </c>
    </row>
    <row r="920" spans="1:18" x14ac:dyDescent="0.2">
      <c r="A920" t="s">
        <v>1897</v>
      </c>
      <c r="B920" t="s">
        <v>1898</v>
      </c>
      <c r="C920" t="s">
        <v>96</v>
      </c>
      <c r="D920" t="s">
        <v>97</v>
      </c>
      <c r="E920" t="s">
        <v>91</v>
      </c>
      <c r="F920" t="s">
        <v>67</v>
      </c>
      <c r="G920" t="s">
        <v>118</v>
      </c>
      <c r="H920" t="s">
        <v>88</v>
      </c>
      <c r="I920" t="s">
        <v>56</v>
      </c>
      <c r="J920" t="s">
        <v>48</v>
      </c>
      <c r="K920" s="2">
        <v>45955</v>
      </c>
      <c r="L920" s="2">
        <v>46135</v>
      </c>
      <c r="M920" t="s">
        <v>38</v>
      </c>
      <c r="N920" t="s">
        <v>55</v>
      </c>
      <c r="O920">
        <v>1</v>
      </c>
      <c r="P920" t="s">
        <v>50</v>
      </c>
      <c r="Q920" s="2">
        <v>46364</v>
      </c>
      <c r="R920" t="s">
        <v>64</v>
      </c>
    </row>
    <row r="921" spans="1:18" x14ac:dyDescent="0.2">
      <c r="A921" t="s">
        <v>1899</v>
      </c>
      <c r="B921" t="s">
        <v>1900</v>
      </c>
      <c r="C921" t="s">
        <v>103</v>
      </c>
      <c r="D921" t="s">
        <v>104</v>
      </c>
      <c r="E921" t="s">
        <v>91</v>
      </c>
      <c r="F921" t="s">
        <v>45</v>
      </c>
      <c r="G921" t="s">
        <v>61</v>
      </c>
      <c r="H921" t="s">
        <v>88</v>
      </c>
      <c r="I921" t="s">
        <v>111</v>
      </c>
      <c r="J921" t="s">
        <v>63</v>
      </c>
      <c r="K921" s="2">
        <v>46100</v>
      </c>
      <c r="L921" s="2">
        <v>46465</v>
      </c>
      <c r="M921" t="s">
        <v>84</v>
      </c>
      <c r="N921" t="s">
        <v>55</v>
      </c>
      <c r="O921">
        <v>0</v>
      </c>
      <c r="P921" t="s">
        <v>56</v>
      </c>
      <c r="Q921" s="2">
        <v>46233</v>
      </c>
      <c r="R921" t="s">
        <v>57</v>
      </c>
    </row>
    <row r="922" spans="1:18" x14ac:dyDescent="0.2">
      <c r="A922" t="s">
        <v>1901</v>
      </c>
      <c r="B922" t="s">
        <v>1902</v>
      </c>
      <c r="C922" t="s">
        <v>31</v>
      </c>
      <c r="D922" t="s">
        <v>83</v>
      </c>
      <c r="E922" t="s">
        <v>105</v>
      </c>
      <c r="F922" t="s">
        <v>67</v>
      </c>
      <c r="G922" t="s">
        <v>118</v>
      </c>
      <c r="H922" t="s">
        <v>88</v>
      </c>
      <c r="I922" t="s">
        <v>54</v>
      </c>
      <c r="J922" t="s">
        <v>63</v>
      </c>
      <c r="K922" s="2">
        <v>45983</v>
      </c>
      <c r="L922" s="2">
        <v>46348</v>
      </c>
      <c r="M922" t="s">
        <v>64</v>
      </c>
      <c r="N922" t="s">
        <v>55</v>
      </c>
      <c r="O922">
        <v>1</v>
      </c>
      <c r="P922" t="s">
        <v>50</v>
      </c>
      <c r="Q922" s="2">
        <v>46317</v>
      </c>
      <c r="R922" t="s">
        <v>84</v>
      </c>
    </row>
    <row r="923" spans="1:18" x14ac:dyDescent="0.2">
      <c r="A923" t="s">
        <v>1903</v>
      </c>
      <c r="B923" t="s">
        <v>1904</v>
      </c>
      <c r="C923" t="s">
        <v>42</v>
      </c>
      <c r="D923" t="s">
        <v>43</v>
      </c>
      <c r="E923" t="s">
        <v>91</v>
      </c>
      <c r="F923" t="s">
        <v>67</v>
      </c>
      <c r="G923" t="s">
        <v>118</v>
      </c>
      <c r="H923" t="s">
        <v>88</v>
      </c>
      <c r="I923" t="s">
        <v>62</v>
      </c>
      <c r="J923" t="s">
        <v>48</v>
      </c>
      <c r="K923" s="2">
        <v>45876</v>
      </c>
      <c r="L923" s="2">
        <v>46241</v>
      </c>
      <c r="M923" t="s">
        <v>38</v>
      </c>
      <c r="N923" t="s">
        <v>75</v>
      </c>
      <c r="O923">
        <v>1</v>
      </c>
      <c r="P923" t="s">
        <v>56</v>
      </c>
      <c r="Q923" s="2">
        <v>46249</v>
      </c>
      <c r="R923" t="s">
        <v>38</v>
      </c>
    </row>
    <row r="924" spans="1:18" x14ac:dyDescent="0.2">
      <c r="A924" t="s">
        <v>1905</v>
      </c>
      <c r="B924" t="s">
        <v>1906</v>
      </c>
      <c r="C924" t="s">
        <v>31</v>
      </c>
      <c r="D924" t="s">
        <v>87</v>
      </c>
      <c r="E924" t="s">
        <v>91</v>
      </c>
      <c r="F924" t="s">
        <v>67</v>
      </c>
      <c r="G924" t="s">
        <v>118</v>
      </c>
      <c r="H924" t="s">
        <v>88</v>
      </c>
      <c r="I924" t="s">
        <v>56</v>
      </c>
      <c r="J924" t="s">
        <v>37</v>
      </c>
      <c r="K924" s="2">
        <v>46058</v>
      </c>
      <c r="L924" s="2">
        <v>46423</v>
      </c>
      <c r="M924" t="s">
        <v>64</v>
      </c>
      <c r="N924" t="s">
        <v>75</v>
      </c>
      <c r="O924">
        <v>0</v>
      </c>
      <c r="P924" t="s">
        <v>50</v>
      </c>
      <c r="Q924" s="2">
        <v>46321</v>
      </c>
      <c r="R924" t="s">
        <v>57</v>
      </c>
    </row>
    <row r="925" spans="1:18" x14ac:dyDescent="0.2">
      <c r="A925" t="s">
        <v>1907</v>
      </c>
      <c r="B925" t="s">
        <v>1908</v>
      </c>
      <c r="C925" t="s">
        <v>78</v>
      </c>
      <c r="D925" t="s">
        <v>79</v>
      </c>
      <c r="E925" t="s">
        <v>105</v>
      </c>
      <c r="F925" t="s">
        <v>67</v>
      </c>
      <c r="G925" t="s">
        <v>118</v>
      </c>
      <c r="H925" t="s">
        <v>36</v>
      </c>
      <c r="I925" t="s">
        <v>54</v>
      </c>
      <c r="J925" t="s">
        <v>37</v>
      </c>
      <c r="K925" s="2">
        <v>46169</v>
      </c>
      <c r="L925" s="2">
        <v>46534</v>
      </c>
      <c r="M925" t="s">
        <v>69</v>
      </c>
      <c r="N925" t="s">
        <v>75</v>
      </c>
      <c r="O925">
        <v>0</v>
      </c>
      <c r="P925" t="s">
        <v>106</v>
      </c>
      <c r="Q925" s="2">
        <v>46279</v>
      </c>
      <c r="R925" t="s">
        <v>57</v>
      </c>
    </row>
    <row r="926" spans="1:18" x14ac:dyDescent="0.2">
      <c r="A926" t="s">
        <v>1909</v>
      </c>
      <c r="B926" t="s">
        <v>1910</v>
      </c>
      <c r="C926" t="s">
        <v>31</v>
      </c>
      <c r="D926" t="s">
        <v>83</v>
      </c>
      <c r="E926" t="s">
        <v>44</v>
      </c>
      <c r="F926" t="s">
        <v>34</v>
      </c>
      <c r="G926" t="s">
        <v>35</v>
      </c>
      <c r="H926" t="s">
        <v>88</v>
      </c>
      <c r="I926" t="s">
        <v>111</v>
      </c>
      <c r="J926" t="s">
        <v>63</v>
      </c>
      <c r="K926" s="2">
        <v>45837</v>
      </c>
      <c r="L926" s="2">
        <v>46017</v>
      </c>
      <c r="M926" t="s">
        <v>38</v>
      </c>
      <c r="N926" t="s">
        <v>55</v>
      </c>
      <c r="O926">
        <v>0</v>
      </c>
      <c r="P926" t="s">
        <v>111</v>
      </c>
      <c r="Q926" s="2">
        <v>46239</v>
      </c>
      <c r="R926" t="s">
        <v>57</v>
      </c>
    </row>
    <row r="927" spans="1:18" x14ac:dyDescent="0.2">
      <c r="A927" t="s">
        <v>1911</v>
      </c>
      <c r="B927" t="s">
        <v>1912</v>
      </c>
      <c r="C927" t="s">
        <v>78</v>
      </c>
      <c r="D927" t="s">
        <v>79</v>
      </c>
      <c r="E927" t="s">
        <v>105</v>
      </c>
      <c r="F927" t="s">
        <v>34</v>
      </c>
      <c r="G927" t="s">
        <v>35</v>
      </c>
      <c r="H927" t="s">
        <v>36</v>
      </c>
      <c r="I927" t="s">
        <v>62</v>
      </c>
      <c r="J927" t="s">
        <v>48</v>
      </c>
      <c r="K927" s="2">
        <v>45923</v>
      </c>
      <c r="L927" s="2">
        <v>46288</v>
      </c>
      <c r="M927" t="s">
        <v>38</v>
      </c>
      <c r="N927" t="s">
        <v>75</v>
      </c>
      <c r="O927">
        <v>1</v>
      </c>
      <c r="P927" t="s">
        <v>39</v>
      </c>
      <c r="Q927" s="2">
        <v>46258</v>
      </c>
      <c r="R927" t="s">
        <v>38</v>
      </c>
    </row>
    <row r="928" spans="1:18" x14ac:dyDescent="0.2">
      <c r="A928" t="s">
        <v>1913</v>
      </c>
      <c r="B928" t="s">
        <v>1914</v>
      </c>
      <c r="C928" t="s">
        <v>31</v>
      </c>
      <c r="D928" t="s">
        <v>32</v>
      </c>
      <c r="E928" t="s">
        <v>53</v>
      </c>
      <c r="F928" t="s">
        <v>34</v>
      </c>
      <c r="G928" t="s">
        <v>35</v>
      </c>
      <c r="H928" t="s">
        <v>88</v>
      </c>
      <c r="I928" t="s">
        <v>111</v>
      </c>
      <c r="J928" t="s">
        <v>63</v>
      </c>
      <c r="K928" s="2">
        <v>45803</v>
      </c>
      <c r="L928" s="2">
        <v>45983</v>
      </c>
      <c r="M928" t="s">
        <v>38</v>
      </c>
      <c r="N928" t="s">
        <v>55</v>
      </c>
      <c r="O928">
        <v>3</v>
      </c>
      <c r="P928" t="s">
        <v>62</v>
      </c>
      <c r="Q928" s="2">
        <v>46183</v>
      </c>
      <c r="R928" t="s">
        <v>38</v>
      </c>
    </row>
    <row r="929" spans="1:18" x14ac:dyDescent="0.2">
      <c r="A929" t="s">
        <v>1915</v>
      </c>
      <c r="B929" t="s">
        <v>1916</v>
      </c>
      <c r="C929" t="s">
        <v>42</v>
      </c>
      <c r="D929" t="s">
        <v>43</v>
      </c>
      <c r="E929" t="s">
        <v>60</v>
      </c>
      <c r="F929" t="s">
        <v>45</v>
      </c>
      <c r="G929" t="s">
        <v>46</v>
      </c>
      <c r="H929" t="s">
        <v>47</v>
      </c>
      <c r="I929" t="s">
        <v>54</v>
      </c>
      <c r="J929" t="s">
        <v>63</v>
      </c>
      <c r="K929" s="2">
        <v>45988</v>
      </c>
      <c r="L929" s="2">
        <v>46078</v>
      </c>
      <c r="M929" t="s">
        <v>38</v>
      </c>
      <c r="N929" t="s">
        <v>75</v>
      </c>
      <c r="O929">
        <v>1</v>
      </c>
      <c r="P929" t="s">
        <v>56</v>
      </c>
      <c r="Q929" s="2">
        <v>46282</v>
      </c>
      <c r="R929" t="s">
        <v>38</v>
      </c>
    </row>
    <row r="930" spans="1:18" x14ac:dyDescent="0.2">
      <c r="A930" t="s">
        <v>1917</v>
      </c>
      <c r="B930" t="s">
        <v>1918</v>
      </c>
      <c r="C930" t="s">
        <v>73</v>
      </c>
      <c r="D930" t="s">
        <v>74</v>
      </c>
      <c r="E930" t="s">
        <v>44</v>
      </c>
      <c r="F930" t="s">
        <v>34</v>
      </c>
      <c r="G930" t="s">
        <v>35</v>
      </c>
      <c r="H930" t="s">
        <v>36</v>
      </c>
      <c r="I930" t="s">
        <v>70</v>
      </c>
      <c r="J930" t="s">
        <v>37</v>
      </c>
      <c r="K930" s="2">
        <v>45830</v>
      </c>
      <c r="L930" s="2">
        <v>46195</v>
      </c>
      <c r="M930" t="s">
        <v>38</v>
      </c>
      <c r="N930" t="s">
        <v>49</v>
      </c>
      <c r="O930">
        <v>5</v>
      </c>
      <c r="P930" t="s">
        <v>54</v>
      </c>
      <c r="Q930" s="2">
        <v>46275</v>
      </c>
      <c r="R930" t="s">
        <v>38</v>
      </c>
    </row>
    <row r="931" spans="1:18" x14ac:dyDescent="0.2">
      <c r="A931" t="s">
        <v>1919</v>
      </c>
      <c r="B931" t="s">
        <v>1920</v>
      </c>
      <c r="C931" t="s">
        <v>31</v>
      </c>
      <c r="D931" t="s">
        <v>87</v>
      </c>
      <c r="E931" t="s">
        <v>80</v>
      </c>
      <c r="F931" t="s">
        <v>45</v>
      </c>
      <c r="G931" t="s">
        <v>61</v>
      </c>
      <c r="H931" t="s">
        <v>47</v>
      </c>
      <c r="I931" t="s">
        <v>106</v>
      </c>
      <c r="J931" t="s">
        <v>48</v>
      </c>
      <c r="K931" s="2">
        <v>46105</v>
      </c>
      <c r="L931" s="2">
        <v>46195</v>
      </c>
      <c r="M931" t="s">
        <v>38</v>
      </c>
      <c r="N931" t="s">
        <v>49</v>
      </c>
      <c r="O931">
        <v>2</v>
      </c>
      <c r="P931" t="s">
        <v>62</v>
      </c>
      <c r="Q931" s="2">
        <v>46245</v>
      </c>
      <c r="R931" t="s">
        <v>38</v>
      </c>
    </row>
    <row r="932" spans="1:18" x14ac:dyDescent="0.2">
      <c r="A932" t="s">
        <v>1921</v>
      </c>
      <c r="B932" t="s">
        <v>1922</v>
      </c>
      <c r="C932" t="s">
        <v>78</v>
      </c>
      <c r="D932" t="s">
        <v>79</v>
      </c>
      <c r="E932" t="s">
        <v>80</v>
      </c>
      <c r="F932" t="s">
        <v>67</v>
      </c>
      <c r="G932" t="s">
        <v>118</v>
      </c>
      <c r="H932" t="s">
        <v>36</v>
      </c>
      <c r="I932" t="s">
        <v>39</v>
      </c>
      <c r="J932" t="s">
        <v>63</v>
      </c>
      <c r="K932" s="2">
        <v>45808</v>
      </c>
      <c r="L932" s="2">
        <v>46173</v>
      </c>
      <c r="M932" t="s">
        <v>38</v>
      </c>
      <c r="N932" t="s">
        <v>75</v>
      </c>
      <c r="O932">
        <v>0</v>
      </c>
      <c r="P932" t="s">
        <v>106</v>
      </c>
      <c r="Q932" s="2">
        <v>46404</v>
      </c>
      <c r="R932" t="s">
        <v>57</v>
      </c>
    </row>
    <row r="933" spans="1:18" x14ac:dyDescent="0.2">
      <c r="A933" t="s">
        <v>1923</v>
      </c>
      <c r="B933" t="s">
        <v>1924</v>
      </c>
      <c r="C933" t="s">
        <v>31</v>
      </c>
      <c r="D933" t="s">
        <v>32</v>
      </c>
      <c r="E933" t="s">
        <v>53</v>
      </c>
      <c r="F933" t="s">
        <v>34</v>
      </c>
      <c r="G933" t="s">
        <v>35</v>
      </c>
      <c r="H933" t="s">
        <v>88</v>
      </c>
      <c r="I933" t="s">
        <v>70</v>
      </c>
      <c r="J933" t="s">
        <v>48</v>
      </c>
      <c r="K933" s="2">
        <v>45899</v>
      </c>
      <c r="L933" s="2">
        <v>45989</v>
      </c>
      <c r="M933" t="s">
        <v>38</v>
      </c>
      <c r="N933" t="s">
        <v>49</v>
      </c>
      <c r="O933">
        <v>0</v>
      </c>
      <c r="P933" t="s">
        <v>70</v>
      </c>
      <c r="Q933" s="2">
        <v>46400</v>
      </c>
      <c r="R933" t="s">
        <v>57</v>
      </c>
    </row>
    <row r="934" spans="1:18" x14ac:dyDescent="0.2">
      <c r="A934" t="s">
        <v>1925</v>
      </c>
      <c r="B934" t="s">
        <v>1926</v>
      </c>
      <c r="C934" t="s">
        <v>31</v>
      </c>
      <c r="D934" t="s">
        <v>83</v>
      </c>
      <c r="E934" t="s">
        <v>60</v>
      </c>
      <c r="F934" t="s">
        <v>34</v>
      </c>
      <c r="G934" t="s">
        <v>35</v>
      </c>
      <c r="H934" t="s">
        <v>88</v>
      </c>
      <c r="I934" t="s">
        <v>54</v>
      </c>
      <c r="J934" t="s">
        <v>37</v>
      </c>
      <c r="K934" s="2">
        <v>45891</v>
      </c>
      <c r="L934" s="2">
        <v>45981</v>
      </c>
      <c r="M934" t="s">
        <v>38</v>
      </c>
      <c r="N934" t="s">
        <v>49</v>
      </c>
      <c r="O934">
        <v>3</v>
      </c>
      <c r="P934" t="s">
        <v>70</v>
      </c>
      <c r="Q934" s="2">
        <v>46256</v>
      </c>
      <c r="R934" t="s">
        <v>38</v>
      </c>
    </row>
    <row r="935" spans="1:18" x14ac:dyDescent="0.2">
      <c r="A935" t="s">
        <v>1927</v>
      </c>
      <c r="B935" t="s">
        <v>1928</v>
      </c>
      <c r="C935" t="s">
        <v>78</v>
      </c>
      <c r="D935" t="s">
        <v>79</v>
      </c>
      <c r="E935" t="s">
        <v>80</v>
      </c>
      <c r="F935" t="s">
        <v>45</v>
      </c>
      <c r="G935" t="s">
        <v>61</v>
      </c>
      <c r="H935" t="s">
        <v>88</v>
      </c>
      <c r="I935" t="s">
        <v>62</v>
      </c>
      <c r="J935" t="s">
        <v>48</v>
      </c>
      <c r="K935" s="2">
        <v>45820</v>
      </c>
      <c r="L935" s="2">
        <v>45910</v>
      </c>
      <c r="M935" t="s">
        <v>38</v>
      </c>
      <c r="N935" t="s">
        <v>75</v>
      </c>
      <c r="O935">
        <v>2</v>
      </c>
      <c r="P935" t="s">
        <v>54</v>
      </c>
      <c r="Q935" s="2">
        <v>46118</v>
      </c>
      <c r="R935" t="s">
        <v>38</v>
      </c>
    </row>
    <row r="936" spans="1:18" x14ac:dyDescent="0.2">
      <c r="A936" t="s">
        <v>1929</v>
      </c>
      <c r="B936" t="s">
        <v>1930</v>
      </c>
      <c r="C936" t="s">
        <v>31</v>
      </c>
      <c r="D936" t="s">
        <v>83</v>
      </c>
      <c r="E936" t="s">
        <v>44</v>
      </c>
      <c r="F936" t="s">
        <v>67</v>
      </c>
      <c r="G936" t="s">
        <v>118</v>
      </c>
      <c r="H936" t="s">
        <v>47</v>
      </c>
      <c r="I936" t="s">
        <v>54</v>
      </c>
      <c r="J936" t="s">
        <v>48</v>
      </c>
      <c r="K936" s="2">
        <v>45976</v>
      </c>
      <c r="L936" s="2">
        <v>46341</v>
      </c>
      <c r="M936" t="s">
        <v>69</v>
      </c>
      <c r="N936" t="s">
        <v>49</v>
      </c>
      <c r="O936">
        <v>1</v>
      </c>
      <c r="P936" t="s">
        <v>54</v>
      </c>
      <c r="Q936" s="2">
        <v>46409</v>
      </c>
      <c r="R936" t="s">
        <v>84</v>
      </c>
    </row>
    <row r="937" spans="1:18" x14ac:dyDescent="0.2">
      <c r="A937" t="s">
        <v>1931</v>
      </c>
      <c r="B937" t="s">
        <v>1932</v>
      </c>
      <c r="C937" t="s">
        <v>73</v>
      </c>
      <c r="D937" t="s">
        <v>74</v>
      </c>
      <c r="E937" t="s">
        <v>105</v>
      </c>
      <c r="F937" t="s">
        <v>67</v>
      </c>
      <c r="G937" t="s">
        <v>68</v>
      </c>
      <c r="H937" t="s">
        <v>47</v>
      </c>
      <c r="I937" t="s">
        <v>39</v>
      </c>
      <c r="J937" t="s">
        <v>63</v>
      </c>
      <c r="K937" s="2">
        <v>45876</v>
      </c>
      <c r="L937" s="2">
        <v>45966</v>
      </c>
      <c r="M937" t="s">
        <v>38</v>
      </c>
      <c r="N937" t="s">
        <v>49</v>
      </c>
      <c r="O937">
        <v>2</v>
      </c>
      <c r="P937" t="s">
        <v>54</v>
      </c>
      <c r="Q937" s="2">
        <v>46150</v>
      </c>
      <c r="R937" t="s">
        <v>64</v>
      </c>
    </row>
    <row r="938" spans="1:18" x14ac:dyDescent="0.2">
      <c r="A938" t="s">
        <v>1933</v>
      </c>
      <c r="B938" t="s">
        <v>1934</v>
      </c>
      <c r="C938" t="s">
        <v>96</v>
      </c>
      <c r="D938" t="s">
        <v>97</v>
      </c>
      <c r="E938" t="s">
        <v>44</v>
      </c>
      <c r="F938" t="s">
        <v>45</v>
      </c>
      <c r="G938" t="s">
        <v>61</v>
      </c>
      <c r="H938" t="s">
        <v>88</v>
      </c>
      <c r="I938" t="s">
        <v>56</v>
      </c>
      <c r="J938" t="s">
        <v>37</v>
      </c>
      <c r="K938" s="2">
        <v>46156</v>
      </c>
      <c r="L938" s="2">
        <v>46246</v>
      </c>
      <c r="M938" t="s">
        <v>38</v>
      </c>
      <c r="N938" t="s">
        <v>75</v>
      </c>
      <c r="O938">
        <v>0</v>
      </c>
      <c r="P938" t="s">
        <v>39</v>
      </c>
      <c r="Q938" s="2">
        <v>46185</v>
      </c>
      <c r="R938" t="s">
        <v>57</v>
      </c>
    </row>
    <row r="939" spans="1:18" x14ac:dyDescent="0.2">
      <c r="A939" t="s">
        <v>1935</v>
      </c>
      <c r="B939" t="s">
        <v>1936</v>
      </c>
      <c r="C939" t="s">
        <v>31</v>
      </c>
      <c r="D939" t="s">
        <v>83</v>
      </c>
      <c r="E939" t="s">
        <v>80</v>
      </c>
      <c r="F939" t="s">
        <v>67</v>
      </c>
      <c r="G939" t="s">
        <v>68</v>
      </c>
      <c r="H939" t="s">
        <v>47</v>
      </c>
      <c r="I939" t="s">
        <v>111</v>
      </c>
      <c r="J939" t="s">
        <v>63</v>
      </c>
      <c r="K939" s="2">
        <v>46071</v>
      </c>
      <c r="L939" s="2">
        <v>46161</v>
      </c>
      <c r="M939" t="s">
        <v>38</v>
      </c>
      <c r="N939" t="s">
        <v>55</v>
      </c>
      <c r="O939">
        <v>3</v>
      </c>
      <c r="P939" t="s">
        <v>70</v>
      </c>
      <c r="Q939" s="2">
        <v>46178</v>
      </c>
      <c r="R939" t="s">
        <v>64</v>
      </c>
    </row>
    <row r="940" spans="1:18" x14ac:dyDescent="0.2">
      <c r="A940" t="s">
        <v>1937</v>
      </c>
      <c r="B940" t="s">
        <v>1938</v>
      </c>
      <c r="C940" t="s">
        <v>73</v>
      </c>
      <c r="D940" t="s">
        <v>74</v>
      </c>
      <c r="E940" t="s">
        <v>105</v>
      </c>
      <c r="F940" t="s">
        <v>45</v>
      </c>
      <c r="G940" t="s">
        <v>46</v>
      </c>
      <c r="H940" t="s">
        <v>98</v>
      </c>
      <c r="I940" t="s">
        <v>106</v>
      </c>
      <c r="J940" t="s">
        <v>37</v>
      </c>
      <c r="K940" s="2">
        <v>45892</v>
      </c>
      <c r="L940" s="2">
        <v>46072</v>
      </c>
      <c r="M940" t="s">
        <v>38</v>
      </c>
      <c r="N940" t="s">
        <v>75</v>
      </c>
      <c r="O940">
        <v>1</v>
      </c>
      <c r="P940" t="s">
        <v>70</v>
      </c>
      <c r="Q940" s="2">
        <v>46222</v>
      </c>
      <c r="R940" t="s">
        <v>38</v>
      </c>
    </row>
    <row r="941" spans="1:18" x14ac:dyDescent="0.2">
      <c r="A941" t="s">
        <v>1939</v>
      </c>
      <c r="B941" t="s">
        <v>1940</v>
      </c>
      <c r="C941" t="s">
        <v>78</v>
      </c>
      <c r="D941" t="s">
        <v>79</v>
      </c>
      <c r="E941" t="s">
        <v>105</v>
      </c>
      <c r="F941" t="s">
        <v>67</v>
      </c>
      <c r="G941" t="s">
        <v>68</v>
      </c>
      <c r="H941" t="s">
        <v>88</v>
      </c>
      <c r="I941" t="s">
        <v>62</v>
      </c>
      <c r="J941" t="s">
        <v>63</v>
      </c>
      <c r="K941" s="2">
        <v>46071</v>
      </c>
      <c r="L941" s="2">
        <v>46161</v>
      </c>
      <c r="M941" t="s">
        <v>38</v>
      </c>
      <c r="N941" t="s">
        <v>75</v>
      </c>
      <c r="O941">
        <v>2</v>
      </c>
      <c r="P941" t="s">
        <v>56</v>
      </c>
      <c r="Q941" s="2">
        <v>46273</v>
      </c>
      <c r="R941" t="s">
        <v>38</v>
      </c>
    </row>
    <row r="942" spans="1:18" x14ac:dyDescent="0.2">
      <c r="A942" t="s">
        <v>1941</v>
      </c>
      <c r="B942" t="s">
        <v>1942</v>
      </c>
      <c r="C942" t="s">
        <v>103</v>
      </c>
      <c r="D942" t="s">
        <v>104</v>
      </c>
      <c r="E942" t="s">
        <v>91</v>
      </c>
      <c r="F942" t="s">
        <v>45</v>
      </c>
      <c r="G942" t="s">
        <v>46</v>
      </c>
      <c r="H942" t="s">
        <v>88</v>
      </c>
      <c r="I942" t="s">
        <v>62</v>
      </c>
      <c r="J942" t="s">
        <v>63</v>
      </c>
      <c r="K942" s="2">
        <v>45827</v>
      </c>
      <c r="L942" s="2">
        <v>46007</v>
      </c>
      <c r="M942" t="s">
        <v>38</v>
      </c>
      <c r="N942" t="s">
        <v>55</v>
      </c>
      <c r="O942">
        <v>2</v>
      </c>
      <c r="P942" t="s">
        <v>39</v>
      </c>
      <c r="Q942" s="2">
        <v>46280</v>
      </c>
      <c r="R942" t="s">
        <v>64</v>
      </c>
    </row>
    <row r="943" spans="1:18" x14ac:dyDescent="0.2">
      <c r="A943" t="s">
        <v>1943</v>
      </c>
      <c r="B943" t="s">
        <v>1944</v>
      </c>
      <c r="C943" t="s">
        <v>31</v>
      </c>
      <c r="D943" t="s">
        <v>83</v>
      </c>
      <c r="E943" t="s">
        <v>44</v>
      </c>
      <c r="F943" t="s">
        <v>45</v>
      </c>
      <c r="G943" t="s">
        <v>46</v>
      </c>
      <c r="H943" t="s">
        <v>88</v>
      </c>
      <c r="I943" t="s">
        <v>39</v>
      </c>
      <c r="J943" t="s">
        <v>48</v>
      </c>
      <c r="K943" s="2">
        <v>46244</v>
      </c>
      <c r="L943" s="2">
        <v>46609</v>
      </c>
      <c r="M943" t="s">
        <v>69</v>
      </c>
      <c r="N943" t="s">
        <v>75</v>
      </c>
      <c r="O943">
        <v>3</v>
      </c>
      <c r="P943" t="s">
        <v>50</v>
      </c>
      <c r="Q943" s="2">
        <v>46195</v>
      </c>
      <c r="R943" t="s">
        <v>38</v>
      </c>
    </row>
    <row r="944" spans="1:18" x14ac:dyDescent="0.2">
      <c r="A944" t="s">
        <v>1945</v>
      </c>
      <c r="B944" t="s">
        <v>1946</v>
      </c>
      <c r="C944" t="s">
        <v>73</v>
      </c>
      <c r="D944" t="s">
        <v>74</v>
      </c>
      <c r="E944" t="s">
        <v>44</v>
      </c>
      <c r="F944" t="s">
        <v>67</v>
      </c>
      <c r="G944" t="s">
        <v>68</v>
      </c>
      <c r="H944" t="s">
        <v>47</v>
      </c>
      <c r="I944" t="s">
        <v>54</v>
      </c>
      <c r="J944" t="s">
        <v>37</v>
      </c>
      <c r="K944" s="2">
        <v>46119</v>
      </c>
      <c r="L944" s="2">
        <v>46299</v>
      </c>
      <c r="M944" t="s">
        <v>69</v>
      </c>
      <c r="N944" t="s">
        <v>49</v>
      </c>
      <c r="O944">
        <v>2</v>
      </c>
      <c r="P944" t="s">
        <v>39</v>
      </c>
      <c r="Q944" s="2">
        <v>46129</v>
      </c>
      <c r="R944" t="s">
        <v>38</v>
      </c>
    </row>
    <row r="945" spans="1:18" x14ac:dyDescent="0.2">
      <c r="A945" t="s">
        <v>1947</v>
      </c>
      <c r="B945" t="s">
        <v>1948</v>
      </c>
      <c r="C945" t="s">
        <v>73</v>
      </c>
      <c r="D945" t="s">
        <v>74</v>
      </c>
      <c r="E945" t="s">
        <v>80</v>
      </c>
      <c r="F945" t="s">
        <v>34</v>
      </c>
      <c r="G945" t="s">
        <v>35</v>
      </c>
      <c r="H945" t="s">
        <v>47</v>
      </c>
      <c r="J945" t="s">
        <v>48</v>
      </c>
      <c r="K945" s="2">
        <v>46082</v>
      </c>
      <c r="L945" s="2">
        <v>46447</v>
      </c>
      <c r="M945" t="s">
        <v>84</v>
      </c>
      <c r="N945" t="s">
        <v>55</v>
      </c>
      <c r="O945">
        <v>0</v>
      </c>
      <c r="P945" t="s">
        <v>62</v>
      </c>
      <c r="Q945" s="2">
        <v>46122</v>
      </c>
      <c r="R945" t="s">
        <v>57</v>
      </c>
    </row>
    <row r="946" spans="1:18" x14ac:dyDescent="0.2">
      <c r="A946" t="s">
        <v>1949</v>
      </c>
      <c r="B946" t="s">
        <v>1950</v>
      </c>
      <c r="C946" t="s">
        <v>96</v>
      </c>
      <c r="D946" t="s">
        <v>97</v>
      </c>
      <c r="E946" t="s">
        <v>80</v>
      </c>
      <c r="F946" t="s">
        <v>45</v>
      </c>
      <c r="G946" t="s">
        <v>46</v>
      </c>
      <c r="H946" t="s">
        <v>88</v>
      </c>
      <c r="I946" t="s">
        <v>62</v>
      </c>
      <c r="J946" t="s">
        <v>48</v>
      </c>
      <c r="K946" s="2">
        <v>45837</v>
      </c>
      <c r="L946" s="2">
        <v>46202</v>
      </c>
      <c r="M946" t="s">
        <v>38</v>
      </c>
      <c r="N946" t="s">
        <v>75</v>
      </c>
      <c r="O946">
        <v>1</v>
      </c>
      <c r="P946" t="s">
        <v>106</v>
      </c>
      <c r="Q946" s="2">
        <v>46115</v>
      </c>
      <c r="R946" t="s">
        <v>64</v>
      </c>
    </row>
    <row r="947" spans="1:18" x14ac:dyDescent="0.2">
      <c r="A947" t="s">
        <v>1951</v>
      </c>
      <c r="B947" t="s">
        <v>1952</v>
      </c>
      <c r="C947" t="s">
        <v>31</v>
      </c>
      <c r="D947" t="s">
        <v>83</v>
      </c>
      <c r="E947" t="s">
        <v>60</v>
      </c>
      <c r="F947" t="s">
        <v>34</v>
      </c>
      <c r="G947" t="s">
        <v>35</v>
      </c>
      <c r="H947" t="s">
        <v>88</v>
      </c>
      <c r="I947" t="s">
        <v>70</v>
      </c>
      <c r="J947" t="s">
        <v>48</v>
      </c>
      <c r="K947" s="2">
        <v>46031</v>
      </c>
      <c r="L947" s="2">
        <v>46211</v>
      </c>
      <c r="M947" t="s">
        <v>38</v>
      </c>
      <c r="N947" t="s">
        <v>49</v>
      </c>
      <c r="O947">
        <v>1</v>
      </c>
      <c r="P947" t="s">
        <v>54</v>
      </c>
      <c r="Q947" s="2">
        <v>46179</v>
      </c>
      <c r="R947" t="s">
        <v>64</v>
      </c>
    </row>
    <row r="948" spans="1:18" x14ac:dyDescent="0.2">
      <c r="A948" t="s">
        <v>1953</v>
      </c>
      <c r="B948" t="s">
        <v>1954</v>
      </c>
      <c r="C948" t="s">
        <v>42</v>
      </c>
      <c r="D948" t="s">
        <v>43</v>
      </c>
      <c r="E948" t="s">
        <v>91</v>
      </c>
      <c r="F948" t="s">
        <v>34</v>
      </c>
      <c r="G948" t="s">
        <v>35</v>
      </c>
      <c r="H948" t="s">
        <v>47</v>
      </c>
      <c r="I948" t="s">
        <v>62</v>
      </c>
      <c r="J948" t="s">
        <v>63</v>
      </c>
      <c r="K948" s="2">
        <v>46131</v>
      </c>
      <c r="L948" s="2">
        <v>46496</v>
      </c>
      <c r="M948" t="s">
        <v>64</v>
      </c>
      <c r="N948" t="s">
        <v>55</v>
      </c>
      <c r="O948">
        <v>2</v>
      </c>
      <c r="P948" t="s">
        <v>111</v>
      </c>
      <c r="Q948" s="2">
        <v>46209</v>
      </c>
      <c r="R948" t="s">
        <v>38</v>
      </c>
    </row>
    <row r="949" spans="1:18" x14ac:dyDescent="0.2">
      <c r="A949" t="s">
        <v>1955</v>
      </c>
      <c r="B949" t="s">
        <v>1956</v>
      </c>
      <c r="C949" t="s">
        <v>31</v>
      </c>
      <c r="D949" t="s">
        <v>87</v>
      </c>
      <c r="E949" t="s">
        <v>44</v>
      </c>
      <c r="F949" t="s">
        <v>34</v>
      </c>
      <c r="G949" t="s">
        <v>35</v>
      </c>
      <c r="H949" t="s">
        <v>88</v>
      </c>
      <c r="I949" t="s">
        <v>106</v>
      </c>
      <c r="J949" t="s">
        <v>48</v>
      </c>
      <c r="K949" s="2">
        <v>45937</v>
      </c>
      <c r="L949" s="2">
        <v>46027</v>
      </c>
      <c r="M949" t="s">
        <v>38</v>
      </c>
      <c r="N949" t="s">
        <v>49</v>
      </c>
      <c r="O949">
        <v>0</v>
      </c>
      <c r="P949" t="s">
        <v>50</v>
      </c>
      <c r="Q949" s="2">
        <v>46312</v>
      </c>
      <c r="R949" t="s">
        <v>57</v>
      </c>
    </row>
    <row r="950" spans="1:18" x14ac:dyDescent="0.2">
      <c r="A950" t="s">
        <v>1957</v>
      </c>
      <c r="B950" t="s">
        <v>1958</v>
      </c>
      <c r="C950" t="s">
        <v>103</v>
      </c>
      <c r="D950" t="s">
        <v>104</v>
      </c>
      <c r="E950" t="s">
        <v>91</v>
      </c>
      <c r="F950" t="s">
        <v>45</v>
      </c>
      <c r="G950" t="s">
        <v>46</v>
      </c>
      <c r="H950" t="s">
        <v>47</v>
      </c>
      <c r="I950" t="s">
        <v>54</v>
      </c>
      <c r="J950" t="s">
        <v>63</v>
      </c>
      <c r="K950" s="2">
        <v>46193</v>
      </c>
      <c r="L950" s="2">
        <v>46373</v>
      </c>
      <c r="M950" t="s">
        <v>64</v>
      </c>
      <c r="N950" t="s">
        <v>49</v>
      </c>
      <c r="O950">
        <v>3</v>
      </c>
      <c r="P950" t="s">
        <v>62</v>
      </c>
      <c r="Q950" s="2">
        <v>46362</v>
      </c>
      <c r="R950" t="s">
        <v>84</v>
      </c>
    </row>
    <row r="951" spans="1:18" x14ac:dyDescent="0.2">
      <c r="A951" t="s">
        <v>1959</v>
      </c>
      <c r="B951" t="s">
        <v>1960</v>
      </c>
      <c r="C951" t="s">
        <v>31</v>
      </c>
      <c r="D951" t="s">
        <v>83</v>
      </c>
      <c r="E951" t="s">
        <v>80</v>
      </c>
      <c r="F951" t="s">
        <v>67</v>
      </c>
      <c r="G951" t="s">
        <v>68</v>
      </c>
      <c r="H951" t="s">
        <v>88</v>
      </c>
      <c r="I951" t="s">
        <v>111</v>
      </c>
      <c r="J951" t="s">
        <v>37</v>
      </c>
      <c r="K951" s="2">
        <v>46215</v>
      </c>
      <c r="L951" s="2">
        <v>46580</v>
      </c>
      <c r="M951" t="s">
        <v>64</v>
      </c>
      <c r="N951" t="s">
        <v>49</v>
      </c>
      <c r="O951">
        <v>2</v>
      </c>
      <c r="P951" t="s">
        <v>111</v>
      </c>
      <c r="Q951" s="2">
        <v>46287</v>
      </c>
      <c r="R951" t="s">
        <v>38</v>
      </c>
    </row>
    <row r="952" spans="1:18" x14ac:dyDescent="0.2">
      <c r="A952" t="s">
        <v>1961</v>
      </c>
      <c r="B952" t="s">
        <v>1962</v>
      </c>
      <c r="C952" t="s">
        <v>78</v>
      </c>
      <c r="D952" t="s">
        <v>79</v>
      </c>
      <c r="E952" t="s">
        <v>91</v>
      </c>
      <c r="F952" t="s">
        <v>34</v>
      </c>
      <c r="G952" t="s">
        <v>35</v>
      </c>
      <c r="H952" t="s">
        <v>47</v>
      </c>
      <c r="I952" t="s">
        <v>106</v>
      </c>
      <c r="J952" t="s">
        <v>48</v>
      </c>
      <c r="K952" s="2">
        <v>45885</v>
      </c>
      <c r="L952" s="2">
        <v>46250</v>
      </c>
      <c r="M952" t="s">
        <v>38</v>
      </c>
      <c r="N952" t="s">
        <v>75</v>
      </c>
      <c r="O952">
        <v>0</v>
      </c>
      <c r="P952" t="s">
        <v>50</v>
      </c>
      <c r="Q952" s="2">
        <v>46302</v>
      </c>
      <c r="R952" t="s">
        <v>57</v>
      </c>
    </row>
    <row r="953" spans="1:18" x14ac:dyDescent="0.2">
      <c r="A953" t="s">
        <v>1963</v>
      </c>
      <c r="B953" t="s">
        <v>1964</v>
      </c>
      <c r="C953" t="s">
        <v>31</v>
      </c>
      <c r="D953" t="s">
        <v>32</v>
      </c>
      <c r="E953" t="s">
        <v>80</v>
      </c>
      <c r="F953" t="s">
        <v>45</v>
      </c>
      <c r="G953" t="s">
        <v>46</v>
      </c>
      <c r="H953" t="s">
        <v>36</v>
      </c>
      <c r="I953" t="s">
        <v>70</v>
      </c>
      <c r="J953" t="s">
        <v>63</v>
      </c>
      <c r="K953" s="2">
        <v>45994</v>
      </c>
      <c r="L953" s="2">
        <v>46359</v>
      </c>
      <c r="M953" t="s">
        <v>64</v>
      </c>
      <c r="N953" t="s">
        <v>75</v>
      </c>
      <c r="O953">
        <v>2</v>
      </c>
      <c r="P953" t="s">
        <v>50</v>
      </c>
      <c r="Q953" s="2">
        <v>46346</v>
      </c>
      <c r="R953" t="s">
        <v>84</v>
      </c>
    </row>
    <row r="954" spans="1:18" x14ac:dyDescent="0.2">
      <c r="A954" t="s">
        <v>1965</v>
      </c>
      <c r="B954" t="s">
        <v>1966</v>
      </c>
      <c r="C954" t="s">
        <v>31</v>
      </c>
      <c r="D954" t="s">
        <v>83</v>
      </c>
      <c r="E954" t="s">
        <v>44</v>
      </c>
      <c r="F954" t="s">
        <v>67</v>
      </c>
      <c r="G954" t="s">
        <v>68</v>
      </c>
      <c r="H954" t="s">
        <v>36</v>
      </c>
      <c r="I954" t="s">
        <v>54</v>
      </c>
      <c r="J954" t="s">
        <v>63</v>
      </c>
      <c r="K954" s="2">
        <v>45878</v>
      </c>
      <c r="L954" s="2">
        <v>45968</v>
      </c>
      <c r="M954" t="s">
        <v>38</v>
      </c>
      <c r="N954" t="s">
        <v>55</v>
      </c>
      <c r="O954">
        <v>5</v>
      </c>
      <c r="P954" t="s">
        <v>39</v>
      </c>
      <c r="Q954" s="2">
        <v>46296</v>
      </c>
      <c r="R954" t="s">
        <v>84</v>
      </c>
    </row>
    <row r="955" spans="1:18" x14ac:dyDescent="0.2">
      <c r="A955" t="s">
        <v>1968</v>
      </c>
      <c r="B955" t="s">
        <v>1969</v>
      </c>
      <c r="C955" t="s">
        <v>31</v>
      </c>
      <c r="D955" t="s">
        <v>83</v>
      </c>
      <c r="E955" t="s">
        <v>60</v>
      </c>
      <c r="F955" t="s">
        <v>34</v>
      </c>
      <c r="G955" t="s">
        <v>35</v>
      </c>
      <c r="H955" t="s">
        <v>47</v>
      </c>
      <c r="I955" t="s">
        <v>50</v>
      </c>
      <c r="J955" t="s">
        <v>63</v>
      </c>
      <c r="K955" s="2">
        <v>46084</v>
      </c>
      <c r="L955" s="2">
        <v>46174</v>
      </c>
      <c r="M955" t="s">
        <v>38</v>
      </c>
      <c r="N955" t="s">
        <v>55</v>
      </c>
      <c r="O955">
        <v>1</v>
      </c>
      <c r="P955" t="s">
        <v>62</v>
      </c>
      <c r="Q955" s="2">
        <v>46230</v>
      </c>
      <c r="R955" t="s">
        <v>38</v>
      </c>
    </row>
    <row r="956" spans="1:18" x14ac:dyDescent="0.2">
      <c r="A956" t="s">
        <v>1970</v>
      </c>
      <c r="B956" t="s">
        <v>1971</v>
      </c>
      <c r="C956" t="s">
        <v>42</v>
      </c>
      <c r="D956" t="s">
        <v>43</v>
      </c>
      <c r="E956" t="s">
        <v>105</v>
      </c>
      <c r="F956" t="s">
        <v>45</v>
      </c>
      <c r="G956" t="s">
        <v>61</v>
      </c>
      <c r="H956" t="s">
        <v>98</v>
      </c>
      <c r="I956" t="s">
        <v>62</v>
      </c>
      <c r="J956" t="s">
        <v>48</v>
      </c>
      <c r="K956" s="2">
        <v>46124</v>
      </c>
      <c r="L956" s="2">
        <v>46304</v>
      </c>
      <c r="M956" t="s">
        <v>69</v>
      </c>
      <c r="N956" t="s">
        <v>75</v>
      </c>
      <c r="O956">
        <v>3</v>
      </c>
      <c r="P956" t="s">
        <v>56</v>
      </c>
      <c r="Q956" s="2">
        <v>46279</v>
      </c>
      <c r="R956" t="s">
        <v>64</v>
      </c>
    </row>
    <row r="957" spans="1:18" x14ac:dyDescent="0.2">
      <c r="A957" t="s">
        <v>1972</v>
      </c>
      <c r="B957" t="s">
        <v>1973</v>
      </c>
      <c r="C957" t="s">
        <v>31</v>
      </c>
      <c r="D957" t="s">
        <v>83</v>
      </c>
      <c r="E957" t="s">
        <v>44</v>
      </c>
      <c r="F957" t="s">
        <v>34</v>
      </c>
      <c r="G957" t="s">
        <v>35</v>
      </c>
      <c r="H957" t="s">
        <v>98</v>
      </c>
      <c r="I957" t="s">
        <v>70</v>
      </c>
      <c r="J957" t="s">
        <v>37</v>
      </c>
      <c r="K957" s="2">
        <v>46245</v>
      </c>
      <c r="L957" s="2">
        <v>46425</v>
      </c>
      <c r="M957" t="s">
        <v>64</v>
      </c>
      <c r="N957" t="s">
        <v>75</v>
      </c>
      <c r="O957">
        <v>1</v>
      </c>
      <c r="P957" t="s">
        <v>62</v>
      </c>
      <c r="Q957" s="2">
        <v>46239</v>
      </c>
      <c r="R957" t="s">
        <v>38</v>
      </c>
    </row>
    <row r="958" spans="1:18" x14ac:dyDescent="0.2">
      <c r="A958" t="s">
        <v>1974</v>
      </c>
      <c r="B958" t="s">
        <v>1975</v>
      </c>
      <c r="C958" t="s">
        <v>31</v>
      </c>
      <c r="D958" t="s">
        <v>83</v>
      </c>
      <c r="E958" t="s">
        <v>44</v>
      </c>
      <c r="F958" t="s">
        <v>34</v>
      </c>
      <c r="G958" t="s">
        <v>35</v>
      </c>
      <c r="H958" t="s">
        <v>36</v>
      </c>
      <c r="I958" t="s">
        <v>70</v>
      </c>
      <c r="J958" t="s">
        <v>37</v>
      </c>
      <c r="K958" s="2">
        <v>46160</v>
      </c>
      <c r="L958" s="2">
        <v>46340</v>
      </c>
      <c r="M958" t="s">
        <v>64</v>
      </c>
      <c r="N958" t="s">
        <v>75</v>
      </c>
      <c r="O958">
        <v>0</v>
      </c>
      <c r="P958" t="s">
        <v>50</v>
      </c>
      <c r="Q958" s="2">
        <v>46414</v>
      </c>
      <c r="R958" t="s">
        <v>57</v>
      </c>
    </row>
    <row r="959" spans="1:18" x14ac:dyDescent="0.2">
      <c r="A959" t="s">
        <v>1976</v>
      </c>
      <c r="B959" t="s">
        <v>1977</v>
      </c>
      <c r="C959" t="s">
        <v>103</v>
      </c>
      <c r="D959" t="s">
        <v>104</v>
      </c>
      <c r="E959" t="s">
        <v>53</v>
      </c>
      <c r="F959" t="s">
        <v>34</v>
      </c>
      <c r="G959" t="s">
        <v>35</v>
      </c>
      <c r="H959" t="s">
        <v>47</v>
      </c>
      <c r="I959" t="s">
        <v>70</v>
      </c>
      <c r="J959" t="s">
        <v>37</v>
      </c>
      <c r="K959" s="2">
        <v>46009</v>
      </c>
      <c r="L959" s="2">
        <v>46189</v>
      </c>
      <c r="M959" t="s">
        <v>38</v>
      </c>
      <c r="N959" t="s">
        <v>49</v>
      </c>
      <c r="O959">
        <v>0</v>
      </c>
      <c r="P959" t="s">
        <v>56</v>
      </c>
      <c r="Q959" s="2">
        <v>46356</v>
      </c>
      <c r="R959" t="s">
        <v>57</v>
      </c>
    </row>
    <row r="960" spans="1:18" x14ac:dyDescent="0.2">
      <c r="A960" t="s">
        <v>1978</v>
      </c>
      <c r="B960" t="s">
        <v>1979</v>
      </c>
      <c r="C960" t="s">
        <v>96</v>
      </c>
      <c r="D960" t="s">
        <v>97</v>
      </c>
      <c r="E960" t="s">
        <v>44</v>
      </c>
      <c r="F960" t="s">
        <v>45</v>
      </c>
      <c r="G960" t="s">
        <v>61</v>
      </c>
      <c r="H960" t="s">
        <v>47</v>
      </c>
      <c r="I960" t="s">
        <v>106</v>
      </c>
      <c r="J960" t="s">
        <v>63</v>
      </c>
      <c r="K960" s="2">
        <v>45827</v>
      </c>
      <c r="L960" s="2">
        <v>46007</v>
      </c>
      <c r="M960" t="s">
        <v>38</v>
      </c>
      <c r="N960" t="s">
        <v>55</v>
      </c>
      <c r="O960">
        <v>3</v>
      </c>
      <c r="P960" t="s">
        <v>50</v>
      </c>
      <c r="Q960" s="2">
        <v>46245</v>
      </c>
      <c r="R960" t="s">
        <v>64</v>
      </c>
    </row>
    <row r="961" spans="1:18" x14ac:dyDescent="0.2">
      <c r="A961" t="s">
        <v>1980</v>
      </c>
      <c r="B961" t="s">
        <v>1981</v>
      </c>
      <c r="C961" t="s">
        <v>31</v>
      </c>
      <c r="D961" t="s">
        <v>32</v>
      </c>
      <c r="E961" t="s">
        <v>53</v>
      </c>
      <c r="F961" t="s">
        <v>34</v>
      </c>
      <c r="G961" t="s">
        <v>35</v>
      </c>
      <c r="H961" t="s">
        <v>47</v>
      </c>
      <c r="I961" t="s">
        <v>70</v>
      </c>
      <c r="J961" t="s">
        <v>37</v>
      </c>
      <c r="K961" s="2">
        <v>46230</v>
      </c>
      <c r="L961" s="2">
        <v>46595</v>
      </c>
      <c r="M961" t="s">
        <v>69</v>
      </c>
      <c r="N961" t="s">
        <v>55</v>
      </c>
      <c r="O961">
        <v>3</v>
      </c>
      <c r="P961" t="s">
        <v>56</v>
      </c>
      <c r="Q961" s="2">
        <v>46336</v>
      </c>
      <c r="R961" t="s">
        <v>84</v>
      </c>
    </row>
    <row r="962" spans="1:18" x14ac:dyDescent="0.2">
      <c r="A962" t="s">
        <v>1982</v>
      </c>
      <c r="B962" t="s">
        <v>1983</v>
      </c>
      <c r="C962" t="s">
        <v>103</v>
      </c>
      <c r="D962" t="s">
        <v>104</v>
      </c>
      <c r="E962" t="s">
        <v>80</v>
      </c>
      <c r="F962" t="s">
        <v>67</v>
      </c>
      <c r="G962" t="s">
        <v>118</v>
      </c>
      <c r="H962" t="s">
        <v>88</v>
      </c>
      <c r="I962" t="s">
        <v>56</v>
      </c>
      <c r="J962" t="s">
        <v>37</v>
      </c>
      <c r="K962" s="2">
        <v>46093</v>
      </c>
      <c r="L962" s="2">
        <v>46183</v>
      </c>
      <c r="M962" t="s">
        <v>38</v>
      </c>
      <c r="N962" t="s">
        <v>55</v>
      </c>
      <c r="O962">
        <v>0</v>
      </c>
      <c r="P962" t="s">
        <v>54</v>
      </c>
      <c r="Q962" s="2">
        <v>46363</v>
      </c>
      <c r="R962" t="s">
        <v>57</v>
      </c>
    </row>
    <row r="963" spans="1:18" x14ac:dyDescent="0.2">
      <c r="A963" t="s">
        <v>1984</v>
      </c>
      <c r="B963" t="s">
        <v>1985</v>
      </c>
      <c r="C963" t="s">
        <v>31</v>
      </c>
      <c r="D963" t="s">
        <v>32</v>
      </c>
      <c r="E963" t="s">
        <v>91</v>
      </c>
      <c r="F963" t="s">
        <v>34</v>
      </c>
      <c r="G963" t="s">
        <v>35</v>
      </c>
      <c r="H963" t="s">
        <v>47</v>
      </c>
      <c r="I963" t="s">
        <v>111</v>
      </c>
      <c r="J963" t="s">
        <v>48</v>
      </c>
      <c r="K963" s="2">
        <v>45988</v>
      </c>
      <c r="L963" s="2">
        <v>46353</v>
      </c>
      <c r="M963" t="s">
        <v>69</v>
      </c>
      <c r="N963" t="s">
        <v>49</v>
      </c>
      <c r="O963">
        <v>3</v>
      </c>
      <c r="P963" t="s">
        <v>70</v>
      </c>
      <c r="Q963" s="2">
        <v>46136</v>
      </c>
      <c r="R963" t="s">
        <v>38</v>
      </c>
    </row>
    <row r="964" spans="1:18" x14ac:dyDescent="0.2">
      <c r="A964" t="s">
        <v>1986</v>
      </c>
      <c r="B964" t="s">
        <v>1987</v>
      </c>
      <c r="C964" t="s">
        <v>96</v>
      </c>
      <c r="D964" t="s">
        <v>97</v>
      </c>
      <c r="E964" t="s">
        <v>60</v>
      </c>
      <c r="F964" t="s">
        <v>45</v>
      </c>
      <c r="G964" t="s">
        <v>61</v>
      </c>
      <c r="H964" t="s">
        <v>88</v>
      </c>
      <c r="I964" t="s">
        <v>62</v>
      </c>
      <c r="J964" t="s">
        <v>37</v>
      </c>
      <c r="K964" s="2">
        <v>45858</v>
      </c>
      <c r="L964" s="2">
        <v>46038</v>
      </c>
      <c r="M964" t="s">
        <v>38</v>
      </c>
      <c r="N964" t="s">
        <v>49</v>
      </c>
      <c r="O964">
        <v>0</v>
      </c>
      <c r="P964" t="s">
        <v>39</v>
      </c>
      <c r="Q964" s="2">
        <v>46292</v>
      </c>
      <c r="R964" t="s">
        <v>57</v>
      </c>
    </row>
    <row r="965" spans="1:18" x14ac:dyDescent="0.2">
      <c r="A965" t="s">
        <v>1988</v>
      </c>
      <c r="B965" t="s">
        <v>1989</v>
      </c>
      <c r="C965" t="s">
        <v>78</v>
      </c>
      <c r="D965" t="s">
        <v>79</v>
      </c>
      <c r="E965" t="s">
        <v>91</v>
      </c>
      <c r="F965" t="s">
        <v>67</v>
      </c>
      <c r="G965" t="s">
        <v>118</v>
      </c>
      <c r="H965" t="s">
        <v>36</v>
      </c>
      <c r="I965" t="s">
        <v>54</v>
      </c>
      <c r="J965" t="s">
        <v>48</v>
      </c>
      <c r="K965" s="2">
        <v>45985</v>
      </c>
      <c r="L965" s="2">
        <v>46075</v>
      </c>
      <c r="M965" t="s">
        <v>38</v>
      </c>
      <c r="N965" t="s">
        <v>55</v>
      </c>
      <c r="O965">
        <v>5</v>
      </c>
      <c r="P965" t="s">
        <v>111</v>
      </c>
      <c r="Q965" s="2">
        <v>46283</v>
      </c>
      <c r="R965" t="s">
        <v>64</v>
      </c>
    </row>
    <row r="966" spans="1:18" x14ac:dyDescent="0.2">
      <c r="A966" t="s">
        <v>1990</v>
      </c>
      <c r="B966" t="s">
        <v>1991</v>
      </c>
      <c r="C966" t="s">
        <v>73</v>
      </c>
      <c r="D966" t="s">
        <v>74</v>
      </c>
      <c r="E966" t="s">
        <v>91</v>
      </c>
      <c r="F966" t="s">
        <v>67</v>
      </c>
      <c r="G966" t="s">
        <v>118</v>
      </c>
      <c r="H966" t="s">
        <v>88</v>
      </c>
      <c r="I966" t="s">
        <v>54</v>
      </c>
      <c r="J966" t="s">
        <v>37</v>
      </c>
      <c r="K966" s="2">
        <v>46134</v>
      </c>
      <c r="L966" s="2">
        <v>46314</v>
      </c>
      <c r="M966" t="s">
        <v>69</v>
      </c>
      <c r="N966" t="s">
        <v>75</v>
      </c>
      <c r="O966">
        <v>2</v>
      </c>
      <c r="P966" t="s">
        <v>106</v>
      </c>
      <c r="Q966" s="2">
        <v>46197</v>
      </c>
      <c r="R966" t="s">
        <v>64</v>
      </c>
    </row>
    <row r="967" spans="1:18" x14ac:dyDescent="0.2">
      <c r="A967" t="s">
        <v>1992</v>
      </c>
      <c r="B967" t="s">
        <v>1993</v>
      </c>
      <c r="C967" t="s">
        <v>73</v>
      </c>
      <c r="D967" t="s">
        <v>74</v>
      </c>
      <c r="E967" t="s">
        <v>105</v>
      </c>
      <c r="F967" t="s">
        <v>45</v>
      </c>
      <c r="G967" t="s">
        <v>61</v>
      </c>
      <c r="H967" t="s">
        <v>88</v>
      </c>
      <c r="I967" t="s">
        <v>54</v>
      </c>
      <c r="J967" t="s">
        <v>37</v>
      </c>
      <c r="K967" s="2">
        <v>46113</v>
      </c>
      <c r="L967" s="2">
        <v>46293</v>
      </c>
      <c r="M967" t="s">
        <v>38</v>
      </c>
      <c r="N967" t="s">
        <v>55</v>
      </c>
      <c r="O967">
        <v>0</v>
      </c>
      <c r="P967" t="s">
        <v>50</v>
      </c>
      <c r="Q967" s="2">
        <v>46322</v>
      </c>
      <c r="R967" t="s">
        <v>57</v>
      </c>
    </row>
    <row r="968" spans="1:18" x14ac:dyDescent="0.2">
      <c r="A968" t="s">
        <v>1994</v>
      </c>
      <c r="B968" t="s">
        <v>1995</v>
      </c>
      <c r="C968" t="s">
        <v>73</v>
      </c>
      <c r="D968" t="s">
        <v>74</v>
      </c>
      <c r="E968" t="s">
        <v>53</v>
      </c>
      <c r="F968" t="s">
        <v>67</v>
      </c>
      <c r="G968" t="s">
        <v>68</v>
      </c>
      <c r="H968" t="s">
        <v>36</v>
      </c>
      <c r="I968" t="s">
        <v>111</v>
      </c>
      <c r="J968" t="s">
        <v>48</v>
      </c>
      <c r="K968" s="2">
        <v>46096</v>
      </c>
      <c r="L968" s="2">
        <v>46276</v>
      </c>
      <c r="M968" t="s">
        <v>38</v>
      </c>
      <c r="N968" t="s">
        <v>75</v>
      </c>
      <c r="O968">
        <v>2</v>
      </c>
      <c r="P968" t="s">
        <v>54</v>
      </c>
      <c r="Q968" s="2">
        <v>46196</v>
      </c>
      <c r="R968" t="s">
        <v>38</v>
      </c>
    </row>
    <row r="969" spans="1:18" x14ac:dyDescent="0.2">
      <c r="A969" t="s">
        <v>1996</v>
      </c>
      <c r="B969" t="s">
        <v>1997</v>
      </c>
      <c r="C969" t="s">
        <v>31</v>
      </c>
      <c r="D969" t="s">
        <v>32</v>
      </c>
      <c r="E969" t="s">
        <v>60</v>
      </c>
      <c r="F969" t="s">
        <v>34</v>
      </c>
      <c r="G969" t="s">
        <v>35</v>
      </c>
      <c r="H969" t="s">
        <v>36</v>
      </c>
      <c r="I969" t="s">
        <v>56</v>
      </c>
      <c r="J969" t="s">
        <v>48</v>
      </c>
      <c r="K969" s="2">
        <v>45888</v>
      </c>
      <c r="L969" s="2">
        <v>46253</v>
      </c>
      <c r="M969" t="s">
        <v>38</v>
      </c>
      <c r="N969" t="s">
        <v>49</v>
      </c>
      <c r="O969">
        <v>1</v>
      </c>
      <c r="P969" t="s">
        <v>70</v>
      </c>
      <c r="Q969" s="2">
        <v>46318</v>
      </c>
      <c r="R969" t="s">
        <v>84</v>
      </c>
    </row>
    <row r="970" spans="1:18" x14ac:dyDescent="0.2">
      <c r="A970" t="s">
        <v>1998</v>
      </c>
      <c r="B970" t="s">
        <v>1999</v>
      </c>
      <c r="C970" t="s">
        <v>42</v>
      </c>
      <c r="D970" t="s">
        <v>43</v>
      </c>
      <c r="E970" t="s">
        <v>53</v>
      </c>
      <c r="F970" t="s">
        <v>34</v>
      </c>
      <c r="G970" t="s">
        <v>35</v>
      </c>
      <c r="H970" t="s">
        <v>47</v>
      </c>
      <c r="I970" t="s">
        <v>106</v>
      </c>
      <c r="J970" t="s">
        <v>63</v>
      </c>
      <c r="K970" s="2">
        <v>46003</v>
      </c>
      <c r="L970" s="2">
        <v>46183</v>
      </c>
      <c r="M970" t="s">
        <v>38</v>
      </c>
      <c r="N970" t="s">
        <v>75</v>
      </c>
      <c r="O970">
        <v>1</v>
      </c>
      <c r="P970" t="s">
        <v>70</v>
      </c>
      <c r="Q970" s="2">
        <v>46312</v>
      </c>
      <c r="R970" t="s">
        <v>64</v>
      </c>
    </row>
    <row r="971" spans="1:18" x14ac:dyDescent="0.2">
      <c r="A971" t="s">
        <v>2000</v>
      </c>
      <c r="B971" t="s">
        <v>2001</v>
      </c>
      <c r="C971" t="s">
        <v>103</v>
      </c>
      <c r="D971" t="s">
        <v>104</v>
      </c>
      <c r="E971" t="s">
        <v>80</v>
      </c>
      <c r="F971" t="s">
        <v>67</v>
      </c>
      <c r="G971" t="s">
        <v>68</v>
      </c>
      <c r="H971" t="s">
        <v>36</v>
      </c>
      <c r="I971" t="s">
        <v>54</v>
      </c>
      <c r="J971" t="s">
        <v>48</v>
      </c>
      <c r="K971" s="2">
        <v>45995</v>
      </c>
      <c r="L971" s="2">
        <v>46085</v>
      </c>
      <c r="M971" t="s">
        <v>38</v>
      </c>
      <c r="N971" t="s">
        <v>49</v>
      </c>
      <c r="O971">
        <v>2</v>
      </c>
      <c r="P971" t="s">
        <v>111</v>
      </c>
      <c r="Q971" s="2">
        <v>46128</v>
      </c>
      <c r="R971" t="s">
        <v>38</v>
      </c>
    </row>
    <row r="972" spans="1:18" x14ac:dyDescent="0.2">
      <c r="A972" t="s">
        <v>2002</v>
      </c>
      <c r="B972" t="s">
        <v>2003</v>
      </c>
      <c r="C972" t="s">
        <v>103</v>
      </c>
      <c r="D972" t="s">
        <v>104</v>
      </c>
      <c r="E972" t="s">
        <v>44</v>
      </c>
      <c r="F972" t="s">
        <v>34</v>
      </c>
      <c r="G972" t="s">
        <v>35</v>
      </c>
      <c r="H972" t="s">
        <v>47</v>
      </c>
      <c r="I972" t="s">
        <v>54</v>
      </c>
      <c r="J972" t="s">
        <v>48</v>
      </c>
      <c r="K972" s="2">
        <v>46265</v>
      </c>
      <c r="L972" s="2">
        <v>46630</v>
      </c>
      <c r="M972" t="s">
        <v>64</v>
      </c>
      <c r="N972" t="s">
        <v>75</v>
      </c>
      <c r="O972">
        <v>3</v>
      </c>
      <c r="P972" t="s">
        <v>62</v>
      </c>
      <c r="Q972" s="2">
        <v>46399</v>
      </c>
      <c r="R972" t="s">
        <v>84</v>
      </c>
    </row>
    <row r="973" spans="1:18" x14ac:dyDescent="0.2">
      <c r="A973" t="s">
        <v>2004</v>
      </c>
      <c r="B973" t="s">
        <v>2005</v>
      </c>
      <c r="C973" t="s">
        <v>103</v>
      </c>
      <c r="D973" t="s">
        <v>104</v>
      </c>
      <c r="E973" t="s">
        <v>91</v>
      </c>
      <c r="F973" t="s">
        <v>34</v>
      </c>
      <c r="G973" t="s">
        <v>35</v>
      </c>
      <c r="H973" t="s">
        <v>47</v>
      </c>
      <c r="I973" t="s">
        <v>106</v>
      </c>
      <c r="J973" t="s">
        <v>63</v>
      </c>
      <c r="K973" s="2">
        <v>45864</v>
      </c>
      <c r="L973" s="2">
        <v>46044</v>
      </c>
      <c r="M973" t="s">
        <v>38</v>
      </c>
      <c r="N973" t="s">
        <v>75</v>
      </c>
      <c r="O973">
        <v>2</v>
      </c>
      <c r="P973" t="s">
        <v>106</v>
      </c>
      <c r="Q973" s="2">
        <v>46301</v>
      </c>
      <c r="R973" t="s">
        <v>84</v>
      </c>
    </row>
    <row r="974" spans="1:18" x14ac:dyDescent="0.2">
      <c r="A974" t="s">
        <v>2006</v>
      </c>
      <c r="B974" t="s">
        <v>2007</v>
      </c>
      <c r="C974" t="s">
        <v>96</v>
      </c>
      <c r="D974" t="s">
        <v>97</v>
      </c>
      <c r="E974" t="s">
        <v>53</v>
      </c>
      <c r="F974" t="s">
        <v>45</v>
      </c>
      <c r="G974" t="s">
        <v>46</v>
      </c>
      <c r="H974" t="s">
        <v>36</v>
      </c>
      <c r="I974" t="s">
        <v>54</v>
      </c>
      <c r="J974" t="s">
        <v>37</v>
      </c>
      <c r="K974" s="2">
        <v>45868</v>
      </c>
      <c r="L974" s="2">
        <v>46233</v>
      </c>
      <c r="M974" t="s">
        <v>38</v>
      </c>
      <c r="N974" t="s">
        <v>49</v>
      </c>
      <c r="O974">
        <v>1</v>
      </c>
      <c r="P974" t="s">
        <v>70</v>
      </c>
      <c r="Q974" s="2">
        <v>46164</v>
      </c>
      <c r="R974" t="s">
        <v>38</v>
      </c>
    </row>
    <row r="975" spans="1:18" x14ac:dyDescent="0.2">
      <c r="A975" t="s">
        <v>2008</v>
      </c>
      <c r="B975" t="s">
        <v>2009</v>
      </c>
      <c r="C975" t="s">
        <v>96</v>
      </c>
      <c r="D975" t="s">
        <v>97</v>
      </c>
      <c r="E975" t="s">
        <v>91</v>
      </c>
      <c r="F975" t="s">
        <v>34</v>
      </c>
      <c r="G975" t="s">
        <v>35</v>
      </c>
      <c r="H975" t="s">
        <v>88</v>
      </c>
      <c r="I975" t="s">
        <v>54</v>
      </c>
      <c r="J975" t="s">
        <v>63</v>
      </c>
      <c r="K975" s="2">
        <v>46037</v>
      </c>
      <c r="L975" s="2">
        <v>46217</v>
      </c>
      <c r="M975" t="s">
        <v>38</v>
      </c>
      <c r="N975" t="s">
        <v>49</v>
      </c>
      <c r="O975">
        <v>0</v>
      </c>
      <c r="P975" t="s">
        <v>62</v>
      </c>
      <c r="Q975" s="2">
        <v>46350</v>
      </c>
      <c r="R975" t="s">
        <v>57</v>
      </c>
    </row>
    <row r="976" spans="1:18" x14ac:dyDescent="0.2">
      <c r="A976" t="s">
        <v>2010</v>
      </c>
      <c r="B976" t="s">
        <v>2011</v>
      </c>
      <c r="C976" t="s">
        <v>31</v>
      </c>
      <c r="D976" t="s">
        <v>32</v>
      </c>
      <c r="E976" t="s">
        <v>105</v>
      </c>
      <c r="F976" t="s">
        <v>45</v>
      </c>
      <c r="G976" t="s">
        <v>46</v>
      </c>
      <c r="H976" t="s">
        <v>88</v>
      </c>
      <c r="I976" t="s">
        <v>39</v>
      </c>
      <c r="J976" t="s">
        <v>37</v>
      </c>
      <c r="K976" s="2">
        <v>45817</v>
      </c>
      <c r="L976" s="2">
        <v>45997</v>
      </c>
      <c r="M976" t="s">
        <v>38</v>
      </c>
      <c r="N976" t="s">
        <v>75</v>
      </c>
      <c r="O976">
        <v>1</v>
      </c>
      <c r="P976" t="s">
        <v>56</v>
      </c>
      <c r="Q976" s="2">
        <v>46147</v>
      </c>
      <c r="R976" t="s">
        <v>38</v>
      </c>
    </row>
    <row r="977" spans="1:18" x14ac:dyDescent="0.2">
      <c r="A977" t="s">
        <v>2012</v>
      </c>
      <c r="B977" t="s">
        <v>2013</v>
      </c>
      <c r="C977" t="s">
        <v>42</v>
      </c>
      <c r="D977" t="s">
        <v>43</v>
      </c>
      <c r="E977" t="s">
        <v>91</v>
      </c>
      <c r="F977" t="s">
        <v>34</v>
      </c>
      <c r="G977" t="s">
        <v>35</v>
      </c>
      <c r="H977" t="s">
        <v>88</v>
      </c>
      <c r="I977" t="s">
        <v>62</v>
      </c>
      <c r="J977" t="s">
        <v>48</v>
      </c>
      <c r="K977" s="2">
        <v>45915</v>
      </c>
      <c r="L977" s="2">
        <v>46005</v>
      </c>
      <c r="M977" t="s">
        <v>38</v>
      </c>
      <c r="N977" t="s">
        <v>75</v>
      </c>
      <c r="O977">
        <v>1</v>
      </c>
      <c r="P977" t="s">
        <v>62</v>
      </c>
      <c r="Q977" s="2">
        <v>46346</v>
      </c>
      <c r="R977" t="s">
        <v>64</v>
      </c>
    </row>
    <row r="978" spans="1:18" x14ac:dyDescent="0.2">
      <c r="A978" t="s">
        <v>2014</v>
      </c>
      <c r="B978" t="s">
        <v>2015</v>
      </c>
      <c r="C978" t="s">
        <v>31</v>
      </c>
      <c r="D978" t="s">
        <v>32</v>
      </c>
      <c r="E978" t="s">
        <v>105</v>
      </c>
      <c r="F978" t="s">
        <v>45</v>
      </c>
      <c r="G978" t="s">
        <v>61</v>
      </c>
      <c r="H978" t="s">
        <v>98</v>
      </c>
      <c r="I978" t="s">
        <v>39</v>
      </c>
      <c r="J978" t="s">
        <v>37</v>
      </c>
      <c r="K978" s="2">
        <v>45911</v>
      </c>
      <c r="L978" s="2">
        <v>46091</v>
      </c>
      <c r="M978" t="s">
        <v>38</v>
      </c>
      <c r="N978" t="s">
        <v>49</v>
      </c>
      <c r="O978">
        <v>0</v>
      </c>
      <c r="P978" t="s">
        <v>50</v>
      </c>
      <c r="Q978" s="2">
        <v>46151</v>
      </c>
      <c r="R978" t="s">
        <v>57</v>
      </c>
    </row>
    <row r="979" spans="1:18" x14ac:dyDescent="0.2">
      <c r="A979" t="s">
        <v>2016</v>
      </c>
      <c r="B979" t="s">
        <v>2017</v>
      </c>
      <c r="C979" t="s">
        <v>73</v>
      </c>
      <c r="D979" t="s">
        <v>74</v>
      </c>
      <c r="E979" t="s">
        <v>44</v>
      </c>
      <c r="F979" t="s">
        <v>34</v>
      </c>
      <c r="G979" t="s">
        <v>35</v>
      </c>
      <c r="H979" t="s">
        <v>98</v>
      </c>
      <c r="I979" t="s">
        <v>50</v>
      </c>
      <c r="J979" t="s">
        <v>48</v>
      </c>
      <c r="K979" s="2">
        <v>45848</v>
      </c>
      <c r="L979" s="2">
        <v>45938</v>
      </c>
      <c r="M979" t="s">
        <v>38</v>
      </c>
      <c r="N979" t="s">
        <v>55</v>
      </c>
      <c r="O979">
        <v>5</v>
      </c>
      <c r="P979" t="s">
        <v>62</v>
      </c>
      <c r="Q979" s="2">
        <v>46368</v>
      </c>
      <c r="R979" t="s">
        <v>84</v>
      </c>
    </row>
    <row r="980" spans="1:18" x14ac:dyDescent="0.2">
      <c r="A980" t="s">
        <v>2018</v>
      </c>
      <c r="B980" t="s">
        <v>2019</v>
      </c>
      <c r="C980" t="s">
        <v>42</v>
      </c>
      <c r="D980" t="s">
        <v>43</v>
      </c>
      <c r="E980" t="s">
        <v>80</v>
      </c>
      <c r="F980" t="s">
        <v>34</v>
      </c>
      <c r="G980" t="s">
        <v>35</v>
      </c>
      <c r="H980" t="s">
        <v>88</v>
      </c>
      <c r="I980" t="s">
        <v>111</v>
      </c>
      <c r="J980" t="s">
        <v>48</v>
      </c>
      <c r="K980" s="2">
        <v>46205</v>
      </c>
      <c r="L980" s="2">
        <v>46385</v>
      </c>
      <c r="M980" t="s">
        <v>64</v>
      </c>
      <c r="N980" t="s">
        <v>75</v>
      </c>
      <c r="O980">
        <v>2</v>
      </c>
      <c r="P980" t="s">
        <v>50</v>
      </c>
      <c r="Q980" s="2">
        <v>46205</v>
      </c>
      <c r="R980" t="s">
        <v>38</v>
      </c>
    </row>
    <row r="981" spans="1:18" x14ac:dyDescent="0.2">
      <c r="A981" t="s">
        <v>2020</v>
      </c>
      <c r="B981" t="s">
        <v>2021</v>
      </c>
      <c r="C981" t="s">
        <v>31</v>
      </c>
      <c r="D981" t="s">
        <v>87</v>
      </c>
      <c r="E981" t="s">
        <v>44</v>
      </c>
      <c r="F981" t="s">
        <v>67</v>
      </c>
      <c r="G981" t="s">
        <v>118</v>
      </c>
      <c r="H981" t="s">
        <v>47</v>
      </c>
      <c r="I981" t="s">
        <v>70</v>
      </c>
      <c r="J981" t="s">
        <v>48</v>
      </c>
      <c r="K981" s="2">
        <v>46102</v>
      </c>
      <c r="L981" s="2">
        <v>46282</v>
      </c>
      <c r="M981" t="s">
        <v>38</v>
      </c>
      <c r="N981" t="s">
        <v>55</v>
      </c>
      <c r="O981">
        <v>2</v>
      </c>
      <c r="P981" t="s">
        <v>106</v>
      </c>
      <c r="Q981" s="2">
        <v>46125</v>
      </c>
      <c r="R981" t="s">
        <v>38</v>
      </c>
    </row>
    <row r="982" spans="1:18" x14ac:dyDescent="0.2">
      <c r="A982" t="s">
        <v>2022</v>
      </c>
      <c r="B982" t="s">
        <v>2023</v>
      </c>
      <c r="C982" t="s">
        <v>31</v>
      </c>
      <c r="D982" t="s">
        <v>32</v>
      </c>
      <c r="E982" t="s">
        <v>105</v>
      </c>
      <c r="F982" t="s">
        <v>45</v>
      </c>
      <c r="G982" t="s">
        <v>46</v>
      </c>
      <c r="H982" t="s">
        <v>98</v>
      </c>
      <c r="I982" t="s">
        <v>39</v>
      </c>
      <c r="J982" t="s">
        <v>48</v>
      </c>
      <c r="K982" s="2">
        <v>46273</v>
      </c>
      <c r="L982" s="2">
        <v>46453</v>
      </c>
      <c r="M982" t="s">
        <v>64</v>
      </c>
      <c r="N982" t="s">
        <v>55</v>
      </c>
      <c r="O982">
        <v>4</v>
      </c>
      <c r="P982" t="s">
        <v>111</v>
      </c>
      <c r="Q982" s="2">
        <v>46403</v>
      </c>
      <c r="R982" t="s">
        <v>84</v>
      </c>
    </row>
    <row r="983" spans="1:18" x14ac:dyDescent="0.2">
      <c r="A983" t="s">
        <v>2024</v>
      </c>
      <c r="B983" t="s">
        <v>2025</v>
      </c>
      <c r="C983" t="s">
        <v>31</v>
      </c>
      <c r="D983" t="s">
        <v>83</v>
      </c>
      <c r="E983" t="s">
        <v>53</v>
      </c>
      <c r="F983" t="s">
        <v>45</v>
      </c>
      <c r="G983" t="s">
        <v>46</v>
      </c>
      <c r="H983" t="s">
        <v>47</v>
      </c>
      <c r="I983" t="s">
        <v>50</v>
      </c>
      <c r="J983" t="s">
        <v>48</v>
      </c>
      <c r="K983" s="2">
        <v>45968</v>
      </c>
      <c r="L983" s="2">
        <v>46148</v>
      </c>
      <c r="M983" t="s">
        <v>38</v>
      </c>
      <c r="N983" t="s">
        <v>49</v>
      </c>
      <c r="O983">
        <v>1</v>
      </c>
      <c r="P983" t="s">
        <v>111</v>
      </c>
      <c r="Q983" s="2">
        <v>46340</v>
      </c>
      <c r="R983" t="s">
        <v>84</v>
      </c>
    </row>
    <row r="984" spans="1:18" x14ac:dyDescent="0.2">
      <c r="A984" t="s">
        <v>2026</v>
      </c>
      <c r="B984" t="s">
        <v>2027</v>
      </c>
      <c r="C984" t="s">
        <v>31</v>
      </c>
      <c r="D984" t="s">
        <v>83</v>
      </c>
      <c r="E984" t="s">
        <v>60</v>
      </c>
      <c r="F984" t="s">
        <v>45</v>
      </c>
      <c r="G984" t="s">
        <v>46</v>
      </c>
      <c r="H984" t="s">
        <v>36</v>
      </c>
      <c r="I984" t="s">
        <v>70</v>
      </c>
      <c r="J984" t="s">
        <v>63</v>
      </c>
      <c r="K984" s="2">
        <v>45862</v>
      </c>
      <c r="L984" s="2">
        <v>46042</v>
      </c>
      <c r="M984" t="s">
        <v>38</v>
      </c>
      <c r="N984" t="s">
        <v>75</v>
      </c>
      <c r="O984">
        <v>0</v>
      </c>
      <c r="P984" t="s">
        <v>50</v>
      </c>
      <c r="Q984" s="2">
        <v>46293</v>
      </c>
      <c r="R984" t="s">
        <v>57</v>
      </c>
    </row>
    <row r="985" spans="1:18" x14ac:dyDescent="0.2">
      <c r="A985" t="s">
        <v>2028</v>
      </c>
      <c r="B985" t="s">
        <v>2029</v>
      </c>
      <c r="C985" t="s">
        <v>31</v>
      </c>
      <c r="D985" t="s">
        <v>32</v>
      </c>
      <c r="E985" t="s">
        <v>44</v>
      </c>
      <c r="F985" t="s">
        <v>45</v>
      </c>
      <c r="G985" t="s">
        <v>61</v>
      </c>
      <c r="H985" t="s">
        <v>88</v>
      </c>
      <c r="I985" t="s">
        <v>106</v>
      </c>
      <c r="J985" t="s">
        <v>48</v>
      </c>
      <c r="K985" s="2">
        <v>45795</v>
      </c>
      <c r="L985" s="2">
        <v>45975</v>
      </c>
      <c r="M985" t="s">
        <v>38</v>
      </c>
      <c r="N985" t="s">
        <v>49</v>
      </c>
      <c r="O985">
        <v>3</v>
      </c>
      <c r="P985" t="s">
        <v>106</v>
      </c>
      <c r="Q985" s="2">
        <v>46344</v>
      </c>
      <c r="R985" t="s">
        <v>84</v>
      </c>
    </row>
    <row r="986" spans="1:18" x14ac:dyDescent="0.2">
      <c r="A986" t="s">
        <v>2030</v>
      </c>
      <c r="B986" t="s">
        <v>2031</v>
      </c>
      <c r="C986" t="s">
        <v>31</v>
      </c>
      <c r="D986" t="s">
        <v>32</v>
      </c>
      <c r="E986" t="s">
        <v>80</v>
      </c>
      <c r="F986" t="s">
        <v>45</v>
      </c>
      <c r="G986" t="s">
        <v>46</v>
      </c>
      <c r="H986" t="s">
        <v>47</v>
      </c>
      <c r="I986" t="s">
        <v>62</v>
      </c>
      <c r="J986" t="s">
        <v>63</v>
      </c>
      <c r="K986" s="2">
        <v>46254</v>
      </c>
      <c r="L986" s="2">
        <v>46434</v>
      </c>
      <c r="M986" t="s">
        <v>64</v>
      </c>
      <c r="N986" t="s">
        <v>75</v>
      </c>
      <c r="O986">
        <v>0</v>
      </c>
      <c r="P986" t="s">
        <v>106</v>
      </c>
      <c r="Q986" s="2">
        <v>46381</v>
      </c>
      <c r="R986" t="s">
        <v>57</v>
      </c>
    </row>
    <row r="987" spans="1:18" x14ac:dyDescent="0.2">
      <c r="A987" t="s">
        <v>2032</v>
      </c>
      <c r="B987" t="s">
        <v>2033</v>
      </c>
      <c r="C987" t="s">
        <v>78</v>
      </c>
      <c r="D987" t="s">
        <v>79</v>
      </c>
      <c r="E987" t="s">
        <v>60</v>
      </c>
      <c r="F987" t="s">
        <v>34</v>
      </c>
      <c r="G987" t="s">
        <v>35</v>
      </c>
      <c r="H987" t="s">
        <v>88</v>
      </c>
      <c r="I987" t="s">
        <v>56</v>
      </c>
      <c r="J987" t="s">
        <v>37</v>
      </c>
      <c r="K987" s="2">
        <v>46111</v>
      </c>
      <c r="L987" s="2">
        <v>46201</v>
      </c>
      <c r="M987" t="s">
        <v>38</v>
      </c>
      <c r="N987" t="s">
        <v>75</v>
      </c>
      <c r="O987">
        <v>1</v>
      </c>
      <c r="P987" t="s">
        <v>62</v>
      </c>
      <c r="Q987" s="2">
        <v>46264</v>
      </c>
      <c r="R987" t="s">
        <v>38</v>
      </c>
    </row>
    <row r="988" spans="1:18" x14ac:dyDescent="0.2">
      <c r="A988" t="s">
        <v>2034</v>
      </c>
      <c r="B988" t="s">
        <v>2035</v>
      </c>
      <c r="C988" t="s">
        <v>42</v>
      </c>
      <c r="D988" t="s">
        <v>43</v>
      </c>
      <c r="E988" t="s">
        <v>105</v>
      </c>
      <c r="F988" t="s">
        <v>45</v>
      </c>
      <c r="G988" t="s">
        <v>61</v>
      </c>
      <c r="H988" t="s">
        <v>88</v>
      </c>
      <c r="I988" t="s">
        <v>106</v>
      </c>
      <c r="J988" t="s">
        <v>63</v>
      </c>
      <c r="K988" s="2">
        <v>45988</v>
      </c>
      <c r="L988" s="2">
        <v>46168</v>
      </c>
      <c r="M988" t="s">
        <v>38</v>
      </c>
      <c r="N988" t="s">
        <v>49</v>
      </c>
      <c r="O988">
        <v>3</v>
      </c>
      <c r="P988" t="s">
        <v>39</v>
      </c>
      <c r="Q988" s="2">
        <v>46271</v>
      </c>
      <c r="R988" t="s">
        <v>38</v>
      </c>
    </row>
    <row r="989" spans="1:18" x14ac:dyDescent="0.2">
      <c r="A989" t="s">
        <v>2036</v>
      </c>
      <c r="B989" t="s">
        <v>2037</v>
      </c>
      <c r="C989" t="s">
        <v>73</v>
      </c>
      <c r="D989" t="s">
        <v>74</v>
      </c>
      <c r="E989" t="s">
        <v>44</v>
      </c>
      <c r="F989" t="s">
        <v>34</v>
      </c>
      <c r="G989" t="s">
        <v>35</v>
      </c>
      <c r="H989" t="s">
        <v>98</v>
      </c>
      <c r="I989" t="s">
        <v>56</v>
      </c>
      <c r="J989" t="s">
        <v>48</v>
      </c>
      <c r="K989" s="2">
        <v>45819</v>
      </c>
      <c r="L989" s="2">
        <v>46184</v>
      </c>
      <c r="M989" t="s">
        <v>38</v>
      </c>
      <c r="N989" t="s">
        <v>49</v>
      </c>
      <c r="O989">
        <v>4</v>
      </c>
      <c r="P989" t="s">
        <v>39</v>
      </c>
      <c r="Q989" s="2">
        <v>46392</v>
      </c>
      <c r="R989" t="s">
        <v>64</v>
      </c>
    </row>
    <row r="990" spans="1:18" x14ac:dyDescent="0.2">
      <c r="A990" t="s">
        <v>2038</v>
      </c>
      <c r="B990" t="s">
        <v>2039</v>
      </c>
      <c r="C990" t="s">
        <v>31</v>
      </c>
      <c r="D990" t="s">
        <v>87</v>
      </c>
      <c r="E990" t="s">
        <v>80</v>
      </c>
      <c r="F990" t="s">
        <v>45</v>
      </c>
      <c r="G990" t="s">
        <v>61</v>
      </c>
      <c r="H990" t="s">
        <v>47</v>
      </c>
      <c r="I990" t="s">
        <v>39</v>
      </c>
      <c r="J990" t="s">
        <v>48</v>
      </c>
      <c r="K990" s="2">
        <v>45854</v>
      </c>
      <c r="L990" s="2">
        <v>46219</v>
      </c>
      <c r="M990" t="s">
        <v>38</v>
      </c>
      <c r="N990" t="s">
        <v>75</v>
      </c>
      <c r="O990">
        <v>1</v>
      </c>
      <c r="P990" t="s">
        <v>111</v>
      </c>
      <c r="Q990" s="2">
        <v>46375</v>
      </c>
      <c r="R990" t="s">
        <v>84</v>
      </c>
    </row>
    <row r="991" spans="1:18" x14ac:dyDescent="0.2">
      <c r="A991" t="s">
        <v>2040</v>
      </c>
      <c r="B991" t="s">
        <v>2041</v>
      </c>
      <c r="C991" t="s">
        <v>78</v>
      </c>
      <c r="D991" t="s">
        <v>79</v>
      </c>
      <c r="E991" t="s">
        <v>91</v>
      </c>
      <c r="F991" t="s">
        <v>45</v>
      </c>
      <c r="G991" t="s">
        <v>46</v>
      </c>
      <c r="H991" t="s">
        <v>88</v>
      </c>
      <c r="I991" t="s">
        <v>54</v>
      </c>
      <c r="J991" t="s">
        <v>63</v>
      </c>
      <c r="K991" s="2">
        <v>46022</v>
      </c>
      <c r="L991" s="2">
        <v>46112</v>
      </c>
      <c r="M991" t="s">
        <v>38</v>
      </c>
      <c r="N991" t="s">
        <v>49</v>
      </c>
      <c r="O991">
        <v>0</v>
      </c>
      <c r="P991" t="s">
        <v>70</v>
      </c>
      <c r="Q991" s="2">
        <v>46138</v>
      </c>
      <c r="R991" t="s">
        <v>57</v>
      </c>
    </row>
    <row r="992" spans="1:18" x14ac:dyDescent="0.2">
      <c r="A992" t="s">
        <v>2042</v>
      </c>
      <c r="B992" t="s">
        <v>2043</v>
      </c>
      <c r="C992" t="s">
        <v>78</v>
      </c>
      <c r="D992" t="s">
        <v>79</v>
      </c>
      <c r="E992" t="s">
        <v>44</v>
      </c>
      <c r="F992" t="s">
        <v>67</v>
      </c>
      <c r="G992" t="s">
        <v>68</v>
      </c>
      <c r="H992" t="s">
        <v>88</v>
      </c>
      <c r="J992" t="s">
        <v>48</v>
      </c>
      <c r="K992" s="2">
        <v>45807</v>
      </c>
      <c r="L992" s="2">
        <v>45987</v>
      </c>
      <c r="M992" t="s">
        <v>38</v>
      </c>
      <c r="N992" t="s">
        <v>55</v>
      </c>
      <c r="O992">
        <v>3</v>
      </c>
      <c r="P992" t="s">
        <v>50</v>
      </c>
      <c r="Q992" s="2">
        <v>46231</v>
      </c>
      <c r="R992" t="s">
        <v>38</v>
      </c>
    </row>
    <row r="993" spans="1:18" x14ac:dyDescent="0.2">
      <c r="A993" t="s">
        <v>2044</v>
      </c>
      <c r="B993" t="s">
        <v>2045</v>
      </c>
      <c r="C993" t="s">
        <v>42</v>
      </c>
      <c r="D993" t="s">
        <v>43</v>
      </c>
      <c r="E993" t="s">
        <v>60</v>
      </c>
      <c r="F993" t="s">
        <v>34</v>
      </c>
      <c r="G993" t="s">
        <v>35</v>
      </c>
      <c r="H993" t="s">
        <v>88</v>
      </c>
      <c r="I993" t="s">
        <v>62</v>
      </c>
      <c r="J993" t="s">
        <v>63</v>
      </c>
      <c r="K993" s="2">
        <v>45927</v>
      </c>
      <c r="L993" s="2">
        <v>46292</v>
      </c>
      <c r="M993" t="s">
        <v>38</v>
      </c>
      <c r="N993" t="s">
        <v>49</v>
      </c>
      <c r="O993">
        <v>2</v>
      </c>
      <c r="P993" t="s">
        <v>39</v>
      </c>
      <c r="Q993" s="2">
        <v>46219</v>
      </c>
      <c r="R993" t="s">
        <v>38</v>
      </c>
    </row>
    <row r="994" spans="1:18" x14ac:dyDescent="0.2">
      <c r="A994" t="s">
        <v>2046</v>
      </c>
      <c r="B994" t="s">
        <v>2047</v>
      </c>
      <c r="C994" t="s">
        <v>31</v>
      </c>
      <c r="D994" t="s">
        <v>87</v>
      </c>
      <c r="E994" t="s">
        <v>80</v>
      </c>
      <c r="F994" t="s">
        <v>67</v>
      </c>
      <c r="G994" t="s">
        <v>118</v>
      </c>
      <c r="H994" t="s">
        <v>47</v>
      </c>
      <c r="I994" t="s">
        <v>54</v>
      </c>
      <c r="J994" t="s">
        <v>37</v>
      </c>
      <c r="K994" s="2">
        <v>45857</v>
      </c>
      <c r="L994" s="2">
        <v>46037</v>
      </c>
      <c r="M994" t="s">
        <v>38</v>
      </c>
      <c r="N994" t="s">
        <v>75</v>
      </c>
      <c r="O994">
        <v>0</v>
      </c>
      <c r="P994" t="s">
        <v>50</v>
      </c>
      <c r="Q994" s="2">
        <v>46317</v>
      </c>
      <c r="R994" t="s">
        <v>57</v>
      </c>
    </row>
    <row r="995" spans="1:18" x14ac:dyDescent="0.2">
      <c r="A995" t="s">
        <v>2048</v>
      </c>
      <c r="B995" t="s">
        <v>2049</v>
      </c>
      <c r="C995" t="s">
        <v>42</v>
      </c>
      <c r="D995" t="s">
        <v>43</v>
      </c>
      <c r="E995" t="s">
        <v>105</v>
      </c>
      <c r="F995" t="s">
        <v>34</v>
      </c>
      <c r="G995" t="s">
        <v>35</v>
      </c>
      <c r="H995" t="s">
        <v>88</v>
      </c>
      <c r="I995" t="s">
        <v>70</v>
      </c>
      <c r="J995" t="s">
        <v>63</v>
      </c>
      <c r="K995" s="2">
        <v>46194</v>
      </c>
      <c r="L995" s="2">
        <v>46374</v>
      </c>
      <c r="M995" t="s">
        <v>64</v>
      </c>
      <c r="N995" t="s">
        <v>49</v>
      </c>
      <c r="O995">
        <v>2</v>
      </c>
      <c r="P995" t="s">
        <v>62</v>
      </c>
      <c r="Q995" s="2">
        <v>46200</v>
      </c>
      <c r="R995" t="s">
        <v>38</v>
      </c>
    </row>
    <row r="996" spans="1:18" x14ac:dyDescent="0.2">
      <c r="A996" t="s">
        <v>2050</v>
      </c>
      <c r="B996" t="s">
        <v>2051</v>
      </c>
      <c r="C996" t="s">
        <v>96</v>
      </c>
      <c r="D996" t="s">
        <v>97</v>
      </c>
      <c r="E996" t="s">
        <v>53</v>
      </c>
      <c r="F996" t="s">
        <v>67</v>
      </c>
      <c r="G996" t="s">
        <v>118</v>
      </c>
      <c r="H996" t="s">
        <v>36</v>
      </c>
      <c r="I996" t="s">
        <v>56</v>
      </c>
      <c r="J996" t="s">
        <v>48</v>
      </c>
      <c r="K996" s="2">
        <v>46220</v>
      </c>
      <c r="L996" s="2">
        <v>46310</v>
      </c>
      <c r="M996" t="s">
        <v>64</v>
      </c>
      <c r="N996" t="s">
        <v>55</v>
      </c>
      <c r="O996">
        <v>0</v>
      </c>
      <c r="P996" t="s">
        <v>39</v>
      </c>
      <c r="Q996" s="2">
        <v>46399</v>
      </c>
      <c r="R996" t="s">
        <v>57</v>
      </c>
    </row>
    <row r="997" spans="1:18" x14ac:dyDescent="0.2">
      <c r="A997" t="s">
        <v>2052</v>
      </c>
      <c r="B997" t="s">
        <v>2053</v>
      </c>
      <c r="C997" t="s">
        <v>103</v>
      </c>
      <c r="D997" t="s">
        <v>104</v>
      </c>
      <c r="E997" t="s">
        <v>105</v>
      </c>
      <c r="F997" t="s">
        <v>67</v>
      </c>
      <c r="G997" t="s">
        <v>118</v>
      </c>
      <c r="H997" t="s">
        <v>47</v>
      </c>
      <c r="I997" t="s">
        <v>39</v>
      </c>
      <c r="J997" t="s">
        <v>63</v>
      </c>
      <c r="K997" s="2">
        <v>45849</v>
      </c>
      <c r="L997" s="2">
        <v>46029</v>
      </c>
      <c r="M997" t="s">
        <v>38</v>
      </c>
      <c r="N997" t="s">
        <v>55</v>
      </c>
      <c r="O997">
        <v>0</v>
      </c>
      <c r="P997" t="s">
        <v>106</v>
      </c>
      <c r="Q997" s="2">
        <v>46149</v>
      </c>
      <c r="R997" t="s">
        <v>57</v>
      </c>
    </row>
    <row r="998" spans="1:18" x14ac:dyDescent="0.2">
      <c r="A998" t="s">
        <v>2054</v>
      </c>
      <c r="B998" t="s">
        <v>2055</v>
      </c>
      <c r="C998" t="s">
        <v>31</v>
      </c>
      <c r="D998" t="s">
        <v>83</v>
      </c>
      <c r="E998" t="s">
        <v>80</v>
      </c>
      <c r="F998" t="s">
        <v>67</v>
      </c>
      <c r="G998" t="s">
        <v>68</v>
      </c>
      <c r="H998" t="s">
        <v>88</v>
      </c>
      <c r="I998" t="s">
        <v>39</v>
      </c>
      <c r="J998" t="s">
        <v>37</v>
      </c>
      <c r="K998" s="2">
        <v>45936</v>
      </c>
      <c r="L998" s="2">
        <v>46301</v>
      </c>
      <c r="M998" t="s">
        <v>84</v>
      </c>
      <c r="N998" t="s">
        <v>55</v>
      </c>
      <c r="O998">
        <v>2</v>
      </c>
      <c r="P998" t="s">
        <v>50</v>
      </c>
      <c r="Q998" s="2">
        <v>46137</v>
      </c>
      <c r="R998" t="s">
        <v>38</v>
      </c>
    </row>
    <row r="999" spans="1:18" x14ac:dyDescent="0.2">
      <c r="A999" t="s">
        <v>2056</v>
      </c>
      <c r="B999" t="s">
        <v>2057</v>
      </c>
      <c r="C999" t="s">
        <v>31</v>
      </c>
      <c r="D999" t="s">
        <v>83</v>
      </c>
      <c r="E999" t="s">
        <v>44</v>
      </c>
      <c r="F999" t="s">
        <v>67</v>
      </c>
      <c r="G999" t="s">
        <v>118</v>
      </c>
      <c r="H999" t="s">
        <v>36</v>
      </c>
      <c r="I999" t="s">
        <v>39</v>
      </c>
      <c r="J999" t="s">
        <v>48</v>
      </c>
      <c r="K999" s="2">
        <v>46075</v>
      </c>
      <c r="L999" s="2">
        <v>46255</v>
      </c>
      <c r="M999" t="s">
        <v>38</v>
      </c>
      <c r="N999" t="s">
        <v>55</v>
      </c>
      <c r="O999">
        <v>2</v>
      </c>
      <c r="P999" t="s">
        <v>106</v>
      </c>
      <c r="Q999" s="2">
        <v>46373</v>
      </c>
      <c r="R999" t="s">
        <v>64</v>
      </c>
    </row>
    <row r="1000" spans="1:18" x14ac:dyDescent="0.2">
      <c r="A1000" t="s">
        <v>2058</v>
      </c>
      <c r="B1000" t="s">
        <v>2059</v>
      </c>
      <c r="C1000" t="s">
        <v>31</v>
      </c>
      <c r="D1000" t="s">
        <v>83</v>
      </c>
      <c r="E1000" t="s">
        <v>105</v>
      </c>
      <c r="F1000" t="s">
        <v>34</v>
      </c>
      <c r="G1000" t="s">
        <v>35</v>
      </c>
      <c r="H1000" t="s">
        <v>36</v>
      </c>
      <c r="I1000" t="s">
        <v>70</v>
      </c>
      <c r="J1000" t="s">
        <v>37</v>
      </c>
      <c r="K1000" s="2">
        <v>45844</v>
      </c>
      <c r="L1000" s="2">
        <v>45934</v>
      </c>
      <c r="M1000" t="s">
        <v>38</v>
      </c>
      <c r="N1000" t="s">
        <v>49</v>
      </c>
      <c r="O1000">
        <v>4</v>
      </c>
      <c r="P1000" t="s">
        <v>39</v>
      </c>
      <c r="Q1000" s="2">
        <v>46262</v>
      </c>
      <c r="R1000" t="s">
        <v>38</v>
      </c>
    </row>
    <row r="1001" spans="1:18" x14ac:dyDescent="0.2">
      <c r="A1001" t="s">
        <v>2060</v>
      </c>
      <c r="B1001" t="s">
        <v>2061</v>
      </c>
      <c r="C1001" t="s">
        <v>31</v>
      </c>
      <c r="D1001" t="s">
        <v>32</v>
      </c>
      <c r="E1001" t="s">
        <v>80</v>
      </c>
      <c r="F1001" t="s">
        <v>45</v>
      </c>
      <c r="G1001" t="s">
        <v>46</v>
      </c>
      <c r="H1001" t="s">
        <v>88</v>
      </c>
      <c r="I1001" t="s">
        <v>39</v>
      </c>
      <c r="J1001" t="s">
        <v>48</v>
      </c>
      <c r="K1001" s="2">
        <v>45959</v>
      </c>
      <c r="L1001" s="2">
        <v>46324</v>
      </c>
      <c r="M1001" t="s">
        <v>64</v>
      </c>
      <c r="O1001">
        <v>2</v>
      </c>
      <c r="P1001" t="s">
        <v>39</v>
      </c>
      <c r="Q1001" s="2">
        <v>46304</v>
      </c>
      <c r="R1001" t="s">
        <v>64</v>
      </c>
    </row>
    <row r="1002" spans="1:18" x14ac:dyDescent="0.2">
      <c r="A1002" t="s">
        <v>2062</v>
      </c>
      <c r="B1002" t="s">
        <v>2063</v>
      </c>
      <c r="C1002" t="s">
        <v>31</v>
      </c>
      <c r="D1002" t="s">
        <v>32</v>
      </c>
      <c r="E1002" t="s">
        <v>60</v>
      </c>
      <c r="F1002" t="s">
        <v>67</v>
      </c>
      <c r="G1002" t="s">
        <v>68</v>
      </c>
      <c r="H1002" t="s">
        <v>47</v>
      </c>
      <c r="I1002" t="s">
        <v>62</v>
      </c>
      <c r="J1002" t="s">
        <v>63</v>
      </c>
      <c r="K1002" s="2">
        <v>45882</v>
      </c>
      <c r="L1002" s="2">
        <v>46247</v>
      </c>
      <c r="M1002" t="s">
        <v>38</v>
      </c>
      <c r="N1002" t="s">
        <v>55</v>
      </c>
      <c r="O1002">
        <v>1</v>
      </c>
      <c r="P1002" t="s">
        <v>111</v>
      </c>
      <c r="Q1002" s="2">
        <v>46133</v>
      </c>
      <c r="R1002" t="s">
        <v>38</v>
      </c>
    </row>
    <row r="1003" spans="1:18" x14ac:dyDescent="0.2">
      <c r="A1003" t="s">
        <v>2064</v>
      </c>
      <c r="B1003" t="s">
        <v>2065</v>
      </c>
      <c r="C1003" t="s">
        <v>96</v>
      </c>
      <c r="D1003" t="s">
        <v>97</v>
      </c>
      <c r="E1003" t="s">
        <v>53</v>
      </c>
      <c r="F1003" t="s">
        <v>34</v>
      </c>
      <c r="G1003" t="s">
        <v>35</v>
      </c>
      <c r="H1003" t="s">
        <v>88</v>
      </c>
      <c r="I1003" t="s">
        <v>62</v>
      </c>
      <c r="J1003" t="s">
        <v>48</v>
      </c>
      <c r="K1003" s="2">
        <v>46045</v>
      </c>
      <c r="L1003" s="2">
        <v>46410</v>
      </c>
      <c r="M1003" t="s">
        <v>64</v>
      </c>
      <c r="N1003" t="s">
        <v>75</v>
      </c>
      <c r="O1003">
        <v>2</v>
      </c>
      <c r="P1003" t="s">
        <v>111</v>
      </c>
      <c r="Q1003" s="2">
        <v>46291</v>
      </c>
      <c r="R1003" t="s">
        <v>38</v>
      </c>
    </row>
    <row r="1004" spans="1:18" x14ac:dyDescent="0.2">
      <c r="A1004" t="s">
        <v>2066</v>
      </c>
      <c r="B1004" t="s">
        <v>2067</v>
      </c>
      <c r="C1004" t="s">
        <v>42</v>
      </c>
      <c r="D1004" t="s">
        <v>43</v>
      </c>
      <c r="E1004" t="s">
        <v>44</v>
      </c>
      <c r="F1004" t="s">
        <v>34</v>
      </c>
      <c r="G1004" t="s">
        <v>35</v>
      </c>
      <c r="H1004" t="s">
        <v>47</v>
      </c>
      <c r="I1004" t="s">
        <v>50</v>
      </c>
      <c r="J1004" t="s">
        <v>48</v>
      </c>
      <c r="K1004" s="2">
        <v>46077</v>
      </c>
      <c r="L1004" s="2">
        <v>46257</v>
      </c>
      <c r="M1004" t="s">
        <v>38</v>
      </c>
      <c r="N1004" t="s">
        <v>55</v>
      </c>
      <c r="O1004">
        <v>2</v>
      </c>
      <c r="P1004" t="s">
        <v>111</v>
      </c>
      <c r="Q1004" s="2">
        <v>46125</v>
      </c>
      <c r="R1004" t="s">
        <v>38</v>
      </c>
    </row>
    <row r="1005" spans="1:18" x14ac:dyDescent="0.2">
      <c r="A1005" t="s">
        <v>2068</v>
      </c>
      <c r="B1005" t="s">
        <v>2069</v>
      </c>
      <c r="C1005" t="s">
        <v>78</v>
      </c>
      <c r="D1005" t="s">
        <v>79</v>
      </c>
      <c r="E1005" t="s">
        <v>80</v>
      </c>
      <c r="F1005" t="s">
        <v>67</v>
      </c>
      <c r="G1005" t="s">
        <v>68</v>
      </c>
      <c r="H1005" t="s">
        <v>47</v>
      </c>
      <c r="I1005" t="s">
        <v>106</v>
      </c>
      <c r="J1005" t="s">
        <v>37</v>
      </c>
      <c r="K1005" s="2">
        <v>46169</v>
      </c>
      <c r="L1005" s="2">
        <v>46349</v>
      </c>
      <c r="M1005" t="s">
        <v>64</v>
      </c>
      <c r="N1005" t="s">
        <v>75</v>
      </c>
      <c r="O1005">
        <v>3</v>
      </c>
      <c r="P1005" t="s">
        <v>106</v>
      </c>
      <c r="Q1005" s="2">
        <v>46346</v>
      </c>
      <c r="R1005" t="s">
        <v>84</v>
      </c>
    </row>
    <row r="1006" spans="1:18" x14ac:dyDescent="0.2">
      <c r="A1006" t="s">
        <v>2070</v>
      </c>
      <c r="B1006" t="s">
        <v>2071</v>
      </c>
      <c r="C1006" t="s">
        <v>73</v>
      </c>
      <c r="D1006" t="s">
        <v>74</v>
      </c>
      <c r="E1006" t="s">
        <v>44</v>
      </c>
      <c r="F1006" t="s">
        <v>67</v>
      </c>
      <c r="G1006" t="s">
        <v>118</v>
      </c>
      <c r="H1006" t="s">
        <v>36</v>
      </c>
      <c r="I1006" t="s">
        <v>54</v>
      </c>
      <c r="J1006" t="s">
        <v>63</v>
      </c>
      <c r="K1006" s="2">
        <v>46150</v>
      </c>
      <c r="L1006" s="2">
        <v>46240</v>
      </c>
      <c r="M1006" t="s">
        <v>38</v>
      </c>
      <c r="N1006" t="s">
        <v>49</v>
      </c>
      <c r="O1006">
        <v>1</v>
      </c>
      <c r="P1006" t="s">
        <v>62</v>
      </c>
      <c r="Q1006" s="2">
        <v>46406</v>
      </c>
      <c r="R1006" t="s">
        <v>64</v>
      </c>
    </row>
    <row r="1007" spans="1:18" x14ac:dyDescent="0.2">
      <c r="A1007" t="s">
        <v>2072</v>
      </c>
      <c r="B1007" t="s">
        <v>2073</v>
      </c>
      <c r="C1007" t="s">
        <v>73</v>
      </c>
      <c r="D1007" t="s">
        <v>74</v>
      </c>
      <c r="E1007" t="s">
        <v>44</v>
      </c>
      <c r="F1007" t="s">
        <v>67</v>
      </c>
      <c r="G1007" t="s">
        <v>118</v>
      </c>
      <c r="H1007" t="s">
        <v>88</v>
      </c>
      <c r="I1007" t="s">
        <v>111</v>
      </c>
      <c r="J1007" t="s">
        <v>48</v>
      </c>
      <c r="K1007" s="2">
        <v>46220</v>
      </c>
      <c r="L1007" s="2">
        <v>46585</v>
      </c>
      <c r="M1007" t="s">
        <v>69</v>
      </c>
      <c r="N1007" t="s">
        <v>49</v>
      </c>
      <c r="O1007">
        <v>3</v>
      </c>
      <c r="P1007" t="s">
        <v>62</v>
      </c>
      <c r="Q1007" s="2">
        <v>46141</v>
      </c>
      <c r="R1007" t="s">
        <v>64</v>
      </c>
    </row>
    <row r="1008" spans="1:18" x14ac:dyDescent="0.2">
      <c r="A1008" t="s">
        <v>2074</v>
      </c>
      <c r="B1008" t="s">
        <v>2075</v>
      </c>
      <c r="C1008" t="s">
        <v>31</v>
      </c>
      <c r="D1008" t="s">
        <v>83</v>
      </c>
      <c r="E1008" t="s">
        <v>44</v>
      </c>
      <c r="F1008" t="s">
        <v>34</v>
      </c>
      <c r="G1008" t="s">
        <v>35</v>
      </c>
      <c r="H1008" t="s">
        <v>98</v>
      </c>
      <c r="I1008" t="s">
        <v>39</v>
      </c>
      <c r="J1008" t="s">
        <v>37</v>
      </c>
      <c r="K1008" s="2">
        <v>45920</v>
      </c>
      <c r="L1008" s="2">
        <v>46010</v>
      </c>
      <c r="M1008" t="s">
        <v>38</v>
      </c>
      <c r="N1008" t="s">
        <v>75</v>
      </c>
      <c r="O1008">
        <v>4</v>
      </c>
      <c r="P1008" t="s">
        <v>54</v>
      </c>
      <c r="Q1008" s="2">
        <v>46203</v>
      </c>
      <c r="R1008" t="s">
        <v>64</v>
      </c>
    </row>
    <row r="1009" spans="1:18" x14ac:dyDescent="0.2">
      <c r="A1009" t="s">
        <v>2076</v>
      </c>
      <c r="B1009" t="s">
        <v>2077</v>
      </c>
      <c r="C1009" t="s">
        <v>31</v>
      </c>
      <c r="D1009" t="s">
        <v>32</v>
      </c>
      <c r="E1009" t="s">
        <v>53</v>
      </c>
      <c r="F1009" t="s">
        <v>45</v>
      </c>
      <c r="G1009" t="s">
        <v>61</v>
      </c>
      <c r="H1009" t="s">
        <v>88</v>
      </c>
      <c r="I1009" t="s">
        <v>50</v>
      </c>
      <c r="J1009" t="s">
        <v>48</v>
      </c>
      <c r="K1009" s="2">
        <v>45885</v>
      </c>
      <c r="L1009" s="2">
        <v>46065</v>
      </c>
      <c r="M1009" t="s">
        <v>38</v>
      </c>
      <c r="N1009" t="s">
        <v>75</v>
      </c>
      <c r="O1009">
        <v>0</v>
      </c>
      <c r="P1009" t="s">
        <v>39</v>
      </c>
      <c r="Q1009" s="2">
        <v>46164</v>
      </c>
      <c r="R1009" t="s">
        <v>57</v>
      </c>
    </row>
    <row r="1010" spans="1:18" x14ac:dyDescent="0.2">
      <c r="A1010" t="s">
        <v>2078</v>
      </c>
      <c r="B1010" t="s">
        <v>2079</v>
      </c>
      <c r="C1010" t="s">
        <v>73</v>
      </c>
      <c r="D1010" t="s">
        <v>74</v>
      </c>
      <c r="E1010" t="s">
        <v>105</v>
      </c>
      <c r="F1010" t="s">
        <v>45</v>
      </c>
      <c r="G1010" t="s">
        <v>61</v>
      </c>
      <c r="H1010" t="s">
        <v>88</v>
      </c>
      <c r="I1010" t="s">
        <v>106</v>
      </c>
      <c r="J1010" t="s">
        <v>37</v>
      </c>
      <c r="K1010" s="2">
        <v>46172</v>
      </c>
      <c r="L1010" s="2">
        <v>46537</v>
      </c>
      <c r="M1010" t="s">
        <v>64</v>
      </c>
      <c r="N1010" t="s">
        <v>55</v>
      </c>
      <c r="O1010">
        <v>2</v>
      </c>
      <c r="P1010" t="s">
        <v>111</v>
      </c>
      <c r="Q1010" s="2">
        <v>46148</v>
      </c>
      <c r="R1010" t="s">
        <v>38</v>
      </c>
    </row>
    <row r="1011" spans="1:18" x14ac:dyDescent="0.2">
      <c r="A1011" t="s">
        <v>2080</v>
      </c>
      <c r="B1011" t="s">
        <v>2081</v>
      </c>
      <c r="C1011" t="s">
        <v>78</v>
      </c>
      <c r="D1011" t="s">
        <v>79</v>
      </c>
      <c r="E1011" t="s">
        <v>53</v>
      </c>
      <c r="F1011" t="s">
        <v>67</v>
      </c>
      <c r="G1011" t="s">
        <v>68</v>
      </c>
      <c r="H1011" t="s">
        <v>88</v>
      </c>
      <c r="I1011" t="s">
        <v>50</v>
      </c>
      <c r="J1011" t="s">
        <v>63</v>
      </c>
      <c r="K1011" s="2">
        <v>45814</v>
      </c>
      <c r="L1011" s="2">
        <v>45904</v>
      </c>
      <c r="M1011" t="s">
        <v>38</v>
      </c>
      <c r="N1011" t="s">
        <v>55</v>
      </c>
      <c r="O1011">
        <v>3</v>
      </c>
      <c r="P1011" t="s">
        <v>111</v>
      </c>
      <c r="Q1011" s="2">
        <v>46175</v>
      </c>
      <c r="R1011" t="s">
        <v>38</v>
      </c>
    </row>
    <row r="1012" spans="1:18" x14ac:dyDescent="0.2">
      <c r="A1012" t="s">
        <v>2082</v>
      </c>
      <c r="B1012" t="s">
        <v>2083</v>
      </c>
      <c r="C1012" t="s">
        <v>78</v>
      </c>
      <c r="D1012" t="s">
        <v>79</v>
      </c>
      <c r="E1012" t="s">
        <v>91</v>
      </c>
      <c r="F1012" t="s">
        <v>34</v>
      </c>
      <c r="G1012" t="s">
        <v>35</v>
      </c>
      <c r="H1012" t="s">
        <v>36</v>
      </c>
      <c r="I1012" t="s">
        <v>54</v>
      </c>
      <c r="J1012" t="s">
        <v>37</v>
      </c>
      <c r="K1012" s="2">
        <v>46217</v>
      </c>
      <c r="L1012" s="2">
        <v>46582</v>
      </c>
      <c r="M1012" t="s">
        <v>69</v>
      </c>
      <c r="N1012" t="s">
        <v>55</v>
      </c>
      <c r="O1012">
        <v>0</v>
      </c>
      <c r="P1012" t="s">
        <v>111</v>
      </c>
      <c r="Q1012" s="2">
        <v>46184</v>
      </c>
      <c r="R1012" t="s">
        <v>57</v>
      </c>
    </row>
    <row r="1013" spans="1:18" x14ac:dyDescent="0.2">
      <c r="A1013" t="s">
        <v>2084</v>
      </c>
      <c r="B1013" t="s">
        <v>2085</v>
      </c>
      <c r="C1013" t="s">
        <v>96</v>
      </c>
      <c r="D1013" t="s">
        <v>97</v>
      </c>
      <c r="E1013" t="s">
        <v>60</v>
      </c>
      <c r="F1013" t="s">
        <v>45</v>
      </c>
      <c r="G1013" t="s">
        <v>46</v>
      </c>
      <c r="H1013" t="s">
        <v>88</v>
      </c>
      <c r="I1013" t="s">
        <v>106</v>
      </c>
      <c r="J1013" t="s">
        <v>63</v>
      </c>
      <c r="K1013" s="2">
        <v>45799</v>
      </c>
      <c r="L1013" s="2">
        <v>45979</v>
      </c>
      <c r="M1013" t="s">
        <v>38</v>
      </c>
      <c r="N1013" t="s">
        <v>49</v>
      </c>
      <c r="O1013">
        <v>1</v>
      </c>
      <c r="P1013" t="s">
        <v>106</v>
      </c>
      <c r="Q1013" s="2">
        <v>46344</v>
      </c>
      <c r="R1013" t="s">
        <v>84</v>
      </c>
    </row>
    <row r="1014" spans="1:18" x14ac:dyDescent="0.2">
      <c r="A1014" t="s">
        <v>2086</v>
      </c>
      <c r="B1014" t="s">
        <v>2087</v>
      </c>
      <c r="C1014" t="s">
        <v>103</v>
      </c>
      <c r="D1014" t="s">
        <v>104</v>
      </c>
      <c r="E1014" t="s">
        <v>53</v>
      </c>
      <c r="F1014" t="s">
        <v>67</v>
      </c>
      <c r="G1014" t="s">
        <v>68</v>
      </c>
      <c r="H1014" t="s">
        <v>47</v>
      </c>
      <c r="I1014" t="s">
        <v>50</v>
      </c>
      <c r="J1014" t="s">
        <v>37</v>
      </c>
      <c r="K1014" s="2">
        <v>45956</v>
      </c>
      <c r="L1014" s="2">
        <v>46136</v>
      </c>
      <c r="M1014" t="s">
        <v>38</v>
      </c>
      <c r="N1014" t="s">
        <v>49</v>
      </c>
      <c r="O1014">
        <v>3</v>
      </c>
      <c r="P1014" t="s">
        <v>56</v>
      </c>
      <c r="Q1014" s="2">
        <v>46191</v>
      </c>
      <c r="R1014" t="s">
        <v>64</v>
      </c>
    </row>
    <row r="1015" spans="1:18" x14ac:dyDescent="0.2">
      <c r="A1015" t="s">
        <v>2088</v>
      </c>
      <c r="B1015" t="s">
        <v>2089</v>
      </c>
      <c r="C1015" t="s">
        <v>42</v>
      </c>
      <c r="D1015" t="s">
        <v>43</v>
      </c>
      <c r="E1015" t="s">
        <v>53</v>
      </c>
      <c r="F1015" t="s">
        <v>34</v>
      </c>
      <c r="G1015" t="s">
        <v>35</v>
      </c>
      <c r="H1015" t="s">
        <v>88</v>
      </c>
      <c r="I1015" t="s">
        <v>111</v>
      </c>
      <c r="J1015" t="s">
        <v>48</v>
      </c>
      <c r="K1015" s="2">
        <v>46267</v>
      </c>
      <c r="L1015" s="2">
        <v>46632</v>
      </c>
      <c r="M1015" t="s">
        <v>69</v>
      </c>
      <c r="N1015" t="s">
        <v>55</v>
      </c>
      <c r="O1015">
        <v>2</v>
      </c>
      <c r="P1015" t="s">
        <v>111</v>
      </c>
      <c r="Q1015" s="2">
        <v>46244</v>
      </c>
      <c r="R1015" t="s">
        <v>64</v>
      </c>
    </row>
    <row r="1016" spans="1:18" x14ac:dyDescent="0.2">
      <c r="A1016" t="s">
        <v>2090</v>
      </c>
      <c r="B1016" t="s">
        <v>2091</v>
      </c>
      <c r="C1016" t="s">
        <v>73</v>
      </c>
      <c r="D1016" t="s">
        <v>74</v>
      </c>
      <c r="E1016" t="s">
        <v>105</v>
      </c>
      <c r="F1016" t="s">
        <v>67</v>
      </c>
      <c r="G1016" t="s">
        <v>68</v>
      </c>
      <c r="H1016" t="s">
        <v>88</v>
      </c>
      <c r="I1016" t="s">
        <v>56</v>
      </c>
      <c r="J1016" t="s">
        <v>48</v>
      </c>
      <c r="K1016" s="2">
        <v>46141</v>
      </c>
      <c r="L1016" s="2">
        <v>46321</v>
      </c>
      <c r="M1016" t="s">
        <v>69</v>
      </c>
      <c r="N1016" t="s">
        <v>55</v>
      </c>
      <c r="O1016">
        <v>2</v>
      </c>
      <c r="P1016" t="s">
        <v>50</v>
      </c>
      <c r="Q1016" s="2">
        <v>46349</v>
      </c>
      <c r="R1016" t="s">
        <v>84</v>
      </c>
    </row>
    <row r="1017" spans="1:18" x14ac:dyDescent="0.2">
      <c r="A1017" t="s">
        <v>2092</v>
      </c>
      <c r="B1017" t="s">
        <v>2093</v>
      </c>
      <c r="C1017" t="s">
        <v>42</v>
      </c>
      <c r="D1017" t="s">
        <v>43</v>
      </c>
      <c r="E1017" t="s">
        <v>91</v>
      </c>
      <c r="F1017" t="s">
        <v>34</v>
      </c>
      <c r="G1017" t="s">
        <v>35</v>
      </c>
      <c r="H1017" t="s">
        <v>88</v>
      </c>
      <c r="I1017" t="s">
        <v>56</v>
      </c>
      <c r="J1017" t="s">
        <v>37</v>
      </c>
      <c r="K1017" s="2">
        <v>46081</v>
      </c>
      <c r="L1017" s="2">
        <v>46171</v>
      </c>
      <c r="M1017" t="s">
        <v>38</v>
      </c>
      <c r="N1017" t="s">
        <v>75</v>
      </c>
      <c r="O1017">
        <v>3</v>
      </c>
      <c r="P1017" t="s">
        <v>106</v>
      </c>
      <c r="Q1017" s="2">
        <v>46313</v>
      </c>
      <c r="R1017" t="s">
        <v>64</v>
      </c>
    </row>
    <row r="1018" spans="1:18" x14ac:dyDescent="0.2">
      <c r="A1018" t="s">
        <v>2094</v>
      </c>
      <c r="B1018" t="s">
        <v>2095</v>
      </c>
      <c r="C1018" t="s">
        <v>96</v>
      </c>
      <c r="D1018" t="s">
        <v>97</v>
      </c>
      <c r="E1018" t="s">
        <v>80</v>
      </c>
      <c r="F1018" t="s">
        <v>67</v>
      </c>
      <c r="G1018" t="s">
        <v>118</v>
      </c>
      <c r="H1018" t="s">
        <v>36</v>
      </c>
      <c r="I1018" t="s">
        <v>50</v>
      </c>
      <c r="J1018" t="s">
        <v>48</v>
      </c>
      <c r="K1018" s="2">
        <v>46098</v>
      </c>
      <c r="L1018" s="2">
        <v>46463</v>
      </c>
      <c r="M1018" t="s">
        <v>64</v>
      </c>
      <c r="N1018" t="s">
        <v>55</v>
      </c>
      <c r="O1018">
        <v>3</v>
      </c>
      <c r="P1018" t="s">
        <v>106</v>
      </c>
      <c r="Q1018" s="2">
        <v>46259</v>
      </c>
      <c r="R1018" t="s">
        <v>64</v>
      </c>
    </row>
    <row r="1019" spans="1:18" x14ac:dyDescent="0.2">
      <c r="A1019" t="s">
        <v>2096</v>
      </c>
      <c r="B1019" t="s">
        <v>2097</v>
      </c>
      <c r="C1019" t="s">
        <v>103</v>
      </c>
      <c r="D1019" t="s">
        <v>104</v>
      </c>
      <c r="E1019" t="s">
        <v>105</v>
      </c>
      <c r="F1019" t="s">
        <v>34</v>
      </c>
      <c r="G1019" t="s">
        <v>35</v>
      </c>
      <c r="H1019" t="s">
        <v>36</v>
      </c>
      <c r="I1019" t="s">
        <v>70</v>
      </c>
      <c r="J1019" t="s">
        <v>48</v>
      </c>
      <c r="K1019" s="2">
        <v>46151</v>
      </c>
      <c r="L1019" s="2">
        <v>46241</v>
      </c>
      <c r="M1019" t="s">
        <v>38</v>
      </c>
      <c r="N1019" t="s">
        <v>55</v>
      </c>
      <c r="O1019">
        <v>2</v>
      </c>
      <c r="P1019" t="s">
        <v>70</v>
      </c>
      <c r="Q1019" s="2">
        <v>46148</v>
      </c>
      <c r="R1019" t="s">
        <v>64</v>
      </c>
    </row>
    <row r="1020" spans="1:18" x14ac:dyDescent="0.2">
      <c r="A1020" t="s">
        <v>2098</v>
      </c>
      <c r="B1020" t="s">
        <v>2099</v>
      </c>
      <c r="C1020" t="s">
        <v>31</v>
      </c>
      <c r="D1020" t="s">
        <v>87</v>
      </c>
      <c r="E1020" t="s">
        <v>91</v>
      </c>
      <c r="F1020" t="s">
        <v>45</v>
      </c>
      <c r="G1020" t="s">
        <v>46</v>
      </c>
      <c r="H1020" t="s">
        <v>36</v>
      </c>
      <c r="I1020" t="s">
        <v>70</v>
      </c>
      <c r="J1020" t="s">
        <v>48</v>
      </c>
      <c r="K1020" s="2">
        <v>46196</v>
      </c>
      <c r="L1020" s="2">
        <v>46561</v>
      </c>
      <c r="M1020" t="s">
        <v>69</v>
      </c>
      <c r="N1020" t="s">
        <v>49</v>
      </c>
      <c r="O1020">
        <v>2</v>
      </c>
      <c r="P1020" t="s">
        <v>54</v>
      </c>
      <c r="Q1020" s="2">
        <v>46169</v>
      </c>
      <c r="R1020" t="s">
        <v>38</v>
      </c>
    </row>
    <row r="1021" spans="1:18" x14ac:dyDescent="0.2">
      <c r="A1021" t="s">
        <v>2100</v>
      </c>
      <c r="B1021" t="s">
        <v>2101</v>
      </c>
      <c r="C1021" t="s">
        <v>78</v>
      </c>
      <c r="D1021" t="s">
        <v>79</v>
      </c>
      <c r="E1021" t="s">
        <v>44</v>
      </c>
      <c r="F1021" t="s">
        <v>34</v>
      </c>
      <c r="G1021" t="s">
        <v>35</v>
      </c>
      <c r="H1021" t="s">
        <v>47</v>
      </c>
      <c r="I1021" t="s">
        <v>70</v>
      </c>
      <c r="J1021" t="s">
        <v>63</v>
      </c>
      <c r="K1021" s="2">
        <v>46274</v>
      </c>
      <c r="L1021" s="2">
        <v>46454</v>
      </c>
      <c r="M1021" t="s">
        <v>84</v>
      </c>
      <c r="N1021" t="s">
        <v>55</v>
      </c>
      <c r="O1021">
        <v>0</v>
      </c>
      <c r="P1021" t="s">
        <v>54</v>
      </c>
      <c r="Q1021" s="2">
        <v>46155</v>
      </c>
      <c r="R1021" t="s">
        <v>57</v>
      </c>
    </row>
    <row r="1022" spans="1:18" x14ac:dyDescent="0.2">
      <c r="A1022" t="s">
        <v>2102</v>
      </c>
      <c r="B1022" t="s">
        <v>2103</v>
      </c>
      <c r="C1022" t="s">
        <v>31</v>
      </c>
      <c r="D1022" t="s">
        <v>87</v>
      </c>
      <c r="E1022" t="s">
        <v>91</v>
      </c>
      <c r="F1022" t="s">
        <v>67</v>
      </c>
      <c r="G1022" t="s">
        <v>68</v>
      </c>
      <c r="H1022" t="s">
        <v>98</v>
      </c>
      <c r="I1022" t="s">
        <v>50</v>
      </c>
      <c r="J1022" t="s">
        <v>48</v>
      </c>
      <c r="K1022" s="2">
        <v>46035</v>
      </c>
      <c r="L1022" s="2">
        <v>46215</v>
      </c>
      <c r="M1022" t="s">
        <v>38</v>
      </c>
      <c r="N1022" t="s">
        <v>49</v>
      </c>
      <c r="O1022">
        <v>5</v>
      </c>
      <c r="P1022" t="s">
        <v>54</v>
      </c>
      <c r="Q1022" s="2">
        <v>46146</v>
      </c>
      <c r="R1022" t="s">
        <v>38</v>
      </c>
    </row>
    <row r="1023" spans="1:18" x14ac:dyDescent="0.2">
      <c r="A1023" t="s">
        <v>2104</v>
      </c>
      <c r="B1023" t="s">
        <v>2105</v>
      </c>
      <c r="C1023" t="s">
        <v>31</v>
      </c>
      <c r="D1023" t="s">
        <v>83</v>
      </c>
      <c r="E1023" t="s">
        <v>60</v>
      </c>
      <c r="F1023" t="s">
        <v>67</v>
      </c>
      <c r="G1023" t="s">
        <v>68</v>
      </c>
      <c r="H1023" t="s">
        <v>88</v>
      </c>
      <c r="I1023" t="s">
        <v>54</v>
      </c>
      <c r="J1023" t="s">
        <v>37</v>
      </c>
      <c r="K1023" s="2">
        <v>45917</v>
      </c>
      <c r="L1023" s="2">
        <v>46007</v>
      </c>
      <c r="M1023" t="s">
        <v>38</v>
      </c>
      <c r="N1023" t="s">
        <v>49</v>
      </c>
      <c r="O1023">
        <v>0</v>
      </c>
      <c r="P1023" t="s">
        <v>54</v>
      </c>
      <c r="Q1023" s="2">
        <v>46211</v>
      </c>
      <c r="R1023" t="s">
        <v>57</v>
      </c>
    </row>
    <row r="1024" spans="1:18" x14ac:dyDescent="0.2">
      <c r="A1024" t="s">
        <v>2106</v>
      </c>
      <c r="B1024" t="s">
        <v>2107</v>
      </c>
      <c r="C1024" t="s">
        <v>42</v>
      </c>
      <c r="D1024" t="s">
        <v>43</v>
      </c>
      <c r="E1024" t="s">
        <v>91</v>
      </c>
      <c r="F1024" t="s">
        <v>45</v>
      </c>
      <c r="G1024" t="s">
        <v>61</v>
      </c>
      <c r="H1024" t="s">
        <v>36</v>
      </c>
      <c r="I1024" t="s">
        <v>56</v>
      </c>
      <c r="J1024" t="s">
        <v>37</v>
      </c>
      <c r="K1024" s="2">
        <v>45968</v>
      </c>
      <c r="L1024" s="2">
        <v>46148</v>
      </c>
      <c r="M1024" t="s">
        <v>38</v>
      </c>
      <c r="N1024" t="s">
        <v>49</v>
      </c>
      <c r="O1024">
        <v>5</v>
      </c>
      <c r="P1024" t="s">
        <v>54</v>
      </c>
      <c r="Q1024" s="2">
        <v>46261</v>
      </c>
      <c r="R1024" t="s">
        <v>64</v>
      </c>
    </row>
    <row r="1025" spans="1:18" x14ac:dyDescent="0.2">
      <c r="A1025" t="s">
        <v>2108</v>
      </c>
      <c r="B1025" t="s">
        <v>2109</v>
      </c>
      <c r="C1025" t="s">
        <v>96</v>
      </c>
      <c r="D1025" t="s">
        <v>97</v>
      </c>
      <c r="E1025" t="s">
        <v>91</v>
      </c>
      <c r="F1025" t="s">
        <v>34</v>
      </c>
      <c r="G1025" t="s">
        <v>35</v>
      </c>
      <c r="H1025" t="s">
        <v>36</v>
      </c>
      <c r="I1025" t="s">
        <v>56</v>
      </c>
      <c r="J1025" t="s">
        <v>63</v>
      </c>
      <c r="K1025" s="2">
        <v>46131</v>
      </c>
      <c r="L1025" s="2">
        <v>46221</v>
      </c>
      <c r="M1025" t="s">
        <v>38</v>
      </c>
      <c r="N1025" t="s">
        <v>55</v>
      </c>
      <c r="O1025">
        <v>0</v>
      </c>
      <c r="P1025" t="s">
        <v>39</v>
      </c>
      <c r="Q1025" s="2">
        <v>46147</v>
      </c>
      <c r="R1025" t="s">
        <v>57</v>
      </c>
    </row>
    <row r="1026" spans="1:18" x14ac:dyDescent="0.2">
      <c r="A1026" t="s">
        <v>2110</v>
      </c>
      <c r="B1026" t="s">
        <v>2111</v>
      </c>
      <c r="C1026" t="s">
        <v>73</v>
      </c>
      <c r="D1026" t="s">
        <v>74</v>
      </c>
      <c r="E1026" t="s">
        <v>105</v>
      </c>
      <c r="F1026" t="s">
        <v>34</v>
      </c>
      <c r="G1026" t="s">
        <v>35</v>
      </c>
      <c r="H1026" t="s">
        <v>88</v>
      </c>
      <c r="I1026" t="s">
        <v>111</v>
      </c>
      <c r="J1026" t="s">
        <v>37</v>
      </c>
      <c r="K1026" s="2">
        <v>46269</v>
      </c>
      <c r="L1026" s="2">
        <v>46634</v>
      </c>
      <c r="M1026" t="s">
        <v>69</v>
      </c>
      <c r="N1026" t="s">
        <v>49</v>
      </c>
      <c r="O1026">
        <v>2</v>
      </c>
      <c r="P1026" t="s">
        <v>111</v>
      </c>
      <c r="Q1026" s="2">
        <v>46148</v>
      </c>
      <c r="R1026" t="s">
        <v>38</v>
      </c>
    </row>
    <row r="1027" spans="1:18" x14ac:dyDescent="0.2">
      <c r="A1027" t="s">
        <v>2112</v>
      </c>
      <c r="B1027" t="s">
        <v>2113</v>
      </c>
      <c r="C1027" t="s">
        <v>78</v>
      </c>
      <c r="D1027" t="s">
        <v>79</v>
      </c>
      <c r="E1027" t="s">
        <v>53</v>
      </c>
      <c r="F1027" t="s">
        <v>67</v>
      </c>
      <c r="G1027" t="s">
        <v>118</v>
      </c>
      <c r="H1027" t="s">
        <v>36</v>
      </c>
      <c r="I1027" t="s">
        <v>106</v>
      </c>
      <c r="J1027" t="s">
        <v>37</v>
      </c>
      <c r="K1027" s="2">
        <v>45996</v>
      </c>
      <c r="L1027" s="2">
        <v>46361</v>
      </c>
      <c r="M1027" t="s">
        <v>64</v>
      </c>
      <c r="N1027" t="s">
        <v>49</v>
      </c>
      <c r="O1027">
        <v>1</v>
      </c>
      <c r="P1027" t="s">
        <v>106</v>
      </c>
      <c r="Q1027" s="2">
        <v>46136</v>
      </c>
      <c r="R1027" t="s">
        <v>38</v>
      </c>
    </row>
    <row r="1028" spans="1:18" x14ac:dyDescent="0.2">
      <c r="A1028" t="s">
        <v>2114</v>
      </c>
      <c r="B1028" t="s">
        <v>2115</v>
      </c>
      <c r="C1028" t="s">
        <v>73</v>
      </c>
      <c r="D1028" t="s">
        <v>74</v>
      </c>
      <c r="E1028" t="s">
        <v>80</v>
      </c>
      <c r="F1028" t="s">
        <v>67</v>
      </c>
      <c r="G1028" t="s">
        <v>118</v>
      </c>
      <c r="H1028" t="s">
        <v>88</v>
      </c>
      <c r="I1028" t="s">
        <v>50</v>
      </c>
      <c r="J1028" t="s">
        <v>63</v>
      </c>
      <c r="K1028" s="2">
        <v>45898</v>
      </c>
      <c r="L1028" s="2">
        <v>46078</v>
      </c>
      <c r="M1028" t="s">
        <v>38</v>
      </c>
      <c r="N1028" t="s">
        <v>75</v>
      </c>
      <c r="O1028">
        <v>0</v>
      </c>
      <c r="P1028" t="s">
        <v>50</v>
      </c>
      <c r="Q1028" s="2">
        <v>46186</v>
      </c>
      <c r="R1028" t="s">
        <v>57</v>
      </c>
    </row>
    <row r="1029" spans="1:18" x14ac:dyDescent="0.2">
      <c r="A1029" t="s">
        <v>2116</v>
      </c>
      <c r="B1029" t="s">
        <v>2117</v>
      </c>
      <c r="C1029" t="s">
        <v>96</v>
      </c>
      <c r="D1029" t="s">
        <v>97</v>
      </c>
      <c r="E1029" t="s">
        <v>105</v>
      </c>
      <c r="F1029" t="s">
        <v>67</v>
      </c>
      <c r="G1029" t="s">
        <v>118</v>
      </c>
      <c r="H1029" t="s">
        <v>88</v>
      </c>
      <c r="I1029" t="s">
        <v>50</v>
      </c>
      <c r="J1029" t="s">
        <v>37</v>
      </c>
      <c r="K1029" s="2">
        <v>46198</v>
      </c>
      <c r="L1029" s="2">
        <v>46563</v>
      </c>
      <c r="M1029" t="s">
        <v>84</v>
      </c>
      <c r="N1029" t="s">
        <v>55</v>
      </c>
      <c r="O1029">
        <v>0</v>
      </c>
      <c r="P1029" t="s">
        <v>106</v>
      </c>
      <c r="Q1029" s="2">
        <v>46315</v>
      </c>
      <c r="R1029" t="s">
        <v>57</v>
      </c>
    </row>
    <row r="1030" spans="1:18" x14ac:dyDescent="0.2">
      <c r="A1030" t="s">
        <v>2118</v>
      </c>
      <c r="B1030" t="s">
        <v>2119</v>
      </c>
      <c r="C1030" t="s">
        <v>96</v>
      </c>
      <c r="D1030" t="s">
        <v>97</v>
      </c>
      <c r="E1030" t="s">
        <v>80</v>
      </c>
      <c r="F1030" t="s">
        <v>45</v>
      </c>
      <c r="G1030" t="s">
        <v>46</v>
      </c>
      <c r="H1030" t="s">
        <v>88</v>
      </c>
      <c r="I1030" t="s">
        <v>56</v>
      </c>
      <c r="J1030" t="s">
        <v>37</v>
      </c>
      <c r="K1030" s="2">
        <v>45851</v>
      </c>
      <c r="L1030" s="2">
        <v>46216</v>
      </c>
      <c r="M1030" t="s">
        <v>38</v>
      </c>
      <c r="N1030" t="s">
        <v>75</v>
      </c>
      <c r="O1030">
        <v>1</v>
      </c>
      <c r="P1030" t="s">
        <v>50</v>
      </c>
      <c r="Q1030" s="2">
        <v>46212</v>
      </c>
      <c r="R1030" t="s">
        <v>38</v>
      </c>
    </row>
    <row r="1031" spans="1:18" x14ac:dyDescent="0.2">
      <c r="A1031" t="s">
        <v>2120</v>
      </c>
      <c r="B1031" t="s">
        <v>2121</v>
      </c>
      <c r="C1031" t="s">
        <v>96</v>
      </c>
      <c r="D1031" t="s">
        <v>97</v>
      </c>
      <c r="E1031" t="s">
        <v>53</v>
      </c>
      <c r="F1031" t="s">
        <v>67</v>
      </c>
      <c r="G1031" t="s">
        <v>68</v>
      </c>
      <c r="H1031" t="s">
        <v>98</v>
      </c>
      <c r="I1031" t="s">
        <v>70</v>
      </c>
      <c r="J1031" t="s">
        <v>48</v>
      </c>
      <c r="K1031" s="2">
        <v>46110</v>
      </c>
      <c r="L1031" s="2">
        <v>46475</v>
      </c>
      <c r="M1031" t="s">
        <v>64</v>
      </c>
      <c r="N1031" t="s">
        <v>75</v>
      </c>
      <c r="O1031">
        <v>1</v>
      </c>
      <c r="P1031" t="s">
        <v>62</v>
      </c>
      <c r="Q1031" s="2">
        <v>46235</v>
      </c>
      <c r="R1031" t="s">
        <v>38</v>
      </c>
    </row>
    <row r="1032" spans="1:18" x14ac:dyDescent="0.2">
      <c r="A1032" t="s">
        <v>2122</v>
      </c>
      <c r="B1032" t="s">
        <v>2123</v>
      </c>
      <c r="C1032" t="s">
        <v>42</v>
      </c>
      <c r="D1032" t="s">
        <v>43</v>
      </c>
      <c r="E1032" t="s">
        <v>53</v>
      </c>
      <c r="F1032" t="s">
        <v>67</v>
      </c>
      <c r="G1032" t="s">
        <v>68</v>
      </c>
      <c r="H1032" t="s">
        <v>88</v>
      </c>
      <c r="I1032" t="s">
        <v>106</v>
      </c>
      <c r="J1032" t="s">
        <v>63</v>
      </c>
      <c r="K1032" s="2">
        <v>45953</v>
      </c>
      <c r="L1032" s="2">
        <v>46133</v>
      </c>
      <c r="M1032" t="s">
        <v>38</v>
      </c>
      <c r="N1032" t="s">
        <v>49</v>
      </c>
      <c r="O1032">
        <v>3</v>
      </c>
      <c r="P1032" t="s">
        <v>106</v>
      </c>
      <c r="Q1032" s="2">
        <v>46177</v>
      </c>
      <c r="R1032" t="s">
        <v>38</v>
      </c>
    </row>
    <row r="1033" spans="1:18" x14ac:dyDescent="0.2">
      <c r="A1033" t="s">
        <v>2124</v>
      </c>
      <c r="B1033" t="s">
        <v>2125</v>
      </c>
      <c r="C1033" t="s">
        <v>103</v>
      </c>
      <c r="D1033" t="s">
        <v>104</v>
      </c>
      <c r="E1033" t="s">
        <v>53</v>
      </c>
      <c r="F1033" t="s">
        <v>34</v>
      </c>
      <c r="G1033" t="s">
        <v>35</v>
      </c>
      <c r="H1033" t="s">
        <v>88</v>
      </c>
      <c r="I1033" t="s">
        <v>111</v>
      </c>
      <c r="J1033" t="s">
        <v>37</v>
      </c>
      <c r="K1033" s="2">
        <v>46243</v>
      </c>
      <c r="L1033" s="2">
        <v>46333</v>
      </c>
      <c r="M1033" t="s">
        <v>64</v>
      </c>
      <c r="N1033" t="s">
        <v>75</v>
      </c>
      <c r="O1033">
        <v>1</v>
      </c>
      <c r="P1033" t="s">
        <v>111</v>
      </c>
      <c r="Q1033" s="2">
        <v>46222</v>
      </c>
      <c r="R1033" t="s">
        <v>38</v>
      </c>
    </row>
    <row r="1034" spans="1:18" x14ac:dyDescent="0.2">
      <c r="A1034" t="s">
        <v>2126</v>
      </c>
      <c r="B1034" t="s">
        <v>2127</v>
      </c>
      <c r="C1034" t="s">
        <v>103</v>
      </c>
      <c r="D1034" t="s">
        <v>104</v>
      </c>
      <c r="E1034" t="s">
        <v>60</v>
      </c>
      <c r="F1034" t="s">
        <v>67</v>
      </c>
      <c r="G1034" t="s">
        <v>118</v>
      </c>
      <c r="H1034" t="s">
        <v>36</v>
      </c>
      <c r="I1034" t="s">
        <v>54</v>
      </c>
      <c r="J1034" t="s">
        <v>63</v>
      </c>
      <c r="K1034" s="2">
        <v>45814</v>
      </c>
      <c r="L1034" s="2">
        <v>45904</v>
      </c>
      <c r="M1034" t="s">
        <v>38</v>
      </c>
      <c r="N1034" t="s">
        <v>75</v>
      </c>
      <c r="O1034">
        <v>5</v>
      </c>
      <c r="P1034" t="s">
        <v>54</v>
      </c>
      <c r="Q1034" s="2">
        <v>46408</v>
      </c>
      <c r="R1034" t="s">
        <v>84</v>
      </c>
    </row>
    <row r="1035" spans="1:18" x14ac:dyDescent="0.2">
      <c r="A1035" t="s">
        <v>2128</v>
      </c>
      <c r="B1035" t="s">
        <v>2129</v>
      </c>
      <c r="C1035" t="s">
        <v>96</v>
      </c>
      <c r="D1035" t="s">
        <v>97</v>
      </c>
      <c r="E1035" t="s">
        <v>60</v>
      </c>
      <c r="F1035" t="s">
        <v>45</v>
      </c>
      <c r="G1035" t="s">
        <v>61</v>
      </c>
      <c r="H1035" t="s">
        <v>88</v>
      </c>
      <c r="I1035" t="s">
        <v>39</v>
      </c>
      <c r="J1035" t="s">
        <v>63</v>
      </c>
      <c r="K1035" s="2">
        <v>46115</v>
      </c>
      <c r="L1035" s="2">
        <v>46480</v>
      </c>
      <c r="M1035" t="s">
        <v>69</v>
      </c>
      <c r="N1035" t="s">
        <v>55</v>
      </c>
      <c r="O1035">
        <v>2</v>
      </c>
      <c r="P1035" t="s">
        <v>56</v>
      </c>
      <c r="Q1035" s="2">
        <v>46156</v>
      </c>
      <c r="R1035" t="s">
        <v>38</v>
      </c>
    </row>
    <row r="1036" spans="1:18" x14ac:dyDescent="0.2">
      <c r="A1036" t="s">
        <v>2130</v>
      </c>
      <c r="B1036" t="s">
        <v>2131</v>
      </c>
      <c r="C1036" t="s">
        <v>103</v>
      </c>
      <c r="D1036" t="s">
        <v>104</v>
      </c>
      <c r="E1036" t="s">
        <v>80</v>
      </c>
      <c r="F1036" t="s">
        <v>45</v>
      </c>
      <c r="G1036" t="s">
        <v>61</v>
      </c>
      <c r="H1036" t="s">
        <v>36</v>
      </c>
      <c r="I1036" t="s">
        <v>56</v>
      </c>
      <c r="J1036" t="s">
        <v>63</v>
      </c>
      <c r="K1036" s="2">
        <v>45911</v>
      </c>
      <c r="L1036" s="2">
        <v>46001</v>
      </c>
      <c r="M1036" t="s">
        <v>38</v>
      </c>
      <c r="N1036" t="s">
        <v>75</v>
      </c>
      <c r="O1036">
        <v>0</v>
      </c>
      <c r="P1036" t="s">
        <v>39</v>
      </c>
      <c r="Q1036" s="2">
        <v>46357</v>
      </c>
      <c r="R1036" t="s">
        <v>57</v>
      </c>
    </row>
    <row r="1037" spans="1:18" x14ac:dyDescent="0.2">
      <c r="A1037" t="s">
        <v>2132</v>
      </c>
      <c r="B1037" t="s">
        <v>2133</v>
      </c>
      <c r="C1037" t="s">
        <v>103</v>
      </c>
      <c r="D1037" t="s">
        <v>104</v>
      </c>
      <c r="E1037" t="s">
        <v>60</v>
      </c>
      <c r="F1037" t="s">
        <v>67</v>
      </c>
      <c r="G1037" t="s">
        <v>118</v>
      </c>
      <c r="H1037" t="s">
        <v>88</v>
      </c>
      <c r="I1037" t="s">
        <v>50</v>
      </c>
      <c r="J1037" t="s">
        <v>63</v>
      </c>
      <c r="K1037" s="2">
        <v>45874</v>
      </c>
      <c r="L1037" s="2">
        <v>46054</v>
      </c>
      <c r="M1037" t="s">
        <v>38</v>
      </c>
      <c r="N1037" t="s">
        <v>75</v>
      </c>
      <c r="O1037">
        <v>3</v>
      </c>
      <c r="P1037" t="s">
        <v>54</v>
      </c>
      <c r="Q1037" s="2">
        <v>46275</v>
      </c>
      <c r="R1037" t="s">
        <v>38</v>
      </c>
    </row>
    <row r="1038" spans="1:18" x14ac:dyDescent="0.2">
      <c r="A1038" t="s">
        <v>2134</v>
      </c>
      <c r="B1038" t="s">
        <v>2135</v>
      </c>
      <c r="C1038" t="s">
        <v>103</v>
      </c>
      <c r="D1038" t="s">
        <v>104</v>
      </c>
      <c r="E1038" t="s">
        <v>53</v>
      </c>
      <c r="F1038" t="s">
        <v>34</v>
      </c>
      <c r="G1038" t="s">
        <v>35</v>
      </c>
      <c r="H1038" t="s">
        <v>36</v>
      </c>
      <c r="I1038" t="s">
        <v>54</v>
      </c>
      <c r="J1038" t="s">
        <v>37</v>
      </c>
      <c r="K1038" s="2">
        <v>46007</v>
      </c>
      <c r="L1038" s="2">
        <v>46372</v>
      </c>
      <c r="M1038" t="s">
        <v>64</v>
      </c>
      <c r="N1038" t="s">
        <v>75</v>
      </c>
      <c r="O1038">
        <v>3</v>
      </c>
      <c r="P1038" t="s">
        <v>39</v>
      </c>
      <c r="Q1038" s="2">
        <v>46120</v>
      </c>
      <c r="R1038" t="s">
        <v>64</v>
      </c>
    </row>
    <row r="1039" spans="1:18" x14ac:dyDescent="0.2">
      <c r="A1039" t="s">
        <v>2136</v>
      </c>
      <c r="B1039" t="s">
        <v>2137</v>
      </c>
      <c r="C1039" t="s">
        <v>96</v>
      </c>
      <c r="D1039" t="s">
        <v>97</v>
      </c>
      <c r="E1039" t="s">
        <v>105</v>
      </c>
      <c r="F1039" t="s">
        <v>45</v>
      </c>
      <c r="G1039" t="s">
        <v>61</v>
      </c>
      <c r="H1039" t="s">
        <v>88</v>
      </c>
      <c r="J1039" t="s">
        <v>37</v>
      </c>
      <c r="K1039" s="2">
        <v>45878</v>
      </c>
      <c r="L1039" s="2">
        <v>45968</v>
      </c>
      <c r="M1039" t="s">
        <v>38</v>
      </c>
      <c r="N1039" t="s">
        <v>75</v>
      </c>
      <c r="O1039">
        <v>3</v>
      </c>
      <c r="P1039" t="s">
        <v>70</v>
      </c>
      <c r="Q1039" s="2">
        <v>46399</v>
      </c>
      <c r="R1039" t="s">
        <v>64</v>
      </c>
    </row>
    <row r="1040" spans="1:18" x14ac:dyDescent="0.2">
      <c r="A1040" t="s">
        <v>2138</v>
      </c>
      <c r="B1040" t="s">
        <v>2139</v>
      </c>
      <c r="C1040" t="s">
        <v>31</v>
      </c>
      <c r="D1040" t="s">
        <v>32</v>
      </c>
      <c r="E1040" t="s">
        <v>53</v>
      </c>
      <c r="F1040" t="s">
        <v>67</v>
      </c>
      <c r="G1040" t="s">
        <v>118</v>
      </c>
      <c r="H1040" t="s">
        <v>47</v>
      </c>
      <c r="I1040" t="s">
        <v>111</v>
      </c>
      <c r="J1040" t="s">
        <v>37</v>
      </c>
      <c r="K1040" s="2">
        <v>46130</v>
      </c>
      <c r="L1040" s="2">
        <v>46220</v>
      </c>
      <c r="M1040" t="s">
        <v>38</v>
      </c>
      <c r="N1040" t="s">
        <v>49</v>
      </c>
      <c r="O1040">
        <v>1</v>
      </c>
      <c r="P1040" t="s">
        <v>111</v>
      </c>
      <c r="Q1040" s="2">
        <v>46280</v>
      </c>
      <c r="R1040" t="s">
        <v>38</v>
      </c>
    </row>
    <row r="1041" spans="1:18" x14ac:dyDescent="0.2">
      <c r="A1041" t="s">
        <v>2140</v>
      </c>
      <c r="B1041" t="s">
        <v>2141</v>
      </c>
      <c r="C1041" t="s">
        <v>73</v>
      </c>
      <c r="D1041" t="s">
        <v>74</v>
      </c>
      <c r="E1041" t="s">
        <v>53</v>
      </c>
      <c r="F1041" t="s">
        <v>67</v>
      </c>
      <c r="G1041" t="s">
        <v>68</v>
      </c>
      <c r="H1041" t="s">
        <v>36</v>
      </c>
      <c r="I1041" t="s">
        <v>62</v>
      </c>
      <c r="J1041" t="s">
        <v>48</v>
      </c>
      <c r="K1041" s="2">
        <v>45994</v>
      </c>
      <c r="L1041" s="2">
        <v>46084</v>
      </c>
      <c r="M1041" t="s">
        <v>38</v>
      </c>
      <c r="N1041" t="s">
        <v>49</v>
      </c>
      <c r="O1041">
        <v>3</v>
      </c>
      <c r="P1041" t="s">
        <v>56</v>
      </c>
      <c r="Q1041" s="2">
        <v>46280</v>
      </c>
      <c r="R1041" t="s">
        <v>38</v>
      </c>
    </row>
    <row r="1042" spans="1:18" x14ac:dyDescent="0.2">
      <c r="A1042" t="s">
        <v>2142</v>
      </c>
      <c r="B1042" t="s">
        <v>2143</v>
      </c>
      <c r="C1042" t="s">
        <v>31</v>
      </c>
      <c r="D1042" t="s">
        <v>83</v>
      </c>
      <c r="E1042" t="s">
        <v>60</v>
      </c>
      <c r="F1042" t="s">
        <v>67</v>
      </c>
      <c r="G1042" t="s">
        <v>68</v>
      </c>
      <c r="H1042" t="s">
        <v>47</v>
      </c>
      <c r="I1042" t="s">
        <v>50</v>
      </c>
      <c r="J1042" t="s">
        <v>48</v>
      </c>
      <c r="K1042" s="2">
        <v>46021</v>
      </c>
      <c r="L1042" s="2">
        <v>46111</v>
      </c>
      <c r="M1042" t="s">
        <v>38</v>
      </c>
      <c r="N1042" t="s">
        <v>55</v>
      </c>
      <c r="O1042">
        <v>1</v>
      </c>
      <c r="P1042" t="s">
        <v>70</v>
      </c>
      <c r="Q1042" s="2">
        <v>46192</v>
      </c>
      <c r="R1042" t="s">
        <v>64</v>
      </c>
    </row>
    <row r="1043" spans="1:18" x14ac:dyDescent="0.2">
      <c r="A1043" t="s">
        <v>2144</v>
      </c>
      <c r="B1043" t="s">
        <v>2145</v>
      </c>
      <c r="C1043" t="s">
        <v>78</v>
      </c>
      <c r="D1043" t="s">
        <v>79</v>
      </c>
      <c r="E1043" t="s">
        <v>53</v>
      </c>
      <c r="F1043" t="s">
        <v>67</v>
      </c>
      <c r="G1043" t="s">
        <v>118</v>
      </c>
      <c r="H1043" t="s">
        <v>47</v>
      </c>
      <c r="I1043" t="s">
        <v>106</v>
      </c>
      <c r="J1043" t="s">
        <v>37</v>
      </c>
      <c r="K1043" s="2">
        <v>45891</v>
      </c>
      <c r="L1043" s="2">
        <v>45981</v>
      </c>
      <c r="M1043" t="s">
        <v>38</v>
      </c>
      <c r="N1043" t="s">
        <v>75</v>
      </c>
      <c r="O1043">
        <v>3</v>
      </c>
      <c r="P1043" t="s">
        <v>50</v>
      </c>
      <c r="Q1043" s="2">
        <v>46394</v>
      </c>
      <c r="R1043" t="s">
        <v>64</v>
      </c>
    </row>
    <row r="1044" spans="1:18" x14ac:dyDescent="0.2">
      <c r="A1044" t="s">
        <v>2146</v>
      </c>
      <c r="B1044" t="s">
        <v>2147</v>
      </c>
      <c r="C1044" t="s">
        <v>31</v>
      </c>
      <c r="D1044" t="s">
        <v>87</v>
      </c>
      <c r="E1044" t="s">
        <v>44</v>
      </c>
      <c r="F1044" t="s">
        <v>34</v>
      </c>
      <c r="G1044" t="s">
        <v>35</v>
      </c>
      <c r="H1044" t="s">
        <v>88</v>
      </c>
      <c r="I1044" t="s">
        <v>70</v>
      </c>
      <c r="J1044" t="s">
        <v>63</v>
      </c>
      <c r="K1044" s="2">
        <v>45885</v>
      </c>
      <c r="L1044" s="2">
        <v>46065</v>
      </c>
      <c r="M1044" t="s">
        <v>38</v>
      </c>
      <c r="N1044" t="s">
        <v>55</v>
      </c>
      <c r="O1044">
        <v>1</v>
      </c>
      <c r="P1044" t="s">
        <v>54</v>
      </c>
      <c r="Q1044" s="2">
        <v>46143</v>
      </c>
      <c r="R1044" t="s">
        <v>38</v>
      </c>
    </row>
    <row r="1045" spans="1:18" x14ac:dyDescent="0.2">
      <c r="A1045" t="s">
        <v>2148</v>
      </c>
      <c r="B1045" t="s">
        <v>2149</v>
      </c>
      <c r="C1045" t="s">
        <v>78</v>
      </c>
      <c r="D1045" t="s">
        <v>79</v>
      </c>
      <c r="E1045" t="s">
        <v>105</v>
      </c>
      <c r="F1045" t="s">
        <v>67</v>
      </c>
      <c r="G1045" t="s">
        <v>68</v>
      </c>
      <c r="H1045" t="s">
        <v>47</v>
      </c>
      <c r="I1045" t="s">
        <v>54</v>
      </c>
      <c r="J1045" t="s">
        <v>63</v>
      </c>
      <c r="K1045" s="2">
        <v>46197</v>
      </c>
      <c r="L1045" s="2">
        <v>46287</v>
      </c>
      <c r="M1045" t="s">
        <v>38</v>
      </c>
      <c r="N1045" t="s">
        <v>49</v>
      </c>
      <c r="O1045">
        <v>2</v>
      </c>
      <c r="P1045" t="s">
        <v>56</v>
      </c>
      <c r="Q1045" s="2">
        <v>46280</v>
      </c>
      <c r="R1045" t="s">
        <v>38</v>
      </c>
    </row>
    <row r="1046" spans="1:18" x14ac:dyDescent="0.2">
      <c r="A1046" t="s">
        <v>2150</v>
      </c>
      <c r="B1046" t="s">
        <v>2151</v>
      </c>
      <c r="C1046" t="s">
        <v>96</v>
      </c>
      <c r="D1046" t="s">
        <v>97</v>
      </c>
      <c r="E1046" t="s">
        <v>91</v>
      </c>
      <c r="F1046" t="s">
        <v>67</v>
      </c>
      <c r="G1046" t="s">
        <v>68</v>
      </c>
      <c r="H1046" t="s">
        <v>36</v>
      </c>
      <c r="I1046" t="s">
        <v>62</v>
      </c>
      <c r="J1046" t="s">
        <v>37</v>
      </c>
      <c r="K1046" s="2">
        <v>45994</v>
      </c>
      <c r="L1046" s="2">
        <v>46084</v>
      </c>
      <c r="M1046" t="s">
        <v>38</v>
      </c>
      <c r="N1046" t="s">
        <v>55</v>
      </c>
      <c r="O1046">
        <v>1</v>
      </c>
      <c r="P1046" t="s">
        <v>70</v>
      </c>
      <c r="Q1046" s="2">
        <v>46133</v>
      </c>
      <c r="R1046" t="s">
        <v>64</v>
      </c>
    </row>
    <row r="1047" spans="1:18" x14ac:dyDescent="0.2">
      <c r="A1047" t="s">
        <v>2152</v>
      </c>
      <c r="B1047" t="s">
        <v>2153</v>
      </c>
      <c r="C1047" t="s">
        <v>42</v>
      </c>
      <c r="D1047" t="s">
        <v>43</v>
      </c>
      <c r="E1047" t="s">
        <v>60</v>
      </c>
      <c r="F1047" t="s">
        <v>34</v>
      </c>
      <c r="G1047" t="s">
        <v>35</v>
      </c>
      <c r="H1047" t="s">
        <v>36</v>
      </c>
      <c r="I1047" t="s">
        <v>50</v>
      </c>
      <c r="J1047" t="s">
        <v>63</v>
      </c>
      <c r="K1047" s="2">
        <v>46072</v>
      </c>
      <c r="L1047" s="2">
        <v>46162</v>
      </c>
      <c r="M1047" t="s">
        <v>38</v>
      </c>
      <c r="N1047" t="s">
        <v>55</v>
      </c>
      <c r="O1047">
        <v>4</v>
      </c>
      <c r="P1047" t="s">
        <v>106</v>
      </c>
      <c r="Q1047" s="2">
        <v>46118</v>
      </c>
      <c r="R1047" t="s">
        <v>38</v>
      </c>
    </row>
    <row r="1048" spans="1:18" x14ac:dyDescent="0.2">
      <c r="A1048" t="s">
        <v>2154</v>
      </c>
      <c r="B1048" t="s">
        <v>2155</v>
      </c>
      <c r="C1048" t="s">
        <v>42</v>
      </c>
      <c r="D1048" t="s">
        <v>43</v>
      </c>
      <c r="E1048" t="s">
        <v>44</v>
      </c>
      <c r="F1048" t="s">
        <v>34</v>
      </c>
      <c r="G1048" t="s">
        <v>35</v>
      </c>
      <c r="H1048" t="s">
        <v>36</v>
      </c>
      <c r="I1048" t="s">
        <v>56</v>
      </c>
      <c r="J1048" t="s">
        <v>48</v>
      </c>
      <c r="K1048" s="2">
        <v>46104</v>
      </c>
      <c r="L1048" s="2">
        <v>46194</v>
      </c>
      <c r="M1048" t="s">
        <v>38</v>
      </c>
      <c r="N1048" t="s">
        <v>75</v>
      </c>
      <c r="O1048">
        <v>2</v>
      </c>
      <c r="P1048" t="s">
        <v>111</v>
      </c>
      <c r="Q1048" s="2">
        <v>46316</v>
      </c>
      <c r="R1048" t="s">
        <v>64</v>
      </c>
    </row>
    <row r="1049" spans="1:18" x14ac:dyDescent="0.2">
      <c r="A1049" t="s">
        <v>2156</v>
      </c>
      <c r="B1049" t="s">
        <v>2157</v>
      </c>
      <c r="C1049" t="s">
        <v>42</v>
      </c>
      <c r="D1049" t="s">
        <v>43</v>
      </c>
      <c r="E1049" t="s">
        <v>44</v>
      </c>
      <c r="F1049" t="s">
        <v>34</v>
      </c>
      <c r="G1049" t="s">
        <v>35</v>
      </c>
      <c r="H1049" t="s">
        <v>47</v>
      </c>
      <c r="I1049" t="s">
        <v>39</v>
      </c>
      <c r="J1049" t="s">
        <v>63</v>
      </c>
      <c r="K1049" s="2">
        <v>46077</v>
      </c>
      <c r="L1049" s="2">
        <v>46167</v>
      </c>
      <c r="M1049" t="s">
        <v>38</v>
      </c>
      <c r="N1049" t="s">
        <v>49</v>
      </c>
      <c r="O1049">
        <v>1</v>
      </c>
      <c r="P1049" t="s">
        <v>54</v>
      </c>
      <c r="Q1049" s="2">
        <v>46217</v>
      </c>
      <c r="R1049" t="s">
        <v>38</v>
      </c>
    </row>
    <row r="1050" spans="1:18" x14ac:dyDescent="0.2">
      <c r="A1050" t="s">
        <v>2158</v>
      </c>
      <c r="B1050" t="s">
        <v>2159</v>
      </c>
      <c r="C1050" t="s">
        <v>31</v>
      </c>
      <c r="D1050" t="s">
        <v>87</v>
      </c>
      <c r="E1050" t="s">
        <v>53</v>
      </c>
      <c r="F1050" t="s">
        <v>34</v>
      </c>
      <c r="G1050" t="s">
        <v>35</v>
      </c>
      <c r="H1050" t="s">
        <v>88</v>
      </c>
      <c r="I1050" t="s">
        <v>54</v>
      </c>
      <c r="J1050" t="s">
        <v>48</v>
      </c>
      <c r="K1050" s="2">
        <v>45985</v>
      </c>
      <c r="L1050" s="2">
        <v>46165</v>
      </c>
      <c r="M1050" t="s">
        <v>38</v>
      </c>
      <c r="N1050" t="s">
        <v>55</v>
      </c>
      <c r="O1050">
        <v>0</v>
      </c>
      <c r="P1050" t="s">
        <v>106</v>
      </c>
      <c r="Q1050" s="2">
        <v>46273</v>
      </c>
      <c r="R1050" t="s">
        <v>57</v>
      </c>
    </row>
    <row r="1051" spans="1:18" x14ac:dyDescent="0.2">
      <c r="A1051" t="s">
        <v>2160</v>
      </c>
      <c r="B1051" t="s">
        <v>2161</v>
      </c>
      <c r="C1051" t="s">
        <v>42</v>
      </c>
      <c r="D1051" t="s">
        <v>43</v>
      </c>
      <c r="E1051" t="s">
        <v>91</v>
      </c>
      <c r="F1051" t="s">
        <v>45</v>
      </c>
      <c r="G1051" t="s">
        <v>61</v>
      </c>
      <c r="H1051" t="s">
        <v>88</v>
      </c>
      <c r="I1051" t="s">
        <v>106</v>
      </c>
      <c r="J1051" t="s">
        <v>63</v>
      </c>
      <c r="K1051" s="2">
        <v>46041</v>
      </c>
      <c r="L1051" s="2">
        <v>46221</v>
      </c>
      <c r="M1051" t="s">
        <v>38</v>
      </c>
      <c r="N1051" t="s">
        <v>49</v>
      </c>
      <c r="O1051">
        <v>1</v>
      </c>
      <c r="P1051" t="s">
        <v>54</v>
      </c>
      <c r="Q1051" s="2">
        <v>46366</v>
      </c>
      <c r="R1051" t="s">
        <v>84</v>
      </c>
    </row>
    <row r="1052" spans="1:18" x14ac:dyDescent="0.2">
      <c r="A1052" t="s">
        <v>2162</v>
      </c>
      <c r="B1052" t="s">
        <v>2163</v>
      </c>
      <c r="C1052" t="s">
        <v>96</v>
      </c>
      <c r="D1052" t="s">
        <v>97</v>
      </c>
      <c r="E1052" t="s">
        <v>105</v>
      </c>
      <c r="F1052" t="s">
        <v>45</v>
      </c>
      <c r="G1052" t="s">
        <v>46</v>
      </c>
      <c r="H1052" t="s">
        <v>36</v>
      </c>
      <c r="I1052" t="s">
        <v>39</v>
      </c>
      <c r="J1052" t="s">
        <v>63</v>
      </c>
      <c r="K1052" s="2">
        <v>45837</v>
      </c>
      <c r="L1052" s="2">
        <v>45927</v>
      </c>
      <c r="M1052" t="s">
        <v>38</v>
      </c>
      <c r="N1052" t="s">
        <v>75</v>
      </c>
      <c r="O1052">
        <v>0</v>
      </c>
      <c r="P1052" t="s">
        <v>50</v>
      </c>
      <c r="Q1052" s="2">
        <v>46270</v>
      </c>
      <c r="R1052" t="s">
        <v>57</v>
      </c>
    </row>
    <row r="1053" spans="1:18" x14ac:dyDescent="0.2">
      <c r="A1053" t="s">
        <v>2164</v>
      </c>
      <c r="B1053" t="s">
        <v>2165</v>
      </c>
      <c r="C1053" t="s">
        <v>31</v>
      </c>
      <c r="D1053" t="s">
        <v>87</v>
      </c>
      <c r="E1053" t="s">
        <v>53</v>
      </c>
      <c r="F1053" t="s">
        <v>45</v>
      </c>
      <c r="G1053" t="s">
        <v>46</v>
      </c>
      <c r="H1053" t="s">
        <v>47</v>
      </c>
      <c r="I1053" t="s">
        <v>54</v>
      </c>
      <c r="J1053" t="s">
        <v>37</v>
      </c>
      <c r="K1053" s="2">
        <v>46059</v>
      </c>
      <c r="L1053" s="2">
        <v>46424</v>
      </c>
      <c r="M1053" t="s">
        <v>84</v>
      </c>
      <c r="N1053" t="s">
        <v>75</v>
      </c>
      <c r="O1053">
        <v>3</v>
      </c>
      <c r="P1053" t="s">
        <v>50</v>
      </c>
      <c r="Q1053" s="2">
        <v>46126</v>
      </c>
      <c r="R1053" t="s">
        <v>64</v>
      </c>
    </row>
    <row r="1054" spans="1:18" x14ac:dyDescent="0.2">
      <c r="A1054" t="s">
        <v>2166</v>
      </c>
      <c r="B1054" t="s">
        <v>2167</v>
      </c>
      <c r="C1054" t="s">
        <v>31</v>
      </c>
      <c r="D1054" t="s">
        <v>32</v>
      </c>
      <c r="E1054" t="s">
        <v>44</v>
      </c>
      <c r="F1054" t="s">
        <v>67</v>
      </c>
      <c r="G1054" t="s">
        <v>118</v>
      </c>
      <c r="H1054" t="s">
        <v>47</v>
      </c>
      <c r="I1054" t="s">
        <v>39</v>
      </c>
      <c r="J1054" t="s">
        <v>48</v>
      </c>
      <c r="K1054" s="2">
        <v>45825</v>
      </c>
      <c r="L1054" s="2">
        <v>46005</v>
      </c>
      <c r="M1054" t="s">
        <v>38</v>
      </c>
      <c r="N1054" t="s">
        <v>55</v>
      </c>
      <c r="O1054">
        <v>0</v>
      </c>
      <c r="P1054" t="s">
        <v>111</v>
      </c>
      <c r="Q1054" s="2">
        <v>46172</v>
      </c>
      <c r="R1054" t="s">
        <v>57</v>
      </c>
    </row>
    <row r="1055" spans="1:18" x14ac:dyDescent="0.2">
      <c r="A1055" t="s">
        <v>2168</v>
      </c>
      <c r="B1055" t="s">
        <v>2169</v>
      </c>
      <c r="C1055" t="s">
        <v>96</v>
      </c>
      <c r="D1055" t="s">
        <v>97</v>
      </c>
      <c r="E1055" t="s">
        <v>53</v>
      </c>
      <c r="F1055" t="s">
        <v>34</v>
      </c>
      <c r="G1055" t="s">
        <v>35</v>
      </c>
      <c r="H1055" t="s">
        <v>47</v>
      </c>
      <c r="I1055" t="s">
        <v>111</v>
      </c>
      <c r="J1055" t="s">
        <v>37</v>
      </c>
      <c r="K1055" s="2">
        <v>46243</v>
      </c>
      <c r="L1055" s="2">
        <v>46608</v>
      </c>
      <c r="M1055" t="s">
        <v>84</v>
      </c>
      <c r="N1055" t="s">
        <v>55</v>
      </c>
      <c r="O1055">
        <v>3</v>
      </c>
      <c r="P1055" t="s">
        <v>62</v>
      </c>
      <c r="Q1055" s="2">
        <v>46308</v>
      </c>
      <c r="R1055" t="s">
        <v>64</v>
      </c>
    </row>
    <row r="1056" spans="1:18" x14ac:dyDescent="0.2">
      <c r="A1056" t="s">
        <v>2170</v>
      </c>
      <c r="B1056" t="s">
        <v>2171</v>
      </c>
      <c r="C1056" t="s">
        <v>42</v>
      </c>
      <c r="D1056" t="s">
        <v>43</v>
      </c>
      <c r="E1056" t="s">
        <v>60</v>
      </c>
      <c r="F1056" t="s">
        <v>45</v>
      </c>
      <c r="G1056" t="s">
        <v>46</v>
      </c>
      <c r="H1056" t="s">
        <v>36</v>
      </c>
      <c r="I1056" t="s">
        <v>70</v>
      </c>
      <c r="J1056" t="s">
        <v>63</v>
      </c>
      <c r="K1056" s="2">
        <v>45881</v>
      </c>
      <c r="L1056" s="2">
        <v>46061</v>
      </c>
      <c r="M1056" t="s">
        <v>38</v>
      </c>
      <c r="N1056" t="s">
        <v>49</v>
      </c>
      <c r="O1056">
        <v>2</v>
      </c>
      <c r="P1056" t="s">
        <v>56</v>
      </c>
      <c r="Q1056" s="2">
        <v>46360</v>
      </c>
      <c r="R1056" t="s">
        <v>64</v>
      </c>
    </row>
    <row r="1057" spans="1:18" x14ac:dyDescent="0.2">
      <c r="A1057" t="s">
        <v>2172</v>
      </c>
      <c r="B1057" t="s">
        <v>2173</v>
      </c>
      <c r="C1057" t="s">
        <v>96</v>
      </c>
      <c r="D1057" t="s">
        <v>97</v>
      </c>
      <c r="E1057" t="s">
        <v>91</v>
      </c>
      <c r="F1057" t="s">
        <v>45</v>
      </c>
      <c r="G1057" t="s">
        <v>46</v>
      </c>
      <c r="H1057" t="s">
        <v>88</v>
      </c>
      <c r="I1057" t="s">
        <v>39</v>
      </c>
      <c r="J1057" t="s">
        <v>48</v>
      </c>
      <c r="K1057" s="2">
        <v>45943</v>
      </c>
      <c r="L1057" s="2">
        <v>46033</v>
      </c>
      <c r="M1057" t="s">
        <v>38</v>
      </c>
      <c r="N1057" t="s">
        <v>49</v>
      </c>
      <c r="O1057">
        <v>3</v>
      </c>
      <c r="P1057" t="s">
        <v>39</v>
      </c>
      <c r="Q1057" s="2">
        <v>46401</v>
      </c>
      <c r="R1057" t="s">
        <v>84</v>
      </c>
    </row>
    <row r="1058" spans="1:18" x14ac:dyDescent="0.2">
      <c r="A1058" t="s">
        <v>2174</v>
      </c>
      <c r="B1058" t="s">
        <v>2175</v>
      </c>
      <c r="C1058" t="s">
        <v>73</v>
      </c>
      <c r="D1058" t="s">
        <v>74</v>
      </c>
      <c r="E1058" t="s">
        <v>105</v>
      </c>
      <c r="F1058" t="s">
        <v>67</v>
      </c>
      <c r="G1058" t="s">
        <v>118</v>
      </c>
      <c r="H1058" t="s">
        <v>88</v>
      </c>
      <c r="I1058" t="s">
        <v>111</v>
      </c>
      <c r="J1058" t="s">
        <v>63</v>
      </c>
      <c r="K1058" s="2">
        <v>45855</v>
      </c>
      <c r="L1058" s="2">
        <v>46035</v>
      </c>
      <c r="M1058" t="s">
        <v>38</v>
      </c>
      <c r="N1058" t="s">
        <v>49</v>
      </c>
      <c r="O1058">
        <v>1</v>
      </c>
      <c r="P1058" t="s">
        <v>50</v>
      </c>
      <c r="Q1058" s="2">
        <v>46306</v>
      </c>
      <c r="R1058" t="s">
        <v>84</v>
      </c>
    </row>
    <row r="1059" spans="1:18" x14ac:dyDescent="0.2">
      <c r="A1059" t="s">
        <v>2176</v>
      </c>
      <c r="B1059" t="s">
        <v>2177</v>
      </c>
      <c r="C1059" t="s">
        <v>96</v>
      </c>
      <c r="D1059" t="s">
        <v>97</v>
      </c>
      <c r="E1059" t="s">
        <v>80</v>
      </c>
      <c r="F1059" t="s">
        <v>67</v>
      </c>
      <c r="G1059" t="s">
        <v>118</v>
      </c>
      <c r="H1059" t="s">
        <v>47</v>
      </c>
      <c r="I1059" t="s">
        <v>62</v>
      </c>
      <c r="J1059" t="s">
        <v>63</v>
      </c>
      <c r="K1059" s="2">
        <v>46085</v>
      </c>
      <c r="L1059" s="2">
        <v>46265</v>
      </c>
      <c r="M1059" t="s">
        <v>38</v>
      </c>
      <c r="N1059" t="s">
        <v>75</v>
      </c>
      <c r="O1059">
        <v>2</v>
      </c>
      <c r="P1059" t="s">
        <v>62</v>
      </c>
      <c r="Q1059" s="2">
        <v>46190</v>
      </c>
      <c r="R1059" t="s">
        <v>38</v>
      </c>
    </row>
    <row r="1060" spans="1:18" x14ac:dyDescent="0.2">
      <c r="A1060" t="s">
        <v>2178</v>
      </c>
      <c r="B1060" t="s">
        <v>2179</v>
      </c>
      <c r="C1060" t="s">
        <v>31</v>
      </c>
      <c r="D1060" t="s">
        <v>83</v>
      </c>
      <c r="E1060" t="s">
        <v>105</v>
      </c>
      <c r="F1060" t="s">
        <v>67</v>
      </c>
      <c r="G1060" t="s">
        <v>118</v>
      </c>
      <c r="H1060" t="s">
        <v>88</v>
      </c>
      <c r="I1060" t="s">
        <v>50</v>
      </c>
      <c r="J1060" t="s">
        <v>37</v>
      </c>
      <c r="K1060" s="2">
        <v>46105</v>
      </c>
      <c r="L1060" s="2">
        <v>46285</v>
      </c>
      <c r="M1060" t="s">
        <v>38</v>
      </c>
      <c r="N1060" t="s">
        <v>49</v>
      </c>
      <c r="O1060">
        <v>3</v>
      </c>
      <c r="P1060" t="s">
        <v>50</v>
      </c>
      <c r="Q1060" s="2">
        <v>46345</v>
      </c>
      <c r="R1060" t="s">
        <v>84</v>
      </c>
    </row>
    <row r="1061" spans="1:18" x14ac:dyDescent="0.2">
      <c r="A1061" t="s">
        <v>2180</v>
      </c>
      <c r="B1061" t="s">
        <v>2181</v>
      </c>
      <c r="C1061" t="s">
        <v>78</v>
      </c>
      <c r="D1061" t="s">
        <v>79</v>
      </c>
      <c r="E1061" t="s">
        <v>60</v>
      </c>
      <c r="F1061" t="s">
        <v>34</v>
      </c>
      <c r="G1061" t="s">
        <v>35</v>
      </c>
      <c r="H1061" t="s">
        <v>88</v>
      </c>
      <c r="I1061" t="s">
        <v>50</v>
      </c>
      <c r="J1061" t="s">
        <v>63</v>
      </c>
      <c r="K1061" s="2">
        <v>45840</v>
      </c>
      <c r="L1061" s="2">
        <v>46205</v>
      </c>
      <c r="M1061" t="s">
        <v>38</v>
      </c>
      <c r="N1061" t="s">
        <v>55</v>
      </c>
      <c r="O1061">
        <v>1</v>
      </c>
      <c r="P1061" t="s">
        <v>39</v>
      </c>
      <c r="Q1061" s="2">
        <v>46317</v>
      </c>
      <c r="R1061" t="s">
        <v>64</v>
      </c>
    </row>
    <row r="1062" spans="1:18" x14ac:dyDescent="0.2">
      <c r="A1062" t="s">
        <v>2182</v>
      </c>
      <c r="B1062" t="s">
        <v>2183</v>
      </c>
      <c r="C1062" t="s">
        <v>73</v>
      </c>
      <c r="D1062" t="s">
        <v>74</v>
      </c>
      <c r="E1062" t="s">
        <v>60</v>
      </c>
      <c r="F1062" t="s">
        <v>34</v>
      </c>
      <c r="G1062" t="s">
        <v>35</v>
      </c>
      <c r="H1062" t="s">
        <v>47</v>
      </c>
      <c r="I1062" t="s">
        <v>50</v>
      </c>
      <c r="J1062" t="s">
        <v>37</v>
      </c>
      <c r="K1062" s="2">
        <v>45897</v>
      </c>
      <c r="L1062" s="2">
        <v>45987</v>
      </c>
      <c r="M1062" t="s">
        <v>38</v>
      </c>
      <c r="N1062" t="s">
        <v>49</v>
      </c>
      <c r="O1062">
        <v>2</v>
      </c>
      <c r="P1062" t="s">
        <v>62</v>
      </c>
      <c r="Q1062" s="2">
        <v>46365</v>
      </c>
      <c r="R1062" t="s">
        <v>64</v>
      </c>
    </row>
    <row r="1063" spans="1:18" x14ac:dyDescent="0.2">
      <c r="A1063" t="s">
        <v>2184</v>
      </c>
      <c r="B1063" t="s">
        <v>2185</v>
      </c>
      <c r="C1063" t="s">
        <v>31</v>
      </c>
      <c r="D1063" t="s">
        <v>32</v>
      </c>
      <c r="E1063" t="s">
        <v>91</v>
      </c>
      <c r="F1063" t="s">
        <v>45</v>
      </c>
      <c r="G1063" t="s">
        <v>61</v>
      </c>
      <c r="H1063" t="s">
        <v>88</v>
      </c>
      <c r="I1063" t="s">
        <v>70</v>
      </c>
      <c r="J1063" t="s">
        <v>48</v>
      </c>
      <c r="K1063" s="2">
        <v>46160</v>
      </c>
      <c r="L1063" s="2">
        <v>46525</v>
      </c>
      <c r="M1063" t="s">
        <v>84</v>
      </c>
      <c r="N1063" t="s">
        <v>49</v>
      </c>
      <c r="O1063">
        <v>1</v>
      </c>
      <c r="P1063" t="s">
        <v>70</v>
      </c>
      <c r="Q1063" s="2">
        <v>46115</v>
      </c>
      <c r="R1063" t="s">
        <v>38</v>
      </c>
    </row>
    <row r="1064" spans="1:18" x14ac:dyDescent="0.2">
      <c r="A1064" t="s">
        <v>2186</v>
      </c>
      <c r="B1064" t="s">
        <v>2187</v>
      </c>
      <c r="C1064" t="s">
        <v>103</v>
      </c>
      <c r="D1064" t="s">
        <v>104</v>
      </c>
      <c r="E1064" t="s">
        <v>44</v>
      </c>
      <c r="F1064" t="s">
        <v>34</v>
      </c>
      <c r="G1064" t="s">
        <v>35</v>
      </c>
      <c r="H1064" t="s">
        <v>36</v>
      </c>
      <c r="I1064" t="s">
        <v>56</v>
      </c>
      <c r="J1064" t="s">
        <v>48</v>
      </c>
      <c r="K1064" s="2">
        <v>45853</v>
      </c>
      <c r="L1064" s="2">
        <v>45943</v>
      </c>
      <c r="M1064" t="s">
        <v>38</v>
      </c>
      <c r="N1064" t="s">
        <v>49</v>
      </c>
      <c r="O1064">
        <v>5</v>
      </c>
      <c r="P1064" t="s">
        <v>39</v>
      </c>
      <c r="Q1064" s="2">
        <v>46164</v>
      </c>
      <c r="R1064" t="s">
        <v>38</v>
      </c>
    </row>
    <row r="1065" spans="1:18" x14ac:dyDescent="0.2">
      <c r="A1065" t="s">
        <v>2188</v>
      </c>
      <c r="B1065" t="s">
        <v>2189</v>
      </c>
      <c r="C1065" t="s">
        <v>31</v>
      </c>
      <c r="D1065" t="s">
        <v>87</v>
      </c>
      <c r="E1065" t="s">
        <v>44</v>
      </c>
      <c r="F1065" t="s">
        <v>67</v>
      </c>
      <c r="G1065" t="s">
        <v>68</v>
      </c>
      <c r="H1065" t="s">
        <v>47</v>
      </c>
      <c r="I1065" t="s">
        <v>70</v>
      </c>
      <c r="J1065" t="s">
        <v>63</v>
      </c>
      <c r="K1065" s="2">
        <v>46241</v>
      </c>
      <c r="L1065" s="2">
        <v>46421</v>
      </c>
      <c r="M1065" t="s">
        <v>64</v>
      </c>
      <c r="N1065" t="s">
        <v>55</v>
      </c>
      <c r="O1065">
        <v>3</v>
      </c>
      <c r="P1065" t="s">
        <v>56</v>
      </c>
      <c r="Q1065" s="2">
        <v>46298</v>
      </c>
      <c r="R1065" t="s">
        <v>84</v>
      </c>
    </row>
    <row r="1066" spans="1:18" x14ac:dyDescent="0.2">
      <c r="A1066" t="s">
        <v>2190</v>
      </c>
      <c r="B1066" t="s">
        <v>2191</v>
      </c>
      <c r="C1066" t="s">
        <v>73</v>
      </c>
      <c r="D1066" t="s">
        <v>74</v>
      </c>
      <c r="E1066" t="s">
        <v>53</v>
      </c>
      <c r="F1066" t="s">
        <v>67</v>
      </c>
      <c r="G1066" t="s">
        <v>118</v>
      </c>
      <c r="H1066" t="s">
        <v>47</v>
      </c>
      <c r="I1066" t="s">
        <v>62</v>
      </c>
      <c r="J1066" t="s">
        <v>37</v>
      </c>
      <c r="K1066" s="2">
        <v>45958</v>
      </c>
      <c r="L1066" s="2">
        <v>46323</v>
      </c>
      <c r="M1066" t="s">
        <v>84</v>
      </c>
      <c r="N1066" t="s">
        <v>49</v>
      </c>
      <c r="O1066">
        <v>3</v>
      </c>
      <c r="P1066" t="s">
        <v>111</v>
      </c>
      <c r="Q1066" s="2">
        <v>46131</v>
      </c>
      <c r="R1066" t="s">
        <v>38</v>
      </c>
    </row>
    <row r="1067" spans="1:18" x14ac:dyDescent="0.2">
      <c r="A1067" t="s">
        <v>2192</v>
      </c>
      <c r="B1067" t="s">
        <v>2193</v>
      </c>
      <c r="C1067" t="s">
        <v>31</v>
      </c>
      <c r="D1067" t="s">
        <v>32</v>
      </c>
      <c r="E1067" t="s">
        <v>80</v>
      </c>
      <c r="F1067" t="s">
        <v>67</v>
      </c>
      <c r="G1067" t="s">
        <v>68</v>
      </c>
      <c r="H1067" t="s">
        <v>88</v>
      </c>
      <c r="I1067" t="s">
        <v>106</v>
      </c>
      <c r="J1067" t="s">
        <v>37</v>
      </c>
      <c r="K1067" s="2">
        <v>45925</v>
      </c>
      <c r="L1067" s="2">
        <v>46105</v>
      </c>
      <c r="M1067" t="s">
        <v>38</v>
      </c>
      <c r="N1067" t="s">
        <v>55</v>
      </c>
      <c r="O1067">
        <v>3</v>
      </c>
      <c r="P1067" t="s">
        <v>70</v>
      </c>
      <c r="Q1067" s="2">
        <v>46134</v>
      </c>
      <c r="R1067" t="s">
        <v>38</v>
      </c>
    </row>
    <row r="1068" spans="1:18" x14ac:dyDescent="0.2">
      <c r="A1068" t="s">
        <v>2194</v>
      </c>
      <c r="B1068" t="s">
        <v>2195</v>
      </c>
      <c r="C1068" t="s">
        <v>96</v>
      </c>
      <c r="D1068" t="s">
        <v>97</v>
      </c>
      <c r="E1068" t="s">
        <v>91</v>
      </c>
      <c r="F1068" t="s">
        <v>45</v>
      </c>
      <c r="G1068" t="s">
        <v>46</v>
      </c>
      <c r="H1068" t="s">
        <v>36</v>
      </c>
      <c r="I1068" t="s">
        <v>70</v>
      </c>
      <c r="J1068" t="s">
        <v>37</v>
      </c>
      <c r="K1068" s="2">
        <v>46043</v>
      </c>
      <c r="L1068" s="2">
        <v>46223</v>
      </c>
      <c r="M1068" t="s">
        <v>38</v>
      </c>
      <c r="N1068" t="s">
        <v>49</v>
      </c>
      <c r="O1068">
        <v>2</v>
      </c>
      <c r="P1068" t="s">
        <v>56</v>
      </c>
      <c r="Q1068" s="2">
        <v>46238</v>
      </c>
      <c r="R1068" t="s">
        <v>38</v>
      </c>
    </row>
    <row r="1069" spans="1:18" x14ac:dyDescent="0.2">
      <c r="A1069" t="s">
        <v>2196</v>
      </c>
      <c r="B1069" t="s">
        <v>2197</v>
      </c>
      <c r="C1069" t="s">
        <v>96</v>
      </c>
      <c r="D1069" t="s">
        <v>97</v>
      </c>
      <c r="E1069" t="s">
        <v>44</v>
      </c>
      <c r="F1069" t="s">
        <v>34</v>
      </c>
      <c r="G1069" t="s">
        <v>35</v>
      </c>
      <c r="H1069" t="s">
        <v>88</v>
      </c>
      <c r="I1069" t="s">
        <v>70</v>
      </c>
      <c r="J1069" t="s">
        <v>63</v>
      </c>
      <c r="K1069" s="2">
        <v>46270</v>
      </c>
      <c r="L1069" s="2">
        <v>46635</v>
      </c>
      <c r="M1069" t="s">
        <v>64</v>
      </c>
      <c r="N1069" t="s">
        <v>49</v>
      </c>
      <c r="O1069">
        <v>0</v>
      </c>
      <c r="P1069" t="s">
        <v>50</v>
      </c>
      <c r="Q1069" s="2">
        <v>46374</v>
      </c>
      <c r="R1069" t="s">
        <v>57</v>
      </c>
    </row>
    <row r="1070" spans="1:18" x14ac:dyDescent="0.2">
      <c r="A1070" t="s">
        <v>2198</v>
      </c>
      <c r="B1070" t="s">
        <v>2199</v>
      </c>
      <c r="C1070" t="s">
        <v>42</v>
      </c>
      <c r="D1070" t="s">
        <v>43</v>
      </c>
      <c r="E1070" t="s">
        <v>91</v>
      </c>
      <c r="F1070" t="s">
        <v>67</v>
      </c>
      <c r="G1070" t="s">
        <v>118</v>
      </c>
      <c r="H1070" t="s">
        <v>88</v>
      </c>
      <c r="I1070" t="s">
        <v>39</v>
      </c>
      <c r="J1070" t="s">
        <v>48</v>
      </c>
      <c r="K1070" s="2">
        <v>46146</v>
      </c>
      <c r="L1070" s="2">
        <v>46511</v>
      </c>
      <c r="M1070" t="s">
        <v>64</v>
      </c>
      <c r="N1070" t="s">
        <v>49</v>
      </c>
      <c r="O1070">
        <v>3</v>
      </c>
      <c r="P1070" t="s">
        <v>39</v>
      </c>
      <c r="Q1070" s="2">
        <v>46204</v>
      </c>
      <c r="R1070" t="s">
        <v>38</v>
      </c>
    </row>
    <row r="1071" spans="1:18" x14ac:dyDescent="0.2">
      <c r="A1071" t="s">
        <v>2200</v>
      </c>
      <c r="B1071" t="s">
        <v>2201</v>
      </c>
      <c r="C1071" t="s">
        <v>78</v>
      </c>
      <c r="D1071" t="s">
        <v>79</v>
      </c>
      <c r="E1071" t="s">
        <v>80</v>
      </c>
      <c r="F1071" t="s">
        <v>67</v>
      </c>
      <c r="G1071" t="s">
        <v>118</v>
      </c>
      <c r="H1071" t="s">
        <v>47</v>
      </c>
      <c r="I1071" t="s">
        <v>50</v>
      </c>
      <c r="J1071" t="s">
        <v>63</v>
      </c>
      <c r="K1071" s="2">
        <v>45847</v>
      </c>
      <c r="L1071" s="2">
        <v>45937</v>
      </c>
      <c r="M1071" t="s">
        <v>38</v>
      </c>
      <c r="N1071" t="s">
        <v>55</v>
      </c>
      <c r="O1071">
        <v>3</v>
      </c>
      <c r="P1071" t="s">
        <v>50</v>
      </c>
      <c r="Q1071" s="2">
        <v>46363</v>
      </c>
      <c r="R1071" t="s">
        <v>64</v>
      </c>
    </row>
    <row r="1072" spans="1:18" x14ac:dyDescent="0.2">
      <c r="A1072" t="s">
        <v>2202</v>
      </c>
      <c r="B1072" t="s">
        <v>2203</v>
      </c>
      <c r="C1072" t="s">
        <v>31</v>
      </c>
      <c r="D1072" t="s">
        <v>32</v>
      </c>
      <c r="E1072" t="s">
        <v>53</v>
      </c>
      <c r="F1072" t="s">
        <v>67</v>
      </c>
      <c r="G1072" t="s">
        <v>68</v>
      </c>
      <c r="H1072" t="s">
        <v>47</v>
      </c>
      <c r="I1072" t="s">
        <v>106</v>
      </c>
      <c r="J1072" t="s">
        <v>48</v>
      </c>
      <c r="K1072" s="2">
        <v>45832</v>
      </c>
      <c r="L1072" s="2">
        <v>46197</v>
      </c>
      <c r="M1072" t="s">
        <v>38</v>
      </c>
      <c r="N1072" t="s">
        <v>49</v>
      </c>
      <c r="O1072">
        <v>3</v>
      </c>
      <c r="P1072" t="s">
        <v>50</v>
      </c>
      <c r="Q1072" s="2">
        <v>46232</v>
      </c>
      <c r="R1072" t="s">
        <v>38</v>
      </c>
    </row>
    <row r="1073" spans="1:18" x14ac:dyDescent="0.2">
      <c r="A1073" t="s">
        <v>2204</v>
      </c>
      <c r="B1073" t="s">
        <v>2205</v>
      </c>
      <c r="C1073" t="s">
        <v>96</v>
      </c>
      <c r="D1073" t="s">
        <v>97</v>
      </c>
      <c r="E1073" t="s">
        <v>80</v>
      </c>
      <c r="F1073" t="s">
        <v>45</v>
      </c>
      <c r="G1073" t="s">
        <v>46</v>
      </c>
      <c r="H1073" t="s">
        <v>88</v>
      </c>
      <c r="I1073" t="s">
        <v>62</v>
      </c>
      <c r="J1073" t="s">
        <v>37</v>
      </c>
      <c r="K1073" s="2">
        <v>46265</v>
      </c>
      <c r="L1073" s="2">
        <v>46630</v>
      </c>
      <c r="M1073" t="s">
        <v>64</v>
      </c>
      <c r="N1073" t="s">
        <v>49</v>
      </c>
      <c r="O1073">
        <v>2</v>
      </c>
      <c r="P1073" t="s">
        <v>62</v>
      </c>
      <c r="Q1073" s="2">
        <v>46393</v>
      </c>
      <c r="R1073" t="s">
        <v>64</v>
      </c>
    </row>
    <row r="1074" spans="1:18" x14ac:dyDescent="0.2">
      <c r="A1074" t="s">
        <v>2206</v>
      </c>
      <c r="B1074" t="s">
        <v>2207</v>
      </c>
      <c r="C1074" t="s">
        <v>103</v>
      </c>
      <c r="D1074" t="s">
        <v>104</v>
      </c>
      <c r="E1074" t="s">
        <v>105</v>
      </c>
      <c r="F1074" t="s">
        <v>34</v>
      </c>
      <c r="G1074" t="s">
        <v>35</v>
      </c>
      <c r="H1074" t="s">
        <v>47</v>
      </c>
      <c r="I1074" t="s">
        <v>56</v>
      </c>
      <c r="J1074" t="s">
        <v>48</v>
      </c>
      <c r="K1074" s="2">
        <v>45826</v>
      </c>
      <c r="L1074" s="2">
        <v>46191</v>
      </c>
      <c r="M1074" t="s">
        <v>38</v>
      </c>
      <c r="N1074" t="s">
        <v>75</v>
      </c>
      <c r="O1074">
        <v>3</v>
      </c>
      <c r="P1074" t="s">
        <v>39</v>
      </c>
      <c r="Q1074" s="2">
        <v>46320</v>
      </c>
      <c r="R1074" t="s">
        <v>84</v>
      </c>
    </row>
    <row r="1075" spans="1:18" x14ac:dyDescent="0.2">
      <c r="A1075" t="s">
        <v>2208</v>
      </c>
      <c r="B1075" t="s">
        <v>2209</v>
      </c>
      <c r="C1075" t="s">
        <v>31</v>
      </c>
      <c r="D1075" t="s">
        <v>83</v>
      </c>
      <c r="E1075" t="s">
        <v>60</v>
      </c>
      <c r="F1075" t="s">
        <v>45</v>
      </c>
      <c r="G1075" t="s">
        <v>46</v>
      </c>
      <c r="H1075" t="s">
        <v>47</v>
      </c>
      <c r="I1075" t="s">
        <v>54</v>
      </c>
      <c r="J1075" t="s">
        <v>37</v>
      </c>
      <c r="K1075" s="2">
        <v>46047</v>
      </c>
      <c r="L1075" s="2">
        <v>46412</v>
      </c>
      <c r="M1075" t="s">
        <v>69</v>
      </c>
      <c r="N1075" t="s">
        <v>49</v>
      </c>
      <c r="O1075">
        <v>2</v>
      </c>
      <c r="P1075" t="s">
        <v>70</v>
      </c>
      <c r="Q1075" s="2">
        <v>46359</v>
      </c>
      <c r="R1075" t="s">
        <v>64</v>
      </c>
    </row>
    <row r="1076" spans="1:18" x14ac:dyDescent="0.2">
      <c r="A1076" t="s">
        <v>2210</v>
      </c>
      <c r="B1076" t="s">
        <v>2211</v>
      </c>
      <c r="C1076" t="s">
        <v>31</v>
      </c>
      <c r="D1076" t="s">
        <v>87</v>
      </c>
      <c r="E1076" t="s">
        <v>44</v>
      </c>
      <c r="F1076" t="s">
        <v>34</v>
      </c>
      <c r="G1076" t="s">
        <v>35</v>
      </c>
      <c r="H1076" t="s">
        <v>47</v>
      </c>
      <c r="I1076" t="s">
        <v>56</v>
      </c>
      <c r="J1076" t="s">
        <v>63</v>
      </c>
      <c r="K1076" s="2">
        <v>46207</v>
      </c>
      <c r="L1076" s="2">
        <v>46572</v>
      </c>
      <c r="M1076" t="s">
        <v>84</v>
      </c>
      <c r="N1076" t="s">
        <v>75</v>
      </c>
      <c r="O1076">
        <v>0</v>
      </c>
      <c r="P1076" t="s">
        <v>56</v>
      </c>
      <c r="Q1076" s="2">
        <v>46376</v>
      </c>
      <c r="R1076" t="s">
        <v>57</v>
      </c>
    </row>
    <row r="1077" spans="1:18" x14ac:dyDescent="0.2">
      <c r="A1077" t="s">
        <v>2212</v>
      </c>
      <c r="B1077" t="s">
        <v>2213</v>
      </c>
      <c r="C1077" t="s">
        <v>96</v>
      </c>
      <c r="D1077" t="s">
        <v>97</v>
      </c>
      <c r="E1077" t="s">
        <v>53</v>
      </c>
      <c r="F1077" t="s">
        <v>34</v>
      </c>
      <c r="G1077" t="s">
        <v>35</v>
      </c>
      <c r="H1077" t="s">
        <v>36</v>
      </c>
      <c r="I1077" t="s">
        <v>50</v>
      </c>
      <c r="J1077" t="s">
        <v>48</v>
      </c>
      <c r="K1077" s="2">
        <v>46112</v>
      </c>
      <c r="L1077" s="2">
        <v>46202</v>
      </c>
      <c r="M1077" t="s">
        <v>38</v>
      </c>
      <c r="N1077" t="s">
        <v>75</v>
      </c>
      <c r="O1077">
        <v>1</v>
      </c>
      <c r="P1077" t="s">
        <v>70</v>
      </c>
      <c r="Q1077" s="2">
        <v>46211</v>
      </c>
      <c r="R1077" t="s">
        <v>38</v>
      </c>
    </row>
    <row r="1078" spans="1:18" x14ac:dyDescent="0.2">
      <c r="A1078" t="s">
        <v>2214</v>
      </c>
      <c r="B1078" t="s">
        <v>2215</v>
      </c>
      <c r="C1078" t="s">
        <v>31</v>
      </c>
      <c r="D1078" t="s">
        <v>32</v>
      </c>
      <c r="E1078" t="s">
        <v>60</v>
      </c>
      <c r="F1078" t="s">
        <v>45</v>
      </c>
      <c r="G1078" t="s">
        <v>61</v>
      </c>
      <c r="H1078" t="s">
        <v>88</v>
      </c>
      <c r="I1078" t="s">
        <v>70</v>
      </c>
      <c r="J1078" t="s">
        <v>48</v>
      </c>
      <c r="K1078" s="2">
        <v>46201</v>
      </c>
      <c r="L1078" s="2">
        <v>46566</v>
      </c>
      <c r="M1078" t="s">
        <v>64</v>
      </c>
      <c r="N1078" t="s">
        <v>49</v>
      </c>
      <c r="O1078">
        <v>1</v>
      </c>
      <c r="P1078" t="s">
        <v>54</v>
      </c>
      <c r="Q1078" s="2">
        <v>46149</v>
      </c>
      <c r="R1078" t="s">
        <v>38</v>
      </c>
    </row>
    <row r="1079" spans="1:18" x14ac:dyDescent="0.2">
      <c r="A1079" t="s">
        <v>2216</v>
      </c>
      <c r="B1079" t="s">
        <v>2217</v>
      </c>
      <c r="C1079" t="s">
        <v>31</v>
      </c>
      <c r="D1079" t="s">
        <v>87</v>
      </c>
      <c r="E1079" t="s">
        <v>91</v>
      </c>
      <c r="F1079" t="s">
        <v>34</v>
      </c>
      <c r="G1079" t="s">
        <v>35</v>
      </c>
      <c r="H1079" t="s">
        <v>88</v>
      </c>
      <c r="I1079" t="s">
        <v>54</v>
      </c>
      <c r="J1079" t="s">
        <v>37</v>
      </c>
      <c r="K1079" s="2">
        <v>45852</v>
      </c>
      <c r="L1079" s="2">
        <v>46032</v>
      </c>
      <c r="M1079" t="s">
        <v>38</v>
      </c>
      <c r="N1079" t="s">
        <v>75</v>
      </c>
      <c r="O1079">
        <v>0</v>
      </c>
      <c r="P1079" t="s">
        <v>62</v>
      </c>
      <c r="Q1079" s="2">
        <v>46336</v>
      </c>
      <c r="R1079" t="s">
        <v>57</v>
      </c>
    </row>
    <row r="1080" spans="1:18" x14ac:dyDescent="0.2">
      <c r="A1080" t="s">
        <v>2218</v>
      </c>
      <c r="B1080" t="s">
        <v>2219</v>
      </c>
      <c r="C1080" t="s">
        <v>78</v>
      </c>
      <c r="D1080" t="s">
        <v>79</v>
      </c>
      <c r="E1080" t="s">
        <v>91</v>
      </c>
      <c r="F1080" t="s">
        <v>45</v>
      </c>
      <c r="G1080" t="s">
        <v>46</v>
      </c>
      <c r="H1080" t="s">
        <v>36</v>
      </c>
      <c r="I1080" t="s">
        <v>106</v>
      </c>
      <c r="J1080" t="s">
        <v>63</v>
      </c>
      <c r="K1080" s="2">
        <v>46075</v>
      </c>
      <c r="L1080" s="2">
        <v>46255</v>
      </c>
      <c r="M1080" t="s">
        <v>38</v>
      </c>
      <c r="N1080" t="s">
        <v>49</v>
      </c>
      <c r="O1080">
        <v>1</v>
      </c>
      <c r="P1080" t="s">
        <v>50</v>
      </c>
      <c r="Q1080" s="2">
        <v>46180</v>
      </c>
      <c r="R1080" t="s">
        <v>38</v>
      </c>
    </row>
    <row r="1081" spans="1:18" x14ac:dyDescent="0.2">
      <c r="A1081" t="s">
        <v>2220</v>
      </c>
      <c r="B1081" t="s">
        <v>2221</v>
      </c>
      <c r="C1081" t="s">
        <v>31</v>
      </c>
      <c r="D1081" t="s">
        <v>32</v>
      </c>
      <c r="E1081" t="s">
        <v>80</v>
      </c>
      <c r="F1081" t="s">
        <v>45</v>
      </c>
      <c r="G1081" t="s">
        <v>61</v>
      </c>
      <c r="H1081" t="s">
        <v>36</v>
      </c>
      <c r="I1081" t="s">
        <v>62</v>
      </c>
      <c r="J1081" t="s">
        <v>48</v>
      </c>
      <c r="K1081" s="2">
        <v>45968</v>
      </c>
      <c r="L1081" s="2">
        <v>46058</v>
      </c>
      <c r="M1081" t="s">
        <v>38</v>
      </c>
      <c r="N1081" t="s">
        <v>75</v>
      </c>
      <c r="O1081">
        <v>0</v>
      </c>
      <c r="P1081" t="s">
        <v>39</v>
      </c>
      <c r="Q1081" s="2">
        <v>46402</v>
      </c>
      <c r="R1081" t="s">
        <v>57</v>
      </c>
    </row>
    <row r="1082" spans="1:18" x14ac:dyDescent="0.2">
      <c r="A1082" t="s">
        <v>2222</v>
      </c>
      <c r="B1082" t="s">
        <v>2223</v>
      </c>
      <c r="C1082" t="s">
        <v>31</v>
      </c>
      <c r="D1082" t="s">
        <v>83</v>
      </c>
      <c r="E1082" t="s">
        <v>80</v>
      </c>
      <c r="F1082" t="s">
        <v>67</v>
      </c>
      <c r="G1082" t="s">
        <v>118</v>
      </c>
      <c r="H1082" t="s">
        <v>47</v>
      </c>
      <c r="I1082" t="s">
        <v>106</v>
      </c>
      <c r="J1082" t="s">
        <v>37</v>
      </c>
      <c r="K1082" s="2">
        <v>46120</v>
      </c>
      <c r="L1082" s="2">
        <v>46485</v>
      </c>
      <c r="M1082" t="s">
        <v>69</v>
      </c>
      <c r="N1082" t="s">
        <v>75</v>
      </c>
      <c r="O1082">
        <v>3</v>
      </c>
      <c r="P1082" t="s">
        <v>70</v>
      </c>
      <c r="Q1082" s="2">
        <v>46312</v>
      </c>
      <c r="R1082" t="s">
        <v>84</v>
      </c>
    </row>
    <row r="1083" spans="1:18" x14ac:dyDescent="0.2">
      <c r="A1083" t="s">
        <v>2224</v>
      </c>
      <c r="B1083" t="s">
        <v>2225</v>
      </c>
      <c r="C1083" t="s">
        <v>73</v>
      </c>
      <c r="D1083" t="s">
        <v>74</v>
      </c>
      <c r="E1083" t="s">
        <v>53</v>
      </c>
      <c r="F1083" t="s">
        <v>34</v>
      </c>
      <c r="G1083" t="s">
        <v>35</v>
      </c>
      <c r="H1083" t="s">
        <v>88</v>
      </c>
      <c r="I1083" t="s">
        <v>70</v>
      </c>
      <c r="J1083" t="s">
        <v>63</v>
      </c>
      <c r="K1083" s="2">
        <v>46147</v>
      </c>
      <c r="L1083" s="2">
        <v>46512</v>
      </c>
      <c r="M1083" t="s">
        <v>64</v>
      </c>
      <c r="N1083" t="s">
        <v>75</v>
      </c>
      <c r="O1083">
        <v>2</v>
      </c>
      <c r="P1083" t="s">
        <v>54</v>
      </c>
      <c r="Q1083" s="2">
        <v>46377</v>
      </c>
      <c r="R1083" t="s">
        <v>64</v>
      </c>
    </row>
    <row r="1084" spans="1:18" x14ac:dyDescent="0.2">
      <c r="A1084" t="s">
        <v>2226</v>
      </c>
      <c r="B1084" t="s">
        <v>2227</v>
      </c>
      <c r="C1084" t="s">
        <v>42</v>
      </c>
      <c r="D1084" t="s">
        <v>43</v>
      </c>
      <c r="E1084" t="s">
        <v>44</v>
      </c>
      <c r="F1084" t="s">
        <v>67</v>
      </c>
      <c r="G1084" t="s">
        <v>118</v>
      </c>
      <c r="H1084" t="s">
        <v>36</v>
      </c>
      <c r="I1084" t="s">
        <v>62</v>
      </c>
      <c r="J1084" t="s">
        <v>63</v>
      </c>
      <c r="K1084" s="2">
        <v>46133</v>
      </c>
      <c r="L1084" s="2">
        <v>46313</v>
      </c>
      <c r="M1084" t="s">
        <v>84</v>
      </c>
      <c r="O1084">
        <v>4</v>
      </c>
      <c r="P1084" t="s">
        <v>106</v>
      </c>
      <c r="Q1084" s="2">
        <v>46186</v>
      </c>
      <c r="R1084" t="s">
        <v>38</v>
      </c>
    </row>
    <row r="1085" spans="1:18" x14ac:dyDescent="0.2">
      <c r="A1085" t="s">
        <v>2228</v>
      </c>
      <c r="B1085" t="s">
        <v>2229</v>
      </c>
      <c r="C1085" t="s">
        <v>73</v>
      </c>
      <c r="D1085" t="s">
        <v>74</v>
      </c>
      <c r="E1085" t="s">
        <v>44</v>
      </c>
      <c r="F1085" t="s">
        <v>34</v>
      </c>
      <c r="G1085" t="s">
        <v>35</v>
      </c>
      <c r="H1085" t="s">
        <v>36</v>
      </c>
      <c r="I1085" t="s">
        <v>50</v>
      </c>
      <c r="J1085" t="s">
        <v>63</v>
      </c>
      <c r="K1085" s="2">
        <v>46215</v>
      </c>
      <c r="L1085" s="2">
        <v>46580</v>
      </c>
      <c r="M1085" t="s">
        <v>69</v>
      </c>
      <c r="N1085" t="s">
        <v>49</v>
      </c>
      <c r="O1085">
        <v>1</v>
      </c>
      <c r="P1085" t="s">
        <v>111</v>
      </c>
      <c r="Q1085" s="2">
        <v>46220</v>
      </c>
      <c r="R1085" t="s">
        <v>38</v>
      </c>
    </row>
    <row r="1086" spans="1:18" x14ac:dyDescent="0.2">
      <c r="A1086" t="s">
        <v>2230</v>
      </c>
      <c r="B1086" t="s">
        <v>2231</v>
      </c>
      <c r="C1086" t="s">
        <v>42</v>
      </c>
      <c r="D1086" t="s">
        <v>43</v>
      </c>
      <c r="E1086" t="s">
        <v>80</v>
      </c>
      <c r="F1086" t="s">
        <v>67</v>
      </c>
      <c r="G1086" t="s">
        <v>68</v>
      </c>
      <c r="H1086" t="s">
        <v>88</v>
      </c>
      <c r="J1086" t="s">
        <v>37</v>
      </c>
      <c r="K1086" s="2">
        <v>46137</v>
      </c>
      <c r="L1086" s="2">
        <v>46502</v>
      </c>
      <c r="M1086" t="s">
        <v>64</v>
      </c>
      <c r="N1086" t="s">
        <v>75</v>
      </c>
      <c r="O1086">
        <v>1</v>
      </c>
      <c r="P1086" t="s">
        <v>62</v>
      </c>
      <c r="Q1086" s="2">
        <v>46245</v>
      </c>
      <c r="R1086" t="s">
        <v>38</v>
      </c>
    </row>
    <row r="1087" spans="1:18" x14ac:dyDescent="0.2">
      <c r="A1087" t="s">
        <v>2232</v>
      </c>
      <c r="B1087" t="s">
        <v>2233</v>
      </c>
      <c r="C1087" t="s">
        <v>78</v>
      </c>
      <c r="D1087" t="s">
        <v>79</v>
      </c>
      <c r="E1087" t="s">
        <v>44</v>
      </c>
      <c r="F1087" t="s">
        <v>45</v>
      </c>
      <c r="G1087" t="s">
        <v>46</v>
      </c>
      <c r="H1087" t="s">
        <v>36</v>
      </c>
      <c r="I1087" t="s">
        <v>56</v>
      </c>
      <c r="J1087" t="s">
        <v>37</v>
      </c>
      <c r="K1087" s="2">
        <v>45800</v>
      </c>
      <c r="L1087" s="2">
        <v>45980</v>
      </c>
      <c r="M1087" t="s">
        <v>38</v>
      </c>
      <c r="N1087" t="s">
        <v>75</v>
      </c>
      <c r="O1087">
        <v>4</v>
      </c>
      <c r="P1087" t="s">
        <v>39</v>
      </c>
      <c r="Q1087" s="2">
        <v>46413</v>
      </c>
      <c r="R1087" t="s">
        <v>84</v>
      </c>
    </row>
    <row r="1088" spans="1:18" x14ac:dyDescent="0.2">
      <c r="A1088" t="s">
        <v>2234</v>
      </c>
      <c r="B1088" t="s">
        <v>2235</v>
      </c>
      <c r="C1088" t="s">
        <v>31</v>
      </c>
      <c r="D1088" t="s">
        <v>87</v>
      </c>
      <c r="E1088" t="s">
        <v>60</v>
      </c>
      <c r="F1088" t="s">
        <v>67</v>
      </c>
      <c r="G1088" t="s">
        <v>118</v>
      </c>
      <c r="H1088" t="s">
        <v>47</v>
      </c>
      <c r="I1088" t="s">
        <v>62</v>
      </c>
      <c r="J1088" t="s">
        <v>48</v>
      </c>
      <c r="K1088" s="2">
        <v>46077</v>
      </c>
      <c r="L1088" s="2">
        <v>46257</v>
      </c>
      <c r="M1088" t="s">
        <v>38</v>
      </c>
      <c r="N1088" t="s">
        <v>55</v>
      </c>
      <c r="O1088">
        <v>1</v>
      </c>
      <c r="P1088" t="s">
        <v>56</v>
      </c>
      <c r="Q1088" s="2">
        <v>46207</v>
      </c>
      <c r="R1088" t="s">
        <v>64</v>
      </c>
    </row>
    <row r="1089" spans="1:18" x14ac:dyDescent="0.2">
      <c r="A1089" t="s">
        <v>2236</v>
      </c>
      <c r="B1089" t="s">
        <v>2237</v>
      </c>
      <c r="C1089" t="s">
        <v>73</v>
      </c>
      <c r="D1089" t="s">
        <v>74</v>
      </c>
      <c r="E1089" t="s">
        <v>44</v>
      </c>
      <c r="F1089" t="s">
        <v>45</v>
      </c>
      <c r="G1089" t="s">
        <v>61</v>
      </c>
      <c r="H1089" t="s">
        <v>36</v>
      </c>
      <c r="I1089" t="s">
        <v>62</v>
      </c>
      <c r="J1089" t="s">
        <v>63</v>
      </c>
      <c r="K1089" s="2">
        <v>46171</v>
      </c>
      <c r="L1089" s="2">
        <v>46261</v>
      </c>
      <c r="M1089" t="s">
        <v>38</v>
      </c>
      <c r="N1089" t="s">
        <v>49</v>
      </c>
      <c r="O1089">
        <v>4</v>
      </c>
      <c r="P1089" t="s">
        <v>56</v>
      </c>
      <c r="Q1089" s="2">
        <v>46145</v>
      </c>
      <c r="R1089" t="s">
        <v>64</v>
      </c>
    </row>
    <row r="1090" spans="1:18" x14ac:dyDescent="0.2">
      <c r="A1090" t="s">
        <v>2238</v>
      </c>
      <c r="B1090" t="s">
        <v>2239</v>
      </c>
      <c r="C1090" t="s">
        <v>73</v>
      </c>
      <c r="D1090" t="s">
        <v>74</v>
      </c>
      <c r="E1090" t="s">
        <v>44</v>
      </c>
      <c r="F1090" t="s">
        <v>67</v>
      </c>
      <c r="G1090" t="s">
        <v>118</v>
      </c>
      <c r="H1090" t="s">
        <v>47</v>
      </c>
      <c r="I1090" t="s">
        <v>56</v>
      </c>
      <c r="J1090" t="s">
        <v>48</v>
      </c>
      <c r="K1090" s="2">
        <v>45800</v>
      </c>
      <c r="L1090" s="2">
        <v>46165</v>
      </c>
      <c r="M1090" t="s">
        <v>38</v>
      </c>
      <c r="N1090" t="s">
        <v>75</v>
      </c>
      <c r="O1090">
        <v>1</v>
      </c>
      <c r="P1090" t="s">
        <v>50</v>
      </c>
      <c r="Q1090" s="2">
        <v>46192</v>
      </c>
      <c r="R1090" t="s">
        <v>64</v>
      </c>
    </row>
    <row r="1091" spans="1:18" x14ac:dyDescent="0.2">
      <c r="A1091" t="s">
        <v>2240</v>
      </c>
      <c r="B1091" t="s">
        <v>2241</v>
      </c>
      <c r="C1091" t="s">
        <v>103</v>
      </c>
      <c r="D1091" t="s">
        <v>104</v>
      </c>
      <c r="E1091" t="s">
        <v>60</v>
      </c>
      <c r="F1091" t="s">
        <v>67</v>
      </c>
      <c r="G1091" t="s">
        <v>68</v>
      </c>
      <c r="H1091" t="s">
        <v>88</v>
      </c>
      <c r="I1091" t="s">
        <v>50</v>
      </c>
      <c r="J1091" t="s">
        <v>37</v>
      </c>
      <c r="K1091" s="2">
        <v>46229</v>
      </c>
      <c r="L1091" s="2">
        <v>46594</v>
      </c>
      <c r="M1091" t="s">
        <v>69</v>
      </c>
      <c r="N1091" t="s">
        <v>75</v>
      </c>
      <c r="O1091">
        <v>0</v>
      </c>
      <c r="P1091" t="s">
        <v>54</v>
      </c>
      <c r="Q1091" s="2">
        <v>46163</v>
      </c>
      <c r="R1091" t="s">
        <v>57</v>
      </c>
    </row>
    <row r="1092" spans="1:18" x14ac:dyDescent="0.2">
      <c r="A1092" t="s">
        <v>2242</v>
      </c>
      <c r="B1092" t="s">
        <v>2243</v>
      </c>
      <c r="C1092" t="s">
        <v>103</v>
      </c>
      <c r="D1092" t="s">
        <v>104</v>
      </c>
      <c r="E1092" t="s">
        <v>60</v>
      </c>
      <c r="F1092" t="s">
        <v>45</v>
      </c>
      <c r="G1092" t="s">
        <v>61</v>
      </c>
      <c r="H1092" t="s">
        <v>47</v>
      </c>
      <c r="I1092" t="s">
        <v>50</v>
      </c>
      <c r="J1092" t="s">
        <v>37</v>
      </c>
      <c r="K1092" s="2">
        <v>45806</v>
      </c>
      <c r="L1092" s="2">
        <v>45896</v>
      </c>
      <c r="M1092" t="s">
        <v>38</v>
      </c>
      <c r="N1092" t="s">
        <v>75</v>
      </c>
      <c r="O1092">
        <v>0</v>
      </c>
      <c r="P1092" t="s">
        <v>62</v>
      </c>
      <c r="Q1092" s="2">
        <v>46116</v>
      </c>
      <c r="R1092" t="s">
        <v>57</v>
      </c>
    </row>
    <row r="1093" spans="1:18" x14ac:dyDescent="0.2">
      <c r="A1093" t="s">
        <v>2244</v>
      </c>
      <c r="B1093" t="s">
        <v>2245</v>
      </c>
      <c r="C1093" t="s">
        <v>78</v>
      </c>
      <c r="D1093" t="s">
        <v>79</v>
      </c>
      <c r="E1093" t="s">
        <v>80</v>
      </c>
      <c r="F1093" t="s">
        <v>34</v>
      </c>
      <c r="G1093" t="s">
        <v>35</v>
      </c>
      <c r="H1093" t="s">
        <v>47</v>
      </c>
      <c r="I1093" t="s">
        <v>70</v>
      </c>
      <c r="J1093" t="s">
        <v>63</v>
      </c>
      <c r="K1093" s="2">
        <v>45842</v>
      </c>
      <c r="L1093" s="2">
        <v>45932</v>
      </c>
      <c r="M1093" t="s">
        <v>38</v>
      </c>
      <c r="N1093" t="s">
        <v>75</v>
      </c>
      <c r="O1093">
        <v>3</v>
      </c>
      <c r="P1093" t="s">
        <v>62</v>
      </c>
      <c r="Q1093" s="2">
        <v>46341</v>
      </c>
      <c r="R1093" t="s">
        <v>64</v>
      </c>
    </row>
    <row r="1094" spans="1:18" x14ac:dyDescent="0.2">
      <c r="A1094" t="s">
        <v>2246</v>
      </c>
      <c r="B1094" t="s">
        <v>2247</v>
      </c>
      <c r="C1094" t="s">
        <v>96</v>
      </c>
      <c r="D1094" t="s">
        <v>97</v>
      </c>
      <c r="E1094" t="s">
        <v>44</v>
      </c>
      <c r="F1094" t="s">
        <v>45</v>
      </c>
      <c r="G1094" t="s">
        <v>61</v>
      </c>
      <c r="H1094" t="s">
        <v>36</v>
      </c>
      <c r="I1094" t="s">
        <v>111</v>
      </c>
      <c r="J1094" t="s">
        <v>48</v>
      </c>
      <c r="K1094" s="2">
        <v>46052</v>
      </c>
      <c r="L1094" s="2">
        <v>46417</v>
      </c>
      <c r="M1094" t="s">
        <v>64</v>
      </c>
      <c r="N1094" t="s">
        <v>55</v>
      </c>
      <c r="O1094">
        <v>3</v>
      </c>
      <c r="P1094" t="s">
        <v>106</v>
      </c>
      <c r="Q1094" s="2">
        <v>46374</v>
      </c>
      <c r="R1094" t="s">
        <v>84</v>
      </c>
    </row>
    <row r="1095" spans="1:18" x14ac:dyDescent="0.2">
      <c r="A1095" t="s">
        <v>2248</v>
      </c>
      <c r="B1095" t="s">
        <v>2249</v>
      </c>
      <c r="C1095" t="s">
        <v>42</v>
      </c>
      <c r="D1095" t="s">
        <v>43</v>
      </c>
      <c r="E1095" t="s">
        <v>60</v>
      </c>
      <c r="F1095" t="s">
        <v>45</v>
      </c>
      <c r="G1095" t="s">
        <v>46</v>
      </c>
      <c r="H1095" t="s">
        <v>36</v>
      </c>
      <c r="I1095" t="s">
        <v>62</v>
      </c>
      <c r="J1095" t="s">
        <v>37</v>
      </c>
      <c r="K1095" s="2">
        <v>46189</v>
      </c>
      <c r="L1095" s="2">
        <v>46369</v>
      </c>
      <c r="M1095" t="s">
        <v>64</v>
      </c>
      <c r="N1095" t="s">
        <v>75</v>
      </c>
      <c r="O1095">
        <v>2</v>
      </c>
      <c r="P1095" t="s">
        <v>111</v>
      </c>
      <c r="Q1095" s="2">
        <v>46322</v>
      </c>
      <c r="R1095" t="s">
        <v>64</v>
      </c>
    </row>
    <row r="1096" spans="1:18" x14ac:dyDescent="0.2">
      <c r="A1096" t="s">
        <v>2250</v>
      </c>
      <c r="B1096" t="s">
        <v>2251</v>
      </c>
      <c r="C1096" t="s">
        <v>96</v>
      </c>
      <c r="D1096" t="s">
        <v>97</v>
      </c>
      <c r="E1096" t="s">
        <v>91</v>
      </c>
      <c r="F1096" t="s">
        <v>45</v>
      </c>
      <c r="G1096" t="s">
        <v>46</v>
      </c>
      <c r="H1096" t="s">
        <v>88</v>
      </c>
      <c r="I1096" t="s">
        <v>111</v>
      </c>
      <c r="J1096" t="s">
        <v>63</v>
      </c>
      <c r="K1096" s="2">
        <v>45910</v>
      </c>
      <c r="L1096" s="2">
        <v>46000</v>
      </c>
      <c r="M1096" t="s">
        <v>38</v>
      </c>
      <c r="N1096" t="s">
        <v>75</v>
      </c>
      <c r="O1096">
        <v>2</v>
      </c>
      <c r="P1096" t="s">
        <v>111</v>
      </c>
      <c r="Q1096" s="2">
        <v>46299</v>
      </c>
      <c r="R1096" t="s">
        <v>84</v>
      </c>
    </row>
    <row r="1097" spans="1:18" x14ac:dyDescent="0.2">
      <c r="A1097" t="s">
        <v>2252</v>
      </c>
      <c r="B1097" t="s">
        <v>2253</v>
      </c>
      <c r="C1097" t="s">
        <v>103</v>
      </c>
      <c r="D1097" t="s">
        <v>104</v>
      </c>
      <c r="E1097" t="s">
        <v>80</v>
      </c>
      <c r="F1097" t="s">
        <v>67</v>
      </c>
      <c r="G1097" t="s">
        <v>68</v>
      </c>
      <c r="H1097" t="s">
        <v>47</v>
      </c>
      <c r="I1097" t="s">
        <v>54</v>
      </c>
      <c r="J1097" t="s">
        <v>48</v>
      </c>
      <c r="K1097" s="2">
        <v>46138</v>
      </c>
      <c r="L1097" s="2">
        <v>46318</v>
      </c>
      <c r="M1097" t="s">
        <v>69</v>
      </c>
      <c r="N1097" t="s">
        <v>75</v>
      </c>
      <c r="O1097">
        <v>1</v>
      </c>
      <c r="P1097" t="s">
        <v>62</v>
      </c>
      <c r="Q1097" s="2">
        <v>46201</v>
      </c>
      <c r="R1097" t="s">
        <v>64</v>
      </c>
    </row>
    <row r="1098" spans="1:18" x14ac:dyDescent="0.2">
      <c r="A1098" t="s">
        <v>2254</v>
      </c>
      <c r="B1098" t="s">
        <v>2255</v>
      </c>
      <c r="C1098" t="s">
        <v>42</v>
      </c>
      <c r="D1098" t="s">
        <v>43</v>
      </c>
      <c r="E1098" t="s">
        <v>44</v>
      </c>
      <c r="F1098" t="s">
        <v>67</v>
      </c>
      <c r="G1098" t="s">
        <v>68</v>
      </c>
      <c r="H1098" t="s">
        <v>47</v>
      </c>
      <c r="I1098" t="s">
        <v>50</v>
      </c>
      <c r="J1098" t="s">
        <v>48</v>
      </c>
      <c r="K1098" s="2">
        <v>46228</v>
      </c>
      <c r="L1098" s="2">
        <v>46593</v>
      </c>
      <c r="M1098" t="s">
        <v>84</v>
      </c>
      <c r="N1098" t="s">
        <v>75</v>
      </c>
      <c r="O1098">
        <v>0</v>
      </c>
      <c r="P1098" t="s">
        <v>56</v>
      </c>
      <c r="Q1098" s="2">
        <v>46383</v>
      </c>
      <c r="R1098" t="s">
        <v>57</v>
      </c>
    </row>
    <row r="1099" spans="1:18" x14ac:dyDescent="0.2">
      <c r="A1099" t="s">
        <v>2256</v>
      </c>
      <c r="B1099" t="s">
        <v>2257</v>
      </c>
      <c r="C1099" t="s">
        <v>31</v>
      </c>
      <c r="D1099" t="s">
        <v>32</v>
      </c>
      <c r="E1099" t="s">
        <v>53</v>
      </c>
      <c r="F1099" t="s">
        <v>45</v>
      </c>
      <c r="G1099" t="s">
        <v>61</v>
      </c>
      <c r="H1099" t="s">
        <v>36</v>
      </c>
      <c r="I1099" t="s">
        <v>50</v>
      </c>
      <c r="J1099" t="s">
        <v>48</v>
      </c>
      <c r="K1099" s="2">
        <v>46158</v>
      </c>
      <c r="L1099" s="2">
        <v>46338</v>
      </c>
      <c r="M1099" t="s">
        <v>64</v>
      </c>
      <c r="N1099" t="s">
        <v>49</v>
      </c>
      <c r="O1099">
        <v>0</v>
      </c>
      <c r="P1099" t="s">
        <v>50</v>
      </c>
      <c r="Q1099" s="2">
        <v>46233</v>
      </c>
      <c r="R1099" t="s">
        <v>57</v>
      </c>
    </row>
    <row r="1100" spans="1:18" x14ac:dyDescent="0.2">
      <c r="A1100" t="s">
        <v>2258</v>
      </c>
      <c r="B1100" t="s">
        <v>2259</v>
      </c>
      <c r="C1100" t="s">
        <v>31</v>
      </c>
      <c r="D1100" t="s">
        <v>83</v>
      </c>
      <c r="E1100" t="s">
        <v>80</v>
      </c>
      <c r="F1100" t="s">
        <v>67</v>
      </c>
      <c r="G1100" t="s">
        <v>118</v>
      </c>
      <c r="H1100" t="s">
        <v>36</v>
      </c>
      <c r="I1100" t="s">
        <v>54</v>
      </c>
      <c r="J1100" t="s">
        <v>48</v>
      </c>
      <c r="K1100" s="2">
        <v>46267</v>
      </c>
      <c r="L1100" s="2">
        <v>46357</v>
      </c>
      <c r="M1100" t="s">
        <v>84</v>
      </c>
      <c r="N1100" t="s">
        <v>55</v>
      </c>
      <c r="O1100">
        <v>0</v>
      </c>
      <c r="P1100" t="s">
        <v>111</v>
      </c>
      <c r="Q1100" s="2">
        <v>46252</v>
      </c>
      <c r="R1100" t="s">
        <v>57</v>
      </c>
    </row>
    <row r="1101" spans="1:18" x14ac:dyDescent="0.2">
      <c r="A1101" t="s">
        <v>2260</v>
      </c>
      <c r="B1101" t="s">
        <v>2261</v>
      </c>
      <c r="C1101" t="s">
        <v>31</v>
      </c>
      <c r="D1101" t="s">
        <v>87</v>
      </c>
      <c r="E1101" t="s">
        <v>91</v>
      </c>
      <c r="F1101" t="s">
        <v>34</v>
      </c>
      <c r="G1101" t="s">
        <v>35</v>
      </c>
      <c r="H1101" t="s">
        <v>47</v>
      </c>
      <c r="I1101" t="s">
        <v>50</v>
      </c>
      <c r="J1101" t="s">
        <v>63</v>
      </c>
      <c r="K1101" s="2">
        <v>46150</v>
      </c>
      <c r="L1101" s="2">
        <v>46240</v>
      </c>
      <c r="M1101" t="s">
        <v>38</v>
      </c>
      <c r="N1101" t="s">
        <v>75</v>
      </c>
      <c r="O1101">
        <v>1</v>
      </c>
      <c r="P1101" t="s">
        <v>39</v>
      </c>
      <c r="Q1101" s="2">
        <v>46254</v>
      </c>
      <c r="R1101" t="s">
        <v>38</v>
      </c>
    </row>
    <row r="1102" spans="1:18" x14ac:dyDescent="0.2">
      <c r="A1102" t="s">
        <v>2262</v>
      </c>
      <c r="B1102" t="s">
        <v>2263</v>
      </c>
      <c r="C1102" t="s">
        <v>96</v>
      </c>
      <c r="D1102" t="s">
        <v>97</v>
      </c>
      <c r="E1102" t="s">
        <v>44</v>
      </c>
      <c r="F1102" t="s">
        <v>67</v>
      </c>
      <c r="G1102" t="s">
        <v>68</v>
      </c>
      <c r="H1102" t="s">
        <v>47</v>
      </c>
      <c r="I1102" t="s">
        <v>50</v>
      </c>
      <c r="J1102" t="s">
        <v>37</v>
      </c>
      <c r="K1102" s="2">
        <v>45842</v>
      </c>
      <c r="L1102" s="2">
        <v>45932</v>
      </c>
      <c r="M1102" t="s">
        <v>38</v>
      </c>
      <c r="N1102" t="s">
        <v>55</v>
      </c>
      <c r="O1102">
        <v>2</v>
      </c>
      <c r="P1102" t="s">
        <v>50</v>
      </c>
      <c r="Q1102" s="2">
        <v>46408</v>
      </c>
      <c r="R1102" t="s">
        <v>84</v>
      </c>
    </row>
    <row r="1103" spans="1:18" x14ac:dyDescent="0.2">
      <c r="A1103" t="s">
        <v>2264</v>
      </c>
      <c r="B1103" t="s">
        <v>2265</v>
      </c>
      <c r="C1103" t="s">
        <v>78</v>
      </c>
      <c r="D1103" t="s">
        <v>79</v>
      </c>
      <c r="E1103" t="s">
        <v>91</v>
      </c>
      <c r="F1103" t="s">
        <v>34</v>
      </c>
      <c r="G1103" t="s">
        <v>35</v>
      </c>
      <c r="H1103" t="s">
        <v>47</v>
      </c>
      <c r="I1103" t="s">
        <v>39</v>
      </c>
      <c r="J1103" t="s">
        <v>63</v>
      </c>
      <c r="K1103" s="2">
        <v>46241</v>
      </c>
      <c r="L1103" s="2">
        <v>46421</v>
      </c>
      <c r="M1103" t="s">
        <v>64</v>
      </c>
      <c r="N1103" t="s">
        <v>75</v>
      </c>
      <c r="O1103">
        <v>3</v>
      </c>
      <c r="P1103" t="s">
        <v>62</v>
      </c>
      <c r="Q1103" s="2">
        <v>46385</v>
      </c>
      <c r="R1103" t="s">
        <v>84</v>
      </c>
    </row>
    <row r="1104" spans="1:18" x14ac:dyDescent="0.2">
      <c r="A1104" t="s">
        <v>2266</v>
      </c>
      <c r="B1104" t="s">
        <v>2267</v>
      </c>
      <c r="C1104" t="s">
        <v>78</v>
      </c>
      <c r="D1104" t="s">
        <v>79</v>
      </c>
      <c r="E1104" t="s">
        <v>91</v>
      </c>
      <c r="F1104" t="s">
        <v>34</v>
      </c>
      <c r="G1104" t="s">
        <v>35</v>
      </c>
      <c r="H1104" t="s">
        <v>98</v>
      </c>
      <c r="I1104" t="s">
        <v>106</v>
      </c>
      <c r="J1104" t="s">
        <v>63</v>
      </c>
      <c r="K1104" s="2">
        <v>45873</v>
      </c>
      <c r="L1104" s="2">
        <v>46238</v>
      </c>
      <c r="M1104" t="s">
        <v>38</v>
      </c>
      <c r="N1104" t="s">
        <v>49</v>
      </c>
      <c r="O1104">
        <v>5</v>
      </c>
      <c r="P1104" t="s">
        <v>111</v>
      </c>
      <c r="Q1104" s="2">
        <v>46322</v>
      </c>
      <c r="R1104" t="s">
        <v>84</v>
      </c>
    </row>
    <row r="1105" spans="1:18" x14ac:dyDescent="0.2">
      <c r="A1105" t="s">
        <v>2268</v>
      </c>
      <c r="B1105" t="s">
        <v>2269</v>
      </c>
      <c r="C1105" t="s">
        <v>73</v>
      </c>
      <c r="D1105" t="s">
        <v>74</v>
      </c>
      <c r="E1105" t="s">
        <v>44</v>
      </c>
      <c r="F1105" t="s">
        <v>45</v>
      </c>
      <c r="G1105" t="s">
        <v>46</v>
      </c>
      <c r="H1105" t="s">
        <v>47</v>
      </c>
      <c r="I1105" t="s">
        <v>106</v>
      </c>
      <c r="J1105" t="s">
        <v>37</v>
      </c>
      <c r="K1105" s="2">
        <v>45844</v>
      </c>
      <c r="L1105" s="2">
        <v>46024</v>
      </c>
      <c r="M1105" t="s">
        <v>38</v>
      </c>
      <c r="N1105" t="s">
        <v>55</v>
      </c>
      <c r="O1105">
        <v>3</v>
      </c>
      <c r="P1105" t="s">
        <v>111</v>
      </c>
      <c r="Q1105" s="2">
        <v>46310</v>
      </c>
      <c r="R1105" t="s">
        <v>84</v>
      </c>
    </row>
    <row r="1106" spans="1:18" x14ac:dyDescent="0.2">
      <c r="A1106" t="s">
        <v>2270</v>
      </c>
      <c r="B1106" t="s">
        <v>2271</v>
      </c>
      <c r="C1106" t="s">
        <v>31</v>
      </c>
      <c r="D1106" t="s">
        <v>87</v>
      </c>
      <c r="E1106" t="s">
        <v>44</v>
      </c>
      <c r="F1106" t="s">
        <v>45</v>
      </c>
      <c r="G1106" t="s">
        <v>46</v>
      </c>
      <c r="H1106" t="s">
        <v>88</v>
      </c>
      <c r="I1106" t="s">
        <v>50</v>
      </c>
      <c r="J1106" t="s">
        <v>37</v>
      </c>
      <c r="K1106" s="2">
        <v>46045</v>
      </c>
      <c r="L1106" s="2">
        <v>46410</v>
      </c>
      <c r="M1106" t="s">
        <v>84</v>
      </c>
      <c r="N1106" t="s">
        <v>49</v>
      </c>
      <c r="O1106">
        <v>2</v>
      </c>
      <c r="P1106" t="s">
        <v>56</v>
      </c>
      <c r="Q1106" s="2">
        <v>46317</v>
      </c>
      <c r="R1106" t="s">
        <v>64</v>
      </c>
    </row>
    <row r="1107" spans="1:18" x14ac:dyDescent="0.2">
      <c r="A1107" t="s">
        <v>2272</v>
      </c>
      <c r="B1107" t="s">
        <v>2273</v>
      </c>
      <c r="C1107" t="s">
        <v>103</v>
      </c>
      <c r="D1107" t="s">
        <v>104</v>
      </c>
      <c r="E1107" t="s">
        <v>80</v>
      </c>
      <c r="F1107" t="s">
        <v>67</v>
      </c>
      <c r="G1107" t="s">
        <v>118</v>
      </c>
      <c r="H1107" t="s">
        <v>36</v>
      </c>
      <c r="I1107" t="s">
        <v>106</v>
      </c>
      <c r="J1107" t="s">
        <v>63</v>
      </c>
      <c r="K1107" s="2">
        <v>45824</v>
      </c>
      <c r="L1107" s="2">
        <v>45914</v>
      </c>
      <c r="M1107" t="s">
        <v>38</v>
      </c>
      <c r="N1107" t="s">
        <v>75</v>
      </c>
      <c r="O1107">
        <v>1</v>
      </c>
      <c r="P1107" t="s">
        <v>70</v>
      </c>
      <c r="Q1107" s="2">
        <v>46327</v>
      </c>
      <c r="R1107" t="s">
        <v>84</v>
      </c>
    </row>
    <row r="1108" spans="1:18" x14ac:dyDescent="0.2">
      <c r="A1108" t="s">
        <v>2274</v>
      </c>
      <c r="B1108" t="s">
        <v>2275</v>
      </c>
      <c r="C1108" t="s">
        <v>73</v>
      </c>
      <c r="D1108" t="s">
        <v>74</v>
      </c>
      <c r="E1108" t="s">
        <v>105</v>
      </c>
      <c r="F1108" t="s">
        <v>67</v>
      </c>
      <c r="G1108" t="s">
        <v>118</v>
      </c>
      <c r="H1108" t="s">
        <v>88</v>
      </c>
      <c r="I1108" t="s">
        <v>62</v>
      </c>
      <c r="J1108" t="s">
        <v>63</v>
      </c>
      <c r="K1108" s="2">
        <v>45821</v>
      </c>
      <c r="L1108" s="2">
        <v>46186</v>
      </c>
      <c r="M1108" t="s">
        <v>38</v>
      </c>
      <c r="N1108" t="s">
        <v>75</v>
      </c>
      <c r="O1108">
        <v>0</v>
      </c>
      <c r="P1108" t="s">
        <v>111</v>
      </c>
      <c r="Q1108" s="2">
        <v>46265</v>
      </c>
      <c r="R1108" t="s">
        <v>57</v>
      </c>
    </row>
    <row r="1109" spans="1:18" x14ac:dyDescent="0.2">
      <c r="A1109" t="s">
        <v>2276</v>
      </c>
      <c r="B1109" t="s">
        <v>2277</v>
      </c>
      <c r="C1109" t="s">
        <v>31</v>
      </c>
      <c r="D1109" t="s">
        <v>87</v>
      </c>
      <c r="E1109" t="s">
        <v>105</v>
      </c>
      <c r="F1109" t="s">
        <v>45</v>
      </c>
      <c r="G1109" t="s">
        <v>61</v>
      </c>
      <c r="H1109" t="s">
        <v>88</v>
      </c>
      <c r="I1109" t="s">
        <v>54</v>
      </c>
      <c r="J1109" t="s">
        <v>48</v>
      </c>
      <c r="K1109" s="2">
        <v>46117</v>
      </c>
      <c r="L1109" s="2">
        <v>46482</v>
      </c>
      <c r="M1109" t="s">
        <v>64</v>
      </c>
      <c r="N1109" t="s">
        <v>55</v>
      </c>
      <c r="O1109">
        <v>1</v>
      </c>
      <c r="P1109" t="s">
        <v>106</v>
      </c>
      <c r="Q1109" s="2">
        <v>46402</v>
      </c>
      <c r="R1109" t="s">
        <v>64</v>
      </c>
    </row>
    <row r="1110" spans="1:18" x14ac:dyDescent="0.2">
      <c r="A1110" t="s">
        <v>2278</v>
      </c>
      <c r="B1110" t="s">
        <v>2279</v>
      </c>
      <c r="C1110" t="s">
        <v>31</v>
      </c>
      <c r="D1110" t="s">
        <v>32</v>
      </c>
      <c r="E1110" t="s">
        <v>80</v>
      </c>
      <c r="F1110" t="s">
        <v>45</v>
      </c>
      <c r="G1110" t="s">
        <v>61</v>
      </c>
      <c r="H1110" t="s">
        <v>88</v>
      </c>
      <c r="I1110" t="s">
        <v>111</v>
      </c>
      <c r="J1110" t="s">
        <v>37</v>
      </c>
      <c r="K1110" s="2">
        <v>46098</v>
      </c>
      <c r="L1110" s="2">
        <v>46463</v>
      </c>
      <c r="M1110" t="s">
        <v>64</v>
      </c>
      <c r="N1110" t="s">
        <v>75</v>
      </c>
      <c r="O1110">
        <v>0</v>
      </c>
      <c r="P1110" t="s">
        <v>62</v>
      </c>
      <c r="Q1110" s="2">
        <v>46379</v>
      </c>
      <c r="R1110" t="s">
        <v>57</v>
      </c>
    </row>
    <row r="1111" spans="1:18" x14ac:dyDescent="0.2">
      <c r="A1111" t="s">
        <v>2280</v>
      </c>
      <c r="B1111" t="s">
        <v>2281</v>
      </c>
      <c r="C1111" t="s">
        <v>103</v>
      </c>
      <c r="D1111" t="s">
        <v>104</v>
      </c>
      <c r="E1111" t="s">
        <v>91</v>
      </c>
      <c r="F1111" t="s">
        <v>34</v>
      </c>
      <c r="G1111" t="s">
        <v>35</v>
      </c>
      <c r="H1111" t="s">
        <v>36</v>
      </c>
      <c r="I1111" t="s">
        <v>70</v>
      </c>
      <c r="J1111" t="s">
        <v>63</v>
      </c>
      <c r="K1111" s="2">
        <v>46197</v>
      </c>
      <c r="L1111" s="2">
        <v>46377</v>
      </c>
      <c r="M1111" t="s">
        <v>64</v>
      </c>
      <c r="N1111" t="s">
        <v>49</v>
      </c>
      <c r="O1111">
        <v>3</v>
      </c>
      <c r="P1111" t="s">
        <v>62</v>
      </c>
      <c r="Q1111" s="2">
        <v>46251</v>
      </c>
      <c r="R1111" t="s">
        <v>64</v>
      </c>
    </row>
    <row r="1112" spans="1:18" x14ac:dyDescent="0.2">
      <c r="A1112" t="s">
        <v>2282</v>
      </c>
      <c r="B1112" t="s">
        <v>2283</v>
      </c>
      <c r="C1112" t="s">
        <v>31</v>
      </c>
      <c r="D1112" t="s">
        <v>83</v>
      </c>
      <c r="E1112" t="s">
        <v>44</v>
      </c>
      <c r="F1112" t="s">
        <v>67</v>
      </c>
      <c r="G1112" t="s">
        <v>118</v>
      </c>
      <c r="H1112" t="s">
        <v>47</v>
      </c>
      <c r="I1112" t="s">
        <v>56</v>
      </c>
      <c r="J1112" t="s">
        <v>63</v>
      </c>
      <c r="K1112" s="2">
        <v>46269</v>
      </c>
      <c r="L1112" s="2">
        <v>46359</v>
      </c>
      <c r="M1112" t="s">
        <v>64</v>
      </c>
      <c r="N1112" t="s">
        <v>49</v>
      </c>
      <c r="O1112">
        <v>1</v>
      </c>
      <c r="P1112" t="s">
        <v>56</v>
      </c>
      <c r="Q1112" s="2">
        <v>46328</v>
      </c>
      <c r="R1112" t="s">
        <v>84</v>
      </c>
    </row>
    <row r="1113" spans="1:18" x14ac:dyDescent="0.2">
      <c r="A1113" t="s">
        <v>2284</v>
      </c>
      <c r="B1113" t="s">
        <v>2285</v>
      </c>
      <c r="C1113" t="s">
        <v>31</v>
      </c>
      <c r="D1113" t="s">
        <v>83</v>
      </c>
      <c r="E1113" t="s">
        <v>105</v>
      </c>
      <c r="F1113" t="s">
        <v>45</v>
      </c>
      <c r="G1113" t="s">
        <v>46</v>
      </c>
      <c r="H1113" t="s">
        <v>47</v>
      </c>
      <c r="I1113" t="s">
        <v>39</v>
      </c>
      <c r="J1113" t="s">
        <v>37</v>
      </c>
      <c r="K1113" s="2">
        <v>46140</v>
      </c>
      <c r="L1113" s="2">
        <v>46505</v>
      </c>
      <c r="M1113" t="s">
        <v>64</v>
      </c>
      <c r="N1113" t="s">
        <v>55</v>
      </c>
      <c r="O1113">
        <v>1</v>
      </c>
      <c r="P1113" t="s">
        <v>70</v>
      </c>
      <c r="Q1113" s="2">
        <v>46354</v>
      </c>
      <c r="R1113" t="s">
        <v>84</v>
      </c>
    </row>
    <row r="1114" spans="1:18" x14ac:dyDescent="0.2">
      <c r="A1114" t="s">
        <v>2286</v>
      </c>
      <c r="B1114" t="s">
        <v>2287</v>
      </c>
      <c r="C1114" t="s">
        <v>42</v>
      </c>
      <c r="D1114" t="s">
        <v>43</v>
      </c>
      <c r="E1114" t="s">
        <v>53</v>
      </c>
      <c r="F1114" t="s">
        <v>45</v>
      </c>
      <c r="G1114" t="s">
        <v>61</v>
      </c>
      <c r="H1114" t="s">
        <v>88</v>
      </c>
      <c r="I1114" t="s">
        <v>106</v>
      </c>
      <c r="J1114" t="s">
        <v>63</v>
      </c>
      <c r="K1114" s="2">
        <v>45840</v>
      </c>
      <c r="L1114" s="2">
        <v>46020</v>
      </c>
      <c r="M1114" t="s">
        <v>38</v>
      </c>
      <c r="N1114" t="s">
        <v>75</v>
      </c>
      <c r="O1114">
        <v>2</v>
      </c>
      <c r="P1114" t="s">
        <v>54</v>
      </c>
      <c r="Q1114" s="2">
        <v>46282</v>
      </c>
      <c r="R1114" t="s">
        <v>38</v>
      </c>
    </row>
    <row r="1115" spans="1:18" x14ac:dyDescent="0.2">
      <c r="A1115" t="s">
        <v>2288</v>
      </c>
      <c r="B1115" t="s">
        <v>2289</v>
      </c>
      <c r="C1115" t="s">
        <v>42</v>
      </c>
      <c r="D1115" t="s">
        <v>43</v>
      </c>
      <c r="E1115" t="s">
        <v>80</v>
      </c>
      <c r="F1115" t="s">
        <v>45</v>
      </c>
      <c r="G1115" t="s">
        <v>46</v>
      </c>
      <c r="H1115" t="s">
        <v>88</v>
      </c>
      <c r="I1115" t="s">
        <v>106</v>
      </c>
      <c r="J1115" t="s">
        <v>37</v>
      </c>
      <c r="K1115" s="2">
        <v>46015</v>
      </c>
      <c r="L1115" s="2">
        <v>46195</v>
      </c>
      <c r="M1115" t="s">
        <v>38</v>
      </c>
      <c r="N1115" t="s">
        <v>75</v>
      </c>
      <c r="O1115">
        <v>3</v>
      </c>
      <c r="P1115" t="s">
        <v>70</v>
      </c>
      <c r="Q1115" s="2">
        <v>46141</v>
      </c>
      <c r="R1115" t="s">
        <v>38</v>
      </c>
    </row>
    <row r="1116" spans="1:18" x14ac:dyDescent="0.2">
      <c r="A1116" t="s">
        <v>2290</v>
      </c>
      <c r="B1116" t="s">
        <v>2291</v>
      </c>
      <c r="C1116" t="s">
        <v>78</v>
      </c>
      <c r="D1116" t="s">
        <v>79</v>
      </c>
      <c r="E1116" t="s">
        <v>44</v>
      </c>
      <c r="F1116" t="s">
        <v>45</v>
      </c>
      <c r="G1116" t="s">
        <v>46</v>
      </c>
      <c r="H1116" t="s">
        <v>36</v>
      </c>
      <c r="I1116" t="s">
        <v>54</v>
      </c>
      <c r="J1116" t="s">
        <v>37</v>
      </c>
      <c r="K1116" s="2">
        <v>46038</v>
      </c>
      <c r="L1116" s="2">
        <v>46128</v>
      </c>
      <c r="M1116" t="s">
        <v>38</v>
      </c>
      <c r="N1116" t="s">
        <v>55</v>
      </c>
      <c r="O1116">
        <v>5</v>
      </c>
      <c r="P1116" t="s">
        <v>62</v>
      </c>
      <c r="Q1116" s="2">
        <v>46392</v>
      </c>
      <c r="R1116" t="s">
        <v>84</v>
      </c>
    </row>
    <row r="1117" spans="1:18" x14ac:dyDescent="0.2">
      <c r="A1117" t="s">
        <v>2292</v>
      </c>
      <c r="B1117" t="s">
        <v>2293</v>
      </c>
      <c r="C1117" t="s">
        <v>31</v>
      </c>
      <c r="D1117" t="s">
        <v>87</v>
      </c>
      <c r="E1117" t="s">
        <v>53</v>
      </c>
      <c r="F1117" t="s">
        <v>34</v>
      </c>
      <c r="G1117" t="s">
        <v>35</v>
      </c>
      <c r="H1117" t="s">
        <v>47</v>
      </c>
      <c r="I1117" t="s">
        <v>50</v>
      </c>
      <c r="J1117" t="s">
        <v>37</v>
      </c>
      <c r="K1117" s="2">
        <v>45956</v>
      </c>
      <c r="L1117" s="2">
        <v>46136</v>
      </c>
      <c r="M1117" t="s">
        <v>38</v>
      </c>
      <c r="N1117" t="s">
        <v>49</v>
      </c>
      <c r="O1117">
        <v>0</v>
      </c>
      <c r="P1117" t="s">
        <v>62</v>
      </c>
      <c r="Q1117" s="2">
        <v>46275</v>
      </c>
      <c r="R1117" t="s">
        <v>57</v>
      </c>
    </row>
    <row r="1118" spans="1:18" x14ac:dyDescent="0.2">
      <c r="A1118" t="s">
        <v>2294</v>
      </c>
      <c r="B1118" t="s">
        <v>2295</v>
      </c>
      <c r="C1118" t="s">
        <v>96</v>
      </c>
      <c r="D1118" t="s">
        <v>97</v>
      </c>
      <c r="E1118" t="s">
        <v>80</v>
      </c>
      <c r="F1118" t="s">
        <v>45</v>
      </c>
      <c r="G1118" t="s">
        <v>61</v>
      </c>
      <c r="H1118" t="s">
        <v>98</v>
      </c>
      <c r="I1118" t="s">
        <v>106</v>
      </c>
      <c r="J1118" t="s">
        <v>63</v>
      </c>
      <c r="K1118" s="2">
        <v>45795</v>
      </c>
      <c r="L1118" s="2">
        <v>45975</v>
      </c>
      <c r="M1118" t="s">
        <v>38</v>
      </c>
      <c r="N1118" t="s">
        <v>55</v>
      </c>
      <c r="O1118">
        <v>2</v>
      </c>
      <c r="P1118" t="s">
        <v>54</v>
      </c>
      <c r="Q1118" s="2">
        <v>46235</v>
      </c>
      <c r="R1118" t="s">
        <v>38</v>
      </c>
    </row>
    <row r="1119" spans="1:18" x14ac:dyDescent="0.2">
      <c r="A1119" t="s">
        <v>2296</v>
      </c>
      <c r="B1119" t="s">
        <v>2297</v>
      </c>
      <c r="C1119" t="s">
        <v>31</v>
      </c>
      <c r="D1119" t="s">
        <v>32</v>
      </c>
      <c r="E1119" t="s">
        <v>44</v>
      </c>
      <c r="F1119" t="s">
        <v>67</v>
      </c>
      <c r="G1119" t="s">
        <v>118</v>
      </c>
      <c r="H1119" t="s">
        <v>47</v>
      </c>
      <c r="I1119" t="s">
        <v>50</v>
      </c>
      <c r="J1119" t="s">
        <v>48</v>
      </c>
      <c r="K1119" s="2">
        <v>46103</v>
      </c>
      <c r="L1119" s="2">
        <v>46193</v>
      </c>
      <c r="M1119" t="s">
        <v>38</v>
      </c>
      <c r="N1119" t="s">
        <v>49</v>
      </c>
      <c r="O1119">
        <v>2</v>
      </c>
      <c r="P1119" t="s">
        <v>39</v>
      </c>
      <c r="Q1119" s="2">
        <v>46307</v>
      </c>
      <c r="R1119" t="s">
        <v>84</v>
      </c>
    </row>
    <row r="1120" spans="1:18" x14ac:dyDescent="0.2">
      <c r="A1120" t="s">
        <v>2298</v>
      </c>
      <c r="B1120" t="s">
        <v>2299</v>
      </c>
      <c r="C1120" t="s">
        <v>73</v>
      </c>
      <c r="D1120" t="s">
        <v>74</v>
      </c>
      <c r="E1120" t="s">
        <v>80</v>
      </c>
      <c r="F1120" t="s">
        <v>45</v>
      </c>
      <c r="G1120" t="s">
        <v>61</v>
      </c>
      <c r="H1120" t="s">
        <v>36</v>
      </c>
      <c r="I1120" t="s">
        <v>50</v>
      </c>
      <c r="J1120" t="s">
        <v>63</v>
      </c>
      <c r="K1120" s="2">
        <v>46249</v>
      </c>
      <c r="L1120" s="2">
        <v>46339</v>
      </c>
      <c r="M1120" t="s">
        <v>64</v>
      </c>
      <c r="N1120" t="s">
        <v>55</v>
      </c>
      <c r="O1120">
        <v>1</v>
      </c>
      <c r="P1120" t="s">
        <v>106</v>
      </c>
      <c r="Q1120" s="2">
        <v>46264</v>
      </c>
      <c r="R1120" t="s">
        <v>38</v>
      </c>
    </row>
    <row r="1121" spans="1:18" x14ac:dyDescent="0.2">
      <c r="A1121" t="s">
        <v>2300</v>
      </c>
      <c r="B1121" t="s">
        <v>2301</v>
      </c>
      <c r="C1121" t="s">
        <v>31</v>
      </c>
      <c r="D1121" t="s">
        <v>87</v>
      </c>
      <c r="E1121" t="s">
        <v>105</v>
      </c>
      <c r="F1121" t="s">
        <v>34</v>
      </c>
      <c r="G1121" t="s">
        <v>35</v>
      </c>
      <c r="H1121" t="s">
        <v>47</v>
      </c>
      <c r="I1121" t="s">
        <v>56</v>
      </c>
      <c r="J1121" t="s">
        <v>48</v>
      </c>
      <c r="K1121" s="2">
        <v>46106</v>
      </c>
      <c r="L1121" s="2">
        <v>46196</v>
      </c>
      <c r="M1121" t="s">
        <v>38</v>
      </c>
      <c r="N1121" t="s">
        <v>55</v>
      </c>
      <c r="O1121">
        <v>0</v>
      </c>
      <c r="P1121" t="s">
        <v>50</v>
      </c>
      <c r="Q1121" s="2">
        <v>46135</v>
      </c>
      <c r="R1121" t="s">
        <v>57</v>
      </c>
    </row>
    <row r="1122" spans="1:18" x14ac:dyDescent="0.2">
      <c r="A1122" t="s">
        <v>2302</v>
      </c>
      <c r="B1122" t="s">
        <v>2303</v>
      </c>
      <c r="C1122" t="s">
        <v>42</v>
      </c>
      <c r="D1122" t="s">
        <v>43</v>
      </c>
      <c r="E1122" t="s">
        <v>105</v>
      </c>
      <c r="F1122" t="s">
        <v>67</v>
      </c>
      <c r="G1122" t="s">
        <v>118</v>
      </c>
      <c r="H1122" t="s">
        <v>47</v>
      </c>
      <c r="I1122" t="s">
        <v>56</v>
      </c>
      <c r="J1122" t="s">
        <v>63</v>
      </c>
      <c r="K1122" s="2">
        <v>45960</v>
      </c>
      <c r="L1122" s="2">
        <v>46325</v>
      </c>
      <c r="M1122" t="s">
        <v>64</v>
      </c>
      <c r="N1122" t="s">
        <v>49</v>
      </c>
      <c r="O1122">
        <v>2</v>
      </c>
      <c r="P1122" t="s">
        <v>70</v>
      </c>
      <c r="Q1122" s="2">
        <v>46185</v>
      </c>
      <c r="R1122" t="s">
        <v>64</v>
      </c>
    </row>
    <row r="1123" spans="1:18" x14ac:dyDescent="0.2">
      <c r="A1123" t="s">
        <v>2304</v>
      </c>
      <c r="B1123" t="s">
        <v>2305</v>
      </c>
      <c r="C1123" t="s">
        <v>73</v>
      </c>
      <c r="D1123" t="s">
        <v>74</v>
      </c>
      <c r="E1123" t="s">
        <v>91</v>
      </c>
      <c r="F1123" t="s">
        <v>67</v>
      </c>
      <c r="G1123" t="s">
        <v>68</v>
      </c>
      <c r="H1123" t="s">
        <v>47</v>
      </c>
      <c r="I1123" t="s">
        <v>62</v>
      </c>
      <c r="J1123" t="s">
        <v>37</v>
      </c>
      <c r="K1123" s="2">
        <v>45839</v>
      </c>
      <c r="L1123" s="2">
        <v>46019</v>
      </c>
      <c r="M1123" t="s">
        <v>38</v>
      </c>
      <c r="N1123" t="s">
        <v>49</v>
      </c>
      <c r="O1123">
        <v>1</v>
      </c>
      <c r="P1123" t="s">
        <v>56</v>
      </c>
      <c r="Q1123" s="2">
        <v>46357</v>
      </c>
      <c r="R1123" t="s">
        <v>84</v>
      </c>
    </row>
    <row r="1124" spans="1:18" x14ac:dyDescent="0.2">
      <c r="A1124" t="s">
        <v>2306</v>
      </c>
      <c r="B1124" t="s">
        <v>2307</v>
      </c>
      <c r="C1124" t="s">
        <v>31</v>
      </c>
      <c r="D1124" t="s">
        <v>83</v>
      </c>
      <c r="E1124" t="s">
        <v>80</v>
      </c>
      <c r="F1124" t="s">
        <v>34</v>
      </c>
      <c r="G1124" t="s">
        <v>35</v>
      </c>
      <c r="H1124" t="s">
        <v>36</v>
      </c>
      <c r="I1124" t="s">
        <v>54</v>
      </c>
      <c r="J1124" t="s">
        <v>48</v>
      </c>
      <c r="K1124" s="2">
        <v>45869</v>
      </c>
      <c r="L1124" s="2">
        <v>46049</v>
      </c>
      <c r="M1124" t="s">
        <v>38</v>
      </c>
      <c r="N1124" t="s">
        <v>49</v>
      </c>
      <c r="O1124">
        <v>2</v>
      </c>
      <c r="P1124" t="s">
        <v>39</v>
      </c>
      <c r="Q1124" s="2">
        <v>46222</v>
      </c>
      <c r="R1124" t="s">
        <v>64</v>
      </c>
    </row>
    <row r="1125" spans="1:18" x14ac:dyDescent="0.2">
      <c r="A1125" t="s">
        <v>2308</v>
      </c>
      <c r="B1125" t="s">
        <v>2309</v>
      </c>
      <c r="C1125" t="s">
        <v>73</v>
      </c>
      <c r="D1125" t="s">
        <v>74</v>
      </c>
      <c r="E1125" t="s">
        <v>60</v>
      </c>
      <c r="F1125" t="s">
        <v>45</v>
      </c>
      <c r="G1125" t="s">
        <v>46</v>
      </c>
      <c r="H1125" t="s">
        <v>36</v>
      </c>
      <c r="I1125" t="s">
        <v>50</v>
      </c>
      <c r="J1125" t="s">
        <v>37</v>
      </c>
      <c r="K1125" s="2">
        <v>46220</v>
      </c>
      <c r="L1125" s="2">
        <v>46400</v>
      </c>
      <c r="M1125" t="s">
        <v>64</v>
      </c>
      <c r="N1125" t="s">
        <v>49</v>
      </c>
      <c r="O1125">
        <v>0</v>
      </c>
      <c r="P1125" t="s">
        <v>54</v>
      </c>
      <c r="Q1125" s="2">
        <v>46259</v>
      </c>
      <c r="R1125" t="s">
        <v>57</v>
      </c>
    </row>
    <row r="1126" spans="1:18" x14ac:dyDescent="0.2">
      <c r="A1126" t="s">
        <v>2310</v>
      </c>
      <c r="B1126" t="s">
        <v>2311</v>
      </c>
      <c r="C1126" t="s">
        <v>78</v>
      </c>
      <c r="D1126" t="s">
        <v>79</v>
      </c>
      <c r="E1126" t="s">
        <v>80</v>
      </c>
      <c r="F1126" t="s">
        <v>34</v>
      </c>
      <c r="G1126" t="s">
        <v>35</v>
      </c>
      <c r="H1126" t="s">
        <v>88</v>
      </c>
      <c r="I1126" t="s">
        <v>56</v>
      </c>
      <c r="J1126" t="s">
        <v>37</v>
      </c>
      <c r="K1126" s="2">
        <v>45796</v>
      </c>
      <c r="L1126" s="2">
        <v>46161</v>
      </c>
      <c r="M1126" t="s">
        <v>38</v>
      </c>
      <c r="N1126" t="s">
        <v>55</v>
      </c>
      <c r="O1126">
        <v>3</v>
      </c>
      <c r="P1126" t="s">
        <v>70</v>
      </c>
      <c r="Q1126" s="2">
        <v>46132</v>
      </c>
      <c r="R1126" t="s">
        <v>38</v>
      </c>
    </row>
    <row r="1127" spans="1:18" x14ac:dyDescent="0.2">
      <c r="A1127" t="s">
        <v>2312</v>
      </c>
      <c r="B1127" t="s">
        <v>2313</v>
      </c>
      <c r="C1127" t="s">
        <v>78</v>
      </c>
      <c r="D1127" t="s">
        <v>79</v>
      </c>
      <c r="E1127" t="s">
        <v>53</v>
      </c>
      <c r="F1127" t="s">
        <v>45</v>
      </c>
      <c r="G1127" t="s">
        <v>46</v>
      </c>
      <c r="H1127" t="s">
        <v>88</v>
      </c>
      <c r="I1127" t="s">
        <v>111</v>
      </c>
      <c r="J1127" t="s">
        <v>37</v>
      </c>
      <c r="K1127" s="2">
        <v>46038</v>
      </c>
      <c r="L1127" s="2">
        <v>46403</v>
      </c>
      <c r="M1127" t="s">
        <v>69</v>
      </c>
      <c r="N1127" t="s">
        <v>75</v>
      </c>
      <c r="O1127">
        <v>1</v>
      </c>
      <c r="P1127" t="s">
        <v>50</v>
      </c>
      <c r="Q1127" s="2">
        <v>46282</v>
      </c>
      <c r="R1127" t="s">
        <v>38</v>
      </c>
    </row>
    <row r="1128" spans="1:18" x14ac:dyDescent="0.2">
      <c r="A1128" t="s">
        <v>2314</v>
      </c>
      <c r="B1128" t="s">
        <v>2315</v>
      </c>
      <c r="C1128" t="s">
        <v>103</v>
      </c>
      <c r="D1128" t="s">
        <v>104</v>
      </c>
      <c r="E1128" t="s">
        <v>53</v>
      </c>
      <c r="F1128" t="s">
        <v>45</v>
      </c>
      <c r="G1128" t="s">
        <v>46</v>
      </c>
      <c r="H1128" t="s">
        <v>88</v>
      </c>
      <c r="I1128" t="s">
        <v>111</v>
      </c>
      <c r="J1128" t="s">
        <v>63</v>
      </c>
      <c r="K1128" s="2">
        <v>45827</v>
      </c>
      <c r="L1128" s="2">
        <v>46007</v>
      </c>
      <c r="M1128" t="s">
        <v>38</v>
      </c>
      <c r="N1128" t="s">
        <v>55</v>
      </c>
      <c r="O1128">
        <v>0</v>
      </c>
      <c r="P1128" t="s">
        <v>111</v>
      </c>
      <c r="Q1128" s="2">
        <v>46186</v>
      </c>
      <c r="R1128" t="s">
        <v>57</v>
      </c>
    </row>
    <row r="1129" spans="1:18" x14ac:dyDescent="0.2">
      <c r="A1129" t="s">
        <v>2316</v>
      </c>
      <c r="B1129" t="s">
        <v>2317</v>
      </c>
      <c r="C1129" t="s">
        <v>73</v>
      </c>
      <c r="D1129" t="s">
        <v>74</v>
      </c>
      <c r="E1129" t="s">
        <v>91</v>
      </c>
      <c r="F1129" t="s">
        <v>67</v>
      </c>
      <c r="G1129" t="s">
        <v>68</v>
      </c>
      <c r="H1129" t="s">
        <v>47</v>
      </c>
      <c r="I1129" t="s">
        <v>39</v>
      </c>
      <c r="J1129" t="s">
        <v>48</v>
      </c>
      <c r="K1129" s="2">
        <v>45881</v>
      </c>
      <c r="L1129" s="2">
        <v>45971</v>
      </c>
      <c r="M1129" t="s">
        <v>38</v>
      </c>
      <c r="N1129" t="s">
        <v>49</v>
      </c>
      <c r="O1129">
        <v>2</v>
      </c>
      <c r="P1129" t="s">
        <v>70</v>
      </c>
      <c r="Q1129" s="2">
        <v>46290</v>
      </c>
      <c r="R1129" t="s">
        <v>38</v>
      </c>
    </row>
    <row r="1130" spans="1:18" x14ac:dyDescent="0.2">
      <c r="A1130" t="s">
        <v>2318</v>
      </c>
      <c r="B1130" t="s">
        <v>2319</v>
      </c>
      <c r="C1130" t="s">
        <v>31</v>
      </c>
      <c r="D1130" t="s">
        <v>87</v>
      </c>
      <c r="E1130" t="s">
        <v>44</v>
      </c>
      <c r="F1130" t="s">
        <v>67</v>
      </c>
      <c r="G1130" t="s">
        <v>68</v>
      </c>
      <c r="H1130" t="s">
        <v>47</v>
      </c>
      <c r="I1130" t="s">
        <v>56</v>
      </c>
      <c r="J1130" t="s">
        <v>63</v>
      </c>
      <c r="K1130" s="2">
        <v>46004</v>
      </c>
      <c r="L1130" s="2">
        <v>46184</v>
      </c>
      <c r="M1130" t="s">
        <v>38</v>
      </c>
      <c r="N1130" t="s">
        <v>49</v>
      </c>
      <c r="O1130">
        <v>1</v>
      </c>
      <c r="P1130" t="s">
        <v>56</v>
      </c>
      <c r="Q1130" s="2">
        <v>46337</v>
      </c>
      <c r="R1130" t="s">
        <v>84</v>
      </c>
    </row>
    <row r="1131" spans="1:18" x14ac:dyDescent="0.2">
      <c r="A1131" t="s">
        <v>2320</v>
      </c>
      <c r="B1131" t="s">
        <v>2321</v>
      </c>
      <c r="C1131" t="s">
        <v>103</v>
      </c>
      <c r="D1131" t="s">
        <v>104</v>
      </c>
      <c r="E1131" t="s">
        <v>105</v>
      </c>
      <c r="F1131" t="s">
        <v>34</v>
      </c>
      <c r="G1131" t="s">
        <v>35</v>
      </c>
      <c r="H1131" t="s">
        <v>47</v>
      </c>
      <c r="I1131" t="s">
        <v>39</v>
      </c>
      <c r="J1131" t="s">
        <v>63</v>
      </c>
      <c r="K1131" s="2">
        <v>46067</v>
      </c>
      <c r="L1131" s="2">
        <v>46432</v>
      </c>
      <c r="M1131" t="s">
        <v>84</v>
      </c>
      <c r="N1131" t="s">
        <v>75</v>
      </c>
      <c r="O1131">
        <v>3</v>
      </c>
      <c r="P1131" t="s">
        <v>54</v>
      </c>
      <c r="Q1131" s="2">
        <v>46352</v>
      </c>
      <c r="R1131" t="s">
        <v>84</v>
      </c>
    </row>
    <row r="1132" spans="1:18" x14ac:dyDescent="0.2">
      <c r="A1132" t="s">
        <v>2322</v>
      </c>
      <c r="B1132" t="s">
        <v>2323</v>
      </c>
      <c r="C1132" t="s">
        <v>31</v>
      </c>
      <c r="D1132" t="s">
        <v>87</v>
      </c>
      <c r="E1132" t="s">
        <v>53</v>
      </c>
      <c r="F1132" t="s">
        <v>67</v>
      </c>
      <c r="G1132" t="s">
        <v>118</v>
      </c>
      <c r="H1132" t="s">
        <v>36</v>
      </c>
      <c r="I1132" t="s">
        <v>39</v>
      </c>
      <c r="J1132" t="s">
        <v>48</v>
      </c>
      <c r="K1132" s="2">
        <v>45857</v>
      </c>
      <c r="L1132" s="2">
        <v>45947</v>
      </c>
      <c r="M1132" t="s">
        <v>38</v>
      </c>
      <c r="N1132" t="s">
        <v>49</v>
      </c>
      <c r="O1132">
        <v>4</v>
      </c>
      <c r="P1132" t="s">
        <v>39</v>
      </c>
      <c r="Q1132" s="2">
        <v>46245</v>
      </c>
      <c r="R1132" t="s">
        <v>38</v>
      </c>
    </row>
    <row r="1133" spans="1:18" x14ac:dyDescent="0.2">
      <c r="A1133" t="s">
        <v>2324</v>
      </c>
      <c r="B1133" t="s">
        <v>2325</v>
      </c>
      <c r="C1133" t="s">
        <v>78</v>
      </c>
      <c r="D1133" t="s">
        <v>79</v>
      </c>
      <c r="E1133" t="s">
        <v>44</v>
      </c>
      <c r="F1133" t="s">
        <v>45</v>
      </c>
      <c r="G1133" t="s">
        <v>61</v>
      </c>
      <c r="H1133" t="s">
        <v>88</v>
      </c>
      <c r="J1133" t="s">
        <v>63</v>
      </c>
      <c r="K1133" s="2">
        <v>46055</v>
      </c>
      <c r="L1133" s="2">
        <v>46145</v>
      </c>
      <c r="M1133" t="s">
        <v>38</v>
      </c>
      <c r="N1133" t="s">
        <v>55</v>
      </c>
      <c r="O1133">
        <v>2</v>
      </c>
      <c r="P1133" t="s">
        <v>56</v>
      </c>
      <c r="Q1133" s="2">
        <v>46389</v>
      </c>
      <c r="R1133" t="s">
        <v>84</v>
      </c>
    </row>
    <row r="1134" spans="1:18" x14ac:dyDescent="0.2">
      <c r="A1134" t="s">
        <v>2326</v>
      </c>
      <c r="B1134" t="s">
        <v>2327</v>
      </c>
      <c r="C1134" t="s">
        <v>31</v>
      </c>
      <c r="D1134" t="s">
        <v>83</v>
      </c>
      <c r="E1134" t="s">
        <v>80</v>
      </c>
      <c r="F1134" t="s">
        <v>34</v>
      </c>
      <c r="G1134" t="s">
        <v>35</v>
      </c>
      <c r="H1134" t="s">
        <v>98</v>
      </c>
      <c r="I1134" t="s">
        <v>54</v>
      </c>
      <c r="J1134" t="s">
        <v>63</v>
      </c>
      <c r="K1134" s="2">
        <v>46002</v>
      </c>
      <c r="L1134" s="2">
        <v>46367</v>
      </c>
      <c r="M1134" t="s">
        <v>84</v>
      </c>
      <c r="N1134" t="s">
        <v>55</v>
      </c>
      <c r="O1134">
        <v>3</v>
      </c>
      <c r="P1134" t="s">
        <v>54</v>
      </c>
      <c r="Q1134" s="2">
        <v>46402</v>
      </c>
      <c r="R1134" t="s">
        <v>84</v>
      </c>
    </row>
    <row r="1135" spans="1:18" x14ac:dyDescent="0.2">
      <c r="A1135" t="s">
        <v>2328</v>
      </c>
      <c r="B1135" t="s">
        <v>2329</v>
      </c>
      <c r="C1135" t="s">
        <v>42</v>
      </c>
      <c r="D1135" t="s">
        <v>43</v>
      </c>
      <c r="E1135" t="s">
        <v>105</v>
      </c>
      <c r="F1135" t="s">
        <v>45</v>
      </c>
      <c r="G1135" t="s">
        <v>61</v>
      </c>
      <c r="H1135" t="s">
        <v>88</v>
      </c>
      <c r="I1135" t="s">
        <v>54</v>
      </c>
      <c r="J1135" t="s">
        <v>37</v>
      </c>
      <c r="K1135" s="2">
        <v>46030</v>
      </c>
      <c r="L1135" s="2">
        <v>46120</v>
      </c>
      <c r="M1135" t="s">
        <v>38</v>
      </c>
      <c r="N1135" t="s">
        <v>55</v>
      </c>
      <c r="O1135">
        <v>1</v>
      </c>
      <c r="P1135" t="s">
        <v>62</v>
      </c>
      <c r="Q1135" s="2">
        <v>46247</v>
      </c>
      <c r="R1135" t="s">
        <v>64</v>
      </c>
    </row>
    <row r="1136" spans="1:18" x14ac:dyDescent="0.2">
      <c r="A1136" t="s">
        <v>2330</v>
      </c>
      <c r="B1136" t="s">
        <v>2331</v>
      </c>
      <c r="C1136" t="s">
        <v>31</v>
      </c>
      <c r="D1136" t="s">
        <v>32</v>
      </c>
      <c r="E1136" t="s">
        <v>44</v>
      </c>
      <c r="F1136" t="s">
        <v>45</v>
      </c>
      <c r="G1136" t="s">
        <v>61</v>
      </c>
      <c r="H1136" t="s">
        <v>36</v>
      </c>
      <c r="I1136" t="s">
        <v>106</v>
      </c>
      <c r="J1136" t="s">
        <v>48</v>
      </c>
      <c r="K1136" s="2">
        <v>46226</v>
      </c>
      <c r="L1136" s="2">
        <v>46406</v>
      </c>
      <c r="M1136" t="s">
        <v>64</v>
      </c>
      <c r="N1136" t="s">
        <v>49</v>
      </c>
      <c r="O1136">
        <v>5</v>
      </c>
      <c r="P1136" t="s">
        <v>39</v>
      </c>
      <c r="Q1136" s="2">
        <v>46395</v>
      </c>
      <c r="R1136" t="s">
        <v>84</v>
      </c>
    </row>
    <row r="1137" spans="1:18" x14ac:dyDescent="0.2">
      <c r="A1137" t="s">
        <v>2332</v>
      </c>
      <c r="B1137" t="s">
        <v>2333</v>
      </c>
      <c r="C1137" t="s">
        <v>96</v>
      </c>
      <c r="D1137" t="s">
        <v>97</v>
      </c>
      <c r="E1137" t="s">
        <v>53</v>
      </c>
      <c r="F1137" t="s">
        <v>45</v>
      </c>
      <c r="G1137" t="s">
        <v>46</v>
      </c>
      <c r="H1137" t="s">
        <v>98</v>
      </c>
      <c r="I1137" t="s">
        <v>70</v>
      </c>
      <c r="J1137" t="s">
        <v>48</v>
      </c>
      <c r="K1137" s="2">
        <v>45884</v>
      </c>
      <c r="L1137" s="2">
        <v>46064</v>
      </c>
      <c r="M1137" t="s">
        <v>38</v>
      </c>
      <c r="N1137" t="s">
        <v>75</v>
      </c>
      <c r="O1137">
        <v>0</v>
      </c>
      <c r="P1137" t="s">
        <v>111</v>
      </c>
      <c r="Q1137" s="2">
        <v>46371</v>
      </c>
      <c r="R1137" t="s">
        <v>57</v>
      </c>
    </row>
    <row r="1138" spans="1:18" x14ac:dyDescent="0.2">
      <c r="A1138" t="s">
        <v>2334</v>
      </c>
      <c r="B1138" t="s">
        <v>2335</v>
      </c>
      <c r="C1138" t="s">
        <v>31</v>
      </c>
      <c r="D1138" t="s">
        <v>87</v>
      </c>
      <c r="E1138" t="s">
        <v>105</v>
      </c>
      <c r="F1138" t="s">
        <v>34</v>
      </c>
      <c r="G1138" t="s">
        <v>35</v>
      </c>
      <c r="H1138" t="s">
        <v>88</v>
      </c>
      <c r="I1138" t="s">
        <v>70</v>
      </c>
      <c r="J1138" t="s">
        <v>48</v>
      </c>
      <c r="K1138" s="2">
        <v>46095</v>
      </c>
      <c r="L1138" s="2">
        <v>46185</v>
      </c>
      <c r="M1138" t="s">
        <v>38</v>
      </c>
      <c r="N1138" t="s">
        <v>75</v>
      </c>
      <c r="O1138">
        <v>1</v>
      </c>
      <c r="P1138" t="s">
        <v>70</v>
      </c>
      <c r="Q1138" s="2">
        <v>46394</v>
      </c>
      <c r="R1138" t="s">
        <v>84</v>
      </c>
    </row>
    <row r="1139" spans="1:18" x14ac:dyDescent="0.2">
      <c r="A1139" t="s">
        <v>2336</v>
      </c>
      <c r="B1139" t="s">
        <v>2337</v>
      </c>
      <c r="C1139" t="s">
        <v>78</v>
      </c>
      <c r="D1139" t="s">
        <v>79</v>
      </c>
      <c r="E1139" t="s">
        <v>53</v>
      </c>
      <c r="F1139" t="s">
        <v>45</v>
      </c>
      <c r="G1139" t="s">
        <v>46</v>
      </c>
      <c r="H1139" t="s">
        <v>47</v>
      </c>
      <c r="I1139" t="s">
        <v>54</v>
      </c>
      <c r="J1139" t="s">
        <v>48</v>
      </c>
      <c r="K1139" s="2">
        <v>46030</v>
      </c>
      <c r="L1139" s="2">
        <v>46395</v>
      </c>
      <c r="M1139" t="s">
        <v>64</v>
      </c>
      <c r="N1139" t="s">
        <v>75</v>
      </c>
      <c r="O1139">
        <v>3</v>
      </c>
      <c r="P1139" t="s">
        <v>54</v>
      </c>
      <c r="Q1139" s="2">
        <v>46336</v>
      </c>
      <c r="R1139" t="s">
        <v>64</v>
      </c>
    </row>
    <row r="1140" spans="1:18" x14ac:dyDescent="0.2">
      <c r="A1140" t="s">
        <v>2338</v>
      </c>
      <c r="B1140" t="s">
        <v>2339</v>
      </c>
      <c r="C1140" t="s">
        <v>78</v>
      </c>
      <c r="D1140" t="s">
        <v>79</v>
      </c>
      <c r="E1140" t="s">
        <v>60</v>
      </c>
      <c r="F1140" t="s">
        <v>34</v>
      </c>
      <c r="G1140" t="s">
        <v>35</v>
      </c>
      <c r="H1140" t="s">
        <v>36</v>
      </c>
      <c r="I1140" t="s">
        <v>70</v>
      </c>
      <c r="J1140" t="s">
        <v>63</v>
      </c>
      <c r="K1140" s="2">
        <v>45894</v>
      </c>
      <c r="L1140" s="2">
        <v>45984</v>
      </c>
      <c r="M1140" t="s">
        <v>38</v>
      </c>
      <c r="N1140" t="s">
        <v>49</v>
      </c>
      <c r="O1140">
        <v>3</v>
      </c>
      <c r="P1140" t="s">
        <v>106</v>
      </c>
      <c r="Q1140" s="2">
        <v>46400</v>
      </c>
      <c r="R1140" t="s">
        <v>84</v>
      </c>
    </row>
    <row r="1141" spans="1:18" x14ac:dyDescent="0.2">
      <c r="A1141" t="s">
        <v>2340</v>
      </c>
      <c r="B1141" t="s">
        <v>2341</v>
      </c>
      <c r="C1141" t="s">
        <v>31</v>
      </c>
      <c r="D1141" t="s">
        <v>87</v>
      </c>
      <c r="E1141" t="s">
        <v>105</v>
      </c>
      <c r="F1141" t="s">
        <v>45</v>
      </c>
      <c r="G1141" t="s">
        <v>46</v>
      </c>
      <c r="H1141" t="s">
        <v>88</v>
      </c>
      <c r="I1141" t="s">
        <v>39</v>
      </c>
      <c r="J1141" t="s">
        <v>37</v>
      </c>
      <c r="K1141" s="2">
        <v>45983</v>
      </c>
      <c r="L1141" s="2">
        <v>46163</v>
      </c>
      <c r="M1141" t="s">
        <v>38</v>
      </c>
      <c r="N1141" t="s">
        <v>55</v>
      </c>
      <c r="O1141">
        <v>2</v>
      </c>
      <c r="P1141" t="s">
        <v>70</v>
      </c>
      <c r="Q1141" s="2">
        <v>46288</v>
      </c>
      <c r="R1141" t="s">
        <v>38</v>
      </c>
    </row>
    <row r="1142" spans="1:18" x14ac:dyDescent="0.2">
      <c r="A1142" t="s">
        <v>2342</v>
      </c>
      <c r="B1142" t="s">
        <v>2343</v>
      </c>
      <c r="C1142" t="s">
        <v>73</v>
      </c>
      <c r="D1142" t="s">
        <v>74</v>
      </c>
      <c r="E1142" t="s">
        <v>60</v>
      </c>
      <c r="F1142" t="s">
        <v>45</v>
      </c>
      <c r="G1142" t="s">
        <v>46</v>
      </c>
      <c r="H1142" t="s">
        <v>88</v>
      </c>
      <c r="I1142" t="s">
        <v>70</v>
      </c>
      <c r="J1142" t="s">
        <v>63</v>
      </c>
      <c r="K1142" s="2">
        <v>45972</v>
      </c>
      <c r="L1142" s="2">
        <v>46062</v>
      </c>
      <c r="M1142" t="s">
        <v>38</v>
      </c>
      <c r="N1142" t="s">
        <v>75</v>
      </c>
      <c r="O1142">
        <v>3</v>
      </c>
      <c r="P1142" t="s">
        <v>39</v>
      </c>
      <c r="Q1142" s="2">
        <v>46398</v>
      </c>
      <c r="R1142" t="s">
        <v>84</v>
      </c>
    </row>
    <row r="1143" spans="1:18" x14ac:dyDescent="0.2">
      <c r="A1143" t="s">
        <v>2344</v>
      </c>
      <c r="B1143" t="s">
        <v>2345</v>
      </c>
      <c r="C1143" t="s">
        <v>31</v>
      </c>
      <c r="D1143" t="s">
        <v>83</v>
      </c>
      <c r="E1143" t="s">
        <v>44</v>
      </c>
      <c r="F1143" t="s">
        <v>34</v>
      </c>
      <c r="G1143" t="s">
        <v>35</v>
      </c>
      <c r="H1143" t="s">
        <v>88</v>
      </c>
      <c r="I1143" t="s">
        <v>62</v>
      </c>
      <c r="J1143" t="s">
        <v>37</v>
      </c>
      <c r="K1143" s="2">
        <v>46125</v>
      </c>
      <c r="L1143" s="2">
        <v>46215</v>
      </c>
      <c r="M1143" t="s">
        <v>38</v>
      </c>
      <c r="N1143" t="s">
        <v>55</v>
      </c>
      <c r="O1143">
        <v>0</v>
      </c>
      <c r="P1143" t="s">
        <v>62</v>
      </c>
      <c r="Q1143" s="2">
        <v>46268</v>
      </c>
      <c r="R1143" t="s">
        <v>57</v>
      </c>
    </row>
    <row r="1144" spans="1:18" x14ac:dyDescent="0.2">
      <c r="A1144" t="s">
        <v>2346</v>
      </c>
      <c r="B1144" t="s">
        <v>2347</v>
      </c>
      <c r="C1144" t="s">
        <v>78</v>
      </c>
      <c r="D1144" t="s">
        <v>79</v>
      </c>
      <c r="E1144" t="s">
        <v>53</v>
      </c>
      <c r="F1144" t="s">
        <v>45</v>
      </c>
      <c r="G1144" t="s">
        <v>61</v>
      </c>
      <c r="H1144" t="s">
        <v>36</v>
      </c>
      <c r="I1144" t="s">
        <v>70</v>
      </c>
      <c r="J1144" t="s">
        <v>48</v>
      </c>
      <c r="K1144" s="2">
        <v>46004</v>
      </c>
      <c r="L1144" s="2">
        <v>46184</v>
      </c>
      <c r="M1144" t="s">
        <v>38</v>
      </c>
      <c r="N1144" t="s">
        <v>55</v>
      </c>
      <c r="O1144">
        <v>3</v>
      </c>
      <c r="P1144" t="s">
        <v>56</v>
      </c>
      <c r="Q1144" s="2">
        <v>46272</v>
      </c>
      <c r="R1144" t="s">
        <v>38</v>
      </c>
    </row>
    <row r="1145" spans="1:18" x14ac:dyDescent="0.2">
      <c r="A1145" t="s">
        <v>2348</v>
      </c>
      <c r="B1145" t="s">
        <v>2349</v>
      </c>
      <c r="C1145" t="s">
        <v>31</v>
      </c>
      <c r="D1145" t="s">
        <v>32</v>
      </c>
      <c r="E1145" t="s">
        <v>91</v>
      </c>
      <c r="F1145" t="s">
        <v>67</v>
      </c>
      <c r="G1145" t="s">
        <v>68</v>
      </c>
      <c r="H1145" t="s">
        <v>47</v>
      </c>
      <c r="I1145" t="s">
        <v>50</v>
      </c>
      <c r="J1145" t="s">
        <v>37</v>
      </c>
      <c r="K1145" s="2">
        <v>45799</v>
      </c>
      <c r="L1145" s="2">
        <v>46164</v>
      </c>
      <c r="M1145" t="s">
        <v>38</v>
      </c>
      <c r="N1145" t="s">
        <v>49</v>
      </c>
      <c r="O1145">
        <v>0</v>
      </c>
      <c r="P1145" t="s">
        <v>106</v>
      </c>
      <c r="Q1145" s="2">
        <v>46300</v>
      </c>
      <c r="R1145" t="s">
        <v>57</v>
      </c>
    </row>
    <row r="1146" spans="1:18" x14ac:dyDescent="0.2">
      <c r="A1146" t="s">
        <v>2350</v>
      </c>
      <c r="B1146" t="s">
        <v>2351</v>
      </c>
      <c r="C1146" t="s">
        <v>31</v>
      </c>
      <c r="D1146" t="s">
        <v>32</v>
      </c>
      <c r="E1146" t="s">
        <v>44</v>
      </c>
      <c r="F1146" t="s">
        <v>67</v>
      </c>
      <c r="G1146" t="s">
        <v>68</v>
      </c>
      <c r="H1146" t="s">
        <v>88</v>
      </c>
      <c r="I1146" t="s">
        <v>70</v>
      </c>
      <c r="J1146" t="s">
        <v>63</v>
      </c>
      <c r="K1146" s="2">
        <v>46157</v>
      </c>
      <c r="L1146" s="2">
        <v>46247</v>
      </c>
      <c r="M1146" t="s">
        <v>38</v>
      </c>
      <c r="N1146" t="s">
        <v>75</v>
      </c>
      <c r="O1146">
        <v>2</v>
      </c>
      <c r="P1146" t="s">
        <v>56</v>
      </c>
      <c r="Q1146" s="2">
        <v>46396</v>
      </c>
      <c r="R1146" t="s">
        <v>84</v>
      </c>
    </row>
    <row r="1147" spans="1:18" x14ac:dyDescent="0.2">
      <c r="A1147" t="s">
        <v>2352</v>
      </c>
      <c r="B1147" t="s">
        <v>2353</v>
      </c>
      <c r="C1147" t="s">
        <v>31</v>
      </c>
      <c r="D1147" t="s">
        <v>32</v>
      </c>
      <c r="E1147" t="s">
        <v>105</v>
      </c>
      <c r="F1147" t="s">
        <v>34</v>
      </c>
      <c r="G1147" t="s">
        <v>35</v>
      </c>
      <c r="H1147" t="s">
        <v>36</v>
      </c>
      <c r="I1147" t="s">
        <v>39</v>
      </c>
      <c r="J1147" t="s">
        <v>48</v>
      </c>
      <c r="K1147" s="2">
        <v>46116</v>
      </c>
      <c r="L1147" s="2">
        <v>46296</v>
      </c>
      <c r="M1147" t="s">
        <v>64</v>
      </c>
      <c r="N1147" t="s">
        <v>75</v>
      </c>
      <c r="O1147">
        <v>2</v>
      </c>
      <c r="P1147" t="s">
        <v>70</v>
      </c>
      <c r="Q1147" s="2">
        <v>46141</v>
      </c>
      <c r="R1147" t="s">
        <v>64</v>
      </c>
    </row>
    <row r="1148" spans="1:18" x14ac:dyDescent="0.2">
      <c r="A1148" t="s">
        <v>2354</v>
      </c>
      <c r="B1148" t="s">
        <v>2355</v>
      </c>
      <c r="C1148" t="s">
        <v>103</v>
      </c>
      <c r="D1148" t="s">
        <v>104</v>
      </c>
      <c r="E1148" t="s">
        <v>80</v>
      </c>
      <c r="F1148" t="s">
        <v>67</v>
      </c>
      <c r="G1148" t="s">
        <v>68</v>
      </c>
      <c r="H1148" t="s">
        <v>36</v>
      </c>
      <c r="I1148" t="s">
        <v>62</v>
      </c>
      <c r="J1148" t="s">
        <v>37</v>
      </c>
      <c r="K1148" s="2">
        <v>45998</v>
      </c>
      <c r="L1148" s="2">
        <v>46088</v>
      </c>
      <c r="M1148" t="s">
        <v>38</v>
      </c>
      <c r="N1148" t="s">
        <v>75</v>
      </c>
      <c r="O1148">
        <v>1</v>
      </c>
      <c r="P1148" t="s">
        <v>50</v>
      </c>
      <c r="Q1148" s="2">
        <v>46402</v>
      </c>
      <c r="R1148" t="s">
        <v>84</v>
      </c>
    </row>
    <row r="1149" spans="1:18" x14ac:dyDescent="0.2">
      <c r="A1149" t="s">
        <v>2356</v>
      </c>
      <c r="B1149" t="s">
        <v>2357</v>
      </c>
      <c r="C1149" t="s">
        <v>78</v>
      </c>
      <c r="D1149" t="s">
        <v>79</v>
      </c>
      <c r="E1149" t="s">
        <v>91</v>
      </c>
      <c r="F1149" t="s">
        <v>45</v>
      </c>
      <c r="G1149" t="s">
        <v>46</v>
      </c>
      <c r="H1149" t="s">
        <v>36</v>
      </c>
      <c r="I1149" t="s">
        <v>111</v>
      </c>
      <c r="J1149" t="s">
        <v>63</v>
      </c>
      <c r="K1149" s="2">
        <v>46164</v>
      </c>
      <c r="L1149" s="2">
        <v>46529</v>
      </c>
      <c r="M1149" t="s">
        <v>84</v>
      </c>
      <c r="N1149" t="s">
        <v>49</v>
      </c>
      <c r="O1149">
        <v>5</v>
      </c>
      <c r="P1149" t="s">
        <v>56</v>
      </c>
      <c r="Q1149" s="2">
        <v>46375</v>
      </c>
      <c r="R1149" t="s">
        <v>64</v>
      </c>
    </row>
    <row r="1150" spans="1:18" x14ac:dyDescent="0.2">
      <c r="A1150" t="s">
        <v>2358</v>
      </c>
      <c r="B1150" t="s">
        <v>2359</v>
      </c>
      <c r="C1150" t="s">
        <v>42</v>
      </c>
      <c r="D1150" t="s">
        <v>43</v>
      </c>
      <c r="E1150" t="s">
        <v>80</v>
      </c>
      <c r="F1150" t="s">
        <v>34</v>
      </c>
      <c r="G1150" t="s">
        <v>35</v>
      </c>
      <c r="H1150" t="s">
        <v>88</v>
      </c>
      <c r="I1150" t="s">
        <v>39</v>
      </c>
      <c r="J1150" t="s">
        <v>48</v>
      </c>
      <c r="K1150" s="2">
        <v>46055</v>
      </c>
      <c r="L1150" s="2">
        <v>46145</v>
      </c>
      <c r="M1150" t="s">
        <v>38</v>
      </c>
      <c r="N1150" t="s">
        <v>49</v>
      </c>
      <c r="O1150">
        <v>3</v>
      </c>
      <c r="P1150" t="s">
        <v>62</v>
      </c>
      <c r="Q1150" s="2">
        <v>46213</v>
      </c>
      <c r="R1150" t="s">
        <v>38</v>
      </c>
    </row>
    <row r="1151" spans="1:18" x14ac:dyDescent="0.2">
      <c r="A1151" t="s">
        <v>2360</v>
      </c>
      <c r="B1151" t="s">
        <v>2361</v>
      </c>
      <c r="C1151" t="s">
        <v>96</v>
      </c>
      <c r="D1151" t="s">
        <v>97</v>
      </c>
      <c r="E1151" t="s">
        <v>60</v>
      </c>
      <c r="F1151" t="s">
        <v>34</v>
      </c>
      <c r="G1151" t="s">
        <v>35</v>
      </c>
      <c r="H1151" t="s">
        <v>47</v>
      </c>
      <c r="I1151" t="s">
        <v>54</v>
      </c>
      <c r="J1151" t="s">
        <v>48</v>
      </c>
      <c r="K1151" s="2">
        <v>45960</v>
      </c>
      <c r="L1151" s="2">
        <v>46050</v>
      </c>
      <c r="M1151" t="s">
        <v>38</v>
      </c>
      <c r="N1151" t="s">
        <v>49</v>
      </c>
      <c r="O1151">
        <v>3</v>
      </c>
      <c r="P1151" t="s">
        <v>62</v>
      </c>
      <c r="Q1151" s="2">
        <v>46245</v>
      </c>
      <c r="R1151" t="s">
        <v>38</v>
      </c>
    </row>
    <row r="1152" spans="1:18" x14ac:dyDescent="0.2">
      <c r="A1152" t="s">
        <v>2362</v>
      </c>
      <c r="B1152" t="s">
        <v>2363</v>
      </c>
      <c r="C1152" t="s">
        <v>31</v>
      </c>
      <c r="D1152" t="s">
        <v>83</v>
      </c>
      <c r="E1152" t="s">
        <v>91</v>
      </c>
      <c r="F1152" t="s">
        <v>34</v>
      </c>
      <c r="G1152" t="s">
        <v>35</v>
      </c>
      <c r="H1152" t="s">
        <v>47</v>
      </c>
      <c r="I1152" t="s">
        <v>50</v>
      </c>
      <c r="J1152" t="s">
        <v>48</v>
      </c>
      <c r="K1152" s="2">
        <v>45980</v>
      </c>
      <c r="L1152" s="2">
        <v>46070</v>
      </c>
      <c r="M1152" t="s">
        <v>38</v>
      </c>
      <c r="N1152" t="s">
        <v>49</v>
      </c>
      <c r="O1152">
        <v>0</v>
      </c>
      <c r="P1152" t="s">
        <v>54</v>
      </c>
      <c r="Q1152" s="2">
        <v>46242</v>
      </c>
      <c r="R1152" t="s">
        <v>57</v>
      </c>
    </row>
    <row r="1153" spans="1:18" x14ac:dyDescent="0.2">
      <c r="A1153" t="s">
        <v>2364</v>
      </c>
      <c r="B1153" t="s">
        <v>2365</v>
      </c>
      <c r="C1153" t="s">
        <v>31</v>
      </c>
      <c r="D1153" t="s">
        <v>32</v>
      </c>
      <c r="E1153" t="s">
        <v>91</v>
      </c>
      <c r="F1153" t="s">
        <v>45</v>
      </c>
      <c r="G1153" t="s">
        <v>46</v>
      </c>
      <c r="H1153" t="s">
        <v>47</v>
      </c>
      <c r="I1153" t="s">
        <v>62</v>
      </c>
      <c r="J1153" t="s">
        <v>63</v>
      </c>
      <c r="K1153" s="2">
        <v>46207</v>
      </c>
      <c r="L1153" s="2">
        <v>46297</v>
      </c>
      <c r="M1153" t="s">
        <v>64</v>
      </c>
      <c r="N1153" t="s">
        <v>55</v>
      </c>
      <c r="O1153">
        <v>0</v>
      </c>
      <c r="P1153" t="s">
        <v>39</v>
      </c>
      <c r="Q1153" s="2">
        <v>46222</v>
      </c>
      <c r="R1153" t="s">
        <v>57</v>
      </c>
    </row>
    <row r="1154" spans="1:18" x14ac:dyDescent="0.2">
      <c r="A1154" t="s">
        <v>2366</v>
      </c>
      <c r="B1154" t="s">
        <v>2367</v>
      </c>
      <c r="C1154" t="s">
        <v>42</v>
      </c>
      <c r="D1154" t="s">
        <v>43</v>
      </c>
      <c r="E1154" t="s">
        <v>53</v>
      </c>
      <c r="F1154" t="s">
        <v>67</v>
      </c>
      <c r="G1154" t="s">
        <v>68</v>
      </c>
      <c r="H1154" t="s">
        <v>47</v>
      </c>
      <c r="I1154" t="s">
        <v>50</v>
      </c>
      <c r="J1154" t="s">
        <v>63</v>
      </c>
      <c r="K1154" s="2">
        <v>46200</v>
      </c>
      <c r="L1154" s="2">
        <v>46565</v>
      </c>
      <c r="M1154" t="s">
        <v>84</v>
      </c>
      <c r="N1154" t="s">
        <v>75</v>
      </c>
      <c r="O1154">
        <v>2</v>
      </c>
      <c r="P1154" t="s">
        <v>54</v>
      </c>
      <c r="Q1154" s="2">
        <v>46325</v>
      </c>
      <c r="R1154" t="s">
        <v>84</v>
      </c>
    </row>
    <row r="1155" spans="1:18" x14ac:dyDescent="0.2">
      <c r="A1155" t="s">
        <v>2368</v>
      </c>
      <c r="B1155" t="s">
        <v>2369</v>
      </c>
      <c r="C1155" t="s">
        <v>42</v>
      </c>
      <c r="D1155" t="s">
        <v>43</v>
      </c>
      <c r="E1155" t="s">
        <v>44</v>
      </c>
      <c r="F1155" t="s">
        <v>34</v>
      </c>
      <c r="G1155" t="s">
        <v>35</v>
      </c>
      <c r="H1155" t="s">
        <v>88</v>
      </c>
      <c r="I1155" t="s">
        <v>54</v>
      </c>
      <c r="J1155" t="s">
        <v>48</v>
      </c>
      <c r="K1155" s="2">
        <v>45830</v>
      </c>
      <c r="L1155" s="2">
        <v>46195</v>
      </c>
      <c r="M1155" t="s">
        <v>38</v>
      </c>
      <c r="N1155" t="s">
        <v>49</v>
      </c>
      <c r="O1155">
        <v>1</v>
      </c>
      <c r="P1155" t="s">
        <v>56</v>
      </c>
      <c r="Q1155" s="2">
        <v>46365</v>
      </c>
      <c r="R1155" t="s">
        <v>84</v>
      </c>
    </row>
    <row r="1156" spans="1:18" x14ac:dyDescent="0.2">
      <c r="A1156" t="s">
        <v>2370</v>
      </c>
      <c r="B1156" t="s">
        <v>2371</v>
      </c>
      <c r="C1156" t="s">
        <v>42</v>
      </c>
      <c r="D1156" t="s">
        <v>43</v>
      </c>
      <c r="E1156" t="s">
        <v>80</v>
      </c>
      <c r="F1156" t="s">
        <v>45</v>
      </c>
      <c r="G1156" t="s">
        <v>61</v>
      </c>
      <c r="H1156" t="s">
        <v>47</v>
      </c>
      <c r="I1156" t="s">
        <v>39</v>
      </c>
      <c r="J1156" t="s">
        <v>37</v>
      </c>
      <c r="K1156" s="2">
        <v>45892</v>
      </c>
      <c r="L1156" s="2">
        <v>46072</v>
      </c>
      <c r="M1156" t="s">
        <v>38</v>
      </c>
      <c r="N1156" t="s">
        <v>49</v>
      </c>
      <c r="O1156">
        <v>2</v>
      </c>
      <c r="P1156" t="s">
        <v>56</v>
      </c>
      <c r="Q1156" s="2">
        <v>46219</v>
      </c>
      <c r="R1156" t="s">
        <v>38</v>
      </c>
    </row>
    <row r="1157" spans="1:18" x14ac:dyDescent="0.2">
      <c r="A1157" t="s">
        <v>2372</v>
      </c>
      <c r="B1157" t="s">
        <v>2373</v>
      </c>
      <c r="C1157" t="s">
        <v>42</v>
      </c>
      <c r="D1157" t="s">
        <v>43</v>
      </c>
      <c r="E1157" t="s">
        <v>105</v>
      </c>
      <c r="F1157" t="s">
        <v>45</v>
      </c>
      <c r="G1157" t="s">
        <v>61</v>
      </c>
      <c r="H1157" t="s">
        <v>88</v>
      </c>
      <c r="I1157" t="s">
        <v>70</v>
      </c>
      <c r="J1157" t="s">
        <v>37</v>
      </c>
      <c r="K1157" s="2">
        <v>45975</v>
      </c>
      <c r="L1157" s="2">
        <v>46155</v>
      </c>
      <c r="M1157" t="s">
        <v>38</v>
      </c>
      <c r="N1157" t="s">
        <v>75</v>
      </c>
      <c r="O1157">
        <v>2</v>
      </c>
      <c r="P1157" t="s">
        <v>62</v>
      </c>
      <c r="Q1157" s="2">
        <v>46229</v>
      </c>
      <c r="R1157" t="s">
        <v>38</v>
      </c>
    </row>
    <row r="1158" spans="1:18" x14ac:dyDescent="0.2">
      <c r="A1158" t="s">
        <v>2374</v>
      </c>
      <c r="B1158" t="s">
        <v>2375</v>
      </c>
      <c r="C1158" t="s">
        <v>73</v>
      </c>
      <c r="D1158" t="s">
        <v>74</v>
      </c>
      <c r="E1158" t="s">
        <v>80</v>
      </c>
      <c r="F1158" t="s">
        <v>67</v>
      </c>
      <c r="G1158" t="s">
        <v>68</v>
      </c>
      <c r="H1158" t="s">
        <v>47</v>
      </c>
      <c r="I1158" t="s">
        <v>50</v>
      </c>
      <c r="J1158" t="s">
        <v>37</v>
      </c>
      <c r="K1158" s="2">
        <v>46267</v>
      </c>
      <c r="L1158" s="2">
        <v>46357</v>
      </c>
      <c r="M1158" t="s">
        <v>69</v>
      </c>
      <c r="N1158" t="s">
        <v>55</v>
      </c>
      <c r="O1158">
        <v>1</v>
      </c>
      <c r="P1158" t="s">
        <v>70</v>
      </c>
      <c r="Q1158" s="2">
        <v>46171</v>
      </c>
      <c r="R1158" t="s">
        <v>64</v>
      </c>
    </row>
    <row r="1159" spans="1:18" x14ac:dyDescent="0.2">
      <c r="A1159" t="s">
        <v>2376</v>
      </c>
      <c r="B1159" t="s">
        <v>2377</v>
      </c>
      <c r="C1159" t="s">
        <v>31</v>
      </c>
      <c r="D1159" t="s">
        <v>83</v>
      </c>
      <c r="E1159" t="s">
        <v>91</v>
      </c>
      <c r="F1159" t="s">
        <v>67</v>
      </c>
      <c r="G1159" t="s">
        <v>118</v>
      </c>
      <c r="H1159" t="s">
        <v>88</v>
      </c>
      <c r="I1159" t="s">
        <v>70</v>
      </c>
      <c r="J1159" t="s">
        <v>37</v>
      </c>
      <c r="K1159" s="2">
        <v>45985</v>
      </c>
      <c r="L1159" s="2">
        <v>46075</v>
      </c>
      <c r="M1159" t="s">
        <v>38</v>
      </c>
      <c r="N1159" t="s">
        <v>55</v>
      </c>
      <c r="O1159">
        <v>2</v>
      </c>
      <c r="P1159" t="s">
        <v>39</v>
      </c>
      <c r="Q1159" s="2">
        <v>46244</v>
      </c>
      <c r="R1159" t="s">
        <v>38</v>
      </c>
    </row>
    <row r="1160" spans="1:18" x14ac:dyDescent="0.2">
      <c r="A1160" t="s">
        <v>2378</v>
      </c>
      <c r="B1160" t="s">
        <v>2379</v>
      </c>
      <c r="C1160" t="s">
        <v>42</v>
      </c>
      <c r="D1160" t="s">
        <v>43</v>
      </c>
      <c r="E1160" t="s">
        <v>53</v>
      </c>
      <c r="F1160" t="s">
        <v>45</v>
      </c>
      <c r="G1160" t="s">
        <v>46</v>
      </c>
      <c r="H1160" t="s">
        <v>36</v>
      </c>
      <c r="I1160" t="s">
        <v>62</v>
      </c>
      <c r="J1160" t="s">
        <v>37</v>
      </c>
      <c r="K1160" s="2">
        <v>45985</v>
      </c>
      <c r="L1160" s="2">
        <v>46165</v>
      </c>
      <c r="M1160" t="s">
        <v>38</v>
      </c>
      <c r="N1160" t="s">
        <v>55</v>
      </c>
      <c r="O1160">
        <v>3</v>
      </c>
      <c r="P1160" t="s">
        <v>56</v>
      </c>
      <c r="Q1160" s="2">
        <v>46214</v>
      </c>
      <c r="R1160" t="s">
        <v>64</v>
      </c>
    </row>
    <row r="1161" spans="1:18" x14ac:dyDescent="0.2">
      <c r="A1161" t="s">
        <v>2380</v>
      </c>
      <c r="B1161" t="s">
        <v>2381</v>
      </c>
      <c r="C1161" t="s">
        <v>103</v>
      </c>
      <c r="D1161" t="s">
        <v>104</v>
      </c>
      <c r="E1161" t="s">
        <v>60</v>
      </c>
      <c r="F1161" t="s">
        <v>34</v>
      </c>
      <c r="G1161" t="s">
        <v>35</v>
      </c>
      <c r="H1161" t="s">
        <v>47</v>
      </c>
      <c r="I1161" t="s">
        <v>62</v>
      </c>
      <c r="J1161" t="s">
        <v>48</v>
      </c>
      <c r="K1161" s="2">
        <v>45933</v>
      </c>
      <c r="L1161" s="2">
        <v>46298</v>
      </c>
      <c r="M1161" t="s">
        <v>69</v>
      </c>
      <c r="N1161" t="s">
        <v>55</v>
      </c>
      <c r="O1161">
        <v>3</v>
      </c>
      <c r="P1161" t="s">
        <v>106</v>
      </c>
      <c r="Q1161" s="2">
        <v>46356</v>
      </c>
      <c r="R1161" t="s">
        <v>84</v>
      </c>
    </row>
    <row r="1162" spans="1:18" x14ac:dyDescent="0.2">
      <c r="A1162" t="s">
        <v>2382</v>
      </c>
      <c r="B1162" t="s">
        <v>2383</v>
      </c>
      <c r="C1162" t="s">
        <v>31</v>
      </c>
      <c r="D1162" t="s">
        <v>83</v>
      </c>
      <c r="E1162" t="s">
        <v>44</v>
      </c>
      <c r="F1162" t="s">
        <v>67</v>
      </c>
      <c r="G1162" t="s">
        <v>118</v>
      </c>
      <c r="H1162" t="s">
        <v>88</v>
      </c>
      <c r="I1162" t="s">
        <v>111</v>
      </c>
      <c r="J1162" t="s">
        <v>37</v>
      </c>
      <c r="K1162" s="2">
        <v>46159</v>
      </c>
      <c r="L1162" s="2">
        <v>46339</v>
      </c>
      <c r="M1162" t="s">
        <v>84</v>
      </c>
      <c r="N1162" t="s">
        <v>49</v>
      </c>
      <c r="O1162">
        <v>0</v>
      </c>
      <c r="P1162" t="s">
        <v>39</v>
      </c>
      <c r="Q1162" s="2">
        <v>46167</v>
      </c>
      <c r="R1162" t="s">
        <v>57</v>
      </c>
    </row>
    <row r="1163" spans="1:18" x14ac:dyDescent="0.2">
      <c r="A1163" t="s">
        <v>2384</v>
      </c>
      <c r="B1163" t="s">
        <v>2385</v>
      </c>
      <c r="C1163" t="s">
        <v>103</v>
      </c>
      <c r="D1163" t="s">
        <v>104</v>
      </c>
      <c r="E1163" t="s">
        <v>80</v>
      </c>
      <c r="F1163" t="s">
        <v>45</v>
      </c>
      <c r="G1163" t="s">
        <v>61</v>
      </c>
      <c r="H1163" t="s">
        <v>88</v>
      </c>
      <c r="I1163" t="s">
        <v>70</v>
      </c>
      <c r="J1163" t="s">
        <v>48</v>
      </c>
      <c r="K1163" s="2">
        <v>46223</v>
      </c>
      <c r="L1163" s="2">
        <v>46588</v>
      </c>
      <c r="M1163" t="s">
        <v>69</v>
      </c>
      <c r="N1163" t="s">
        <v>49</v>
      </c>
      <c r="O1163">
        <v>1</v>
      </c>
      <c r="P1163" t="s">
        <v>39</v>
      </c>
      <c r="Q1163" s="2">
        <v>46228</v>
      </c>
      <c r="R1163" t="s">
        <v>38</v>
      </c>
    </row>
    <row r="1164" spans="1:18" x14ac:dyDescent="0.2">
      <c r="A1164" t="s">
        <v>2386</v>
      </c>
      <c r="B1164" t="s">
        <v>2387</v>
      </c>
      <c r="C1164" t="s">
        <v>31</v>
      </c>
      <c r="D1164" t="s">
        <v>32</v>
      </c>
      <c r="E1164" t="s">
        <v>60</v>
      </c>
      <c r="F1164" t="s">
        <v>67</v>
      </c>
      <c r="G1164" t="s">
        <v>68</v>
      </c>
      <c r="H1164" t="s">
        <v>88</v>
      </c>
      <c r="I1164" t="s">
        <v>56</v>
      </c>
      <c r="J1164" t="s">
        <v>37</v>
      </c>
      <c r="K1164" s="2">
        <v>45946</v>
      </c>
      <c r="L1164" s="2">
        <v>46311</v>
      </c>
      <c r="M1164" t="s">
        <v>84</v>
      </c>
      <c r="N1164" t="s">
        <v>55</v>
      </c>
      <c r="O1164">
        <v>2</v>
      </c>
      <c r="P1164" t="s">
        <v>54</v>
      </c>
      <c r="Q1164" s="2">
        <v>46236</v>
      </c>
      <c r="R1164" t="s">
        <v>38</v>
      </c>
    </row>
    <row r="1165" spans="1:18" x14ac:dyDescent="0.2">
      <c r="A1165" t="s">
        <v>2388</v>
      </c>
      <c r="B1165" t="s">
        <v>2389</v>
      </c>
      <c r="C1165" t="s">
        <v>103</v>
      </c>
      <c r="D1165" t="s">
        <v>104</v>
      </c>
      <c r="E1165" t="s">
        <v>91</v>
      </c>
      <c r="F1165" t="s">
        <v>45</v>
      </c>
      <c r="G1165" t="s">
        <v>61</v>
      </c>
      <c r="H1165" t="s">
        <v>47</v>
      </c>
      <c r="I1165" t="s">
        <v>50</v>
      </c>
      <c r="J1165" t="s">
        <v>37</v>
      </c>
      <c r="K1165" s="2">
        <v>45939</v>
      </c>
      <c r="L1165" s="2">
        <v>46304</v>
      </c>
      <c r="M1165" t="s">
        <v>69</v>
      </c>
      <c r="N1165" t="s">
        <v>55</v>
      </c>
      <c r="O1165">
        <v>3</v>
      </c>
      <c r="P1165" t="s">
        <v>39</v>
      </c>
      <c r="Q1165" s="2">
        <v>46284</v>
      </c>
      <c r="R1165" t="s">
        <v>64</v>
      </c>
    </row>
    <row r="1166" spans="1:18" x14ac:dyDescent="0.2">
      <c r="A1166" t="s">
        <v>2390</v>
      </c>
      <c r="B1166" t="s">
        <v>2391</v>
      </c>
      <c r="C1166" t="s">
        <v>103</v>
      </c>
      <c r="D1166" t="s">
        <v>104</v>
      </c>
      <c r="E1166" t="s">
        <v>53</v>
      </c>
      <c r="F1166" t="s">
        <v>67</v>
      </c>
      <c r="G1166" t="s">
        <v>118</v>
      </c>
      <c r="H1166" t="s">
        <v>36</v>
      </c>
      <c r="I1166" t="s">
        <v>50</v>
      </c>
      <c r="J1166" t="s">
        <v>48</v>
      </c>
      <c r="K1166" s="2">
        <v>46262</v>
      </c>
      <c r="L1166" s="2">
        <v>46627</v>
      </c>
      <c r="M1166" t="s">
        <v>64</v>
      </c>
      <c r="N1166" t="s">
        <v>49</v>
      </c>
      <c r="O1166">
        <v>4</v>
      </c>
      <c r="P1166" t="s">
        <v>54</v>
      </c>
      <c r="Q1166" s="2">
        <v>46125</v>
      </c>
      <c r="R1166" t="s">
        <v>38</v>
      </c>
    </row>
    <row r="1167" spans="1:18" x14ac:dyDescent="0.2">
      <c r="A1167" t="s">
        <v>2392</v>
      </c>
      <c r="B1167" t="s">
        <v>2393</v>
      </c>
      <c r="C1167" t="s">
        <v>96</v>
      </c>
      <c r="D1167" t="s">
        <v>97</v>
      </c>
      <c r="E1167" t="s">
        <v>91</v>
      </c>
      <c r="F1167" t="s">
        <v>34</v>
      </c>
      <c r="G1167" t="s">
        <v>35</v>
      </c>
      <c r="H1167" t="s">
        <v>47</v>
      </c>
      <c r="I1167" t="s">
        <v>54</v>
      </c>
      <c r="J1167" t="s">
        <v>63</v>
      </c>
      <c r="K1167" s="2">
        <v>46174</v>
      </c>
      <c r="L1167" s="2">
        <v>46264</v>
      </c>
      <c r="M1167" t="s">
        <v>38</v>
      </c>
      <c r="O1167">
        <v>2</v>
      </c>
      <c r="P1167" t="s">
        <v>50</v>
      </c>
      <c r="Q1167" s="2">
        <v>46350</v>
      </c>
      <c r="R1167" t="s">
        <v>64</v>
      </c>
    </row>
    <row r="1168" spans="1:18" x14ac:dyDescent="0.2">
      <c r="A1168" t="s">
        <v>2394</v>
      </c>
      <c r="B1168" t="s">
        <v>2395</v>
      </c>
      <c r="C1168" t="s">
        <v>31</v>
      </c>
      <c r="D1168" t="s">
        <v>83</v>
      </c>
      <c r="E1168" t="s">
        <v>91</v>
      </c>
      <c r="F1168" t="s">
        <v>45</v>
      </c>
      <c r="G1168" t="s">
        <v>46</v>
      </c>
      <c r="H1168" t="s">
        <v>36</v>
      </c>
      <c r="I1168" t="s">
        <v>54</v>
      </c>
      <c r="J1168" t="s">
        <v>37</v>
      </c>
      <c r="K1168" s="2">
        <v>46088</v>
      </c>
      <c r="L1168" s="2">
        <v>46453</v>
      </c>
      <c r="M1168" t="s">
        <v>69</v>
      </c>
      <c r="N1168" t="s">
        <v>49</v>
      </c>
      <c r="O1168">
        <v>3</v>
      </c>
      <c r="P1168" t="s">
        <v>39</v>
      </c>
      <c r="Q1168" s="2">
        <v>46193</v>
      </c>
      <c r="R1168" t="s">
        <v>38</v>
      </c>
    </row>
    <row r="1169" spans="1:18" x14ac:dyDescent="0.2">
      <c r="A1169" t="s">
        <v>2396</v>
      </c>
      <c r="B1169" t="s">
        <v>2397</v>
      </c>
      <c r="C1169" t="s">
        <v>103</v>
      </c>
      <c r="D1169" t="s">
        <v>104</v>
      </c>
      <c r="E1169" t="s">
        <v>105</v>
      </c>
      <c r="F1169" t="s">
        <v>45</v>
      </c>
      <c r="G1169" t="s">
        <v>61</v>
      </c>
      <c r="H1169" t="s">
        <v>88</v>
      </c>
      <c r="I1169" t="s">
        <v>62</v>
      </c>
      <c r="J1169" t="s">
        <v>48</v>
      </c>
      <c r="K1169" s="2">
        <v>46220</v>
      </c>
      <c r="L1169" s="2">
        <v>46310</v>
      </c>
      <c r="M1169" t="s">
        <v>84</v>
      </c>
      <c r="N1169" t="s">
        <v>55</v>
      </c>
      <c r="O1169">
        <v>1</v>
      </c>
      <c r="P1169" t="s">
        <v>56</v>
      </c>
      <c r="Q1169" s="2">
        <v>46327</v>
      </c>
      <c r="R1169" t="s">
        <v>64</v>
      </c>
    </row>
    <row r="1170" spans="1:18" x14ac:dyDescent="0.2">
      <c r="A1170" t="s">
        <v>2398</v>
      </c>
      <c r="B1170" t="s">
        <v>2399</v>
      </c>
      <c r="C1170" t="s">
        <v>103</v>
      </c>
      <c r="D1170" t="s">
        <v>104</v>
      </c>
      <c r="E1170" t="s">
        <v>80</v>
      </c>
      <c r="F1170" t="s">
        <v>34</v>
      </c>
      <c r="G1170" t="s">
        <v>35</v>
      </c>
      <c r="H1170" t="s">
        <v>47</v>
      </c>
      <c r="I1170" t="s">
        <v>54</v>
      </c>
      <c r="J1170" t="s">
        <v>48</v>
      </c>
      <c r="K1170" s="2">
        <v>46046</v>
      </c>
      <c r="L1170" s="2">
        <v>46226</v>
      </c>
      <c r="M1170" t="s">
        <v>38</v>
      </c>
      <c r="N1170" t="s">
        <v>55</v>
      </c>
      <c r="O1170">
        <v>3</v>
      </c>
      <c r="P1170" t="s">
        <v>54</v>
      </c>
      <c r="Q1170" s="2">
        <v>46257</v>
      </c>
      <c r="R1170" t="s">
        <v>64</v>
      </c>
    </row>
    <row r="1171" spans="1:18" x14ac:dyDescent="0.2">
      <c r="A1171" t="s">
        <v>2400</v>
      </c>
      <c r="B1171" t="s">
        <v>2401</v>
      </c>
      <c r="C1171" t="s">
        <v>31</v>
      </c>
      <c r="D1171" t="s">
        <v>87</v>
      </c>
      <c r="E1171" t="s">
        <v>80</v>
      </c>
      <c r="F1171" t="s">
        <v>67</v>
      </c>
      <c r="G1171" t="s">
        <v>118</v>
      </c>
      <c r="H1171" t="s">
        <v>36</v>
      </c>
      <c r="I1171" t="s">
        <v>111</v>
      </c>
      <c r="J1171" t="s">
        <v>63</v>
      </c>
      <c r="K1171" s="2">
        <v>45801</v>
      </c>
      <c r="L1171" s="2">
        <v>45891</v>
      </c>
      <c r="M1171" t="s">
        <v>38</v>
      </c>
      <c r="N1171" t="s">
        <v>49</v>
      </c>
      <c r="O1171">
        <v>0</v>
      </c>
      <c r="P1171" t="s">
        <v>70</v>
      </c>
      <c r="Q1171" s="2">
        <v>46179</v>
      </c>
      <c r="R1171" t="s">
        <v>57</v>
      </c>
    </row>
    <row r="1172" spans="1:18" x14ac:dyDescent="0.2">
      <c r="A1172" t="s">
        <v>2402</v>
      </c>
      <c r="B1172" t="s">
        <v>2403</v>
      </c>
      <c r="C1172" t="s">
        <v>31</v>
      </c>
      <c r="D1172" t="s">
        <v>32</v>
      </c>
      <c r="E1172" t="s">
        <v>80</v>
      </c>
      <c r="F1172" t="s">
        <v>34</v>
      </c>
      <c r="G1172" t="s">
        <v>35</v>
      </c>
      <c r="H1172" t="s">
        <v>36</v>
      </c>
      <c r="I1172" t="s">
        <v>50</v>
      </c>
      <c r="J1172" t="s">
        <v>63</v>
      </c>
      <c r="K1172" s="2">
        <v>46248</v>
      </c>
      <c r="L1172" s="2">
        <v>46613</v>
      </c>
      <c r="M1172" t="s">
        <v>64</v>
      </c>
      <c r="N1172" t="s">
        <v>55</v>
      </c>
      <c r="O1172">
        <v>1</v>
      </c>
      <c r="P1172" t="s">
        <v>70</v>
      </c>
      <c r="Q1172" s="2">
        <v>46238</v>
      </c>
      <c r="R1172" t="s">
        <v>38</v>
      </c>
    </row>
    <row r="1173" spans="1:18" x14ac:dyDescent="0.2">
      <c r="A1173" t="s">
        <v>2404</v>
      </c>
      <c r="B1173" t="s">
        <v>2405</v>
      </c>
      <c r="C1173" t="s">
        <v>103</v>
      </c>
      <c r="D1173" t="s">
        <v>104</v>
      </c>
      <c r="E1173" t="s">
        <v>53</v>
      </c>
      <c r="F1173" t="s">
        <v>67</v>
      </c>
      <c r="G1173" t="s">
        <v>68</v>
      </c>
      <c r="H1173" t="s">
        <v>47</v>
      </c>
      <c r="I1173" t="s">
        <v>50</v>
      </c>
      <c r="J1173" t="s">
        <v>48</v>
      </c>
      <c r="K1173" s="2">
        <v>45852</v>
      </c>
      <c r="L1173" s="2">
        <v>45942</v>
      </c>
      <c r="M1173" t="s">
        <v>38</v>
      </c>
      <c r="N1173" t="s">
        <v>55</v>
      </c>
      <c r="O1173">
        <v>3</v>
      </c>
      <c r="P1173" t="s">
        <v>70</v>
      </c>
      <c r="Q1173" s="2">
        <v>46366</v>
      </c>
      <c r="R1173" t="s">
        <v>84</v>
      </c>
    </row>
    <row r="1174" spans="1:18" x14ac:dyDescent="0.2">
      <c r="A1174" t="s">
        <v>2406</v>
      </c>
      <c r="B1174" t="s">
        <v>2407</v>
      </c>
      <c r="C1174" t="s">
        <v>96</v>
      </c>
      <c r="D1174" t="s">
        <v>97</v>
      </c>
      <c r="E1174" t="s">
        <v>60</v>
      </c>
      <c r="F1174" t="s">
        <v>34</v>
      </c>
      <c r="G1174" t="s">
        <v>35</v>
      </c>
      <c r="H1174" t="s">
        <v>88</v>
      </c>
      <c r="I1174" t="s">
        <v>62</v>
      </c>
      <c r="J1174" t="s">
        <v>63</v>
      </c>
      <c r="K1174" s="2">
        <v>45906</v>
      </c>
      <c r="L1174" s="2">
        <v>46271</v>
      </c>
      <c r="M1174" t="s">
        <v>38</v>
      </c>
      <c r="N1174" t="s">
        <v>49</v>
      </c>
      <c r="O1174">
        <v>0</v>
      </c>
      <c r="P1174" t="s">
        <v>56</v>
      </c>
      <c r="Q1174" s="2">
        <v>46279</v>
      </c>
      <c r="R1174" t="s">
        <v>57</v>
      </c>
    </row>
    <row r="1175" spans="1:18" x14ac:dyDescent="0.2">
      <c r="A1175" t="s">
        <v>2408</v>
      </c>
      <c r="B1175" t="s">
        <v>2409</v>
      </c>
      <c r="C1175" t="s">
        <v>31</v>
      </c>
      <c r="D1175" t="s">
        <v>32</v>
      </c>
      <c r="E1175" t="s">
        <v>105</v>
      </c>
      <c r="F1175" t="s">
        <v>67</v>
      </c>
      <c r="G1175" t="s">
        <v>68</v>
      </c>
      <c r="H1175" t="s">
        <v>36</v>
      </c>
      <c r="I1175" t="s">
        <v>39</v>
      </c>
      <c r="J1175" t="s">
        <v>48</v>
      </c>
      <c r="K1175" s="2">
        <v>45879</v>
      </c>
      <c r="L1175" s="2">
        <v>46244</v>
      </c>
      <c r="M1175" t="s">
        <v>38</v>
      </c>
      <c r="N1175" t="s">
        <v>49</v>
      </c>
      <c r="O1175">
        <v>0</v>
      </c>
      <c r="P1175" t="s">
        <v>70</v>
      </c>
      <c r="Q1175" s="2">
        <v>46130</v>
      </c>
      <c r="R1175" t="s">
        <v>57</v>
      </c>
    </row>
    <row r="1176" spans="1:18" x14ac:dyDescent="0.2">
      <c r="A1176" t="s">
        <v>2410</v>
      </c>
      <c r="B1176" t="s">
        <v>2411</v>
      </c>
      <c r="C1176" t="s">
        <v>73</v>
      </c>
      <c r="D1176" t="s">
        <v>74</v>
      </c>
      <c r="E1176" t="s">
        <v>80</v>
      </c>
      <c r="F1176" t="s">
        <v>45</v>
      </c>
      <c r="G1176" t="s">
        <v>46</v>
      </c>
      <c r="H1176" t="s">
        <v>98</v>
      </c>
      <c r="I1176" t="s">
        <v>70</v>
      </c>
      <c r="J1176" t="s">
        <v>37</v>
      </c>
      <c r="K1176" s="2">
        <v>46051</v>
      </c>
      <c r="L1176" s="2">
        <v>46416</v>
      </c>
      <c r="M1176" t="s">
        <v>84</v>
      </c>
      <c r="N1176" t="s">
        <v>49</v>
      </c>
      <c r="O1176">
        <v>5</v>
      </c>
      <c r="P1176" t="s">
        <v>70</v>
      </c>
      <c r="Q1176" s="2">
        <v>46128</v>
      </c>
      <c r="R1176" t="s">
        <v>38</v>
      </c>
    </row>
    <row r="1177" spans="1:18" x14ac:dyDescent="0.2">
      <c r="A1177" t="s">
        <v>2412</v>
      </c>
      <c r="B1177" t="s">
        <v>2413</v>
      </c>
      <c r="C1177" t="s">
        <v>31</v>
      </c>
      <c r="D1177" t="s">
        <v>32</v>
      </c>
      <c r="E1177" t="s">
        <v>53</v>
      </c>
      <c r="F1177" t="s">
        <v>34</v>
      </c>
      <c r="G1177" t="s">
        <v>35</v>
      </c>
      <c r="H1177" t="s">
        <v>47</v>
      </c>
      <c r="I1177" t="s">
        <v>70</v>
      </c>
      <c r="J1177" t="s">
        <v>48</v>
      </c>
      <c r="K1177" s="2">
        <v>45996</v>
      </c>
      <c r="L1177" s="2">
        <v>46086</v>
      </c>
      <c r="M1177" t="s">
        <v>38</v>
      </c>
      <c r="N1177" t="s">
        <v>49</v>
      </c>
      <c r="O1177">
        <v>3</v>
      </c>
      <c r="P1177" t="s">
        <v>56</v>
      </c>
      <c r="Q1177" s="2">
        <v>46262</v>
      </c>
      <c r="R1177" t="s">
        <v>38</v>
      </c>
    </row>
    <row r="1178" spans="1:18" x14ac:dyDescent="0.2">
      <c r="A1178" t="s">
        <v>2414</v>
      </c>
      <c r="B1178" t="s">
        <v>2415</v>
      </c>
      <c r="C1178" t="s">
        <v>31</v>
      </c>
      <c r="D1178" t="s">
        <v>87</v>
      </c>
      <c r="E1178" t="s">
        <v>53</v>
      </c>
      <c r="F1178" t="s">
        <v>34</v>
      </c>
      <c r="G1178" t="s">
        <v>35</v>
      </c>
      <c r="H1178" t="s">
        <v>88</v>
      </c>
      <c r="I1178" t="s">
        <v>39</v>
      </c>
      <c r="J1178" t="s">
        <v>63</v>
      </c>
      <c r="K1178" s="2">
        <v>46016</v>
      </c>
      <c r="L1178" s="2">
        <v>46196</v>
      </c>
      <c r="M1178" t="s">
        <v>38</v>
      </c>
      <c r="N1178" t="s">
        <v>75</v>
      </c>
      <c r="O1178">
        <v>0</v>
      </c>
      <c r="P1178" t="s">
        <v>56</v>
      </c>
      <c r="Q1178" s="2">
        <v>46137</v>
      </c>
      <c r="R1178" t="s">
        <v>57</v>
      </c>
    </row>
    <row r="1179" spans="1:18" x14ac:dyDescent="0.2">
      <c r="A1179" t="s">
        <v>2416</v>
      </c>
      <c r="B1179" t="s">
        <v>2417</v>
      </c>
      <c r="C1179" t="s">
        <v>31</v>
      </c>
      <c r="D1179" t="s">
        <v>32</v>
      </c>
      <c r="E1179" t="s">
        <v>53</v>
      </c>
      <c r="F1179" t="s">
        <v>45</v>
      </c>
      <c r="G1179" t="s">
        <v>61</v>
      </c>
      <c r="H1179" t="s">
        <v>88</v>
      </c>
      <c r="I1179" t="s">
        <v>70</v>
      </c>
      <c r="J1179" t="s">
        <v>37</v>
      </c>
      <c r="K1179" s="2">
        <v>46090</v>
      </c>
      <c r="L1179" s="2">
        <v>46455</v>
      </c>
      <c r="M1179" t="s">
        <v>64</v>
      </c>
      <c r="N1179" t="s">
        <v>49</v>
      </c>
      <c r="O1179">
        <v>1</v>
      </c>
      <c r="P1179" t="s">
        <v>50</v>
      </c>
      <c r="Q1179" s="2">
        <v>46322</v>
      </c>
      <c r="R1179" t="s">
        <v>84</v>
      </c>
    </row>
    <row r="1180" spans="1:18" x14ac:dyDescent="0.2">
      <c r="A1180" t="s">
        <v>2418</v>
      </c>
      <c r="B1180" t="s">
        <v>2419</v>
      </c>
      <c r="C1180" t="s">
        <v>31</v>
      </c>
      <c r="D1180" t="s">
        <v>87</v>
      </c>
      <c r="E1180" t="s">
        <v>53</v>
      </c>
      <c r="F1180" t="s">
        <v>67</v>
      </c>
      <c r="G1180" t="s">
        <v>68</v>
      </c>
      <c r="H1180" t="s">
        <v>88</v>
      </c>
      <c r="J1180" t="s">
        <v>37</v>
      </c>
      <c r="K1180" s="2">
        <v>46250</v>
      </c>
      <c r="L1180" s="2">
        <v>46430</v>
      </c>
      <c r="M1180" t="s">
        <v>64</v>
      </c>
      <c r="N1180" t="s">
        <v>55</v>
      </c>
      <c r="O1180">
        <v>3</v>
      </c>
      <c r="P1180" t="s">
        <v>39</v>
      </c>
      <c r="Q1180" s="2">
        <v>46136</v>
      </c>
      <c r="R1180" t="s">
        <v>38</v>
      </c>
    </row>
    <row r="1181" spans="1:18" x14ac:dyDescent="0.2">
      <c r="A1181" t="s">
        <v>2420</v>
      </c>
      <c r="B1181" t="s">
        <v>2421</v>
      </c>
      <c r="C1181" t="s">
        <v>42</v>
      </c>
      <c r="D1181" t="s">
        <v>43</v>
      </c>
      <c r="E1181" t="s">
        <v>44</v>
      </c>
      <c r="F1181" t="s">
        <v>67</v>
      </c>
      <c r="G1181" t="s">
        <v>68</v>
      </c>
      <c r="H1181" t="s">
        <v>88</v>
      </c>
      <c r="I1181" t="s">
        <v>111</v>
      </c>
      <c r="J1181" t="s">
        <v>48</v>
      </c>
      <c r="K1181" s="2">
        <v>45959</v>
      </c>
      <c r="L1181" s="2">
        <v>46139</v>
      </c>
      <c r="M1181" t="s">
        <v>38</v>
      </c>
      <c r="N1181" t="s">
        <v>55</v>
      </c>
      <c r="O1181">
        <v>1</v>
      </c>
      <c r="P1181" t="s">
        <v>70</v>
      </c>
      <c r="Q1181" s="2">
        <v>46179</v>
      </c>
      <c r="R1181" t="s">
        <v>64</v>
      </c>
    </row>
    <row r="1182" spans="1:18" x14ac:dyDescent="0.2">
      <c r="A1182" t="s">
        <v>2422</v>
      </c>
      <c r="B1182" t="s">
        <v>2423</v>
      </c>
      <c r="C1182" t="s">
        <v>103</v>
      </c>
      <c r="D1182" t="s">
        <v>104</v>
      </c>
      <c r="E1182" t="s">
        <v>60</v>
      </c>
      <c r="F1182" t="s">
        <v>67</v>
      </c>
      <c r="G1182" t="s">
        <v>118</v>
      </c>
      <c r="H1182" t="s">
        <v>47</v>
      </c>
      <c r="I1182" t="s">
        <v>39</v>
      </c>
      <c r="J1182" t="s">
        <v>48</v>
      </c>
      <c r="K1182" s="2">
        <v>46142</v>
      </c>
      <c r="L1182" s="2">
        <v>46507</v>
      </c>
      <c r="M1182" t="s">
        <v>84</v>
      </c>
      <c r="N1182" t="s">
        <v>49</v>
      </c>
      <c r="O1182">
        <v>3</v>
      </c>
      <c r="P1182" t="s">
        <v>62</v>
      </c>
      <c r="Q1182" s="2">
        <v>46370</v>
      </c>
      <c r="R1182" t="s">
        <v>84</v>
      </c>
    </row>
    <row r="1183" spans="1:18" x14ac:dyDescent="0.2">
      <c r="A1183" t="s">
        <v>2424</v>
      </c>
      <c r="B1183" t="s">
        <v>2425</v>
      </c>
      <c r="C1183" t="s">
        <v>78</v>
      </c>
      <c r="D1183" t="s">
        <v>79</v>
      </c>
      <c r="E1183" t="s">
        <v>60</v>
      </c>
      <c r="F1183" t="s">
        <v>34</v>
      </c>
      <c r="G1183" t="s">
        <v>35</v>
      </c>
      <c r="H1183" t="s">
        <v>88</v>
      </c>
      <c r="I1183" t="s">
        <v>62</v>
      </c>
      <c r="J1183" t="s">
        <v>63</v>
      </c>
      <c r="K1183" s="2">
        <v>46138</v>
      </c>
      <c r="L1183" s="2">
        <v>46228</v>
      </c>
      <c r="M1183" t="s">
        <v>38</v>
      </c>
      <c r="N1183" t="s">
        <v>55</v>
      </c>
      <c r="O1183">
        <v>0</v>
      </c>
      <c r="P1183" t="s">
        <v>56</v>
      </c>
      <c r="Q1183" s="2">
        <v>46187</v>
      </c>
      <c r="R1183" t="s">
        <v>57</v>
      </c>
    </row>
    <row r="1184" spans="1:18" x14ac:dyDescent="0.2">
      <c r="A1184" t="s">
        <v>2426</v>
      </c>
      <c r="B1184" t="s">
        <v>2427</v>
      </c>
      <c r="C1184" t="s">
        <v>78</v>
      </c>
      <c r="D1184" t="s">
        <v>79</v>
      </c>
      <c r="E1184" t="s">
        <v>60</v>
      </c>
      <c r="F1184" t="s">
        <v>34</v>
      </c>
      <c r="G1184" t="s">
        <v>35</v>
      </c>
      <c r="H1184" t="s">
        <v>88</v>
      </c>
      <c r="I1184" t="s">
        <v>56</v>
      </c>
      <c r="J1184" t="s">
        <v>63</v>
      </c>
      <c r="K1184" s="2">
        <v>46067</v>
      </c>
      <c r="L1184" s="2">
        <v>46247</v>
      </c>
      <c r="M1184" t="s">
        <v>38</v>
      </c>
      <c r="N1184" t="s">
        <v>55</v>
      </c>
      <c r="O1184">
        <v>0</v>
      </c>
      <c r="P1184" t="s">
        <v>50</v>
      </c>
      <c r="Q1184" s="2">
        <v>46239</v>
      </c>
      <c r="R1184" t="s">
        <v>57</v>
      </c>
    </row>
    <row r="1185" spans="1:18" x14ac:dyDescent="0.2">
      <c r="A1185" t="s">
        <v>2428</v>
      </c>
      <c r="B1185" t="s">
        <v>2429</v>
      </c>
      <c r="C1185" t="s">
        <v>73</v>
      </c>
      <c r="D1185" t="s">
        <v>74</v>
      </c>
      <c r="E1185" t="s">
        <v>44</v>
      </c>
      <c r="F1185" t="s">
        <v>67</v>
      </c>
      <c r="G1185" t="s">
        <v>118</v>
      </c>
      <c r="H1185" t="s">
        <v>47</v>
      </c>
      <c r="I1185" t="s">
        <v>56</v>
      </c>
      <c r="J1185" t="s">
        <v>37</v>
      </c>
      <c r="K1185" s="2">
        <v>46233</v>
      </c>
      <c r="L1185" s="2">
        <v>46413</v>
      </c>
      <c r="M1185" t="s">
        <v>69</v>
      </c>
      <c r="N1185" t="s">
        <v>75</v>
      </c>
      <c r="O1185">
        <v>3</v>
      </c>
      <c r="P1185" t="s">
        <v>39</v>
      </c>
      <c r="Q1185" s="2">
        <v>46195</v>
      </c>
      <c r="R1185" t="s">
        <v>38</v>
      </c>
    </row>
    <row r="1186" spans="1:18" x14ac:dyDescent="0.2">
      <c r="A1186" t="s">
        <v>2430</v>
      </c>
      <c r="B1186" t="s">
        <v>2431</v>
      </c>
      <c r="C1186" t="s">
        <v>96</v>
      </c>
      <c r="D1186" t="s">
        <v>97</v>
      </c>
      <c r="E1186" t="s">
        <v>44</v>
      </c>
      <c r="F1186" t="s">
        <v>45</v>
      </c>
      <c r="G1186" t="s">
        <v>61</v>
      </c>
      <c r="H1186" t="s">
        <v>36</v>
      </c>
      <c r="I1186" t="s">
        <v>106</v>
      </c>
      <c r="J1186" t="s">
        <v>37</v>
      </c>
      <c r="K1186" s="2">
        <v>46101</v>
      </c>
      <c r="L1186" s="2">
        <v>46466</v>
      </c>
      <c r="M1186" t="s">
        <v>69</v>
      </c>
      <c r="N1186" t="s">
        <v>55</v>
      </c>
      <c r="O1186">
        <v>5</v>
      </c>
      <c r="P1186" t="s">
        <v>62</v>
      </c>
      <c r="Q1186" s="2">
        <v>46126</v>
      </c>
      <c r="R1186" t="s">
        <v>38</v>
      </c>
    </row>
    <row r="1187" spans="1:18" x14ac:dyDescent="0.2">
      <c r="A1187" t="s">
        <v>2432</v>
      </c>
      <c r="B1187" t="s">
        <v>2433</v>
      </c>
      <c r="C1187" t="s">
        <v>103</v>
      </c>
      <c r="D1187" t="s">
        <v>104</v>
      </c>
      <c r="E1187" t="s">
        <v>60</v>
      </c>
      <c r="F1187" t="s">
        <v>67</v>
      </c>
      <c r="G1187" t="s">
        <v>118</v>
      </c>
      <c r="H1187" t="s">
        <v>88</v>
      </c>
      <c r="I1187" t="s">
        <v>39</v>
      </c>
      <c r="J1187" t="s">
        <v>63</v>
      </c>
      <c r="K1187" s="2">
        <v>45880</v>
      </c>
      <c r="L1187" s="2">
        <v>45970</v>
      </c>
      <c r="M1187" t="s">
        <v>38</v>
      </c>
      <c r="N1187" t="s">
        <v>49</v>
      </c>
      <c r="O1187">
        <v>0</v>
      </c>
      <c r="P1187" t="s">
        <v>50</v>
      </c>
      <c r="Q1187" s="2">
        <v>46303</v>
      </c>
      <c r="R1187" t="s">
        <v>57</v>
      </c>
    </row>
    <row r="1188" spans="1:18" x14ac:dyDescent="0.2">
      <c r="A1188" t="s">
        <v>2434</v>
      </c>
      <c r="B1188" t="s">
        <v>2435</v>
      </c>
      <c r="C1188" t="s">
        <v>31</v>
      </c>
      <c r="D1188" t="s">
        <v>87</v>
      </c>
      <c r="E1188" t="s">
        <v>91</v>
      </c>
      <c r="F1188" t="s">
        <v>67</v>
      </c>
      <c r="G1188" t="s">
        <v>118</v>
      </c>
      <c r="H1188" t="s">
        <v>98</v>
      </c>
      <c r="I1188" t="s">
        <v>111</v>
      </c>
      <c r="J1188" t="s">
        <v>37</v>
      </c>
      <c r="K1188" s="2">
        <v>45963</v>
      </c>
      <c r="L1188" s="2">
        <v>46328</v>
      </c>
      <c r="M1188" t="s">
        <v>64</v>
      </c>
      <c r="N1188" t="s">
        <v>49</v>
      </c>
      <c r="O1188">
        <v>2</v>
      </c>
      <c r="P1188" t="s">
        <v>54</v>
      </c>
      <c r="Q1188" s="2">
        <v>46134</v>
      </c>
      <c r="R1188" t="s">
        <v>64</v>
      </c>
    </row>
    <row r="1189" spans="1:18" x14ac:dyDescent="0.2">
      <c r="A1189" t="s">
        <v>2436</v>
      </c>
      <c r="B1189" t="s">
        <v>2437</v>
      </c>
      <c r="C1189" t="s">
        <v>103</v>
      </c>
      <c r="D1189" t="s">
        <v>104</v>
      </c>
      <c r="E1189" t="s">
        <v>44</v>
      </c>
      <c r="F1189" t="s">
        <v>45</v>
      </c>
      <c r="G1189" t="s">
        <v>46</v>
      </c>
      <c r="H1189" t="s">
        <v>98</v>
      </c>
      <c r="I1189" t="s">
        <v>106</v>
      </c>
      <c r="J1189" t="s">
        <v>48</v>
      </c>
      <c r="K1189" s="2">
        <v>46176</v>
      </c>
      <c r="L1189" s="2">
        <v>46541</v>
      </c>
      <c r="M1189" t="s">
        <v>64</v>
      </c>
      <c r="N1189" t="s">
        <v>75</v>
      </c>
      <c r="O1189">
        <v>5</v>
      </c>
      <c r="P1189" t="s">
        <v>70</v>
      </c>
      <c r="Q1189" s="2">
        <v>46177</v>
      </c>
      <c r="R1189" t="s">
        <v>38</v>
      </c>
    </row>
    <row r="1190" spans="1:18" x14ac:dyDescent="0.2">
      <c r="A1190" t="s">
        <v>2438</v>
      </c>
      <c r="B1190" t="s">
        <v>2439</v>
      </c>
      <c r="C1190" t="s">
        <v>103</v>
      </c>
      <c r="D1190" t="s">
        <v>104</v>
      </c>
      <c r="E1190" t="s">
        <v>91</v>
      </c>
      <c r="F1190" t="s">
        <v>45</v>
      </c>
      <c r="G1190" t="s">
        <v>46</v>
      </c>
      <c r="H1190" t="s">
        <v>88</v>
      </c>
      <c r="I1190" t="s">
        <v>111</v>
      </c>
      <c r="J1190" t="s">
        <v>48</v>
      </c>
      <c r="K1190" s="2">
        <v>45906</v>
      </c>
      <c r="L1190" s="2">
        <v>45996</v>
      </c>
      <c r="M1190" t="s">
        <v>38</v>
      </c>
      <c r="N1190" t="s">
        <v>49</v>
      </c>
      <c r="O1190">
        <v>0</v>
      </c>
      <c r="P1190" t="s">
        <v>54</v>
      </c>
      <c r="Q1190" s="2">
        <v>46216</v>
      </c>
      <c r="R1190" t="s">
        <v>57</v>
      </c>
    </row>
    <row r="1191" spans="1:18" x14ac:dyDescent="0.2">
      <c r="A1191" t="s">
        <v>2440</v>
      </c>
      <c r="B1191" t="s">
        <v>2441</v>
      </c>
      <c r="C1191" t="s">
        <v>31</v>
      </c>
      <c r="D1191" t="s">
        <v>32</v>
      </c>
      <c r="E1191" t="s">
        <v>44</v>
      </c>
      <c r="F1191" t="s">
        <v>67</v>
      </c>
      <c r="G1191" t="s">
        <v>68</v>
      </c>
      <c r="H1191" t="s">
        <v>88</v>
      </c>
      <c r="I1191" t="s">
        <v>106</v>
      </c>
      <c r="J1191" t="s">
        <v>63</v>
      </c>
      <c r="K1191" s="2">
        <v>46160</v>
      </c>
      <c r="L1191" s="2">
        <v>46250</v>
      </c>
      <c r="M1191" t="s">
        <v>38</v>
      </c>
      <c r="N1191" t="s">
        <v>75</v>
      </c>
      <c r="O1191">
        <v>0</v>
      </c>
      <c r="P1191" t="s">
        <v>111</v>
      </c>
      <c r="Q1191" s="2">
        <v>46154</v>
      </c>
      <c r="R1191" t="s">
        <v>57</v>
      </c>
    </row>
    <row r="1192" spans="1:18" x14ac:dyDescent="0.2">
      <c r="A1192" t="s">
        <v>2442</v>
      </c>
      <c r="B1192" t="s">
        <v>2443</v>
      </c>
      <c r="C1192" t="s">
        <v>31</v>
      </c>
      <c r="D1192" t="s">
        <v>83</v>
      </c>
      <c r="E1192" t="s">
        <v>105</v>
      </c>
      <c r="F1192" t="s">
        <v>67</v>
      </c>
      <c r="G1192" t="s">
        <v>118</v>
      </c>
      <c r="H1192" t="s">
        <v>88</v>
      </c>
      <c r="I1192" t="s">
        <v>62</v>
      </c>
      <c r="J1192" t="s">
        <v>48</v>
      </c>
      <c r="K1192" s="2">
        <v>45877</v>
      </c>
      <c r="L1192" s="2">
        <v>46242</v>
      </c>
      <c r="M1192" t="s">
        <v>38</v>
      </c>
      <c r="N1192" t="s">
        <v>49</v>
      </c>
      <c r="O1192">
        <v>0</v>
      </c>
      <c r="P1192" t="s">
        <v>39</v>
      </c>
      <c r="Q1192" s="2">
        <v>46120</v>
      </c>
      <c r="R1192" t="s">
        <v>57</v>
      </c>
    </row>
    <row r="1193" spans="1:18" x14ac:dyDescent="0.2">
      <c r="A1193" t="s">
        <v>2444</v>
      </c>
      <c r="B1193" t="s">
        <v>2445</v>
      </c>
      <c r="C1193" t="s">
        <v>78</v>
      </c>
      <c r="D1193" t="s">
        <v>79</v>
      </c>
      <c r="E1193" t="s">
        <v>53</v>
      </c>
      <c r="F1193" t="s">
        <v>34</v>
      </c>
      <c r="G1193" t="s">
        <v>35</v>
      </c>
      <c r="H1193" t="s">
        <v>36</v>
      </c>
      <c r="I1193" t="s">
        <v>70</v>
      </c>
      <c r="J1193" t="s">
        <v>37</v>
      </c>
      <c r="K1193" s="2">
        <v>45994</v>
      </c>
      <c r="L1193" s="2">
        <v>46084</v>
      </c>
      <c r="M1193" t="s">
        <v>38</v>
      </c>
      <c r="N1193" t="s">
        <v>49</v>
      </c>
      <c r="O1193">
        <v>4</v>
      </c>
      <c r="P1193" t="s">
        <v>111</v>
      </c>
      <c r="Q1193" s="2">
        <v>46121</v>
      </c>
      <c r="R1193" t="s">
        <v>64</v>
      </c>
    </row>
    <row r="1194" spans="1:18" x14ac:dyDescent="0.2">
      <c r="A1194" t="s">
        <v>2446</v>
      </c>
      <c r="B1194" t="s">
        <v>2447</v>
      </c>
      <c r="C1194" t="s">
        <v>73</v>
      </c>
      <c r="D1194" t="s">
        <v>74</v>
      </c>
      <c r="E1194" t="s">
        <v>60</v>
      </c>
      <c r="F1194" t="s">
        <v>67</v>
      </c>
      <c r="G1194" t="s">
        <v>118</v>
      </c>
      <c r="H1194" t="s">
        <v>47</v>
      </c>
      <c r="I1194" t="s">
        <v>62</v>
      </c>
      <c r="J1194" t="s">
        <v>48</v>
      </c>
      <c r="K1194" s="2">
        <v>45806</v>
      </c>
      <c r="L1194" s="2">
        <v>45896</v>
      </c>
      <c r="M1194" t="s">
        <v>38</v>
      </c>
      <c r="N1194" t="s">
        <v>49</v>
      </c>
      <c r="O1194">
        <v>1</v>
      </c>
      <c r="P1194" t="s">
        <v>70</v>
      </c>
      <c r="Q1194" s="2">
        <v>46315</v>
      </c>
      <c r="R1194" t="s">
        <v>84</v>
      </c>
    </row>
    <row r="1195" spans="1:18" x14ac:dyDescent="0.2">
      <c r="A1195" t="s">
        <v>2448</v>
      </c>
      <c r="B1195" t="s">
        <v>2449</v>
      </c>
      <c r="C1195" t="s">
        <v>31</v>
      </c>
      <c r="D1195" t="s">
        <v>87</v>
      </c>
      <c r="E1195" t="s">
        <v>105</v>
      </c>
      <c r="F1195" t="s">
        <v>67</v>
      </c>
      <c r="G1195" t="s">
        <v>68</v>
      </c>
      <c r="H1195" t="s">
        <v>36</v>
      </c>
      <c r="I1195" t="s">
        <v>56</v>
      </c>
      <c r="J1195" t="s">
        <v>48</v>
      </c>
      <c r="K1195" s="2">
        <v>46220</v>
      </c>
      <c r="L1195" s="2">
        <v>46585</v>
      </c>
      <c r="M1195" t="s">
        <v>64</v>
      </c>
      <c r="N1195" t="s">
        <v>55</v>
      </c>
      <c r="O1195">
        <v>3</v>
      </c>
      <c r="P1195" t="s">
        <v>62</v>
      </c>
      <c r="Q1195" s="2">
        <v>46386</v>
      </c>
      <c r="R1195" t="s">
        <v>84</v>
      </c>
    </row>
    <row r="1196" spans="1:18" x14ac:dyDescent="0.2">
      <c r="A1196" t="s">
        <v>2450</v>
      </c>
      <c r="B1196" t="s">
        <v>2451</v>
      </c>
      <c r="C1196" t="s">
        <v>73</v>
      </c>
      <c r="D1196" t="s">
        <v>74</v>
      </c>
      <c r="E1196" t="s">
        <v>91</v>
      </c>
      <c r="F1196" t="s">
        <v>45</v>
      </c>
      <c r="G1196" t="s">
        <v>46</v>
      </c>
      <c r="H1196" t="s">
        <v>47</v>
      </c>
      <c r="I1196" t="s">
        <v>54</v>
      </c>
      <c r="J1196" t="s">
        <v>48</v>
      </c>
      <c r="K1196" s="2">
        <v>45965</v>
      </c>
      <c r="L1196" s="2">
        <v>46330</v>
      </c>
      <c r="M1196" t="s">
        <v>64</v>
      </c>
      <c r="N1196" t="s">
        <v>55</v>
      </c>
      <c r="O1196">
        <v>1</v>
      </c>
      <c r="P1196" t="s">
        <v>70</v>
      </c>
      <c r="Q1196" s="2">
        <v>46346</v>
      </c>
      <c r="R1196" t="s">
        <v>64</v>
      </c>
    </row>
    <row r="1197" spans="1:18" x14ac:dyDescent="0.2">
      <c r="A1197" t="s">
        <v>2452</v>
      </c>
      <c r="B1197" t="s">
        <v>2453</v>
      </c>
      <c r="C1197" t="s">
        <v>31</v>
      </c>
      <c r="D1197" t="s">
        <v>87</v>
      </c>
      <c r="E1197" t="s">
        <v>91</v>
      </c>
      <c r="F1197" t="s">
        <v>67</v>
      </c>
      <c r="G1197" t="s">
        <v>68</v>
      </c>
      <c r="H1197" t="s">
        <v>36</v>
      </c>
      <c r="I1197" t="s">
        <v>56</v>
      </c>
      <c r="J1197" t="s">
        <v>37</v>
      </c>
      <c r="K1197" s="2">
        <v>46209</v>
      </c>
      <c r="L1197" s="2">
        <v>46574</v>
      </c>
      <c r="M1197" t="s">
        <v>64</v>
      </c>
      <c r="N1197" t="s">
        <v>49</v>
      </c>
      <c r="O1197">
        <v>0</v>
      </c>
      <c r="P1197" t="s">
        <v>54</v>
      </c>
      <c r="Q1197" s="2">
        <v>46302</v>
      </c>
      <c r="R1197" t="s">
        <v>57</v>
      </c>
    </row>
    <row r="1198" spans="1:18" x14ac:dyDescent="0.2">
      <c r="A1198" t="s">
        <v>2454</v>
      </c>
      <c r="B1198" t="s">
        <v>2455</v>
      </c>
      <c r="C1198" t="s">
        <v>31</v>
      </c>
      <c r="D1198" t="s">
        <v>87</v>
      </c>
      <c r="E1198" t="s">
        <v>80</v>
      </c>
      <c r="F1198" t="s">
        <v>67</v>
      </c>
      <c r="G1198" t="s">
        <v>118</v>
      </c>
      <c r="H1198" t="s">
        <v>88</v>
      </c>
      <c r="I1198" t="s">
        <v>39</v>
      </c>
      <c r="J1198" t="s">
        <v>48</v>
      </c>
      <c r="K1198" s="2">
        <v>46010</v>
      </c>
      <c r="L1198" s="2">
        <v>46375</v>
      </c>
      <c r="M1198" t="s">
        <v>64</v>
      </c>
      <c r="N1198" t="s">
        <v>49</v>
      </c>
      <c r="O1198">
        <v>1</v>
      </c>
      <c r="P1198" t="s">
        <v>39</v>
      </c>
      <c r="Q1198" s="2">
        <v>46333</v>
      </c>
      <c r="R1198" t="s">
        <v>84</v>
      </c>
    </row>
    <row r="1199" spans="1:18" x14ac:dyDescent="0.2">
      <c r="A1199" t="s">
        <v>2456</v>
      </c>
      <c r="B1199" t="s">
        <v>2457</v>
      </c>
      <c r="C1199" t="s">
        <v>103</v>
      </c>
      <c r="D1199" t="s">
        <v>104</v>
      </c>
      <c r="E1199" t="s">
        <v>53</v>
      </c>
      <c r="F1199" t="s">
        <v>34</v>
      </c>
      <c r="G1199" t="s">
        <v>35</v>
      </c>
      <c r="H1199" t="s">
        <v>88</v>
      </c>
      <c r="I1199" t="s">
        <v>70</v>
      </c>
      <c r="J1199" t="s">
        <v>48</v>
      </c>
      <c r="K1199" s="2">
        <v>45857</v>
      </c>
      <c r="L1199" s="2">
        <v>45947</v>
      </c>
      <c r="M1199" t="s">
        <v>38</v>
      </c>
      <c r="N1199" t="s">
        <v>75</v>
      </c>
      <c r="O1199">
        <v>1</v>
      </c>
      <c r="P1199" t="s">
        <v>54</v>
      </c>
      <c r="Q1199" s="2">
        <v>46348</v>
      </c>
      <c r="R1199" t="s">
        <v>64</v>
      </c>
    </row>
    <row r="1200" spans="1:18" x14ac:dyDescent="0.2">
      <c r="A1200" t="s">
        <v>2458</v>
      </c>
      <c r="B1200" t="s">
        <v>2459</v>
      </c>
      <c r="C1200" t="s">
        <v>96</v>
      </c>
      <c r="D1200" t="s">
        <v>97</v>
      </c>
      <c r="E1200" t="s">
        <v>53</v>
      </c>
      <c r="F1200" t="s">
        <v>67</v>
      </c>
      <c r="G1200" t="s">
        <v>118</v>
      </c>
      <c r="H1200" t="s">
        <v>47</v>
      </c>
      <c r="I1200" t="s">
        <v>62</v>
      </c>
      <c r="J1200" t="s">
        <v>63</v>
      </c>
      <c r="K1200" s="2">
        <v>46015</v>
      </c>
      <c r="L1200" s="2">
        <v>46380</v>
      </c>
      <c r="M1200" t="s">
        <v>64</v>
      </c>
      <c r="N1200" t="s">
        <v>49</v>
      </c>
      <c r="O1200">
        <v>0</v>
      </c>
      <c r="P1200" t="s">
        <v>50</v>
      </c>
      <c r="Q1200" s="2">
        <v>46363</v>
      </c>
      <c r="R1200" t="s">
        <v>57</v>
      </c>
    </row>
    <row r="1201" spans="1:18" x14ac:dyDescent="0.2">
      <c r="A1201" t="s">
        <v>2460</v>
      </c>
      <c r="B1201" t="s">
        <v>2461</v>
      </c>
      <c r="C1201" t="s">
        <v>31</v>
      </c>
      <c r="D1201" t="s">
        <v>87</v>
      </c>
      <c r="E1201" t="s">
        <v>60</v>
      </c>
      <c r="F1201" t="s">
        <v>34</v>
      </c>
      <c r="G1201" t="s">
        <v>35</v>
      </c>
      <c r="H1201" t="s">
        <v>36</v>
      </c>
      <c r="I1201" t="s">
        <v>56</v>
      </c>
      <c r="J1201" t="s">
        <v>63</v>
      </c>
      <c r="K1201" s="2">
        <v>45892</v>
      </c>
      <c r="L1201" s="2">
        <v>45982</v>
      </c>
      <c r="M1201" t="s">
        <v>38</v>
      </c>
      <c r="N1201" t="s">
        <v>55</v>
      </c>
      <c r="O1201">
        <v>1</v>
      </c>
      <c r="P1201" t="s">
        <v>111</v>
      </c>
      <c r="Q1201" s="2">
        <v>46270</v>
      </c>
      <c r="R1201" t="s">
        <v>38</v>
      </c>
    </row>
    <row r="1202" spans="1:18" x14ac:dyDescent="0.2">
      <c r="A1202" t="s">
        <v>2462</v>
      </c>
      <c r="B1202" t="s">
        <v>2463</v>
      </c>
      <c r="C1202" t="s">
        <v>31</v>
      </c>
      <c r="D1202" t="s">
        <v>32</v>
      </c>
      <c r="E1202" t="s">
        <v>53</v>
      </c>
      <c r="F1202" t="s">
        <v>45</v>
      </c>
      <c r="G1202" t="s">
        <v>61</v>
      </c>
      <c r="H1202" t="s">
        <v>47</v>
      </c>
      <c r="I1202" t="s">
        <v>50</v>
      </c>
      <c r="J1202" t="s">
        <v>48</v>
      </c>
      <c r="K1202" s="2">
        <v>46067</v>
      </c>
      <c r="L1202" s="2">
        <v>46157</v>
      </c>
      <c r="M1202" t="s">
        <v>38</v>
      </c>
      <c r="N1202" t="s">
        <v>55</v>
      </c>
      <c r="O1202">
        <v>1</v>
      </c>
      <c r="P1202" t="s">
        <v>106</v>
      </c>
      <c r="Q1202" s="2">
        <v>46306</v>
      </c>
      <c r="R1202" t="s">
        <v>84</v>
      </c>
    </row>
    <row r="1203" spans="1:18" x14ac:dyDescent="0.2">
      <c r="A1203" t="s">
        <v>2464</v>
      </c>
      <c r="B1203" t="s">
        <v>2465</v>
      </c>
      <c r="C1203" t="s">
        <v>96</v>
      </c>
      <c r="D1203" t="s">
        <v>97</v>
      </c>
      <c r="E1203" t="s">
        <v>60</v>
      </c>
      <c r="F1203" t="s">
        <v>67</v>
      </c>
      <c r="G1203" t="s">
        <v>68</v>
      </c>
      <c r="H1203" t="s">
        <v>36</v>
      </c>
      <c r="I1203" t="s">
        <v>106</v>
      </c>
      <c r="J1203" t="s">
        <v>63</v>
      </c>
      <c r="K1203" s="2">
        <v>45986</v>
      </c>
      <c r="L1203" s="2">
        <v>46351</v>
      </c>
      <c r="M1203" t="s">
        <v>69</v>
      </c>
      <c r="N1203" t="s">
        <v>75</v>
      </c>
      <c r="O1203">
        <v>4</v>
      </c>
      <c r="P1203" t="s">
        <v>50</v>
      </c>
      <c r="Q1203" s="2">
        <v>46208</v>
      </c>
      <c r="R1203" t="s">
        <v>38</v>
      </c>
    </row>
    <row r="1204" spans="1:18" x14ac:dyDescent="0.2">
      <c r="A1204" t="s">
        <v>2466</v>
      </c>
      <c r="B1204" t="s">
        <v>2467</v>
      </c>
      <c r="C1204" t="s">
        <v>42</v>
      </c>
      <c r="D1204" t="s">
        <v>43</v>
      </c>
      <c r="E1204" t="s">
        <v>60</v>
      </c>
      <c r="F1204" t="s">
        <v>67</v>
      </c>
      <c r="G1204" t="s">
        <v>118</v>
      </c>
      <c r="H1204" t="s">
        <v>88</v>
      </c>
      <c r="I1204" t="s">
        <v>62</v>
      </c>
      <c r="J1204" t="s">
        <v>63</v>
      </c>
      <c r="K1204" s="2">
        <v>45830</v>
      </c>
      <c r="L1204" s="2">
        <v>46195</v>
      </c>
      <c r="M1204" t="s">
        <v>38</v>
      </c>
      <c r="N1204" t="s">
        <v>75</v>
      </c>
      <c r="O1204">
        <v>3</v>
      </c>
      <c r="P1204" t="s">
        <v>106</v>
      </c>
      <c r="Q1204" s="2">
        <v>46160</v>
      </c>
      <c r="R1204" t="s">
        <v>38</v>
      </c>
    </row>
    <row r="1205" spans="1:18" x14ac:dyDescent="0.2">
      <c r="A1205" t="s">
        <v>2468</v>
      </c>
      <c r="B1205" t="s">
        <v>2469</v>
      </c>
      <c r="C1205" t="s">
        <v>103</v>
      </c>
      <c r="D1205" t="s">
        <v>104</v>
      </c>
      <c r="E1205" t="s">
        <v>91</v>
      </c>
      <c r="F1205" t="s">
        <v>34</v>
      </c>
      <c r="G1205" t="s">
        <v>35</v>
      </c>
      <c r="H1205" t="s">
        <v>98</v>
      </c>
      <c r="I1205" t="s">
        <v>54</v>
      </c>
      <c r="J1205" t="s">
        <v>48</v>
      </c>
      <c r="K1205" s="2">
        <v>46200</v>
      </c>
      <c r="L1205" s="2">
        <v>46380</v>
      </c>
      <c r="M1205" t="s">
        <v>69</v>
      </c>
      <c r="N1205" t="s">
        <v>55</v>
      </c>
      <c r="O1205">
        <v>4</v>
      </c>
      <c r="P1205" t="s">
        <v>70</v>
      </c>
      <c r="Q1205" s="2">
        <v>46273</v>
      </c>
      <c r="R1205" t="s">
        <v>38</v>
      </c>
    </row>
    <row r="1206" spans="1:18" x14ac:dyDescent="0.2">
      <c r="A1206" t="s">
        <v>2470</v>
      </c>
      <c r="B1206" t="s">
        <v>2471</v>
      </c>
      <c r="C1206" t="s">
        <v>96</v>
      </c>
      <c r="D1206" t="s">
        <v>97</v>
      </c>
      <c r="E1206" t="s">
        <v>53</v>
      </c>
      <c r="F1206" t="s">
        <v>45</v>
      </c>
      <c r="G1206" t="s">
        <v>46</v>
      </c>
      <c r="H1206" t="s">
        <v>36</v>
      </c>
      <c r="I1206" t="s">
        <v>62</v>
      </c>
      <c r="J1206" t="s">
        <v>37</v>
      </c>
      <c r="K1206" s="2">
        <v>46069</v>
      </c>
      <c r="L1206" s="2">
        <v>46434</v>
      </c>
      <c r="M1206" t="s">
        <v>84</v>
      </c>
      <c r="N1206" t="s">
        <v>75</v>
      </c>
      <c r="O1206">
        <v>4</v>
      </c>
      <c r="P1206" t="s">
        <v>70</v>
      </c>
      <c r="Q1206" s="2">
        <v>46126</v>
      </c>
      <c r="R1206" t="s">
        <v>38</v>
      </c>
    </row>
    <row r="1207" spans="1:18" x14ac:dyDescent="0.2">
      <c r="A1207" t="s">
        <v>2472</v>
      </c>
      <c r="B1207" t="s">
        <v>2473</v>
      </c>
      <c r="C1207" t="s">
        <v>73</v>
      </c>
      <c r="D1207" t="s">
        <v>74</v>
      </c>
      <c r="E1207" t="s">
        <v>105</v>
      </c>
      <c r="F1207" t="s">
        <v>67</v>
      </c>
      <c r="G1207" t="s">
        <v>118</v>
      </c>
      <c r="H1207" t="s">
        <v>88</v>
      </c>
      <c r="I1207" t="s">
        <v>50</v>
      </c>
      <c r="J1207" t="s">
        <v>63</v>
      </c>
      <c r="K1207" s="2">
        <v>45892</v>
      </c>
      <c r="L1207" s="2">
        <v>45982</v>
      </c>
      <c r="M1207" t="s">
        <v>38</v>
      </c>
      <c r="N1207" t="s">
        <v>75</v>
      </c>
      <c r="O1207">
        <v>1</v>
      </c>
      <c r="P1207" t="s">
        <v>106</v>
      </c>
      <c r="Q1207" s="2">
        <v>46381</v>
      </c>
      <c r="R1207" t="s">
        <v>84</v>
      </c>
    </row>
    <row r="1208" spans="1:18" x14ac:dyDescent="0.2">
      <c r="A1208" t="s">
        <v>2474</v>
      </c>
      <c r="B1208" t="s">
        <v>2475</v>
      </c>
      <c r="C1208" t="s">
        <v>31</v>
      </c>
      <c r="D1208" t="s">
        <v>32</v>
      </c>
      <c r="E1208" t="s">
        <v>60</v>
      </c>
      <c r="F1208" t="s">
        <v>34</v>
      </c>
      <c r="G1208" t="s">
        <v>35</v>
      </c>
      <c r="H1208" t="s">
        <v>47</v>
      </c>
      <c r="I1208" t="s">
        <v>39</v>
      </c>
      <c r="J1208" t="s">
        <v>63</v>
      </c>
      <c r="K1208" s="2">
        <v>45847</v>
      </c>
      <c r="L1208" s="2">
        <v>46027</v>
      </c>
      <c r="M1208" t="s">
        <v>38</v>
      </c>
      <c r="N1208" t="s">
        <v>55</v>
      </c>
      <c r="O1208">
        <v>2</v>
      </c>
      <c r="P1208" t="s">
        <v>62</v>
      </c>
      <c r="Q1208" s="2">
        <v>46323</v>
      </c>
      <c r="R1208" t="s">
        <v>84</v>
      </c>
    </row>
    <row r="1209" spans="1:18" x14ac:dyDescent="0.2">
      <c r="A1209" t="s">
        <v>2476</v>
      </c>
      <c r="B1209" t="s">
        <v>2477</v>
      </c>
      <c r="C1209" t="s">
        <v>78</v>
      </c>
      <c r="D1209" t="s">
        <v>79</v>
      </c>
      <c r="E1209" t="s">
        <v>60</v>
      </c>
      <c r="F1209" t="s">
        <v>67</v>
      </c>
      <c r="G1209" t="s">
        <v>68</v>
      </c>
      <c r="H1209" t="s">
        <v>36</v>
      </c>
      <c r="I1209" t="s">
        <v>50</v>
      </c>
      <c r="J1209" t="s">
        <v>37</v>
      </c>
      <c r="K1209" s="2">
        <v>46068</v>
      </c>
      <c r="L1209" s="2">
        <v>46433</v>
      </c>
      <c r="M1209" t="s">
        <v>84</v>
      </c>
      <c r="N1209" t="s">
        <v>75</v>
      </c>
      <c r="O1209">
        <v>5</v>
      </c>
      <c r="P1209" t="s">
        <v>106</v>
      </c>
      <c r="Q1209" s="2">
        <v>46251</v>
      </c>
      <c r="R1209" t="s">
        <v>64</v>
      </c>
    </row>
    <row r="1210" spans="1:18" x14ac:dyDescent="0.2">
      <c r="A1210" t="s">
        <v>2478</v>
      </c>
      <c r="B1210" t="s">
        <v>2479</v>
      </c>
      <c r="C1210" t="s">
        <v>73</v>
      </c>
      <c r="D1210" t="s">
        <v>74</v>
      </c>
      <c r="E1210" t="s">
        <v>44</v>
      </c>
      <c r="F1210" t="s">
        <v>67</v>
      </c>
      <c r="G1210" t="s">
        <v>68</v>
      </c>
      <c r="H1210" t="s">
        <v>47</v>
      </c>
      <c r="I1210" t="s">
        <v>111</v>
      </c>
      <c r="J1210" t="s">
        <v>37</v>
      </c>
      <c r="K1210" s="2">
        <v>45861</v>
      </c>
      <c r="L1210" s="2">
        <v>46041</v>
      </c>
      <c r="M1210" t="s">
        <v>38</v>
      </c>
      <c r="N1210" t="s">
        <v>55</v>
      </c>
      <c r="O1210">
        <v>1</v>
      </c>
      <c r="P1210" t="s">
        <v>70</v>
      </c>
      <c r="Q1210" s="2">
        <v>46212</v>
      </c>
      <c r="R1210" t="s">
        <v>38</v>
      </c>
    </row>
    <row r="1211" spans="1:18" x14ac:dyDescent="0.2">
      <c r="A1211" t="s">
        <v>2480</v>
      </c>
      <c r="B1211" t="s">
        <v>2481</v>
      </c>
      <c r="C1211" t="s">
        <v>31</v>
      </c>
      <c r="D1211" t="s">
        <v>83</v>
      </c>
      <c r="E1211" t="s">
        <v>53</v>
      </c>
      <c r="F1211" t="s">
        <v>67</v>
      </c>
      <c r="G1211" t="s">
        <v>68</v>
      </c>
      <c r="H1211" t="s">
        <v>88</v>
      </c>
      <c r="I1211" t="s">
        <v>50</v>
      </c>
      <c r="J1211" t="s">
        <v>48</v>
      </c>
      <c r="K1211" s="2">
        <v>46152</v>
      </c>
      <c r="L1211" s="2">
        <v>46517</v>
      </c>
      <c r="M1211" t="s">
        <v>69</v>
      </c>
      <c r="N1211" t="s">
        <v>49</v>
      </c>
      <c r="O1211">
        <v>2</v>
      </c>
      <c r="P1211" t="s">
        <v>39</v>
      </c>
      <c r="Q1211" s="2">
        <v>46135</v>
      </c>
      <c r="R1211" t="s">
        <v>38</v>
      </c>
    </row>
    <row r="1212" spans="1:18" x14ac:dyDescent="0.2">
      <c r="A1212" t="s">
        <v>2482</v>
      </c>
      <c r="B1212" t="s">
        <v>2483</v>
      </c>
      <c r="C1212" t="s">
        <v>103</v>
      </c>
      <c r="D1212" t="s">
        <v>104</v>
      </c>
      <c r="E1212" t="s">
        <v>60</v>
      </c>
      <c r="F1212" t="s">
        <v>45</v>
      </c>
      <c r="G1212" t="s">
        <v>61</v>
      </c>
      <c r="H1212" t="s">
        <v>88</v>
      </c>
      <c r="I1212" t="s">
        <v>62</v>
      </c>
      <c r="J1212" t="s">
        <v>63</v>
      </c>
      <c r="K1212" s="2">
        <v>46243</v>
      </c>
      <c r="L1212" s="2">
        <v>46333</v>
      </c>
      <c r="M1212" t="s">
        <v>64</v>
      </c>
      <c r="N1212" t="s">
        <v>75</v>
      </c>
      <c r="O1212">
        <v>1</v>
      </c>
      <c r="P1212" t="s">
        <v>106</v>
      </c>
      <c r="Q1212" s="2">
        <v>46153</v>
      </c>
      <c r="R1212" t="s">
        <v>64</v>
      </c>
    </row>
    <row r="1213" spans="1:18" x14ac:dyDescent="0.2">
      <c r="A1213" t="s">
        <v>2484</v>
      </c>
      <c r="B1213" t="s">
        <v>2485</v>
      </c>
      <c r="C1213" t="s">
        <v>31</v>
      </c>
      <c r="D1213" t="s">
        <v>87</v>
      </c>
      <c r="E1213" t="s">
        <v>105</v>
      </c>
      <c r="F1213" t="s">
        <v>45</v>
      </c>
      <c r="G1213" t="s">
        <v>46</v>
      </c>
      <c r="H1213" t="s">
        <v>88</v>
      </c>
      <c r="I1213" t="s">
        <v>39</v>
      </c>
      <c r="J1213" t="s">
        <v>37</v>
      </c>
      <c r="K1213" s="2">
        <v>45962</v>
      </c>
      <c r="L1213" s="2">
        <v>46327</v>
      </c>
      <c r="M1213" t="s">
        <v>64</v>
      </c>
      <c r="N1213" t="s">
        <v>75</v>
      </c>
      <c r="O1213">
        <v>0</v>
      </c>
      <c r="P1213" t="s">
        <v>50</v>
      </c>
      <c r="Q1213" s="2">
        <v>46279</v>
      </c>
      <c r="R1213" t="s">
        <v>57</v>
      </c>
    </row>
    <row r="1214" spans="1:18" x14ac:dyDescent="0.2">
      <c r="A1214" t="s">
        <v>2486</v>
      </c>
      <c r="B1214" t="s">
        <v>2487</v>
      </c>
      <c r="C1214" t="s">
        <v>42</v>
      </c>
      <c r="D1214" t="s">
        <v>43</v>
      </c>
      <c r="E1214" t="s">
        <v>60</v>
      </c>
      <c r="F1214" t="s">
        <v>34</v>
      </c>
      <c r="G1214" t="s">
        <v>35</v>
      </c>
      <c r="H1214" t="s">
        <v>98</v>
      </c>
      <c r="I1214" t="s">
        <v>62</v>
      </c>
      <c r="J1214" t="s">
        <v>48</v>
      </c>
      <c r="K1214" s="2">
        <v>45954</v>
      </c>
      <c r="L1214" s="2">
        <v>46044</v>
      </c>
      <c r="M1214" t="s">
        <v>38</v>
      </c>
      <c r="N1214" t="s">
        <v>55</v>
      </c>
      <c r="O1214">
        <v>5</v>
      </c>
      <c r="P1214" t="s">
        <v>111</v>
      </c>
      <c r="Q1214" s="2">
        <v>46303</v>
      </c>
      <c r="R1214" t="s">
        <v>64</v>
      </c>
    </row>
    <row r="1215" spans="1:18" x14ac:dyDescent="0.2">
      <c r="A1215" t="s">
        <v>2488</v>
      </c>
      <c r="B1215" t="s">
        <v>2489</v>
      </c>
      <c r="C1215" t="s">
        <v>31</v>
      </c>
      <c r="D1215" t="s">
        <v>83</v>
      </c>
      <c r="E1215" t="s">
        <v>60</v>
      </c>
      <c r="F1215" t="s">
        <v>67</v>
      </c>
      <c r="G1215" t="s">
        <v>118</v>
      </c>
      <c r="H1215" t="s">
        <v>47</v>
      </c>
      <c r="I1215" t="s">
        <v>50</v>
      </c>
      <c r="J1215" t="s">
        <v>48</v>
      </c>
      <c r="K1215" s="2">
        <v>46246</v>
      </c>
      <c r="L1215" s="2">
        <v>46611</v>
      </c>
      <c r="M1215" t="s">
        <v>84</v>
      </c>
      <c r="N1215" t="s">
        <v>49</v>
      </c>
      <c r="O1215">
        <v>3</v>
      </c>
      <c r="P1215" t="s">
        <v>70</v>
      </c>
      <c r="Q1215" s="2">
        <v>46325</v>
      </c>
      <c r="R1215" t="s">
        <v>84</v>
      </c>
    </row>
    <row r="1216" spans="1:18" x14ac:dyDescent="0.2">
      <c r="A1216" t="s">
        <v>2490</v>
      </c>
      <c r="B1216" t="s">
        <v>2491</v>
      </c>
      <c r="C1216" t="s">
        <v>31</v>
      </c>
      <c r="D1216" t="s">
        <v>32</v>
      </c>
      <c r="E1216" t="s">
        <v>91</v>
      </c>
      <c r="F1216" t="s">
        <v>34</v>
      </c>
      <c r="G1216" t="s">
        <v>35</v>
      </c>
      <c r="H1216" t="s">
        <v>88</v>
      </c>
      <c r="I1216" t="s">
        <v>111</v>
      </c>
      <c r="J1216" t="s">
        <v>37</v>
      </c>
      <c r="K1216" s="2">
        <v>45803</v>
      </c>
      <c r="L1216" s="2">
        <v>45983</v>
      </c>
      <c r="M1216" t="s">
        <v>38</v>
      </c>
      <c r="N1216" t="s">
        <v>55</v>
      </c>
      <c r="O1216">
        <v>1</v>
      </c>
      <c r="P1216" t="s">
        <v>39</v>
      </c>
      <c r="Q1216" s="2">
        <v>46404</v>
      </c>
      <c r="R1216" t="s">
        <v>84</v>
      </c>
    </row>
    <row r="1217" spans="1:18" x14ac:dyDescent="0.2">
      <c r="A1217" t="s">
        <v>2492</v>
      </c>
      <c r="B1217" t="s">
        <v>2493</v>
      </c>
      <c r="C1217" t="s">
        <v>31</v>
      </c>
      <c r="D1217" t="s">
        <v>83</v>
      </c>
      <c r="E1217" t="s">
        <v>105</v>
      </c>
      <c r="F1217" t="s">
        <v>67</v>
      </c>
      <c r="G1217" t="s">
        <v>118</v>
      </c>
      <c r="H1217" t="s">
        <v>98</v>
      </c>
      <c r="I1217" t="s">
        <v>54</v>
      </c>
      <c r="J1217" t="s">
        <v>37</v>
      </c>
      <c r="K1217" s="2">
        <v>46172</v>
      </c>
      <c r="L1217" s="2">
        <v>46352</v>
      </c>
      <c r="M1217" t="s">
        <v>64</v>
      </c>
      <c r="N1217" t="s">
        <v>55</v>
      </c>
      <c r="O1217">
        <v>2</v>
      </c>
      <c r="P1217" t="s">
        <v>62</v>
      </c>
      <c r="Q1217" s="2">
        <v>46298</v>
      </c>
      <c r="R1217" t="s">
        <v>84</v>
      </c>
    </row>
    <row r="1218" spans="1:18" x14ac:dyDescent="0.2">
      <c r="A1218" t="s">
        <v>2494</v>
      </c>
      <c r="B1218" t="s">
        <v>2495</v>
      </c>
      <c r="C1218" t="s">
        <v>31</v>
      </c>
      <c r="D1218" t="s">
        <v>83</v>
      </c>
      <c r="E1218" t="s">
        <v>60</v>
      </c>
      <c r="F1218" t="s">
        <v>45</v>
      </c>
      <c r="G1218" t="s">
        <v>61</v>
      </c>
      <c r="H1218" t="s">
        <v>98</v>
      </c>
      <c r="I1218" t="s">
        <v>111</v>
      </c>
      <c r="J1218" t="s">
        <v>37</v>
      </c>
      <c r="K1218" s="2">
        <v>46270</v>
      </c>
      <c r="L1218" s="2">
        <v>46360</v>
      </c>
      <c r="M1218" t="s">
        <v>84</v>
      </c>
      <c r="N1218" t="s">
        <v>49</v>
      </c>
      <c r="O1218">
        <v>0</v>
      </c>
      <c r="P1218" t="s">
        <v>70</v>
      </c>
      <c r="Q1218" s="2">
        <v>46155</v>
      </c>
      <c r="R1218" t="s">
        <v>57</v>
      </c>
    </row>
    <row r="1219" spans="1:18" x14ac:dyDescent="0.2">
      <c r="A1219" t="s">
        <v>2496</v>
      </c>
      <c r="B1219" t="s">
        <v>2497</v>
      </c>
      <c r="C1219" t="s">
        <v>103</v>
      </c>
      <c r="D1219" t="s">
        <v>104</v>
      </c>
      <c r="E1219" t="s">
        <v>44</v>
      </c>
      <c r="F1219" t="s">
        <v>45</v>
      </c>
      <c r="G1219" t="s">
        <v>61</v>
      </c>
      <c r="H1219" t="s">
        <v>36</v>
      </c>
      <c r="I1219" t="s">
        <v>106</v>
      </c>
      <c r="J1219" t="s">
        <v>48</v>
      </c>
      <c r="K1219" s="2">
        <v>46208</v>
      </c>
      <c r="L1219" s="2">
        <v>46388</v>
      </c>
      <c r="M1219" t="s">
        <v>64</v>
      </c>
      <c r="N1219" t="s">
        <v>49</v>
      </c>
      <c r="O1219">
        <v>2</v>
      </c>
      <c r="P1219" t="s">
        <v>56</v>
      </c>
      <c r="Q1219" s="2">
        <v>46307</v>
      </c>
      <c r="R1219" t="s">
        <v>64</v>
      </c>
    </row>
    <row r="1220" spans="1:18" x14ac:dyDescent="0.2">
      <c r="A1220" t="s">
        <v>2498</v>
      </c>
      <c r="B1220" t="s">
        <v>2499</v>
      </c>
      <c r="C1220" t="s">
        <v>78</v>
      </c>
      <c r="D1220" t="s">
        <v>79</v>
      </c>
      <c r="E1220" t="s">
        <v>60</v>
      </c>
      <c r="F1220" t="s">
        <v>67</v>
      </c>
      <c r="G1220" t="s">
        <v>118</v>
      </c>
      <c r="H1220" t="s">
        <v>47</v>
      </c>
      <c r="I1220" t="s">
        <v>50</v>
      </c>
      <c r="J1220" t="s">
        <v>63</v>
      </c>
      <c r="K1220" s="2">
        <v>45833</v>
      </c>
      <c r="L1220" s="2">
        <v>46198</v>
      </c>
      <c r="M1220" t="s">
        <v>38</v>
      </c>
      <c r="N1220" t="s">
        <v>75</v>
      </c>
      <c r="O1220">
        <v>0</v>
      </c>
      <c r="P1220" t="s">
        <v>39</v>
      </c>
      <c r="Q1220" s="2">
        <v>46187</v>
      </c>
      <c r="R1220" t="s">
        <v>57</v>
      </c>
    </row>
    <row r="1221" spans="1:18" x14ac:dyDescent="0.2">
      <c r="A1221" t="s">
        <v>2500</v>
      </c>
      <c r="B1221" t="s">
        <v>2501</v>
      </c>
      <c r="C1221" t="s">
        <v>96</v>
      </c>
      <c r="D1221" t="s">
        <v>97</v>
      </c>
      <c r="E1221" t="s">
        <v>53</v>
      </c>
      <c r="F1221" t="s">
        <v>45</v>
      </c>
      <c r="G1221" t="s">
        <v>61</v>
      </c>
      <c r="H1221" t="s">
        <v>47</v>
      </c>
      <c r="I1221" t="s">
        <v>39</v>
      </c>
      <c r="J1221" t="s">
        <v>48</v>
      </c>
      <c r="K1221" s="2">
        <v>46154</v>
      </c>
      <c r="L1221" s="2">
        <v>46334</v>
      </c>
      <c r="M1221" t="s">
        <v>64</v>
      </c>
      <c r="N1221" t="s">
        <v>75</v>
      </c>
      <c r="O1221">
        <v>0</v>
      </c>
      <c r="P1221" t="s">
        <v>50</v>
      </c>
      <c r="Q1221" s="2">
        <v>46318</v>
      </c>
      <c r="R1221" t="s">
        <v>57</v>
      </c>
    </row>
    <row r="1222" spans="1:18" x14ac:dyDescent="0.2">
      <c r="A1222" t="s">
        <v>2502</v>
      </c>
      <c r="B1222" t="s">
        <v>2503</v>
      </c>
      <c r="C1222" t="s">
        <v>42</v>
      </c>
      <c r="D1222" t="s">
        <v>43</v>
      </c>
      <c r="E1222" t="s">
        <v>91</v>
      </c>
      <c r="F1222" t="s">
        <v>67</v>
      </c>
      <c r="G1222" t="s">
        <v>118</v>
      </c>
      <c r="H1222" t="s">
        <v>88</v>
      </c>
      <c r="I1222" t="s">
        <v>50</v>
      </c>
      <c r="J1222" t="s">
        <v>37</v>
      </c>
      <c r="K1222" s="2">
        <v>46237</v>
      </c>
      <c r="L1222" s="2">
        <v>46327</v>
      </c>
      <c r="M1222" t="s">
        <v>84</v>
      </c>
      <c r="N1222" t="s">
        <v>75</v>
      </c>
      <c r="O1222">
        <v>1</v>
      </c>
      <c r="P1222" t="s">
        <v>50</v>
      </c>
      <c r="Q1222" s="2">
        <v>46167</v>
      </c>
      <c r="R1222" t="s">
        <v>38</v>
      </c>
    </row>
    <row r="1223" spans="1:18" x14ac:dyDescent="0.2">
      <c r="A1223" t="s">
        <v>2504</v>
      </c>
      <c r="B1223" t="s">
        <v>2505</v>
      </c>
      <c r="C1223" t="s">
        <v>31</v>
      </c>
      <c r="D1223" t="s">
        <v>83</v>
      </c>
      <c r="E1223" t="s">
        <v>91</v>
      </c>
      <c r="F1223" t="s">
        <v>34</v>
      </c>
      <c r="G1223" t="s">
        <v>35</v>
      </c>
      <c r="H1223" t="s">
        <v>36</v>
      </c>
      <c r="I1223" t="s">
        <v>111</v>
      </c>
      <c r="J1223" t="s">
        <v>63</v>
      </c>
      <c r="K1223" s="2">
        <v>46156</v>
      </c>
      <c r="L1223" s="2">
        <v>46336</v>
      </c>
      <c r="M1223" t="s">
        <v>84</v>
      </c>
      <c r="N1223" t="s">
        <v>49</v>
      </c>
      <c r="O1223">
        <v>1</v>
      </c>
      <c r="P1223" t="s">
        <v>106</v>
      </c>
      <c r="Q1223" s="2">
        <v>46173</v>
      </c>
      <c r="R1223" t="s">
        <v>38</v>
      </c>
    </row>
    <row r="1224" spans="1:18" x14ac:dyDescent="0.2">
      <c r="A1224" t="s">
        <v>2506</v>
      </c>
      <c r="B1224" t="s">
        <v>2507</v>
      </c>
      <c r="C1224" t="s">
        <v>31</v>
      </c>
      <c r="D1224" t="s">
        <v>32</v>
      </c>
      <c r="E1224" t="s">
        <v>53</v>
      </c>
      <c r="F1224" t="s">
        <v>67</v>
      </c>
      <c r="G1224" t="s">
        <v>68</v>
      </c>
      <c r="H1224" t="s">
        <v>47</v>
      </c>
      <c r="I1224" t="s">
        <v>111</v>
      </c>
      <c r="J1224" t="s">
        <v>37</v>
      </c>
      <c r="K1224" s="2">
        <v>45897</v>
      </c>
      <c r="L1224" s="2">
        <v>45987</v>
      </c>
      <c r="M1224" t="s">
        <v>38</v>
      </c>
      <c r="N1224" t="s">
        <v>75</v>
      </c>
      <c r="O1224">
        <v>3</v>
      </c>
      <c r="P1224" t="s">
        <v>39</v>
      </c>
      <c r="Q1224" s="2">
        <v>46321</v>
      </c>
      <c r="R1224" t="s">
        <v>84</v>
      </c>
    </row>
    <row r="1225" spans="1:18" x14ac:dyDescent="0.2">
      <c r="A1225" t="s">
        <v>2508</v>
      </c>
      <c r="B1225" t="s">
        <v>2509</v>
      </c>
      <c r="C1225" t="s">
        <v>31</v>
      </c>
      <c r="D1225" t="s">
        <v>83</v>
      </c>
      <c r="E1225" t="s">
        <v>44</v>
      </c>
      <c r="F1225" t="s">
        <v>67</v>
      </c>
      <c r="G1225" t="s">
        <v>118</v>
      </c>
      <c r="H1225" t="s">
        <v>36</v>
      </c>
      <c r="I1225" t="s">
        <v>50</v>
      </c>
      <c r="J1225" t="s">
        <v>63</v>
      </c>
      <c r="K1225" s="2">
        <v>45835</v>
      </c>
      <c r="L1225" s="2">
        <v>45925</v>
      </c>
      <c r="M1225" t="s">
        <v>38</v>
      </c>
      <c r="N1225" t="s">
        <v>75</v>
      </c>
      <c r="O1225">
        <v>0</v>
      </c>
      <c r="P1225" t="s">
        <v>50</v>
      </c>
      <c r="Q1225" s="2">
        <v>46307</v>
      </c>
      <c r="R1225" t="s">
        <v>57</v>
      </c>
    </row>
    <row r="1226" spans="1:18" x14ac:dyDescent="0.2">
      <c r="A1226" t="s">
        <v>2510</v>
      </c>
      <c r="B1226" t="s">
        <v>2511</v>
      </c>
      <c r="C1226" t="s">
        <v>31</v>
      </c>
      <c r="D1226" t="s">
        <v>32</v>
      </c>
      <c r="E1226" t="s">
        <v>91</v>
      </c>
      <c r="F1226" t="s">
        <v>45</v>
      </c>
      <c r="G1226" t="s">
        <v>46</v>
      </c>
      <c r="H1226" t="s">
        <v>88</v>
      </c>
      <c r="I1226" t="s">
        <v>50</v>
      </c>
      <c r="J1226" t="s">
        <v>37</v>
      </c>
      <c r="K1226" s="2">
        <v>46231</v>
      </c>
      <c r="L1226" s="2">
        <v>46411</v>
      </c>
      <c r="M1226" t="s">
        <v>69</v>
      </c>
      <c r="N1226" t="s">
        <v>55</v>
      </c>
      <c r="O1226">
        <v>2</v>
      </c>
      <c r="P1226" t="s">
        <v>62</v>
      </c>
      <c r="Q1226" s="2">
        <v>46391</v>
      </c>
      <c r="R1226" t="s">
        <v>84</v>
      </c>
    </row>
    <row r="1227" spans="1:18" x14ac:dyDescent="0.2">
      <c r="A1227" t="s">
        <v>2512</v>
      </c>
      <c r="B1227" t="s">
        <v>2513</v>
      </c>
      <c r="C1227" t="s">
        <v>96</v>
      </c>
      <c r="D1227" t="s">
        <v>97</v>
      </c>
      <c r="E1227" t="s">
        <v>91</v>
      </c>
      <c r="F1227" t="s">
        <v>34</v>
      </c>
      <c r="G1227" t="s">
        <v>35</v>
      </c>
      <c r="H1227" t="s">
        <v>47</v>
      </c>
      <c r="J1227" t="s">
        <v>63</v>
      </c>
      <c r="K1227" s="2">
        <v>45942</v>
      </c>
      <c r="L1227" s="2">
        <v>46032</v>
      </c>
      <c r="M1227" t="s">
        <v>38</v>
      </c>
      <c r="N1227" t="s">
        <v>55</v>
      </c>
      <c r="O1227">
        <v>1</v>
      </c>
      <c r="P1227" t="s">
        <v>39</v>
      </c>
      <c r="Q1227" s="2">
        <v>46282</v>
      </c>
      <c r="R1227" t="s">
        <v>38</v>
      </c>
    </row>
    <row r="1228" spans="1:18" x14ac:dyDescent="0.2">
      <c r="A1228" t="s">
        <v>2514</v>
      </c>
      <c r="B1228" t="s">
        <v>2515</v>
      </c>
      <c r="C1228" t="s">
        <v>31</v>
      </c>
      <c r="D1228" t="s">
        <v>87</v>
      </c>
      <c r="E1228" t="s">
        <v>44</v>
      </c>
      <c r="F1228" t="s">
        <v>34</v>
      </c>
      <c r="G1228" t="s">
        <v>35</v>
      </c>
      <c r="H1228" t="s">
        <v>88</v>
      </c>
      <c r="I1228" t="s">
        <v>56</v>
      </c>
      <c r="J1228" t="s">
        <v>37</v>
      </c>
      <c r="K1228" s="2">
        <v>45874</v>
      </c>
      <c r="L1228" s="2">
        <v>46239</v>
      </c>
      <c r="M1228" t="s">
        <v>38</v>
      </c>
      <c r="N1228" t="s">
        <v>55</v>
      </c>
      <c r="O1228">
        <v>1</v>
      </c>
      <c r="P1228" t="s">
        <v>39</v>
      </c>
      <c r="Q1228" s="2">
        <v>46179</v>
      </c>
      <c r="R1228" t="s">
        <v>38</v>
      </c>
    </row>
    <row r="1229" spans="1:18" x14ac:dyDescent="0.2">
      <c r="A1229" t="s">
        <v>2516</v>
      </c>
      <c r="B1229" t="s">
        <v>2517</v>
      </c>
      <c r="C1229" t="s">
        <v>42</v>
      </c>
      <c r="D1229" t="s">
        <v>43</v>
      </c>
      <c r="E1229" t="s">
        <v>91</v>
      </c>
      <c r="F1229" t="s">
        <v>34</v>
      </c>
      <c r="G1229" t="s">
        <v>35</v>
      </c>
      <c r="H1229" t="s">
        <v>36</v>
      </c>
      <c r="I1229" t="s">
        <v>62</v>
      </c>
      <c r="J1229" t="s">
        <v>48</v>
      </c>
      <c r="K1229" s="2">
        <v>45907</v>
      </c>
      <c r="L1229" s="2">
        <v>46272</v>
      </c>
      <c r="M1229" t="s">
        <v>38</v>
      </c>
      <c r="N1229" t="s">
        <v>49</v>
      </c>
      <c r="O1229">
        <v>5</v>
      </c>
      <c r="P1229" t="s">
        <v>56</v>
      </c>
      <c r="Q1229" s="2">
        <v>46243</v>
      </c>
      <c r="R1229" t="s">
        <v>38</v>
      </c>
    </row>
    <row r="1230" spans="1:18" x14ac:dyDescent="0.2">
      <c r="A1230" t="s">
        <v>2518</v>
      </c>
      <c r="B1230" t="s">
        <v>2519</v>
      </c>
      <c r="C1230" t="s">
        <v>96</v>
      </c>
      <c r="D1230" t="s">
        <v>97</v>
      </c>
      <c r="E1230" t="s">
        <v>91</v>
      </c>
      <c r="F1230" t="s">
        <v>34</v>
      </c>
      <c r="G1230" t="s">
        <v>35</v>
      </c>
      <c r="H1230" t="s">
        <v>88</v>
      </c>
      <c r="I1230" t="s">
        <v>70</v>
      </c>
      <c r="J1230" t="s">
        <v>48</v>
      </c>
      <c r="K1230" s="2">
        <v>45944</v>
      </c>
      <c r="L1230" s="2">
        <v>46034</v>
      </c>
      <c r="M1230" t="s">
        <v>38</v>
      </c>
      <c r="N1230" t="s">
        <v>75</v>
      </c>
      <c r="O1230">
        <v>2</v>
      </c>
      <c r="P1230" t="s">
        <v>111</v>
      </c>
      <c r="Q1230" s="2">
        <v>46346</v>
      </c>
      <c r="R1230" t="s">
        <v>84</v>
      </c>
    </row>
    <row r="1231" spans="1:18" x14ac:dyDescent="0.2">
      <c r="A1231" t="s">
        <v>2520</v>
      </c>
      <c r="B1231" t="s">
        <v>2521</v>
      </c>
      <c r="C1231" t="s">
        <v>31</v>
      </c>
      <c r="D1231" t="s">
        <v>83</v>
      </c>
      <c r="E1231" t="s">
        <v>44</v>
      </c>
      <c r="F1231" t="s">
        <v>45</v>
      </c>
      <c r="G1231" t="s">
        <v>61</v>
      </c>
      <c r="H1231" t="s">
        <v>47</v>
      </c>
      <c r="I1231" t="s">
        <v>62</v>
      </c>
      <c r="J1231" t="s">
        <v>63</v>
      </c>
      <c r="K1231" s="2">
        <v>46046</v>
      </c>
      <c r="L1231" s="2">
        <v>46226</v>
      </c>
      <c r="M1231" t="s">
        <v>38</v>
      </c>
      <c r="N1231" t="s">
        <v>75</v>
      </c>
      <c r="O1231">
        <v>1</v>
      </c>
      <c r="P1231" t="s">
        <v>111</v>
      </c>
      <c r="Q1231" s="2">
        <v>46391</v>
      </c>
      <c r="R1231" t="s">
        <v>84</v>
      </c>
    </row>
    <row r="1232" spans="1:18" x14ac:dyDescent="0.2">
      <c r="A1232" t="s">
        <v>2522</v>
      </c>
      <c r="B1232" t="s">
        <v>2523</v>
      </c>
      <c r="C1232" t="s">
        <v>96</v>
      </c>
      <c r="D1232" t="s">
        <v>97</v>
      </c>
      <c r="E1232" t="s">
        <v>105</v>
      </c>
      <c r="F1232" t="s">
        <v>67</v>
      </c>
      <c r="G1232" t="s">
        <v>118</v>
      </c>
      <c r="H1232" t="s">
        <v>98</v>
      </c>
      <c r="I1232" t="s">
        <v>70</v>
      </c>
      <c r="J1232" t="s">
        <v>63</v>
      </c>
      <c r="K1232" s="2">
        <v>45907</v>
      </c>
      <c r="L1232" s="2">
        <v>46272</v>
      </c>
      <c r="M1232" t="s">
        <v>38</v>
      </c>
      <c r="N1232" t="s">
        <v>49</v>
      </c>
      <c r="O1232">
        <v>3</v>
      </c>
      <c r="P1232" t="s">
        <v>50</v>
      </c>
      <c r="Q1232" s="2">
        <v>46368</v>
      </c>
      <c r="R1232" t="s">
        <v>84</v>
      </c>
    </row>
    <row r="1233" spans="1:18" x14ac:dyDescent="0.2">
      <c r="A1233" t="s">
        <v>2524</v>
      </c>
      <c r="B1233" t="s">
        <v>2525</v>
      </c>
      <c r="C1233" t="s">
        <v>31</v>
      </c>
      <c r="D1233" t="s">
        <v>87</v>
      </c>
      <c r="E1233" t="s">
        <v>60</v>
      </c>
      <c r="F1233" t="s">
        <v>34</v>
      </c>
      <c r="G1233" t="s">
        <v>35</v>
      </c>
      <c r="H1233" t="s">
        <v>88</v>
      </c>
      <c r="I1233" t="s">
        <v>50</v>
      </c>
      <c r="J1233" t="s">
        <v>63</v>
      </c>
      <c r="K1233" s="2">
        <v>45847</v>
      </c>
      <c r="L1233" s="2">
        <v>45937</v>
      </c>
      <c r="M1233" t="s">
        <v>38</v>
      </c>
      <c r="N1233" t="s">
        <v>75</v>
      </c>
      <c r="O1233">
        <v>1</v>
      </c>
      <c r="P1233" t="s">
        <v>106</v>
      </c>
      <c r="Q1233" s="2">
        <v>46367</v>
      </c>
      <c r="R1233" t="s">
        <v>84</v>
      </c>
    </row>
    <row r="1234" spans="1:18" x14ac:dyDescent="0.2">
      <c r="A1234" t="s">
        <v>2526</v>
      </c>
      <c r="B1234" t="s">
        <v>2527</v>
      </c>
      <c r="C1234" t="s">
        <v>73</v>
      </c>
      <c r="D1234" t="s">
        <v>74</v>
      </c>
      <c r="E1234" t="s">
        <v>80</v>
      </c>
      <c r="F1234" t="s">
        <v>34</v>
      </c>
      <c r="G1234" t="s">
        <v>35</v>
      </c>
      <c r="H1234" t="s">
        <v>88</v>
      </c>
      <c r="I1234" t="s">
        <v>54</v>
      </c>
      <c r="J1234" t="s">
        <v>37</v>
      </c>
      <c r="K1234" s="2">
        <v>46087</v>
      </c>
      <c r="L1234" s="2">
        <v>46177</v>
      </c>
      <c r="M1234" t="s">
        <v>38</v>
      </c>
      <c r="N1234" t="s">
        <v>49</v>
      </c>
      <c r="O1234">
        <v>2</v>
      </c>
      <c r="P1234" t="s">
        <v>62</v>
      </c>
      <c r="Q1234" s="2">
        <v>46130</v>
      </c>
      <c r="R1234" t="s">
        <v>38</v>
      </c>
    </row>
    <row r="1235" spans="1:18" x14ac:dyDescent="0.2">
      <c r="A1235" t="s">
        <v>2528</v>
      </c>
      <c r="B1235" t="s">
        <v>2529</v>
      </c>
      <c r="C1235" t="s">
        <v>42</v>
      </c>
      <c r="D1235" t="s">
        <v>43</v>
      </c>
      <c r="E1235" t="s">
        <v>91</v>
      </c>
      <c r="F1235" t="s">
        <v>34</v>
      </c>
      <c r="G1235" t="s">
        <v>35</v>
      </c>
      <c r="H1235" t="s">
        <v>88</v>
      </c>
      <c r="I1235" t="s">
        <v>39</v>
      </c>
      <c r="J1235" t="s">
        <v>48</v>
      </c>
      <c r="K1235" s="2">
        <v>46260</v>
      </c>
      <c r="L1235" s="2">
        <v>46625</v>
      </c>
      <c r="M1235" t="s">
        <v>64</v>
      </c>
      <c r="N1235" t="s">
        <v>75</v>
      </c>
      <c r="O1235">
        <v>1</v>
      </c>
      <c r="P1235" t="s">
        <v>62</v>
      </c>
      <c r="Q1235" s="2">
        <v>46290</v>
      </c>
      <c r="R1235" t="s">
        <v>38</v>
      </c>
    </row>
    <row r="1236" spans="1:18" x14ac:dyDescent="0.2">
      <c r="A1236" t="s">
        <v>2530</v>
      </c>
      <c r="B1236" t="s">
        <v>2531</v>
      </c>
      <c r="C1236" t="s">
        <v>103</v>
      </c>
      <c r="D1236" t="s">
        <v>104</v>
      </c>
      <c r="E1236" t="s">
        <v>44</v>
      </c>
      <c r="F1236" t="s">
        <v>67</v>
      </c>
      <c r="G1236" t="s">
        <v>118</v>
      </c>
      <c r="H1236" t="s">
        <v>47</v>
      </c>
      <c r="I1236" t="s">
        <v>56</v>
      </c>
      <c r="J1236" t="s">
        <v>48</v>
      </c>
      <c r="K1236" s="2">
        <v>46180</v>
      </c>
      <c r="L1236" s="2">
        <v>46545</v>
      </c>
      <c r="M1236" t="s">
        <v>64</v>
      </c>
      <c r="N1236" t="s">
        <v>55</v>
      </c>
      <c r="O1236">
        <v>2</v>
      </c>
      <c r="P1236" t="s">
        <v>70</v>
      </c>
      <c r="Q1236" s="2">
        <v>46315</v>
      </c>
      <c r="R1236" t="s">
        <v>84</v>
      </c>
    </row>
    <row r="1237" spans="1:18" x14ac:dyDescent="0.2">
      <c r="A1237" t="s">
        <v>2532</v>
      </c>
      <c r="B1237" t="s">
        <v>2533</v>
      </c>
      <c r="C1237" t="s">
        <v>31</v>
      </c>
      <c r="D1237" t="s">
        <v>83</v>
      </c>
      <c r="E1237" t="s">
        <v>44</v>
      </c>
      <c r="F1237" t="s">
        <v>67</v>
      </c>
      <c r="G1237" t="s">
        <v>118</v>
      </c>
      <c r="H1237" t="s">
        <v>47</v>
      </c>
      <c r="I1237" t="s">
        <v>106</v>
      </c>
      <c r="J1237" t="s">
        <v>63</v>
      </c>
      <c r="K1237" s="2">
        <v>46180</v>
      </c>
      <c r="L1237" s="2">
        <v>46545</v>
      </c>
      <c r="M1237" t="s">
        <v>69</v>
      </c>
      <c r="N1237" t="s">
        <v>55</v>
      </c>
      <c r="O1237">
        <v>2</v>
      </c>
      <c r="P1237" t="s">
        <v>54</v>
      </c>
      <c r="Q1237" s="2">
        <v>46314</v>
      </c>
      <c r="R1237" t="s">
        <v>64</v>
      </c>
    </row>
    <row r="1238" spans="1:18" x14ac:dyDescent="0.2">
      <c r="A1238" t="s">
        <v>2534</v>
      </c>
      <c r="B1238" t="s">
        <v>2535</v>
      </c>
      <c r="C1238" t="s">
        <v>96</v>
      </c>
      <c r="D1238" t="s">
        <v>97</v>
      </c>
      <c r="E1238" t="s">
        <v>53</v>
      </c>
      <c r="F1238" t="s">
        <v>34</v>
      </c>
      <c r="G1238" t="s">
        <v>35</v>
      </c>
      <c r="H1238" t="s">
        <v>88</v>
      </c>
      <c r="I1238" t="s">
        <v>106</v>
      </c>
      <c r="J1238" t="s">
        <v>37</v>
      </c>
      <c r="K1238" s="2">
        <v>46223</v>
      </c>
      <c r="L1238" s="2">
        <v>46313</v>
      </c>
      <c r="M1238" t="s">
        <v>84</v>
      </c>
      <c r="N1238" t="s">
        <v>49</v>
      </c>
      <c r="O1238">
        <v>3</v>
      </c>
      <c r="P1238" t="s">
        <v>62</v>
      </c>
      <c r="Q1238" s="2">
        <v>46304</v>
      </c>
      <c r="R1238" t="s">
        <v>84</v>
      </c>
    </row>
    <row r="1239" spans="1:18" x14ac:dyDescent="0.2">
      <c r="A1239" t="s">
        <v>2536</v>
      </c>
      <c r="B1239" t="s">
        <v>2537</v>
      </c>
      <c r="C1239" t="s">
        <v>42</v>
      </c>
      <c r="D1239" t="s">
        <v>43</v>
      </c>
      <c r="E1239" t="s">
        <v>105</v>
      </c>
      <c r="F1239" t="s">
        <v>34</v>
      </c>
      <c r="G1239" t="s">
        <v>35</v>
      </c>
      <c r="H1239" t="s">
        <v>88</v>
      </c>
      <c r="I1239" t="s">
        <v>111</v>
      </c>
      <c r="J1239" t="s">
        <v>63</v>
      </c>
      <c r="K1239" s="2">
        <v>45880</v>
      </c>
      <c r="L1239" s="2">
        <v>46245</v>
      </c>
      <c r="M1239" t="s">
        <v>38</v>
      </c>
      <c r="N1239" t="s">
        <v>75</v>
      </c>
      <c r="O1239">
        <v>2</v>
      </c>
      <c r="P1239" t="s">
        <v>70</v>
      </c>
      <c r="Q1239" s="2">
        <v>46229</v>
      </c>
      <c r="R1239" t="s">
        <v>64</v>
      </c>
    </row>
    <row r="1240" spans="1:18" x14ac:dyDescent="0.2">
      <c r="A1240" t="s">
        <v>2538</v>
      </c>
      <c r="B1240" t="s">
        <v>2539</v>
      </c>
      <c r="C1240" t="s">
        <v>42</v>
      </c>
      <c r="D1240" t="s">
        <v>43</v>
      </c>
      <c r="E1240" t="s">
        <v>105</v>
      </c>
      <c r="F1240" t="s">
        <v>34</v>
      </c>
      <c r="G1240" t="s">
        <v>35</v>
      </c>
      <c r="H1240" t="s">
        <v>36</v>
      </c>
      <c r="I1240" t="s">
        <v>111</v>
      </c>
      <c r="J1240" t="s">
        <v>48</v>
      </c>
      <c r="K1240" s="2">
        <v>46191</v>
      </c>
      <c r="L1240" s="2">
        <v>46281</v>
      </c>
      <c r="M1240" t="s">
        <v>38</v>
      </c>
      <c r="N1240" t="s">
        <v>55</v>
      </c>
      <c r="O1240">
        <v>4</v>
      </c>
      <c r="P1240" t="s">
        <v>70</v>
      </c>
      <c r="Q1240" s="2">
        <v>46285</v>
      </c>
      <c r="R1240" t="s">
        <v>38</v>
      </c>
    </row>
    <row r="1241" spans="1:18" x14ac:dyDescent="0.2">
      <c r="A1241" t="s">
        <v>2540</v>
      </c>
      <c r="B1241" t="s">
        <v>2541</v>
      </c>
      <c r="C1241" t="s">
        <v>31</v>
      </c>
      <c r="D1241" t="s">
        <v>83</v>
      </c>
      <c r="E1241" t="s">
        <v>80</v>
      </c>
      <c r="F1241" t="s">
        <v>67</v>
      </c>
      <c r="G1241" t="s">
        <v>68</v>
      </c>
      <c r="H1241" t="s">
        <v>88</v>
      </c>
      <c r="I1241" t="s">
        <v>106</v>
      </c>
      <c r="J1241" t="s">
        <v>63</v>
      </c>
      <c r="K1241" s="2">
        <v>46125</v>
      </c>
      <c r="L1241" s="2">
        <v>46305</v>
      </c>
      <c r="M1241" t="s">
        <v>64</v>
      </c>
      <c r="N1241" t="s">
        <v>75</v>
      </c>
      <c r="O1241">
        <v>1</v>
      </c>
      <c r="P1241" t="s">
        <v>54</v>
      </c>
      <c r="Q1241" s="2">
        <v>46169</v>
      </c>
      <c r="R1241" t="s">
        <v>64</v>
      </c>
    </row>
    <row r="1242" spans="1:18" x14ac:dyDescent="0.2">
      <c r="A1242" t="s">
        <v>2542</v>
      </c>
      <c r="B1242" t="s">
        <v>2543</v>
      </c>
      <c r="C1242" t="s">
        <v>42</v>
      </c>
      <c r="D1242" t="s">
        <v>43</v>
      </c>
      <c r="E1242" t="s">
        <v>91</v>
      </c>
      <c r="F1242" t="s">
        <v>67</v>
      </c>
      <c r="G1242" t="s">
        <v>118</v>
      </c>
      <c r="H1242" t="s">
        <v>36</v>
      </c>
      <c r="I1242" t="s">
        <v>70</v>
      </c>
      <c r="J1242" t="s">
        <v>48</v>
      </c>
      <c r="K1242" s="2">
        <v>46154</v>
      </c>
      <c r="L1242" s="2">
        <v>46334</v>
      </c>
      <c r="M1242" t="s">
        <v>64</v>
      </c>
      <c r="N1242" t="s">
        <v>75</v>
      </c>
      <c r="O1242">
        <v>0</v>
      </c>
      <c r="P1242" t="s">
        <v>70</v>
      </c>
      <c r="Q1242" s="2">
        <v>46123</v>
      </c>
      <c r="R1242" t="s">
        <v>57</v>
      </c>
    </row>
    <row r="1243" spans="1:18" x14ac:dyDescent="0.2">
      <c r="A1243" t="s">
        <v>2544</v>
      </c>
      <c r="B1243" t="s">
        <v>2545</v>
      </c>
      <c r="C1243" t="s">
        <v>96</v>
      </c>
      <c r="D1243" t="s">
        <v>97</v>
      </c>
      <c r="E1243" t="s">
        <v>105</v>
      </c>
      <c r="F1243" t="s">
        <v>67</v>
      </c>
      <c r="G1243" t="s">
        <v>68</v>
      </c>
      <c r="H1243" t="s">
        <v>36</v>
      </c>
      <c r="I1243" t="s">
        <v>50</v>
      </c>
      <c r="J1243" t="s">
        <v>48</v>
      </c>
      <c r="K1243" s="2">
        <v>46042</v>
      </c>
      <c r="L1243" s="2">
        <v>46222</v>
      </c>
      <c r="M1243" t="s">
        <v>38</v>
      </c>
      <c r="N1243" t="s">
        <v>49</v>
      </c>
      <c r="O1243">
        <v>4</v>
      </c>
      <c r="P1243" t="s">
        <v>50</v>
      </c>
      <c r="Q1243" s="2">
        <v>46177</v>
      </c>
      <c r="R1243" t="s">
        <v>38</v>
      </c>
    </row>
    <row r="1244" spans="1:18" x14ac:dyDescent="0.2">
      <c r="A1244" t="s">
        <v>2546</v>
      </c>
      <c r="B1244" t="s">
        <v>2547</v>
      </c>
      <c r="C1244" t="s">
        <v>31</v>
      </c>
      <c r="D1244" t="s">
        <v>83</v>
      </c>
      <c r="E1244" t="s">
        <v>53</v>
      </c>
      <c r="F1244" t="s">
        <v>67</v>
      </c>
      <c r="G1244" t="s">
        <v>68</v>
      </c>
      <c r="H1244" t="s">
        <v>88</v>
      </c>
      <c r="I1244" t="s">
        <v>54</v>
      </c>
      <c r="J1244" t="s">
        <v>63</v>
      </c>
      <c r="K1244" s="2">
        <v>45843</v>
      </c>
      <c r="L1244" s="2">
        <v>46208</v>
      </c>
      <c r="M1244" t="s">
        <v>38</v>
      </c>
      <c r="N1244" t="s">
        <v>49</v>
      </c>
      <c r="O1244">
        <v>2</v>
      </c>
      <c r="P1244" t="s">
        <v>62</v>
      </c>
      <c r="Q1244" s="2">
        <v>46320</v>
      </c>
      <c r="R1244" t="s">
        <v>64</v>
      </c>
    </row>
    <row r="1245" spans="1:18" x14ac:dyDescent="0.2">
      <c r="A1245" t="s">
        <v>2548</v>
      </c>
      <c r="B1245" t="s">
        <v>2549</v>
      </c>
      <c r="C1245" t="s">
        <v>31</v>
      </c>
      <c r="D1245" t="s">
        <v>83</v>
      </c>
      <c r="E1245" t="s">
        <v>53</v>
      </c>
      <c r="F1245" t="s">
        <v>67</v>
      </c>
      <c r="G1245" t="s">
        <v>68</v>
      </c>
      <c r="H1245" t="s">
        <v>36</v>
      </c>
      <c r="I1245" t="s">
        <v>62</v>
      </c>
      <c r="J1245" t="s">
        <v>37</v>
      </c>
      <c r="K1245" s="2">
        <v>45870</v>
      </c>
      <c r="L1245" s="2">
        <v>46050</v>
      </c>
      <c r="M1245" t="s">
        <v>38</v>
      </c>
      <c r="N1245" t="s">
        <v>49</v>
      </c>
      <c r="O1245">
        <v>3</v>
      </c>
      <c r="P1245" t="s">
        <v>106</v>
      </c>
      <c r="Q1245" s="2">
        <v>46258</v>
      </c>
      <c r="R1245" t="s">
        <v>64</v>
      </c>
    </row>
    <row r="1246" spans="1:18" x14ac:dyDescent="0.2">
      <c r="A1246" t="s">
        <v>2550</v>
      </c>
      <c r="B1246" t="s">
        <v>2551</v>
      </c>
      <c r="C1246" t="s">
        <v>73</v>
      </c>
      <c r="D1246" t="s">
        <v>74</v>
      </c>
      <c r="E1246" t="s">
        <v>91</v>
      </c>
      <c r="F1246" t="s">
        <v>34</v>
      </c>
      <c r="G1246" t="s">
        <v>35</v>
      </c>
      <c r="H1246" t="s">
        <v>36</v>
      </c>
      <c r="I1246" t="s">
        <v>56</v>
      </c>
      <c r="J1246" t="s">
        <v>63</v>
      </c>
      <c r="K1246" s="2">
        <v>45998</v>
      </c>
      <c r="L1246" s="2">
        <v>46363</v>
      </c>
      <c r="M1246" t="s">
        <v>64</v>
      </c>
      <c r="N1246" t="s">
        <v>49</v>
      </c>
      <c r="O1246">
        <v>3</v>
      </c>
      <c r="P1246" t="s">
        <v>56</v>
      </c>
      <c r="Q1246" s="2">
        <v>46301</v>
      </c>
      <c r="R1246" t="s">
        <v>84</v>
      </c>
    </row>
    <row r="1247" spans="1:18" x14ac:dyDescent="0.2">
      <c r="A1247" t="s">
        <v>2552</v>
      </c>
      <c r="B1247" t="s">
        <v>2553</v>
      </c>
      <c r="C1247" t="s">
        <v>31</v>
      </c>
      <c r="D1247" t="s">
        <v>87</v>
      </c>
      <c r="E1247" t="s">
        <v>53</v>
      </c>
      <c r="F1247" t="s">
        <v>45</v>
      </c>
      <c r="G1247" t="s">
        <v>46</v>
      </c>
      <c r="H1247" t="s">
        <v>98</v>
      </c>
      <c r="I1247" t="s">
        <v>70</v>
      </c>
      <c r="J1247" t="s">
        <v>48</v>
      </c>
      <c r="K1247" s="2">
        <v>46233</v>
      </c>
      <c r="L1247" s="2">
        <v>46598</v>
      </c>
      <c r="M1247" t="s">
        <v>64</v>
      </c>
      <c r="N1247" t="s">
        <v>75</v>
      </c>
      <c r="O1247">
        <v>0</v>
      </c>
      <c r="P1247" t="s">
        <v>50</v>
      </c>
      <c r="Q1247" s="2">
        <v>46184</v>
      </c>
      <c r="R1247" t="s">
        <v>57</v>
      </c>
    </row>
    <row r="1248" spans="1:18" x14ac:dyDescent="0.2">
      <c r="A1248" t="s">
        <v>2554</v>
      </c>
      <c r="B1248" t="s">
        <v>2555</v>
      </c>
      <c r="C1248" t="s">
        <v>31</v>
      </c>
      <c r="D1248" t="s">
        <v>87</v>
      </c>
      <c r="E1248" t="s">
        <v>91</v>
      </c>
      <c r="F1248" t="s">
        <v>67</v>
      </c>
      <c r="G1248" t="s">
        <v>118</v>
      </c>
      <c r="H1248" t="s">
        <v>47</v>
      </c>
      <c r="I1248" t="s">
        <v>54</v>
      </c>
      <c r="J1248" t="s">
        <v>37</v>
      </c>
      <c r="K1248" s="2">
        <v>46238</v>
      </c>
      <c r="L1248" s="2">
        <v>46328</v>
      </c>
      <c r="M1248" t="s">
        <v>64</v>
      </c>
      <c r="N1248" t="s">
        <v>55</v>
      </c>
      <c r="O1248">
        <v>2</v>
      </c>
      <c r="P1248" t="s">
        <v>111</v>
      </c>
      <c r="Q1248" s="2">
        <v>46277</v>
      </c>
      <c r="R1248" t="s">
        <v>64</v>
      </c>
    </row>
    <row r="1249" spans="1:18" x14ac:dyDescent="0.2">
      <c r="A1249" t="s">
        <v>2556</v>
      </c>
      <c r="B1249" t="s">
        <v>2557</v>
      </c>
      <c r="C1249" t="s">
        <v>78</v>
      </c>
      <c r="D1249" t="s">
        <v>79</v>
      </c>
      <c r="E1249" t="s">
        <v>91</v>
      </c>
      <c r="F1249" t="s">
        <v>45</v>
      </c>
      <c r="G1249" t="s">
        <v>46</v>
      </c>
      <c r="H1249" t="s">
        <v>88</v>
      </c>
      <c r="I1249" t="s">
        <v>50</v>
      </c>
      <c r="J1249" t="s">
        <v>63</v>
      </c>
      <c r="K1249" s="2">
        <v>45926</v>
      </c>
      <c r="L1249" s="2">
        <v>46016</v>
      </c>
      <c r="M1249" t="s">
        <v>38</v>
      </c>
      <c r="N1249" t="s">
        <v>75</v>
      </c>
      <c r="O1249">
        <v>2</v>
      </c>
      <c r="P1249" t="s">
        <v>111</v>
      </c>
      <c r="Q1249" s="2">
        <v>46260</v>
      </c>
      <c r="R1249" t="s">
        <v>38</v>
      </c>
    </row>
    <row r="1250" spans="1:18" x14ac:dyDescent="0.2">
      <c r="A1250" t="s">
        <v>2558</v>
      </c>
      <c r="B1250" t="s">
        <v>2559</v>
      </c>
      <c r="C1250" t="s">
        <v>42</v>
      </c>
      <c r="D1250" t="s">
        <v>43</v>
      </c>
      <c r="E1250" t="s">
        <v>91</v>
      </c>
      <c r="F1250" t="s">
        <v>45</v>
      </c>
      <c r="G1250" t="s">
        <v>61</v>
      </c>
      <c r="H1250" t="s">
        <v>98</v>
      </c>
      <c r="I1250" t="s">
        <v>54</v>
      </c>
      <c r="J1250" t="s">
        <v>37</v>
      </c>
      <c r="K1250" s="2">
        <v>46059</v>
      </c>
      <c r="L1250" s="2">
        <v>46239</v>
      </c>
      <c r="M1250" t="s">
        <v>38</v>
      </c>
      <c r="O1250">
        <v>5</v>
      </c>
      <c r="P1250" t="s">
        <v>50</v>
      </c>
      <c r="Q1250" s="2">
        <v>46340</v>
      </c>
      <c r="R1250" t="s">
        <v>84</v>
      </c>
    </row>
    <row r="1251" spans="1:18" x14ac:dyDescent="0.2">
      <c r="A1251" t="s">
        <v>2560</v>
      </c>
      <c r="B1251" t="s">
        <v>2561</v>
      </c>
      <c r="C1251" t="s">
        <v>31</v>
      </c>
      <c r="D1251" t="s">
        <v>83</v>
      </c>
      <c r="E1251" t="s">
        <v>44</v>
      </c>
      <c r="F1251" t="s">
        <v>34</v>
      </c>
      <c r="G1251" t="s">
        <v>35</v>
      </c>
      <c r="H1251" t="s">
        <v>88</v>
      </c>
      <c r="I1251" t="s">
        <v>50</v>
      </c>
      <c r="J1251" t="s">
        <v>63</v>
      </c>
      <c r="K1251" s="2">
        <v>45805</v>
      </c>
      <c r="L1251" s="2">
        <v>45985</v>
      </c>
      <c r="M1251" t="s">
        <v>38</v>
      </c>
      <c r="N1251" t="s">
        <v>75</v>
      </c>
      <c r="O1251">
        <v>1</v>
      </c>
      <c r="P1251" t="s">
        <v>70</v>
      </c>
      <c r="Q1251" s="2">
        <v>46150</v>
      </c>
      <c r="R1251" t="s">
        <v>38</v>
      </c>
    </row>
    <row r="1252" spans="1:18" x14ac:dyDescent="0.2">
      <c r="A1252" t="s">
        <v>2562</v>
      </c>
      <c r="B1252" t="s">
        <v>2563</v>
      </c>
      <c r="C1252" t="s">
        <v>31</v>
      </c>
      <c r="D1252" t="s">
        <v>32</v>
      </c>
      <c r="E1252" t="s">
        <v>44</v>
      </c>
      <c r="F1252" t="s">
        <v>34</v>
      </c>
      <c r="G1252" t="s">
        <v>35</v>
      </c>
      <c r="H1252" t="s">
        <v>36</v>
      </c>
      <c r="I1252" t="s">
        <v>50</v>
      </c>
      <c r="J1252" t="s">
        <v>37</v>
      </c>
      <c r="K1252" s="2">
        <v>46173</v>
      </c>
      <c r="L1252" s="2">
        <v>46538</v>
      </c>
      <c r="M1252" t="s">
        <v>64</v>
      </c>
      <c r="N1252" t="s">
        <v>49</v>
      </c>
      <c r="O1252">
        <v>0</v>
      </c>
      <c r="P1252" t="s">
        <v>39</v>
      </c>
      <c r="Q1252" s="2">
        <v>46271</v>
      </c>
      <c r="R1252" t="s">
        <v>57</v>
      </c>
    </row>
    <row r="1253" spans="1:18" x14ac:dyDescent="0.2">
      <c r="A1253" t="s">
        <v>2564</v>
      </c>
      <c r="B1253" t="s">
        <v>2565</v>
      </c>
      <c r="C1253" t="s">
        <v>31</v>
      </c>
      <c r="D1253" t="s">
        <v>32</v>
      </c>
      <c r="E1253" t="s">
        <v>80</v>
      </c>
      <c r="F1253" t="s">
        <v>45</v>
      </c>
      <c r="G1253" t="s">
        <v>46</v>
      </c>
      <c r="H1253" t="s">
        <v>47</v>
      </c>
      <c r="I1253" t="s">
        <v>50</v>
      </c>
      <c r="J1253" t="s">
        <v>37</v>
      </c>
      <c r="K1253" s="2">
        <v>46171</v>
      </c>
      <c r="L1253" s="2">
        <v>46536</v>
      </c>
      <c r="M1253" t="s">
        <v>69</v>
      </c>
      <c r="N1253" t="s">
        <v>55</v>
      </c>
      <c r="O1253">
        <v>1</v>
      </c>
      <c r="P1253" t="s">
        <v>50</v>
      </c>
      <c r="Q1253" s="2">
        <v>46356</v>
      </c>
      <c r="R1253" t="s">
        <v>84</v>
      </c>
    </row>
    <row r="1254" spans="1:18" x14ac:dyDescent="0.2">
      <c r="A1254" t="s">
        <v>2566</v>
      </c>
      <c r="B1254" t="s">
        <v>2567</v>
      </c>
      <c r="C1254" t="s">
        <v>31</v>
      </c>
      <c r="D1254" t="s">
        <v>83</v>
      </c>
      <c r="E1254" t="s">
        <v>80</v>
      </c>
      <c r="F1254" t="s">
        <v>45</v>
      </c>
      <c r="G1254" t="s">
        <v>61</v>
      </c>
      <c r="H1254" t="s">
        <v>88</v>
      </c>
      <c r="I1254" t="s">
        <v>56</v>
      </c>
      <c r="J1254" t="s">
        <v>63</v>
      </c>
      <c r="K1254" s="2">
        <v>45893</v>
      </c>
      <c r="L1254" s="2">
        <v>46073</v>
      </c>
      <c r="M1254" t="s">
        <v>38</v>
      </c>
      <c r="N1254" t="s">
        <v>49</v>
      </c>
      <c r="O1254">
        <v>2</v>
      </c>
      <c r="P1254" t="s">
        <v>39</v>
      </c>
      <c r="Q1254" s="2">
        <v>46362</v>
      </c>
      <c r="R1254" t="s">
        <v>64</v>
      </c>
    </row>
    <row r="1255" spans="1:18" x14ac:dyDescent="0.2">
      <c r="A1255" t="s">
        <v>2568</v>
      </c>
      <c r="B1255" t="s">
        <v>2569</v>
      </c>
      <c r="C1255" t="s">
        <v>31</v>
      </c>
      <c r="D1255" t="s">
        <v>83</v>
      </c>
      <c r="E1255" t="s">
        <v>60</v>
      </c>
      <c r="F1255" t="s">
        <v>67</v>
      </c>
      <c r="G1255" t="s">
        <v>68</v>
      </c>
      <c r="H1255" t="s">
        <v>47</v>
      </c>
      <c r="I1255" t="s">
        <v>111</v>
      </c>
      <c r="J1255" t="s">
        <v>37</v>
      </c>
      <c r="K1255" s="2">
        <v>46080</v>
      </c>
      <c r="L1255" s="2">
        <v>46445</v>
      </c>
      <c r="M1255" t="s">
        <v>84</v>
      </c>
      <c r="N1255" t="s">
        <v>75</v>
      </c>
      <c r="O1255">
        <v>0</v>
      </c>
      <c r="P1255" t="s">
        <v>70</v>
      </c>
      <c r="Q1255" s="2">
        <v>46396</v>
      </c>
      <c r="R1255" t="s">
        <v>57</v>
      </c>
    </row>
    <row r="1256" spans="1:18" x14ac:dyDescent="0.2">
      <c r="A1256" t="s">
        <v>2570</v>
      </c>
      <c r="B1256" t="s">
        <v>2571</v>
      </c>
      <c r="C1256" t="s">
        <v>31</v>
      </c>
      <c r="D1256" t="s">
        <v>83</v>
      </c>
      <c r="E1256" t="s">
        <v>44</v>
      </c>
      <c r="F1256" t="s">
        <v>34</v>
      </c>
      <c r="G1256" t="s">
        <v>35</v>
      </c>
      <c r="H1256" t="s">
        <v>47</v>
      </c>
      <c r="I1256" t="s">
        <v>54</v>
      </c>
      <c r="J1256" t="s">
        <v>63</v>
      </c>
      <c r="K1256" s="2">
        <v>46174</v>
      </c>
      <c r="L1256" s="2">
        <v>46354</v>
      </c>
      <c r="M1256" t="s">
        <v>84</v>
      </c>
      <c r="N1256" t="s">
        <v>49</v>
      </c>
      <c r="O1256">
        <v>1</v>
      </c>
      <c r="P1256" t="s">
        <v>54</v>
      </c>
      <c r="Q1256" s="2">
        <v>46129</v>
      </c>
      <c r="R1256" t="s">
        <v>64</v>
      </c>
    </row>
    <row r="1257" spans="1:18" x14ac:dyDescent="0.2">
      <c r="A1257" t="s">
        <v>2572</v>
      </c>
      <c r="B1257" t="s">
        <v>2573</v>
      </c>
      <c r="C1257" t="s">
        <v>103</v>
      </c>
      <c r="D1257" t="s">
        <v>104</v>
      </c>
      <c r="E1257" t="s">
        <v>44</v>
      </c>
      <c r="F1257" t="s">
        <v>34</v>
      </c>
      <c r="G1257" t="s">
        <v>35</v>
      </c>
      <c r="H1257" t="s">
        <v>98</v>
      </c>
      <c r="I1257" t="s">
        <v>62</v>
      </c>
      <c r="J1257" t="s">
        <v>63</v>
      </c>
      <c r="K1257" s="2">
        <v>45866</v>
      </c>
      <c r="L1257" s="2">
        <v>46046</v>
      </c>
      <c r="M1257" t="s">
        <v>38</v>
      </c>
      <c r="N1257" t="s">
        <v>49</v>
      </c>
      <c r="O1257">
        <v>4</v>
      </c>
      <c r="P1257" t="s">
        <v>50</v>
      </c>
      <c r="Q1257" s="2">
        <v>46153</v>
      </c>
      <c r="R1257" t="s">
        <v>38</v>
      </c>
    </row>
    <row r="1258" spans="1:18" x14ac:dyDescent="0.2">
      <c r="A1258" t="s">
        <v>2574</v>
      </c>
      <c r="B1258" t="s">
        <v>2575</v>
      </c>
      <c r="C1258" t="s">
        <v>42</v>
      </c>
      <c r="D1258" t="s">
        <v>43</v>
      </c>
      <c r="E1258" t="s">
        <v>53</v>
      </c>
      <c r="F1258" t="s">
        <v>45</v>
      </c>
      <c r="G1258" t="s">
        <v>46</v>
      </c>
      <c r="H1258" t="s">
        <v>88</v>
      </c>
      <c r="I1258" t="s">
        <v>54</v>
      </c>
      <c r="J1258" t="s">
        <v>37</v>
      </c>
      <c r="K1258" s="2">
        <v>45871</v>
      </c>
      <c r="L1258" s="2">
        <v>46236</v>
      </c>
      <c r="M1258" t="s">
        <v>38</v>
      </c>
      <c r="N1258" t="s">
        <v>49</v>
      </c>
      <c r="O1258">
        <v>1</v>
      </c>
      <c r="P1258" t="s">
        <v>70</v>
      </c>
      <c r="Q1258" s="2">
        <v>46278</v>
      </c>
      <c r="R1258" t="s">
        <v>38</v>
      </c>
    </row>
    <row r="1259" spans="1:18" x14ac:dyDescent="0.2">
      <c r="A1259" t="s">
        <v>2576</v>
      </c>
      <c r="B1259" t="s">
        <v>2577</v>
      </c>
      <c r="C1259" t="s">
        <v>73</v>
      </c>
      <c r="D1259" t="s">
        <v>74</v>
      </c>
      <c r="E1259" t="s">
        <v>91</v>
      </c>
      <c r="F1259" t="s">
        <v>67</v>
      </c>
      <c r="G1259" t="s">
        <v>118</v>
      </c>
      <c r="H1259" t="s">
        <v>36</v>
      </c>
      <c r="I1259" t="s">
        <v>111</v>
      </c>
      <c r="J1259" t="s">
        <v>37</v>
      </c>
      <c r="K1259" s="2">
        <v>46163</v>
      </c>
      <c r="L1259" s="2">
        <v>46253</v>
      </c>
      <c r="M1259" t="s">
        <v>38</v>
      </c>
      <c r="N1259" t="s">
        <v>75</v>
      </c>
      <c r="O1259">
        <v>2</v>
      </c>
      <c r="P1259" t="s">
        <v>111</v>
      </c>
      <c r="Q1259" s="2">
        <v>46241</v>
      </c>
      <c r="R1259" t="s">
        <v>38</v>
      </c>
    </row>
    <row r="1260" spans="1:18" x14ac:dyDescent="0.2">
      <c r="A1260" t="s">
        <v>2578</v>
      </c>
      <c r="B1260" t="s">
        <v>2579</v>
      </c>
      <c r="C1260" t="s">
        <v>96</v>
      </c>
      <c r="D1260" t="s">
        <v>97</v>
      </c>
      <c r="E1260" t="s">
        <v>44</v>
      </c>
      <c r="F1260" t="s">
        <v>34</v>
      </c>
      <c r="G1260" t="s">
        <v>35</v>
      </c>
      <c r="H1260" t="s">
        <v>36</v>
      </c>
      <c r="I1260" t="s">
        <v>111</v>
      </c>
      <c r="J1260" t="s">
        <v>63</v>
      </c>
      <c r="K1260" s="2">
        <v>46274</v>
      </c>
      <c r="L1260" s="2">
        <v>46364</v>
      </c>
      <c r="M1260" t="s">
        <v>69</v>
      </c>
      <c r="N1260" t="s">
        <v>55</v>
      </c>
      <c r="O1260">
        <v>1</v>
      </c>
      <c r="P1260" t="s">
        <v>111</v>
      </c>
      <c r="Q1260" s="2">
        <v>46143</v>
      </c>
      <c r="R1260" t="s">
        <v>64</v>
      </c>
    </row>
    <row r="1261" spans="1:18" x14ac:dyDescent="0.2">
      <c r="A1261" t="s">
        <v>2580</v>
      </c>
      <c r="B1261" t="s">
        <v>2581</v>
      </c>
      <c r="C1261" t="s">
        <v>31</v>
      </c>
      <c r="D1261" t="s">
        <v>32</v>
      </c>
      <c r="E1261" t="s">
        <v>44</v>
      </c>
      <c r="F1261" t="s">
        <v>34</v>
      </c>
      <c r="G1261" t="s">
        <v>35</v>
      </c>
      <c r="H1261" t="s">
        <v>88</v>
      </c>
      <c r="I1261" t="s">
        <v>106</v>
      </c>
      <c r="J1261" t="s">
        <v>37</v>
      </c>
      <c r="K1261" s="2">
        <v>46205</v>
      </c>
      <c r="L1261" s="2">
        <v>46570</v>
      </c>
      <c r="M1261" t="s">
        <v>84</v>
      </c>
      <c r="N1261" t="s">
        <v>55</v>
      </c>
      <c r="O1261">
        <v>1</v>
      </c>
      <c r="P1261" t="s">
        <v>62</v>
      </c>
      <c r="Q1261" s="2">
        <v>46129</v>
      </c>
      <c r="R1261" t="s">
        <v>38</v>
      </c>
    </row>
    <row r="1262" spans="1:18" x14ac:dyDescent="0.2">
      <c r="A1262" t="s">
        <v>2582</v>
      </c>
      <c r="B1262" t="s">
        <v>2583</v>
      </c>
      <c r="C1262" t="s">
        <v>96</v>
      </c>
      <c r="D1262" t="s">
        <v>97</v>
      </c>
      <c r="E1262" t="s">
        <v>60</v>
      </c>
      <c r="F1262" t="s">
        <v>34</v>
      </c>
      <c r="G1262" t="s">
        <v>35</v>
      </c>
      <c r="H1262" t="s">
        <v>47</v>
      </c>
      <c r="I1262" t="s">
        <v>39</v>
      </c>
      <c r="J1262" t="s">
        <v>63</v>
      </c>
      <c r="K1262" s="2">
        <v>45823</v>
      </c>
      <c r="L1262" s="2">
        <v>45913</v>
      </c>
      <c r="M1262" t="s">
        <v>38</v>
      </c>
      <c r="N1262" t="s">
        <v>75</v>
      </c>
      <c r="O1262">
        <v>3</v>
      </c>
      <c r="P1262" t="s">
        <v>54</v>
      </c>
      <c r="Q1262" s="2">
        <v>46353</v>
      </c>
      <c r="R1262" t="s">
        <v>84</v>
      </c>
    </row>
    <row r="1263" spans="1:18" x14ac:dyDescent="0.2">
      <c r="A1263" t="s">
        <v>2584</v>
      </c>
      <c r="B1263" t="s">
        <v>2585</v>
      </c>
      <c r="C1263" t="s">
        <v>31</v>
      </c>
      <c r="D1263" t="s">
        <v>87</v>
      </c>
      <c r="E1263" t="s">
        <v>91</v>
      </c>
      <c r="F1263" t="s">
        <v>34</v>
      </c>
      <c r="G1263" t="s">
        <v>35</v>
      </c>
      <c r="H1263" t="s">
        <v>88</v>
      </c>
      <c r="I1263" t="s">
        <v>50</v>
      </c>
      <c r="J1263" t="s">
        <v>37</v>
      </c>
      <c r="K1263" s="2">
        <v>46154</v>
      </c>
      <c r="L1263" s="2">
        <v>46519</v>
      </c>
      <c r="M1263" t="s">
        <v>64</v>
      </c>
      <c r="N1263" t="s">
        <v>55</v>
      </c>
      <c r="O1263">
        <v>0</v>
      </c>
      <c r="P1263" t="s">
        <v>54</v>
      </c>
      <c r="Q1263" s="2">
        <v>46218</v>
      </c>
      <c r="R1263" t="s">
        <v>57</v>
      </c>
    </row>
    <row r="1264" spans="1:18" x14ac:dyDescent="0.2">
      <c r="A1264" t="s">
        <v>2586</v>
      </c>
      <c r="B1264" t="s">
        <v>2587</v>
      </c>
      <c r="C1264" t="s">
        <v>31</v>
      </c>
      <c r="D1264" t="s">
        <v>32</v>
      </c>
      <c r="E1264" t="s">
        <v>60</v>
      </c>
      <c r="F1264" t="s">
        <v>67</v>
      </c>
      <c r="G1264" t="s">
        <v>68</v>
      </c>
      <c r="H1264" t="s">
        <v>36</v>
      </c>
      <c r="I1264" t="s">
        <v>106</v>
      </c>
      <c r="J1264" t="s">
        <v>48</v>
      </c>
      <c r="K1264" s="2">
        <v>46219</v>
      </c>
      <c r="L1264" s="2">
        <v>46399</v>
      </c>
      <c r="M1264" t="s">
        <v>64</v>
      </c>
      <c r="N1264" t="s">
        <v>55</v>
      </c>
      <c r="O1264">
        <v>1</v>
      </c>
      <c r="P1264" t="s">
        <v>50</v>
      </c>
      <c r="Q1264" s="2">
        <v>46407</v>
      </c>
      <c r="R1264" t="s">
        <v>84</v>
      </c>
    </row>
    <row r="1265" spans="1:18" x14ac:dyDescent="0.2">
      <c r="A1265" t="s">
        <v>2588</v>
      </c>
      <c r="B1265" t="s">
        <v>2589</v>
      </c>
      <c r="C1265" t="s">
        <v>103</v>
      </c>
      <c r="D1265" t="s">
        <v>104</v>
      </c>
      <c r="E1265" t="s">
        <v>91</v>
      </c>
      <c r="F1265" t="s">
        <v>34</v>
      </c>
      <c r="G1265" t="s">
        <v>35</v>
      </c>
      <c r="H1265" t="s">
        <v>47</v>
      </c>
      <c r="I1265" t="s">
        <v>56</v>
      </c>
      <c r="J1265" t="s">
        <v>63</v>
      </c>
      <c r="K1265" s="2">
        <v>46174</v>
      </c>
      <c r="L1265" s="2">
        <v>46354</v>
      </c>
      <c r="M1265" t="s">
        <v>64</v>
      </c>
      <c r="N1265" t="s">
        <v>49</v>
      </c>
      <c r="O1265">
        <v>1</v>
      </c>
      <c r="P1265" t="s">
        <v>62</v>
      </c>
      <c r="Q1265" s="2">
        <v>46144</v>
      </c>
      <c r="R1265" t="s">
        <v>38</v>
      </c>
    </row>
    <row r="1266" spans="1:18" x14ac:dyDescent="0.2">
      <c r="A1266" t="s">
        <v>2590</v>
      </c>
      <c r="B1266" t="s">
        <v>2591</v>
      </c>
      <c r="C1266" t="s">
        <v>31</v>
      </c>
      <c r="D1266" t="s">
        <v>83</v>
      </c>
      <c r="E1266" t="s">
        <v>44</v>
      </c>
      <c r="F1266" t="s">
        <v>67</v>
      </c>
      <c r="G1266" t="s">
        <v>68</v>
      </c>
      <c r="H1266" t="s">
        <v>88</v>
      </c>
      <c r="I1266" t="s">
        <v>111</v>
      </c>
      <c r="J1266" t="s">
        <v>48</v>
      </c>
      <c r="K1266" s="2">
        <v>46228</v>
      </c>
      <c r="L1266" s="2">
        <v>46593</v>
      </c>
      <c r="M1266" t="s">
        <v>84</v>
      </c>
      <c r="N1266" t="s">
        <v>75</v>
      </c>
      <c r="O1266">
        <v>0</v>
      </c>
      <c r="P1266" t="s">
        <v>50</v>
      </c>
      <c r="Q1266" s="2">
        <v>46192</v>
      </c>
      <c r="R1266" t="s">
        <v>57</v>
      </c>
    </row>
    <row r="1267" spans="1:18" x14ac:dyDescent="0.2">
      <c r="A1267" t="s">
        <v>2592</v>
      </c>
      <c r="B1267" t="s">
        <v>2593</v>
      </c>
      <c r="C1267" t="s">
        <v>78</v>
      </c>
      <c r="D1267" t="s">
        <v>79</v>
      </c>
      <c r="E1267" t="s">
        <v>80</v>
      </c>
      <c r="F1267" t="s">
        <v>45</v>
      </c>
      <c r="G1267" t="s">
        <v>61</v>
      </c>
      <c r="H1267" t="s">
        <v>88</v>
      </c>
      <c r="I1267" t="s">
        <v>50</v>
      </c>
      <c r="J1267" t="s">
        <v>48</v>
      </c>
      <c r="K1267" s="2">
        <v>46248</v>
      </c>
      <c r="L1267" s="2">
        <v>46338</v>
      </c>
      <c r="M1267" t="s">
        <v>84</v>
      </c>
      <c r="N1267" t="s">
        <v>55</v>
      </c>
      <c r="O1267">
        <v>0</v>
      </c>
      <c r="P1267" t="s">
        <v>50</v>
      </c>
      <c r="Q1267" s="2">
        <v>46310</v>
      </c>
      <c r="R1267" t="s">
        <v>57</v>
      </c>
    </row>
    <row r="1268" spans="1:18" x14ac:dyDescent="0.2">
      <c r="A1268" t="s">
        <v>2594</v>
      </c>
      <c r="B1268" t="s">
        <v>2595</v>
      </c>
      <c r="C1268" t="s">
        <v>103</v>
      </c>
      <c r="D1268" t="s">
        <v>104</v>
      </c>
      <c r="E1268" t="s">
        <v>60</v>
      </c>
      <c r="F1268" t="s">
        <v>45</v>
      </c>
      <c r="G1268" t="s">
        <v>46</v>
      </c>
      <c r="H1268" t="s">
        <v>36</v>
      </c>
      <c r="I1268" t="s">
        <v>111</v>
      </c>
      <c r="J1268" t="s">
        <v>63</v>
      </c>
      <c r="K1268" s="2">
        <v>46206</v>
      </c>
      <c r="L1268" s="2">
        <v>46571</v>
      </c>
      <c r="M1268" t="s">
        <v>64</v>
      </c>
      <c r="N1268" t="s">
        <v>49</v>
      </c>
      <c r="O1268">
        <v>4</v>
      </c>
      <c r="P1268" t="s">
        <v>54</v>
      </c>
      <c r="Q1268" s="2">
        <v>46339</v>
      </c>
      <c r="R1268" t="s">
        <v>84</v>
      </c>
    </row>
    <row r="1269" spans="1:18" x14ac:dyDescent="0.2">
      <c r="A1269" t="s">
        <v>2596</v>
      </c>
      <c r="B1269" t="s">
        <v>2597</v>
      </c>
      <c r="C1269" t="s">
        <v>96</v>
      </c>
      <c r="D1269" t="s">
        <v>97</v>
      </c>
      <c r="E1269" t="s">
        <v>60</v>
      </c>
      <c r="F1269" t="s">
        <v>45</v>
      </c>
      <c r="G1269" t="s">
        <v>61</v>
      </c>
      <c r="H1269" t="s">
        <v>47</v>
      </c>
      <c r="I1269" t="s">
        <v>62</v>
      </c>
      <c r="J1269" t="s">
        <v>63</v>
      </c>
      <c r="K1269" s="2">
        <v>46103</v>
      </c>
      <c r="L1269" s="2">
        <v>46193</v>
      </c>
      <c r="M1269" t="s">
        <v>38</v>
      </c>
      <c r="N1269" t="s">
        <v>49</v>
      </c>
      <c r="O1269">
        <v>0</v>
      </c>
      <c r="P1269" t="s">
        <v>56</v>
      </c>
      <c r="Q1269" s="2">
        <v>46206</v>
      </c>
      <c r="R1269" t="s">
        <v>57</v>
      </c>
    </row>
    <row r="1270" spans="1:18" x14ac:dyDescent="0.2">
      <c r="A1270" t="s">
        <v>2598</v>
      </c>
      <c r="B1270" t="s">
        <v>2599</v>
      </c>
      <c r="C1270" t="s">
        <v>78</v>
      </c>
      <c r="D1270" t="s">
        <v>79</v>
      </c>
      <c r="E1270" t="s">
        <v>44</v>
      </c>
      <c r="F1270" t="s">
        <v>34</v>
      </c>
      <c r="G1270" t="s">
        <v>35</v>
      </c>
      <c r="H1270" t="s">
        <v>36</v>
      </c>
      <c r="I1270" t="s">
        <v>56</v>
      </c>
      <c r="J1270" t="s">
        <v>63</v>
      </c>
      <c r="K1270" s="2">
        <v>46185</v>
      </c>
      <c r="L1270" s="2">
        <v>46275</v>
      </c>
      <c r="M1270" t="s">
        <v>38</v>
      </c>
      <c r="N1270" t="s">
        <v>55</v>
      </c>
      <c r="O1270">
        <v>2</v>
      </c>
      <c r="P1270" t="s">
        <v>50</v>
      </c>
      <c r="Q1270" s="2">
        <v>46126</v>
      </c>
      <c r="R1270" t="s">
        <v>38</v>
      </c>
    </row>
    <row r="1271" spans="1:18" x14ac:dyDescent="0.2">
      <c r="A1271" t="s">
        <v>2600</v>
      </c>
      <c r="B1271" t="s">
        <v>2601</v>
      </c>
      <c r="C1271" t="s">
        <v>73</v>
      </c>
      <c r="D1271" t="s">
        <v>74</v>
      </c>
      <c r="E1271" t="s">
        <v>60</v>
      </c>
      <c r="F1271" t="s">
        <v>67</v>
      </c>
      <c r="G1271" t="s">
        <v>68</v>
      </c>
      <c r="H1271" t="s">
        <v>88</v>
      </c>
      <c r="I1271" t="s">
        <v>50</v>
      </c>
      <c r="J1271" t="s">
        <v>63</v>
      </c>
      <c r="K1271" s="2">
        <v>46199</v>
      </c>
      <c r="L1271" s="2">
        <v>46564</v>
      </c>
      <c r="M1271" t="s">
        <v>64</v>
      </c>
      <c r="N1271" t="s">
        <v>55</v>
      </c>
      <c r="O1271">
        <v>0</v>
      </c>
      <c r="P1271" t="s">
        <v>62</v>
      </c>
      <c r="Q1271" s="2">
        <v>46214</v>
      </c>
      <c r="R1271" t="s">
        <v>57</v>
      </c>
    </row>
    <row r="1272" spans="1:18" x14ac:dyDescent="0.2">
      <c r="A1272" t="s">
        <v>2602</v>
      </c>
      <c r="B1272" t="s">
        <v>2603</v>
      </c>
      <c r="C1272" t="s">
        <v>42</v>
      </c>
      <c r="D1272" t="s">
        <v>43</v>
      </c>
      <c r="E1272" t="s">
        <v>44</v>
      </c>
      <c r="F1272" t="s">
        <v>45</v>
      </c>
      <c r="G1272" t="s">
        <v>46</v>
      </c>
      <c r="H1272" t="s">
        <v>36</v>
      </c>
      <c r="I1272" t="s">
        <v>106</v>
      </c>
      <c r="J1272" t="s">
        <v>37</v>
      </c>
      <c r="K1272" s="2">
        <v>46210</v>
      </c>
      <c r="L1272" s="2">
        <v>46575</v>
      </c>
      <c r="M1272" t="s">
        <v>84</v>
      </c>
      <c r="N1272" t="s">
        <v>55</v>
      </c>
      <c r="O1272">
        <v>1</v>
      </c>
      <c r="P1272" t="s">
        <v>106</v>
      </c>
      <c r="Q1272" s="2">
        <v>46347</v>
      </c>
      <c r="R1272" t="s">
        <v>64</v>
      </c>
    </row>
    <row r="1273" spans="1:18" x14ac:dyDescent="0.2">
      <c r="A1273" t="s">
        <v>2604</v>
      </c>
      <c r="B1273" t="s">
        <v>2605</v>
      </c>
      <c r="C1273" t="s">
        <v>31</v>
      </c>
      <c r="D1273" t="s">
        <v>32</v>
      </c>
      <c r="E1273" t="s">
        <v>60</v>
      </c>
      <c r="F1273" t="s">
        <v>34</v>
      </c>
      <c r="G1273" t="s">
        <v>35</v>
      </c>
      <c r="H1273" t="s">
        <v>88</v>
      </c>
      <c r="I1273" t="s">
        <v>56</v>
      </c>
      <c r="J1273" t="s">
        <v>48</v>
      </c>
      <c r="K1273" s="2">
        <v>45885</v>
      </c>
      <c r="L1273" s="2">
        <v>45975</v>
      </c>
      <c r="M1273" t="s">
        <v>38</v>
      </c>
      <c r="N1273" t="s">
        <v>55</v>
      </c>
      <c r="O1273">
        <v>0</v>
      </c>
      <c r="P1273" t="s">
        <v>39</v>
      </c>
      <c r="Q1273" s="2">
        <v>46247</v>
      </c>
      <c r="R1273" t="s">
        <v>57</v>
      </c>
    </row>
    <row r="1274" spans="1:18" x14ac:dyDescent="0.2">
      <c r="A1274" t="s">
        <v>2606</v>
      </c>
      <c r="B1274" t="s">
        <v>2607</v>
      </c>
      <c r="C1274" t="s">
        <v>31</v>
      </c>
      <c r="D1274" t="s">
        <v>87</v>
      </c>
      <c r="E1274" t="s">
        <v>105</v>
      </c>
      <c r="F1274" t="s">
        <v>45</v>
      </c>
      <c r="G1274" t="s">
        <v>61</v>
      </c>
      <c r="H1274" t="s">
        <v>88</v>
      </c>
      <c r="J1274" t="s">
        <v>63</v>
      </c>
      <c r="K1274" s="2">
        <v>46090</v>
      </c>
      <c r="L1274" s="2">
        <v>46455</v>
      </c>
      <c r="M1274" t="s">
        <v>64</v>
      </c>
      <c r="N1274" t="s">
        <v>55</v>
      </c>
      <c r="O1274">
        <v>3</v>
      </c>
      <c r="P1274" t="s">
        <v>70</v>
      </c>
      <c r="Q1274" s="2">
        <v>46257</v>
      </c>
      <c r="R1274" t="s">
        <v>64</v>
      </c>
    </row>
    <row r="1275" spans="1:18" x14ac:dyDescent="0.2">
      <c r="A1275" t="s">
        <v>2608</v>
      </c>
      <c r="B1275" t="s">
        <v>2609</v>
      </c>
      <c r="C1275" t="s">
        <v>31</v>
      </c>
      <c r="D1275" t="s">
        <v>83</v>
      </c>
      <c r="E1275" t="s">
        <v>60</v>
      </c>
      <c r="F1275" t="s">
        <v>67</v>
      </c>
      <c r="G1275" t="s">
        <v>118</v>
      </c>
      <c r="H1275" t="s">
        <v>47</v>
      </c>
      <c r="I1275" t="s">
        <v>54</v>
      </c>
      <c r="J1275" t="s">
        <v>63</v>
      </c>
      <c r="K1275" s="2">
        <v>46209</v>
      </c>
      <c r="L1275" s="2">
        <v>46299</v>
      </c>
      <c r="M1275" t="s">
        <v>84</v>
      </c>
      <c r="N1275" t="s">
        <v>75</v>
      </c>
      <c r="O1275">
        <v>2</v>
      </c>
      <c r="P1275" t="s">
        <v>39</v>
      </c>
      <c r="Q1275" s="2">
        <v>46248</v>
      </c>
      <c r="R1275" t="s">
        <v>38</v>
      </c>
    </row>
    <row r="1276" spans="1:18" x14ac:dyDescent="0.2">
      <c r="A1276" t="s">
        <v>2610</v>
      </c>
      <c r="B1276" t="s">
        <v>2611</v>
      </c>
      <c r="C1276" t="s">
        <v>96</v>
      </c>
      <c r="D1276" t="s">
        <v>97</v>
      </c>
      <c r="E1276" t="s">
        <v>105</v>
      </c>
      <c r="F1276" t="s">
        <v>45</v>
      </c>
      <c r="G1276" t="s">
        <v>61</v>
      </c>
      <c r="H1276" t="s">
        <v>47</v>
      </c>
      <c r="I1276" t="s">
        <v>70</v>
      </c>
      <c r="J1276" t="s">
        <v>37</v>
      </c>
      <c r="K1276" s="2">
        <v>46267</v>
      </c>
      <c r="L1276" s="2">
        <v>46632</v>
      </c>
      <c r="M1276" t="s">
        <v>64</v>
      </c>
      <c r="N1276" t="s">
        <v>75</v>
      </c>
      <c r="O1276">
        <v>3</v>
      </c>
      <c r="P1276" t="s">
        <v>56</v>
      </c>
      <c r="Q1276" s="2">
        <v>46403</v>
      </c>
      <c r="R1276" t="s">
        <v>84</v>
      </c>
    </row>
    <row r="1277" spans="1:18" x14ac:dyDescent="0.2">
      <c r="A1277" t="s">
        <v>2612</v>
      </c>
      <c r="B1277" t="s">
        <v>2613</v>
      </c>
      <c r="C1277" t="s">
        <v>31</v>
      </c>
      <c r="D1277" t="s">
        <v>32</v>
      </c>
      <c r="E1277" t="s">
        <v>53</v>
      </c>
      <c r="F1277" t="s">
        <v>34</v>
      </c>
      <c r="G1277" t="s">
        <v>35</v>
      </c>
      <c r="H1277" t="s">
        <v>88</v>
      </c>
      <c r="I1277" t="s">
        <v>106</v>
      </c>
      <c r="J1277" t="s">
        <v>37</v>
      </c>
      <c r="K1277" s="2">
        <v>46085</v>
      </c>
      <c r="L1277" s="2">
        <v>46265</v>
      </c>
      <c r="M1277" t="s">
        <v>38</v>
      </c>
      <c r="N1277" t="s">
        <v>75</v>
      </c>
      <c r="O1277">
        <v>1</v>
      </c>
      <c r="P1277" t="s">
        <v>111</v>
      </c>
      <c r="Q1277" s="2">
        <v>46241</v>
      </c>
      <c r="R1277" t="s">
        <v>64</v>
      </c>
    </row>
    <row r="1278" spans="1:18" x14ac:dyDescent="0.2">
      <c r="A1278" t="s">
        <v>2614</v>
      </c>
      <c r="B1278" t="s">
        <v>2615</v>
      </c>
      <c r="C1278" t="s">
        <v>103</v>
      </c>
      <c r="D1278" t="s">
        <v>104</v>
      </c>
      <c r="E1278" t="s">
        <v>105</v>
      </c>
      <c r="F1278" t="s">
        <v>67</v>
      </c>
      <c r="G1278" t="s">
        <v>68</v>
      </c>
      <c r="H1278" t="s">
        <v>47</v>
      </c>
      <c r="I1278" t="s">
        <v>39</v>
      </c>
      <c r="J1278" t="s">
        <v>63</v>
      </c>
      <c r="K1278" s="2">
        <v>45882</v>
      </c>
      <c r="L1278" s="2">
        <v>45972</v>
      </c>
      <c r="M1278" t="s">
        <v>38</v>
      </c>
      <c r="N1278" t="s">
        <v>49</v>
      </c>
      <c r="O1278">
        <v>0</v>
      </c>
      <c r="P1278" t="s">
        <v>62</v>
      </c>
      <c r="Q1278" s="2">
        <v>46134</v>
      </c>
      <c r="R1278" t="s">
        <v>57</v>
      </c>
    </row>
    <row r="1279" spans="1:18" x14ac:dyDescent="0.2">
      <c r="A1279" t="s">
        <v>2616</v>
      </c>
      <c r="B1279" t="s">
        <v>2617</v>
      </c>
      <c r="C1279" t="s">
        <v>31</v>
      </c>
      <c r="D1279" t="s">
        <v>87</v>
      </c>
      <c r="E1279" t="s">
        <v>105</v>
      </c>
      <c r="F1279" t="s">
        <v>34</v>
      </c>
      <c r="G1279" t="s">
        <v>35</v>
      </c>
      <c r="H1279" t="s">
        <v>88</v>
      </c>
      <c r="I1279" t="s">
        <v>56</v>
      </c>
      <c r="J1279" t="s">
        <v>48</v>
      </c>
      <c r="K1279" s="2">
        <v>45885</v>
      </c>
      <c r="L1279" s="2">
        <v>45975</v>
      </c>
      <c r="M1279" t="s">
        <v>38</v>
      </c>
      <c r="N1279" t="s">
        <v>75</v>
      </c>
      <c r="O1279">
        <v>1</v>
      </c>
      <c r="P1279" t="s">
        <v>106</v>
      </c>
      <c r="Q1279" s="2">
        <v>46331</v>
      </c>
      <c r="R1279" t="s">
        <v>84</v>
      </c>
    </row>
    <row r="1280" spans="1:18" x14ac:dyDescent="0.2">
      <c r="A1280" t="s">
        <v>2618</v>
      </c>
      <c r="B1280" t="s">
        <v>2619</v>
      </c>
      <c r="C1280" t="s">
        <v>96</v>
      </c>
      <c r="D1280" t="s">
        <v>97</v>
      </c>
      <c r="E1280" t="s">
        <v>44</v>
      </c>
      <c r="F1280" t="s">
        <v>67</v>
      </c>
      <c r="G1280" t="s">
        <v>68</v>
      </c>
      <c r="H1280" t="s">
        <v>88</v>
      </c>
      <c r="I1280" t="s">
        <v>70</v>
      </c>
      <c r="J1280" t="s">
        <v>48</v>
      </c>
      <c r="K1280" s="2">
        <v>46100</v>
      </c>
      <c r="L1280" s="2">
        <v>46465</v>
      </c>
      <c r="M1280" t="s">
        <v>64</v>
      </c>
      <c r="N1280" t="s">
        <v>55</v>
      </c>
      <c r="O1280">
        <v>1</v>
      </c>
      <c r="P1280" t="s">
        <v>39</v>
      </c>
      <c r="Q1280" s="2">
        <v>46375</v>
      </c>
      <c r="R1280" t="s">
        <v>64</v>
      </c>
    </row>
    <row r="1281" spans="1:18" x14ac:dyDescent="0.2">
      <c r="A1281" t="s">
        <v>2620</v>
      </c>
      <c r="B1281" t="s">
        <v>2621</v>
      </c>
      <c r="C1281" t="s">
        <v>78</v>
      </c>
      <c r="D1281" t="s">
        <v>79</v>
      </c>
      <c r="E1281" t="s">
        <v>53</v>
      </c>
      <c r="F1281" t="s">
        <v>67</v>
      </c>
      <c r="G1281" t="s">
        <v>68</v>
      </c>
      <c r="H1281" t="s">
        <v>47</v>
      </c>
      <c r="I1281" t="s">
        <v>39</v>
      </c>
      <c r="J1281" t="s">
        <v>48</v>
      </c>
      <c r="K1281" s="2">
        <v>45859</v>
      </c>
      <c r="L1281" s="2">
        <v>46039</v>
      </c>
      <c r="M1281" t="s">
        <v>38</v>
      </c>
      <c r="N1281" t="s">
        <v>75</v>
      </c>
      <c r="O1281">
        <v>2</v>
      </c>
      <c r="P1281" t="s">
        <v>54</v>
      </c>
      <c r="Q1281" s="2">
        <v>46366</v>
      </c>
      <c r="R1281" t="s">
        <v>64</v>
      </c>
    </row>
    <row r="1282" spans="1:18" x14ac:dyDescent="0.2">
      <c r="A1282" t="s">
        <v>2622</v>
      </c>
      <c r="B1282" t="s">
        <v>2623</v>
      </c>
      <c r="C1282" t="s">
        <v>103</v>
      </c>
      <c r="D1282" t="s">
        <v>104</v>
      </c>
      <c r="E1282" t="s">
        <v>60</v>
      </c>
      <c r="F1282" t="s">
        <v>45</v>
      </c>
      <c r="G1282" t="s">
        <v>46</v>
      </c>
      <c r="H1282" t="s">
        <v>88</v>
      </c>
      <c r="I1282" t="s">
        <v>106</v>
      </c>
      <c r="J1282" t="s">
        <v>63</v>
      </c>
      <c r="K1282" s="2">
        <v>46003</v>
      </c>
      <c r="L1282" s="2">
        <v>46368</v>
      </c>
      <c r="M1282" t="s">
        <v>69</v>
      </c>
      <c r="N1282" t="s">
        <v>75</v>
      </c>
      <c r="O1282">
        <v>3</v>
      </c>
      <c r="P1282" t="s">
        <v>39</v>
      </c>
      <c r="Q1282" s="2">
        <v>46244</v>
      </c>
      <c r="R1282" t="s">
        <v>38</v>
      </c>
    </row>
    <row r="1283" spans="1:18" x14ac:dyDescent="0.2">
      <c r="A1283" t="s">
        <v>2624</v>
      </c>
      <c r="B1283" t="s">
        <v>2625</v>
      </c>
      <c r="C1283" t="s">
        <v>78</v>
      </c>
      <c r="D1283" t="s">
        <v>79</v>
      </c>
      <c r="E1283" t="s">
        <v>91</v>
      </c>
      <c r="F1283" t="s">
        <v>67</v>
      </c>
      <c r="G1283" t="s">
        <v>68</v>
      </c>
      <c r="H1283" t="s">
        <v>36</v>
      </c>
      <c r="I1283" t="s">
        <v>54</v>
      </c>
      <c r="J1283" t="s">
        <v>48</v>
      </c>
      <c r="K1283" s="2">
        <v>45965</v>
      </c>
      <c r="L1283" s="2">
        <v>46145</v>
      </c>
      <c r="M1283" t="s">
        <v>38</v>
      </c>
      <c r="N1283" t="s">
        <v>55</v>
      </c>
      <c r="O1283">
        <v>3</v>
      </c>
      <c r="P1283" t="s">
        <v>70</v>
      </c>
      <c r="Q1283" s="2">
        <v>46245</v>
      </c>
      <c r="R1283" t="s">
        <v>38</v>
      </c>
    </row>
    <row r="1284" spans="1:18" x14ac:dyDescent="0.2">
      <c r="A1284" t="s">
        <v>2626</v>
      </c>
      <c r="B1284" t="s">
        <v>2627</v>
      </c>
      <c r="C1284" t="s">
        <v>42</v>
      </c>
      <c r="D1284" t="s">
        <v>43</v>
      </c>
      <c r="E1284" t="s">
        <v>60</v>
      </c>
      <c r="F1284" t="s">
        <v>67</v>
      </c>
      <c r="G1284" t="s">
        <v>68</v>
      </c>
      <c r="H1284" t="s">
        <v>47</v>
      </c>
      <c r="I1284" t="s">
        <v>50</v>
      </c>
      <c r="J1284" t="s">
        <v>37</v>
      </c>
      <c r="K1284" s="2">
        <v>45917</v>
      </c>
      <c r="L1284" s="2">
        <v>46097</v>
      </c>
      <c r="M1284" t="s">
        <v>38</v>
      </c>
      <c r="N1284" t="s">
        <v>55</v>
      </c>
      <c r="O1284">
        <v>0</v>
      </c>
      <c r="P1284" t="s">
        <v>62</v>
      </c>
      <c r="Q1284" s="2">
        <v>46144</v>
      </c>
      <c r="R1284" t="s">
        <v>57</v>
      </c>
    </row>
    <row r="1285" spans="1:18" x14ac:dyDescent="0.2">
      <c r="A1285" t="s">
        <v>2628</v>
      </c>
      <c r="B1285" t="s">
        <v>2629</v>
      </c>
      <c r="C1285" t="s">
        <v>96</v>
      </c>
      <c r="D1285" t="s">
        <v>97</v>
      </c>
      <c r="E1285" t="s">
        <v>53</v>
      </c>
      <c r="F1285" t="s">
        <v>45</v>
      </c>
      <c r="G1285" t="s">
        <v>61</v>
      </c>
      <c r="H1285" t="s">
        <v>88</v>
      </c>
      <c r="I1285" t="s">
        <v>39</v>
      </c>
      <c r="J1285" t="s">
        <v>37</v>
      </c>
      <c r="K1285" s="2">
        <v>45889</v>
      </c>
      <c r="L1285" s="2">
        <v>45979</v>
      </c>
      <c r="M1285" t="s">
        <v>38</v>
      </c>
      <c r="N1285" t="s">
        <v>55</v>
      </c>
      <c r="O1285">
        <v>0</v>
      </c>
      <c r="P1285" t="s">
        <v>70</v>
      </c>
      <c r="Q1285" s="2">
        <v>46343</v>
      </c>
      <c r="R1285" t="s">
        <v>57</v>
      </c>
    </row>
    <row r="1286" spans="1:18" x14ac:dyDescent="0.2">
      <c r="A1286" t="s">
        <v>2630</v>
      </c>
      <c r="B1286" t="s">
        <v>2631</v>
      </c>
      <c r="C1286" t="s">
        <v>42</v>
      </c>
      <c r="D1286" t="s">
        <v>43</v>
      </c>
      <c r="E1286" t="s">
        <v>105</v>
      </c>
      <c r="F1286" t="s">
        <v>67</v>
      </c>
      <c r="G1286" t="s">
        <v>68</v>
      </c>
      <c r="H1286" t="s">
        <v>36</v>
      </c>
      <c r="I1286" t="s">
        <v>56</v>
      </c>
      <c r="J1286" t="s">
        <v>48</v>
      </c>
      <c r="K1286" s="2">
        <v>45976</v>
      </c>
      <c r="L1286" s="2">
        <v>46066</v>
      </c>
      <c r="M1286" t="s">
        <v>38</v>
      </c>
      <c r="N1286" t="s">
        <v>49</v>
      </c>
      <c r="O1286">
        <v>4</v>
      </c>
      <c r="P1286" t="s">
        <v>106</v>
      </c>
      <c r="Q1286" s="2">
        <v>46149</v>
      </c>
      <c r="R1286" t="s">
        <v>38</v>
      </c>
    </row>
    <row r="1287" spans="1:18" x14ac:dyDescent="0.2">
      <c r="A1287" t="s">
        <v>2632</v>
      </c>
      <c r="B1287" t="s">
        <v>2633</v>
      </c>
      <c r="C1287" t="s">
        <v>78</v>
      </c>
      <c r="D1287" t="s">
        <v>79</v>
      </c>
      <c r="E1287" t="s">
        <v>53</v>
      </c>
      <c r="F1287" t="s">
        <v>45</v>
      </c>
      <c r="G1287" t="s">
        <v>46</v>
      </c>
      <c r="H1287" t="s">
        <v>36</v>
      </c>
      <c r="I1287" t="s">
        <v>39</v>
      </c>
      <c r="J1287" t="s">
        <v>63</v>
      </c>
      <c r="K1287" s="2">
        <v>46145</v>
      </c>
      <c r="L1287" s="2">
        <v>46510</v>
      </c>
      <c r="M1287" t="s">
        <v>84</v>
      </c>
      <c r="N1287" t="s">
        <v>49</v>
      </c>
      <c r="O1287">
        <v>2</v>
      </c>
      <c r="P1287" t="s">
        <v>111</v>
      </c>
      <c r="Q1287" s="2">
        <v>46369</v>
      </c>
      <c r="R1287" t="s">
        <v>84</v>
      </c>
    </row>
    <row r="1288" spans="1:18" x14ac:dyDescent="0.2">
      <c r="A1288" t="s">
        <v>2634</v>
      </c>
      <c r="B1288" t="s">
        <v>2635</v>
      </c>
      <c r="C1288" t="s">
        <v>78</v>
      </c>
      <c r="D1288" t="s">
        <v>79</v>
      </c>
      <c r="E1288" t="s">
        <v>91</v>
      </c>
      <c r="F1288" t="s">
        <v>34</v>
      </c>
      <c r="G1288" t="s">
        <v>35</v>
      </c>
      <c r="H1288" t="s">
        <v>47</v>
      </c>
      <c r="I1288" t="s">
        <v>111</v>
      </c>
      <c r="J1288" t="s">
        <v>63</v>
      </c>
      <c r="K1288" s="2">
        <v>45973</v>
      </c>
      <c r="L1288" s="2">
        <v>46153</v>
      </c>
      <c r="M1288" t="s">
        <v>38</v>
      </c>
      <c r="N1288" t="s">
        <v>49</v>
      </c>
      <c r="O1288">
        <v>0</v>
      </c>
      <c r="P1288" t="s">
        <v>56</v>
      </c>
      <c r="Q1288" s="2">
        <v>46327</v>
      </c>
      <c r="R1288" t="s">
        <v>57</v>
      </c>
    </row>
    <row r="1289" spans="1:18" x14ac:dyDescent="0.2">
      <c r="A1289" t="s">
        <v>2636</v>
      </c>
      <c r="B1289" t="s">
        <v>2637</v>
      </c>
      <c r="C1289" t="s">
        <v>103</v>
      </c>
      <c r="D1289" t="s">
        <v>104</v>
      </c>
      <c r="E1289" t="s">
        <v>80</v>
      </c>
      <c r="F1289" t="s">
        <v>45</v>
      </c>
      <c r="G1289" t="s">
        <v>61</v>
      </c>
      <c r="H1289" t="s">
        <v>98</v>
      </c>
      <c r="I1289" t="s">
        <v>50</v>
      </c>
      <c r="J1289" t="s">
        <v>48</v>
      </c>
      <c r="K1289" s="2">
        <v>46165</v>
      </c>
      <c r="L1289" s="2">
        <v>46345</v>
      </c>
      <c r="M1289" t="s">
        <v>64</v>
      </c>
      <c r="N1289" t="s">
        <v>55</v>
      </c>
      <c r="O1289">
        <v>3</v>
      </c>
      <c r="P1289" t="s">
        <v>106</v>
      </c>
      <c r="Q1289" s="2">
        <v>46360</v>
      </c>
      <c r="R1289" t="s">
        <v>84</v>
      </c>
    </row>
    <row r="1290" spans="1:18" x14ac:dyDescent="0.2">
      <c r="A1290" t="s">
        <v>2638</v>
      </c>
      <c r="B1290" t="s">
        <v>2639</v>
      </c>
      <c r="C1290" t="s">
        <v>31</v>
      </c>
      <c r="D1290" t="s">
        <v>83</v>
      </c>
      <c r="E1290" t="s">
        <v>44</v>
      </c>
      <c r="F1290" t="s">
        <v>67</v>
      </c>
      <c r="G1290" t="s">
        <v>68</v>
      </c>
      <c r="H1290" t="s">
        <v>36</v>
      </c>
      <c r="I1290" t="s">
        <v>56</v>
      </c>
      <c r="J1290" t="s">
        <v>63</v>
      </c>
      <c r="K1290" s="2">
        <v>45977</v>
      </c>
      <c r="L1290" s="2">
        <v>46342</v>
      </c>
      <c r="M1290" t="s">
        <v>69</v>
      </c>
      <c r="N1290" t="s">
        <v>55</v>
      </c>
      <c r="O1290">
        <v>0</v>
      </c>
      <c r="P1290" t="s">
        <v>50</v>
      </c>
      <c r="Q1290" s="2">
        <v>46250</v>
      </c>
      <c r="R1290" t="s">
        <v>57</v>
      </c>
    </row>
    <row r="1291" spans="1:18" x14ac:dyDescent="0.2">
      <c r="A1291" t="s">
        <v>2640</v>
      </c>
      <c r="B1291" t="s">
        <v>2641</v>
      </c>
      <c r="C1291" t="s">
        <v>78</v>
      </c>
      <c r="D1291" t="s">
        <v>79</v>
      </c>
      <c r="E1291" t="s">
        <v>80</v>
      </c>
      <c r="F1291" t="s">
        <v>45</v>
      </c>
      <c r="G1291" t="s">
        <v>46</v>
      </c>
      <c r="H1291" t="s">
        <v>47</v>
      </c>
      <c r="I1291" t="s">
        <v>111</v>
      </c>
      <c r="J1291" t="s">
        <v>48</v>
      </c>
      <c r="K1291" s="2">
        <v>45856</v>
      </c>
      <c r="L1291" s="2">
        <v>46221</v>
      </c>
      <c r="M1291" t="s">
        <v>38</v>
      </c>
      <c r="N1291" t="s">
        <v>55</v>
      </c>
      <c r="O1291">
        <v>0</v>
      </c>
      <c r="P1291" t="s">
        <v>39</v>
      </c>
      <c r="Q1291" s="2">
        <v>46160</v>
      </c>
      <c r="R1291" t="s">
        <v>57</v>
      </c>
    </row>
    <row r="1292" spans="1:18" x14ac:dyDescent="0.2">
      <c r="A1292" t="s">
        <v>2642</v>
      </c>
      <c r="B1292" t="s">
        <v>2643</v>
      </c>
      <c r="C1292" t="s">
        <v>96</v>
      </c>
      <c r="D1292" t="s">
        <v>97</v>
      </c>
      <c r="E1292" t="s">
        <v>105</v>
      </c>
      <c r="F1292" t="s">
        <v>34</v>
      </c>
      <c r="G1292" t="s">
        <v>35</v>
      </c>
      <c r="H1292" t="s">
        <v>36</v>
      </c>
      <c r="I1292" t="s">
        <v>70</v>
      </c>
      <c r="J1292" t="s">
        <v>63</v>
      </c>
      <c r="K1292" s="2">
        <v>46155</v>
      </c>
      <c r="L1292" s="2">
        <v>46335</v>
      </c>
      <c r="M1292" t="s">
        <v>69</v>
      </c>
      <c r="N1292" t="s">
        <v>55</v>
      </c>
      <c r="O1292">
        <v>0</v>
      </c>
      <c r="P1292" t="s">
        <v>56</v>
      </c>
      <c r="Q1292" s="2">
        <v>46157</v>
      </c>
      <c r="R1292" t="s">
        <v>57</v>
      </c>
    </row>
    <row r="1293" spans="1:18" x14ac:dyDescent="0.2">
      <c r="A1293" t="s">
        <v>2644</v>
      </c>
      <c r="B1293" t="s">
        <v>2645</v>
      </c>
      <c r="C1293" t="s">
        <v>31</v>
      </c>
      <c r="D1293" t="s">
        <v>32</v>
      </c>
      <c r="E1293" t="s">
        <v>105</v>
      </c>
      <c r="F1293" t="s">
        <v>34</v>
      </c>
      <c r="G1293" t="s">
        <v>35</v>
      </c>
      <c r="H1293" t="s">
        <v>98</v>
      </c>
      <c r="I1293" t="s">
        <v>62</v>
      </c>
      <c r="J1293" t="s">
        <v>37</v>
      </c>
      <c r="K1293" s="2">
        <v>45818</v>
      </c>
      <c r="L1293" s="2">
        <v>45998</v>
      </c>
      <c r="M1293" t="s">
        <v>38</v>
      </c>
      <c r="N1293" t="s">
        <v>75</v>
      </c>
      <c r="O1293">
        <v>4</v>
      </c>
      <c r="P1293" t="s">
        <v>54</v>
      </c>
      <c r="Q1293" s="2">
        <v>46185</v>
      </c>
      <c r="R1293" t="s">
        <v>64</v>
      </c>
    </row>
    <row r="1294" spans="1:18" x14ac:dyDescent="0.2">
      <c r="A1294" t="s">
        <v>2646</v>
      </c>
      <c r="B1294" t="s">
        <v>2647</v>
      </c>
      <c r="C1294" t="s">
        <v>31</v>
      </c>
      <c r="D1294" t="s">
        <v>87</v>
      </c>
      <c r="E1294" t="s">
        <v>60</v>
      </c>
      <c r="F1294" t="s">
        <v>34</v>
      </c>
      <c r="G1294" t="s">
        <v>35</v>
      </c>
      <c r="H1294" t="s">
        <v>88</v>
      </c>
      <c r="I1294" t="s">
        <v>39</v>
      </c>
      <c r="J1294" t="s">
        <v>37</v>
      </c>
      <c r="K1294" s="2">
        <v>45999</v>
      </c>
      <c r="L1294" s="2">
        <v>46089</v>
      </c>
      <c r="M1294" t="s">
        <v>38</v>
      </c>
      <c r="N1294" t="s">
        <v>55</v>
      </c>
      <c r="O1294">
        <v>0</v>
      </c>
      <c r="P1294" t="s">
        <v>106</v>
      </c>
      <c r="Q1294" s="2">
        <v>46247</v>
      </c>
      <c r="R1294" t="s">
        <v>57</v>
      </c>
    </row>
    <row r="1295" spans="1:18" x14ac:dyDescent="0.2">
      <c r="A1295" t="s">
        <v>2648</v>
      </c>
      <c r="B1295" t="s">
        <v>2649</v>
      </c>
      <c r="C1295" t="s">
        <v>31</v>
      </c>
      <c r="D1295" t="s">
        <v>32</v>
      </c>
      <c r="E1295" t="s">
        <v>44</v>
      </c>
      <c r="F1295" t="s">
        <v>67</v>
      </c>
      <c r="G1295" t="s">
        <v>68</v>
      </c>
      <c r="H1295" t="s">
        <v>36</v>
      </c>
      <c r="I1295" t="s">
        <v>62</v>
      </c>
      <c r="J1295" t="s">
        <v>63</v>
      </c>
      <c r="K1295" s="2">
        <v>45987</v>
      </c>
      <c r="L1295" s="2">
        <v>46077</v>
      </c>
      <c r="M1295" t="s">
        <v>38</v>
      </c>
      <c r="N1295" t="s">
        <v>75</v>
      </c>
      <c r="O1295">
        <v>4</v>
      </c>
      <c r="P1295" t="s">
        <v>111</v>
      </c>
      <c r="Q1295" s="2">
        <v>46321</v>
      </c>
      <c r="R1295" t="s">
        <v>64</v>
      </c>
    </row>
    <row r="1296" spans="1:18" x14ac:dyDescent="0.2">
      <c r="A1296" t="s">
        <v>2650</v>
      </c>
      <c r="B1296" t="s">
        <v>2651</v>
      </c>
      <c r="C1296" t="s">
        <v>96</v>
      </c>
      <c r="D1296" t="s">
        <v>97</v>
      </c>
      <c r="E1296" t="s">
        <v>44</v>
      </c>
      <c r="F1296" t="s">
        <v>34</v>
      </c>
      <c r="G1296" t="s">
        <v>35</v>
      </c>
      <c r="H1296" t="s">
        <v>88</v>
      </c>
      <c r="I1296" t="s">
        <v>62</v>
      </c>
      <c r="J1296" t="s">
        <v>63</v>
      </c>
      <c r="K1296" s="2">
        <v>45989</v>
      </c>
      <c r="L1296" s="2">
        <v>46354</v>
      </c>
      <c r="M1296" t="s">
        <v>64</v>
      </c>
      <c r="N1296" t="s">
        <v>49</v>
      </c>
      <c r="O1296">
        <v>3</v>
      </c>
      <c r="P1296" t="s">
        <v>39</v>
      </c>
      <c r="Q1296" s="2">
        <v>46411</v>
      </c>
      <c r="R1296" t="s">
        <v>84</v>
      </c>
    </row>
    <row r="1297" spans="1:18" x14ac:dyDescent="0.2">
      <c r="A1297" t="s">
        <v>2652</v>
      </c>
      <c r="B1297" t="s">
        <v>2653</v>
      </c>
      <c r="C1297" t="s">
        <v>31</v>
      </c>
      <c r="D1297" t="s">
        <v>87</v>
      </c>
      <c r="E1297" t="s">
        <v>60</v>
      </c>
      <c r="F1297" t="s">
        <v>67</v>
      </c>
      <c r="G1297" t="s">
        <v>68</v>
      </c>
      <c r="H1297" t="s">
        <v>88</v>
      </c>
      <c r="I1297" t="s">
        <v>70</v>
      </c>
      <c r="J1297" t="s">
        <v>63</v>
      </c>
      <c r="K1297" s="2">
        <v>46143</v>
      </c>
      <c r="L1297" s="2">
        <v>46233</v>
      </c>
      <c r="M1297" t="s">
        <v>38</v>
      </c>
      <c r="N1297" t="s">
        <v>49</v>
      </c>
      <c r="O1297">
        <v>3</v>
      </c>
      <c r="P1297" t="s">
        <v>54</v>
      </c>
      <c r="Q1297" s="2">
        <v>46172</v>
      </c>
      <c r="R1297" t="s">
        <v>38</v>
      </c>
    </row>
    <row r="1298" spans="1:18" x14ac:dyDescent="0.2">
      <c r="A1298" t="s">
        <v>2654</v>
      </c>
      <c r="B1298" t="s">
        <v>2655</v>
      </c>
      <c r="C1298" t="s">
        <v>78</v>
      </c>
      <c r="D1298" t="s">
        <v>79</v>
      </c>
      <c r="E1298" t="s">
        <v>53</v>
      </c>
      <c r="F1298" t="s">
        <v>45</v>
      </c>
      <c r="G1298" t="s">
        <v>61</v>
      </c>
      <c r="H1298" t="s">
        <v>88</v>
      </c>
      <c r="I1298" t="s">
        <v>54</v>
      </c>
      <c r="J1298" t="s">
        <v>37</v>
      </c>
      <c r="K1298" s="2">
        <v>46105</v>
      </c>
      <c r="L1298" s="2">
        <v>46470</v>
      </c>
      <c r="M1298" t="s">
        <v>64</v>
      </c>
      <c r="N1298" t="s">
        <v>55</v>
      </c>
      <c r="O1298">
        <v>3</v>
      </c>
      <c r="P1298" t="s">
        <v>39</v>
      </c>
      <c r="Q1298" s="2">
        <v>46412</v>
      </c>
      <c r="R1298" t="s">
        <v>84</v>
      </c>
    </row>
    <row r="1299" spans="1:18" x14ac:dyDescent="0.2">
      <c r="A1299" t="s">
        <v>2656</v>
      </c>
      <c r="B1299" t="s">
        <v>2657</v>
      </c>
      <c r="C1299" t="s">
        <v>42</v>
      </c>
      <c r="D1299" t="s">
        <v>43</v>
      </c>
      <c r="E1299" t="s">
        <v>91</v>
      </c>
      <c r="F1299" t="s">
        <v>34</v>
      </c>
      <c r="G1299" t="s">
        <v>35</v>
      </c>
      <c r="H1299" t="s">
        <v>88</v>
      </c>
      <c r="I1299" t="s">
        <v>62</v>
      </c>
      <c r="J1299" t="s">
        <v>48</v>
      </c>
      <c r="K1299" s="2">
        <v>46079</v>
      </c>
      <c r="L1299" s="2">
        <v>46444</v>
      </c>
      <c r="M1299" t="s">
        <v>64</v>
      </c>
      <c r="N1299" t="s">
        <v>75</v>
      </c>
      <c r="O1299">
        <v>3</v>
      </c>
      <c r="P1299" t="s">
        <v>111</v>
      </c>
      <c r="Q1299" s="2">
        <v>46128</v>
      </c>
      <c r="R1299" t="s">
        <v>64</v>
      </c>
    </row>
    <row r="1300" spans="1:18" x14ac:dyDescent="0.2">
      <c r="A1300" t="s">
        <v>2658</v>
      </c>
      <c r="B1300" t="s">
        <v>2659</v>
      </c>
      <c r="C1300" t="s">
        <v>31</v>
      </c>
      <c r="D1300" t="s">
        <v>83</v>
      </c>
      <c r="E1300" t="s">
        <v>60</v>
      </c>
      <c r="F1300" t="s">
        <v>45</v>
      </c>
      <c r="G1300" t="s">
        <v>46</v>
      </c>
      <c r="H1300" t="s">
        <v>88</v>
      </c>
      <c r="I1300" t="s">
        <v>62</v>
      </c>
      <c r="J1300" t="s">
        <v>63</v>
      </c>
      <c r="K1300" s="2">
        <v>46203</v>
      </c>
      <c r="L1300" s="2">
        <v>46293</v>
      </c>
      <c r="M1300" t="s">
        <v>38</v>
      </c>
      <c r="N1300" t="s">
        <v>75</v>
      </c>
      <c r="O1300">
        <v>1</v>
      </c>
      <c r="P1300" t="s">
        <v>54</v>
      </c>
      <c r="Q1300" s="2">
        <v>46323</v>
      </c>
      <c r="R1300" t="s">
        <v>64</v>
      </c>
    </row>
    <row r="1301" spans="1:18" x14ac:dyDescent="0.2">
      <c r="A1301" t="s">
        <v>2660</v>
      </c>
      <c r="B1301" t="s">
        <v>2661</v>
      </c>
      <c r="C1301" t="s">
        <v>31</v>
      </c>
      <c r="D1301" t="s">
        <v>83</v>
      </c>
      <c r="E1301" t="s">
        <v>60</v>
      </c>
      <c r="F1301" t="s">
        <v>67</v>
      </c>
      <c r="G1301" t="s">
        <v>118</v>
      </c>
      <c r="H1301" t="s">
        <v>88</v>
      </c>
      <c r="I1301" t="s">
        <v>54</v>
      </c>
      <c r="J1301" t="s">
        <v>63</v>
      </c>
      <c r="K1301" s="2">
        <v>45961</v>
      </c>
      <c r="L1301" s="2">
        <v>46051</v>
      </c>
      <c r="M1301" t="s">
        <v>38</v>
      </c>
      <c r="N1301" t="s">
        <v>75</v>
      </c>
      <c r="O1301">
        <v>1</v>
      </c>
      <c r="P1301" t="s">
        <v>111</v>
      </c>
      <c r="Q1301" s="2">
        <v>46247</v>
      </c>
      <c r="R1301" t="s">
        <v>38</v>
      </c>
    </row>
    <row r="1302" spans="1:18" x14ac:dyDescent="0.2">
      <c r="A1302" t="s">
        <v>2662</v>
      </c>
      <c r="B1302" t="s">
        <v>2663</v>
      </c>
      <c r="C1302" t="s">
        <v>31</v>
      </c>
      <c r="D1302" t="s">
        <v>83</v>
      </c>
      <c r="E1302" t="s">
        <v>80</v>
      </c>
      <c r="F1302" t="s">
        <v>34</v>
      </c>
      <c r="G1302" t="s">
        <v>35</v>
      </c>
      <c r="H1302" t="s">
        <v>47</v>
      </c>
      <c r="I1302" t="s">
        <v>70</v>
      </c>
      <c r="J1302" t="s">
        <v>48</v>
      </c>
      <c r="K1302" s="2">
        <v>46230</v>
      </c>
      <c r="L1302" s="2">
        <v>46410</v>
      </c>
      <c r="M1302" t="s">
        <v>64</v>
      </c>
      <c r="N1302" t="s">
        <v>55</v>
      </c>
      <c r="O1302">
        <v>1</v>
      </c>
      <c r="P1302" t="s">
        <v>62</v>
      </c>
      <c r="Q1302" s="2">
        <v>46298</v>
      </c>
      <c r="R1302" t="s">
        <v>84</v>
      </c>
    </row>
    <row r="1303" spans="1:18" x14ac:dyDescent="0.2">
      <c r="A1303" t="s">
        <v>2664</v>
      </c>
      <c r="B1303" t="s">
        <v>2665</v>
      </c>
      <c r="C1303" t="s">
        <v>42</v>
      </c>
      <c r="D1303" t="s">
        <v>43</v>
      </c>
      <c r="E1303" t="s">
        <v>44</v>
      </c>
      <c r="F1303" t="s">
        <v>45</v>
      </c>
      <c r="G1303" t="s">
        <v>46</v>
      </c>
      <c r="H1303" t="s">
        <v>88</v>
      </c>
      <c r="I1303" t="s">
        <v>62</v>
      </c>
      <c r="J1303" t="s">
        <v>63</v>
      </c>
      <c r="K1303" s="2">
        <v>45818</v>
      </c>
      <c r="L1303" s="2">
        <v>45908</v>
      </c>
      <c r="M1303" t="s">
        <v>38</v>
      </c>
      <c r="N1303" t="s">
        <v>75</v>
      </c>
      <c r="O1303">
        <v>1</v>
      </c>
      <c r="P1303" t="s">
        <v>70</v>
      </c>
      <c r="Q1303" s="2">
        <v>46242</v>
      </c>
      <c r="R1303" t="s">
        <v>64</v>
      </c>
    </row>
    <row r="1304" spans="1:18" x14ac:dyDescent="0.2">
      <c r="A1304" t="s">
        <v>2666</v>
      </c>
      <c r="B1304" t="s">
        <v>2667</v>
      </c>
      <c r="C1304" t="s">
        <v>31</v>
      </c>
      <c r="D1304" t="s">
        <v>32</v>
      </c>
      <c r="E1304" t="s">
        <v>91</v>
      </c>
      <c r="F1304" t="s">
        <v>67</v>
      </c>
      <c r="G1304" t="s">
        <v>118</v>
      </c>
      <c r="H1304" t="s">
        <v>47</v>
      </c>
      <c r="I1304" t="s">
        <v>50</v>
      </c>
      <c r="J1304" t="s">
        <v>37</v>
      </c>
      <c r="K1304" s="2">
        <v>46091</v>
      </c>
      <c r="L1304" s="2">
        <v>46271</v>
      </c>
      <c r="M1304" t="s">
        <v>38</v>
      </c>
      <c r="N1304" t="s">
        <v>75</v>
      </c>
      <c r="O1304">
        <v>3</v>
      </c>
      <c r="P1304" t="s">
        <v>39</v>
      </c>
      <c r="Q1304" s="2">
        <v>46189</v>
      </c>
      <c r="R1304" t="s">
        <v>64</v>
      </c>
    </row>
    <row r="1305" spans="1:18" x14ac:dyDescent="0.2">
      <c r="A1305" t="s">
        <v>2668</v>
      </c>
      <c r="B1305" t="s">
        <v>2669</v>
      </c>
      <c r="C1305" t="s">
        <v>31</v>
      </c>
      <c r="D1305" t="s">
        <v>83</v>
      </c>
      <c r="E1305" t="s">
        <v>53</v>
      </c>
      <c r="F1305" t="s">
        <v>45</v>
      </c>
      <c r="G1305" t="s">
        <v>61</v>
      </c>
      <c r="H1305" t="s">
        <v>47</v>
      </c>
      <c r="I1305" t="s">
        <v>62</v>
      </c>
      <c r="J1305" t="s">
        <v>37</v>
      </c>
      <c r="K1305" s="2">
        <v>46070</v>
      </c>
      <c r="L1305" s="2">
        <v>46160</v>
      </c>
      <c r="M1305" t="s">
        <v>38</v>
      </c>
      <c r="N1305" t="s">
        <v>75</v>
      </c>
      <c r="O1305">
        <v>3</v>
      </c>
      <c r="P1305" t="s">
        <v>39</v>
      </c>
      <c r="Q1305" s="2">
        <v>46148</v>
      </c>
      <c r="R1305" t="s">
        <v>38</v>
      </c>
    </row>
    <row r="1306" spans="1:18" x14ac:dyDescent="0.2">
      <c r="A1306" t="s">
        <v>2670</v>
      </c>
      <c r="B1306" t="s">
        <v>2671</v>
      </c>
      <c r="C1306" t="s">
        <v>31</v>
      </c>
      <c r="D1306" t="s">
        <v>32</v>
      </c>
      <c r="E1306" t="s">
        <v>80</v>
      </c>
      <c r="F1306" t="s">
        <v>34</v>
      </c>
      <c r="G1306" t="s">
        <v>35</v>
      </c>
      <c r="H1306" t="s">
        <v>88</v>
      </c>
      <c r="I1306" t="s">
        <v>50</v>
      </c>
      <c r="J1306" t="s">
        <v>48</v>
      </c>
      <c r="K1306" s="2">
        <v>46226</v>
      </c>
      <c r="L1306" s="2">
        <v>46406</v>
      </c>
      <c r="M1306" t="s">
        <v>64</v>
      </c>
      <c r="N1306" t="s">
        <v>75</v>
      </c>
      <c r="O1306">
        <v>3</v>
      </c>
      <c r="P1306" t="s">
        <v>106</v>
      </c>
      <c r="Q1306" s="2">
        <v>46379</v>
      </c>
      <c r="R1306" t="s">
        <v>84</v>
      </c>
    </row>
    <row r="1307" spans="1:18" x14ac:dyDescent="0.2">
      <c r="A1307" t="s">
        <v>2672</v>
      </c>
      <c r="B1307" t="s">
        <v>2673</v>
      </c>
      <c r="C1307" t="s">
        <v>96</v>
      </c>
      <c r="D1307" t="s">
        <v>97</v>
      </c>
      <c r="E1307" t="s">
        <v>80</v>
      </c>
      <c r="F1307" t="s">
        <v>34</v>
      </c>
      <c r="G1307" t="s">
        <v>35</v>
      </c>
      <c r="H1307" t="s">
        <v>88</v>
      </c>
      <c r="I1307" t="s">
        <v>56</v>
      </c>
      <c r="J1307" t="s">
        <v>63</v>
      </c>
      <c r="K1307" s="2">
        <v>45996</v>
      </c>
      <c r="L1307" s="2">
        <v>46176</v>
      </c>
      <c r="M1307" t="s">
        <v>38</v>
      </c>
      <c r="N1307" t="s">
        <v>49</v>
      </c>
      <c r="O1307">
        <v>1</v>
      </c>
      <c r="P1307" t="s">
        <v>62</v>
      </c>
      <c r="Q1307" s="2">
        <v>46412</v>
      </c>
      <c r="R1307" t="s">
        <v>84</v>
      </c>
    </row>
    <row r="1308" spans="1:18" x14ac:dyDescent="0.2">
      <c r="A1308" t="s">
        <v>2674</v>
      </c>
      <c r="B1308" t="s">
        <v>2675</v>
      </c>
      <c r="C1308" t="s">
        <v>31</v>
      </c>
      <c r="D1308" t="s">
        <v>87</v>
      </c>
      <c r="E1308" t="s">
        <v>91</v>
      </c>
      <c r="F1308" t="s">
        <v>34</v>
      </c>
      <c r="G1308" t="s">
        <v>35</v>
      </c>
      <c r="H1308" t="s">
        <v>36</v>
      </c>
      <c r="I1308" t="s">
        <v>70</v>
      </c>
      <c r="J1308" t="s">
        <v>48</v>
      </c>
      <c r="K1308" s="2">
        <v>46108</v>
      </c>
      <c r="L1308" s="2">
        <v>46288</v>
      </c>
      <c r="M1308" t="s">
        <v>38</v>
      </c>
      <c r="N1308" t="s">
        <v>49</v>
      </c>
      <c r="O1308">
        <v>2</v>
      </c>
      <c r="P1308" t="s">
        <v>50</v>
      </c>
      <c r="Q1308" s="2">
        <v>46275</v>
      </c>
      <c r="R1308" t="s">
        <v>38</v>
      </c>
    </row>
    <row r="1309" spans="1:18" x14ac:dyDescent="0.2">
      <c r="A1309" t="s">
        <v>2676</v>
      </c>
      <c r="B1309" t="s">
        <v>2677</v>
      </c>
      <c r="C1309" t="s">
        <v>31</v>
      </c>
      <c r="D1309" t="s">
        <v>32</v>
      </c>
      <c r="E1309" t="s">
        <v>105</v>
      </c>
      <c r="F1309" t="s">
        <v>34</v>
      </c>
      <c r="G1309" t="s">
        <v>35</v>
      </c>
      <c r="H1309" t="s">
        <v>36</v>
      </c>
      <c r="I1309" t="s">
        <v>111</v>
      </c>
      <c r="J1309" t="s">
        <v>48</v>
      </c>
      <c r="K1309" s="2">
        <v>46091</v>
      </c>
      <c r="L1309" s="2">
        <v>46181</v>
      </c>
      <c r="M1309" t="s">
        <v>38</v>
      </c>
      <c r="N1309" t="s">
        <v>49</v>
      </c>
      <c r="O1309">
        <v>3</v>
      </c>
      <c r="P1309" t="s">
        <v>62</v>
      </c>
      <c r="Q1309" s="2">
        <v>46137</v>
      </c>
      <c r="R1309" t="s">
        <v>38</v>
      </c>
    </row>
    <row r="1310" spans="1:18" x14ac:dyDescent="0.2">
      <c r="A1310" t="s">
        <v>2678</v>
      </c>
      <c r="B1310" t="s">
        <v>2679</v>
      </c>
      <c r="C1310" t="s">
        <v>42</v>
      </c>
      <c r="D1310" t="s">
        <v>43</v>
      </c>
      <c r="E1310" t="s">
        <v>44</v>
      </c>
      <c r="F1310" t="s">
        <v>34</v>
      </c>
      <c r="G1310" t="s">
        <v>35</v>
      </c>
      <c r="H1310" t="s">
        <v>36</v>
      </c>
      <c r="I1310" t="s">
        <v>62</v>
      </c>
      <c r="J1310" t="s">
        <v>37</v>
      </c>
      <c r="K1310" s="2">
        <v>46169</v>
      </c>
      <c r="L1310" s="2">
        <v>46349</v>
      </c>
      <c r="M1310" t="s">
        <v>64</v>
      </c>
      <c r="N1310" t="s">
        <v>75</v>
      </c>
      <c r="O1310">
        <v>5</v>
      </c>
      <c r="P1310" t="s">
        <v>39</v>
      </c>
      <c r="Q1310" s="2">
        <v>46179</v>
      </c>
      <c r="R1310" t="s">
        <v>64</v>
      </c>
    </row>
    <row r="1311" spans="1:18" x14ac:dyDescent="0.2">
      <c r="A1311" t="s">
        <v>2680</v>
      </c>
      <c r="B1311" t="s">
        <v>2681</v>
      </c>
      <c r="C1311" t="s">
        <v>78</v>
      </c>
      <c r="D1311" t="s">
        <v>79</v>
      </c>
      <c r="E1311" t="s">
        <v>105</v>
      </c>
      <c r="F1311" t="s">
        <v>67</v>
      </c>
      <c r="G1311" t="s">
        <v>118</v>
      </c>
      <c r="H1311" t="s">
        <v>47</v>
      </c>
      <c r="I1311" t="s">
        <v>56</v>
      </c>
      <c r="J1311" t="s">
        <v>63</v>
      </c>
      <c r="K1311" s="2">
        <v>45862</v>
      </c>
      <c r="L1311" s="2">
        <v>45952</v>
      </c>
      <c r="M1311" t="s">
        <v>38</v>
      </c>
      <c r="N1311" t="s">
        <v>75</v>
      </c>
      <c r="O1311">
        <v>2</v>
      </c>
      <c r="P1311" t="s">
        <v>56</v>
      </c>
      <c r="Q1311" s="2">
        <v>46206</v>
      </c>
      <c r="R1311" t="s">
        <v>64</v>
      </c>
    </row>
    <row r="1312" spans="1:18" x14ac:dyDescent="0.2">
      <c r="A1312" t="s">
        <v>2682</v>
      </c>
      <c r="B1312" t="s">
        <v>2683</v>
      </c>
      <c r="C1312" t="s">
        <v>42</v>
      </c>
      <c r="D1312" t="s">
        <v>43</v>
      </c>
      <c r="E1312" t="s">
        <v>80</v>
      </c>
      <c r="F1312" t="s">
        <v>34</v>
      </c>
      <c r="G1312" t="s">
        <v>35</v>
      </c>
      <c r="H1312" t="s">
        <v>88</v>
      </c>
      <c r="I1312" t="s">
        <v>39</v>
      </c>
      <c r="J1312" t="s">
        <v>37</v>
      </c>
      <c r="K1312" s="2">
        <v>46108</v>
      </c>
      <c r="L1312" s="2">
        <v>46288</v>
      </c>
      <c r="M1312" t="s">
        <v>38</v>
      </c>
      <c r="N1312" t="s">
        <v>75</v>
      </c>
      <c r="O1312">
        <v>1</v>
      </c>
      <c r="P1312" t="s">
        <v>106</v>
      </c>
      <c r="Q1312" s="2">
        <v>46122</v>
      </c>
      <c r="R1312" t="s">
        <v>38</v>
      </c>
    </row>
    <row r="1313" spans="1:18" x14ac:dyDescent="0.2">
      <c r="A1313" t="s">
        <v>2684</v>
      </c>
      <c r="B1313" t="s">
        <v>2685</v>
      </c>
      <c r="C1313" t="s">
        <v>31</v>
      </c>
      <c r="D1313" t="s">
        <v>87</v>
      </c>
      <c r="E1313" t="s">
        <v>53</v>
      </c>
      <c r="F1313" t="s">
        <v>67</v>
      </c>
      <c r="G1313" t="s">
        <v>118</v>
      </c>
      <c r="H1313" t="s">
        <v>88</v>
      </c>
      <c r="I1313" t="s">
        <v>39</v>
      </c>
      <c r="J1313" t="s">
        <v>48</v>
      </c>
      <c r="K1313" s="2">
        <v>45983</v>
      </c>
      <c r="L1313" s="2">
        <v>46163</v>
      </c>
      <c r="M1313" t="s">
        <v>38</v>
      </c>
      <c r="N1313" t="s">
        <v>75</v>
      </c>
      <c r="O1313">
        <v>2</v>
      </c>
      <c r="P1313" t="s">
        <v>54</v>
      </c>
      <c r="Q1313" s="2">
        <v>46228</v>
      </c>
      <c r="R1313" t="s">
        <v>64</v>
      </c>
    </row>
    <row r="1314" spans="1:18" x14ac:dyDescent="0.2">
      <c r="A1314" t="s">
        <v>2686</v>
      </c>
      <c r="B1314" t="s">
        <v>2687</v>
      </c>
      <c r="C1314" t="s">
        <v>31</v>
      </c>
      <c r="D1314" t="s">
        <v>87</v>
      </c>
      <c r="E1314" t="s">
        <v>80</v>
      </c>
      <c r="F1314" t="s">
        <v>67</v>
      </c>
      <c r="G1314" t="s">
        <v>118</v>
      </c>
      <c r="H1314" t="s">
        <v>36</v>
      </c>
      <c r="I1314" t="s">
        <v>50</v>
      </c>
      <c r="J1314" t="s">
        <v>37</v>
      </c>
      <c r="K1314" s="2">
        <v>45838</v>
      </c>
      <c r="L1314" s="2">
        <v>46203</v>
      </c>
      <c r="M1314" t="s">
        <v>38</v>
      </c>
      <c r="N1314" t="s">
        <v>55</v>
      </c>
      <c r="O1314">
        <v>3</v>
      </c>
      <c r="P1314" t="s">
        <v>106</v>
      </c>
      <c r="Q1314" s="2">
        <v>46287</v>
      </c>
      <c r="R1314" t="s">
        <v>38</v>
      </c>
    </row>
    <row r="1315" spans="1:18" x14ac:dyDescent="0.2">
      <c r="A1315" t="s">
        <v>2688</v>
      </c>
      <c r="B1315" t="s">
        <v>2689</v>
      </c>
      <c r="C1315" t="s">
        <v>31</v>
      </c>
      <c r="D1315" t="s">
        <v>83</v>
      </c>
      <c r="E1315" t="s">
        <v>44</v>
      </c>
      <c r="F1315" t="s">
        <v>34</v>
      </c>
      <c r="G1315" t="s">
        <v>35</v>
      </c>
      <c r="H1315" t="s">
        <v>98</v>
      </c>
      <c r="I1315" t="s">
        <v>39</v>
      </c>
      <c r="J1315" t="s">
        <v>48</v>
      </c>
      <c r="K1315" s="2">
        <v>45920</v>
      </c>
      <c r="L1315" s="2">
        <v>46285</v>
      </c>
      <c r="M1315" t="s">
        <v>38</v>
      </c>
      <c r="N1315" t="s">
        <v>75</v>
      </c>
      <c r="O1315">
        <v>1</v>
      </c>
      <c r="P1315" t="s">
        <v>111</v>
      </c>
      <c r="Q1315" s="2">
        <v>46210</v>
      </c>
      <c r="R1315" t="s">
        <v>64</v>
      </c>
    </row>
    <row r="1316" spans="1:18" x14ac:dyDescent="0.2">
      <c r="A1316" t="s">
        <v>2690</v>
      </c>
      <c r="B1316" t="s">
        <v>2691</v>
      </c>
      <c r="C1316" t="s">
        <v>31</v>
      </c>
      <c r="D1316" t="s">
        <v>87</v>
      </c>
      <c r="E1316" t="s">
        <v>91</v>
      </c>
      <c r="F1316" t="s">
        <v>67</v>
      </c>
      <c r="G1316" t="s">
        <v>118</v>
      </c>
      <c r="H1316" t="s">
        <v>88</v>
      </c>
      <c r="I1316" t="s">
        <v>56</v>
      </c>
      <c r="J1316" t="s">
        <v>48</v>
      </c>
      <c r="K1316" s="2">
        <v>46070</v>
      </c>
      <c r="L1316" s="2">
        <v>46160</v>
      </c>
      <c r="M1316" t="s">
        <v>38</v>
      </c>
      <c r="N1316" t="s">
        <v>75</v>
      </c>
      <c r="O1316">
        <v>0</v>
      </c>
      <c r="P1316" t="s">
        <v>50</v>
      </c>
      <c r="Q1316" s="2">
        <v>46314</v>
      </c>
      <c r="R1316" t="s">
        <v>57</v>
      </c>
    </row>
    <row r="1317" spans="1:18" x14ac:dyDescent="0.2">
      <c r="A1317" t="s">
        <v>2692</v>
      </c>
      <c r="B1317" t="s">
        <v>2693</v>
      </c>
      <c r="C1317" t="s">
        <v>96</v>
      </c>
      <c r="D1317" t="s">
        <v>97</v>
      </c>
      <c r="E1317" t="s">
        <v>105</v>
      </c>
      <c r="F1317" t="s">
        <v>67</v>
      </c>
      <c r="G1317" t="s">
        <v>68</v>
      </c>
      <c r="H1317" t="s">
        <v>88</v>
      </c>
      <c r="I1317" t="s">
        <v>56</v>
      </c>
      <c r="J1317" t="s">
        <v>63</v>
      </c>
      <c r="K1317" s="2">
        <v>46002</v>
      </c>
      <c r="L1317" s="2">
        <v>46367</v>
      </c>
      <c r="M1317" t="s">
        <v>84</v>
      </c>
      <c r="N1317" t="s">
        <v>55</v>
      </c>
      <c r="O1317">
        <v>0</v>
      </c>
      <c r="P1317" t="s">
        <v>62</v>
      </c>
      <c r="Q1317" s="2">
        <v>46170</v>
      </c>
      <c r="R1317" t="s">
        <v>57</v>
      </c>
    </row>
    <row r="1318" spans="1:18" x14ac:dyDescent="0.2">
      <c r="A1318" t="s">
        <v>2694</v>
      </c>
      <c r="B1318" t="s">
        <v>2695</v>
      </c>
      <c r="C1318" t="s">
        <v>96</v>
      </c>
      <c r="D1318" t="s">
        <v>97</v>
      </c>
      <c r="E1318" t="s">
        <v>60</v>
      </c>
      <c r="F1318" t="s">
        <v>67</v>
      </c>
      <c r="G1318" t="s">
        <v>118</v>
      </c>
      <c r="H1318" t="s">
        <v>47</v>
      </c>
      <c r="I1318" t="s">
        <v>70</v>
      </c>
      <c r="J1318" t="s">
        <v>63</v>
      </c>
      <c r="K1318" s="2">
        <v>46187</v>
      </c>
      <c r="L1318" s="2">
        <v>46552</v>
      </c>
      <c r="M1318" t="s">
        <v>69</v>
      </c>
      <c r="N1318" t="s">
        <v>75</v>
      </c>
      <c r="O1318">
        <v>0</v>
      </c>
      <c r="P1318" t="s">
        <v>62</v>
      </c>
      <c r="Q1318" s="2">
        <v>46254</v>
      </c>
      <c r="R1318" t="s">
        <v>57</v>
      </c>
    </row>
    <row r="1319" spans="1:18" x14ac:dyDescent="0.2">
      <c r="A1319" t="s">
        <v>2696</v>
      </c>
      <c r="B1319" t="s">
        <v>2697</v>
      </c>
      <c r="C1319" t="s">
        <v>42</v>
      </c>
      <c r="D1319" t="s">
        <v>43</v>
      </c>
      <c r="E1319" t="s">
        <v>91</v>
      </c>
      <c r="F1319" t="s">
        <v>67</v>
      </c>
      <c r="G1319" t="s">
        <v>68</v>
      </c>
      <c r="H1319" t="s">
        <v>36</v>
      </c>
      <c r="I1319" t="s">
        <v>70</v>
      </c>
      <c r="J1319" t="s">
        <v>63</v>
      </c>
      <c r="K1319" s="2">
        <v>46200</v>
      </c>
      <c r="L1319" s="2">
        <v>46565</v>
      </c>
      <c r="M1319" t="s">
        <v>64</v>
      </c>
      <c r="N1319" t="s">
        <v>55</v>
      </c>
      <c r="O1319">
        <v>0</v>
      </c>
      <c r="P1319" t="s">
        <v>111</v>
      </c>
      <c r="Q1319" s="2">
        <v>46219</v>
      </c>
      <c r="R1319" t="s">
        <v>57</v>
      </c>
    </row>
    <row r="1320" spans="1:18" x14ac:dyDescent="0.2">
      <c r="A1320" t="s">
        <v>2698</v>
      </c>
      <c r="B1320" t="s">
        <v>2699</v>
      </c>
      <c r="C1320" t="s">
        <v>31</v>
      </c>
      <c r="D1320" t="s">
        <v>83</v>
      </c>
      <c r="E1320" t="s">
        <v>80</v>
      </c>
      <c r="F1320" t="s">
        <v>67</v>
      </c>
      <c r="G1320" t="s">
        <v>68</v>
      </c>
      <c r="H1320" t="s">
        <v>88</v>
      </c>
      <c r="I1320" t="s">
        <v>62</v>
      </c>
      <c r="J1320" t="s">
        <v>37</v>
      </c>
      <c r="K1320" s="2">
        <v>45832</v>
      </c>
      <c r="L1320" s="2">
        <v>46197</v>
      </c>
      <c r="M1320" t="s">
        <v>38</v>
      </c>
      <c r="N1320" t="s">
        <v>55</v>
      </c>
      <c r="O1320">
        <v>3</v>
      </c>
      <c r="P1320" t="s">
        <v>50</v>
      </c>
      <c r="Q1320" s="2">
        <v>46398</v>
      </c>
      <c r="R1320" t="s">
        <v>84</v>
      </c>
    </row>
    <row r="1321" spans="1:18" x14ac:dyDescent="0.2">
      <c r="A1321" t="s">
        <v>2700</v>
      </c>
      <c r="B1321" t="s">
        <v>2701</v>
      </c>
      <c r="C1321" t="s">
        <v>42</v>
      </c>
      <c r="D1321" t="s">
        <v>43</v>
      </c>
      <c r="E1321" t="s">
        <v>105</v>
      </c>
      <c r="F1321" t="s">
        <v>67</v>
      </c>
      <c r="G1321" t="s">
        <v>68</v>
      </c>
      <c r="H1321" t="s">
        <v>88</v>
      </c>
      <c r="J1321" t="s">
        <v>48</v>
      </c>
      <c r="K1321" s="2">
        <v>45920</v>
      </c>
      <c r="L1321" s="2">
        <v>46010</v>
      </c>
      <c r="M1321" t="s">
        <v>38</v>
      </c>
      <c r="N1321" t="s">
        <v>49</v>
      </c>
      <c r="O1321">
        <v>2</v>
      </c>
      <c r="P1321" t="s">
        <v>62</v>
      </c>
      <c r="Q1321" s="2">
        <v>46244</v>
      </c>
      <c r="R1321" t="s">
        <v>38</v>
      </c>
    </row>
    <row r="1322" spans="1:18" x14ac:dyDescent="0.2">
      <c r="A1322" t="s">
        <v>2702</v>
      </c>
      <c r="B1322" t="s">
        <v>2703</v>
      </c>
      <c r="C1322" t="s">
        <v>31</v>
      </c>
      <c r="D1322" t="s">
        <v>83</v>
      </c>
      <c r="E1322" t="s">
        <v>91</v>
      </c>
      <c r="F1322" t="s">
        <v>67</v>
      </c>
      <c r="G1322" t="s">
        <v>118</v>
      </c>
      <c r="H1322" t="s">
        <v>88</v>
      </c>
      <c r="I1322" t="s">
        <v>111</v>
      </c>
      <c r="J1322" t="s">
        <v>48</v>
      </c>
      <c r="K1322" s="2">
        <v>46102</v>
      </c>
      <c r="L1322" s="2">
        <v>46467</v>
      </c>
      <c r="M1322" t="s">
        <v>64</v>
      </c>
      <c r="N1322" t="s">
        <v>55</v>
      </c>
      <c r="O1322">
        <v>0</v>
      </c>
      <c r="P1322" t="s">
        <v>111</v>
      </c>
      <c r="Q1322" s="2">
        <v>46172</v>
      </c>
      <c r="R1322" t="s">
        <v>57</v>
      </c>
    </row>
    <row r="1323" spans="1:18" x14ac:dyDescent="0.2">
      <c r="A1323" t="s">
        <v>2704</v>
      </c>
      <c r="B1323" t="s">
        <v>2705</v>
      </c>
      <c r="C1323" t="s">
        <v>31</v>
      </c>
      <c r="D1323" t="s">
        <v>83</v>
      </c>
      <c r="E1323" t="s">
        <v>91</v>
      </c>
      <c r="F1323" t="s">
        <v>67</v>
      </c>
      <c r="G1323" t="s">
        <v>118</v>
      </c>
      <c r="H1323" t="s">
        <v>98</v>
      </c>
      <c r="I1323" t="s">
        <v>70</v>
      </c>
      <c r="J1323" t="s">
        <v>48</v>
      </c>
      <c r="K1323" s="2">
        <v>46045</v>
      </c>
      <c r="L1323" s="2">
        <v>46225</v>
      </c>
      <c r="M1323" t="s">
        <v>38</v>
      </c>
      <c r="N1323" t="s">
        <v>75</v>
      </c>
      <c r="O1323">
        <v>1</v>
      </c>
      <c r="P1323" t="s">
        <v>39</v>
      </c>
      <c r="Q1323" s="2">
        <v>46239</v>
      </c>
      <c r="R1323" t="s">
        <v>38</v>
      </c>
    </row>
    <row r="1324" spans="1:18" x14ac:dyDescent="0.2">
      <c r="A1324" t="s">
        <v>2706</v>
      </c>
      <c r="B1324" t="s">
        <v>2707</v>
      </c>
      <c r="C1324" t="s">
        <v>31</v>
      </c>
      <c r="D1324" t="s">
        <v>87</v>
      </c>
      <c r="E1324" t="s">
        <v>91</v>
      </c>
      <c r="F1324" t="s">
        <v>45</v>
      </c>
      <c r="G1324" t="s">
        <v>61</v>
      </c>
      <c r="H1324" t="s">
        <v>47</v>
      </c>
      <c r="I1324" t="s">
        <v>70</v>
      </c>
      <c r="J1324" t="s">
        <v>48</v>
      </c>
      <c r="K1324" s="2">
        <v>45816</v>
      </c>
      <c r="L1324" s="2">
        <v>45996</v>
      </c>
      <c r="M1324" t="s">
        <v>38</v>
      </c>
      <c r="N1324" t="s">
        <v>75</v>
      </c>
      <c r="O1324">
        <v>0</v>
      </c>
      <c r="P1324" t="s">
        <v>62</v>
      </c>
      <c r="Q1324" s="2">
        <v>46392</v>
      </c>
      <c r="R1324" t="s">
        <v>57</v>
      </c>
    </row>
    <row r="1325" spans="1:18" x14ac:dyDescent="0.2">
      <c r="A1325" t="s">
        <v>2708</v>
      </c>
      <c r="B1325" t="s">
        <v>2709</v>
      </c>
      <c r="C1325" t="s">
        <v>103</v>
      </c>
      <c r="D1325" t="s">
        <v>104</v>
      </c>
      <c r="E1325" t="s">
        <v>53</v>
      </c>
      <c r="F1325" t="s">
        <v>45</v>
      </c>
      <c r="G1325" t="s">
        <v>46</v>
      </c>
      <c r="H1325" t="s">
        <v>88</v>
      </c>
      <c r="I1325" t="s">
        <v>54</v>
      </c>
      <c r="J1325" t="s">
        <v>48</v>
      </c>
      <c r="K1325" s="2">
        <v>46259</v>
      </c>
      <c r="L1325" s="2">
        <v>46439</v>
      </c>
      <c r="M1325" t="s">
        <v>84</v>
      </c>
      <c r="N1325" t="s">
        <v>75</v>
      </c>
      <c r="O1325">
        <v>1</v>
      </c>
      <c r="P1325" t="s">
        <v>56</v>
      </c>
      <c r="Q1325" s="2">
        <v>46251</v>
      </c>
      <c r="R1325" t="s">
        <v>38</v>
      </c>
    </row>
    <row r="1326" spans="1:18" x14ac:dyDescent="0.2">
      <c r="A1326" t="s">
        <v>2710</v>
      </c>
      <c r="B1326" t="s">
        <v>2711</v>
      </c>
      <c r="C1326" t="s">
        <v>42</v>
      </c>
      <c r="D1326" t="s">
        <v>43</v>
      </c>
      <c r="E1326" t="s">
        <v>91</v>
      </c>
      <c r="F1326" t="s">
        <v>45</v>
      </c>
      <c r="G1326" t="s">
        <v>46</v>
      </c>
      <c r="H1326" t="s">
        <v>36</v>
      </c>
      <c r="I1326" t="s">
        <v>70</v>
      </c>
      <c r="J1326" t="s">
        <v>48</v>
      </c>
      <c r="K1326" s="2">
        <v>46012</v>
      </c>
      <c r="L1326" s="2">
        <v>46102</v>
      </c>
      <c r="M1326" t="s">
        <v>38</v>
      </c>
      <c r="N1326" t="s">
        <v>49</v>
      </c>
      <c r="O1326">
        <v>3</v>
      </c>
      <c r="P1326" t="s">
        <v>62</v>
      </c>
      <c r="Q1326" s="2">
        <v>46340</v>
      </c>
      <c r="R1326" t="s">
        <v>84</v>
      </c>
    </row>
    <row r="1327" spans="1:18" x14ac:dyDescent="0.2">
      <c r="A1327" t="s">
        <v>2712</v>
      </c>
      <c r="B1327" t="s">
        <v>2713</v>
      </c>
      <c r="C1327" t="s">
        <v>31</v>
      </c>
      <c r="D1327" t="s">
        <v>32</v>
      </c>
      <c r="E1327" t="s">
        <v>53</v>
      </c>
      <c r="F1327" t="s">
        <v>67</v>
      </c>
      <c r="G1327" t="s">
        <v>68</v>
      </c>
      <c r="H1327" t="s">
        <v>47</v>
      </c>
      <c r="I1327" t="s">
        <v>106</v>
      </c>
      <c r="J1327" t="s">
        <v>63</v>
      </c>
      <c r="K1327" s="2">
        <v>46142</v>
      </c>
      <c r="L1327" s="2">
        <v>46322</v>
      </c>
      <c r="M1327" t="s">
        <v>64</v>
      </c>
      <c r="N1327" t="s">
        <v>49</v>
      </c>
      <c r="O1327">
        <v>1</v>
      </c>
      <c r="P1327" t="s">
        <v>54</v>
      </c>
      <c r="Q1327" s="2">
        <v>46388</v>
      </c>
      <c r="R1327" t="s">
        <v>84</v>
      </c>
    </row>
    <row r="1328" spans="1:18" x14ac:dyDescent="0.2">
      <c r="A1328" t="s">
        <v>2714</v>
      </c>
      <c r="B1328" t="s">
        <v>2715</v>
      </c>
      <c r="C1328" t="s">
        <v>42</v>
      </c>
      <c r="D1328" t="s">
        <v>43</v>
      </c>
      <c r="E1328" t="s">
        <v>105</v>
      </c>
      <c r="F1328" t="s">
        <v>67</v>
      </c>
      <c r="G1328" t="s">
        <v>68</v>
      </c>
      <c r="H1328" t="s">
        <v>88</v>
      </c>
      <c r="I1328" t="s">
        <v>106</v>
      </c>
      <c r="J1328" t="s">
        <v>63</v>
      </c>
      <c r="K1328" s="2">
        <v>46152</v>
      </c>
      <c r="L1328" s="2">
        <v>46517</v>
      </c>
      <c r="M1328" t="s">
        <v>84</v>
      </c>
      <c r="N1328" t="s">
        <v>49</v>
      </c>
      <c r="O1328">
        <v>3</v>
      </c>
      <c r="P1328" t="s">
        <v>62</v>
      </c>
      <c r="Q1328" s="2">
        <v>46372</v>
      </c>
      <c r="R1328" t="s">
        <v>84</v>
      </c>
    </row>
    <row r="1329" spans="1:18" x14ac:dyDescent="0.2">
      <c r="A1329" t="s">
        <v>2716</v>
      </c>
      <c r="B1329" t="s">
        <v>2717</v>
      </c>
      <c r="C1329" t="s">
        <v>73</v>
      </c>
      <c r="D1329" t="s">
        <v>74</v>
      </c>
      <c r="E1329" t="s">
        <v>60</v>
      </c>
      <c r="F1329" t="s">
        <v>34</v>
      </c>
      <c r="G1329" t="s">
        <v>35</v>
      </c>
      <c r="H1329" t="s">
        <v>88</v>
      </c>
      <c r="I1329" t="s">
        <v>50</v>
      </c>
      <c r="J1329" t="s">
        <v>63</v>
      </c>
      <c r="K1329" s="2">
        <v>45822</v>
      </c>
      <c r="L1329" s="2">
        <v>46187</v>
      </c>
      <c r="M1329" t="s">
        <v>38</v>
      </c>
      <c r="N1329" t="s">
        <v>49</v>
      </c>
      <c r="O1329">
        <v>0</v>
      </c>
      <c r="P1329" t="s">
        <v>50</v>
      </c>
      <c r="Q1329" s="2">
        <v>46271</v>
      </c>
      <c r="R1329" t="s">
        <v>57</v>
      </c>
    </row>
    <row r="1330" spans="1:18" x14ac:dyDescent="0.2">
      <c r="A1330" t="s">
        <v>2718</v>
      </c>
      <c r="B1330" t="s">
        <v>2719</v>
      </c>
      <c r="C1330" t="s">
        <v>78</v>
      </c>
      <c r="D1330" t="s">
        <v>79</v>
      </c>
      <c r="E1330" t="s">
        <v>53</v>
      </c>
      <c r="F1330" t="s">
        <v>67</v>
      </c>
      <c r="G1330" t="s">
        <v>68</v>
      </c>
      <c r="H1330" t="s">
        <v>36</v>
      </c>
      <c r="I1330" t="s">
        <v>50</v>
      </c>
      <c r="J1330" t="s">
        <v>37</v>
      </c>
      <c r="K1330" s="2">
        <v>46146</v>
      </c>
      <c r="L1330" s="2">
        <v>46326</v>
      </c>
      <c r="M1330" t="s">
        <v>64</v>
      </c>
      <c r="N1330" t="s">
        <v>55</v>
      </c>
      <c r="O1330">
        <v>5</v>
      </c>
      <c r="P1330" t="s">
        <v>50</v>
      </c>
      <c r="Q1330" s="2">
        <v>46391</v>
      </c>
      <c r="R1330" t="s">
        <v>84</v>
      </c>
    </row>
    <row r="1331" spans="1:18" x14ac:dyDescent="0.2">
      <c r="A1331" t="s">
        <v>2720</v>
      </c>
      <c r="B1331" t="s">
        <v>2721</v>
      </c>
      <c r="C1331" t="s">
        <v>31</v>
      </c>
      <c r="D1331" t="s">
        <v>32</v>
      </c>
      <c r="E1331" t="s">
        <v>44</v>
      </c>
      <c r="F1331" t="s">
        <v>67</v>
      </c>
      <c r="G1331" t="s">
        <v>68</v>
      </c>
      <c r="H1331" t="s">
        <v>36</v>
      </c>
      <c r="I1331" t="s">
        <v>54</v>
      </c>
      <c r="J1331" t="s">
        <v>48</v>
      </c>
      <c r="K1331" s="2">
        <v>45972</v>
      </c>
      <c r="L1331" s="2">
        <v>46152</v>
      </c>
      <c r="M1331" t="s">
        <v>38</v>
      </c>
      <c r="N1331" t="s">
        <v>55</v>
      </c>
      <c r="O1331">
        <v>4</v>
      </c>
      <c r="P1331" t="s">
        <v>111</v>
      </c>
      <c r="Q1331" s="2">
        <v>46235</v>
      </c>
      <c r="R1331" t="s">
        <v>64</v>
      </c>
    </row>
    <row r="1332" spans="1:18" x14ac:dyDescent="0.2">
      <c r="A1332" t="s">
        <v>2722</v>
      </c>
      <c r="B1332" t="s">
        <v>2723</v>
      </c>
      <c r="C1332" t="s">
        <v>31</v>
      </c>
      <c r="D1332" t="s">
        <v>83</v>
      </c>
      <c r="E1332" t="s">
        <v>44</v>
      </c>
      <c r="F1332" t="s">
        <v>45</v>
      </c>
      <c r="G1332" t="s">
        <v>61</v>
      </c>
      <c r="H1332" t="s">
        <v>98</v>
      </c>
      <c r="I1332" t="s">
        <v>54</v>
      </c>
      <c r="J1332" t="s">
        <v>48</v>
      </c>
      <c r="K1332" s="2">
        <v>46187</v>
      </c>
      <c r="L1332" s="2">
        <v>46552</v>
      </c>
      <c r="M1332" t="s">
        <v>84</v>
      </c>
      <c r="N1332" t="s">
        <v>49</v>
      </c>
      <c r="O1332">
        <v>4</v>
      </c>
      <c r="P1332" t="s">
        <v>39</v>
      </c>
      <c r="Q1332" s="2">
        <v>46400</v>
      </c>
      <c r="R1332" t="s">
        <v>84</v>
      </c>
    </row>
    <row r="1333" spans="1:18" x14ac:dyDescent="0.2">
      <c r="A1333" t="s">
        <v>2724</v>
      </c>
      <c r="B1333" t="s">
        <v>2725</v>
      </c>
      <c r="C1333" t="s">
        <v>31</v>
      </c>
      <c r="D1333" t="s">
        <v>87</v>
      </c>
      <c r="E1333" t="s">
        <v>44</v>
      </c>
      <c r="F1333" t="s">
        <v>45</v>
      </c>
      <c r="G1333" t="s">
        <v>46</v>
      </c>
      <c r="H1333" t="s">
        <v>47</v>
      </c>
      <c r="I1333" t="s">
        <v>39</v>
      </c>
      <c r="J1333" t="s">
        <v>63</v>
      </c>
      <c r="K1333" s="2">
        <v>46267</v>
      </c>
      <c r="L1333" s="2">
        <v>46357</v>
      </c>
      <c r="M1333" t="s">
        <v>69</v>
      </c>
      <c r="O1333">
        <v>3</v>
      </c>
      <c r="P1333" t="s">
        <v>111</v>
      </c>
      <c r="Q1333" s="2">
        <v>46337</v>
      </c>
      <c r="R1333" t="s">
        <v>84</v>
      </c>
    </row>
    <row r="1334" spans="1:18" x14ac:dyDescent="0.2">
      <c r="A1334" t="s">
        <v>2726</v>
      </c>
      <c r="B1334" t="s">
        <v>2727</v>
      </c>
      <c r="C1334" t="s">
        <v>42</v>
      </c>
      <c r="D1334" t="s">
        <v>43</v>
      </c>
      <c r="E1334" t="s">
        <v>105</v>
      </c>
      <c r="F1334" t="s">
        <v>34</v>
      </c>
      <c r="G1334" t="s">
        <v>35</v>
      </c>
      <c r="H1334" t="s">
        <v>47</v>
      </c>
      <c r="I1334" t="s">
        <v>70</v>
      </c>
      <c r="J1334" t="s">
        <v>63</v>
      </c>
      <c r="K1334" s="2">
        <v>45857</v>
      </c>
      <c r="L1334" s="2">
        <v>46037</v>
      </c>
      <c r="M1334" t="s">
        <v>38</v>
      </c>
      <c r="N1334" t="s">
        <v>55</v>
      </c>
      <c r="O1334">
        <v>2</v>
      </c>
      <c r="P1334" t="s">
        <v>54</v>
      </c>
      <c r="Q1334" s="2">
        <v>46311</v>
      </c>
      <c r="R1334" t="s">
        <v>84</v>
      </c>
    </row>
    <row r="1335" spans="1:18" x14ac:dyDescent="0.2">
      <c r="A1335" t="s">
        <v>2728</v>
      </c>
      <c r="B1335" t="s">
        <v>2729</v>
      </c>
      <c r="C1335" t="s">
        <v>103</v>
      </c>
      <c r="D1335" t="s">
        <v>104</v>
      </c>
      <c r="E1335" t="s">
        <v>53</v>
      </c>
      <c r="F1335" t="s">
        <v>34</v>
      </c>
      <c r="G1335" t="s">
        <v>35</v>
      </c>
      <c r="H1335" t="s">
        <v>88</v>
      </c>
      <c r="I1335" t="s">
        <v>70</v>
      </c>
      <c r="J1335" t="s">
        <v>37</v>
      </c>
      <c r="K1335" s="2">
        <v>45974</v>
      </c>
      <c r="L1335" s="2">
        <v>46339</v>
      </c>
      <c r="M1335" t="s">
        <v>69</v>
      </c>
      <c r="N1335" t="s">
        <v>75</v>
      </c>
      <c r="O1335">
        <v>3</v>
      </c>
      <c r="P1335" t="s">
        <v>62</v>
      </c>
      <c r="Q1335" s="2">
        <v>46396</v>
      </c>
      <c r="R1335" t="s">
        <v>84</v>
      </c>
    </row>
    <row r="1336" spans="1:18" x14ac:dyDescent="0.2">
      <c r="A1336" t="s">
        <v>2730</v>
      </c>
      <c r="B1336" t="s">
        <v>2731</v>
      </c>
      <c r="C1336" t="s">
        <v>42</v>
      </c>
      <c r="D1336" t="s">
        <v>43</v>
      </c>
      <c r="E1336" t="s">
        <v>91</v>
      </c>
      <c r="F1336" t="s">
        <v>34</v>
      </c>
      <c r="G1336" t="s">
        <v>35</v>
      </c>
      <c r="H1336" t="s">
        <v>36</v>
      </c>
      <c r="I1336" t="s">
        <v>39</v>
      </c>
      <c r="J1336" t="s">
        <v>63</v>
      </c>
      <c r="K1336" s="2">
        <v>46274</v>
      </c>
      <c r="L1336" s="2">
        <v>46364</v>
      </c>
      <c r="M1336" t="s">
        <v>84</v>
      </c>
      <c r="N1336" t="s">
        <v>75</v>
      </c>
      <c r="O1336">
        <v>3</v>
      </c>
      <c r="P1336" t="s">
        <v>62</v>
      </c>
      <c r="Q1336" s="2">
        <v>46208</v>
      </c>
      <c r="R1336" t="s">
        <v>64</v>
      </c>
    </row>
    <row r="1337" spans="1:18" x14ac:dyDescent="0.2">
      <c r="A1337" t="s">
        <v>2732</v>
      </c>
      <c r="B1337" t="s">
        <v>2733</v>
      </c>
      <c r="C1337" t="s">
        <v>31</v>
      </c>
      <c r="D1337" t="s">
        <v>32</v>
      </c>
      <c r="E1337" t="s">
        <v>53</v>
      </c>
      <c r="F1337" t="s">
        <v>67</v>
      </c>
      <c r="G1337" t="s">
        <v>68</v>
      </c>
      <c r="H1337" t="s">
        <v>47</v>
      </c>
      <c r="I1337" t="s">
        <v>39</v>
      </c>
      <c r="J1337" t="s">
        <v>63</v>
      </c>
      <c r="K1337" s="2">
        <v>46052</v>
      </c>
      <c r="L1337" s="2">
        <v>46232</v>
      </c>
      <c r="M1337" t="s">
        <v>38</v>
      </c>
      <c r="N1337" t="s">
        <v>49</v>
      </c>
      <c r="O1337">
        <v>3</v>
      </c>
      <c r="P1337" t="s">
        <v>62</v>
      </c>
      <c r="Q1337" s="2">
        <v>46331</v>
      </c>
      <c r="R1337" t="s">
        <v>64</v>
      </c>
    </row>
    <row r="1338" spans="1:18" x14ac:dyDescent="0.2">
      <c r="A1338" t="s">
        <v>2734</v>
      </c>
      <c r="B1338" t="s">
        <v>2735</v>
      </c>
      <c r="C1338" t="s">
        <v>42</v>
      </c>
      <c r="D1338" t="s">
        <v>43</v>
      </c>
      <c r="E1338" t="s">
        <v>105</v>
      </c>
      <c r="F1338" t="s">
        <v>67</v>
      </c>
      <c r="G1338" t="s">
        <v>118</v>
      </c>
      <c r="H1338" t="s">
        <v>36</v>
      </c>
      <c r="I1338" t="s">
        <v>54</v>
      </c>
      <c r="J1338" t="s">
        <v>63</v>
      </c>
      <c r="K1338" s="2">
        <v>46131</v>
      </c>
      <c r="L1338" s="2">
        <v>46221</v>
      </c>
      <c r="M1338" t="s">
        <v>38</v>
      </c>
      <c r="N1338" t="s">
        <v>75</v>
      </c>
      <c r="O1338">
        <v>4</v>
      </c>
      <c r="P1338" t="s">
        <v>111</v>
      </c>
      <c r="Q1338" s="2">
        <v>46280</v>
      </c>
      <c r="R1338" t="s">
        <v>64</v>
      </c>
    </row>
    <row r="1339" spans="1:18" x14ac:dyDescent="0.2">
      <c r="A1339" t="s">
        <v>2736</v>
      </c>
      <c r="B1339" t="s">
        <v>2737</v>
      </c>
      <c r="C1339" t="s">
        <v>78</v>
      </c>
      <c r="D1339" t="s">
        <v>79</v>
      </c>
      <c r="E1339" t="s">
        <v>53</v>
      </c>
      <c r="F1339" t="s">
        <v>45</v>
      </c>
      <c r="G1339" t="s">
        <v>46</v>
      </c>
      <c r="H1339" t="s">
        <v>36</v>
      </c>
      <c r="I1339" t="s">
        <v>54</v>
      </c>
      <c r="J1339" t="s">
        <v>63</v>
      </c>
      <c r="K1339" s="2">
        <v>46055</v>
      </c>
      <c r="L1339" s="2">
        <v>46235</v>
      </c>
      <c r="M1339" t="s">
        <v>38</v>
      </c>
      <c r="N1339" t="s">
        <v>49</v>
      </c>
      <c r="O1339">
        <v>1</v>
      </c>
      <c r="P1339" t="s">
        <v>62</v>
      </c>
      <c r="Q1339" s="2">
        <v>46265</v>
      </c>
      <c r="R1339" t="s">
        <v>38</v>
      </c>
    </row>
    <row r="1340" spans="1:18" x14ac:dyDescent="0.2">
      <c r="A1340" t="s">
        <v>2738</v>
      </c>
      <c r="B1340" t="s">
        <v>2739</v>
      </c>
      <c r="C1340" t="s">
        <v>31</v>
      </c>
      <c r="D1340" t="s">
        <v>32</v>
      </c>
      <c r="E1340" t="s">
        <v>60</v>
      </c>
      <c r="F1340" t="s">
        <v>45</v>
      </c>
      <c r="G1340" t="s">
        <v>61</v>
      </c>
      <c r="H1340" t="s">
        <v>88</v>
      </c>
      <c r="I1340" t="s">
        <v>39</v>
      </c>
      <c r="J1340" t="s">
        <v>63</v>
      </c>
      <c r="K1340" s="2">
        <v>46005</v>
      </c>
      <c r="L1340" s="2">
        <v>46095</v>
      </c>
      <c r="M1340" t="s">
        <v>38</v>
      </c>
      <c r="N1340" t="s">
        <v>49</v>
      </c>
      <c r="O1340">
        <v>3</v>
      </c>
      <c r="P1340" t="s">
        <v>111</v>
      </c>
      <c r="Q1340" s="2">
        <v>46400</v>
      </c>
      <c r="R1340" t="s">
        <v>84</v>
      </c>
    </row>
    <row r="1341" spans="1:18" x14ac:dyDescent="0.2">
      <c r="A1341" t="s">
        <v>2740</v>
      </c>
      <c r="B1341" t="s">
        <v>2741</v>
      </c>
      <c r="C1341" t="s">
        <v>103</v>
      </c>
      <c r="D1341" t="s">
        <v>104</v>
      </c>
      <c r="E1341" t="s">
        <v>53</v>
      </c>
      <c r="F1341" t="s">
        <v>34</v>
      </c>
      <c r="G1341" t="s">
        <v>35</v>
      </c>
      <c r="H1341" t="s">
        <v>47</v>
      </c>
      <c r="I1341" t="s">
        <v>62</v>
      </c>
      <c r="J1341" t="s">
        <v>48</v>
      </c>
      <c r="K1341" s="2">
        <v>46183</v>
      </c>
      <c r="L1341" s="2">
        <v>46363</v>
      </c>
      <c r="M1341" t="s">
        <v>64</v>
      </c>
      <c r="N1341" t="s">
        <v>55</v>
      </c>
      <c r="O1341">
        <v>3</v>
      </c>
      <c r="P1341" t="s">
        <v>70</v>
      </c>
      <c r="Q1341" s="2">
        <v>46308</v>
      </c>
      <c r="R1341" t="s">
        <v>64</v>
      </c>
    </row>
    <row r="1342" spans="1:18" x14ac:dyDescent="0.2">
      <c r="A1342" t="s">
        <v>2742</v>
      </c>
      <c r="B1342" t="s">
        <v>2743</v>
      </c>
      <c r="C1342" t="s">
        <v>31</v>
      </c>
      <c r="D1342" t="s">
        <v>32</v>
      </c>
      <c r="E1342" t="s">
        <v>91</v>
      </c>
      <c r="F1342" t="s">
        <v>45</v>
      </c>
      <c r="G1342" t="s">
        <v>61</v>
      </c>
      <c r="H1342" t="s">
        <v>36</v>
      </c>
      <c r="I1342" t="s">
        <v>106</v>
      </c>
      <c r="J1342" t="s">
        <v>48</v>
      </c>
      <c r="K1342" s="2">
        <v>46043</v>
      </c>
      <c r="L1342" s="2">
        <v>46408</v>
      </c>
      <c r="M1342" t="s">
        <v>64</v>
      </c>
      <c r="N1342" t="s">
        <v>49</v>
      </c>
      <c r="O1342">
        <v>1</v>
      </c>
      <c r="P1342" t="s">
        <v>106</v>
      </c>
      <c r="Q1342" s="2">
        <v>46309</v>
      </c>
      <c r="R1342" t="s">
        <v>64</v>
      </c>
    </row>
    <row r="1343" spans="1:18" x14ac:dyDescent="0.2">
      <c r="A1343" t="s">
        <v>2744</v>
      </c>
      <c r="B1343" t="s">
        <v>2745</v>
      </c>
      <c r="C1343" t="s">
        <v>96</v>
      </c>
      <c r="D1343" t="s">
        <v>97</v>
      </c>
      <c r="E1343" t="s">
        <v>80</v>
      </c>
      <c r="F1343" t="s">
        <v>45</v>
      </c>
      <c r="G1343" t="s">
        <v>46</v>
      </c>
      <c r="H1343" t="s">
        <v>88</v>
      </c>
      <c r="I1343" t="s">
        <v>106</v>
      </c>
      <c r="J1343" t="s">
        <v>37</v>
      </c>
      <c r="K1343" s="2">
        <v>46215</v>
      </c>
      <c r="L1343" s="2">
        <v>46395</v>
      </c>
      <c r="M1343" t="s">
        <v>64</v>
      </c>
      <c r="N1343" t="s">
        <v>75</v>
      </c>
      <c r="O1343">
        <v>0</v>
      </c>
      <c r="P1343" t="s">
        <v>50</v>
      </c>
      <c r="Q1343" s="2">
        <v>46185</v>
      </c>
      <c r="R1343" t="s">
        <v>57</v>
      </c>
    </row>
    <row r="1344" spans="1:18" x14ac:dyDescent="0.2">
      <c r="A1344" t="s">
        <v>2746</v>
      </c>
      <c r="B1344" t="s">
        <v>2747</v>
      </c>
      <c r="C1344" t="s">
        <v>31</v>
      </c>
      <c r="D1344" t="s">
        <v>83</v>
      </c>
      <c r="E1344" t="s">
        <v>60</v>
      </c>
      <c r="F1344" t="s">
        <v>45</v>
      </c>
      <c r="G1344" t="s">
        <v>46</v>
      </c>
      <c r="H1344" t="s">
        <v>88</v>
      </c>
      <c r="I1344" t="s">
        <v>50</v>
      </c>
      <c r="J1344" t="s">
        <v>48</v>
      </c>
      <c r="K1344" s="2">
        <v>46132</v>
      </c>
      <c r="L1344" s="2">
        <v>46222</v>
      </c>
      <c r="M1344" t="s">
        <v>38</v>
      </c>
      <c r="N1344" t="s">
        <v>49</v>
      </c>
      <c r="O1344">
        <v>3</v>
      </c>
      <c r="P1344" t="s">
        <v>111</v>
      </c>
      <c r="Q1344" s="2">
        <v>46185</v>
      </c>
      <c r="R1344" t="s">
        <v>38</v>
      </c>
    </row>
    <row r="1345" spans="1:18" x14ac:dyDescent="0.2">
      <c r="A1345" t="s">
        <v>2748</v>
      </c>
      <c r="B1345" t="s">
        <v>2749</v>
      </c>
      <c r="C1345" t="s">
        <v>73</v>
      </c>
      <c r="D1345" t="s">
        <v>74</v>
      </c>
      <c r="E1345" t="s">
        <v>80</v>
      </c>
      <c r="F1345" t="s">
        <v>67</v>
      </c>
      <c r="G1345" t="s">
        <v>68</v>
      </c>
      <c r="H1345" t="s">
        <v>47</v>
      </c>
      <c r="I1345" t="s">
        <v>56</v>
      </c>
      <c r="J1345" t="s">
        <v>37</v>
      </c>
      <c r="K1345" s="2">
        <v>45906</v>
      </c>
      <c r="L1345" s="2">
        <v>46271</v>
      </c>
      <c r="M1345" t="s">
        <v>38</v>
      </c>
      <c r="N1345" t="s">
        <v>75</v>
      </c>
      <c r="O1345">
        <v>2</v>
      </c>
      <c r="P1345" t="s">
        <v>106</v>
      </c>
      <c r="Q1345" s="2">
        <v>46182</v>
      </c>
      <c r="R1345" t="s">
        <v>64</v>
      </c>
    </row>
    <row r="1346" spans="1:18" x14ac:dyDescent="0.2">
      <c r="A1346" t="s">
        <v>2750</v>
      </c>
      <c r="B1346" t="s">
        <v>2751</v>
      </c>
      <c r="C1346" t="s">
        <v>31</v>
      </c>
      <c r="D1346" t="s">
        <v>87</v>
      </c>
      <c r="E1346" t="s">
        <v>53</v>
      </c>
      <c r="F1346" t="s">
        <v>67</v>
      </c>
      <c r="G1346" t="s">
        <v>68</v>
      </c>
      <c r="H1346" t="s">
        <v>88</v>
      </c>
      <c r="I1346" t="s">
        <v>50</v>
      </c>
      <c r="J1346" t="s">
        <v>48</v>
      </c>
      <c r="K1346" s="2">
        <v>46274</v>
      </c>
      <c r="L1346" s="2">
        <v>46639</v>
      </c>
      <c r="M1346" t="s">
        <v>64</v>
      </c>
      <c r="N1346" t="s">
        <v>75</v>
      </c>
      <c r="O1346">
        <v>3</v>
      </c>
      <c r="P1346" t="s">
        <v>70</v>
      </c>
      <c r="Q1346" s="2">
        <v>46115</v>
      </c>
      <c r="R1346" t="s">
        <v>38</v>
      </c>
    </row>
    <row r="1347" spans="1:18" x14ac:dyDescent="0.2">
      <c r="A1347" t="s">
        <v>2752</v>
      </c>
      <c r="B1347" t="s">
        <v>2753</v>
      </c>
      <c r="C1347" t="s">
        <v>31</v>
      </c>
      <c r="D1347" t="s">
        <v>83</v>
      </c>
      <c r="E1347" t="s">
        <v>44</v>
      </c>
      <c r="F1347" t="s">
        <v>34</v>
      </c>
      <c r="G1347" t="s">
        <v>35</v>
      </c>
      <c r="H1347" t="s">
        <v>98</v>
      </c>
      <c r="I1347" t="s">
        <v>106</v>
      </c>
      <c r="J1347" t="s">
        <v>37</v>
      </c>
      <c r="K1347" s="2">
        <v>46066</v>
      </c>
      <c r="L1347" s="2">
        <v>46246</v>
      </c>
      <c r="M1347" t="s">
        <v>38</v>
      </c>
      <c r="N1347" t="s">
        <v>55</v>
      </c>
      <c r="O1347">
        <v>3</v>
      </c>
      <c r="P1347" t="s">
        <v>50</v>
      </c>
      <c r="Q1347" s="2">
        <v>46202</v>
      </c>
      <c r="R1347" t="s">
        <v>64</v>
      </c>
    </row>
    <row r="1348" spans="1:18" x14ac:dyDescent="0.2">
      <c r="A1348" t="s">
        <v>2754</v>
      </c>
      <c r="B1348" t="s">
        <v>2755</v>
      </c>
      <c r="C1348" t="s">
        <v>96</v>
      </c>
      <c r="D1348" t="s">
        <v>97</v>
      </c>
      <c r="E1348" t="s">
        <v>60</v>
      </c>
      <c r="F1348" t="s">
        <v>34</v>
      </c>
      <c r="G1348" t="s">
        <v>35</v>
      </c>
      <c r="H1348" t="s">
        <v>88</v>
      </c>
      <c r="I1348" t="s">
        <v>56</v>
      </c>
      <c r="J1348" t="s">
        <v>48</v>
      </c>
      <c r="K1348" s="2">
        <v>46273</v>
      </c>
      <c r="L1348" s="2">
        <v>46363</v>
      </c>
      <c r="M1348" t="s">
        <v>64</v>
      </c>
      <c r="N1348" t="s">
        <v>49</v>
      </c>
      <c r="O1348">
        <v>1</v>
      </c>
      <c r="P1348" t="s">
        <v>50</v>
      </c>
      <c r="Q1348" s="2">
        <v>46197</v>
      </c>
      <c r="R1348" t="s">
        <v>38</v>
      </c>
    </row>
    <row r="1349" spans="1:18" x14ac:dyDescent="0.2">
      <c r="A1349" t="s">
        <v>2756</v>
      </c>
      <c r="B1349" t="s">
        <v>2757</v>
      </c>
      <c r="C1349" t="s">
        <v>73</v>
      </c>
      <c r="D1349" t="s">
        <v>74</v>
      </c>
      <c r="E1349" t="s">
        <v>80</v>
      </c>
      <c r="F1349" t="s">
        <v>67</v>
      </c>
      <c r="G1349" t="s">
        <v>68</v>
      </c>
      <c r="H1349" t="s">
        <v>98</v>
      </c>
      <c r="I1349" t="s">
        <v>106</v>
      </c>
      <c r="J1349" t="s">
        <v>63</v>
      </c>
      <c r="K1349" s="2">
        <v>46272</v>
      </c>
      <c r="L1349" s="2">
        <v>46452</v>
      </c>
      <c r="M1349" t="s">
        <v>64</v>
      </c>
      <c r="N1349" t="s">
        <v>75</v>
      </c>
      <c r="O1349">
        <v>4</v>
      </c>
      <c r="P1349" t="s">
        <v>50</v>
      </c>
      <c r="Q1349" s="2">
        <v>46145</v>
      </c>
      <c r="R1349" t="s">
        <v>64</v>
      </c>
    </row>
    <row r="1350" spans="1:18" x14ac:dyDescent="0.2">
      <c r="A1350" t="s">
        <v>2758</v>
      </c>
      <c r="B1350" t="s">
        <v>2759</v>
      </c>
      <c r="C1350" t="s">
        <v>103</v>
      </c>
      <c r="D1350" t="s">
        <v>104</v>
      </c>
      <c r="E1350" t="s">
        <v>91</v>
      </c>
      <c r="F1350" t="s">
        <v>67</v>
      </c>
      <c r="G1350" t="s">
        <v>68</v>
      </c>
      <c r="H1350" t="s">
        <v>47</v>
      </c>
      <c r="I1350" t="s">
        <v>50</v>
      </c>
      <c r="J1350" t="s">
        <v>37</v>
      </c>
      <c r="K1350" s="2">
        <v>46057</v>
      </c>
      <c r="L1350" s="2">
        <v>46147</v>
      </c>
      <c r="M1350" t="s">
        <v>38</v>
      </c>
      <c r="N1350" t="s">
        <v>49</v>
      </c>
      <c r="O1350">
        <v>0</v>
      </c>
      <c r="P1350" t="s">
        <v>39</v>
      </c>
      <c r="Q1350" s="2">
        <v>46300</v>
      </c>
      <c r="R1350" t="s">
        <v>57</v>
      </c>
    </row>
    <row r="1351" spans="1:18" x14ac:dyDescent="0.2">
      <c r="A1351" t="s">
        <v>2760</v>
      </c>
      <c r="B1351" t="s">
        <v>2761</v>
      </c>
      <c r="C1351" t="s">
        <v>31</v>
      </c>
      <c r="D1351" t="s">
        <v>32</v>
      </c>
      <c r="E1351" t="s">
        <v>44</v>
      </c>
      <c r="F1351" t="s">
        <v>34</v>
      </c>
      <c r="G1351" t="s">
        <v>35</v>
      </c>
      <c r="H1351" t="s">
        <v>47</v>
      </c>
      <c r="I1351" t="s">
        <v>111</v>
      </c>
      <c r="J1351" t="s">
        <v>63</v>
      </c>
      <c r="K1351" s="2">
        <v>46239</v>
      </c>
      <c r="L1351" s="2">
        <v>46419</v>
      </c>
      <c r="M1351" t="s">
        <v>84</v>
      </c>
      <c r="N1351" t="s">
        <v>55</v>
      </c>
      <c r="O1351">
        <v>3</v>
      </c>
      <c r="P1351" t="s">
        <v>56</v>
      </c>
      <c r="Q1351" s="2">
        <v>46246</v>
      </c>
      <c r="R1351" t="s">
        <v>38</v>
      </c>
    </row>
    <row r="1352" spans="1:18" x14ac:dyDescent="0.2">
      <c r="A1352" t="s">
        <v>2762</v>
      </c>
      <c r="B1352" t="s">
        <v>2763</v>
      </c>
      <c r="C1352" t="s">
        <v>103</v>
      </c>
      <c r="D1352" t="s">
        <v>104</v>
      </c>
      <c r="E1352" t="s">
        <v>91</v>
      </c>
      <c r="F1352" t="s">
        <v>34</v>
      </c>
      <c r="G1352" t="s">
        <v>35</v>
      </c>
      <c r="H1352" t="s">
        <v>47</v>
      </c>
      <c r="I1352" t="s">
        <v>50</v>
      </c>
      <c r="J1352" t="s">
        <v>37</v>
      </c>
      <c r="K1352" s="2">
        <v>45867</v>
      </c>
      <c r="L1352" s="2">
        <v>46232</v>
      </c>
      <c r="M1352" t="s">
        <v>38</v>
      </c>
      <c r="N1352" t="s">
        <v>49</v>
      </c>
      <c r="O1352">
        <v>3</v>
      </c>
      <c r="P1352" t="s">
        <v>106</v>
      </c>
      <c r="Q1352" s="2">
        <v>46326</v>
      </c>
      <c r="R1352" t="s">
        <v>84</v>
      </c>
    </row>
    <row r="1353" spans="1:18" x14ac:dyDescent="0.2">
      <c r="A1353" t="s">
        <v>2764</v>
      </c>
      <c r="B1353" t="s">
        <v>2765</v>
      </c>
      <c r="C1353" t="s">
        <v>96</v>
      </c>
      <c r="D1353" t="s">
        <v>97</v>
      </c>
      <c r="E1353" t="s">
        <v>53</v>
      </c>
      <c r="F1353" t="s">
        <v>45</v>
      </c>
      <c r="G1353" t="s">
        <v>61</v>
      </c>
      <c r="H1353" t="s">
        <v>98</v>
      </c>
      <c r="I1353" t="s">
        <v>70</v>
      </c>
      <c r="J1353" t="s">
        <v>37</v>
      </c>
      <c r="K1353" s="2">
        <v>46064</v>
      </c>
      <c r="L1353" s="2">
        <v>46429</v>
      </c>
      <c r="M1353" t="s">
        <v>64</v>
      </c>
      <c r="N1353" t="s">
        <v>49</v>
      </c>
      <c r="O1353">
        <v>5</v>
      </c>
      <c r="P1353" t="s">
        <v>70</v>
      </c>
      <c r="Q1353" s="2">
        <v>46378</v>
      </c>
      <c r="R1353" t="s">
        <v>84</v>
      </c>
    </row>
    <row r="1354" spans="1:18" x14ac:dyDescent="0.2">
      <c r="A1354" t="s">
        <v>2766</v>
      </c>
      <c r="B1354" t="s">
        <v>2767</v>
      </c>
      <c r="C1354" t="s">
        <v>42</v>
      </c>
      <c r="D1354" t="s">
        <v>43</v>
      </c>
      <c r="E1354" t="s">
        <v>105</v>
      </c>
      <c r="F1354" t="s">
        <v>45</v>
      </c>
      <c r="G1354" t="s">
        <v>46</v>
      </c>
      <c r="H1354" t="s">
        <v>47</v>
      </c>
      <c r="I1354" t="s">
        <v>39</v>
      </c>
      <c r="J1354" t="s">
        <v>63</v>
      </c>
      <c r="K1354" s="2">
        <v>46197</v>
      </c>
      <c r="L1354" s="2">
        <v>46377</v>
      </c>
      <c r="M1354" t="s">
        <v>69</v>
      </c>
      <c r="N1354" t="s">
        <v>55</v>
      </c>
      <c r="O1354">
        <v>1</v>
      </c>
      <c r="P1354" t="s">
        <v>106</v>
      </c>
      <c r="Q1354" s="2">
        <v>46150</v>
      </c>
      <c r="R1354" t="s">
        <v>38</v>
      </c>
    </row>
    <row r="1355" spans="1:18" x14ac:dyDescent="0.2">
      <c r="A1355" t="s">
        <v>2768</v>
      </c>
      <c r="B1355" t="s">
        <v>2769</v>
      </c>
      <c r="C1355" t="s">
        <v>42</v>
      </c>
      <c r="D1355" t="s">
        <v>43</v>
      </c>
      <c r="E1355" t="s">
        <v>60</v>
      </c>
      <c r="F1355" t="s">
        <v>67</v>
      </c>
      <c r="G1355" t="s">
        <v>118</v>
      </c>
      <c r="H1355" t="s">
        <v>36</v>
      </c>
      <c r="I1355" t="s">
        <v>54</v>
      </c>
      <c r="J1355" t="s">
        <v>37</v>
      </c>
      <c r="K1355" s="2">
        <v>46103</v>
      </c>
      <c r="L1355" s="2">
        <v>46193</v>
      </c>
      <c r="M1355" t="s">
        <v>38</v>
      </c>
      <c r="N1355" t="s">
        <v>75</v>
      </c>
      <c r="O1355">
        <v>4</v>
      </c>
      <c r="P1355" t="s">
        <v>39</v>
      </c>
      <c r="Q1355" s="2">
        <v>46145</v>
      </c>
      <c r="R1355" t="s">
        <v>38</v>
      </c>
    </row>
    <row r="1356" spans="1:18" x14ac:dyDescent="0.2">
      <c r="A1356" t="s">
        <v>2770</v>
      </c>
      <c r="B1356" t="s">
        <v>2771</v>
      </c>
      <c r="C1356" t="s">
        <v>31</v>
      </c>
      <c r="D1356" t="s">
        <v>83</v>
      </c>
      <c r="E1356" t="s">
        <v>80</v>
      </c>
      <c r="F1356" t="s">
        <v>34</v>
      </c>
      <c r="G1356" t="s">
        <v>35</v>
      </c>
      <c r="H1356" t="s">
        <v>47</v>
      </c>
      <c r="I1356" t="s">
        <v>54</v>
      </c>
      <c r="J1356" t="s">
        <v>48</v>
      </c>
      <c r="K1356" s="2">
        <v>45908</v>
      </c>
      <c r="L1356" s="2">
        <v>46088</v>
      </c>
      <c r="M1356" t="s">
        <v>38</v>
      </c>
      <c r="N1356" t="s">
        <v>75</v>
      </c>
      <c r="O1356">
        <v>1</v>
      </c>
      <c r="P1356" t="s">
        <v>62</v>
      </c>
      <c r="Q1356" s="2">
        <v>46395</v>
      </c>
      <c r="R1356" t="s">
        <v>64</v>
      </c>
    </row>
    <row r="1357" spans="1:18" x14ac:dyDescent="0.2">
      <c r="A1357" t="s">
        <v>2772</v>
      </c>
      <c r="B1357" t="s">
        <v>2773</v>
      </c>
      <c r="C1357" t="s">
        <v>31</v>
      </c>
      <c r="D1357" t="s">
        <v>87</v>
      </c>
      <c r="E1357" t="s">
        <v>80</v>
      </c>
      <c r="F1357" t="s">
        <v>34</v>
      </c>
      <c r="G1357" t="s">
        <v>35</v>
      </c>
      <c r="H1357" t="s">
        <v>36</v>
      </c>
      <c r="I1357" t="s">
        <v>39</v>
      </c>
      <c r="J1357" t="s">
        <v>37</v>
      </c>
      <c r="K1357" s="2">
        <v>46106</v>
      </c>
      <c r="L1357" s="2">
        <v>46286</v>
      </c>
      <c r="M1357" t="s">
        <v>38</v>
      </c>
      <c r="N1357" t="s">
        <v>55</v>
      </c>
      <c r="O1357">
        <v>3</v>
      </c>
      <c r="P1357" t="s">
        <v>111</v>
      </c>
      <c r="Q1357" s="2">
        <v>46342</v>
      </c>
      <c r="R1357" t="s">
        <v>84</v>
      </c>
    </row>
    <row r="1358" spans="1:18" x14ac:dyDescent="0.2">
      <c r="A1358" t="s">
        <v>2774</v>
      </c>
      <c r="B1358" t="s">
        <v>2775</v>
      </c>
      <c r="C1358" t="s">
        <v>73</v>
      </c>
      <c r="D1358" t="s">
        <v>74</v>
      </c>
      <c r="E1358" t="s">
        <v>53</v>
      </c>
      <c r="F1358" t="s">
        <v>34</v>
      </c>
      <c r="G1358" t="s">
        <v>35</v>
      </c>
      <c r="H1358" t="s">
        <v>47</v>
      </c>
      <c r="I1358" t="s">
        <v>62</v>
      </c>
      <c r="J1358" t="s">
        <v>37</v>
      </c>
      <c r="K1358" s="2">
        <v>46194</v>
      </c>
      <c r="L1358" s="2">
        <v>46284</v>
      </c>
      <c r="M1358" t="s">
        <v>38</v>
      </c>
      <c r="N1358" t="s">
        <v>49</v>
      </c>
      <c r="O1358">
        <v>1</v>
      </c>
      <c r="P1358" t="s">
        <v>70</v>
      </c>
      <c r="Q1358" s="2">
        <v>46119</v>
      </c>
      <c r="R1358" t="s">
        <v>38</v>
      </c>
    </row>
    <row r="1359" spans="1:18" x14ac:dyDescent="0.2">
      <c r="A1359" t="s">
        <v>2776</v>
      </c>
      <c r="B1359" t="s">
        <v>2777</v>
      </c>
      <c r="C1359" t="s">
        <v>31</v>
      </c>
      <c r="D1359" t="s">
        <v>32</v>
      </c>
      <c r="E1359" t="s">
        <v>91</v>
      </c>
      <c r="F1359" t="s">
        <v>45</v>
      </c>
      <c r="G1359" t="s">
        <v>61</v>
      </c>
      <c r="H1359" t="s">
        <v>88</v>
      </c>
      <c r="I1359" t="s">
        <v>39</v>
      </c>
      <c r="J1359" t="s">
        <v>63</v>
      </c>
      <c r="K1359" s="2">
        <v>45934</v>
      </c>
      <c r="L1359" s="2">
        <v>46299</v>
      </c>
      <c r="M1359" t="s">
        <v>64</v>
      </c>
      <c r="N1359" t="s">
        <v>55</v>
      </c>
      <c r="O1359">
        <v>0</v>
      </c>
      <c r="P1359" t="s">
        <v>62</v>
      </c>
      <c r="Q1359" s="2">
        <v>46157</v>
      </c>
      <c r="R1359" t="s">
        <v>57</v>
      </c>
    </row>
    <row r="1360" spans="1:18" x14ac:dyDescent="0.2">
      <c r="A1360" t="s">
        <v>2778</v>
      </c>
      <c r="B1360" t="s">
        <v>2779</v>
      </c>
      <c r="C1360" t="s">
        <v>31</v>
      </c>
      <c r="D1360" t="s">
        <v>83</v>
      </c>
      <c r="E1360" t="s">
        <v>44</v>
      </c>
      <c r="F1360" t="s">
        <v>45</v>
      </c>
      <c r="G1360" t="s">
        <v>46</v>
      </c>
      <c r="H1360" t="s">
        <v>88</v>
      </c>
      <c r="I1360" t="s">
        <v>56</v>
      </c>
      <c r="J1360" t="s">
        <v>63</v>
      </c>
      <c r="K1360" s="2">
        <v>45915</v>
      </c>
      <c r="L1360" s="2">
        <v>46095</v>
      </c>
      <c r="M1360" t="s">
        <v>38</v>
      </c>
      <c r="N1360" t="s">
        <v>49</v>
      </c>
      <c r="O1360">
        <v>3</v>
      </c>
      <c r="P1360" t="s">
        <v>39</v>
      </c>
      <c r="Q1360" s="2">
        <v>46142</v>
      </c>
      <c r="R1360" t="s">
        <v>38</v>
      </c>
    </row>
    <row r="1361" spans="1:18" x14ac:dyDescent="0.2">
      <c r="A1361" t="s">
        <v>2780</v>
      </c>
      <c r="B1361" t="s">
        <v>2781</v>
      </c>
      <c r="C1361" t="s">
        <v>31</v>
      </c>
      <c r="D1361" t="s">
        <v>83</v>
      </c>
      <c r="E1361" t="s">
        <v>44</v>
      </c>
      <c r="F1361" t="s">
        <v>67</v>
      </c>
      <c r="G1361" t="s">
        <v>118</v>
      </c>
      <c r="H1361" t="s">
        <v>88</v>
      </c>
      <c r="I1361" t="s">
        <v>56</v>
      </c>
      <c r="J1361" t="s">
        <v>37</v>
      </c>
      <c r="K1361" s="2">
        <v>45918</v>
      </c>
      <c r="L1361" s="2">
        <v>46008</v>
      </c>
      <c r="M1361" t="s">
        <v>38</v>
      </c>
      <c r="N1361" t="s">
        <v>49</v>
      </c>
      <c r="O1361">
        <v>1</v>
      </c>
      <c r="P1361" t="s">
        <v>106</v>
      </c>
      <c r="Q1361" s="2">
        <v>46115</v>
      </c>
      <c r="R1361" t="s">
        <v>38</v>
      </c>
    </row>
    <row r="1362" spans="1:18" x14ac:dyDescent="0.2">
      <c r="A1362" t="s">
        <v>2782</v>
      </c>
      <c r="B1362" t="s">
        <v>2783</v>
      </c>
      <c r="C1362" t="s">
        <v>31</v>
      </c>
      <c r="D1362" t="s">
        <v>32</v>
      </c>
      <c r="E1362" t="s">
        <v>105</v>
      </c>
      <c r="F1362" t="s">
        <v>34</v>
      </c>
      <c r="G1362" t="s">
        <v>35</v>
      </c>
      <c r="H1362" t="s">
        <v>47</v>
      </c>
      <c r="I1362" t="s">
        <v>62</v>
      </c>
      <c r="J1362" t="s">
        <v>48</v>
      </c>
      <c r="K1362" s="2">
        <v>45887</v>
      </c>
      <c r="L1362" s="2">
        <v>46252</v>
      </c>
      <c r="M1362" t="s">
        <v>38</v>
      </c>
      <c r="N1362" t="s">
        <v>55</v>
      </c>
      <c r="O1362">
        <v>0</v>
      </c>
      <c r="P1362" t="s">
        <v>50</v>
      </c>
      <c r="Q1362" s="2">
        <v>46278</v>
      </c>
      <c r="R1362" t="s">
        <v>57</v>
      </c>
    </row>
    <row r="1363" spans="1:18" x14ac:dyDescent="0.2">
      <c r="A1363" t="s">
        <v>2784</v>
      </c>
      <c r="B1363" t="s">
        <v>2785</v>
      </c>
      <c r="C1363" t="s">
        <v>103</v>
      </c>
      <c r="D1363" t="s">
        <v>104</v>
      </c>
      <c r="E1363" t="s">
        <v>80</v>
      </c>
      <c r="F1363" t="s">
        <v>67</v>
      </c>
      <c r="G1363" t="s">
        <v>118</v>
      </c>
      <c r="H1363" t="s">
        <v>88</v>
      </c>
      <c r="I1363" t="s">
        <v>106</v>
      </c>
      <c r="J1363" t="s">
        <v>48</v>
      </c>
      <c r="K1363" s="2">
        <v>46259</v>
      </c>
      <c r="L1363" s="2">
        <v>46439</v>
      </c>
      <c r="M1363" t="s">
        <v>64</v>
      </c>
      <c r="N1363" t="s">
        <v>75</v>
      </c>
      <c r="O1363">
        <v>0</v>
      </c>
      <c r="P1363" t="s">
        <v>111</v>
      </c>
      <c r="Q1363" s="2">
        <v>46341</v>
      </c>
      <c r="R1363" t="s">
        <v>57</v>
      </c>
    </row>
    <row r="1364" spans="1:18" x14ac:dyDescent="0.2">
      <c r="A1364" t="s">
        <v>2786</v>
      </c>
      <c r="B1364" t="s">
        <v>2787</v>
      </c>
      <c r="C1364" t="s">
        <v>78</v>
      </c>
      <c r="D1364" t="s">
        <v>79</v>
      </c>
      <c r="E1364" t="s">
        <v>53</v>
      </c>
      <c r="F1364" t="s">
        <v>34</v>
      </c>
      <c r="G1364" t="s">
        <v>35</v>
      </c>
      <c r="H1364" t="s">
        <v>36</v>
      </c>
      <c r="I1364" t="s">
        <v>106</v>
      </c>
      <c r="J1364" t="s">
        <v>63</v>
      </c>
      <c r="K1364" s="2">
        <v>45946</v>
      </c>
      <c r="L1364" s="2">
        <v>46036</v>
      </c>
      <c r="M1364" t="s">
        <v>38</v>
      </c>
      <c r="N1364" t="s">
        <v>55</v>
      </c>
      <c r="O1364">
        <v>5</v>
      </c>
      <c r="P1364" t="s">
        <v>54</v>
      </c>
      <c r="Q1364" s="2">
        <v>46148</v>
      </c>
      <c r="R1364" t="s">
        <v>64</v>
      </c>
    </row>
    <row r="1365" spans="1:18" x14ac:dyDescent="0.2">
      <c r="A1365" t="s">
        <v>2788</v>
      </c>
      <c r="B1365" t="s">
        <v>2789</v>
      </c>
      <c r="C1365" t="s">
        <v>42</v>
      </c>
      <c r="D1365" t="s">
        <v>43</v>
      </c>
      <c r="E1365" t="s">
        <v>44</v>
      </c>
      <c r="F1365" t="s">
        <v>67</v>
      </c>
      <c r="G1365" t="s">
        <v>68</v>
      </c>
      <c r="H1365" t="s">
        <v>88</v>
      </c>
      <c r="I1365" t="s">
        <v>70</v>
      </c>
      <c r="J1365" t="s">
        <v>48</v>
      </c>
      <c r="K1365" s="2">
        <v>46274</v>
      </c>
      <c r="L1365" s="2">
        <v>46454</v>
      </c>
      <c r="M1365" t="s">
        <v>64</v>
      </c>
      <c r="N1365" t="s">
        <v>55</v>
      </c>
      <c r="O1365">
        <v>1</v>
      </c>
      <c r="P1365" t="s">
        <v>56</v>
      </c>
      <c r="Q1365" s="2">
        <v>46334</v>
      </c>
      <c r="R1365" t="s">
        <v>64</v>
      </c>
    </row>
    <row r="1366" spans="1:18" x14ac:dyDescent="0.2">
      <c r="A1366" t="s">
        <v>2790</v>
      </c>
      <c r="B1366" t="s">
        <v>2791</v>
      </c>
      <c r="C1366" t="s">
        <v>103</v>
      </c>
      <c r="D1366" t="s">
        <v>104</v>
      </c>
      <c r="E1366" t="s">
        <v>44</v>
      </c>
      <c r="F1366" t="s">
        <v>34</v>
      </c>
      <c r="G1366" t="s">
        <v>35</v>
      </c>
      <c r="H1366" t="s">
        <v>98</v>
      </c>
      <c r="I1366" t="s">
        <v>106</v>
      </c>
      <c r="J1366" t="s">
        <v>63</v>
      </c>
      <c r="K1366" s="2">
        <v>45825</v>
      </c>
      <c r="L1366" s="2">
        <v>46190</v>
      </c>
      <c r="M1366" t="s">
        <v>38</v>
      </c>
      <c r="N1366" t="s">
        <v>49</v>
      </c>
      <c r="O1366">
        <v>1</v>
      </c>
      <c r="P1366" t="s">
        <v>106</v>
      </c>
      <c r="Q1366" s="2">
        <v>46394</v>
      </c>
      <c r="R1366" t="s">
        <v>84</v>
      </c>
    </row>
    <row r="1367" spans="1:18" x14ac:dyDescent="0.2">
      <c r="A1367" t="s">
        <v>2792</v>
      </c>
      <c r="B1367" t="s">
        <v>2793</v>
      </c>
      <c r="C1367" t="s">
        <v>78</v>
      </c>
      <c r="D1367" t="s">
        <v>79</v>
      </c>
      <c r="E1367" t="s">
        <v>53</v>
      </c>
      <c r="F1367" t="s">
        <v>45</v>
      </c>
      <c r="G1367" t="s">
        <v>46</v>
      </c>
      <c r="H1367" t="s">
        <v>88</v>
      </c>
      <c r="I1367" t="s">
        <v>39</v>
      </c>
      <c r="J1367" t="s">
        <v>63</v>
      </c>
      <c r="K1367" s="2">
        <v>46245</v>
      </c>
      <c r="L1367" s="2">
        <v>46425</v>
      </c>
      <c r="M1367" t="s">
        <v>84</v>
      </c>
      <c r="N1367" t="s">
        <v>49</v>
      </c>
      <c r="O1367">
        <v>0</v>
      </c>
      <c r="P1367" t="s">
        <v>39</v>
      </c>
      <c r="Q1367" s="2">
        <v>46318</v>
      </c>
      <c r="R1367" t="s">
        <v>57</v>
      </c>
    </row>
    <row r="1368" spans="1:18" x14ac:dyDescent="0.2">
      <c r="A1368" t="s">
        <v>2794</v>
      </c>
      <c r="B1368" t="s">
        <v>2795</v>
      </c>
      <c r="C1368" t="s">
        <v>31</v>
      </c>
      <c r="D1368" t="s">
        <v>83</v>
      </c>
      <c r="E1368" t="s">
        <v>91</v>
      </c>
      <c r="F1368" t="s">
        <v>45</v>
      </c>
      <c r="G1368" t="s">
        <v>61</v>
      </c>
      <c r="H1368" t="s">
        <v>88</v>
      </c>
      <c r="J1368" t="s">
        <v>48</v>
      </c>
      <c r="K1368" s="2">
        <v>46141</v>
      </c>
      <c r="L1368" s="2">
        <v>46231</v>
      </c>
      <c r="M1368" t="s">
        <v>38</v>
      </c>
      <c r="N1368" t="s">
        <v>49</v>
      </c>
      <c r="O1368">
        <v>1</v>
      </c>
      <c r="P1368" t="s">
        <v>54</v>
      </c>
      <c r="Q1368" s="2">
        <v>46360</v>
      </c>
      <c r="R1368" t="s">
        <v>84</v>
      </c>
    </row>
    <row r="1369" spans="1:18" x14ac:dyDescent="0.2">
      <c r="A1369" t="s">
        <v>2796</v>
      </c>
      <c r="B1369" t="s">
        <v>2797</v>
      </c>
      <c r="C1369" t="s">
        <v>96</v>
      </c>
      <c r="D1369" t="s">
        <v>97</v>
      </c>
      <c r="E1369" t="s">
        <v>53</v>
      </c>
      <c r="F1369" t="s">
        <v>34</v>
      </c>
      <c r="G1369" t="s">
        <v>35</v>
      </c>
      <c r="H1369" t="s">
        <v>88</v>
      </c>
      <c r="I1369" t="s">
        <v>106</v>
      </c>
      <c r="J1369" t="s">
        <v>37</v>
      </c>
      <c r="K1369" s="2">
        <v>45834</v>
      </c>
      <c r="L1369" s="2">
        <v>45924</v>
      </c>
      <c r="M1369" t="s">
        <v>38</v>
      </c>
      <c r="N1369" t="s">
        <v>55</v>
      </c>
      <c r="O1369">
        <v>0</v>
      </c>
      <c r="P1369" t="s">
        <v>50</v>
      </c>
      <c r="Q1369" s="2">
        <v>46316</v>
      </c>
      <c r="R1369" t="s">
        <v>57</v>
      </c>
    </row>
    <row r="1370" spans="1:18" x14ac:dyDescent="0.2">
      <c r="A1370" t="s">
        <v>2798</v>
      </c>
      <c r="B1370" t="s">
        <v>2799</v>
      </c>
      <c r="C1370" t="s">
        <v>73</v>
      </c>
      <c r="D1370" t="s">
        <v>74</v>
      </c>
      <c r="E1370" t="s">
        <v>105</v>
      </c>
      <c r="F1370" t="s">
        <v>67</v>
      </c>
      <c r="G1370" t="s">
        <v>118</v>
      </c>
      <c r="H1370" t="s">
        <v>47</v>
      </c>
      <c r="I1370" t="s">
        <v>106</v>
      </c>
      <c r="J1370" t="s">
        <v>48</v>
      </c>
      <c r="K1370" s="2">
        <v>45851</v>
      </c>
      <c r="L1370" s="2">
        <v>45941</v>
      </c>
      <c r="M1370" t="s">
        <v>38</v>
      </c>
      <c r="N1370" t="s">
        <v>55</v>
      </c>
      <c r="O1370">
        <v>3</v>
      </c>
      <c r="P1370" t="s">
        <v>62</v>
      </c>
      <c r="Q1370" s="2">
        <v>46223</v>
      </c>
      <c r="R1370" t="s">
        <v>38</v>
      </c>
    </row>
    <row r="1371" spans="1:18" x14ac:dyDescent="0.2">
      <c r="A1371" t="s">
        <v>2800</v>
      </c>
      <c r="B1371" t="s">
        <v>2801</v>
      </c>
      <c r="C1371" t="s">
        <v>42</v>
      </c>
      <c r="D1371" t="s">
        <v>43</v>
      </c>
      <c r="E1371" t="s">
        <v>105</v>
      </c>
      <c r="F1371" t="s">
        <v>45</v>
      </c>
      <c r="G1371" t="s">
        <v>61</v>
      </c>
      <c r="H1371" t="s">
        <v>88</v>
      </c>
      <c r="I1371" t="s">
        <v>56</v>
      </c>
      <c r="J1371" t="s">
        <v>48</v>
      </c>
      <c r="K1371" s="2">
        <v>46181</v>
      </c>
      <c r="L1371" s="2">
        <v>46546</v>
      </c>
      <c r="M1371" t="s">
        <v>64</v>
      </c>
      <c r="N1371" t="s">
        <v>55</v>
      </c>
      <c r="O1371">
        <v>1</v>
      </c>
      <c r="P1371" t="s">
        <v>70</v>
      </c>
      <c r="Q1371" s="2">
        <v>46227</v>
      </c>
      <c r="R1371" t="s">
        <v>38</v>
      </c>
    </row>
    <row r="1372" spans="1:18" x14ac:dyDescent="0.2">
      <c r="A1372" t="s">
        <v>2802</v>
      </c>
      <c r="B1372" t="s">
        <v>2803</v>
      </c>
      <c r="C1372" t="s">
        <v>78</v>
      </c>
      <c r="D1372" t="s">
        <v>79</v>
      </c>
      <c r="E1372" t="s">
        <v>60</v>
      </c>
      <c r="F1372" t="s">
        <v>45</v>
      </c>
      <c r="G1372" t="s">
        <v>46</v>
      </c>
      <c r="H1372" t="s">
        <v>47</v>
      </c>
      <c r="I1372" t="s">
        <v>62</v>
      </c>
      <c r="J1372" t="s">
        <v>37</v>
      </c>
      <c r="K1372" s="2">
        <v>45846</v>
      </c>
      <c r="L1372" s="2">
        <v>46211</v>
      </c>
      <c r="M1372" t="s">
        <v>38</v>
      </c>
      <c r="N1372" t="s">
        <v>55</v>
      </c>
      <c r="O1372">
        <v>2</v>
      </c>
      <c r="P1372" t="s">
        <v>54</v>
      </c>
      <c r="Q1372" s="2">
        <v>46240</v>
      </c>
      <c r="R1372" t="s">
        <v>64</v>
      </c>
    </row>
    <row r="1373" spans="1:18" x14ac:dyDescent="0.2">
      <c r="A1373" t="s">
        <v>2804</v>
      </c>
      <c r="B1373" t="s">
        <v>2805</v>
      </c>
      <c r="C1373" t="s">
        <v>73</v>
      </c>
      <c r="D1373" t="s">
        <v>74</v>
      </c>
      <c r="E1373" t="s">
        <v>105</v>
      </c>
      <c r="F1373" t="s">
        <v>45</v>
      </c>
      <c r="G1373" t="s">
        <v>46</v>
      </c>
      <c r="H1373" t="s">
        <v>47</v>
      </c>
      <c r="I1373" t="s">
        <v>62</v>
      </c>
      <c r="J1373" t="s">
        <v>37</v>
      </c>
      <c r="K1373" s="2">
        <v>46048</v>
      </c>
      <c r="L1373" s="2">
        <v>46138</v>
      </c>
      <c r="M1373" t="s">
        <v>38</v>
      </c>
      <c r="N1373" t="s">
        <v>55</v>
      </c>
      <c r="O1373">
        <v>0</v>
      </c>
      <c r="P1373" t="s">
        <v>111</v>
      </c>
      <c r="Q1373" s="2">
        <v>46259</v>
      </c>
      <c r="R1373" t="s">
        <v>57</v>
      </c>
    </row>
    <row r="1374" spans="1:18" x14ac:dyDescent="0.2">
      <c r="A1374" t="s">
        <v>2806</v>
      </c>
      <c r="B1374" t="s">
        <v>2807</v>
      </c>
      <c r="C1374" t="s">
        <v>103</v>
      </c>
      <c r="D1374" t="s">
        <v>104</v>
      </c>
      <c r="E1374" t="s">
        <v>105</v>
      </c>
      <c r="F1374" t="s">
        <v>67</v>
      </c>
      <c r="G1374" t="s">
        <v>68</v>
      </c>
      <c r="H1374" t="s">
        <v>47</v>
      </c>
      <c r="I1374" t="s">
        <v>62</v>
      </c>
      <c r="J1374" t="s">
        <v>63</v>
      </c>
      <c r="K1374" s="2">
        <v>46116</v>
      </c>
      <c r="L1374" s="2">
        <v>46206</v>
      </c>
      <c r="M1374" t="s">
        <v>38</v>
      </c>
      <c r="N1374" t="s">
        <v>75</v>
      </c>
      <c r="O1374">
        <v>0</v>
      </c>
      <c r="P1374" t="s">
        <v>50</v>
      </c>
      <c r="Q1374" s="2">
        <v>46233</v>
      </c>
      <c r="R1374" t="s">
        <v>57</v>
      </c>
    </row>
    <row r="1375" spans="1:18" x14ac:dyDescent="0.2">
      <c r="A1375" t="s">
        <v>2808</v>
      </c>
      <c r="B1375" t="s">
        <v>2809</v>
      </c>
      <c r="C1375" t="s">
        <v>31</v>
      </c>
      <c r="D1375" t="s">
        <v>87</v>
      </c>
      <c r="E1375" t="s">
        <v>80</v>
      </c>
      <c r="F1375" t="s">
        <v>45</v>
      </c>
      <c r="G1375" t="s">
        <v>46</v>
      </c>
      <c r="H1375" t="s">
        <v>88</v>
      </c>
      <c r="I1375" t="s">
        <v>50</v>
      </c>
      <c r="J1375" t="s">
        <v>48</v>
      </c>
      <c r="K1375" s="2">
        <v>46236</v>
      </c>
      <c r="L1375" s="2">
        <v>46416</v>
      </c>
      <c r="M1375" t="s">
        <v>64</v>
      </c>
      <c r="N1375" t="s">
        <v>75</v>
      </c>
      <c r="O1375">
        <v>0</v>
      </c>
      <c r="P1375" t="s">
        <v>70</v>
      </c>
      <c r="Q1375" s="2">
        <v>46179</v>
      </c>
      <c r="R1375" t="s">
        <v>57</v>
      </c>
    </row>
    <row r="1376" spans="1:18" x14ac:dyDescent="0.2">
      <c r="A1376" t="s">
        <v>2810</v>
      </c>
      <c r="B1376" t="s">
        <v>2811</v>
      </c>
      <c r="C1376" t="s">
        <v>31</v>
      </c>
      <c r="D1376" t="s">
        <v>83</v>
      </c>
      <c r="E1376" t="s">
        <v>44</v>
      </c>
      <c r="F1376" t="s">
        <v>67</v>
      </c>
      <c r="G1376" t="s">
        <v>68</v>
      </c>
      <c r="H1376" t="s">
        <v>36</v>
      </c>
      <c r="I1376" t="s">
        <v>39</v>
      </c>
      <c r="J1376" t="s">
        <v>37</v>
      </c>
      <c r="K1376" s="2">
        <v>46183</v>
      </c>
      <c r="L1376" s="2">
        <v>46273</v>
      </c>
      <c r="M1376" t="s">
        <v>38</v>
      </c>
      <c r="N1376" t="s">
        <v>75</v>
      </c>
      <c r="O1376">
        <v>5</v>
      </c>
      <c r="P1376" t="s">
        <v>70</v>
      </c>
      <c r="Q1376" s="2">
        <v>46201</v>
      </c>
      <c r="R1376" t="s">
        <v>64</v>
      </c>
    </row>
    <row r="1377" spans="1:18" x14ac:dyDescent="0.2">
      <c r="A1377" t="s">
        <v>2812</v>
      </c>
      <c r="B1377" t="s">
        <v>2813</v>
      </c>
      <c r="C1377" t="s">
        <v>78</v>
      </c>
      <c r="D1377" t="s">
        <v>79</v>
      </c>
      <c r="E1377" t="s">
        <v>91</v>
      </c>
      <c r="F1377" t="s">
        <v>34</v>
      </c>
      <c r="G1377" t="s">
        <v>35</v>
      </c>
      <c r="H1377" t="s">
        <v>47</v>
      </c>
      <c r="I1377" t="s">
        <v>106</v>
      </c>
      <c r="J1377" t="s">
        <v>63</v>
      </c>
      <c r="K1377" s="2">
        <v>45986</v>
      </c>
      <c r="L1377" s="2">
        <v>46076</v>
      </c>
      <c r="M1377" t="s">
        <v>38</v>
      </c>
      <c r="N1377" t="s">
        <v>75</v>
      </c>
      <c r="O1377">
        <v>0</v>
      </c>
      <c r="P1377" t="s">
        <v>106</v>
      </c>
      <c r="Q1377" s="2">
        <v>46172</v>
      </c>
      <c r="R1377" t="s">
        <v>57</v>
      </c>
    </row>
    <row r="1378" spans="1:18" x14ac:dyDescent="0.2">
      <c r="A1378" t="s">
        <v>2814</v>
      </c>
      <c r="B1378" t="s">
        <v>2815</v>
      </c>
      <c r="C1378" t="s">
        <v>31</v>
      </c>
      <c r="D1378" t="s">
        <v>87</v>
      </c>
      <c r="E1378" t="s">
        <v>91</v>
      </c>
      <c r="F1378" t="s">
        <v>67</v>
      </c>
      <c r="G1378" t="s">
        <v>68</v>
      </c>
      <c r="H1378" t="s">
        <v>88</v>
      </c>
      <c r="I1378" t="s">
        <v>106</v>
      </c>
      <c r="J1378" t="s">
        <v>48</v>
      </c>
      <c r="K1378" s="2">
        <v>45984</v>
      </c>
      <c r="L1378" s="2">
        <v>46349</v>
      </c>
      <c r="M1378" t="s">
        <v>64</v>
      </c>
      <c r="N1378" t="s">
        <v>75</v>
      </c>
      <c r="O1378">
        <v>1</v>
      </c>
      <c r="P1378" t="s">
        <v>106</v>
      </c>
      <c r="Q1378" s="2">
        <v>46163</v>
      </c>
      <c r="R1378" t="s">
        <v>38</v>
      </c>
    </row>
    <row r="1379" spans="1:18" x14ac:dyDescent="0.2">
      <c r="A1379" t="s">
        <v>2816</v>
      </c>
      <c r="B1379" t="s">
        <v>2817</v>
      </c>
      <c r="C1379" t="s">
        <v>42</v>
      </c>
      <c r="D1379" t="s">
        <v>43</v>
      </c>
      <c r="E1379" t="s">
        <v>60</v>
      </c>
      <c r="F1379" t="s">
        <v>45</v>
      </c>
      <c r="G1379" t="s">
        <v>61</v>
      </c>
      <c r="H1379" t="s">
        <v>36</v>
      </c>
      <c r="I1379" t="s">
        <v>54</v>
      </c>
      <c r="J1379" t="s">
        <v>37</v>
      </c>
      <c r="K1379" s="2">
        <v>46241</v>
      </c>
      <c r="L1379" s="2">
        <v>46606</v>
      </c>
      <c r="M1379" t="s">
        <v>84</v>
      </c>
      <c r="N1379" t="s">
        <v>49</v>
      </c>
      <c r="O1379">
        <v>4</v>
      </c>
      <c r="P1379" t="s">
        <v>39</v>
      </c>
      <c r="Q1379" s="2">
        <v>46360</v>
      </c>
      <c r="R1379" t="s">
        <v>84</v>
      </c>
    </row>
    <row r="1380" spans="1:18" x14ac:dyDescent="0.2">
      <c r="A1380" t="s">
        <v>2818</v>
      </c>
      <c r="B1380" t="s">
        <v>2819</v>
      </c>
      <c r="C1380" t="s">
        <v>42</v>
      </c>
      <c r="D1380" t="s">
        <v>43</v>
      </c>
      <c r="E1380" t="s">
        <v>60</v>
      </c>
      <c r="F1380" t="s">
        <v>34</v>
      </c>
      <c r="G1380" t="s">
        <v>35</v>
      </c>
      <c r="H1380" t="s">
        <v>47</v>
      </c>
      <c r="I1380" t="s">
        <v>111</v>
      </c>
      <c r="J1380" t="s">
        <v>48</v>
      </c>
      <c r="K1380" s="2">
        <v>46192</v>
      </c>
      <c r="L1380" s="2">
        <v>46282</v>
      </c>
      <c r="M1380" t="s">
        <v>38</v>
      </c>
      <c r="N1380" t="s">
        <v>55</v>
      </c>
      <c r="O1380">
        <v>1</v>
      </c>
      <c r="P1380" t="s">
        <v>54</v>
      </c>
      <c r="Q1380" s="2">
        <v>46397</v>
      </c>
      <c r="R1380" t="s">
        <v>64</v>
      </c>
    </row>
    <row r="1381" spans="1:18" x14ac:dyDescent="0.2">
      <c r="A1381" t="s">
        <v>2820</v>
      </c>
      <c r="B1381" t="s">
        <v>2821</v>
      </c>
      <c r="C1381" t="s">
        <v>31</v>
      </c>
      <c r="D1381" t="s">
        <v>32</v>
      </c>
      <c r="E1381" t="s">
        <v>105</v>
      </c>
      <c r="F1381" t="s">
        <v>45</v>
      </c>
      <c r="G1381" t="s">
        <v>46</v>
      </c>
      <c r="H1381" t="s">
        <v>47</v>
      </c>
      <c r="I1381" t="s">
        <v>56</v>
      </c>
      <c r="J1381" t="s">
        <v>37</v>
      </c>
      <c r="K1381" s="2">
        <v>46133</v>
      </c>
      <c r="L1381" s="2">
        <v>46313</v>
      </c>
      <c r="M1381" t="s">
        <v>84</v>
      </c>
      <c r="N1381" t="s">
        <v>49</v>
      </c>
      <c r="O1381">
        <v>1</v>
      </c>
      <c r="P1381" t="s">
        <v>54</v>
      </c>
      <c r="Q1381" s="2">
        <v>46383</v>
      </c>
      <c r="R1381" t="s">
        <v>84</v>
      </c>
    </row>
    <row r="1382" spans="1:18" x14ac:dyDescent="0.2">
      <c r="A1382" t="s">
        <v>2822</v>
      </c>
      <c r="B1382" t="s">
        <v>2823</v>
      </c>
      <c r="C1382" t="s">
        <v>31</v>
      </c>
      <c r="D1382" t="s">
        <v>83</v>
      </c>
      <c r="E1382" t="s">
        <v>91</v>
      </c>
      <c r="F1382" t="s">
        <v>34</v>
      </c>
      <c r="G1382" t="s">
        <v>35</v>
      </c>
      <c r="H1382" t="s">
        <v>47</v>
      </c>
      <c r="I1382" t="s">
        <v>39</v>
      </c>
      <c r="J1382" t="s">
        <v>37</v>
      </c>
      <c r="K1382" s="2">
        <v>46210</v>
      </c>
      <c r="L1382" s="2">
        <v>46300</v>
      </c>
      <c r="M1382" t="s">
        <v>84</v>
      </c>
      <c r="N1382" t="s">
        <v>75</v>
      </c>
      <c r="O1382">
        <v>1</v>
      </c>
      <c r="P1382" t="s">
        <v>111</v>
      </c>
      <c r="Q1382" s="2">
        <v>46227</v>
      </c>
      <c r="R1382" t="s">
        <v>38</v>
      </c>
    </row>
    <row r="1383" spans="1:18" x14ac:dyDescent="0.2">
      <c r="A1383" t="s">
        <v>2824</v>
      </c>
      <c r="B1383" t="s">
        <v>2825</v>
      </c>
      <c r="C1383" t="s">
        <v>31</v>
      </c>
      <c r="D1383" t="s">
        <v>87</v>
      </c>
      <c r="E1383" t="s">
        <v>91</v>
      </c>
      <c r="F1383" t="s">
        <v>67</v>
      </c>
      <c r="G1383" t="s">
        <v>68</v>
      </c>
      <c r="H1383" t="s">
        <v>36</v>
      </c>
      <c r="I1383" t="s">
        <v>54</v>
      </c>
      <c r="J1383" t="s">
        <v>37</v>
      </c>
      <c r="K1383" s="2">
        <v>46085</v>
      </c>
      <c r="L1383" s="2">
        <v>46450</v>
      </c>
      <c r="M1383" t="s">
        <v>64</v>
      </c>
      <c r="N1383" t="s">
        <v>55</v>
      </c>
      <c r="O1383">
        <v>4</v>
      </c>
      <c r="P1383" t="s">
        <v>62</v>
      </c>
      <c r="Q1383" s="2">
        <v>46162</v>
      </c>
      <c r="R1383" t="s">
        <v>38</v>
      </c>
    </row>
    <row r="1384" spans="1:18" x14ac:dyDescent="0.2">
      <c r="A1384" t="s">
        <v>2826</v>
      </c>
      <c r="B1384" t="s">
        <v>2827</v>
      </c>
      <c r="C1384" t="s">
        <v>31</v>
      </c>
      <c r="D1384" t="s">
        <v>32</v>
      </c>
      <c r="E1384" t="s">
        <v>91</v>
      </c>
      <c r="F1384" t="s">
        <v>45</v>
      </c>
      <c r="G1384" t="s">
        <v>46</v>
      </c>
      <c r="H1384" t="s">
        <v>98</v>
      </c>
      <c r="I1384" t="s">
        <v>39</v>
      </c>
      <c r="J1384" t="s">
        <v>63</v>
      </c>
      <c r="K1384" s="2">
        <v>46099</v>
      </c>
      <c r="L1384" s="2">
        <v>46464</v>
      </c>
      <c r="M1384" t="s">
        <v>84</v>
      </c>
      <c r="N1384" t="s">
        <v>75</v>
      </c>
      <c r="O1384">
        <v>3</v>
      </c>
      <c r="P1384" t="s">
        <v>54</v>
      </c>
      <c r="Q1384" s="2">
        <v>46350</v>
      </c>
      <c r="R1384" t="s">
        <v>84</v>
      </c>
    </row>
    <row r="1385" spans="1:18" x14ac:dyDescent="0.2">
      <c r="A1385" t="s">
        <v>2828</v>
      </c>
      <c r="B1385" t="s">
        <v>2829</v>
      </c>
      <c r="C1385" t="s">
        <v>42</v>
      </c>
      <c r="D1385" t="s">
        <v>43</v>
      </c>
      <c r="E1385" t="s">
        <v>91</v>
      </c>
      <c r="F1385" t="s">
        <v>45</v>
      </c>
      <c r="G1385" t="s">
        <v>46</v>
      </c>
      <c r="H1385" t="s">
        <v>47</v>
      </c>
      <c r="I1385" t="s">
        <v>50</v>
      </c>
      <c r="J1385" t="s">
        <v>63</v>
      </c>
      <c r="K1385" s="2">
        <v>45969</v>
      </c>
      <c r="L1385" s="2">
        <v>46059</v>
      </c>
      <c r="M1385" t="s">
        <v>38</v>
      </c>
      <c r="N1385" t="s">
        <v>75</v>
      </c>
      <c r="O1385">
        <v>0</v>
      </c>
      <c r="P1385" t="s">
        <v>39</v>
      </c>
      <c r="Q1385" s="2">
        <v>46355</v>
      </c>
      <c r="R1385" t="s">
        <v>57</v>
      </c>
    </row>
    <row r="1386" spans="1:18" x14ac:dyDescent="0.2">
      <c r="A1386" t="s">
        <v>2830</v>
      </c>
      <c r="B1386" t="s">
        <v>2831</v>
      </c>
      <c r="C1386" t="s">
        <v>78</v>
      </c>
      <c r="D1386" t="s">
        <v>79</v>
      </c>
      <c r="E1386" t="s">
        <v>105</v>
      </c>
      <c r="F1386" t="s">
        <v>45</v>
      </c>
      <c r="G1386" t="s">
        <v>46</v>
      </c>
      <c r="H1386" t="s">
        <v>98</v>
      </c>
      <c r="I1386" t="s">
        <v>39</v>
      </c>
      <c r="J1386" t="s">
        <v>48</v>
      </c>
      <c r="K1386" s="2">
        <v>46141</v>
      </c>
      <c r="L1386" s="2">
        <v>46231</v>
      </c>
      <c r="M1386" t="s">
        <v>38</v>
      </c>
      <c r="N1386" t="s">
        <v>49</v>
      </c>
      <c r="O1386">
        <v>4</v>
      </c>
      <c r="P1386" t="s">
        <v>50</v>
      </c>
      <c r="Q1386" s="2">
        <v>46256</v>
      </c>
      <c r="R1386" t="s">
        <v>64</v>
      </c>
    </row>
    <row r="1387" spans="1:18" x14ac:dyDescent="0.2">
      <c r="A1387" t="s">
        <v>2832</v>
      </c>
      <c r="B1387" t="s">
        <v>2833</v>
      </c>
      <c r="C1387" t="s">
        <v>78</v>
      </c>
      <c r="D1387" t="s">
        <v>79</v>
      </c>
      <c r="E1387" t="s">
        <v>44</v>
      </c>
      <c r="F1387" t="s">
        <v>34</v>
      </c>
      <c r="G1387" t="s">
        <v>35</v>
      </c>
      <c r="H1387" t="s">
        <v>98</v>
      </c>
      <c r="I1387" t="s">
        <v>62</v>
      </c>
      <c r="J1387" t="s">
        <v>37</v>
      </c>
      <c r="K1387" s="2">
        <v>46026</v>
      </c>
      <c r="L1387" s="2">
        <v>46116</v>
      </c>
      <c r="M1387" t="s">
        <v>38</v>
      </c>
      <c r="N1387" t="s">
        <v>49</v>
      </c>
      <c r="O1387">
        <v>0</v>
      </c>
      <c r="P1387" t="s">
        <v>62</v>
      </c>
      <c r="Q1387" s="2">
        <v>46302</v>
      </c>
      <c r="R1387" t="s">
        <v>57</v>
      </c>
    </row>
    <row r="1388" spans="1:18" x14ac:dyDescent="0.2">
      <c r="A1388" t="s">
        <v>2834</v>
      </c>
      <c r="B1388" t="s">
        <v>2835</v>
      </c>
      <c r="C1388" t="s">
        <v>42</v>
      </c>
      <c r="D1388" t="s">
        <v>43</v>
      </c>
      <c r="E1388" t="s">
        <v>105</v>
      </c>
      <c r="F1388" t="s">
        <v>67</v>
      </c>
      <c r="G1388" t="s">
        <v>118</v>
      </c>
      <c r="H1388" t="s">
        <v>88</v>
      </c>
      <c r="I1388" t="s">
        <v>62</v>
      </c>
      <c r="J1388" t="s">
        <v>37</v>
      </c>
      <c r="K1388" s="2">
        <v>45799</v>
      </c>
      <c r="L1388" s="2">
        <v>45889</v>
      </c>
      <c r="M1388" t="s">
        <v>38</v>
      </c>
      <c r="N1388" t="s">
        <v>55</v>
      </c>
      <c r="O1388">
        <v>3</v>
      </c>
      <c r="P1388" t="s">
        <v>56</v>
      </c>
      <c r="Q1388" s="2">
        <v>46300</v>
      </c>
      <c r="R1388" t="s">
        <v>84</v>
      </c>
    </row>
    <row r="1389" spans="1:18" x14ac:dyDescent="0.2">
      <c r="A1389" t="s">
        <v>2836</v>
      </c>
      <c r="B1389" t="s">
        <v>2837</v>
      </c>
      <c r="C1389" t="s">
        <v>73</v>
      </c>
      <c r="D1389" t="s">
        <v>74</v>
      </c>
      <c r="E1389" t="s">
        <v>80</v>
      </c>
      <c r="F1389" t="s">
        <v>67</v>
      </c>
      <c r="G1389" t="s">
        <v>68</v>
      </c>
      <c r="H1389" t="s">
        <v>98</v>
      </c>
      <c r="I1389" t="s">
        <v>62</v>
      </c>
      <c r="J1389" t="s">
        <v>37</v>
      </c>
      <c r="K1389" s="2">
        <v>46175</v>
      </c>
      <c r="L1389" s="2">
        <v>46540</v>
      </c>
      <c r="M1389" t="s">
        <v>64</v>
      </c>
      <c r="N1389" t="s">
        <v>55</v>
      </c>
      <c r="O1389">
        <v>5</v>
      </c>
      <c r="P1389" t="s">
        <v>62</v>
      </c>
      <c r="Q1389" s="2">
        <v>46230</v>
      </c>
      <c r="R1389" t="s">
        <v>38</v>
      </c>
    </row>
    <row r="1390" spans="1:18" x14ac:dyDescent="0.2">
      <c r="A1390" t="s">
        <v>2838</v>
      </c>
      <c r="B1390" t="s">
        <v>2839</v>
      </c>
      <c r="C1390" t="s">
        <v>42</v>
      </c>
      <c r="D1390" t="s">
        <v>43</v>
      </c>
      <c r="E1390" t="s">
        <v>44</v>
      </c>
      <c r="F1390" t="s">
        <v>45</v>
      </c>
      <c r="G1390" t="s">
        <v>61</v>
      </c>
      <c r="H1390" t="s">
        <v>47</v>
      </c>
      <c r="I1390" t="s">
        <v>50</v>
      </c>
      <c r="J1390" t="s">
        <v>37</v>
      </c>
      <c r="K1390" s="2">
        <v>46078</v>
      </c>
      <c r="L1390" s="2">
        <v>46168</v>
      </c>
      <c r="M1390" t="s">
        <v>38</v>
      </c>
      <c r="N1390" t="s">
        <v>75</v>
      </c>
      <c r="O1390">
        <v>0</v>
      </c>
      <c r="P1390" t="s">
        <v>54</v>
      </c>
      <c r="Q1390" s="2">
        <v>46160</v>
      </c>
      <c r="R1390" t="s">
        <v>57</v>
      </c>
    </row>
    <row r="1391" spans="1:18" x14ac:dyDescent="0.2">
      <c r="A1391" t="s">
        <v>2840</v>
      </c>
      <c r="B1391" t="s">
        <v>2841</v>
      </c>
      <c r="C1391" t="s">
        <v>96</v>
      </c>
      <c r="D1391" t="s">
        <v>97</v>
      </c>
      <c r="E1391" t="s">
        <v>91</v>
      </c>
      <c r="F1391" t="s">
        <v>67</v>
      </c>
      <c r="G1391" t="s">
        <v>68</v>
      </c>
      <c r="H1391" t="s">
        <v>88</v>
      </c>
      <c r="I1391" t="s">
        <v>106</v>
      </c>
      <c r="J1391" t="s">
        <v>63</v>
      </c>
      <c r="K1391" s="2">
        <v>46139</v>
      </c>
      <c r="L1391" s="2">
        <v>46504</v>
      </c>
      <c r="M1391" t="s">
        <v>64</v>
      </c>
      <c r="N1391" t="s">
        <v>49</v>
      </c>
      <c r="O1391">
        <v>0</v>
      </c>
      <c r="P1391" t="s">
        <v>70</v>
      </c>
      <c r="Q1391" s="2">
        <v>46388</v>
      </c>
      <c r="R1391" t="s">
        <v>57</v>
      </c>
    </row>
    <row r="1392" spans="1:18" x14ac:dyDescent="0.2">
      <c r="A1392" t="s">
        <v>2842</v>
      </c>
      <c r="B1392" t="s">
        <v>2843</v>
      </c>
      <c r="C1392" t="s">
        <v>73</v>
      </c>
      <c r="D1392" t="s">
        <v>74</v>
      </c>
      <c r="E1392" t="s">
        <v>44</v>
      </c>
      <c r="F1392" t="s">
        <v>34</v>
      </c>
      <c r="G1392" t="s">
        <v>35</v>
      </c>
      <c r="H1392" t="s">
        <v>88</v>
      </c>
      <c r="I1392" t="s">
        <v>56</v>
      </c>
      <c r="J1392" t="s">
        <v>48</v>
      </c>
      <c r="K1392" s="2">
        <v>45811</v>
      </c>
      <c r="L1392" s="2">
        <v>46176</v>
      </c>
      <c r="M1392" t="s">
        <v>38</v>
      </c>
      <c r="N1392" t="s">
        <v>55</v>
      </c>
      <c r="O1392">
        <v>3</v>
      </c>
      <c r="P1392" t="s">
        <v>50</v>
      </c>
      <c r="Q1392" s="2">
        <v>46249</v>
      </c>
      <c r="R1392" t="s">
        <v>64</v>
      </c>
    </row>
    <row r="1393" spans="1:18" x14ac:dyDescent="0.2">
      <c r="A1393" t="s">
        <v>2844</v>
      </c>
      <c r="B1393" t="s">
        <v>2845</v>
      </c>
      <c r="C1393" t="s">
        <v>103</v>
      </c>
      <c r="D1393" t="s">
        <v>104</v>
      </c>
      <c r="E1393" t="s">
        <v>80</v>
      </c>
      <c r="F1393" t="s">
        <v>34</v>
      </c>
      <c r="G1393" t="s">
        <v>35</v>
      </c>
      <c r="H1393" t="s">
        <v>98</v>
      </c>
      <c r="I1393" t="s">
        <v>50</v>
      </c>
      <c r="J1393" t="s">
        <v>48</v>
      </c>
      <c r="K1393" s="2">
        <v>45820</v>
      </c>
      <c r="L1393" s="2">
        <v>46000</v>
      </c>
      <c r="M1393" t="s">
        <v>38</v>
      </c>
      <c r="N1393" t="s">
        <v>49</v>
      </c>
      <c r="O1393">
        <v>0</v>
      </c>
      <c r="P1393" t="s">
        <v>56</v>
      </c>
      <c r="Q1393" s="2">
        <v>46301</v>
      </c>
      <c r="R1393" t="s">
        <v>57</v>
      </c>
    </row>
    <row r="1394" spans="1:18" x14ac:dyDescent="0.2">
      <c r="A1394" t="s">
        <v>2846</v>
      </c>
      <c r="B1394" t="s">
        <v>2847</v>
      </c>
      <c r="C1394" t="s">
        <v>42</v>
      </c>
      <c r="D1394" t="s">
        <v>43</v>
      </c>
      <c r="E1394" t="s">
        <v>91</v>
      </c>
      <c r="F1394" t="s">
        <v>45</v>
      </c>
      <c r="G1394" t="s">
        <v>46</v>
      </c>
      <c r="H1394" t="s">
        <v>47</v>
      </c>
      <c r="I1394" t="s">
        <v>70</v>
      </c>
      <c r="J1394" t="s">
        <v>37</v>
      </c>
      <c r="K1394" s="2">
        <v>45914</v>
      </c>
      <c r="L1394" s="2">
        <v>46094</v>
      </c>
      <c r="M1394" t="s">
        <v>38</v>
      </c>
      <c r="N1394" t="s">
        <v>49</v>
      </c>
      <c r="O1394">
        <v>3</v>
      </c>
      <c r="P1394" t="s">
        <v>62</v>
      </c>
      <c r="Q1394" s="2">
        <v>46322</v>
      </c>
      <c r="R1394" t="s">
        <v>64</v>
      </c>
    </row>
    <row r="1395" spans="1:18" x14ac:dyDescent="0.2">
      <c r="A1395" t="s">
        <v>2848</v>
      </c>
      <c r="B1395" t="s">
        <v>2849</v>
      </c>
      <c r="C1395" t="s">
        <v>103</v>
      </c>
      <c r="D1395" t="s">
        <v>104</v>
      </c>
      <c r="E1395" t="s">
        <v>80</v>
      </c>
      <c r="F1395" t="s">
        <v>34</v>
      </c>
      <c r="G1395" t="s">
        <v>35</v>
      </c>
      <c r="H1395" t="s">
        <v>88</v>
      </c>
      <c r="I1395" t="s">
        <v>111</v>
      </c>
      <c r="J1395" t="s">
        <v>37</v>
      </c>
      <c r="K1395" s="2">
        <v>46070</v>
      </c>
      <c r="L1395" s="2">
        <v>46435</v>
      </c>
      <c r="M1395" t="s">
        <v>69</v>
      </c>
      <c r="N1395" t="s">
        <v>49</v>
      </c>
      <c r="O1395">
        <v>2</v>
      </c>
      <c r="P1395" t="s">
        <v>111</v>
      </c>
      <c r="Q1395" s="2">
        <v>46217</v>
      </c>
      <c r="R1395" t="s">
        <v>38</v>
      </c>
    </row>
    <row r="1396" spans="1:18" x14ac:dyDescent="0.2">
      <c r="A1396" t="s">
        <v>2850</v>
      </c>
      <c r="B1396" t="s">
        <v>2851</v>
      </c>
      <c r="C1396" t="s">
        <v>31</v>
      </c>
      <c r="D1396" t="s">
        <v>83</v>
      </c>
      <c r="E1396" t="s">
        <v>80</v>
      </c>
      <c r="F1396" t="s">
        <v>67</v>
      </c>
      <c r="G1396" t="s">
        <v>118</v>
      </c>
      <c r="H1396" t="s">
        <v>98</v>
      </c>
      <c r="I1396" t="s">
        <v>62</v>
      </c>
      <c r="J1396" t="s">
        <v>37</v>
      </c>
      <c r="K1396" s="2">
        <v>45862</v>
      </c>
      <c r="L1396" s="2">
        <v>45952</v>
      </c>
      <c r="M1396" t="s">
        <v>38</v>
      </c>
      <c r="N1396" t="s">
        <v>75</v>
      </c>
      <c r="O1396">
        <v>1</v>
      </c>
      <c r="P1396" t="s">
        <v>106</v>
      </c>
      <c r="Q1396" s="2">
        <v>46258</v>
      </c>
      <c r="R1396" t="s">
        <v>64</v>
      </c>
    </row>
    <row r="1397" spans="1:18" x14ac:dyDescent="0.2">
      <c r="A1397" t="s">
        <v>2852</v>
      </c>
      <c r="B1397" t="s">
        <v>2853</v>
      </c>
      <c r="C1397" t="s">
        <v>73</v>
      </c>
      <c r="D1397" t="s">
        <v>74</v>
      </c>
      <c r="E1397" t="s">
        <v>60</v>
      </c>
      <c r="F1397" t="s">
        <v>45</v>
      </c>
      <c r="G1397" t="s">
        <v>46</v>
      </c>
      <c r="H1397" t="s">
        <v>88</v>
      </c>
      <c r="I1397" t="s">
        <v>56</v>
      </c>
      <c r="J1397" t="s">
        <v>37</v>
      </c>
      <c r="K1397" s="2">
        <v>46015</v>
      </c>
      <c r="L1397" s="2">
        <v>46105</v>
      </c>
      <c r="M1397" t="s">
        <v>38</v>
      </c>
      <c r="N1397" t="s">
        <v>75</v>
      </c>
      <c r="O1397">
        <v>1</v>
      </c>
      <c r="P1397" t="s">
        <v>62</v>
      </c>
      <c r="Q1397" s="2">
        <v>46319</v>
      </c>
      <c r="R1397" t="s">
        <v>84</v>
      </c>
    </row>
    <row r="1398" spans="1:18" x14ac:dyDescent="0.2">
      <c r="A1398" t="s">
        <v>2854</v>
      </c>
      <c r="B1398" t="s">
        <v>2855</v>
      </c>
      <c r="C1398" t="s">
        <v>31</v>
      </c>
      <c r="D1398" t="s">
        <v>32</v>
      </c>
      <c r="E1398" t="s">
        <v>80</v>
      </c>
      <c r="F1398" t="s">
        <v>67</v>
      </c>
      <c r="G1398" t="s">
        <v>118</v>
      </c>
      <c r="H1398" t="s">
        <v>47</v>
      </c>
      <c r="I1398" t="s">
        <v>54</v>
      </c>
      <c r="J1398" t="s">
        <v>48</v>
      </c>
      <c r="K1398" s="2">
        <v>46269</v>
      </c>
      <c r="L1398" s="2">
        <v>46449</v>
      </c>
      <c r="M1398" t="s">
        <v>69</v>
      </c>
      <c r="N1398" t="s">
        <v>55</v>
      </c>
      <c r="O1398">
        <v>1</v>
      </c>
      <c r="P1398" t="s">
        <v>62</v>
      </c>
      <c r="Q1398" s="2">
        <v>46303</v>
      </c>
      <c r="R1398" t="s">
        <v>84</v>
      </c>
    </row>
    <row r="1399" spans="1:18" x14ac:dyDescent="0.2">
      <c r="A1399" t="s">
        <v>2856</v>
      </c>
      <c r="B1399" t="s">
        <v>2857</v>
      </c>
      <c r="C1399" t="s">
        <v>73</v>
      </c>
      <c r="D1399" t="s">
        <v>74</v>
      </c>
      <c r="E1399" t="s">
        <v>105</v>
      </c>
      <c r="F1399" t="s">
        <v>45</v>
      </c>
      <c r="G1399" t="s">
        <v>61</v>
      </c>
      <c r="H1399" t="s">
        <v>98</v>
      </c>
      <c r="I1399" t="s">
        <v>56</v>
      </c>
      <c r="J1399" t="s">
        <v>48</v>
      </c>
      <c r="K1399" s="2">
        <v>45942</v>
      </c>
      <c r="L1399" s="2">
        <v>46307</v>
      </c>
      <c r="M1399" t="s">
        <v>84</v>
      </c>
      <c r="N1399" t="s">
        <v>55</v>
      </c>
      <c r="O1399">
        <v>3</v>
      </c>
      <c r="P1399" t="s">
        <v>39</v>
      </c>
      <c r="Q1399" s="2">
        <v>46174</v>
      </c>
      <c r="R1399" t="s">
        <v>64</v>
      </c>
    </row>
    <row r="1400" spans="1:18" x14ac:dyDescent="0.2">
      <c r="A1400" t="s">
        <v>2858</v>
      </c>
      <c r="B1400" t="s">
        <v>2859</v>
      </c>
      <c r="C1400" t="s">
        <v>31</v>
      </c>
      <c r="D1400" t="s">
        <v>32</v>
      </c>
      <c r="E1400" t="s">
        <v>44</v>
      </c>
      <c r="F1400" t="s">
        <v>67</v>
      </c>
      <c r="G1400" t="s">
        <v>118</v>
      </c>
      <c r="H1400" t="s">
        <v>88</v>
      </c>
      <c r="I1400" t="s">
        <v>111</v>
      </c>
      <c r="J1400" t="s">
        <v>63</v>
      </c>
      <c r="K1400" s="2">
        <v>46160</v>
      </c>
      <c r="L1400" s="2">
        <v>46250</v>
      </c>
      <c r="M1400" t="s">
        <v>38</v>
      </c>
      <c r="N1400" t="s">
        <v>49</v>
      </c>
      <c r="O1400">
        <v>0</v>
      </c>
      <c r="P1400" t="s">
        <v>106</v>
      </c>
      <c r="Q1400" s="2">
        <v>46130</v>
      </c>
      <c r="R1400" t="s">
        <v>57</v>
      </c>
    </row>
    <row r="1401" spans="1:18" x14ac:dyDescent="0.2">
      <c r="A1401" t="s">
        <v>2860</v>
      </c>
      <c r="B1401" t="s">
        <v>2861</v>
      </c>
      <c r="C1401" t="s">
        <v>42</v>
      </c>
      <c r="D1401" t="s">
        <v>43</v>
      </c>
      <c r="E1401" t="s">
        <v>105</v>
      </c>
      <c r="F1401" t="s">
        <v>45</v>
      </c>
      <c r="G1401" t="s">
        <v>46</v>
      </c>
      <c r="H1401" t="s">
        <v>47</v>
      </c>
      <c r="I1401" t="s">
        <v>111</v>
      </c>
      <c r="J1401" t="s">
        <v>48</v>
      </c>
      <c r="K1401" s="2">
        <v>46228</v>
      </c>
      <c r="L1401" s="2">
        <v>46593</v>
      </c>
      <c r="M1401" t="s">
        <v>64</v>
      </c>
      <c r="N1401" t="s">
        <v>55</v>
      </c>
      <c r="O1401">
        <v>1</v>
      </c>
      <c r="P1401" t="s">
        <v>62</v>
      </c>
      <c r="Q1401" s="2">
        <v>46300</v>
      </c>
      <c r="R1401" t="s">
        <v>84</v>
      </c>
    </row>
    <row r="1402" spans="1:18" x14ac:dyDescent="0.2">
      <c r="A1402" t="s">
        <v>2862</v>
      </c>
      <c r="B1402" t="s">
        <v>2863</v>
      </c>
      <c r="C1402" t="s">
        <v>78</v>
      </c>
      <c r="D1402" t="s">
        <v>79</v>
      </c>
      <c r="E1402" t="s">
        <v>53</v>
      </c>
      <c r="F1402" t="s">
        <v>34</v>
      </c>
      <c r="G1402" t="s">
        <v>35</v>
      </c>
      <c r="H1402" t="s">
        <v>47</v>
      </c>
      <c r="I1402" t="s">
        <v>111</v>
      </c>
      <c r="J1402" t="s">
        <v>37</v>
      </c>
      <c r="K1402" s="2">
        <v>46251</v>
      </c>
      <c r="L1402" s="2">
        <v>46341</v>
      </c>
      <c r="M1402" t="s">
        <v>64</v>
      </c>
      <c r="N1402" t="s">
        <v>49</v>
      </c>
      <c r="O1402">
        <v>1</v>
      </c>
      <c r="P1402" t="s">
        <v>50</v>
      </c>
      <c r="Q1402" s="2">
        <v>46127</v>
      </c>
      <c r="R1402" t="s">
        <v>38</v>
      </c>
    </row>
    <row r="1403" spans="1:18" x14ac:dyDescent="0.2">
      <c r="A1403" t="s">
        <v>2864</v>
      </c>
      <c r="B1403" t="s">
        <v>2865</v>
      </c>
      <c r="C1403" t="s">
        <v>42</v>
      </c>
      <c r="D1403" t="s">
        <v>43</v>
      </c>
      <c r="E1403" t="s">
        <v>80</v>
      </c>
      <c r="F1403" t="s">
        <v>45</v>
      </c>
      <c r="G1403" t="s">
        <v>61</v>
      </c>
      <c r="H1403" t="s">
        <v>88</v>
      </c>
      <c r="I1403" t="s">
        <v>62</v>
      </c>
      <c r="J1403" t="s">
        <v>63</v>
      </c>
      <c r="K1403" s="2">
        <v>46071</v>
      </c>
      <c r="L1403" s="2">
        <v>46436</v>
      </c>
      <c r="M1403" t="s">
        <v>64</v>
      </c>
      <c r="N1403" t="s">
        <v>55</v>
      </c>
      <c r="O1403">
        <v>1</v>
      </c>
      <c r="P1403" t="s">
        <v>39</v>
      </c>
      <c r="Q1403" s="2">
        <v>46354</v>
      </c>
      <c r="R1403" t="s">
        <v>64</v>
      </c>
    </row>
    <row r="1404" spans="1:18" x14ac:dyDescent="0.2">
      <c r="A1404" t="s">
        <v>2866</v>
      </c>
      <c r="B1404" t="s">
        <v>2867</v>
      </c>
      <c r="C1404" t="s">
        <v>31</v>
      </c>
      <c r="D1404" t="s">
        <v>83</v>
      </c>
      <c r="E1404" t="s">
        <v>44</v>
      </c>
      <c r="F1404" t="s">
        <v>34</v>
      </c>
      <c r="G1404" t="s">
        <v>35</v>
      </c>
      <c r="H1404" t="s">
        <v>36</v>
      </c>
      <c r="I1404" t="s">
        <v>70</v>
      </c>
      <c r="J1404" t="s">
        <v>63</v>
      </c>
      <c r="K1404" s="2">
        <v>46263</v>
      </c>
      <c r="L1404" s="2">
        <v>46443</v>
      </c>
      <c r="M1404" t="s">
        <v>64</v>
      </c>
      <c r="N1404" t="s">
        <v>49</v>
      </c>
      <c r="O1404">
        <v>5</v>
      </c>
      <c r="P1404" t="s">
        <v>50</v>
      </c>
      <c r="Q1404" s="2">
        <v>46138</v>
      </c>
      <c r="R1404" t="s">
        <v>64</v>
      </c>
    </row>
    <row r="1405" spans="1:18" x14ac:dyDescent="0.2">
      <c r="A1405" t="s">
        <v>2868</v>
      </c>
      <c r="B1405" t="s">
        <v>2869</v>
      </c>
      <c r="C1405" t="s">
        <v>103</v>
      </c>
      <c r="D1405" t="s">
        <v>104</v>
      </c>
      <c r="E1405" t="s">
        <v>105</v>
      </c>
      <c r="F1405" t="s">
        <v>34</v>
      </c>
      <c r="G1405" t="s">
        <v>35</v>
      </c>
      <c r="H1405" t="s">
        <v>88</v>
      </c>
      <c r="I1405" t="s">
        <v>106</v>
      </c>
      <c r="J1405" t="s">
        <v>63</v>
      </c>
      <c r="K1405" s="2">
        <v>46038</v>
      </c>
      <c r="L1405" s="2">
        <v>46403</v>
      </c>
      <c r="M1405" t="s">
        <v>84</v>
      </c>
      <c r="N1405" t="s">
        <v>55</v>
      </c>
      <c r="O1405">
        <v>3</v>
      </c>
      <c r="P1405" t="s">
        <v>70</v>
      </c>
      <c r="Q1405" s="2">
        <v>46128</v>
      </c>
      <c r="R1405" t="s">
        <v>38</v>
      </c>
    </row>
    <row r="1406" spans="1:18" x14ac:dyDescent="0.2">
      <c r="A1406" t="s">
        <v>2870</v>
      </c>
      <c r="B1406" t="s">
        <v>2871</v>
      </c>
      <c r="C1406" t="s">
        <v>73</v>
      </c>
      <c r="D1406" t="s">
        <v>74</v>
      </c>
      <c r="E1406" t="s">
        <v>60</v>
      </c>
      <c r="F1406" t="s">
        <v>45</v>
      </c>
      <c r="G1406" t="s">
        <v>61</v>
      </c>
      <c r="H1406" t="s">
        <v>36</v>
      </c>
      <c r="I1406" t="s">
        <v>70</v>
      </c>
      <c r="J1406" t="s">
        <v>63</v>
      </c>
      <c r="K1406" s="2">
        <v>46022</v>
      </c>
      <c r="L1406" s="2">
        <v>46112</v>
      </c>
      <c r="M1406" t="s">
        <v>38</v>
      </c>
      <c r="N1406" t="s">
        <v>55</v>
      </c>
      <c r="O1406">
        <v>1</v>
      </c>
      <c r="P1406" t="s">
        <v>50</v>
      </c>
      <c r="Q1406" s="2">
        <v>46177</v>
      </c>
      <c r="R1406" t="s">
        <v>64</v>
      </c>
    </row>
    <row r="1407" spans="1:18" x14ac:dyDescent="0.2">
      <c r="A1407" t="s">
        <v>2872</v>
      </c>
      <c r="B1407" t="s">
        <v>2873</v>
      </c>
      <c r="C1407" t="s">
        <v>73</v>
      </c>
      <c r="D1407" t="s">
        <v>74</v>
      </c>
      <c r="E1407" t="s">
        <v>44</v>
      </c>
      <c r="F1407" t="s">
        <v>34</v>
      </c>
      <c r="G1407" t="s">
        <v>35</v>
      </c>
      <c r="H1407" t="s">
        <v>36</v>
      </c>
      <c r="I1407" t="s">
        <v>39</v>
      </c>
      <c r="J1407" t="s">
        <v>63</v>
      </c>
      <c r="K1407" s="2">
        <v>45968</v>
      </c>
      <c r="L1407" s="2">
        <v>46333</v>
      </c>
      <c r="M1407" t="s">
        <v>64</v>
      </c>
      <c r="N1407" t="s">
        <v>49</v>
      </c>
      <c r="O1407">
        <v>5</v>
      </c>
      <c r="P1407" t="s">
        <v>106</v>
      </c>
      <c r="Q1407" s="2">
        <v>46363</v>
      </c>
      <c r="R1407" t="s">
        <v>84</v>
      </c>
    </row>
    <row r="1408" spans="1:18" x14ac:dyDescent="0.2">
      <c r="A1408" t="s">
        <v>2874</v>
      </c>
      <c r="B1408" t="s">
        <v>2875</v>
      </c>
      <c r="C1408" t="s">
        <v>103</v>
      </c>
      <c r="D1408" t="s">
        <v>104</v>
      </c>
      <c r="E1408" t="s">
        <v>91</v>
      </c>
      <c r="F1408" t="s">
        <v>34</v>
      </c>
      <c r="G1408" t="s">
        <v>35</v>
      </c>
      <c r="H1408" t="s">
        <v>88</v>
      </c>
      <c r="I1408" t="s">
        <v>54</v>
      </c>
      <c r="J1408" t="s">
        <v>63</v>
      </c>
      <c r="K1408" s="2">
        <v>46200</v>
      </c>
      <c r="L1408" s="2">
        <v>46290</v>
      </c>
      <c r="M1408" t="s">
        <v>38</v>
      </c>
      <c r="N1408" t="s">
        <v>55</v>
      </c>
      <c r="O1408">
        <v>3</v>
      </c>
      <c r="P1408" t="s">
        <v>50</v>
      </c>
      <c r="Q1408" s="2">
        <v>46231</v>
      </c>
      <c r="R1408" t="s">
        <v>38</v>
      </c>
    </row>
    <row r="1409" spans="1:18" x14ac:dyDescent="0.2">
      <c r="A1409" t="s">
        <v>2876</v>
      </c>
      <c r="B1409" t="s">
        <v>2877</v>
      </c>
      <c r="C1409" t="s">
        <v>31</v>
      </c>
      <c r="D1409" t="s">
        <v>32</v>
      </c>
      <c r="E1409" t="s">
        <v>53</v>
      </c>
      <c r="F1409" t="s">
        <v>45</v>
      </c>
      <c r="G1409" t="s">
        <v>61</v>
      </c>
      <c r="H1409" t="s">
        <v>36</v>
      </c>
      <c r="I1409" t="s">
        <v>54</v>
      </c>
      <c r="J1409" t="s">
        <v>37</v>
      </c>
      <c r="K1409" s="2">
        <v>45875</v>
      </c>
      <c r="L1409" s="2">
        <v>46055</v>
      </c>
      <c r="M1409" t="s">
        <v>38</v>
      </c>
      <c r="N1409" t="s">
        <v>55</v>
      </c>
      <c r="O1409">
        <v>1</v>
      </c>
      <c r="P1409" t="s">
        <v>39</v>
      </c>
      <c r="Q1409" s="2">
        <v>46231</v>
      </c>
      <c r="R1409" t="s">
        <v>38</v>
      </c>
    </row>
    <row r="1410" spans="1:18" x14ac:dyDescent="0.2">
      <c r="A1410" t="s">
        <v>2878</v>
      </c>
      <c r="B1410" t="s">
        <v>2879</v>
      </c>
      <c r="C1410" t="s">
        <v>31</v>
      </c>
      <c r="D1410" t="s">
        <v>83</v>
      </c>
      <c r="E1410" t="s">
        <v>105</v>
      </c>
      <c r="F1410" t="s">
        <v>67</v>
      </c>
      <c r="G1410" t="s">
        <v>118</v>
      </c>
      <c r="H1410" t="s">
        <v>36</v>
      </c>
      <c r="I1410" t="s">
        <v>111</v>
      </c>
      <c r="J1410" t="s">
        <v>48</v>
      </c>
      <c r="K1410" s="2">
        <v>46252</v>
      </c>
      <c r="L1410" s="2">
        <v>46617</v>
      </c>
      <c r="M1410" t="s">
        <v>64</v>
      </c>
      <c r="N1410" t="s">
        <v>49</v>
      </c>
      <c r="O1410">
        <v>3</v>
      </c>
      <c r="P1410" t="s">
        <v>62</v>
      </c>
      <c r="Q1410" s="2">
        <v>46176</v>
      </c>
      <c r="R1410" t="s">
        <v>38</v>
      </c>
    </row>
    <row r="1411" spans="1:18" x14ac:dyDescent="0.2">
      <c r="A1411" t="s">
        <v>2880</v>
      </c>
      <c r="B1411" t="s">
        <v>2881</v>
      </c>
      <c r="C1411" t="s">
        <v>31</v>
      </c>
      <c r="D1411" t="s">
        <v>83</v>
      </c>
      <c r="E1411" t="s">
        <v>105</v>
      </c>
      <c r="F1411" t="s">
        <v>45</v>
      </c>
      <c r="G1411" t="s">
        <v>46</v>
      </c>
      <c r="H1411" t="s">
        <v>88</v>
      </c>
      <c r="I1411" t="s">
        <v>50</v>
      </c>
      <c r="J1411" t="s">
        <v>48</v>
      </c>
      <c r="K1411" s="2">
        <v>46073</v>
      </c>
      <c r="L1411" s="2">
        <v>46163</v>
      </c>
      <c r="M1411" t="s">
        <v>38</v>
      </c>
      <c r="N1411" t="s">
        <v>75</v>
      </c>
      <c r="O1411">
        <v>1</v>
      </c>
      <c r="P1411" t="s">
        <v>111</v>
      </c>
      <c r="Q1411" s="2">
        <v>46400</v>
      </c>
      <c r="R1411" t="s">
        <v>84</v>
      </c>
    </row>
    <row r="1412" spans="1:18" x14ac:dyDescent="0.2">
      <c r="A1412" t="s">
        <v>2882</v>
      </c>
      <c r="B1412" t="s">
        <v>2883</v>
      </c>
      <c r="C1412" t="s">
        <v>42</v>
      </c>
      <c r="D1412" t="s">
        <v>43</v>
      </c>
      <c r="E1412" t="s">
        <v>91</v>
      </c>
      <c r="F1412" t="s">
        <v>34</v>
      </c>
      <c r="G1412" t="s">
        <v>35</v>
      </c>
      <c r="H1412" t="s">
        <v>36</v>
      </c>
      <c r="I1412" t="s">
        <v>56</v>
      </c>
      <c r="J1412" t="s">
        <v>48</v>
      </c>
      <c r="K1412" s="2">
        <v>45876</v>
      </c>
      <c r="L1412" s="2">
        <v>46056</v>
      </c>
      <c r="M1412" t="s">
        <v>38</v>
      </c>
      <c r="N1412" t="s">
        <v>75</v>
      </c>
      <c r="O1412">
        <v>1</v>
      </c>
      <c r="P1412" t="s">
        <v>54</v>
      </c>
      <c r="Q1412" s="2">
        <v>46281</v>
      </c>
      <c r="R1412" t="s">
        <v>38</v>
      </c>
    </row>
    <row r="1413" spans="1:18" x14ac:dyDescent="0.2">
      <c r="A1413" t="s">
        <v>2884</v>
      </c>
      <c r="B1413" t="s">
        <v>2885</v>
      </c>
      <c r="C1413" t="s">
        <v>73</v>
      </c>
      <c r="D1413" t="s">
        <v>74</v>
      </c>
      <c r="E1413" t="s">
        <v>44</v>
      </c>
      <c r="F1413" t="s">
        <v>45</v>
      </c>
      <c r="G1413" t="s">
        <v>46</v>
      </c>
      <c r="H1413" t="s">
        <v>98</v>
      </c>
      <c r="I1413" t="s">
        <v>39</v>
      </c>
      <c r="J1413" t="s">
        <v>63</v>
      </c>
      <c r="K1413" s="2">
        <v>45951</v>
      </c>
      <c r="L1413" s="2">
        <v>46041</v>
      </c>
      <c r="M1413" t="s">
        <v>38</v>
      </c>
      <c r="N1413" t="s">
        <v>49</v>
      </c>
      <c r="O1413">
        <v>2</v>
      </c>
      <c r="P1413" t="s">
        <v>50</v>
      </c>
      <c r="Q1413" s="2">
        <v>46244</v>
      </c>
      <c r="R1413" t="s">
        <v>38</v>
      </c>
    </row>
    <row r="1414" spans="1:18" x14ac:dyDescent="0.2">
      <c r="A1414" t="s">
        <v>2886</v>
      </c>
      <c r="B1414" t="s">
        <v>2887</v>
      </c>
      <c r="C1414" t="s">
        <v>31</v>
      </c>
      <c r="D1414" t="s">
        <v>87</v>
      </c>
      <c r="E1414" t="s">
        <v>44</v>
      </c>
      <c r="F1414" t="s">
        <v>34</v>
      </c>
      <c r="G1414" t="s">
        <v>35</v>
      </c>
      <c r="H1414" t="s">
        <v>36</v>
      </c>
      <c r="I1414" t="s">
        <v>106</v>
      </c>
      <c r="J1414" t="s">
        <v>48</v>
      </c>
      <c r="K1414" s="2">
        <v>46068</v>
      </c>
      <c r="L1414" s="2">
        <v>46158</v>
      </c>
      <c r="M1414" t="s">
        <v>38</v>
      </c>
      <c r="N1414" t="s">
        <v>75</v>
      </c>
      <c r="O1414">
        <v>1</v>
      </c>
      <c r="P1414" t="s">
        <v>111</v>
      </c>
      <c r="Q1414" s="2">
        <v>46287</v>
      </c>
      <c r="R1414" t="s">
        <v>64</v>
      </c>
    </row>
    <row r="1415" spans="1:18" x14ac:dyDescent="0.2">
      <c r="A1415" t="s">
        <v>2888</v>
      </c>
      <c r="B1415" t="s">
        <v>2889</v>
      </c>
      <c r="C1415" t="s">
        <v>31</v>
      </c>
      <c r="D1415" t="s">
        <v>87</v>
      </c>
      <c r="E1415" t="s">
        <v>91</v>
      </c>
      <c r="F1415" t="s">
        <v>45</v>
      </c>
      <c r="G1415" t="s">
        <v>46</v>
      </c>
      <c r="H1415" t="s">
        <v>47</v>
      </c>
      <c r="J1415" t="s">
        <v>63</v>
      </c>
      <c r="K1415" s="2">
        <v>46247</v>
      </c>
      <c r="L1415" s="2">
        <v>46427</v>
      </c>
      <c r="M1415" t="s">
        <v>64</v>
      </c>
      <c r="N1415" t="s">
        <v>75</v>
      </c>
      <c r="O1415">
        <v>2</v>
      </c>
      <c r="P1415" t="s">
        <v>106</v>
      </c>
      <c r="Q1415" s="2">
        <v>46168</v>
      </c>
      <c r="R1415" t="s">
        <v>38</v>
      </c>
    </row>
    <row r="1416" spans="1:18" x14ac:dyDescent="0.2">
      <c r="A1416" t="s">
        <v>2890</v>
      </c>
      <c r="B1416" t="s">
        <v>2891</v>
      </c>
      <c r="C1416" t="s">
        <v>78</v>
      </c>
      <c r="D1416" t="s">
        <v>79</v>
      </c>
      <c r="E1416" t="s">
        <v>105</v>
      </c>
      <c r="F1416" t="s">
        <v>45</v>
      </c>
      <c r="G1416" t="s">
        <v>61</v>
      </c>
      <c r="H1416" t="s">
        <v>88</v>
      </c>
      <c r="I1416" t="s">
        <v>106</v>
      </c>
      <c r="J1416" t="s">
        <v>37</v>
      </c>
      <c r="K1416" s="2">
        <v>46199</v>
      </c>
      <c r="L1416" s="2">
        <v>46289</v>
      </c>
      <c r="M1416" t="s">
        <v>38</v>
      </c>
      <c r="O1416">
        <v>0</v>
      </c>
      <c r="P1416" t="s">
        <v>39</v>
      </c>
      <c r="Q1416" s="2">
        <v>46227</v>
      </c>
      <c r="R1416" t="s">
        <v>57</v>
      </c>
    </row>
    <row r="1417" spans="1:18" x14ac:dyDescent="0.2">
      <c r="A1417" t="s">
        <v>2892</v>
      </c>
      <c r="B1417" t="s">
        <v>2893</v>
      </c>
      <c r="C1417" t="s">
        <v>42</v>
      </c>
      <c r="D1417" t="s">
        <v>43</v>
      </c>
      <c r="E1417" t="s">
        <v>91</v>
      </c>
      <c r="F1417" t="s">
        <v>34</v>
      </c>
      <c r="G1417" t="s">
        <v>35</v>
      </c>
      <c r="H1417" t="s">
        <v>88</v>
      </c>
      <c r="I1417" t="s">
        <v>111</v>
      </c>
      <c r="J1417" t="s">
        <v>37</v>
      </c>
      <c r="K1417" s="2">
        <v>45939</v>
      </c>
      <c r="L1417" s="2">
        <v>46119</v>
      </c>
      <c r="M1417" t="s">
        <v>38</v>
      </c>
      <c r="N1417" t="s">
        <v>75</v>
      </c>
      <c r="O1417">
        <v>0</v>
      </c>
      <c r="P1417" t="s">
        <v>39</v>
      </c>
      <c r="Q1417" s="2">
        <v>46275</v>
      </c>
      <c r="R1417" t="s">
        <v>57</v>
      </c>
    </row>
    <row r="1418" spans="1:18" x14ac:dyDescent="0.2">
      <c r="A1418" t="s">
        <v>2894</v>
      </c>
      <c r="B1418" t="s">
        <v>2895</v>
      </c>
      <c r="C1418" t="s">
        <v>31</v>
      </c>
      <c r="D1418" t="s">
        <v>32</v>
      </c>
      <c r="E1418" t="s">
        <v>53</v>
      </c>
      <c r="F1418" t="s">
        <v>67</v>
      </c>
      <c r="G1418" t="s">
        <v>118</v>
      </c>
      <c r="H1418" t="s">
        <v>88</v>
      </c>
      <c r="I1418" t="s">
        <v>50</v>
      </c>
      <c r="J1418" t="s">
        <v>63</v>
      </c>
      <c r="K1418" s="2">
        <v>45796</v>
      </c>
      <c r="L1418" s="2">
        <v>46161</v>
      </c>
      <c r="M1418" t="s">
        <v>38</v>
      </c>
      <c r="N1418" t="s">
        <v>49</v>
      </c>
      <c r="O1418">
        <v>0</v>
      </c>
      <c r="P1418" t="s">
        <v>56</v>
      </c>
      <c r="Q1418" s="2">
        <v>46303</v>
      </c>
      <c r="R1418" t="s">
        <v>57</v>
      </c>
    </row>
    <row r="1419" spans="1:18" x14ac:dyDescent="0.2">
      <c r="A1419" t="s">
        <v>2896</v>
      </c>
      <c r="B1419" t="s">
        <v>2897</v>
      </c>
      <c r="C1419" t="s">
        <v>31</v>
      </c>
      <c r="D1419" t="s">
        <v>32</v>
      </c>
      <c r="E1419" t="s">
        <v>60</v>
      </c>
      <c r="F1419" t="s">
        <v>45</v>
      </c>
      <c r="G1419" t="s">
        <v>46</v>
      </c>
      <c r="H1419" t="s">
        <v>36</v>
      </c>
      <c r="I1419" t="s">
        <v>106</v>
      </c>
      <c r="J1419" t="s">
        <v>63</v>
      </c>
      <c r="K1419" s="2">
        <v>46107</v>
      </c>
      <c r="L1419" s="2">
        <v>46287</v>
      </c>
      <c r="M1419" t="s">
        <v>38</v>
      </c>
      <c r="N1419" t="s">
        <v>75</v>
      </c>
      <c r="O1419">
        <v>0</v>
      </c>
      <c r="P1419" t="s">
        <v>62</v>
      </c>
      <c r="Q1419" s="2">
        <v>46406</v>
      </c>
      <c r="R1419" t="s">
        <v>57</v>
      </c>
    </row>
    <row r="1420" spans="1:18" x14ac:dyDescent="0.2">
      <c r="A1420" t="s">
        <v>2898</v>
      </c>
      <c r="B1420" t="s">
        <v>2899</v>
      </c>
      <c r="C1420" t="s">
        <v>31</v>
      </c>
      <c r="D1420" t="s">
        <v>87</v>
      </c>
      <c r="E1420" t="s">
        <v>60</v>
      </c>
      <c r="F1420" t="s">
        <v>34</v>
      </c>
      <c r="G1420" t="s">
        <v>35</v>
      </c>
      <c r="H1420" t="s">
        <v>88</v>
      </c>
      <c r="I1420" t="s">
        <v>111</v>
      </c>
      <c r="J1420" t="s">
        <v>48</v>
      </c>
      <c r="K1420" s="2">
        <v>46092</v>
      </c>
      <c r="L1420" s="2">
        <v>46182</v>
      </c>
      <c r="M1420" t="s">
        <v>38</v>
      </c>
      <c r="N1420" t="s">
        <v>55</v>
      </c>
      <c r="O1420">
        <v>3</v>
      </c>
      <c r="P1420" t="s">
        <v>62</v>
      </c>
      <c r="Q1420" s="2">
        <v>46115</v>
      </c>
      <c r="R1420" t="s">
        <v>38</v>
      </c>
    </row>
    <row r="1421" spans="1:18" x14ac:dyDescent="0.2">
      <c r="A1421" t="s">
        <v>2900</v>
      </c>
      <c r="B1421" t="s">
        <v>2901</v>
      </c>
      <c r="C1421" t="s">
        <v>103</v>
      </c>
      <c r="D1421" t="s">
        <v>104</v>
      </c>
      <c r="E1421" t="s">
        <v>105</v>
      </c>
      <c r="F1421" t="s">
        <v>45</v>
      </c>
      <c r="G1421" t="s">
        <v>46</v>
      </c>
      <c r="H1421" t="s">
        <v>88</v>
      </c>
      <c r="I1421" t="s">
        <v>111</v>
      </c>
      <c r="J1421" t="s">
        <v>63</v>
      </c>
      <c r="K1421" s="2">
        <v>46226</v>
      </c>
      <c r="L1421" s="2">
        <v>46316</v>
      </c>
      <c r="M1421" t="s">
        <v>84</v>
      </c>
      <c r="N1421" t="s">
        <v>55</v>
      </c>
      <c r="O1421">
        <v>2</v>
      </c>
      <c r="P1421" t="s">
        <v>62</v>
      </c>
      <c r="Q1421" s="2">
        <v>46152</v>
      </c>
      <c r="R1421" t="s">
        <v>38</v>
      </c>
    </row>
    <row r="1422" spans="1:18" x14ac:dyDescent="0.2">
      <c r="A1422" t="s">
        <v>2902</v>
      </c>
      <c r="B1422" t="s">
        <v>2903</v>
      </c>
      <c r="C1422" t="s">
        <v>78</v>
      </c>
      <c r="D1422" t="s">
        <v>79</v>
      </c>
      <c r="E1422" t="s">
        <v>80</v>
      </c>
      <c r="F1422" t="s">
        <v>34</v>
      </c>
      <c r="G1422" t="s">
        <v>35</v>
      </c>
      <c r="H1422" t="s">
        <v>88</v>
      </c>
      <c r="I1422" t="s">
        <v>111</v>
      </c>
      <c r="J1422" t="s">
        <v>37</v>
      </c>
      <c r="K1422" s="2">
        <v>46068</v>
      </c>
      <c r="L1422" s="2">
        <v>46158</v>
      </c>
      <c r="M1422" t="s">
        <v>38</v>
      </c>
      <c r="N1422" t="s">
        <v>49</v>
      </c>
      <c r="O1422">
        <v>3</v>
      </c>
      <c r="P1422" t="s">
        <v>54</v>
      </c>
      <c r="Q1422" s="2">
        <v>46225</v>
      </c>
      <c r="R1422" t="s">
        <v>64</v>
      </c>
    </row>
    <row r="1423" spans="1:18" x14ac:dyDescent="0.2">
      <c r="A1423" t="s">
        <v>2904</v>
      </c>
      <c r="B1423" t="s">
        <v>2905</v>
      </c>
      <c r="C1423" t="s">
        <v>96</v>
      </c>
      <c r="D1423" t="s">
        <v>97</v>
      </c>
      <c r="E1423" t="s">
        <v>44</v>
      </c>
      <c r="F1423" t="s">
        <v>45</v>
      </c>
      <c r="G1423" t="s">
        <v>46</v>
      </c>
      <c r="H1423" t="s">
        <v>88</v>
      </c>
      <c r="I1423" t="s">
        <v>62</v>
      </c>
      <c r="J1423" t="s">
        <v>63</v>
      </c>
      <c r="K1423" s="2">
        <v>45930</v>
      </c>
      <c r="L1423" s="2">
        <v>46020</v>
      </c>
      <c r="M1423" t="s">
        <v>38</v>
      </c>
      <c r="N1423" t="s">
        <v>75</v>
      </c>
      <c r="O1423">
        <v>2</v>
      </c>
      <c r="P1423" t="s">
        <v>62</v>
      </c>
      <c r="Q1423" s="2">
        <v>46410</v>
      </c>
      <c r="R1423" t="s">
        <v>84</v>
      </c>
    </row>
    <row r="1424" spans="1:18" x14ac:dyDescent="0.2">
      <c r="A1424" t="s">
        <v>2906</v>
      </c>
      <c r="B1424" t="s">
        <v>2907</v>
      </c>
      <c r="C1424" t="s">
        <v>73</v>
      </c>
      <c r="D1424" t="s">
        <v>74</v>
      </c>
      <c r="E1424" t="s">
        <v>91</v>
      </c>
      <c r="F1424" t="s">
        <v>67</v>
      </c>
      <c r="G1424" t="s">
        <v>68</v>
      </c>
      <c r="H1424" t="s">
        <v>98</v>
      </c>
      <c r="I1424" t="s">
        <v>56</v>
      </c>
      <c r="J1424" t="s">
        <v>48</v>
      </c>
      <c r="K1424" s="2">
        <v>46172</v>
      </c>
      <c r="L1424" s="2">
        <v>46262</v>
      </c>
      <c r="M1424" t="s">
        <v>38</v>
      </c>
      <c r="N1424" t="s">
        <v>49</v>
      </c>
      <c r="O1424">
        <v>0</v>
      </c>
      <c r="P1424" t="s">
        <v>39</v>
      </c>
      <c r="Q1424" s="2">
        <v>46310</v>
      </c>
      <c r="R1424" t="s">
        <v>57</v>
      </c>
    </row>
    <row r="1425" spans="1:18" x14ac:dyDescent="0.2">
      <c r="A1425" t="s">
        <v>2908</v>
      </c>
      <c r="B1425" t="s">
        <v>2909</v>
      </c>
      <c r="C1425" t="s">
        <v>96</v>
      </c>
      <c r="D1425" t="s">
        <v>97</v>
      </c>
      <c r="E1425" t="s">
        <v>44</v>
      </c>
      <c r="F1425" t="s">
        <v>34</v>
      </c>
      <c r="G1425" t="s">
        <v>35</v>
      </c>
      <c r="H1425" t="s">
        <v>47</v>
      </c>
      <c r="I1425" t="s">
        <v>50</v>
      </c>
      <c r="J1425" t="s">
        <v>37</v>
      </c>
      <c r="K1425" s="2">
        <v>46252</v>
      </c>
      <c r="L1425" s="2">
        <v>46342</v>
      </c>
      <c r="M1425" t="s">
        <v>64</v>
      </c>
      <c r="N1425" t="s">
        <v>55</v>
      </c>
      <c r="O1425">
        <v>2</v>
      </c>
      <c r="P1425" t="s">
        <v>56</v>
      </c>
      <c r="Q1425" s="2">
        <v>46127</v>
      </c>
      <c r="R1425" t="s">
        <v>38</v>
      </c>
    </row>
    <row r="1426" spans="1:18" x14ac:dyDescent="0.2">
      <c r="A1426" t="s">
        <v>2910</v>
      </c>
      <c r="B1426" t="s">
        <v>2911</v>
      </c>
      <c r="C1426" t="s">
        <v>78</v>
      </c>
      <c r="D1426" t="s">
        <v>79</v>
      </c>
      <c r="E1426" t="s">
        <v>53</v>
      </c>
      <c r="F1426" t="s">
        <v>67</v>
      </c>
      <c r="G1426" t="s">
        <v>118</v>
      </c>
      <c r="H1426" t="s">
        <v>88</v>
      </c>
      <c r="I1426" t="s">
        <v>39</v>
      </c>
      <c r="J1426" t="s">
        <v>37</v>
      </c>
      <c r="K1426" s="2">
        <v>46275</v>
      </c>
      <c r="L1426" s="2">
        <v>46365</v>
      </c>
      <c r="M1426" t="s">
        <v>64</v>
      </c>
      <c r="N1426" t="s">
        <v>49</v>
      </c>
      <c r="O1426">
        <v>3</v>
      </c>
      <c r="P1426" t="s">
        <v>56</v>
      </c>
      <c r="Q1426" s="2">
        <v>46317</v>
      </c>
      <c r="R1426" t="s">
        <v>64</v>
      </c>
    </row>
    <row r="1427" spans="1:18" x14ac:dyDescent="0.2">
      <c r="A1427" t="s">
        <v>2912</v>
      </c>
      <c r="B1427" t="s">
        <v>2913</v>
      </c>
      <c r="C1427" t="s">
        <v>78</v>
      </c>
      <c r="D1427" t="s">
        <v>79</v>
      </c>
      <c r="E1427" t="s">
        <v>60</v>
      </c>
      <c r="F1427" t="s">
        <v>34</v>
      </c>
      <c r="G1427" t="s">
        <v>35</v>
      </c>
      <c r="H1427" t="s">
        <v>88</v>
      </c>
      <c r="I1427" t="s">
        <v>56</v>
      </c>
      <c r="J1427" t="s">
        <v>48</v>
      </c>
      <c r="K1427" s="2">
        <v>45822</v>
      </c>
      <c r="L1427" s="2">
        <v>45912</v>
      </c>
      <c r="M1427" t="s">
        <v>38</v>
      </c>
      <c r="N1427" t="s">
        <v>75</v>
      </c>
      <c r="O1427">
        <v>1</v>
      </c>
      <c r="P1427" t="s">
        <v>56</v>
      </c>
      <c r="Q1427" s="2">
        <v>46312</v>
      </c>
      <c r="R1427" t="s">
        <v>84</v>
      </c>
    </row>
    <row r="1428" spans="1:18" x14ac:dyDescent="0.2">
      <c r="A1428" t="s">
        <v>2914</v>
      </c>
      <c r="B1428" t="s">
        <v>2915</v>
      </c>
      <c r="C1428" t="s">
        <v>42</v>
      </c>
      <c r="D1428" t="s">
        <v>43</v>
      </c>
      <c r="E1428" t="s">
        <v>105</v>
      </c>
      <c r="F1428" t="s">
        <v>67</v>
      </c>
      <c r="G1428" t="s">
        <v>68</v>
      </c>
      <c r="H1428" t="s">
        <v>88</v>
      </c>
      <c r="I1428" t="s">
        <v>106</v>
      </c>
      <c r="J1428" t="s">
        <v>37</v>
      </c>
      <c r="K1428" s="2">
        <v>46114</v>
      </c>
      <c r="L1428" s="2">
        <v>46479</v>
      </c>
      <c r="M1428" t="s">
        <v>64</v>
      </c>
      <c r="N1428" t="s">
        <v>55</v>
      </c>
      <c r="O1428">
        <v>0</v>
      </c>
      <c r="P1428" t="s">
        <v>50</v>
      </c>
      <c r="Q1428" s="2">
        <v>46312</v>
      </c>
      <c r="R1428" t="s">
        <v>57</v>
      </c>
    </row>
    <row r="1429" spans="1:18" x14ac:dyDescent="0.2">
      <c r="A1429" t="s">
        <v>2916</v>
      </c>
      <c r="B1429" t="s">
        <v>2917</v>
      </c>
      <c r="C1429" t="s">
        <v>96</v>
      </c>
      <c r="D1429" t="s">
        <v>97</v>
      </c>
      <c r="E1429" t="s">
        <v>105</v>
      </c>
      <c r="F1429" t="s">
        <v>67</v>
      </c>
      <c r="G1429" t="s">
        <v>118</v>
      </c>
      <c r="H1429" t="s">
        <v>47</v>
      </c>
      <c r="I1429" t="s">
        <v>106</v>
      </c>
      <c r="J1429" t="s">
        <v>48</v>
      </c>
      <c r="K1429" s="2">
        <v>46205</v>
      </c>
      <c r="L1429" s="2">
        <v>46570</v>
      </c>
      <c r="M1429" t="s">
        <v>84</v>
      </c>
      <c r="N1429" t="s">
        <v>75</v>
      </c>
      <c r="O1429">
        <v>1</v>
      </c>
      <c r="P1429" t="s">
        <v>50</v>
      </c>
      <c r="Q1429" s="2">
        <v>46140</v>
      </c>
      <c r="R1429" t="s">
        <v>38</v>
      </c>
    </row>
    <row r="1430" spans="1:18" x14ac:dyDescent="0.2">
      <c r="A1430" t="s">
        <v>2918</v>
      </c>
      <c r="B1430" t="s">
        <v>2919</v>
      </c>
      <c r="C1430" t="s">
        <v>31</v>
      </c>
      <c r="D1430" t="s">
        <v>32</v>
      </c>
      <c r="E1430" t="s">
        <v>105</v>
      </c>
      <c r="F1430" t="s">
        <v>67</v>
      </c>
      <c r="G1430" t="s">
        <v>118</v>
      </c>
      <c r="H1430" t="s">
        <v>47</v>
      </c>
      <c r="I1430" t="s">
        <v>50</v>
      </c>
      <c r="J1430" t="s">
        <v>37</v>
      </c>
      <c r="K1430" s="2">
        <v>46039</v>
      </c>
      <c r="L1430" s="2">
        <v>46219</v>
      </c>
      <c r="M1430" t="s">
        <v>38</v>
      </c>
      <c r="N1430" t="s">
        <v>49</v>
      </c>
      <c r="O1430">
        <v>1</v>
      </c>
      <c r="P1430" t="s">
        <v>56</v>
      </c>
      <c r="Q1430" s="2">
        <v>46333</v>
      </c>
      <c r="R1430" t="s">
        <v>64</v>
      </c>
    </row>
    <row r="1431" spans="1:18" x14ac:dyDescent="0.2">
      <c r="A1431" t="s">
        <v>2920</v>
      </c>
      <c r="B1431" t="s">
        <v>2921</v>
      </c>
      <c r="C1431" t="s">
        <v>42</v>
      </c>
      <c r="D1431" t="s">
        <v>43</v>
      </c>
      <c r="E1431" t="s">
        <v>60</v>
      </c>
      <c r="F1431" t="s">
        <v>34</v>
      </c>
      <c r="G1431" t="s">
        <v>35</v>
      </c>
      <c r="H1431" t="s">
        <v>88</v>
      </c>
      <c r="I1431" t="s">
        <v>56</v>
      </c>
      <c r="J1431" t="s">
        <v>48</v>
      </c>
      <c r="K1431" s="2">
        <v>46064</v>
      </c>
      <c r="L1431" s="2">
        <v>46429</v>
      </c>
      <c r="M1431" t="s">
        <v>64</v>
      </c>
      <c r="N1431" t="s">
        <v>75</v>
      </c>
      <c r="O1431">
        <v>2</v>
      </c>
      <c r="P1431" t="s">
        <v>56</v>
      </c>
      <c r="Q1431" s="2">
        <v>46249</v>
      </c>
      <c r="R1431" t="s">
        <v>38</v>
      </c>
    </row>
    <row r="1432" spans="1:18" x14ac:dyDescent="0.2">
      <c r="A1432" t="s">
        <v>2922</v>
      </c>
      <c r="B1432" t="s">
        <v>2923</v>
      </c>
      <c r="C1432" t="s">
        <v>103</v>
      </c>
      <c r="D1432" t="s">
        <v>104</v>
      </c>
      <c r="E1432" t="s">
        <v>105</v>
      </c>
      <c r="F1432" t="s">
        <v>34</v>
      </c>
      <c r="G1432" t="s">
        <v>35</v>
      </c>
      <c r="H1432" t="s">
        <v>36</v>
      </c>
      <c r="I1432" t="s">
        <v>56</v>
      </c>
      <c r="J1432" t="s">
        <v>63</v>
      </c>
      <c r="K1432" s="2">
        <v>45962</v>
      </c>
      <c r="L1432" s="2">
        <v>46052</v>
      </c>
      <c r="M1432" t="s">
        <v>38</v>
      </c>
      <c r="N1432" t="s">
        <v>75</v>
      </c>
      <c r="O1432">
        <v>4</v>
      </c>
      <c r="P1432" t="s">
        <v>56</v>
      </c>
      <c r="Q1432" s="2">
        <v>46240</v>
      </c>
      <c r="R1432" t="s">
        <v>38</v>
      </c>
    </row>
    <row r="1433" spans="1:18" x14ac:dyDescent="0.2">
      <c r="A1433" t="s">
        <v>2924</v>
      </c>
      <c r="B1433" t="s">
        <v>2925</v>
      </c>
      <c r="C1433" t="s">
        <v>31</v>
      </c>
      <c r="D1433" t="s">
        <v>83</v>
      </c>
      <c r="E1433" t="s">
        <v>53</v>
      </c>
      <c r="F1433" t="s">
        <v>67</v>
      </c>
      <c r="G1433" t="s">
        <v>118</v>
      </c>
      <c r="H1433" t="s">
        <v>47</v>
      </c>
      <c r="I1433" t="s">
        <v>56</v>
      </c>
      <c r="J1433" t="s">
        <v>48</v>
      </c>
      <c r="K1433" s="2">
        <v>45826</v>
      </c>
      <c r="L1433" s="2">
        <v>46006</v>
      </c>
      <c r="M1433" t="s">
        <v>38</v>
      </c>
      <c r="N1433" t="s">
        <v>75</v>
      </c>
      <c r="O1433">
        <v>0</v>
      </c>
      <c r="P1433" t="s">
        <v>39</v>
      </c>
      <c r="Q1433" s="2">
        <v>46384</v>
      </c>
      <c r="R1433" t="s">
        <v>57</v>
      </c>
    </row>
    <row r="1434" spans="1:18" x14ac:dyDescent="0.2">
      <c r="A1434" t="s">
        <v>2926</v>
      </c>
      <c r="B1434" t="s">
        <v>2927</v>
      </c>
      <c r="C1434" t="s">
        <v>31</v>
      </c>
      <c r="D1434" t="s">
        <v>32</v>
      </c>
      <c r="E1434" t="s">
        <v>60</v>
      </c>
      <c r="F1434" t="s">
        <v>34</v>
      </c>
      <c r="G1434" t="s">
        <v>35</v>
      </c>
      <c r="H1434" t="s">
        <v>88</v>
      </c>
      <c r="I1434" t="s">
        <v>111</v>
      </c>
      <c r="J1434" t="s">
        <v>63</v>
      </c>
      <c r="K1434" s="2">
        <v>45905</v>
      </c>
      <c r="L1434" s="2">
        <v>45995</v>
      </c>
      <c r="M1434" t="s">
        <v>38</v>
      </c>
      <c r="N1434" t="s">
        <v>49</v>
      </c>
      <c r="O1434">
        <v>2</v>
      </c>
      <c r="P1434" t="s">
        <v>111</v>
      </c>
      <c r="Q1434" s="2">
        <v>46166</v>
      </c>
      <c r="R1434" t="s">
        <v>64</v>
      </c>
    </row>
    <row r="1435" spans="1:18" x14ac:dyDescent="0.2">
      <c r="A1435" t="s">
        <v>2928</v>
      </c>
      <c r="B1435" t="s">
        <v>2929</v>
      </c>
      <c r="C1435" t="s">
        <v>73</v>
      </c>
      <c r="D1435" t="s">
        <v>74</v>
      </c>
      <c r="E1435" t="s">
        <v>91</v>
      </c>
      <c r="F1435" t="s">
        <v>45</v>
      </c>
      <c r="G1435" t="s">
        <v>46</v>
      </c>
      <c r="H1435" t="s">
        <v>47</v>
      </c>
      <c r="I1435" t="s">
        <v>111</v>
      </c>
      <c r="J1435" t="s">
        <v>37</v>
      </c>
      <c r="K1435" s="2">
        <v>45886</v>
      </c>
      <c r="L1435" s="2">
        <v>45976</v>
      </c>
      <c r="M1435" t="s">
        <v>38</v>
      </c>
      <c r="N1435" t="s">
        <v>75</v>
      </c>
      <c r="O1435">
        <v>2</v>
      </c>
      <c r="P1435" t="s">
        <v>62</v>
      </c>
      <c r="Q1435" s="2">
        <v>46269</v>
      </c>
      <c r="R1435" t="s">
        <v>38</v>
      </c>
    </row>
    <row r="1436" spans="1:18" x14ac:dyDescent="0.2">
      <c r="A1436" t="s">
        <v>2930</v>
      </c>
      <c r="B1436" t="s">
        <v>2931</v>
      </c>
      <c r="C1436" t="s">
        <v>42</v>
      </c>
      <c r="D1436" t="s">
        <v>43</v>
      </c>
      <c r="E1436" t="s">
        <v>80</v>
      </c>
      <c r="F1436" t="s">
        <v>67</v>
      </c>
      <c r="G1436" t="s">
        <v>118</v>
      </c>
      <c r="H1436" t="s">
        <v>36</v>
      </c>
      <c r="I1436" t="s">
        <v>50</v>
      </c>
      <c r="J1436" t="s">
        <v>37</v>
      </c>
      <c r="K1436" s="2">
        <v>45836</v>
      </c>
      <c r="L1436" s="2">
        <v>45926</v>
      </c>
      <c r="M1436" t="s">
        <v>38</v>
      </c>
      <c r="N1436" t="s">
        <v>55</v>
      </c>
      <c r="O1436">
        <v>1</v>
      </c>
      <c r="P1436" t="s">
        <v>56</v>
      </c>
      <c r="Q1436" s="2">
        <v>46120</v>
      </c>
      <c r="R1436" t="s">
        <v>64</v>
      </c>
    </row>
    <row r="1437" spans="1:18" x14ac:dyDescent="0.2">
      <c r="A1437" t="s">
        <v>2932</v>
      </c>
      <c r="B1437" t="s">
        <v>2933</v>
      </c>
      <c r="C1437" t="s">
        <v>31</v>
      </c>
      <c r="D1437" t="s">
        <v>32</v>
      </c>
      <c r="E1437" t="s">
        <v>44</v>
      </c>
      <c r="F1437" t="s">
        <v>67</v>
      </c>
      <c r="G1437" t="s">
        <v>68</v>
      </c>
      <c r="H1437" t="s">
        <v>36</v>
      </c>
      <c r="I1437" t="s">
        <v>54</v>
      </c>
      <c r="J1437" t="s">
        <v>63</v>
      </c>
      <c r="K1437" s="2">
        <v>45985</v>
      </c>
      <c r="L1437" s="2">
        <v>46075</v>
      </c>
      <c r="M1437" t="s">
        <v>38</v>
      </c>
      <c r="N1437" t="s">
        <v>55</v>
      </c>
      <c r="O1437">
        <v>1</v>
      </c>
      <c r="P1437" t="s">
        <v>111</v>
      </c>
      <c r="Q1437" s="2">
        <v>46297</v>
      </c>
      <c r="R1437" t="s">
        <v>64</v>
      </c>
    </row>
    <row r="1438" spans="1:18" x14ac:dyDescent="0.2">
      <c r="A1438" t="s">
        <v>2934</v>
      </c>
      <c r="B1438" t="s">
        <v>2935</v>
      </c>
      <c r="C1438" t="s">
        <v>103</v>
      </c>
      <c r="D1438" t="s">
        <v>104</v>
      </c>
      <c r="E1438" t="s">
        <v>53</v>
      </c>
      <c r="F1438" t="s">
        <v>67</v>
      </c>
      <c r="G1438" t="s">
        <v>118</v>
      </c>
      <c r="H1438" t="s">
        <v>88</v>
      </c>
      <c r="I1438" t="s">
        <v>62</v>
      </c>
      <c r="J1438" t="s">
        <v>37</v>
      </c>
      <c r="K1438" s="2">
        <v>46178</v>
      </c>
      <c r="L1438" s="2">
        <v>46358</v>
      </c>
      <c r="M1438" t="s">
        <v>69</v>
      </c>
      <c r="N1438" t="s">
        <v>55</v>
      </c>
      <c r="O1438">
        <v>3</v>
      </c>
      <c r="P1438" t="s">
        <v>106</v>
      </c>
      <c r="Q1438" s="2">
        <v>46155</v>
      </c>
      <c r="R1438" t="s">
        <v>38</v>
      </c>
    </row>
    <row r="1439" spans="1:18" x14ac:dyDescent="0.2">
      <c r="A1439" t="s">
        <v>2936</v>
      </c>
      <c r="B1439" t="s">
        <v>2937</v>
      </c>
      <c r="C1439" t="s">
        <v>103</v>
      </c>
      <c r="D1439" t="s">
        <v>104</v>
      </c>
      <c r="E1439" t="s">
        <v>44</v>
      </c>
      <c r="F1439" t="s">
        <v>34</v>
      </c>
      <c r="G1439" t="s">
        <v>35</v>
      </c>
      <c r="H1439" t="s">
        <v>47</v>
      </c>
      <c r="I1439" t="s">
        <v>106</v>
      </c>
      <c r="J1439" t="s">
        <v>63</v>
      </c>
      <c r="K1439" s="2">
        <v>46072</v>
      </c>
      <c r="L1439" s="2">
        <v>46252</v>
      </c>
      <c r="M1439" t="s">
        <v>38</v>
      </c>
      <c r="N1439" t="s">
        <v>55</v>
      </c>
      <c r="O1439">
        <v>0</v>
      </c>
      <c r="P1439" t="s">
        <v>106</v>
      </c>
      <c r="Q1439" s="2">
        <v>46152</v>
      </c>
      <c r="R1439" t="s">
        <v>57</v>
      </c>
    </row>
    <row r="1440" spans="1:18" x14ac:dyDescent="0.2">
      <c r="A1440" t="s">
        <v>2938</v>
      </c>
      <c r="B1440" t="s">
        <v>2939</v>
      </c>
      <c r="C1440" t="s">
        <v>103</v>
      </c>
      <c r="D1440" t="s">
        <v>104</v>
      </c>
      <c r="E1440" t="s">
        <v>53</v>
      </c>
      <c r="F1440" t="s">
        <v>45</v>
      </c>
      <c r="G1440" t="s">
        <v>46</v>
      </c>
      <c r="H1440" t="s">
        <v>36</v>
      </c>
      <c r="I1440" t="s">
        <v>54</v>
      </c>
      <c r="J1440" t="s">
        <v>37</v>
      </c>
      <c r="K1440" s="2">
        <v>45851</v>
      </c>
      <c r="L1440" s="2">
        <v>46031</v>
      </c>
      <c r="M1440" t="s">
        <v>38</v>
      </c>
      <c r="N1440" t="s">
        <v>55</v>
      </c>
      <c r="O1440">
        <v>5</v>
      </c>
      <c r="P1440" t="s">
        <v>111</v>
      </c>
      <c r="Q1440" s="2">
        <v>46184</v>
      </c>
      <c r="R1440" t="s">
        <v>64</v>
      </c>
    </row>
    <row r="1441" spans="1:18" x14ac:dyDescent="0.2">
      <c r="A1441" t="s">
        <v>2940</v>
      </c>
      <c r="B1441" t="s">
        <v>2941</v>
      </c>
      <c r="C1441" t="s">
        <v>78</v>
      </c>
      <c r="D1441" t="s">
        <v>79</v>
      </c>
      <c r="E1441" t="s">
        <v>53</v>
      </c>
      <c r="F1441" t="s">
        <v>67</v>
      </c>
      <c r="G1441" t="s">
        <v>68</v>
      </c>
      <c r="H1441" t="s">
        <v>88</v>
      </c>
      <c r="I1441" t="s">
        <v>70</v>
      </c>
      <c r="J1441" t="s">
        <v>63</v>
      </c>
      <c r="K1441" s="2">
        <v>46266</v>
      </c>
      <c r="L1441" s="2">
        <v>46446</v>
      </c>
      <c r="M1441" t="s">
        <v>64</v>
      </c>
      <c r="N1441" t="s">
        <v>75</v>
      </c>
      <c r="O1441">
        <v>3</v>
      </c>
      <c r="P1441" t="s">
        <v>39</v>
      </c>
      <c r="Q1441" s="2">
        <v>46373</v>
      </c>
      <c r="R1441" t="s">
        <v>84</v>
      </c>
    </row>
    <row r="1442" spans="1:18" x14ac:dyDescent="0.2">
      <c r="A1442" t="s">
        <v>2942</v>
      </c>
      <c r="B1442" t="s">
        <v>2943</v>
      </c>
      <c r="C1442" t="s">
        <v>31</v>
      </c>
      <c r="D1442" t="s">
        <v>32</v>
      </c>
      <c r="E1442" t="s">
        <v>91</v>
      </c>
      <c r="F1442" t="s">
        <v>45</v>
      </c>
      <c r="G1442" t="s">
        <v>61</v>
      </c>
      <c r="H1442" t="s">
        <v>36</v>
      </c>
      <c r="I1442" t="s">
        <v>50</v>
      </c>
      <c r="J1442" t="s">
        <v>63</v>
      </c>
      <c r="K1442" s="2">
        <v>45984</v>
      </c>
      <c r="L1442" s="2">
        <v>46164</v>
      </c>
      <c r="M1442" t="s">
        <v>38</v>
      </c>
      <c r="N1442" t="s">
        <v>75</v>
      </c>
      <c r="O1442">
        <v>4</v>
      </c>
      <c r="P1442" t="s">
        <v>111</v>
      </c>
      <c r="Q1442" s="2">
        <v>46140</v>
      </c>
      <c r="R1442" t="s">
        <v>64</v>
      </c>
    </row>
    <row r="1443" spans="1:18" x14ac:dyDescent="0.2">
      <c r="A1443" t="s">
        <v>2944</v>
      </c>
      <c r="B1443" t="s">
        <v>2945</v>
      </c>
      <c r="C1443" t="s">
        <v>103</v>
      </c>
      <c r="D1443" t="s">
        <v>104</v>
      </c>
      <c r="E1443" t="s">
        <v>105</v>
      </c>
      <c r="F1443" t="s">
        <v>67</v>
      </c>
      <c r="G1443" t="s">
        <v>118</v>
      </c>
      <c r="H1443" t="s">
        <v>88</v>
      </c>
      <c r="I1443" t="s">
        <v>54</v>
      </c>
      <c r="J1443" t="s">
        <v>37</v>
      </c>
      <c r="K1443" s="2">
        <v>46256</v>
      </c>
      <c r="L1443" s="2">
        <v>46436</v>
      </c>
      <c r="M1443" t="s">
        <v>64</v>
      </c>
      <c r="N1443" t="s">
        <v>75</v>
      </c>
      <c r="O1443">
        <v>0</v>
      </c>
      <c r="P1443" t="s">
        <v>39</v>
      </c>
      <c r="Q1443" s="2">
        <v>46194</v>
      </c>
      <c r="R1443" t="s">
        <v>57</v>
      </c>
    </row>
    <row r="1444" spans="1:18" x14ac:dyDescent="0.2">
      <c r="A1444" t="s">
        <v>2946</v>
      </c>
      <c r="B1444" t="s">
        <v>2947</v>
      </c>
      <c r="C1444" t="s">
        <v>31</v>
      </c>
      <c r="D1444" t="s">
        <v>83</v>
      </c>
      <c r="E1444" t="s">
        <v>60</v>
      </c>
      <c r="F1444" t="s">
        <v>45</v>
      </c>
      <c r="G1444" t="s">
        <v>46</v>
      </c>
      <c r="H1444" t="s">
        <v>88</v>
      </c>
      <c r="I1444" t="s">
        <v>56</v>
      </c>
      <c r="J1444" t="s">
        <v>48</v>
      </c>
      <c r="K1444" s="2">
        <v>46059</v>
      </c>
      <c r="L1444" s="2">
        <v>46239</v>
      </c>
      <c r="M1444" t="s">
        <v>38</v>
      </c>
      <c r="N1444" t="s">
        <v>75</v>
      </c>
      <c r="O1444">
        <v>1</v>
      </c>
      <c r="P1444" t="s">
        <v>50</v>
      </c>
      <c r="Q1444" s="2">
        <v>46344</v>
      </c>
      <c r="R1444" t="s">
        <v>84</v>
      </c>
    </row>
    <row r="1445" spans="1:18" x14ac:dyDescent="0.2">
      <c r="A1445" t="s">
        <v>2948</v>
      </c>
      <c r="B1445" t="s">
        <v>2949</v>
      </c>
      <c r="C1445" t="s">
        <v>31</v>
      </c>
      <c r="D1445" t="s">
        <v>87</v>
      </c>
      <c r="E1445" t="s">
        <v>60</v>
      </c>
      <c r="F1445" t="s">
        <v>34</v>
      </c>
      <c r="G1445" t="s">
        <v>35</v>
      </c>
      <c r="H1445" t="s">
        <v>36</v>
      </c>
      <c r="I1445" t="s">
        <v>39</v>
      </c>
      <c r="J1445" t="s">
        <v>48</v>
      </c>
      <c r="K1445" s="2">
        <v>46206</v>
      </c>
      <c r="L1445" s="2">
        <v>46296</v>
      </c>
      <c r="M1445" t="s">
        <v>64</v>
      </c>
      <c r="N1445" t="s">
        <v>75</v>
      </c>
      <c r="O1445">
        <v>4</v>
      </c>
      <c r="P1445" t="s">
        <v>54</v>
      </c>
      <c r="Q1445" s="2">
        <v>46170</v>
      </c>
      <c r="R1445" t="s">
        <v>64</v>
      </c>
    </row>
    <row r="1446" spans="1:18" x14ac:dyDescent="0.2">
      <c r="A1446" t="s">
        <v>2950</v>
      </c>
      <c r="B1446" t="s">
        <v>2951</v>
      </c>
      <c r="C1446" t="s">
        <v>31</v>
      </c>
      <c r="D1446" t="s">
        <v>87</v>
      </c>
      <c r="E1446" t="s">
        <v>80</v>
      </c>
      <c r="F1446" t="s">
        <v>45</v>
      </c>
      <c r="G1446" t="s">
        <v>61</v>
      </c>
      <c r="H1446" t="s">
        <v>88</v>
      </c>
      <c r="I1446" t="s">
        <v>70</v>
      </c>
      <c r="J1446" t="s">
        <v>37</v>
      </c>
      <c r="K1446" s="2">
        <v>45900</v>
      </c>
      <c r="L1446" s="2">
        <v>46265</v>
      </c>
      <c r="M1446" t="s">
        <v>38</v>
      </c>
      <c r="N1446" t="s">
        <v>55</v>
      </c>
      <c r="O1446">
        <v>3</v>
      </c>
      <c r="P1446" t="s">
        <v>50</v>
      </c>
      <c r="Q1446" s="2">
        <v>46348</v>
      </c>
      <c r="R1446" t="s">
        <v>84</v>
      </c>
    </row>
    <row r="1447" spans="1:18" x14ac:dyDescent="0.2">
      <c r="A1447" t="s">
        <v>2952</v>
      </c>
      <c r="B1447" t="s">
        <v>2953</v>
      </c>
      <c r="C1447" t="s">
        <v>103</v>
      </c>
      <c r="D1447" t="s">
        <v>104</v>
      </c>
      <c r="E1447" t="s">
        <v>53</v>
      </c>
      <c r="F1447" t="s">
        <v>67</v>
      </c>
      <c r="G1447" t="s">
        <v>118</v>
      </c>
      <c r="H1447" t="s">
        <v>47</v>
      </c>
      <c r="I1447" t="s">
        <v>39</v>
      </c>
      <c r="J1447" t="s">
        <v>63</v>
      </c>
      <c r="K1447" s="2">
        <v>46187</v>
      </c>
      <c r="L1447" s="2">
        <v>46367</v>
      </c>
      <c r="M1447" t="s">
        <v>84</v>
      </c>
      <c r="N1447" t="s">
        <v>55</v>
      </c>
      <c r="O1447">
        <v>0</v>
      </c>
      <c r="P1447" t="s">
        <v>56</v>
      </c>
      <c r="Q1447" s="2">
        <v>46203</v>
      </c>
      <c r="R1447" t="s">
        <v>57</v>
      </c>
    </row>
    <row r="1448" spans="1:18" x14ac:dyDescent="0.2">
      <c r="A1448" t="s">
        <v>2954</v>
      </c>
      <c r="B1448" t="s">
        <v>2955</v>
      </c>
      <c r="C1448" t="s">
        <v>31</v>
      </c>
      <c r="D1448" t="s">
        <v>32</v>
      </c>
      <c r="E1448" t="s">
        <v>44</v>
      </c>
      <c r="F1448" t="s">
        <v>67</v>
      </c>
      <c r="G1448" t="s">
        <v>68</v>
      </c>
      <c r="H1448" t="s">
        <v>47</v>
      </c>
      <c r="I1448" t="s">
        <v>56</v>
      </c>
      <c r="J1448" t="s">
        <v>63</v>
      </c>
      <c r="K1448" s="2">
        <v>45909</v>
      </c>
      <c r="L1448" s="2">
        <v>45999</v>
      </c>
      <c r="M1448" t="s">
        <v>38</v>
      </c>
      <c r="N1448" t="s">
        <v>55</v>
      </c>
      <c r="O1448">
        <v>1</v>
      </c>
      <c r="P1448" t="s">
        <v>39</v>
      </c>
      <c r="Q1448" s="2">
        <v>46391</v>
      </c>
      <c r="R1448" t="s">
        <v>64</v>
      </c>
    </row>
    <row r="1449" spans="1:18" x14ac:dyDescent="0.2">
      <c r="A1449" t="s">
        <v>2956</v>
      </c>
      <c r="B1449" t="s">
        <v>2957</v>
      </c>
      <c r="C1449" t="s">
        <v>31</v>
      </c>
      <c r="D1449" t="s">
        <v>87</v>
      </c>
      <c r="E1449" t="s">
        <v>91</v>
      </c>
      <c r="F1449" t="s">
        <v>45</v>
      </c>
      <c r="G1449" t="s">
        <v>61</v>
      </c>
      <c r="H1449" t="s">
        <v>47</v>
      </c>
      <c r="I1449" t="s">
        <v>50</v>
      </c>
      <c r="J1449" t="s">
        <v>63</v>
      </c>
      <c r="K1449" s="2">
        <v>45937</v>
      </c>
      <c r="L1449" s="2">
        <v>46027</v>
      </c>
      <c r="M1449" t="s">
        <v>38</v>
      </c>
      <c r="N1449" t="s">
        <v>75</v>
      </c>
      <c r="O1449">
        <v>0</v>
      </c>
      <c r="P1449" t="s">
        <v>62</v>
      </c>
      <c r="Q1449" s="2">
        <v>46306</v>
      </c>
      <c r="R1449" t="s">
        <v>57</v>
      </c>
    </row>
    <row r="1450" spans="1:18" x14ac:dyDescent="0.2">
      <c r="A1450" t="s">
        <v>2958</v>
      </c>
      <c r="B1450" t="s">
        <v>2959</v>
      </c>
      <c r="C1450" t="s">
        <v>42</v>
      </c>
      <c r="D1450" t="s">
        <v>43</v>
      </c>
      <c r="E1450" t="s">
        <v>91</v>
      </c>
      <c r="F1450" t="s">
        <v>67</v>
      </c>
      <c r="G1450" t="s">
        <v>118</v>
      </c>
      <c r="H1450" t="s">
        <v>36</v>
      </c>
      <c r="I1450" t="s">
        <v>70</v>
      </c>
      <c r="J1450" t="s">
        <v>48</v>
      </c>
      <c r="K1450" s="2">
        <v>45850</v>
      </c>
      <c r="L1450" s="2">
        <v>46030</v>
      </c>
      <c r="M1450" t="s">
        <v>38</v>
      </c>
      <c r="N1450" t="s">
        <v>49</v>
      </c>
      <c r="O1450">
        <v>5</v>
      </c>
      <c r="P1450" t="s">
        <v>50</v>
      </c>
      <c r="Q1450" s="2">
        <v>46368</v>
      </c>
      <c r="R1450" t="s">
        <v>64</v>
      </c>
    </row>
    <row r="1451" spans="1:18" x14ac:dyDescent="0.2">
      <c r="A1451" t="s">
        <v>2960</v>
      </c>
      <c r="B1451" t="s">
        <v>2961</v>
      </c>
      <c r="C1451" t="s">
        <v>31</v>
      </c>
      <c r="D1451" t="s">
        <v>32</v>
      </c>
      <c r="E1451" t="s">
        <v>80</v>
      </c>
      <c r="F1451" t="s">
        <v>67</v>
      </c>
      <c r="G1451" t="s">
        <v>68</v>
      </c>
      <c r="H1451" t="s">
        <v>88</v>
      </c>
      <c r="I1451" t="s">
        <v>54</v>
      </c>
      <c r="J1451" t="s">
        <v>48</v>
      </c>
      <c r="K1451" s="2">
        <v>46001</v>
      </c>
      <c r="L1451" s="2">
        <v>46181</v>
      </c>
      <c r="M1451" t="s">
        <v>38</v>
      </c>
      <c r="N1451" t="s">
        <v>55</v>
      </c>
      <c r="O1451">
        <v>3</v>
      </c>
      <c r="P1451" t="s">
        <v>106</v>
      </c>
      <c r="Q1451" s="2">
        <v>46190</v>
      </c>
      <c r="R1451" t="s">
        <v>64</v>
      </c>
    </row>
    <row r="1452" spans="1:18" x14ac:dyDescent="0.2">
      <c r="A1452" t="s">
        <v>2962</v>
      </c>
      <c r="B1452" t="s">
        <v>2963</v>
      </c>
      <c r="C1452" t="s">
        <v>31</v>
      </c>
      <c r="D1452" t="s">
        <v>83</v>
      </c>
      <c r="E1452" t="s">
        <v>60</v>
      </c>
      <c r="F1452" t="s">
        <v>34</v>
      </c>
      <c r="G1452" t="s">
        <v>35</v>
      </c>
      <c r="H1452" t="s">
        <v>36</v>
      </c>
      <c r="I1452" t="s">
        <v>106</v>
      </c>
      <c r="J1452" t="s">
        <v>37</v>
      </c>
      <c r="K1452" s="2">
        <v>46078</v>
      </c>
      <c r="L1452" s="2">
        <v>46258</v>
      </c>
      <c r="M1452" t="s">
        <v>38</v>
      </c>
      <c r="N1452" t="s">
        <v>49</v>
      </c>
      <c r="O1452">
        <v>2</v>
      </c>
      <c r="P1452" t="s">
        <v>54</v>
      </c>
      <c r="Q1452" s="2">
        <v>46245</v>
      </c>
      <c r="R1452" t="s">
        <v>38</v>
      </c>
    </row>
    <row r="1453" spans="1:18" x14ac:dyDescent="0.2">
      <c r="A1453" t="s">
        <v>2964</v>
      </c>
      <c r="B1453" t="s">
        <v>2965</v>
      </c>
      <c r="C1453" t="s">
        <v>31</v>
      </c>
      <c r="D1453" t="s">
        <v>87</v>
      </c>
      <c r="E1453" t="s">
        <v>80</v>
      </c>
      <c r="F1453" t="s">
        <v>34</v>
      </c>
      <c r="G1453" t="s">
        <v>35</v>
      </c>
      <c r="H1453" t="s">
        <v>88</v>
      </c>
      <c r="I1453" t="s">
        <v>70</v>
      </c>
      <c r="J1453" t="s">
        <v>63</v>
      </c>
      <c r="K1453" s="2">
        <v>45869</v>
      </c>
      <c r="L1453" s="2">
        <v>45959</v>
      </c>
      <c r="M1453" t="s">
        <v>38</v>
      </c>
      <c r="N1453" t="s">
        <v>55</v>
      </c>
      <c r="O1453">
        <v>1</v>
      </c>
      <c r="P1453" t="s">
        <v>111</v>
      </c>
      <c r="Q1453" s="2">
        <v>46158</v>
      </c>
      <c r="R1453" t="s">
        <v>64</v>
      </c>
    </row>
    <row r="1454" spans="1:18" x14ac:dyDescent="0.2">
      <c r="A1454" t="s">
        <v>2966</v>
      </c>
      <c r="B1454" t="s">
        <v>2967</v>
      </c>
      <c r="C1454" t="s">
        <v>96</v>
      </c>
      <c r="D1454" t="s">
        <v>97</v>
      </c>
      <c r="E1454" t="s">
        <v>44</v>
      </c>
      <c r="F1454" t="s">
        <v>34</v>
      </c>
      <c r="G1454" t="s">
        <v>35</v>
      </c>
      <c r="H1454" t="s">
        <v>88</v>
      </c>
      <c r="I1454" t="s">
        <v>62</v>
      </c>
      <c r="J1454" t="s">
        <v>48</v>
      </c>
      <c r="K1454" s="2">
        <v>45862</v>
      </c>
      <c r="L1454" s="2">
        <v>46227</v>
      </c>
      <c r="M1454" t="s">
        <v>38</v>
      </c>
      <c r="N1454" t="s">
        <v>49</v>
      </c>
      <c r="O1454">
        <v>0</v>
      </c>
      <c r="P1454" t="s">
        <v>111</v>
      </c>
      <c r="Q1454" s="2">
        <v>46152</v>
      </c>
      <c r="R1454" t="s">
        <v>57</v>
      </c>
    </row>
    <row r="1455" spans="1:18" x14ac:dyDescent="0.2">
      <c r="A1455" t="s">
        <v>2968</v>
      </c>
      <c r="B1455" t="s">
        <v>2969</v>
      </c>
      <c r="C1455" t="s">
        <v>31</v>
      </c>
      <c r="D1455" t="s">
        <v>83</v>
      </c>
      <c r="E1455" t="s">
        <v>91</v>
      </c>
      <c r="F1455" t="s">
        <v>67</v>
      </c>
      <c r="G1455" t="s">
        <v>68</v>
      </c>
      <c r="H1455" t="s">
        <v>98</v>
      </c>
      <c r="I1455" t="s">
        <v>50</v>
      </c>
      <c r="J1455" t="s">
        <v>37</v>
      </c>
      <c r="K1455" s="2">
        <v>46095</v>
      </c>
      <c r="L1455" s="2">
        <v>46185</v>
      </c>
      <c r="M1455" t="s">
        <v>38</v>
      </c>
      <c r="N1455" t="s">
        <v>49</v>
      </c>
      <c r="O1455">
        <v>4</v>
      </c>
      <c r="P1455" t="s">
        <v>70</v>
      </c>
      <c r="Q1455" s="2">
        <v>46243</v>
      </c>
      <c r="R1455" t="s">
        <v>38</v>
      </c>
    </row>
    <row r="1456" spans="1:18" x14ac:dyDescent="0.2">
      <c r="A1456" t="s">
        <v>2970</v>
      </c>
      <c r="B1456" t="s">
        <v>2971</v>
      </c>
      <c r="C1456" t="s">
        <v>73</v>
      </c>
      <c r="D1456" t="s">
        <v>74</v>
      </c>
      <c r="E1456" t="s">
        <v>44</v>
      </c>
      <c r="F1456" t="s">
        <v>67</v>
      </c>
      <c r="G1456" t="s">
        <v>68</v>
      </c>
      <c r="H1456" t="s">
        <v>47</v>
      </c>
      <c r="I1456" t="s">
        <v>111</v>
      </c>
      <c r="J1456" t="s">
        <v>37</v>
      </c>
      <c r="K1456" s="2">
        <v>46077</v>
      </c>
      <c r="L1456" s="2">
        <v>46442</v>
      </c>
      <c r="M1456" t="s">
        <v>64</v>
      </c>
      <c r="N1456" t="s">
        <v>55</v>
      </c>
      <c r="O1456">
        <v>3</v>
      </c>
      <c r="P1456" t="s">
        <v>50</v>
      </c>
      <c r="Q1456" s="2">
        <v>46208</v>
      </c>
      <c r="R1456" t="s">
        <v>64</v>
      </c>
    </row>
    <row r="1457" spans="1:18" x14ac:dyDescent="0.2">
      <c r="A1457" t="s">
        <v>2972</v>
      </c>
      <c r="B1457" t="s">
        <v>2973</v>
      </c>
      <c r="C1457" t="s">
        <v>31</v>
      </c>
      <c r="D1457" t="s">
        <v>87</v>
      </c>
      <c r="E1457" t="s">
        <v>80</v>
      </c>
      <c r="F1457" t="s">
        <v>45</v>
      </c>
      <c r="G1457" t="s">
        <v>46</v>
      </c>
      <c r="H1457" t="s">
        <v>47</v>
      </c>
      <c r="I1457" t="s">
        <v>106</v>
      </c>
      <c r="J1457" t="s">
        <v>63</v>
      </c>
      <c r="K1457" s="2">
        <v>45925</v>
      </c>
      <c r="L1457" s="2">
        <v>46105</v>
      </c>
      <c r="M1457" t="s">
        <v>38</v>
      </c>
      <c r="N1457" t="s">
        <v>49</v>
      </c>
      <c r="O1457">
        <v>3</v>
      </c>
      <c r="P1457" t="s">
        <v>54</v>
      </c>
      <c r="Q1457" s="2">
        <v>46213</v>
      </c>
      <c r="R1457" t="s">
        <v>38</v>
      </c>
    </row>
    <row r="1458" spans="1:18" x14ac:dyDescent="0.2">
      <c r="A1458" t="s">
        <v>2974</v>
      </c>
      <c r="B1458" t="s">
        <v>2975</v>
      </c>
      <c r="C1458" t="s">
        <v>31</v>
      </c>
      <c r="D1458" t="s">
        <v>87</v>
      </c>
      <c r="E1458" t="s">
        <v>53</v>
      </c>
      <c r="F1458" t="s">
        <v>45</v>
      </c>
      <c r="G1458" t="s">
        <v>61</v>
      </c>
      <c r="H1458" t="s">
        <v>88</v>
      </c>
      <c r="I1458" t="s">
        <v>39</v>
      </c>
      <c r="J1458" t="s">
        <v>48</v>
      </c>
      <c r="K1458" s="2">
        <v>46119</v>
      </c>
      <c r="L1458" s="2">
        <v>46484</v>
      </c>
      <c r="M1458" t="s">
        <v>69</v>
      </c>
      <c r="N1458" t="s">
        <v>49</v>
      </c>
      <c r="O1458">
        <v>2</v>
      </c>
      <c r="P1458" t="s">
        <v>39</v>
      </c>
      <c r="Q1458" s="2">
        <v>46121</v>
      </c>
      <c r="R1458" t="s">
        <v>64</v>
      </c>
    </row>
    <row r="1459" spans="1:18" x14ac:dyDescent="0.2">
      <c r="A1459" t="s">
        <v>2976</v>
      </c>
      <c r="B1459" t="s">
        <v>2977</v>
      </c>
      <c r="C1459" t="s">
        <v>31</v>
      </c>
      <c r="D1459" t="s">
        <v>83</v>
      </c>
      <c r="E1459" t="s">
        <v>60</v>
      </c>
      <c r="F1459" t="s">
        <v>67</v>
      </c>
      <c r="G1459" t="s">
        <v>118</v>
      </c>
      <c r="H1459" t="s">
        <v>88</v>
      </c>
      <c r="I1459" t="s">
        <v>70</v>
      </c>
      <c r="J1459" t="s">
        <v>37</v>
      </c>
      <c r="K1459" s="2">
        <v>45962</v>
      </c>
      <c r="L1459" s="2">
        <v>46142</v>
      </c>
      <c r="M1459" t="s">
        <v>38</v>
      </c>
      <c r="N1459" t="s">
        <v>55</v>
      </c>
      <c r="O1459">
        <v>3</v>
      </c>
      <c r="P1459" t="s">
        <v>54</v>
      </c>
      <c r="Q1459" s="2">
        <v>46369</v>
      </c>
      <c r="R1459" t="s">
        <v>64</v>
      </c>
    </row>
    <row r="1460" spans="1:18" x14ac:dyDescent="0.2">
      <c r="A1460" t="s">
        <v>2978</v>
      </c>
      <c r="B1460" t="s">
        <v>2979</v>
      </c>
      <c r="C1460" t="s">
        <v>73</v>
      </c>
      <c r="D1460" t="s">
        <v>74</v>
      </c>
      <c r="E1460" t="s">
        <v>80</v>
      </c>
      <c r="F1460" t="s">
        <v>45</v>
      </c>
      <c r="G1460" t="s">
        <v>61</v>
      </c>
      <c r="H1460" t="s">
        <v>47</v>
      </c>
      <c r="I1460" t="s">
        <v>50</v>
      </c>
      <c r="J1460" t="s">
        <v>48</v>
      </c>
      <c r="K1460" s="2">
        <v>46044</v>
      </c>
      <c r="L1460" s="2">
        <v>46224</v>
      </c>
      <c r="M1460" t="s">
        <v>38</v>
      </c>
      <c r="N1460" t="s">
        <v>75</v>
      </c>
      <c r="O1460">
        <v>2</v>
      </c>
      <c r="P1460" t="s">
        <v>39</v>
      </c>
      <c r="Q1460" s="2">
        <v>46202</v>
      </c>
      <c r="R1460" t="s">
        <v>64</v>
      </c>
    </row>
    <row r="1461" spans="1:18" x14ac:dyDescent="0.2">
      <c r="A1461" t="s">
        <v>2980</v>
      </c>
      <c r="B1461" t="s">
        <v>2981</v>
      </c>
      <c r="C1461" t="s">
        <v>31</v>
      </c>
      <c r="D1461" t="s">
        <v>83</v>
      </c>
      <c r="E1461" t="s">
        <v>80</v>
      </c>
      <c r="F1461" t="s">
        <v>67</v>
      </c>
      <c r="G1461" t="s">
        <v>68</v>
      </c>
      <c r="H1461" t="s">
        <v>88</v>
      </c>
      <c r="I1461" t="s">
        <v>70</v>
      </c>
      <c r="J1461" t="s">
        <v>63</v>
      </c>
      <c r="K1461" s="2">
        <v>46203</v>
      </c>
      <c r="L1461" s="2">
        <v>46568</v>
      </c>
      <c r="M1461" t="s">
        <v>64</v>
      </c>
      <c r="N1461" t="s">
        <v>49</v>
      </c>
      <c r="O1461">
        <v>2</v>
      </c>
      <c r="P1461" t="s">
        <v>56</v>
      </c>
      <c r="Q1461" s="2">
        <v>46408</v>
      </c>
      <c r="R1461" t="s">
        <v>84</v>
      </c>
    </row>
    <row r="1462" spans="1:18" x14ac:dyDescent="0.2">
      <c r="A1462" t="s">
        <v>2982</v>
      </c>
      <c r="B1462" t="s">
        <v>2983</v>
      </c>
      <c r="C1462" t="s">
        <v>73</v>
      </c>
      <c r="D1462" t="s">
        <v>74</v>
      </c>
      <c r="E1462" t="s">
        <v>53</v>
      </c>
      <c r="F1462" t="s">
        <v>45</v>
      </c>
      <c r="G1462" t="s">
        <v>46</v>
      </c>
      <c r="H1462" t="s">
        <v>98</v>
      </c>
      <c r="J1462" t="s">
        <v>63</v>
      </c>
      <c r="K1462" s="2">
        <v>45800</v>
      </c>
      <c r="L1462" s="2">
        <v>45980</v>
      </c>
      <c r="M1462" t="s">
        <v>38</v>
      </c>
      <c r="N1462" t="s">
        <v>55</v>
      </c>
      <c r="O1462">
        <v>0</v>
      </c>
      <c r="P1462" t="s">
        <v>62</v>
      </c>
      <c r="Q1462" s="2">
        <v>46192</v>
      </c>
      <c r="R1462" t="s">
        <v>57</v>
      </c>
    </row>
    <row r="1463" spans="1:18" x14ac:dyDescent="0.2">
      <c r="A1463" t="s">
        <v>2984</v>
      </c>
      <c r="B1463" t="s">
        <v>2985</v>
      </c>
      <c r="C1463" t="s">
        <v>78</v>
      </c>
      <c r="D1463" t="s">
        <v>79</v>
      </c>
      <c r="E1463" t="s">
        <v>44</v>
      </c>
      <c r="F1463" t="s">
        <v>45</v>
      </c>
      <c r="G1463" t="s">
        <v>61</v>
      </c>
      <c r="H1463" t="s">
        <v>88</v>
      </c>
      <c r="I1463" t="s">
        <v>50</v>
      </c>
      <c r="J1463" t="s">
        <v>37</v>
      </c>
      <c r="K1463" s="2">
        <v>45945</v>
      </c>
      <c r="L1463" s="2">
        <v>46125</v>
      </c>
      <c r="M1463" t="s">
        <v>38</v>
      </c>
      <c r="N1463" t="s">
        <v>55</v>
      </c>
      <c r="O1463">
        <v>2</v>
      </c>
      <c r="P1463" t="s">
        <v>56</v>
      </c>
      <c r="Q1463" s="2">
        <v>46207</v>
      </c>
      <c r="R1463" t="s">
        <v>64</v>
      </c>
    </row>
    <row r="1464" spans="1:18" x14ac:dyDescent="0.2">
      <c r="A1464" t="s">
        <v>2986</v>
      </c>
      <c r="B1464" t="s">
        <v>2987</v>
      </c>
      <c r="C1464" t="s">
        <v>31</v>
      </c>
      <c r="D1464" t="s">
        <v>87</v>
      </c>
      <c r="E1464" t="s">
        <v>91</v>
      </c>
      <c r="F1464" t="s">
        <v>34</v>
      </c>
      <c r="G1464" t="s">
        <v>35</v>
      </c>
      <c r="H1464" t="s">
        <v>88</v>
      </c>
      <c r="I1464" t="s">
        <v>106</v>
      </c>
      <c r="J1464" t="s">
        <v>37</v>
      </c>
      <c r="K1464" s="2">
        <v>46226</v>
      </c>
      <c r="L1464" s="2">
        <v>46316</v>
      </c>
      <c r="M1464" t="s">
        <v>64</v>
      </c>
      <c r="N1464" t="s">
        <v>55</v>
      </c>
      <c r="O1464">
        <v>1</v>
      </c>
      <c r="P1464" t="s">
        <v>54</v>
      </c>
      <c r="Q1464" s="2">
        <v>46390</v>
      </c>
      <c r="R1464" t="s">
        <v>84</v>
      </c>
    </row>
    <row r="1465" spans="1:18" x14ac:dyDescent="0.2">
      <c r="A1465" t="s">
        <v>2988</v>
      </c>
      <c r="B1465" t="s">
        <v>2989</v>
      </c>
      <c r="C1465" t="s">
        <v>42</v>
      </c>
      <c r="D1465" t="s">
        <v>43</v>
      </c>
      <c r="E1465" t="s">
        <v>105</v>
      </c>
      <c r="F1465" t="s">
        <v>34</v>
      </c>
      <c r="G1465" t="s">
        <v>35</v>
      </c>
      <c r="H1465" t="s">
        <v>36</v>
      </c>
      <c r="I1465" t="s">
        <v>70</v>
      </c>
      <c r="J1465" t="s">
        <v>63</v>
      </c>
      <c r="K1465" s="2">
        <v>46185</v>
      </c>
      <c r="L1465" s="2">
        <v>46275</v>
      </c>
      <c r="M1465" t="s">
        <v>38</v>
      </c>
      <c r="N1465" t="s">
        <v>55</v>
      </c>
      <c r="O1465">
        <v>1</v>
      </c>
      <c r="P1465" t="s">
        <v>70</v>
      </c>
      <c r="Q1465" s="2">
        <v>46154</v>
      </c>
      <c r="R1465" t="s">
        <v>38</v>
      </c>
    </row>
    <row r="1466" spans="1:18" x14ac:dyDescent="0.2">
      <c r="A1466" t="s">
        <v>2990</v>
      </c>
      <c r="B1466" t="s">
        <v>2991</v>
      </c>
      <c r="C1466" t="s">
        <v>31</v>
      </c>
      <c r="D1466" t="s">
        <v>87</v>
      </c>
      <c r="E1466" t="s">
        <v>60</v>
      </c>
      <c r="F1466" t="s">
        <v>34</v>
      </c>
      <c r="G1466" t="s">
        <v>35</v>
      </c>
      <c r="H1466" t="s">
        <v>47</v>
      </c>
      <c r="I1466" t="s">
        <v>62</v>
      </c>
      <c r="J1466" t="s">
        <v>63</v>
      </c>
      <c r="K1466" s="2">
        <v>45997</v>
      </c>
      <c r="L1466" s="2">
        <v>46177</v>
      </c>
      <c r="M1466" t="s">
        <v>38</v>
      </c>
      <c r="N1466" t="s">
        <v>49</v>
      </c>
      <c r="O1466">
        <v>3</v>
      </c>
      <c r="P1466" t="s">
        <v>70</v>
      </c>
      <c r="Q1466" s="2">
        <v>46320</v>
      </c>
      <c r="R1466" t="s">
        <v>64</v>
      </c>
    </row>
    <row r="1467" spans="1:18" x14ac:dyDescent="0.2">
      <c r="A1467" t="s">
        <v>2992</v>
      </c>
      <c r="B1467" t="s">
        <v>2993</v>
      </c>
      <c r="C1467" t="s">
        <v>78</v>
      </c>
      <c r="D1467" t="s">
        <v>79</v>
      </c>
      <c r="E1467" t="s">
        <v>53</v>
      </c>
      <c r="F1467" t="s">
        <v>34</v>
      </c>
      <c r="G1467" t="s">
        <v>35</v>
      </c>
      <c r="H1467" t="s">
        <v>88</v>
      </c>
      <c r="I1467" t="s">
        <v>39</v>
      </c>
      <c r="J1467" t="s">
        <v>63</v>
      </c>
      <c r="K1467" s="2">
        <v>46076</v>
      </c>
      <c r="L1467" s="2">
        <v>46256</v>
      </c>
      <c r="M1467" t="s">
        <v>38</v>
      </c>
      <c r="N1467" t="s">
        <v>75</v>
      </c>
      <c r="O1467">
        <v>1</v>
      </c>
      <c r="P1467" t="s">
        <v>111</v>
      </c>
      <c r="Q1467" s="2">
        <v>46115</v>
      </c>
      <c r="R1467" t="s">
        <v>64</v>
      </c>
    </row>
    <row r="1468" spans="1:18" x14ac:dyDescent="0.2">
      <c r="A1468" t="s">
        <v>2994</v>
      </c>
      <c r="B1468" t="s">
        <v>2995</v>
      </c>
      <c r="C1468" t="s">
        <v>78</v>
      </c>
      <c r="D1468" t="s">
        <v>79</v>
      </c>
      <c r="E1468" t="s">
        <v>44</v>
      </c>
      <c r="F1468" t="s">
        <v>67</v>
      </c>
      <c r="G1468" t="s">
        <v>118</v>
      </c>
      <c r="H1468" t="s">
        <v>36</v>
      </c>
      <c r="I1468" t="s">
        <v>106</v>
      </c>
      <c r="J1468" t="s">
        <v>37</v>
      </c>
      <c r="K1468" s="2">
        <v>45878</v>
      </c>
      <c r="L1468" s="2">
        <v>46243</v>
      </c>
      <c r="M1468" t="s">
        <v>38</v>
      </c>
      <c r="N1468" t="s">
        <v>75</v>
      </c>
      <c r="O1468">
        <v>5</v>
      </c>
      <c r="P1468" t="s">
        <v>70</v>
      </c>
      <c r="Q1468" s="2">
        <v>46320</v>
      </c>
      <c r="R1468" t="s">
        <v>64</v>
      </c>
    </row>
    <row r="1469" spans="1:18" x14ac:dyDescent="0.2">
      <c r="A1469" t="s">
        <v>2996</v>
      </c>
      <c r="B1469" t="s">
        <v>2997</v>
      </c>
      <c r="C1469" t="s">
        <v>31</v>
      </c>
      <c r="D1469" t="s">
        <v>83</v>
      </c>
      <c r="E1469" t="s">
        <v>91</v>
      </c>
      <c r="F1469" t="s">
        <v>34</v>
      </c>
      <c r="G1469" t="s">
        <v>35</v>
      </c>
      <c r="H1469" t="s">
        <v>47</v>
      </c>
      <c r="I1469" t="s">
        <v>56</v>
      </c>
      <c r="J1469" t="s">
        <v>48</v>
      </c>
      <c r="K1469" s="2">
        <v>45938</v>
      </c>
      <c r="L1469" s="2">
        <v>46028</v>
      </c>
      <c r="M1469" t="s">
        <v>38</v>
      </c>
      <c r="N1469" t="s">
        <v>55</v>
      </c>
      <c r="O1469">
        <v>1</v>
      </c>
      <c r="P1469" t="s">
        <v>50</v>
      </c>
      <c r="Q1469" s="2">
        <v>46338</v>
      </c>
      <c r="R1469" t="s">
        <v>84</v>
      </c>
    </row>
    <row r="1470" spans="1:18" x14ac:dyDescent="0.2">
      <c r="A1470" t="s">
        <v>2998</v>
      </c>
      <c r="B1470" t="s">
        <v>2999</v>
      </c>
      <c r="C1470" t="s">
        <v>96</v>
      </c>
      <c r="D1470" t="s">
        <v>97</v>
      </c>
      <c r="E1470" t="s">
        <v>91</v>
      </c>
      <c r="F1470" t="s">
        <v>45</v>
      </c>
      <c r="G1470" t="s">
        <v>61</v>
      </c>
      <c r="H1470" t="s">
        <v>47</v>
      </c>
      <c r="I1470" t="s">
        <v>56</v>
      </c>
      <c r="J1470" t="s">
        <v>63</v>
      </c>
      <c r="K1470" s="2">
        <v>46192</v>
      </c>
      <c r="L1470" s="2">
        <v>46557</v>
      </c>
      <c r="M1470" t="s">
        <v>64</v>
      </c>
      <c r="N1470" t="s">
        <v>55</v>
      </c>
      <c r="O1470">
        <v>0</v>
      </c>
      <c r="P1470" t="s">
        <v>70</v>
      </c>
      <c r="Q1470" s="2">
        <v>46259</v>
      </c>
      <c r="R1470" t="s">
        <v>57</v>
      </c>
    </row>
    <row r="1471" spans="1:18" x14ac:dyDescent="0.2">
      <c r="A1471" t="s">
        <v>3000</v>
      </c>
      <c r="B1471" t="s">
        <v>3001</v>
      </c>
      <c r="C1471" t="s">
        <v>103</v>
      </c>
      <c r="D1471" t="s">
        <v>104</v>
      </c>
      <c r="E1471" t="s">
        <v>60</v>
      </c>
      <c r="F1471" t="s">
        <v>45</v>
      </c>
      <c r="G1471" t="s">
        <v>61</v>
      </c>
      <c r="H1471" t="s">
        <v>88</v>
      </c>
      <c r="I1471" t="s">
        <v>62</v>
      </c>
      <c r="J1471" t="s">
        <v>63</v>
      </c>
      <c r="K1471" s="2">
        <v>45974</v>
      </c>
      <c r="L1471" s="2">
        <v>46339</v>
      </c>
      <c r="M1471" t="s">
        <v>69</v>
      </c>
      <c r="N1471" t="s">
        <v>49</v>
      </c>
      <c r="O1471">
        <v>0</v>
      </c>
      <c r="P1471" t="s">
        <v>39</v>
      </c>
      <c r="Q1471" s="2">
        <v>46197</v>
      </c>
      <c r="R1471" t="s">
        <v>57</v>
      </c>
    </row>
    <row r="1472" spans="1:18" x14ac:dyDescent="0.2">
      <c r="A1472" t="s">
        <v>3002</v>
      </c>
      <c r="B1472" t="s">
        <v>3003</v>
      </c>
      <c r="C1472" t="s">
        <v>73</v>
      </c>
      <c r="D1472" t="s">
        <v>74</v>
      </c>
      <c r="E1472" t="s">
        <v>80</v>
      </c>
      <c r="F1472" t="s">
        <v>45</v>
      </c>
      <c r="G1472" t="s">
        <v>46</v>
      </c>
      <c r="H1472" t="s">
        <v>88</v>
      </c>
      <c r="I1472" t="s">
        <v>39</v>
      </c>
      <c r="J1472" t="s">
        <v>63</v>
      </c>
      <c r="K1472" s="2">
        <v>45898</v>
      </c>
      <c r="L1472" s="2">
        <v>46263</v>
      </c>
      <c r="M1472" t="s">
        <v>38</v>
      </c>
      <c r="N1472" t="s">
        <v>49</v>
      </c>
      <c r="O1472">
        <v>1</v>
      </c>
      <c r="P1472" t="s">
        <v>50</v>
      </c>
      <c r="Q1472" s="2">
        <v>46116</v>
      </c>
      <c r="R1472" t="s">
        <v>64</v>
      </c>
    </row>
    <row r="1473" spans="1:18" x14ac:dyDescent="0.2">
      <c r="A1473" t="s">
        <v>3004</v>
      </c>
      <c r="B1473" t="s">
        <v>3005</v>
      </c>
      <c r="C1473" t="s">
        <v>31</v>
      </c>
      <c r="D1473" t="s">
        <v>83</v>
      </c>
      <c r="E1473" t="s">
        <v>44</v>
      </c>
      <c r="F1473" t="s">
        <v>34</v>
      </c>
      <c r="G1473" t="s">
        <v>35</v>
      </c>
      <c r="H1473" t="s">
        <v>88</v>
      </c>
      <c r="I1473" t="s">
        <v>54</v>
      </c>
      <c r="J1473" t="s">
        <v>48</v>
      </c>
      <c r="K1473" s="2">
        <v>45829</v>
      </c>
      <c r="L1473" s="2">
        <v>45919</v>
      </c>
      <c r="M1473" t="s">
        <v>38</v>
      </c>
      <c r="N1473" t="s">
        <v>55</v>
      </c>
      <c r="O1473">
        <v>2</v>
      </c>
      <c r="P1473" t="s">
        <v>54</v>
      </c>
      <c r="Q1473" s="2">
        <v>46138</v>
      </c>
      <c r="R1473" t="s">
        <v>64</v>
      </c>
    </row>
    <row r="1474" spans="1:18" x14ac:dyDescent="0.2">
      <c r="A1474" t="s">
        <v>3006</v>
      </c>
      <c r="B1474" t="s">
        <v>3007</v>
      </c>
      <c r="C1474" t="s">
        <v>31</v>
      </c>
      <c r="D1474" t="s">
        <v>87</v>
      </c>
      <c r="E1474" t="s">
        <v>53</v>
      </c>
      <c r="F1474" t="s">
        <v>34</v>
      </c>
      <c r="G1474" t="s">
        <v>35</v>
      </c>
      <c r="H1474" t="s">
        <v>88</v>
      </c>
      <c r="I1474" t="s">
        <v>50</v>
      </c>
      <c r="J1474" t="s">
        <v>37</v>
      </c>
      <c r="K1474" s="2">
        <v>45802</v>
      </c>
      <c r="L1474" s="2">
        <v>45982</v>
      </c>
      <c r="M1474" t="s">
        <v>38</v>
      </c>
      <c r="N1474" t="s">
        <v>49</v>
      </c>
      <c r="O1474">
        <v>1</v>
      </c>
      <c r="P1474" t="s">
        <v>62</v>
      </c>
      <c r="Q1474" s="2">
        <v>46404</v>
      </c>
      <c r="R1474" t="s">
        <v>84</v>
      </c>
    </row>
    <row r="1475" spans="1:18" x14ac:dyDescent="0.2">
      <c r="A1475" t="s">
        <v>3008</v>
      </c>
      <c r="B1475" t="s">
        <v>3009</v>
      </c>
      <c r="C1475" t="s">
        <v>103</v>
      </c>
      <c r="D1475" t="s">
        <v>104</v>
      </c>
      <c r="E1475" t="s">
        <v>44</v>
      </c>
      <c r="F1475" t="s">
        <v>34</v>
      </c>
      <c r="G1475" t="s">
        <v>35</v>
      </c>
      <c r="H1475" t="s">
        <v>36</v>
      </c>
      <c r="I1475" t="s">
        <v>62</v>
      </c>
      <c r="J1475" t="s">
        <v>63</v>
      </c>
      <c r="K1475" s="2">
        <v>45798</v>
      </c>
      <c r="L1475" s="2">
        <v>45888</v>
      </c>
      <c r="M1475" t="s">
        <v>38</v>
      </c>
      <c r="N1475" t="s">
        <v>55</v>
      </c>
      <c r="O1475">
        <v>1</v>
      </c>
      <c r="P1475" t="s">
        <v>62</v>
      </c>
      <c r="Q1475" s="2">
        <v>46399</v>
      </c>
      <c r="R1475" t="s">
        <v>84</v>
      </c>
    </row>
    <row r="1476" spans="1:18" x14ac:dyDescent="0.2">
      <c r="A1476" t="s">
        <v>3010</v>
      </c>
      <c r="B1476" t="s">
        <v>3011</v>
      </c>
      <c r="C1476" t="s">
        <v>78</v>
      </c>
      <c r="D1476" t="s">
        <v>79</v>
      </c>
      <c r="E1476" t="s">
        <v>44</v>
      </c>
      <c r="F1476" t="s">
        <v>34</v>
      </c>
      <c r="G1476" t="s">
        <v>35</v>
      </c>
      <c r="H1476" t="s">
        <v>36</v>
      </c>
      <c r="I1476" t="s">
        <v>62</v>
      </c>
      <c r="J1476" t="s">
        <v>37</v>
      </c>
      <c r="K1476" s="2">
        <v>45815</v>
      </c>
      <c r="L1476" s="2">
        <v>46180</v>
      </c>
      <c r="M1476" t="s">
        <v>38</v>
      </c>
      <c r="N1476" t="s">
        <v>55</v>
      </c>
      <c r="O1476">
        <v>4</v>
      </c>
      <c r="P1476" t="s">
        <v>111</v>
      </c>
      <c r="Q1476" s="2">
        <v>46287</v>
      </c>
      <c r="R1476" t="s">
        <v>38</v>
      </c>
    </row>
    <row r="1477" spans="1:18" x14ac:dyDescent="0.2">
      <c r="A1477" t="s">
        <v>3012</v>
      </c>
      <c r="B1477" t="s">
        <v>3013</v>
      </c>
      <c r="C1477" t="s">
        <v>31</v>
      </c>
      <c r="D1477" t="s">
        <v>83</v>
      </c>
      <c r="E1477" t="s">
        <v>80</v>
      </c>
      <c r="F1477" t="s">
        <v>45</v>
      </c>
      <c r="G1477" t="s">
        <v>46</v>
      </c>
      <c r="H1477" t="s">
        <v>88</v>
      </c>
      <c r="I1477" t="s">
        <v>70</v>
      </c>
      <c r="J1477" t="s">
        <v>63</v>
      </c>
      <c r="K1477" s="2">
        <v>46275</v>
      </c>
      <c r="L1477" s="2">
        <v>46365</v>
      </c>
      <c r="M1477" t="s">
        <v>64</v>
      </c>
      <c r="N1477" t="s">
        <v>49</v>
      </c>
      <c r="O1477">
        <v>1</v>
      </c>
      <c r="P1477" t="s">
        <v>54</v>
      </c>
      <c r="Q1477" s="2">
        <v>46217</v>
      </c>
      <c r="R1477" t="s">
        <v>38</v>
      </c>
    </row>
    <row r="1478" spans="1:18" x14ac:dyDescent="0.2">
      <c r="A1478" t="s">
        <v>3014</v>
      </c>
      <c r="B1478" t="s">
        <v>3015</v>
      </c>
      <c r="C1478" t="s">
        <v>96</v>
      </c>
      <c r="D1478" t="s">
        <v>97</v>
      </c>
      <c r="E1478" t="s">
        <v>80</v>
      </c>
      <c r="F1478" t="s">
        <v>67</v>
      </c>
      <c r="G1478" t="s">
        <v>68</v>
      </c>
      <c r="H1478" t="s">
        <v>36</v>
      </c>
      <c r="I1478" t="s">
        <v>70</v>
      </c>
      <c r="J1478" t="s">
        <v>37</v>
      </c>
      <c r="K1478" s="2">
        <v>46005</v>
      </c>
      <c r="L1478" s="2">
        <v>46185</v>
      </c>
      <c r="M1478" t="s">
        <v>38</v>
      </c>
      <c r="N1478" t="s">
        <v>75</v>
      </c>
      <c r="O1478">
        <v>5</v>
      </c>
      <c r="P1478" t="s">
        <v>70</v>
      </c>
      <c r="Q1478" s="2">
        <v>46125</v>
      </c>
      <c r="R1478" t="s">
        <v>38</v>
      </c>
    </row>
    <row r="1479" spans="1:18" x14ac:dyDescent="0.2">
      <c r="A1479" t="s">
        <v>3016</v>
      </c>
      <c r="B1479" t="s">
        <v>3017</v>
      </c>
      <c r="C1479" t="s">
        <v>31</v>
      </c>
      <c r="D1479" t="s">
        <v>32</v>
      </c>
      <c r="E1479" t="s">
        <v>80</v>
      </c>
      <c r="F1479" t="s">
        <v>34</v>
      </c>
      <c r="G1479" t="s">
        <v>35</v>
      </c>
      <c r="H1479" t="s">
        <v>36</v>
      </c>
      <c r="I1479" t="s">
        <v>106</v>
      </c>
      <c r="J1479" t="s">
        <v>63</v>
      </c>
      <c r="K1479" s="2">
        <v>45853</v>
      </c>
      <c r="L1479" s="2">
        <v>46218</v>
      </c>
      <c r="M1479" t="s">
        <v>38</v>
      </c>
      <c r="N1479" t="s">
        <v>55</v>
      </c>
      <c r="O1479">
        <v>0</v>
      </c>
      <c r="P1479" t="s">
        <v>56</v>
      </c>
      <c r="Q1479" s="2">
        <v>46390</v>
      </c>
      <c r="R1479" t="s">
        <v>57</v>
      </c>
    </row>
    <row r="1480" spans="1:18" x14ac:dyDescent="0.2">
      <c r="A1480" t="s">
        <v>3018</v>
      </c>
      <c r="B1480" t="s">
        <v>3019</v>
      </c>
      <c r="C1480" t="s">
        <v>78</v>
      </c>
      <c r="D1480" t="s">
        <v>79</v>
      </c>
      <c r="E1480" t="s">
        <v>60</v>
      </c>
      <c r="F1480" t="s">
        <v>45</v>
      </c>
      <c r="G1480" t="s">
        <v>46</v>
      </c>
      <c r="H1480" t="s">
        <v>47</v>
      </c>
      <c r="I1480" t="s">
        <v>111</v>
      </c>
      <c r="J1480" t="s">
        <v>63</v>
      </c>
      <c r="K1480" s="2">
        <v>46066</v>
      </c>
      <c r="L1480" s="2">
        <v>46156</v>
      </c>
      <c r="M1480" t="s">
        <v>38</v>
      </c>
      <c r="N1480" t="s">
        <v>75</v>
      </c>
      <c r="O1480">
        <v>0</v>
      </c>
      <c r="P1480" t="s">
        <v>54</v>
      </c>
      <c r="Q1480" s="2">
        <v>46295</v>
      </c>
      <c r="R1480" t="s">
        <v>57</v>
      </c>
    </row>
    <row r="1481" spans="1:18" x14ac:dyDescent="0.2">
      <c r="A1481" t="s">
        <v>3020</v>
      </c>
      <c r="B1481" t="s">
        <v>3021</v>
      </c>
      <c r="C1481" t="s">
        <v>78</v>
      </c>
      <c r="D1481" t="s">
        <v>79</v>
      </c>
      <c r="E1481" t="s">
        <v>53</v>
      </c>
      <c r="F1481" t="s">
        <v>34</v>
      </c>
      <c r="G1481" t="s">
        <v>35</v>
      </c>
      <c r="H1481" t="s">
        <v>88</v>
      </c>
      <c r="I1481" t="s">
        <v>50</v>
      </c>
      <c r="J1481" t="s">
        <v>37</v>
      </c>
      <c r="K1481" s="2">
        <v>45899</v>
      </c>
      <c r="L1481" s="2">
        <v>46264</v>
      </c>
      <c r="M1481" t="s">
        <v>38</v>
      </c>
      <c r="N1481" t="s">
        <v>55</v>
      </c>
      <c r="O1481">
        <v>1</v>
      </c>
      <c r="P1481" t="s">
        <v>50</v>
      </c>
      <c r="Q1481" s="2">
        <v>46315</v>
      </c>
      <c r="R1481" t="s">
        <v>84</v>
      </c>
    </row>
    <row r="1482" spans="1:18" x14ac:dyDescent="0.2">
      <c r="A1482" t="s">
        <v>3022</v>
      </c>
      <c r="B1482" t="s">
        <v>3023</v>
      </c>
      <c r="C1482" t="s">
        <v>31</v>
      </c>
      <c r="D1482" t="s">
        <v>83</v>
      </c>
      <c r="E1482" t="s">
        <v>60</v>
      </c>
      <c r="F1482" t="s">
        <v>34</v>
      </c>
      <c r="G1482" t="s">
        <v>35</v>
      </c>
      <c r="H1482" t="s">
        <v>36</v>
      </c>
      <c r="I1482" t="s">
        <v>50</v>
      </c>
      <c r="J1482" t="s">
        <v>37</v>
      </c>
      <c r="K1482" s="2">
        <v>46110</v>
      </c>
      <c r="L1482" s="2">
        <v>46290</v>
      </c>
      <c r="M1482" t="s">
        <v>38</v>
      </c>
      <c r="N1482" t="s">
        <v>55</v>
      </c>
      <c r="O1482">
        <v>2</v>
      </c>
      <c r="P1482" t="s">
        <v>54</v>
      </c>
      <c r="Q1482" s="2">
        <v>46374</v>
      </c>
      <c r="R1482" t="s">
        <v>84</v>
      </c>
    </row>
    <row r="1483" spans="1:18" x14ac:dyDescent="0.2">
      <c r="A1483" t="s">
        <v>3024</v>
      </c>
      <c r="B1483" t="s">
        <v>3025</v>
      </c>
      <c r="C1483" t="s">
        <v>31</v>
      </c>
      <c r="D1483" t="s">
        <v>87</v>
      </c>
      <c r="E1483" t="s">
        <v>91</v>
      </c>
      <c r="F1483" t="s">
        <v>34</v>
      </c>
      <c r="G1483" t="s">
        <v>35</v>
      </c>
      <c r="H1483" t="s">
        <v>88</v>
      </c>
      <c r="I1483" t="s">
        <v>39</v>
      </c>
      <c r="J1483" t="s">
        <v>37</v>
      </c>
      <c r="K1483" s="2">
        <v>45884</v>
      </c>
      <c r="L1483" s="2">
        <v>46064</v>
      </c>
      <c r="M1483" t="s">
        <v>38</v>
      </c>
      <c r="N1483" t="s">
        <v>49</v>
      </c>
      <c r="O1483">
        <v>2</v>
      </c>
      <c r="P1483" t="s">
        <v>111</v>
      </c>
      <c r="Q1483" s="2">
        <v>46184</v>
      </c>
      <c r="R1483" t="s">
        <v>38</v>
      </c>
    </row>
    <row r="1484" spans="1:18" x14ac:dyDescent="0.2">
      <c r="A1484" t="s">
        <v>3026</v>
      </c>
      <c r="B1484" t="s">
        <v>3027</v>
      </c>
      <c r="C1484" t="s">
        <v>31</v>
      </c>
      <c r="D1484" t="s">
        <v>87</v>
      </c>
      <c r="E1484" t="s">
        <v>80</v>
      </c>
      <c r="F1484" t="s">
        <v>45</v>
      </c>
      <c r="G1484" t="s">
        <v>61</v>
      </c>
      <c r="H1484" t="s">
        <v>88</v>
      </c>
      <c r="I1484" t="s">
        <v>56</v>
      </c>
      <c r="J1484" t="s">
        <v>63</v>
      </c>
      <c r="K1484" s="2">
        <v>46243</v>
      </c>
      <c r="L1484" s="2">
        <v>46423</v>
      </c>
      <c r="M1484" t="s">
        <v>69</v>
      </c>
      <c r="N1484" t="s">
        <v>75</v>
      </c>
      <c r="O1484">
        <v>0</v>
      </c>
      <c r="P1484" t="s">
        <v>111</v>
      </c>
      <c r="Q1484" s="2">
        <v>46402</v>
      </c>
      <c r="R1484" t="s">
        <v>57</v>
      </c>
    </row>
    <row r="1485" spans="1:18" x14ac:dyDescent="0.2">
      <c r="A1485" t="s">
        <v>3028</v>
      </c>
      <c r="B1485" t="s">
        <v>3029</v>
      </c>
      <c r="C1485" t="s">
        <v>31</v>
      </c>
      <c r="D1485" t="s">
        <v>32</v>
      </c>
      <c r="E1485" t="s">
        <v>53</v>
      </c>
      <c r="F1485" t="s">
        <v>67</v>
      </c>
      <c r="G1485" t="s">
        <v>118</v>
      </c>
      <c r="H1485" t="s">
        <v>88</v>
      </c>
      <c r="I1485" t="s">
        <v>56</v>
      </c>
      <c r="J1485" t="s">
        <v>37</v>
      </c>
      <c r="K1485" s="2">
        <v>46068</v>
      </c>
      <c r="L1485" s="2">
        <v>46248</v>
      </c>
      <c r="M1485" t="s">
        <v>38</v>
      </c>
      <c r="N1485" t="s">
        <v>55</v>
      </c>
      <c r="O1485">
        <v>1</v>
      </c>
      <c r="P1485" t="s">
        <v>54</v>
      </c>
      <c r="Q1485" s="2">
        <v>46373</v>
      </c>
      <c r="R1485" t="s">
        <v>84</v>
      </c>
    </row>
    <row r="1486" spans="1:18" x14ac:dyDescent="0.2">
      <c r="A1486" t="s">
        <v>3030</v>
      </c>
      <c r="B1486" t="s">
        <v>3031</v>
      </c>
      <c r="C1486" t="s">
        <v>42</v>
      </c>
      <c r="D1486" t="s">
        <v>43</v>
      </c>
      <c r="E1486" t="s">
        <v>60</v>
      </c>
      <c r="F1486" t="s">
        <v>67</v>
      </c>
      <c r="G1486" t="s">
        <v>118</v>
      </c>
      <c r="H1486" t="s">
        <v>98</v>
      </c>
      <c r="I1486" t="s">
        <v>106</v>
      </c>
      <c r="J1486" t="s">
        <v>37</v>
      </c>
      <c r="K1486" s="2">
        <v>46170</v>
      </c>
      <c r="L1486" s="2">
        <v>46350</v>
      </c>
      <c r="M1486" t="s">
        <v>84</v>
      </c>
      <c r="N1486" t="s">
        <v>75</v>
      </c>
      <c r="O1486">
        <v>2</v>
      </c>
      <c r="P1486" t="s">
        <v>39</v>
      </c>
      <c r="Q1486" s="2">
        <v>46414</v>
      </c>
      <c r="R1486" t="s">
        <v>84</v>
      </c>
    </row>
    <row r="1487" spans="1:18" x14ac:dyDescent="0.2">
      <c r="A1487" t="s">
        <v>3032</v>
      </c>
      <c r="B1487" t="s">
        <v>3033</v>
      </c>
      <c r="C1487" t="s">
        <v>31</v>
      </c>
      <c r="D1487" t="s">
        <v>87</v>
      </c>
      <c r="E1487" t="s">
        <v>91</v>
      </c>
      <c r="F1487" t="s">
        <v>34</v>
      </c>
      <c r="G1487" t="s">
        <v>35</v>
      </c>
      <c r="H1487" t="s">
        <v>88</v>
      </c>
      <c r="I1487" t="s">
        <v>62</v>
      </c>
      <c r="J1487" t="s">
        <v>37</v>
      </c>
      <c r="K1487" s="2">
        <v>45827</v>
      </c>
      <c r="L1487" s="2">
        <v>45917</v>
      </c>
      <c r="M1487" t="s">
        <v>38</v>
      </c>
      <c r="N1487" t="s">
        <v>75</v>
      </c>
      <c r="O1487">
        <v>1</v>
      </c>
      <c r="P1487" t="s">
        <v>50</v>
      </c>
      <c r="Q1487" s="2">
        <v>46175</v>
      </c>
      <c r="R1487" t="s">
        <v>38</v>
      </c>
    </row>
    <row r="1488" spans="1:18" x14ac:dyDescent="0.2">
      <c r="A1488" t="s">
        <v>3034</v>
      </c>
      <c r="B1488" t="s">
        <v>3035</v>
      </c>
      <c r="C1488" t="s">
        <v>103</v>
      </c>
      <c r="D1488" t="s">
        <v>104</v>
      </c>
      <c r="E1488" t="s">
        <v>80</v>
      </c>
      <c r="F1488" t="s">
        <v>67</v>
      </c>
      <c r="G1488" t="s">
        <v>68</v>
      </c>
      <c r="H1488" t="s">
        <v>88</v>
      </c>
      <c r="I1488" t="s">
        <v>39</v>
      </c>
      <c r="J1488" t="s">
        <v>63</v>
      </c>
      <c r="K1488" s="2">
        <v>46266</v>
      </c>
      <c r="L1488" s="2">
        <v>46631</v>
      </c>
      <c r="M1488" t="s">
        <v>64</v>
      </c>
      <c r="N1488" t="s">
        <v>49</v>
      </c>
      <c r="O1488">
        <v>2</v>
      </c>
      <c r="P1488" t="s">
        <v>54</v>
      </c>
      <c r="Q1488" s="2">
        <v>46298</v>
      </c>
      <c r="R1488" t="s">
        <v>84</v>
      </c>
    </row>
    <row r="1489" spans="1:18" x14ac:dyDescent="0.2">
      <c r="A1489" t="s">
        <v>3036</v>
      </c>
      <c r="B1489" t="s">
        <v>3037</v>
      </c>
      <c r="C1489" t="s">
        <v>73</v>
      </c>
      <c r="D1489" t="s">
        <v>74</v>
      </c>
      <c r="E1489" t="s">
        <v>53</v>
      </c>
      <c r="F1489" t="s">
        <v>34</v>
      </c>
      <c r="G1489" t="s">
        <v>35</v>
      </c>
      <c r="H1489" t="s">
        <v>88</v>
      </c>
      <c r="I1489" t="s">
        <v>54</v>
      </c>
      <c r="J1489" t="s">
        <v>48</v>
      </c>
      <c r="K1489" s="2">
        <v>45959</v>
      </c>
      <c r="L1489" s="2">
        <v>46324</v>
      </c>
      <c r="M1489" t="s">
        <v>69</v>
      </c>
      <c r="N1489" t="s">
        <v>49</v>
      </c>
      <c r="O1489">
        <v>0</v>
      </c>
      <c r="P1489" t="s">
        <v>39</v>
      </c>
      <c r="Q1489" s="2">
        <v>46398</v>
      </c>
      <c r="R1489" t="s">
        <v>57</v>
      </c>
    </row>
    <row r="1490" spans="1:18" x14ac:dyDescent="0.2">
      <c r="A1490" t="s">
        <v>3038</v>
      </c>
      <c r="B1490" t="s">
        <v>3039</v>
      </c>
      <c r="C1490" t="s">
        <v>78</v>
      </c>
      <c r="D1490" t="s">
        <v>79</v>
      </c>
      <c r="E1490" t="s">
        <v>53</v>
      </c>
      <c r="F1490" t="s">
        <v>45</v>
      </c>
      <c r="G1490" t="s">
        <v>61</v>
      </c>
      <c r="H1490" t="s">
        <v>36</v>
      </c>
      <c r="I1490" t="s">
        <v>39</v>
      </c>
      <c r="J1490" t="s">
        <v>63</v>
      </c>
      <c r="K1490" s="2">
        <v>46275</v>
      </c>
      <c r="L1490" s="2">
        <v>46365</v>
      </c>
      <c r="M1490" t="s">
        <v>64</v>
      </c>
      <c r="N1490" t="s">
        <v>75</v>
      </c>
      <c r="O1490">
        <v>5</v>
      </c>
      <c r="P1490" t="s">
        <v>106</v>
      </c>
      <c r="Q1490" s="2">
        <v>46314</v>
      </c>
      <c r="R1490" t="s">
        <v>84</v>
      </c>
    </row>
    <row r="1491" spans="1:18" x14ac:dyDescent="0.2">
      <c r="A1491" t="s">
        <v>3040</v>
      </c>
      <c r="B1491" t="s">
        <v>3041</v>
      </c>
      <c r="C1491" t="s">
        <v>103</v>
      </c>
      <c r="D1491" t="s">
        <v>104</v>
      </c>
      <c r="E1491" t="s">
        <v>105</v>
      </c>
      <c r="F1491" t="s">
        <v>34</v>
      </c>
      <c r="G1491" t="s">
        <v>35</v>
      </c>
      <c r="H1491" t="s">
        <v>36</v>
      </c>
      <c r="I1491" t="s">
        <v>106</v>
      </c>
      <c r="J1491" t="s">
        <v>37</v>
      </c>
      <c r="K1491" s="2">
        <v>46077</v>
      </c>
      <c r="L1491" s="2">
        <v>46257</v>
      </c>
      <c r="M1491" t="s">
        <v>38</v>
      </c>
      <c r="N1491" t="s">
        <v>55</v>
      </c>
      <c r="O1491">
        <v>4</v>
      </c>
      <c r="P1491" t="s">
        <v>56</v>
      </c>
      <c r="Q1491" s="2">
        <v>46248</v>
      </c>
      <c r="R1491" t="s">
        <v>38</v>
      </c>
    </row>
    <row r="1492" spans="1:18" x14ac:dyDescent="0.2">
      <c r="A1492" t="s">
        <v>3042</v>
      </c>
      <c r="B1492" t="s">
        <v>3043</v>
      </c>
      <c r="C1492" t="s">
        <v>96</v>
      </c>
      <c r="D1492" t="s">
        <v>97</v>
      </c>
      <c r="E1492" t="s">
        <v>60</v>
      </c>
      <c r="F1492" t="s">
        <v>67</v>
      </c>
      <c r="G1492" t="s">
        <v>118</v>
      </c>
      <c r="H1492" t="s">
        <v>47</v>
      </c>
      <c r="I1492" t="s">
        <v>111</v>
      </c>
      <c r="J1492" t="s">
        <v>37</v>
      </c>
      <c r="K1492" s="2">
        <v>45808</v>
      </c>
      <c r="L1492" s="2">
        <v>46173</v>
      </c>
      <c r="M1492" t="s">
        <v>38</v>
      </c>
      <c r="N1492" t="s">
        <v>55</v>
      </c>
      <c r="O1492">
        <v>0</v>
      </c>
      <c r="P1492" t="s">
        <v>39</v>
      </c>
      <c r="Q1492" s="2">
        <v>46386</v>
      </c>
      <c r="R1492" t="s">
        <v>57</v>
      </c>
    </row>
    <row r="1493" spans="1:18" x14ac:dyDescent="0.2">
      <c r="A1493" t="s">
        <v>3044</v>
      </c>
      <c r="B1493" t="s">
        <v>3045</v>
      </c>
      <c r="C1493" t="s">
        <v>42</v>
      </c>
      <c r="D1493" t="s">
        <v>43</v>
      </c>
      <c r="E1493" t="s">
        <v>91</v>
      </c>
      <c r="F1493" t="s">
        <v>45</v>
      </c>
      <c r="G1493" t="s">
        <v>46</v>
      </c>
      <c r="H1493" t="s">
        <v>36</v>
      </c>
      <c r="I1493" t="s">
        <v>62</v>
      </c>
      <c r="J1493" t="s">
        <v>63</v>
      </c>
      <c r="K1493" s="2">
        <v>46085</v>
      </c>
      <c r="L1493" s="2">
        <v>46450</v>
      </c>
      <c r="M1493" t="s">
        <v>64</v>
      </c>
      <c r="N1493" t="s">
        <v>55</v>
      </c>
      <c r="O1493">
        <v>2</v>
      </c>
      <c r="P1493" t="s">
        <v>39</v>
      </c>
      <c r="Q1493" s="2">
        <v>46266</v>
      </c>
      <c r="R1493" t="s">
        <v>64</v>
      </c>
    </row>
    <row r="1494" spans="1:18" x14ac:dyDescent="0.2">
      <c r="A1494" t="s">
        <v>3046</v>
      </c>
      <c r="B1494" t="s">
        <v>3047</v>
      </c>
      <c r="C1494" t="s">
        <v>78</v>
      </c>
      <c r="D1494" t="s">
        <v>79</v>
      </c>
      <c r="E1494" t="s">
        <v>53</v>
      </c>
      <c r="F1494" t="s">
        <v>67</v>
      </c>
      <c r="G1494" t="s">
        <v>118</v>
      </c>
      <c r="H1494" t="s">
        <v>88</v>
      </c>
      <c r="I1494" t="s">
        <v>62</v>
      </c>
      <c r="J1494" t="s">
        <v>48</v>
      </c>
      <c r="K1494" s="2">
        <v>45989</v>
      </c>
      <c r="L1494" s="2">
        <v>46169</v>
      </c>
      <c r="M1494" t="s">
        <v>38</v>
      </c>
      <c r="N1494" t="s">
        <v>75</v>
      </c>
      <c r="O1494">
        <v>1</v>
      </c>
      <c r="P1494" t="s">
        <v>70</v>
      </c>
      <c r="Q1494" s="2">
        <v>46269</v>
      </c>
      <c r="R1494" t="s">
        <v>38</v>
      </c>
    </row>
    <row r="1495" spans="1:18" x14ac:dyDescent="0.2">
      <c r="A1495" t="s">
        <v>3048</v>
      </c>
      <c r="B1495" t="s">
        <v>3049</v>
      </c>
      <c r="C1495" t="s">
        <v>73</v>
      </c>
      <c r="D1495" t="s">
        <v>74</v>
      </c>
      <c r="E1495" t="s">
        <v>60</v>
      </c>
      <c r="F1495" t="s">
        <v>67</v>
      </c>
      <c r="G1495" t="s">
        <v>118</v>
      </c>
      <c r="H1495" t="s">
        <v>88</v>
      </c>
      <c r="I1495" t="s">
        <v>111</v>
      </c>
      <c r="J1495" t="s">
        <v>48</v>
      </c>
      <c r="K1495" s="2">
        <v>46205</v>
      </c>
      <c r="L1495" s="2">
        <v>46385</v>
      </c>
      <c r="M1495" t="s">
        <v>84</v>
      </c>
      <c r="N1495" t="s">
        <v>55</v>
      </c>
      <c r="O1495">
        <v>1</v>
      </c>
      <c r="P1495" t="s">
        <v>56</v>
      </c>
      <c r="Q1495" s="2">
        <v>46178</v>
      </c>
      <c r="R1495" t="s">
        <v>38</v>
      </c>
    </row>
    <row r="1496" spans="1:18" x14ac:dyDescent="0.2">
      <c r="A1496" t="s">
        <v>3050</v>
      </c>
      <c r="B1496" t="s">
        <v>3051</v>
      </c>
      <c r="C1496" t="s">
        <v>103</v>
      </c>
      <c r="D1496" t="s">
        <v>104</v>
      </c>
      <c r="E1496" t="s">
        <v>53</v>
      </c>
      <c r="F1496" t="s">
        <v>67</v>
      </c>
      <c r="G1496" t="s">
        <v>68</v>
      </c>
      <c r="H1496" t="s">
        <v>88</v>
      </c>
      <c r="I1496" t="s">
        <v>111</v>
      </c>
      <c r="J1496" t="s">
        <v>37</v>
      </c>
      <c r="K1496" s="2">
        <v>45814</v>
      </c>
      <c r="L1496" s="2">
        <v>45994</v>
      </c>
      <c r="M1496" t="s">
        <v>38</v>
      </c>
      <c r="N1496" t="s">
        <v>75</v>
      </c>
      <c r="O1496">
        <v>2</v>
      </c>
      <c r="P1496" t="s">
        <v>106</v>
      </c>
      <c r="Q1496" s="2">
        <v>46281</v>
      </c>
      <c r="R1496" t="s">
        <v>38</v>
      </c>
    </row>
    <row r="1497" spans="1:18" x14ac:dyDescent="0.2">
      <c r="A1497" t="s">
        <v>3052</v>
      </c>
      <c r="B1497" t="s">
        <v>3053</v>
      </c>
      <c r="C1497" t="s">
        <v>31</v>
      </c>
      <c r="D1497" t="s">
        <v>83</v>
      </c>
      <c r="E1497" t="s">
        <v>44</v>
      </c>
      <c r="F1497" t="s">
        <v>45</v>
      </c>
      <c r="G1497" t="s">
        <v>46</v>
      </c>
      <c r="H1497" t="s">
        <v>88</v>
      </c>
      <c r="I1497" t="s">
        <v>106</v>
      </c>
      <c r="J1497" t="s">
        <v>63</v>
      </c>
      <c r="K1497" s="2">
        <v>46272</v>
      </c>
      <c r="L1497" s="2">
        <v>46452</v>
      </c>
      <c r="M1497" t="s">
        <v>84</v>
      </c>
      <c r="N1497" t="s">
        <v>75</v>
      </c>
      <c r="O1497">
        <v>2</v>
      </c>
      <c r="P1497" t="s">
        <v>39</v>
      </c>
      <c r="Q1497" s="2">
        <v>46293</v>
      </c>
      <c r="R1497" t="s">
        <v>64</v>
      </c>
    </row>
    <row r="1498" spans="1:18" x14ac:dyDescent="0.2">
      <c r="A1498" t="s">
        <v>3054</v>
      </c>
      <c r="B1498" t="s">
        <v>3055</v>
      </c>
      <c r="C1498" t="s">
        <v>78</v>
      </c>
      <c r="D1498" t="s">
        <v>79</v>
      </c>
      <c r="E1498" t="s">
        <v>80</v>
      </c>
      <c r="F1498" t="s">
        <v>45</v>
      </c>
      <c r="G1498" t="s">
        <v>46</v>
      </c>
      <c r="H1498" t="s">
        <v>47</v>
      </c>
      <c r="I1498" t="s">
        <v>50</v>
      </c>
      <c r="J1498" t="s">
        <v>37</v>
      </c>
      <c r="K1498" s="2">
        <v>46229</v>
      </c>
      <c r="L1498" s="2">
        <v>46319</v>
      </c>
      <c r="M1498" t="s">
        <v>69</v>
      </c>
      <c r="N1498" t="s">
        <v>55</v>
      </c>
      <c r="O1498">
        <v>1</v>
      </c>
      <c r="P1498" t="s">
        <v>54</v>
      </c>
      <c r="Q1498" s="2">
        <v>46352</v>
      </c>
      <c r="R1498" t="s">
        <v>84</v>
      </c>
    </row>
    <row r="1499" spans="1:18" x14ac:dyDescent="0.2">
      <c r="A1499" t="s">
        <v>3056</v>
      </c>
      <c r="B1499" t="s">
        <v>3057</v>
      </c>
      <c r="C1499" t="s">
        <v>42</v>
      </c>
      <c r="D1499" t="s">
        <v>43</v>
      </c>
      <c r="E1499" t="s">
        <v>60</v>
      </c>
      <c r="F1499" t="s">
        <v>34</v>
      </c>
      <c r="G1499" t="s">
        <v>35</v>
      </c>
      <c r="H1499" t="s">
        <v>88</v>
      </c>
      <c r="I1499" t="s">
        <v>106</v>
      </c>
      <c r="J1499" t="s">
        <v>63</v>
      </c>
      <c r="K1499" s="2">
        <v>45992</v>
      </c>
      <c r="L1499" s="2">
        <v>46172</v>
      </c>
      <c r="M1499" t="s">
        <v>38</v>
      </c>
      <c r="O1499">
        <v>1</v>
      </c>
      <c r="P1499" t="s">
        <v>106</v>
      </c>
      <c r="Q1499" s="2">
        <v>46207</v>
      </c>
      <c r="R1499" t="s">
        <v>38</v>
      </c>
    </row>
    <row r="1500" spans="1:18" x14ac:dyDescent="0.2">
      <c r="A1500" t="s">
        <v>3058</v>
      </c>
      <c r="B1500" t="s">
        <v>3059</v>
      </c>
      <c r="C1500" t="s">
        <v>31</v>
      </c>
      <c r="D1500" t="s">
        <v>32</v>
      </c>
      <c r="E1500" t="s">
        <v>105</v>
      </c>
      <c r="F1500" t="s">
        <v>45</v>
      </c>
      <c r="G1500" t="s">
        <v>61</v>
      </c>
      <c r="H1500" t="s">
        <v>88</v>
      </c>
      <c r="I1500" t="s">
        <v>106</v>
      </c>
      <c r="J1500" t="s">
        <v>37</v>
      </c>
      <c r="K1500" s="2">
        <v>46025</v>
      </c>
      <c r="L1500" s="2">
        <v>46205</v>
      </c>
      <c r="M1500" t="s">
        <v>38</v>
      </c>
      <c r="N1500" t="s">
        <v>49</v>
      </c>
      <c r="O1500">
        <v>0</v>
      </c>
      <c r="P1500" t="s">
        <v>39</v>
      </c>
      <c r="Q1500" s="2">
        <v>46344</v>
      </c>
      <c r="R1500" t="s">
        <v>57</v>
      </c>
    </row>
    <row r="1501" spans="1:18" x14ac:dyDescent="0.2">
      <c r="A1501" t="s">
        <v>3060</v>
      </c>
      <c r="B1501" t="s">
        <v>3061</v>
      </c>
      <c r="C1501" t="s">
        <v>103</v>
      </c>
      <c r="D1501" t="s">
        <v>104</v>
      </c>
      <c r="E1501" t="s">
        <v>53</v>
      </c>
      <c r="F1501" t="s">
        <v>34</v>
      </c>
      <c r="G1501" t="s">
        <v>35</v>
      </c>
      <c r="H1501" t="s">
        <v>88</v>
      </c>
      <c r="I1501" t="s">
        <v>70</v>
      </c>
      <c r="J1501" t="s">
        <v>48</v>
      </c>
      <c r="K1501" s="2">
        <v>46143</v>
      </c>
      <c r="L1501" s="2">
        <v>46323</v>
      </c>
      <c r="M1501" t="s">
        <v>64</v>
      </c>
      <c r="N1501" t="s">
        <v>75</v>
      </c>
      <c r="O1501">
        <v>3</v>
      </c>
      <c r="P1501" t="s">
        <v>56</v>
      </c>
      <c r="Q1501" s="2">
        <v>46232</v>
      </c>
      <c r="R1501" t="s">
        <v>38</v>
      </c>
    </row>
    <row r="1502" spans="1:18" x14ac:dyDescent="0.2">
      <c r="A1502" t="s">
        <v>3062</v>
      </c>
      <c r="B1502" t="s">
        <v>3063</v>
      </c>
      <c r="C1502" t="s">
        <v>103</v>
      </c>
      <c r="D1502" t="s">
        <v>104</v>
      </c>
      <c r="E1502" t="s">
        <v>105</v>
      </c>
      <c r="F1502" t="s">
        <v>67</v>
      </c>
      <c r="G1502" t="s">
        <v>118</v>
      </c>
      <c r="H1502" t="s">
        <v>36</v>
      </c>
      <c r="I1502" t="s">
        <v>111</v>
      </c>
      <c r="J1502" t="s">
        <v>37</v>
      </c>
      <c r="K1502" s="2">
        <v>46215</v>
      </c>
      <c r="L1502" s="2">
        <v>46395</v>
      </c>
      <c r="M1502" t="s">
        <v>69</v>
      </c>
      <c r="N1502" t="s">
        <v>55</v>
      </c>
      <c r="O1502">
        <v>2</v>
      </c>
      <c r="P1502" t="s">
        <v>54</v>
      </c>
      <c r="Q1502" s="2">
        <v>46263</v>
      </c>
      <c r="R1502" t="s">
        <v>38</v>
      </c>
    </row>
    <row r="1503" spans="1:18" x14ac:dyDescent="0.2">
      <c r="A1503" t="s">
        <v>3064</v>
      </c>
      <c r="B1503" t="s">
        <v>3065</v>
      </c>
      <c r="C1503" t="s">
        <v>31</v>
      </c>
      <c r="D1503" t="s">
        <v>83</v>
      </c>
      <c r="E1503" t="s">
        <v>44</v>
      </c>
      <c r="F1503" t="s">
        <v>67</v>
      </c>
      <c r="G1503" t="s">
        <v>68</v>
      </c>
      <c r="H1503" t="s">
        <v>47</v>
      </c>
      <c r="I1503" t="s">
        <v>54</v>
      </c>
      <c r="J1503" t="s">
        <v>48</v>
      </c>
      <c r="K1503" s="2">
        <v>46060</v>
      </c>
      <c r="L1503" s="2">
        <v>46150</v>
      </c>
      <c r="M1503" t="s">
        <v>38</v>
      </c>
      <c r="N1503" t="s">
        <v>55</v>
      </c>
      <c r="O1503">
        <v>1</v>
      </c>
      <c r="P1503" t="s">
        <v>111</v>
      </c>
      <c r="Q1503" s="2">
        <v>46237</v>
      </c>
      <c r="R1503" t="s">
        <v>38</v>
      </c>
    </row>
    <row r="1504" spans="1:18" x14ac:dyDescent="0.2">
      <c r="A1504" t="s">
        <v>3066</v>
      </c>
      <c r="B1504" t="s">
        <v>3067</v>
      </c>
      <c r="C1504" t="s">
        <v>73</v>
      </c>
      <c r="D1504" t="s">
        <v>74</v>
      </c>
      <c r="E1504" t="s">
        <v>60</v>
      </c>
      <c r="F1504" t="s">
        <v>34</v>
      </c>
      <c r="G1504" t="s">
        <v>35</v>
      </c>
      <c r="H1504" t="s">
        <v>47</v>
      </c>
      <c r="I1504" t="s">
        <v>50</v>
      </c>
      <c r="J1504" t="s">
        <v>48</v>
      </c>
      <c r="K1504" s="2">
        <v>46030</v>
      </c>
      <c r="L1504" s="2">
        <v>46395</v>
      </c>
      <c r="M1504" t="s">
        <v>64</v>
      </c>
      <c r="N1504" t="s">
        <v>55</v>
      </c>
      <c r="O1504">
        <v>2</v>
      </c>
      <c r="P1504" t="s">
        <v>106</v>
      </c>
      <c r="Q1504" s="2">
        <v>46399</v>
      </c>
      <c r="R1504" t="s">
        <v>84</v>
      </c>
    </row>
  </sheetData>
  <mergeCells count="1">
    <mergeCell ref="A1:R1"/>
  </mergeCells>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504"/>
  <sheetViews>
    <sheetView workbookViewId="0">
      <pane ySplit="4" topLeftCell="A5" activePane="bottomLeft" state="frozen"/>
      <selection pane="bottomLeft" sqref="A1:I1"/>
    </sheetView>
  </sheetViews>
  <sheetFormatPr baseColWidth="10" defaultColWidth="8.83203125" defaultRowHeight="15" x14ac:dyDescent="0.2"/>
  <cols>
    <col min="1" max="9" width="18" customWidth="1"/>
  </cols>
  <sheetData>
    <row r="1" spans="1:9" ht="28" customHeight="1" x14ac:dyDescent="0.2">
      <c r="A1" s="5" t="s">
        <v>3069</v>
      </c>
      <c r="B1" s="6"/>
      <c r="C1" s="6"/>
      <c r="D1" s="6"/>
      <c r="E1" s="6"/>
      <c r="F1" s="6"/>
      <c r="G1" s="6"/>
      <c r="H1" s="6"/>
      <c r="I1" s="6"/>
    </row>
    <row r="4" spans="1:9" ht="32" x14ac:dyDescent="0.2">
      <c r="A4" s="3" t="s">
        <v>11</v>
      </c>
      <c r="B4" s="3" t="s">
        <v>3070</v>
      </c>
      <c r="C4" s="3" t="s">
        <v>3071</v>
      </c>
      <c r="D4" s="3" t="s">
        <v>3072</v>
      </c>
      <c r="E4" s="3" t="s">
        <v>3073</v>
      </c>
      <c r="F4" s="3" t="s">
        <v>3074</v>
      </c>
      <c r="G4" s="3" t="s">
        <v>3075</v>
      </c>
      <c r="H4" s="3" t="s">
        <v>3076</v>
      </c>
      <c r="I4" s="3" t="s">
        <v>3077</v>
      </c>
    </row>
    <row r="5" spans="1:9" x14ac:dyDescent="0.2">
      <c r="A5" t="str">
        <f>Controls_Raw!A5</f>
        <v>CTRL-0001</v>
      </c>
      <c r="B5" t="str">
        <f>IF(COUNTIF(Controls_Raw!$A$5:$A$1504,A5)&gt;1,"Duplicate","OK")</f>
        <v>Duplicate</v>
      </c>
      <c r="C5" t="str">
        <f>IF(LEN(TRIM(Controls_Raw!I5))=0,"Missing","OK")</f>
        <v>Missing</v>
      </c>
      <c r="D5" t="str">
        <f>IF(LEN(TRIM(Controls_Raw!N5))=0,"Missing","OK")</f>
        <v>Missing</v>
      </c>
      <c r="E5" t="str">
        <f>IF(OR(Controls_Raw!G5="USA",Controls_Raw!G5="UK"),"Standardize","OK")</f>
        <v>OK</v>
      </c>
      <c r="F5" t="str">
        <f>IF(Controls_Raw!E5&lt;&gt;TRIM(Controls_Raw!E5),"Trim","OK")</f>
        <v>Trim</v>
      </c>
      <c r="G5" t="str">
        <f>IF(AND(Controls_Raw!L5&lt;DATE(2026,9,30),Controls_Raw!M5&lt;&gt;"Completed"),"Overdue","OK")</f>
        <v>Overdue</v>
      </c>
      <c r="H5" t="str">
        <f>IF(AND(Controls_Raw!Q5&lt;DATE(2026,9,30),Controls_Raw!R5&lt;&gt;"Completed",Controls_Raw!R5&lt;&gt;"Not Required"),"Overdue","OK")</f>
        <v>Overdue</v>
      </c>
      <c r="I5" t="str">
        <f t="shared" ref="I5:I68" si="0">IF(COUNTIF(B5:H5,"&lt;&gt;OK")&gt;0,"Issue","Pass")</f>
        <v>Issue</v>
      </c>
    </row>
    <row r="6" spans="1:9" x14ac:dyDescent="0.2">
      <c r="A6" t="str">
        <f>Controls_Raw!A6</f>
        <v>CTRL-0002</v>
      </c>
      <c r="B6" t="str">
        <f>IF(COUNTIF(Controls_Raw!$A$5:$A$1504,A6)&gt;1,"Duplicate","OK")</f>
        <v>Duplicate</v>
      </c>
      <c r="C6" t="str">
        <f>IF(LEN(TRIM(Controls_Raw!I6))=0,"Missing","OK")</f>
        <v>OK</v>
      </c>
      <c r="D6" t="str">
        <f>IF(LEN(TRIM(Controls_Raw!N6))=0,"Missing","OK")</f>
        <v>OK</v>
      </c>
      <c r="E6" t="str">
        <f>IF(OR(Controls_Raw!G6="USA",Controls_Raw!G6="UK"),"Standardize","OK")</f>
        <v>OK</v>
      </c>
      <c r="F6" t="str">
        <f>IF(Controls_Raw!E6&lt;&gt;TRIM(Controls_Raw!E6),"Trim","OK")</f>
        <v>OK</v>
      </c>
      <c r="G6" t="str">
        <f>IF(AND(Controls_Raw!L6&lt;DATE(2026,9,30),Controls_Raw!M6&lt;&gt;"Completed"),"Overdue","OK")</f>
        <v>Overdue</v>
      </c>
      <c r="H6" t="str">
        <f>IF(AND(Controls_Raw!Q6&lt;DATE(2026,9,30),Controls_Raw!R6&lt;&gt;"Completed",Controls_Raw!R6&lt;&gt;"Not Required"),"Overdue","OK")</f>
        <v>Overdue</v>
      </c>
      <c r="I6" t="str">
        <f t="shared" si="0"/>
        <v>Issue</v>
      </c>
    </row>
    <row r="7" spans="1:9" x14ac:dyDescent="0.2">
      <c r="A7" t="str">
        <f>Controls_Raw!A7</f>
        <v>CTRL-0003</v>
      </c>
      <c r="B7" t="str">
        <f>IF(COUNTIF(Controls_Raw!$A$5:$A$1504,A7)&gt;1,"Duplicate","OK")</f>
        <v>Duplicate</v>
      </c>
      <c r="C7" t="str">
        <f>IF(LEN(TRIM(Controls_Raw!I7))=0,"Missing","OK")</f>
        <v>OK</v>
      </c>
      <c r="D7" t="str">
        <f>IF(LEN(TRIM(Controls_Raw!N7))=0,"Missing","OK")</f>
        <v>OK</v>
      </c>
      <c r="E7" t="str">
        <f>IF(OR(Controls_Raw!G7="USA",Controls_Raw!G7="UK"),"Standardize","OK")</f>
        <v>OK</v>
      </c>
      <c r="F7" t="str">
        <f>IF(Controls_Raw!E7&lt;&gt;TRIM(Controls_Raw!E7),"Trim","OK")</f>
        <v>OK</v>
      </c>
      <c r="G7" t="str">
        <f>IF(AND(Controls_Raw!L7&lt;DATE(2026,9,30),Controls_Raw!M7&lt;&gt;"Completed"),"Overdue","OK")</f>
        <v>Overdue</v>
      </c>
      <c r="H7" t="str">
        <f>IF(AND(Controls_Raw!Q7&lt;DATE(2026,9,30),Controls_Raw!R7&lt;&gt;"Completed",Controls_Raw!R7&lt;&gt;"Not Required"),"Overdue","OK")</f>
        <v>OK</v>
      </c>
      <c r="I7" t="str">
        <f t="shared" si="0"/>
        <v>Issue</v>
      </c>
    </row>
    <row r="8" spans="1:9" x14ac:dyDescent="0.2">
      <c r="A8" t="str">
        <f>Controls_Raw!A8</f>
        <v>CTRL-0004</v>
      </c>
      <c r="B8" t="str">
        <f>IF(COUNTIF(Controls_Raw!$A$5:$A$1504,A8)&gt;1,"Duplicate","OK")</f>
        <v>Duplicate</v>
      </c>
      <c r="C8" t="str">
        <f>IF(LEN(TRIM(Controls_Raw!I8))=0,"Missing","OK")</f>
        <v>OK</v>
      </c>
      <c r="D8" t="str">
        <f>IF(LEN(TRIM(Controls_Raw!N8))=0,"Missing","OK")</f>
        <v>OK</v>
      </c>
      <c r="E8" t="str">
        <f>IF(OR(Controls_Raw!G8="USA",Controls_Raw!G8="UK"),"Standardize","OK")</f>
        <v>OK</v>
      </c>
      <c r="F8" t="str">
        <f>IF(Controls_Raw!E8&lt;&gt;TRIM(Controls_Raw!E8),"Trim","OK")</f>
        <v>OK</v>
      </c>
      <c r="G8" t="str">
        <f>IF(AND(Controls_Raw!L8&lt;DATE(2026,9,30),Controls_Raw!M8&lt;&gt;"Completed"),"Overdue","OK")</f>
        <v>OK</v>
      </c>
      <c r="H8" t="str">
        <f>IF(AND(Controls_Raw!Q8&lt;DATE(2026,9,30),Controls_Raw!R8&lt;&gt;"Completed",Controls_Raw!R8&lt;&gt;"Not Required"),"Overdue","OK")</f>
        <v>OK</v>
      </c>
      <c r="I8" t="str">
        <f t="shared" si="0"/>
        <v>Issue</v>
      </c>
    </row>
    <row r="9" spans="1:9" x14ac:dyDescent="0.2">
      <c r="A9" t="str">
        <f>Controls_Raw!A9</f>
        <v>CTRL-0005</v>
      </c>
      <c r="B9" t="str">
        <f>IF(COUNTIF(Controls_Raw!$A$5:$A$1504,A9)&gt;1,"Duplicate","OK")</f>
        <v>Duplicate</v>
      </c>
      <c r="C9" t="str">
        <f>IF(LEN(TRIM(Controls_Raw!I9))=0,"Missing","OK")</f>
        <v>OK</v>
      </c>
      <c r="D9" t="str">
        <f>IF(LEN(TRIM(Controls_Raw!N9))=0,"Missing","OK")</f>
        <v>OK</v>
      </c>
      <c r="E9" t="str">
        <f>IF(OR(Controls_Raw!G9="USA",Controls_Raw!G9="UK"),"Standardize","OK")</f>
        <v>OK</v>
      </c>
      <c r="F9" t="str">
        <f>IF(Controls_Raw!E9&lt;&gt;TRIM(Controls_Raw!E9),"Trim","OK")</f>
        <v>OK</v>
      </c>
      <c r="G9" t="str">
        <f>IF(AND(Controls_Raw!L9&lt;DATE(2026,9,30),Controls_Raw!M9&lt;&gt;"Completed"),"Overdue","OK")</f>
        <v>OK</v>
      </c>
      <c r="H9" t="str">
        <f>IF(AND(Controls_Raw!Q9&lt;DATE(2026,9,30),Controls_Raw!R9&lt;&gt;"Completed",Controls_Raw!R9&lt;&gt;"Not Required"),"Overdue","OK")</f>
        <v>OK</v>
      </c>
      <c r="I9" t="str">
        <f t="shared" si="0"/>
        <v>Issue</v>
      </c>
    </row>
    <row r="10" spans="1:9" x14ac:dyDescent="0.2">
      <c r="A10" t="str">
        <f>Controls_Raw!A10</f>
        <v>CTRL-0006</v>
      </c>
      <c r="B10" t="str">
        <f>IF(COUNTIF(Controls_Raw!$A$5:$A$1504,A10)&gt;1,"Duplicate","OK")</f>
        <v>Duplicate</v>
      </c>
      <c r="C10" t="str">
        <f>IF(LEN(TRIM(Controls_Raw!I10))=0,"Missing","OK")</f>
        <v>OK</v>
      </c>
      <c r="D10" t="str">
        <f>IF(LEN(TRIM(Controls_Raw!N10))=0,"Missing","OK")</f>
        <v>OK</v>
      </c>
      <c r="E10" t="str">
        <f>IF(OR(Controls_Raw!G10="USA",Controls_Raw!G10="UK"),"Standardize","OK")</f>
        <v>OK</v>
      </c>
      <c r="F10" t="str">
        <f>IF(Controls_Raw!E10&lt;&gt;TRIM(Controls_Raw!E10),"Trim","OK")</f>
        <v>OK</v>
      </c>
      <c r="G10" t="str">
        <f>IF(AND(Controls_Raw!L10&lt;DATE(2026,9,30),Controls_Raw!M10&lt;&gt;"Completed"),"Overdue","OK")</f>
        <v>Overdue</v>
      </c>
      <c r="H10" t="str">
        <f>IF(AND(Controls_Raw!Q10&lt;DATE(2026,9,30),Controls_Raw!R10&lt;&gt;"Completed",Controls_Raw!R10&lt;&gt;"Not Required"),"Overdue","OK")</f>
        <v>OK</v>
      </c>
      <c r="I10" t="str">
        <f t="shared" si="0"/>
        <v>Issue</v>
      </c>
    </row>
    <row r="11" spans="1:9" x14ac:dyDescent="0.2">
      <c r="A11" t="str">
        <f>Controls_Raw!A11</f>
        <v>CTRL-0007</v>
      </c>
      <c r="B11" t="str">
        <f>IF(COUNTIF(Controls_Raw!$A$5:$A$1504,A11)&gt;1,"Duplicate","OK")</f>
        <v>Duplicate</v>
      </c>
      <c r="C11" t="str">
        <f>IF(LEN(TRIM(Controls_Raw!I11))=0,"Missing","OK")</f>
        <v>OK</v>
      </c>
      <c r="D11" t="str">
        <f>IF(LEN(TRIM(Controls_Raw!N11))=0,"Missing","OK")</f>
        <v>OK</v>
      </c>
      <c r="E11" t="str">
        <f>IF(OR(Controls_Raw!G11="USA",Controls_Raw!G11="UK"),"Standardize","OK")</f>
        <v>OK</v>
      </c>
      <c r="F11" t="str">
        <f>IF(Controls_Raw!E11&lt;&gt;TRIM(Controls_Raw!E11),"Trim","OK")</f>
        <v>OK</v>
      </c>
      <c r="G11" t="str">
        <f>IF(AND(Controls_Raw!L11&lt;DATE(2026,9,30),Controls_Raw!M11&lt;&gt;"Completed"),"Overdue","OK")</f>
        <v>Overdue</v>
      </c>
      <c r="H11" t="str">
        <f>IF(AND(Controls_Raw!Q11&lt;DATE(2026,9,30),Controls_Raw!R11&lt;&gt;"Completed",Controls_Raw!R11&lt;&gt;"Not Required"),"Overdue","OK")</f>
        <v>Overdue</v>
      </c>
      <c r="I11" t="str">
        <f t="shared" si="0"/>
        <v>Issue</v>
      </c>
    </row>
    <row r="12" spans="1:9" x14ac:dyDescent="0.2">
      <c r="A12" t="str">
        <f>Controls_Raw!A12</f>
        <v>CTRL-0008</v>
      </c>
      <c r="B12" t="str">
        <f>IF(COUNTIF(Controls_Raw!$A$5:$A$1504,A12)&gt;1,"Duplicate","OK")</f>
        <v>Duplicate</v>
      </c>
      <c r="C12" t="str">
        <f>IF(LEN(TRIM(Controls_Raw!I12))=0,"Missing","OK")</f>
        <v>OK</v>
      </c>
      <c r="D12" t="str">
        <f>IF(LEN(TRIM(Controls_Raw!N12))=0,"Missing","OK")</f>
        <v>OK</v>
      </c>
      <c r="E12" t="str">
        <f>IF(OR(Controls_Raw!G12="USA",Controls_Raw!G12="UK"),"Standardize","OK")</f>
        <v>OK</v>
      </c>
      <c r="F12" t="str">
        <f>IF(Controls_Raw!E12&lt;&gt;TRIM(Controls_Raw!E12),"Trim","OK")</f>
        <v>OK</v>
      </c>
      <c r="G12" t="str">
        <f>IF(AND(Controls_Raw!L12&lt;DATE(2026,9,30),Controls_Raw!M12&lt;&gt;"Completed"),"Overdue","OK")</f>
        <v>Overdue</v>
      </c>
      <c r="H12" t="str">
        <f>IF(AND(Controls_Raw!Q12&lt;DATE(2026,9,30),Controls_Raw!R12&lt;&gt;"Completed",Controls_Raw!R12&lt;&gt;"Not Required"),"Overdue","OK")</f>
        <v>OK</v>
      </c>
      <c r="I12" t="str">
        <f t="shared" si="0"/>
        <v>Issue</v>
      </c>
    </row>
    <row r="13" spans="1:9" x14ac:dyDescent="0.2">
      <c r="A13" t="str">
        <f>Controls_Raw!A13</f>
        <v>CTRL-0009</v>
      </c>
      <c r="B13" t="str">
        <f>IF(COUNTIF(Controls_Raw!$A$5:$A$1504,A13)&gt;1,"Duplicate","OK")</f>
        <v>Duplicate</v>
      </c>
      <c r="C13" t="str">
        <f>IF(LEN(TRIM(Controls_Raw!I13))=0,"Missing","OK")</f>
        <v>OK</v>
      </c>
      <c r="D13" t="str">
        <f>IF(LEN(TRIM(Controls_Raw!N13))=0,"Missing","OK")</f>
        <v>OK</v>
      </c>
      <c r="E13" t="str">
        <f>IF(OR(Controls_Raw!G13="USA",Controls_Raw!G13="UK"),"Standardize","OK")</f>
        <v>OK</v>
      </c>
      <c r="F13" t="str">
        <f>IF(Controls_Raw!E13&lt;&gt;TRIM(Controls_Raw!E13),"Trim","OK")</f>
        <v>OK</v>
      </c>
      <c r="G13" t="str">
        <f>IF(AND(Controls_Raw!L13&lt;DATE(2026,9,30),Controls_Raw!M13&lt;&gt;"Completed"),"Overdue","OK")</f>
        <v>Overdue</v>
      </c>
      <c r="H13" t="str">
        <f>IF(AND(Controls_Raw!Q13&lt;DATE(2026,9,30),Controls_Raw!R13&lt;&gt;"Completed",Controls_Raw!R13&lt;&gt;"Not Required"),"Overdue","OK")</f>
        <v>OK</v>
      </c>
      <c r="I13" t="str">
        <f t="shared" si="0"/>
        <v>Issue</v>
      </c>
    </row>
    <row r="14" spans="1:9" x14ac:dyDescent="0.2">
      <c r="A14" t="str">
        <f>Controls_Raw!A14</f>
        <v>CTRL-0010</v>
      </c>
      <c r="B14" t="str">
        <f>IF(COUNTIF(Controls_Raw!$A$5:$A$1504,A14)&gt;1,"Duplicate","OK")</f>
        <v>Duplicate</v>
      </c>
      <c r="C14" t="str">
        <f>IF(LEN(TRIM(Controls_Raw!I14))=0,"Missing","OK")</f>
        <v>OK</v>
      </c>
      <c r="D14" t="str">
        <f>IF(LEN(TRIM(Controls_Raw!N14))=0,"Missing","OK")</f>
        <v>OK</v>
      </c>
      <c r="E14" t="str">
        <f>IF(OR(Controls_Raw!G14="USA",Controls_Raw!G14="UK"),"Standardize","OK")</f>
        <v>OK</v>
      </c>
      <c r="F14" t="str">
        <f>IF(Controls_Raw!E14&lt;&gt;TRIM(Controls_Raw!E14),"Trim","OK")</f>
        <v>OK</v>
      </c>
      <c r="G14" t="str">
        <f>IF(AND(Controls_Raw!L14&lt;DATE(2026,9,30),Controls_Raw!M14&lt;&gt;"Completed"),"Overdue","OK")</f>
        <v>Overdue</v>
      </c>
      <c r="H14" t="str">
        <f>IF(AND(Controls_Raw!Q14&lt;DATE(2026,9,30),Controls_Raw!R14&lt;&gt;"Completed",Controls_Raw!R14&lt;&gt;"Not Required"),"Overdue","OK")</f>
        <v>OK</v>
      </c>
      <c r="I14" t="str">
        <f t="shared" si="0"/>
        <v>Issue</v>
      </c>
    </row>
    <row r="15" spans="1:9" x14ac:dyDescent="0.2">
      <c r="A15" t="str">
        <f>Controls_Raw!A15</f>
        <v>CTRL-0011</v>
      </c>
      <c r="B15" t="str">
        <f>IF(COUNTIF(Controls_Raw!$A$5:$A$1504,A15)&gt;1,"Duplicate","OK")</f>
        <v>Duplicate</v>
      </c>
      <c r="C15" t="str">
        <f>IF(LEN(TRIM(Controls_Raw!I15))=0,"Missing","OK")</f>
        <v>OK</v>
      </c>
      <c r="D15" t="str">
        <f>IF(LEN(TRIM(Controls_Raw!N15))=0,"Missing","OK")</f>
        <v>OK</v>
      </c>
      <c r="E15" t="str">
        <f>IF(OR(Controls_Raw!G15="USA",Controls_Raw!G15="UK"),"Standardize","OK")</f>
        <v>OK</v>
      </c>
      <c r="F15" t="str">
        <f>IF(Controls_Raw!E15&lt;&gt;TRIM(Controls_Raw!E15),"Trim","OK")</f>
        <v>OK</v>
      </c>
      <c r="G15" t="str">
        <f>IF(AND(Controls_Raw!L15&lt;DATE(2026,9,30),Controls_Raw!M15&lt;&gt;"Completed"),"Overdue","OK")</f>
        <v>OK</v>
      </c>
      <c r="H15" t="str">
        <f>IF(AND(Controls_Raw!Q15&lt;DATE(2026,9,30),Controls_Raw!R15&lt;&gt;"Completed",Controls_Raw!R15&lt;&gt;"Not Required"),"Overdue","OK")</f>
        <v>OK</v>
      </c>
      <c r="I15" t="str">
        <f t="shared" si="0"/>
        <v>Issue</v>
      </c>
    </row>
    <row r="16" spans="1:9" x14ac:dyDescent="0.2">
      <c r="A16" t="str">
        <f>Controls_Raw!A16</f>
        <v>CTRL-0012</v>
      </c>
      <c r="B16" t="str">
        <f>IF(COUNTIF(Controls_Raw!$A$5:$A$1504,A16)&gt;1,"Duplicate","OK")</f>
        <v>Duplicate</v>
      </c>
      <c r="C16" t="str">
        <f>IF(LEN(TRIM(Controls_Raw!I16))=0,"Missing","OK")</f>
        <v>OK</v>
      </c>
      <c r="D16" t="str">
        <f>IF(LEN(TRIM(Controls_Raw!N16))=0,"Missing","OK")</f>
        <v>OK</v>
      </c>
      <c r="E16" t="str">
        <f>IF(OR(Controls_Raw!G16="USA",Controls_Raw!G16="UK"),"Standardize","OK")</f>
        <v>OK</v>
      </c>
      <c r="F16" t="str">
        <f>IF(Controls_Raw!E16&lt;&gt;TRIM(Controls_Raw!E16),"Trim","OK")</f>
        <v>OK</v>
      </c>
      <c r="G16" t="str">
        <f>IF(AND(Controls_Raw!L16&lt;DATE(2026,9,30),Controls_Raw!M16&lt;&gt;"Completed"),"Overdue","OK")</f>
        <v>Overdue</v>
      </c>
      <c r="H16" t="str">
        <f>IF(AND(Controls_Raw!Q16&lt;DATE(2026,9,30),Controls_Raw!R16&lt;&gt;"Completed",Controls_Raw!R16&lt;&gt;"Not Required"),"Overdue","OK")</f>
        <v>OK</v>
      </c>
      <c r="I16" t="str">
        <f t="shared" si="0"/>
        <v>Issue</v>
      </c>
    </row>
    <row r="17" spans="1:9" x14ac:dyDescent="0.2">
      <c r="A17" t="str">
        <f>Controls_Raw!A17</f>
        <v>CTRL-0013</v>
      </c>
      <c r="B17" t="str">
        <f>IF(COUNTIF(Controls_Raw!$A$5:$A$1504,A17)&gt;1,"Duplicate","OK")</f>
        <v>Duplicate</v>
      </c>
      <c r="C17" t="str">
        <f>IF(LEN(TRIM(Controls_Raw!I17))=0,"Missing","OK")</f>
        <v>OK</v>
      </c>
      <c r="D17" t="str">
        <f>IF(LEN(TRIM(Controls_Raw!N17))=0,"Missing","OK")</f>
        <v>OK</v>
      </c>
      <c r="E17" t="str">
        <f>IF(OR(Controls_Raw!G17="USA",Controls_Raw!G17="UK"),"Standardize","OK")</f>
        <v>OK</v>
      </c>
      <c r="F17" t="str">
        <f>IF(Controls_Raw!E17&lt;&gt;TRIM(Controls_Raw!E17),"Trim","OK")</f>
        <v>OK</v>
      </c>
      <c r="G17" t="str">
        <f>IF(AND(Controls_Raw!L17&lt;DATE(2026,9,30),Controls_Raw!M17&lt;&gt;"Completed"),"Overdue","OK")</f>
        <v>Overdue</v>
      </c>
      <c r="H17" t="str">
        <f>IF(AND(Controls_Raw!Q17&lt;DATE(2026,9,30),Controls_Raw!R17&lt;&gt;"Completed",Controls_Raw!R17&lt;&gt;"Not Required"),"Overdue","OK")</f>
        <v>OK</v>
      </c>
      <c r="I17" t="str">
        <f t="shared" si="0"/>
        <v>Issue</v>
      </c>
    </row>
    <row r="18" spans="1:9" x14ac:dyDescent="0.2">
      <c r="A18" t="str">
        <f>Controls_Raw!A18</f>
        <v>CTRL-0014</v>
      </c>
      <c r="B18" t="str">
        <f>IF(COUNTIF(Controls_Raw!$A$5:$A$1504,A18)&gt;1,"Duplicate","OK")</f>
        <v>Duplicate</v>
      </c>
      <c r="C18" t="str">
        <f>IF(LEN(TRIM(Controls_Raw!I18))=0,"Missing","OK")</f>
        <v>OK</v>
      </c>
      <c r="D18" t="str">
        <f>IF(LEN(TRIM(Controls_Raw!N18))=0,"Missing","OK")</f>
        <v>OK</v>
      </c>
      <c r="E18" t="str">
        <f>IF(OR(Controls_Raw!G18="USA",Controls_Raw!G18="UK"),"Standardize","OK")</f>
        <v>OK</v>
      </c>
      <c r="F18" t="str">
        <f>IF(Controls_Raw!E18&lt;&gt;TRIM(Controls_Raw!E18),"Trim","OK")</f>
        <v>OK</v>
      </c>
      <c r="G18" t="str">
        <f>IF(AND(Controls_Raw!L18&lt;DATE(2026,9,30),Controls_Raw!M18&lt;&gt;"Completed"),"Overdue","OK")</f>
        <v>Overdue</v>
      </c>
      <c r="H18" t="str">
        <f>IF(AND(Controls_Raw!Q18&lt;DATE(2026,9,30),Controls_Raw!R18&lt;&gt;"Completed",Controls_Raw!R18&lt;&gt;"Not Required"),"Overdue","OK")</f>
        <v>OK</v>
      </c>
      <c r="I18" t="str">
        <f t="shared" si="0"/>
        <v>Issue</v>
      </c>
    </row>
    <row r="19" spans="1:9" x14ac:dyDescent="0.2">
      <c r="A19" t="str">
        <f>Controls_Raw!A19</f>
        <v>CTRL-0015</v>
      </c>
      <c r="B19" t="str">
        <f>IF(COUNTIF(Controls_Raw!$A$5:$A$1504,A19)&gt;1,"Duplicate","OK")</f>
        <v>Duplicate</v>
      </c>
      <c r="C19" t="str">
        <f>IF(LEN(TRIM(Controls_Raw!I19))=0,"Missing","OK")</f>
        <v>OK</v>
      </c>
      <c r="D19" t="str">
        <f>IF(LEN(TRIM(Controls_Raw!N19))=0,"Missing","OK")</f>
        <v>OK</v>
      </c>
      <c r="E19" t="str">
        <f>IF(OR(Controls_Raw!G19="USA",Controls_Raw!G19="UK"),"Standardize","OK")</f>
        <v>OK</v>
      </c>
      <c r="F19" t="str">
        <f>IF(Controls_Raw!E19&lt;&gt;TRIM(Controls_Raw!E19),"Trim","OK")</f>
        <v>OK</v>
      </c>
      <c r="G19" t="str">
        <f>IF(AND(Controls_Raw!L19&lt;DATE(2026,9,30),Controls_Raw!M19&lt;&gt;"Completed"),"Overdue","OK")</f>
        <v>Overdue</v>
      </c>
      <c r="H19" t="str">
        <f>IF(AND(Controls_Raw!Q19&lt;DATE(2026,9,30),Controls_Raw!R19&lt;&gt;"Completed",Controls_Raw!R19&lt;&gt;"Not Required"),"Overdue","OK")</f>
        <v>Overdue</v>
      </c>
      <c r="I19" t="str">
        <f t="shared" si="0"/>
        <v>Issue</v>
      </c>
    </row>
    <row r="20" spans="1:9" x14ac:dyDescent="0.2">
      <c r="A20" t="str">
        <f>Controls_Raw!A20</f>
        <v>CTRL-0016</v>
      </c>
      <c r="B20" t="str">
        <f>IF(COUNTIF(Controls_Raw!$A$5:$A$1504,A20)&gt;1,"Duplicate","OK")</f>
        <v>Duplicate</v>
      </c>
      <c r="C20" t="str">
        <f>IF(LEN(TRIM(Controls_Raw!I20))=0,"Missing","OK")</f>
        <v>OK</v>
      </c>
      <c r="D20" t="str">
        <f>IF(LEN(TRIM(Controls_Raw!N20))=0,"Missing","OK")</f>
        <v>OK</v>
      </c>
      <c r="E20" t="str">
        <f>IF(OR(Controls_Raw!G20="USA",Controls_Raw!G20="UK"),"Standardize","OK")</f>
        <v>OK</v>
      </c>
      <c r="F20" t="str">
        <f>IF(Controls_Raw!E20&lt;&gt;TRIM(Controls_Raw!E20),"Trim","OK")</f>
        <v>OK</v>
      </c>
      <c r="G20" t="str">
        <f>IF(AND(Controls_Raw!L20&lt;DATE(2026,9,30),Controls_Raw!M20&lt;&gt;"Completed"),"Overdue","OK")</f>
        <v>Overdue</v>
      </c>
      <c r="H20" t="str">
        <f>IF(AND(Controls_Raw!Q20&lt;DATE(2026,9,30),Controls_Raw!R20&lt;&gt;"Completed",Controls_Raw!R20&lt;&gt;"Not Required"),"Overdue","OK")</f>
        <v>OK</v>
      </c>
      <c r="I20" t="str">
        <f t="shared" si="0"/>
        <v>Issue</v>
      </c>
    </row>
    <row r="21" spans="1:9" x14ac:dyDescent="0.2">
      <c r="A21" t="str">
        <f>Controls_Raw!A21</f>
        <v>CTRL-0017</v>
      </c>
      <c r="B21" t="str">
        <f>IF(COUNTIF(Controls_Raw!$A$5:$A$1504,A21)&gt;1,"Duplicate","OK")</f>
        <v>Duplicate</v>
      </c>
      <c r="C21" t="str">
        <f>IF(LEN(TRIM(Controls_Raw!I21))=0,"Missing","OK")</f>
        <v>OK</v>
      </c>
      <c r="D21" t="str">
        <f>IF(LEN(TRIM(Controls_Raw!N21))=0,"Missing","OK")</f>
        <v>OK</v>
      </c>
      <c r="E21" t="str">
        <f>IF(OR(Controls_Raw!G21="USA",Controls_Raw!G21="UK"),"Standardize","OK")</f>
        <v>OK</v>
      </c>
      <c r="F21" t="str">
        <f>IF(Controls_Raw!E21&lt;&gt;TRIM(Controls_Raw!E21),"Trim","OK")</f>
        <v>OK</v>
      </c>
      <c r="G21" t="str">
        <f>IF(AND(Controls_Raw!L21&lt;DATE(2026,9,30),Controls_Raw!M21&lt;&gt;"Completed"),"Overdue","OK")</f>
        <v>Overdue</v>
      </c>
      <c r="H21" t="str">
        <f>IF(AND(Controls_Raw!Q21&lt;DATE(2026,9,30),Controls_Raw!R21&lt;&gt;"Completed",Controls_Raw!R21&lt;&gt;"Not Required"),"Overdue","OK")</f>
        <v>Overdue</v>
      </c>
      <c r="I21" t="str">
        <f t="shared" si="0"/>
        <v>Issue</v>
      </c>
    </row>
    <row r="22" spans="1:9" x14ac:dyDescent="0.2">
      <c r="A22" t="str">
        <f>Controls_Raw!A22</f>
        <v>CTRL-0018</v>
      </c>
      <c r="B22" t="str">
        <f>IF(COUNTIF(Controls_Raw!$A$5:$A$1504,A22)&gt;1,"Duplicate","OK")</f>
        <v>Duplicate</v>
      </c>
      <c r="C22" t="str">
        <f>IF(LEN(TRIM(Controls_Raw!I22))=0,"Missing","OK")</f>
        <v>OK</v>
      </c>
      <c r="D22" t="str">
        <f>IF(LEN(TRIM(Controls_Raw!N22))=0,"Missing","OK")</f>
        <v>OK</v>
      </c>
      <c r="E22" t="str">
        <f>IF(OR(Controls_Raw!G22="USA",Controls_Raw!G22="UK"),"Standardize","OK")</f>
        <v>OK</v>
      </c>
      <c r="F22" t="str">
        <f>IF(Controls_Raw!E22&lt;&gt;TRIM(Controls_Raw!E22),"Trim","OK")</f>
        <v>OK</v>
      </c>
      <c r="G22" t="str">
        <f>IF(AND(Controls_Raw!L22&lt;DATE(2026,9,30),Controls_Raw!M22&lt;&gt;"Completed"),"Overdue","OK")</f>
        <v>OK</v>
      </c>
      <c r="H22" t="str">
        <f>IF(AND(Controls_Raw!Q22&lt;DATE(2026,9,30),Controls_Raw!R22&lt;&gt;"Completed",Controls_Raw!R22&lt;&gt;"Not Required"),"Overdue","OK")</f>
        <v>OK</v>
      </c>
      <c r="I22" t="str">
        <f t="shared" si="0"/>
        <v>Issue</v>
      </c>
    </row>
    <row r="23" spans="1:9" x14ac:dyDescent="0.2">
      <c r="A23" t="str">
        <f>Controls_Raw!A23</f>
        <v>CTRL-0019</v>
      </c>
      <c r="B23" t="str">
        <f>IF(COUNTIF(Controls_Raw!$A$5:$A$1504,A23)&gt;1,"Duplicate","OK")</f>
        <v>Duplicate</v>
      </c>
      <c r="C23" t="str">
        <f>IF(LEN(TRIM(Controls_Raw!I23))=0,"Missing","OK")</f>
        <v>OK</v>
      </c>
      <c r="D23" t="str">
        <f>IF(LEN(TRIM(Controls_Raw!N23))=0,"Missing","OK")</f>
        <v>OK</v>
      </c>
      <c r="E23" t="str">
        <f>IF(OR(Controls_Raw!G23="USA",Controls_Raw!G23="UK"),"Standardize","OK")</f>
        <v>OK</v>
      </c>
      <c r="F23" t="str">
        <f>IF(Controls_Raw!E23&lt;&gt;TRIM(Controls_Raw!E23),"Trim","OK")</f>
        <v>OK</v>
      </c>
      <c r="G23" t="str">
        <f>IF(AND(Controls_Raw!L23&lt;DATE(2026,9,30),Controls_Raw!M23&lt;&gt;"Completed"),"Overdue","OK")</f>
        <v>Overdue</v>
      </c>
      <c r="H23" t="str">
        <f>IF(AND(Controls_Raw!Q23&lt;DATE(2026,9,30),Controls_Raw!R23&lt;&gt;"Completed",Controls_Raw!R23&lt;&gt;"Not Required"),"Overdue","OK")</f>
        <v>Overdue</v>
      </c>
      <c r="I23" t="str">
        <f t="shared" si="0"/>
        <v>Issue</v>
      </c>
    </row>
    <row r="24" spans="1:9" x14ac:dyDescent="0.2">
      <c r="A24" t="str">
        <f>Controls_Raw!A24</f>
        <v>CTRL-0020</v>
      </c>
      <c r="B24" t="str">
        <f>IF(COUNTIF(Controls_Raw!$A$5:$A$1504,A24)&gt;1,"Duplicate","OK")</f>
        <v>Duplicate</v>
      </c>
      <c r="C24" t="str">
        <f>IF(LEN(TRIM(Controls_Raw!I24))=0,"Missing","OK")</f>
        <v>OK</v>
      </c>
      <c r="D24" t="str">
        <f>IF(LEN(TRIM(Controls_Raw!N24))=0,"Missing","OK")</f>
        <v>OK</v>
      </c>
      <c r="E24" t="str">
        <f>IF(OR(Controls_Raw!G24="USA",Controls_Raw!G24="UK"),"Standardize","OK")</f>
        <v>OK</v>
      </c>
      <c r="F24" t="str">
        <f>IF(Controls_Raw!E24&lt;&gt;TRIM(Controls_Raw!E24),"Trim","OK")</f>
        <v>OK</v>
      </c>
      <c r="G24" t="str">
        <f>IF(AND(Controls_Raw!L24&lt;DATE(2026,9,30),Controls_Raw!M24&lt;&gt;"Completed"),"Overdue","OK")</f>
        <v>OK</v>
      </c>
      <c r="H24" t="str">
        <f>IF(AND(Controls_Raw!Q24&lt;DATE(2026,9,30),Controls_Raw!R24&lt;&gt;"Completed",Controls_Raw!R24&lt;&gt;"Not Required"),"Overdue","OK")</f>
        <v>OK</v>
      </c>
      <c r="I24" t="str">
        <f t="shared" si="0"/>
        <v>Issue</v>
      </c>
    </row>
    <row r="25" spans="1:9" x14ac:dyDescent="0.2">
      <c r="A25" t="str">
        <f>Controls_Raw!A25</f>
        <v>CTRL-0021</v>
      </c>
      <c r="B25" t="str">
        <f>IF(COUNTIF(Controls_Raw!$A$5:$A$1504,A25)&gt;1,"Duplicate","OK")</f>
        <v>OK</v>
      </c>
      <c r="C25" t="str">
        <f>IF(LEN(TRIM(Controls_Raw!I25))=0,"Missing","OK")</f>
        <v>OK</v>
      </c>
      <c r="D25" t="str">
        <f>IF(LEN(TRIM(Controls_Raw!N25))=0,"Missing","OK")</f>
        <v>OK</v>
      </c>
      <c r="E25" t="str">
        <f>IF(OR(Controls_Raw!G25="USA",Controls_Raw!G25="UK"),"Standardize","OK")</f>
        <v>OK</v>
      </c>
      <c r="F25" t="str">
        <f>IF(Controls_Raw!E25&lt;&gt;TRIM(Controls_Raw!E25),"Trim","OK")</f>
        <v>OK</v>
      </c>
      <c r="G25" t="str">
        <f>IF(AND(Controls_Raw!L25&lt;DATE(2026,9,30),Controls_Raw!M25&lt;&gt;"Completed"),"Overdue","OK")</f>
        <v>Overdue</v>
      </c>
      <c r="H25" t="str">
        <f>IF(AND(Controls_Raw!Q25&lt;DATE(2026,9,30),Controls_Raw!R25&lt;&gt;"Completed",Controls_Raw!R25&lt;&gt;"Not Required"),"Overdue","OK")</f>
        <v>OK</v>
      </c>
      <c r="I25" t="str">
        <f t="shared" si="0"/>
        <v>Issue</v>
      </c>
    </row>
    <row r="26" spans="1:9" x14ac:dyDescent="0.2">
      <c r="A26" t="str">
        <f>Controls_Raw!A26</f>
        <v>CTRL-0022</v>
      </c>
      <c r="B26" t="str">
        <f>IF(COUNTIF(Controls_Raw!$A$5:$A$1504,A26)&gt;1,"Duplicate","OK")</f>
        <v>OK</v>
      </c>
      <c r="C26" t="str">
        <f>IF(LEN(TRIM(Controls_Raw!I26))=0,"Missing","OK")</f>
        <v>OK</v>
      </c>
      <c r="D26" t="str">
        <f>IF(LEN(TRIM(Controls_Raw!N26))=0,"Missing","OK")</f>
        <v>OK</v>
      </c>
      <c r="E26" t="str">
        <f>IF(OR(Controls_Raw!G26="USA",Controls_Raw!G26="UK"),"Standardize","OK")</f>
        <v>OK</v>
      </c>
      <c r="F26" t="str">
        <f>IF(Controls_Raw!E26&lt;&gt;TRIM(Controls_Raw!E26),"Trim","OK")</f>
        <v>OK</v>
      </c>
      <c r="G26" t="str">
        <f>IF(AND(Controls_Raw!L26&lt;DATE(2026,9,30),Controls_Raw!M26&lt;&gt;"Completed"),"Overdue","OK")</f>
        <v>OK</v>
      </c>
      <c r="H26" t="str">
        <f>IF(AND(Controls_Raw!Q26&lt;DATE(2026,9,30),Controls_Raw!R26&lt;&gt;"Completed",Controls_Raw!R26&lt;&gt;"Not Required"),"Overdue","OK")</f>
        <v>Overdue</v>
      </c>
      <c r="I26" t="str">
        <f t="shared" si="0"/>
        <v>Issue</v>
      </c>
    </row>
    <row r="27" spans="1:9" x14ac:dyDescent="0.2">
      <c r="A27" t="str">
        <f>Controls_Raw!A27</f>
        <v>CTRL-0023</v>
      </c>
      <c r="B27" t="str">
        <f>IF(COUNTIF(Controls_Raw!$A$5:$A$1504,A27)&gt;1,"Duplicate","OK")</f>
        <v>OK</v>
      </c>
      <c r="C27" t="str">
        <f>IF(LEN(TRIM(Controls_Raw!I27))=0,"Missing","OK")</f>
        <v>OK</v>
      </c>
      <c r="D27" t="str">
        <f>IF(LEN(TRIM(Controls_Raw!N27))=0,"Missing","OK")</f>
        <v>OK</v>
      </c>
      <c r="E27" t="str">
        <f>IF(OR(Controls_Raw!G27="USA",Controls_Raw!G27="UK"),"Standardize","OK")</f>
        <v>OK</v>
      </c>
      <c r="F27" t="str">
        <f>IF(Controls_Raw!E27&lt;&gt;TRIM(Controls_Raw!E27),"Trim","OK")</f>
        <v>OK</v>
      </c>
      <c r="G27" t="str">
        <f>IF(AND(Controls_Raw!L27&lt;DATE(2026,9,30),Controls_Raw!M27&lt;&gt;"Completed"),"Overdue","OK")</f>
        <v>OK</v>
      </c>
      <c r="H27" t="str">
        <f>IF(AND(Controls_Raw!Q27&lt;DATE(2026,9,30),Controls_Raw!R27&lt;&gt;"Completed",Controls_Raw!R27&lt;&gt;"Not Required"),"Overdue","OK")</f>
        <v>OK</v>
      </c>
      <c r="I27" t="str">
        <f t="shared" si="0"/>
        <v>Pass</v>
      </c>
    </row>
    <row r="28" spans="1:9" x14ac:dyDescent="0.2">
      <c r="A28" t="str">
        <f>Controls_Raw!A28</f>
        <v>CTRL-0024</v>
      </c>
      <c r="B28" t="str">
        <f>IF(COUNTIF(Controls_Raw!$A$5:$A$1504,A28)&gt;1,"Duplicate","OK")</f>
        <v>OK</v>
      </c>
      <c r="C28" t="str">
        <f>IF(LEN(TRIM(Controls_Raw!I28))=0,"Missing","OK")</f>
        <v>OK</v>
      </c>
      <c r="D28" t="str">
        <f>IF(LEN(TRIM(Controls_Raw!N28))=0,"Missing","OK")</f>
        <v>OK</v>
      </c>
      <c r="E28" t="str">
        <f>IF(OR(Controls_Raw!G28="USA",Controls_Raw!G28="UK"),"Standardize","OK")</f>
        <v>OK</v>
      </c>
      <c r="F28" t="str">
        <f>IF(Controls_Raw!E28&lt;&gt;TRIM(Controls_Raw!E28),"Trim","OK")</f>
        <v>OK</v>
      </c>
      <c r="G28" t="str">
        <f>IF(AND(Controls_Raw!L28&lt;DATE(2026,9,30),Controls_Raw!M28&lt;&gt;"Completed"),"Overdue","OK")</f>
        <v>OK</v>
      </c>
      <c r="H28" t="str">
        <f>IF(AND(Controls_Raw!Q28&lt;DATE(2026,9,30),Controls_Raw!R28&lt;&gt;"Completed",Controls_Raw!R28&lt;&gt;"Not Required"),"Overdue","OK")</f>
        <v>Overdue</v>
      </c>
      <c r="I28" t="str">
        <f t="shared" si="0"/>
        <v>Issue</v>
      </c>
    </row>
    <row r="29" spans="1:9" x14ac:dyDescent="0.2">
      <c r="A29" t="str">
        <f>Controls_Raw!A29</f>
        <v>CTRL-0025</v>
      </c>
      <c r="B29" t="str">
        <f>IF(COUNTIF(Controls_Raw!$A$5:$A$1504,A29)&gt;1,"Duplicate","OK")</f>
        <v>OK</v>
      </c>
      <c r="C29" t="str">
        <f>IF(LEN(TRIM(Controls_Raw!I29))=0,"Missing","OK")</f>
        <v>OK</v>
      </c>
      <c r="D29" t="str">
        <f>IF(LEN(TRIM(Controls_Raw!N29))=0,"Missing","OK")</f>
        <v>OK</v>
      </c>
      <c r="E29" t="str">
        <f>IF(OR(Controls_Raw!G29="USA",Controls_Raw!G29="UK"),"Standardize","OK")</f>
        <v>OK</v>
      </c>
      <c r="F29" t="str">
        <f>IF(Controls_Raw!E29&lt;&gt;TRIM(Controls_Raw!E29),"Trim","OK")</f>
        <v>OK</v>
      </c>
      <c r="G29" t="str">
        <f>IF(AND(Controls_Raw!L29&lt;DATE(2026,9,30),Controls_Raw!M29&lt;&gt;"Completed"),"Overdue","OK")</f>
        <v>Overdue</v>
      </c>
      <c r="H29" t="str">
        <f>IF(AND(Controls_Raw!Q29&lt;DATE(2026,9,30),Controls_Raw!R29&lt;&gt;"Completed",Controls_Raw!R29&lt;&gt;"Not Required"),"Overdue","OK")</f>
        <v>OK</v>
      </c>
      <c r="I29" t="str">
        <f t="shared" si="0"/>
        <v>Issue</v>
      </c>
    </row>
    <row r="30" spans="1:9" x14ac:dyDescent="0.2">
      <c r="A30" t="str">
        <f>Controls_Raw!A30</f>
        <v>CTRL-0026</v>
      </c>
      <c r="B30" t="str">
        <f>IF(COUNTIF(Controls_Raw!$A$5:$A$1504,A30)&gt;1,"Duplicate","OK")</f>
        <v>OK</v>
      </c>
      <c r="C30" t="str">
        <f>IF(LEN(TRIM(Controls_Raw!I30))=0,"Missing","OK")</f>
        <v>OK</v>
      </c>
      <c r="D30" t="str">
        <f>IF(LEN(TRIM(Controls_Raw!N30))=0,"Missing","OK")</f>
        <v>OK</v>
      </c>
      <c r="E30" t="str">
        <f>IF(OR(Controls_Raw!G30="USA",Controls_Raw!G30="UK"),"Standardize","OK")</f>
        <v>OK</v>
      </c>
      <c r="F30" t="str">
        <f>IF(Controls_Raw!E30&lt;&gt;TRIM(Controls_Raw!E30),"Trim","OK")</f>
        <v>OK</v>
      </c>
      <c r="G30" t="str">
        <f>IF(AND(Controls_Raw!L30&lt;DATE(2026,9,30),Controls_Raw!M30&lt;&gt;"Completed"),"Overdue","OK")</f>
        <v>Overdue</v>
      </c>
      <c r="H30" t="str">
        <f>IF(AND(Controls_Raw!Q30&lt;DATE(2026,9,30),Controls_Raw!R30&lt;&gt;"Completed",Controls_Raw!R30&lt;&gt;"Not Required"),"Overdue","OK")</f>
        <v>OK</v>
      </c>
      <c r="I30" t="str">
        <f t="shared" si="0"/>
        <v>Issue</v>
      </c>
    </row>
    <row r="31" spans="1:9" x14ac:dyDescent="0.2">
      <c r="A31" t="str">
        <f>Controls_Raw!A31</f>
        <v>CTRL-0027</v>
      </c>
      <c r="B31" t="str">
        <f>IF(COUNTIF(Controls_Raw!$A$5:$A$1504,A31)&gt;1,"Duplicate","OK")</f>
        <v>OK</v>
      </c>
      <c r="C31" t="str">
        <f>IF(LEN(TRIM(Controls_Raw!I31))=0,"Missing","OK")</f>
        <v>OK</v>
      </c>
      <c r="D31" t="str">
        <f>IF(LEN(TRIM(Controls_Raw!N31))=0,"Missing","OK")</f>
        <v>OK</v>
      </c>
      <c r="E31" t="str">
        <f>IF(OR(Controls_Raw!G31="USA",Controls_Raw!G31="UK"),"Standardize","OK")</f>
        <v>OK</v>
      </c>
      <c r="F31" t="str">
        <f>IF(Controls_Raw!E31&lt;&gt;TRIM(Controls_Raw!E31),"Trim","OK")</f>
        <v>OK</v>
      </c>
      <c r="G31" t="str">
        <f>IF(AND(Controls_Raw!L31&lt;DATE(2026,9,30),Controls_Raw!M31&lt;&gt;"Completed"),"Overdue","OK")</f>
        <v>OK</v>
      </c>
      <c r="H31" t="str">
        <f>IF(AND(Controls_Raw!Q31&lt;DATE(2026,9,30),Controls_Raw!R31&lt;&gt;"Completed",Controls_Raw!R31&lt;&gt;"Not Required"),"Overdue","OK")</f>
        <v>Overdue</v>
      </c>
      <c r="I31" t="str">
        <f t="shared" si="0"/>
        <v>Issue</v>
      </c>
    </row>
    <row r="32" spans="1:9" x14ac:dyDescent="0.2">
      <c r="A32" t="str">
        <f>Controls_Raw!A32</f>
        <v>CTRL-0028</v>
      </c>
      <c r="B32" t="str">
        <f>IF(COUNTIF(Controls_Raw!$A$5:$A$1504,A32)&gt;1,"Duplicate","OK")</f>
        <v>OK</v>
      </c>
      <c r="C32" t="str">
        <f>IF(LEN(TRIM(Controls_Raw!I32))=0,"Missing","OK")</f>
        <v>OK</v>
      </c>
      <c r="D32" t="str">
        <f>IF(LEN(TRIM(Controls_Raw!N32))=0,"Missing","OK")</f>
        <v>OK</v>
      </c>
      <c r="E32" t="str">
        <f>IF(OR(Controls_Raw!G32="USA",Controls_Raw!G32="UK"),"Standardize","OK")</f>
        <v>OK</v>
      </c>
      <c r="F32" t="str">
        <f>IF(Controls_Raw!E32&lt;&gt;TRIM(Controls_Raw!E32),"Trim","OK")</f>
        <v>OK</v>
      </c>
      <c r="G32" t="str">
        <f>IF(AND(Controls_Raw!L32&lt;DATE(2026,9,30),Controls_Raw!M32&lt;&gt;"Completed"),"Overdue","OK")</f>
        <v>Overdue</v>
      </c>
      <c r="H32" t="str">
        <f>IF(AND(Controls_Raw!Q32&lt;DATE(2026,9,30),Controls_Raw!R32&lt;&gt;"Completed",Controls_Raw!R32&lt;&gt;"Not Required"),"Overdue","OK")</f>
        <v>Overdue</v>
      </c>
      <c r="I32" t="str">
        <f t="shared" si="0"/>
        <v>Issue</v>
      </c>
    </row>
    <row r="33" spans="1:9" x14ac:dyDescent="0.2">
      <c r="A33" t="str">
        <f>Controls_Raw!A33</f>
        <v>CTRL-0029</v>
      </c>
      <c r="B33" t="str">
        <f>IF(COUNTIF(Controls_Raw!$A$5:$A$1504,A33)&gt;1,"Duplicate","OK")</f>
        <v>OK</v>
      </c>
      <c r="C33" t="str">
        <f>IF(LEN(TRIM(Controls_Raw!I33))=0,"Missing","OK")</f>
        <v>OK</v>
      </c>
      <c r="D33" t="str">
        <f>IF(LEN(TRIM(Controls_Raw!N33))=0,"Missing","OK")</f>
        <v>OK</v>
      </c>
      <c r="E33" t="str">
        <f>IF(OR(Controls_Raw!G33="USA",Controls_Raw!G33="UK"),"Standardize","OK")</f>
        <v>OK</v>
      </c>
      <c r="F33" t="str">
        <f>IF(Controls_Raw!E33&lt;&gt;TRIM(Controls_Raw!E33),"Trim","OK")</f>
        <v>OK</v>
      </c>
      <c r="G33" t="str">
        <f>IF(AND(Controls_Raw!L33&lt;DATE(2026,9,30),Controls_Raw!M33&lt;&gt;"Completed"),"Overdue","OK")</f>
        <v>Overdue</v>
      </c>
      <c r="H33" t="str">
        <f>IF(AND(Controls_Raw!Q33&lt;DATE(2026,9,30),Controls_Raw!R33&lt;&gt;"Completed",Controls_Raw!R33&lt;&gt;"Not Required"),"Overdue","OK")</f>
        <v>OK</v>
      </c>
      <c r="I33" t="str">
        <f t="shared" si="0"/>
        <v>Issue</v>
      </c>
    </row>
    <row r="34" spans="1:9" x14ac:dyDescent="0.2">
      <c r="A34" t="str">
        <f>Controls_Raw!A34</f>
        <v>CTRL-0030</v>
      </c>
      <c r="B34" t="str">
        <f>IF(COUNTIF(Controls_Raw!$A$5:$A$1504,A34)&gt;1,"Duplicate","OK")</f>
        <v>OK</v>
      </c>
      <c r="C34" t="str">
        <f>IF(LEN(TRIM(Controls_Raw!I34))=0,"Missing","OK")</f>
        <v>OK</v>
      </c>
      <c r="D34" t="str">
        <f>IF(LEN(TRIM(Controls_Raw!N34))=0,"Missing","OK")</f>
        <v>OK</v>
      </c>
      <c r="E34" t="str">
        <f>IF(OR(Controls_Raw!G34="USA",Controls_Raw!G34="UK"),"Standardize","OK")</f>
        <v>OK</v>
      </c>
      <c r="F34" t="str">
        <f>IF(Controls_Raw!E34&lt;&gt;TRIM(Controls_Raw!E34),"Trim","OK")</f>
        <v>OK</v>
      </c>
      <c r="G34" t="str">
        <f>IF(AND(Controls_Raw!L34&lt;DATE(2026,9,30),Controls_Raw!M34&lt;&gt;"Completed"),"Overdue","OK")</f>
        <v>OK</v>
      </c>
      <c r="H34" t="str">
        <f>IF(AND(Controls_Raw!Q34&lt;DATE(2026,9,30),Controls_Raw!R34&lt;&gt;"Completed",Controls_Raw!R34&lt;&gt;"Not Required"),"Overdue","OK")</f>
        <v>OK</v>
      </c>
      <c r="I34" t="str">
        <f t="shared" si="0"/>
        <v>Pass</v>
      </c>
    </row>
    <row r="35" spans="1:9" x14ac:dyDescent="0.2">
      <c r="A35" t="str">
        <f>Controls_Raw!A35</f>
        <v>CTRL-0031</v>
      </c>
      <c r="B35" t="str">
        <f>IF(COUNTIF(Controls_Raw!$A$5:$A$1504,A35)&gt;1,"Duplicate","OK")</f>
        <v>OK</v>
      </c>
      <c r="C35" t="str">
        <f>IF(LEN(TRIM(Controls_Raw!I35))=0,"Missing","OK")</f>
        <v>OK</v>
      </c>
      <c r="D35" t="str">
        <f>IF(LEN(TRIM(Controls_Raw!N35))=0,"Missing","OK")</f>
        <v>OK</v>
      </c>
      <c r="E35" t="str">
        <f>IF(OR(Controls_Raw!G35="USA",Controls_Raw!G35="UK"),"Standardize","OK")</f>
        <v>OK</v>
      </c>
      <c r="F35" t="str">
        <f>IF(Controls_Raw!E35&lt;&gt;TRIM(Controls_Raw!E35),"Trim","OK")</f>
        <v>OK</v>
      </c>
      <c r="G35" t="str">
        <f>IF(AND(Controls_Raw!L35&lt;DATE(2026,9,30),Controls_Raw!M35&lt;&gt;"Completed"),"Overdue","OK")</f>
        <v>Overdue</v>
      </c>
      <c r="H35" t="str">
        <f>IF(AND(Controls_Raw!Q35&lt;DATE(2026,9,30),Controls_Raw!R35&lt;&gt;"Completed",Controls_Raw!R35&lt;&gt;"Not Required"),"Overdue","OK")</f>
        <v>OK</v>
      </c>
      <c r="I35" t="str">
        <f t="shared" si="0"/>
        <v>Issue</v>
      </c>
    </row>
    <row r="36" spans="1:9" x14ac:dyDescent="0.2">
      <c r="A36" t="str">
        <f>Controls_Raw!A36</f>
        <v>CTRL-0032</v>
      </c>
      <c r="B36" t="str">
        <f>IF(COUNTIF(Controls_Raw!$A$5:$A$1504,A36)&gt;1,"Duplicate","OK")</f>
        <v>OK</v>
      </c>
      <c r="C36" t="str">
        <f>IF(LEN(TRIM(Controls_Raw!I36))=0,"Missing","OK")</f>
        <v>OK</v>
      </c>
      <c r="D36" t="str">
        <f>IF(LEN(TRIM(Controls_Raw!N36))=0,"Missing","OK")</f>
        <v>OK</v>
      </c>
      <c r="E36" t="str">
        <f>IF(OR(Controls_Raw!G36="USA",Controls_Raw!G36="UK"),"Standardize","OK")</f>
        <v>OK</v>
      </c>
      <c r="F36" t="str">
        <f>IF(Controls_Raw!E36&lt;&gt;TRIM(Controls_Raw!E36),"Trim","OK")</f>
        <v>OK</v>
      </c>
      <c r="G36" t="str">
        <f>IF(AND(Controls_Raw!L36&lt;DATE(2026,9,30),Controls_Raw!M36&lt;&gt;"Completed"),"Overdue","OK")</f>
        <v>Overdue</v>
      </c>
      <c r="H36" t="str">
        <f>IF(AND(Controls_Raw!Q36&lt;DATE(2026,9,30),Controls_Raw!R36&lt;&gt;"Completed",Controls_Raw!R36&lt;&gt;"Not Required"),"Overdue","OK")</f>
        <v>OK</v>
      </c>
      <c r="I36" t="str">
        <f t="shared" si="0"/>
        <v>Issue</v>
      </c>
    </row>
    <row r="37" spans="1:9" x14ac:dyDescent="0.2">
      <c r="A37" t="str">
        <f>Controls_Raw!A37</f>
        <v>CTRL-0033</v>
      </c>
      <c r="B37" t="str">
        <f>IF(COUNTIF(Controls_Raw!$A$5:$A$1504,A37)&gt;1,"Duplicate","OK")</f>
        <v>OK</v>
      </c>
      <c r="C37" t="str">
        <f>IF(LEN(TRIM(Controls_Raw!I37))=0,"Missing","OK")</f>
        <v>OK</v>
      </c>
      <c r="D37" t="str">
        <f>IF(LEN(TRIM(Controls_Raw!N37))=0,"Missing","OK")</f>
        <v>OK</v>
      </c>
      <c r="E37" t="str">
        <f>IF(OR(Controls_Raw!G37="USA",Controls_Raw!G37="UK"),"Standardize","OK")</f>
        <v>OK</v>
      </c>
      <c r="F37" t="str">
        <f>IF(Controls_Raw!E37&lt;&gt;TRIM(Controls_Raw!E37),"Trim","OK")</f>
        <v>OK</v>
      </c>
      <c r="G37" t="str">
        <f>IF(AND(Controls_Raw!L37&lt;DATE(2026,9,30),Controls_Raw!M37&lt;&gt;"Completed"),"Overdue","OK")</f>
        <v>Overdue</v>
      </c>
      <c r="H37" t="str">
        <f>IF(AND(Controls_Raw!Q37&lt;DATE(2026,9,30),Controls_Raw!R37&lt;&gt;"Completed",Controls_Raw!R37&lt;&gt;"Not Required"),"Overdue","OK")</f>
        <v>OK</v>
      </c>
      <c r="I37" t="str">
        <f t="shared" si="0"/>
        <v>Issue</v>
      </c>
    </row>
    <row r="38" spans="1:9" x14ac:dyDescent="0.2">
      <c r="A38" t="str">
        <f>Controls_Raw!A38</f>
        <v>CTRL-0034</v>
      </c>
      <c r="B38" t="str">
        <f>IF(COUNTIF(Controls_Raw!$A$5:$A$1504,A38)&gt;1,"Duplicate","OK")</f>
        <v>OK</v>
      </c>
      <c r="C38" t="str">
        <f>IF(LEN(TRIM(Controls_Raw!I38))=0,"Missing","OK")</f>
        <v>OK</v>
      </c>
      <c r="D38" t="str">
        <f>IF(LEN(TRIM(Controls_Raw!N38))=0,"Missing","OK")</f>
        <v>OK</v>
      </c>
      <c r="E38" t="str">
        <f>IF(OR(Controls_Raw!G38="USA",Controls_Raw!G38="UK"),"Standardize","OK")</f>
        <v>OK</v>
      </c>
      <c r="F38" t="str">
        <f>IF(Controls_Raw!E38&lt;&gt;TRIM(Controls_Raw!E38),"Trim","OK")</f>
        <v>OK</v>
      </c>
      <c r="G38" t="str">
        <f>IF(AND(Controls_Raw!L38&lt;DATE(2026,9,30),Controls_Raw!M38&lt;&gt;"Completed"),"Overdue","OK")</f>
        <v>OK</v>
      </c>
      <c r="H38" t="str">
        <f>IF(AND(Controls_Raw!Q38&lt;DATE(2026,9,30),Controls_Raw!R38&lt;&gt;"Completed",Controls_Raw!R38&lt;&gt;"Not Required"),"Overdue","OK")</f>
        <v>OK</v>
      </c>
      <c r="I38" t="str">
        <f t="shared" si="0"/>
        <v>Pass</v>
      </c>
    </row>
    <row r="39" spans="1:9" x14ac:dyDescent="0.2">
      <c r="A39" t="str">
        <f>Controls_Raw!A39</f>
        <v>CTRL-0035</v>
      </c>
      <c r="B39" t="str">
        <f>IF(COUNTIF(Controls_Raw!$A$5:$A$1504,A39)&gt;1,"Duplicate","OK")</f>
        <v>OK</v>
      </c>
      <c r="C39" t="str">
        <f>IF(LEN(TRIM(Controls_Raw!I39))=0,"Missing","OK")</f>
        <v>OK</v>
      </c>
      <c r="D39" t="str">
        <f>IF(LEN(TRIM(Controls_Raw!N39))=0,"Missing","OK")</f>
        <v>OK</v>
      </c>
      <c r="E39" t="str">
        <f>IF(OR(Controls_Raw!G39="USA",Controls_Raw!G39="UK"),"Standardize","OK")</f>
        <v>OK</v>
      </c>
      <c r="F39" t="str">
        <f>IF(Controls_Raw!E39&lt;&gt;TRIM(Controls_Raw!E39),"Trim","OK")</f>
        <v>OK</v>
      </c>
      <c r="G39" t="str">
        <f>IF(AND(Controls_Raw!L39&lt;DATE(2026,9,30),Controls_Raw!M39&lt;&gt;"Completed"),"Overdue","OK")</f>
        <v>OK</v>
      </c>
      <c r="H39" t="str">
        <f>IF(AND(Controls_Raw!Q39&lt;DATE(2026,9,30),Controls_Raw!R39&lt;&gt;"Completed",Controls_Raw!R39&lt;&gt;"Not Required"),"Overdue","OK")</f>
        <v>Overdue</v>
      </c>
      <c r="I39" t="str">
        <f t="shared" si="0"/>
        <v>Issue</v>
      </c>
    </row>
    <row r="40" spans="1:9" x14ac:dyDescent="0.2">
      <c r="A40" t="str">
        <f>Controls_Raw!A40</f>
        <v>CTRL-0001</v>
      </c>
      <c r="B40" t="str">
        <f>IF(COUNTIF(Controls_Raw!$A$5:$A$1504,A40)&gt;1,"Duplicate","OK")</f>
        <v>Duplicate</v>
      </c>
      <c r="C40" t="str">
        <f>IF(LEN(TRIM(Controls_Raw!I40))=0,"Missing","OK")</f>
        <v>OK</v>
      </c>
      <c r="D40" t="str">
        <f>IF(LEN(TRIM(Controls_Raw!N40))=0,"Missing","OK")</f>
        <v>OK</v>
      </c>
      <c r="E40" t="str">
        <f>IF(OR(Controls_Raw!G40="USA",Controls_Raw!G40="UK"),"Standardize","OK")</f>
        <v>OK</v>
      </c>
      <c r="F40" t="str">
        <f>IF(Controls_Raw!E40&lt;&gt;TRIM(Controls_Raw!E40),"Trim","OK")</f>
        <v>OK</v>
      </c>
      <c r="G40" t="str">
        <f>IF(AND(Controls_Raw!L40&lt;DATE(2026,9,30),Controls_Raw!M40&lt;&gt;"Completed"),"Overdue","OK")</f>
        <v>Overdue</v>
      </c>
      <c r="H40" t="str">
        <f>IF(AND(Controls_Raw!Q40&lt;DATE(2026,9,30),Controls_Raw!R40&lt;&gt;"Completed",Controls_Raw!R40&lt;&gt;"Not Required"),"Overdue","OK")</f>
        <v>OK</v>
      </c>
      <c r="I40" t="str">
        <f t="shared" si="0"/>
        <v>Issue</v>
      </c>
    </row>
    <row r="41" spans="1:9" x14ac:dyDescent="0.2">
      <c r="A41" t="str">
        <f>Controls_Raw!A41</f>
        <v>CTRL-0002</v>
      </c>
      <c r="B41" t="str">
        <f>IF(COUNTIF(Controls_Raw!$A$5:$A$1504,A41)&gt;1,"Duplicate","OK")</f>
        <v>Duplicate</v>
      </c>
      <c r="C41" t="str">
        <f>IF(LEN(TRIM(Controls_Raw!I41))=0,"Missing","OK")</f>
        <v>OK</v>
      </c>
      <c r="D41" t="str">
        <f>IF(LEN(TRIM(Controls_Raw!N41))=0,"Missing","OK")</f>
        <v>OK</v>
      </c>
      <c r="E41" t="str">
        <f>IF(OR(Controls_Raw!G41="USA",Controls_Raw!G41="UK"),"Standardize","OK")</f>
        <v>OK</v>
      </c>
      <c r="F41" t="str">
        <f>IF(Controls_Raw!E41&lt;&gt;TRIM(Controls_Raw!E41),"Trim","OK")</f>
        <v>OK</v>
      </c>
      <c r="G41" t="str">
        <f>IF(AND(Controls_Raw!L41&lt;DATE(2026,9,30),Controls_Raw!M41&lt;&gt;"Completed"),"Overdue","OK")</f>
        <v>OK</v>
      </c>
      <c r="H41" t="str">
        <f>IF(AND(Controls_Raw!Q41&lt;DATE(2026,9,30),Controls_Raw!R41&lt;&gt;"Completed",Controls_Raw!R41&lt;&gt;"Not Required"),"Overdue","OK")</f>
        <v>Overdue</v>
      </c>
      <c r="I41" t="str">
        <f t="shared" si="0"/>
        <v>Issue</v>
      </c>
    </row>
    <row r="42" spans="1:9" x14ac:dyDescent="0.2">
      <c r="A42" t="str">
        <f>Controls_Raw!A42</f>
        <v>CTRL-0003</v>
      </c>
      <c r="B42" t="str">
        <f>IF(COUNTIF(Controls_Raw!$A$5:$A$1504,A42)&gt;1,"Duplicate","OK")</f>
        <v>Duplicate</v>
      </c>
      <c r="C42" t="str">
        <f>IF(LEN(TRIM(Controls_Raw!I42))=0,"Missing","OK")</f>
        <v>OK</v>
      </c>
      <c r="D42" t="str">
        <f>IF(LEN(TRIM(Controls_Raw!N42))=0,"Missing","OK")</f>
        <v>OK</v>
      </c>
      <c r="E42" t="str">
        <f>IF(OR(Controls_Raw!G42="USA",Controls_Raw!G42="UK"),"Standardize","OK")</f>
        <v>OK</v>
      </c>
      <c r="F42" t="str">
        <f>IF(Controls_Raw!E42&lt;&gt;TRIM(Controls_Raw!E42),"Trim","OK")</f>
        <v>OK</v>
      </c>
      <c r="G42" t="str">
        <f>IF(AND(Controls_Raw!L42&lt;DATE(2026,9,30),Controls_Raw!M42&lt;&gt;"Completed"),"Overdue","OK")</f>
        <v>Overdue</v>
      </c>
      <c r="H42" t="str">
        <f>IF(AND(Controls_Raw!Q42&lt;DATE(2026,9,30),Controls_Raw!R42&lt;&gt;"Completed",Controls_Raw!R42&lt;&gt;"Not Required"),"Overdue","OK")</f>
        <v>OK</v>
      </c>
      <c r="I42" t="str">
        <f t="shared" si="0"/>
        <v>Issue</v>
      </c>
    </row>
    <row r="43" spans="1:9" x14ac:dyDescent="0.2">
      <c r="A43" t="str">
        <f>Controls_Raw!A43</f>
        <v>CTRL-0004</v>
      </c>
      <c r="B43" t="str">
        <f>IF(COUNTIF(Controls_Raw!$A$5:$A$1504,A43)&gt;1,"Duplicate","OK")</f>
        <v>Duplicate</v>
      </c>
      <c r="C43" t="str">
        <f>IF(LEN(TRIM(Controls_Raw!I43))=0,"Missing","OK")</f>
        <v>OK</v>
      </c>
      <c r="D43" t="str">
        <f>IF(LEN(TRIM(Controls_Raw!N43))=0,"Missing","OK")</f>
        <v>OK</v>
      </c>
      <c r="E43" t="str">
        <f>IF(OR(Controls_Raw!G43="USA",Controls_Raw!G43="UK"),"Standardize","OK")</f>
        <v>OK</v>
      </c>
      <c r="F43" t="str">
        <f>IF(Controls_Raw!E43&lt;&gt;TRIM(Controls_Raw!E43),"Trim","OK")</f>
        <v>OK</v>
      </c>
      <c r="G43" t="str">
        <f>IF(AND(Controls_Raw!L43&lt;DATE(2026,9,30),Controls_Raw!M43&lt;&gt;"Completed"),"Overdue","OK")</f>
        <v>OK</v>
      </c>
      <c r="H43" t="str">
        <f>IF(AND(Controls_Raw!Q43&lt;DATE(2026,9,30),Controls_Raw!R43&lt;&gt;"Completed",Controls_Raw!R43&lt;&gt;"Not Required"),"Overdue","OK")</f>
        <v>OK</v>
      </c>
      <c r="I43" t="str">
        <f t="shared" si="0"/>
        <v>Issue</v>
      </c>
    </row>
    <row r="44" spans="1:9" x14ac:dyDescent="0.2">
      <c r="A44" t="str">
        <f>Controls_Raw!A44</f>
        <v>CTRL-0005</v>
      </c>
      <c r="B44" t="str">
        <f>IF(COUNTIF(Controls_Raw!$A$5:$A$1504,A44)&gt;1,"Duplicate","OK")</f>
        <v>Duplicate</v>
      </c>
      <c r="C44" t="str">
        <f>IF(LEN(TRIM(Controls_Raw!I44))=0,"Missing","OK")</f>
        <v>OK</v>
      </c>
      <c r="D44" t="str">
        <f>IF(LEN(TRIM(Controls_Raw!N44))=0,"Missing","OK")</f>
        <v>OK</v>
      </c>
      <c r="E44" t="str">
        <f>IF(OR(Controls_Raw!G44="USA",Controls_Raw!G44="UK"),"Standardize","OK")</f>
        <v>OK</v>
      </c>
      <c r="F44" t="str">
        <f>IF(Controls_Raw!E44&lt;&gt;TRIM(Controls_Raw!E44),"Trim","OK")</f>
        <v>OK</v>
      </c>
      <c r="G44" t="str">
        <f>IF(AND(Controls_Raw!L44&lt;DATE(2026,9,30),Controls_Raw!M44&lt;&gt;"Completed"),"Overdue","OK")</f>
        <v>Overdue</v>
      </c>
      <c r="H44" t="str">
        <f>IF(AND(Controls_Raw!Q44&lt;DATE(2026,9,30),Controls_Raw!R44&lt;&gt;"Completed",Controls_Raw!R44&lt;&gt;"Not Required"),"Overdue","OK")</f>
        <v>OK</v>
      </c>
      <c r="I44" t="str">
        <f t="shared" si="0"/>
        <v>Issue</v>
      </c>
    </row>
    <row r="45" spans="1:9" x14ac:dyDescent="0.2">
      <c r="A45" t="str">
        <f>Controls_Raw!A45</f>
        <v>CTRL-0006</v>
      </c>
      <c r="B45" t="str">
        <f>IF(COUNTIF(Controls_Raw!$A$5:$A$1504,A45)&gt;1,"Duplicate","OK")</f>
        <v>Duplicate</v>
      </c>
      <c r="C45" t="str">
        <f>IF(LEN(TRIM(Controls_Raw!I45))=0,"Missing","OK")</f>
        <v>OK</v>
      </c>
      <c r="D45" t="str">
        <f>IF(LEN(TRIM(Controls_Raw!N45))=0,"Missing","OK")</f>
        <v>OK</v>
      </c>
      <c r="E45" t="str">
        <f>IF(OR(Controls_Raw!G45="USA",Controls_Raw!G45="UK"),"Standardize","OK")</f>
        <v>OK</v>
      </c>
      <c r="F45" t="str">
        <f>IF(Controls_Raw!E45&lt;&gt;TRIM(Controls_Raw!E45),"Trim","OK")</f>
        <v>OK</v>
      </c>
      <c r="G45" t="str">
        <f>IF(AND(Controls_Raw!L45&lt;DATE(2026,9,30),Controls_Raw!M45&lt;&gt;"Completed"),"Overdue","OK")</f>
        <v>Overdue</v>
      </c>
      <c r="H45" t="str">
        <f>IF(AND(Controls_Raw!Q45&lt;DATE(2026,9,30),Controls_Raw!R45&lt;&gt;"Completed",Controls_Raw!R45&lt;&gt;"Not Required"),"Overdue","OK")</f>
        <v>Overdue</v>
      </c>
      <c r="I45" t="str">
        <f t="shared" si="0"/>
        <v>Issue</v>
      </c>
    </row>
    <row r="46" spans="1:9" x14ac:dyDescent="0.2">
      <c r="A46" t="str">
        <f>Controls_Raw!A46</f>
        <v>CTRL-0007</v>
      </c>
      <c r="B46" t="str">
        <f>IF(COUNTIF(Controls_Raw!$A$5:$A$1504,A46)&gt;1,"Duplicate","OK")</f>
        <v>Duplicate</v>
      </c>
      <c r="C46" t="str">
        <f>IF(LEN(TRIM(Controls_Raw!I46))=0,"Missing","OK")</f>
        <v>OK</v>
      </c>
      <c r="D46" t="str">
        <f>IF(LEN(TRIM(Controls_Raw!N46))=0,"Missing","OK")</f>
        <v>OK</v>
      </c>
      <c r="E46" t="str">
        <f>IF(OR(Controls_Raw!G46="USA",Controls_Raw!G46="UK"),"Standardize","OK")</f>
        <v>OK</v>
      </c>
      <c r="F46" t="str">
        <f>IF(Controls_Raw!E46&lt;&gt;TRIM(Controls_Raw!E46),"Trim","OK")</f>
        <v>OK</v>
      </c>
      <c r="G46" t="str">
        <f>IF(AND(Controls_Raw!L46&lt;DATE(2026,9,30),Controls_Raw!M46&lt;&gt;"Completed"),"Overdue","OK")</f>
        <v>Overdue</v>
      </c>
      <c r="H46" t="str">
        <f>IF(AND(Controls_Raw!Q46&lt;DATE(2026,9,30),Controls_Raw!R46&lt;&gt;"Completed",Controls_Raw!R46&lt;&gt;"Not Required"),"Overdue","OK")</f>
        <v>OK</v>
      </c>
      <c r="I46" t="str">
        <f t="shared" si="0"/>
        <v>Issue</v>
      </c>
    </row>
    <row r="47" spans="1:9" x14ac:dyDescent="0.2">
      <c r="A47" t="str">
        <f>Controls_Raw!A47</f>
        <v>CTRL-0008</v>
      </c>
      <c r="B47" t="str">
        <f>IF(COUNTIF(Controls_Raw!$A$5:$A$1504,A47)&gt;1,"Duplicate","OK")</f>
        <v>Duplicate</v>
      </c>
      <c r="C47" t="str">
        <f>IF(LEN(TRIM(Controls_Raw!I47))=0,"Missing","OK")</f>
        <v>OK</v>
      </c>
      <c r="D47" t="str">
        <f>IF(LEN(TRIM(Controls_Raw!N47))=0,"Missing","OK")</f>
        <v>OK</v>
      </c>
      <c r="E47" t="str">
        <f>IF(OR(Controls_Raw!G47="USA",Controls_Raw!G47="UK"),"Standardize","OK")</f>
        <v>OK</v>
      </c>
      <c r="F47" t="str">
        <f>IF(Controls_Raw!E47&lt;&gt;TRIM(Controls_Raw!E47),"Trim","OK")</f>
        <v>OK</v>
      </c>
      <c r="G47" t="str">
        <f>IF(AND(Controls_Raw!L47&lt;DATE(2026,9,30),Controls_Raw!M47&lt;&gt;"Completed"),"Overdue","OK")</f>
        <v>Overdue</v>
      </c>
      <c r="H47" t="str">
        <f>IF(AND(Controls_Raw!Q47&lt;DATE(2026,9,30),Controls_Raw!R47&lt;&gt;"Completed",Controls_Raw!R47&lt;&gt;"Not Required"),"Overdue","OK")</f>
        <v>OK</v>
      </c>
      <c r="I47" t="str">
        <f t="shared" si="0"/>
        <v>Issue</v>
      </c>
    </row>
    <row r="48" spans="1:9" x14ac:dyDescent="0.2">
      <c r="A48" t="str">
        <f>Controls_Raw!A48</f>
        <v>CTRL-0009</v>
      </c>
      <c r="B48" t="str">
        <f>IF(COUNTIF(Controls_Raw!$A$5:$A$1504,A48)&gt;1,"Duplicate","OK")</f>
        <v>Duplicate</v>
      </c>
      <c r="C48" t="str">
        <f>IF(LEN(TRIM(Controls_Raw!I48))=0,"Missing","OK")</f>
        <v>OK</v>
      </c>
      <c r="D48" t="str">
        <f>IF(LEN(TRIM(Controls_Raw!N48))=0,"Missing","OK")</f>
        <v>OK</v>
      </c>
      <c r="E48" t="str">
        <f>IF(OR(Controls_Raw!G48="USA",Controls_Raw!G48="UK"),"Standardize","OK")</f>
        <v>OK</v>
      </c>
      <c r="F48" t="str">
        <f>IF(Controls_Raw!E48&lt;&gt;TRIM(Controls_Raw!E48),"Trim","OK")</f>
        <v>OK</v>
      </c>
      <c r="G48" t="str">
        <f>IF(AND(Controls_Raw!L48&lt;DATE(2026,9,30),Controls_Raw!M48&lt;&gt;"Completed"),"Overdue","OK")</f>
        <v>OK</v>
      </c>
      <c r="H48" t="str">
        <f>IF(AND(Controls_Raw!Q48&lt;DATE(2026,9,30),Controls_Raw!R48&lt;&gt;"Completed",Controls_Raw!R48&lt;&gt;"Not Required"),"Overdue","OK")</f>
        <v>Overdue</v>
      </c>
      <c r="I48" t="str">
        <f t="shared" si="0"/>
        <v>Issue</v>
      </c>
    </row>
    <row r="49" spans="1:9" x14ac:dyDescent="0.2">
      <c r="A49" t="str">
        <f>Controls_Raw!A49</f>
        <v>CTRL-0010</v>
      </c>
      <c r="B49" t="str">
        <f>IF(COUNTIF(Controls_Raw!$A$5:$A$1504,A49)&gt;1,"Duplicate","OK")</f>
        <v>Duplicate</v>
      </c>
      <c r="C49" t="str">
        <f>IF(LEN(TRIM(Controls_Raw!I49))=0,"Missing","OK")</f>
        <v>OK</v>
      </c>
      <c r="D49" t="str">
        <f>IF(LEN(TRIM(Controls_Raw!N49))=0,"Missing","OK")</f>
        <v>OK</v>
      </c>
      <c r="E49" t="str">
        <f>IF(OR(Controls_Raw!G49="USA",Controls_Raw!G49="UK"),"Standardize","OK")</f>
        <v>OK</v>
      </c>
      <c r="F49" t="str">
        <f>IF(Controls_Raw!E49&lt;&gt;TRIM(Controls_Raw!E49),"Trim","OK")</f>
        <v>OK</v>
      </c>
      <c r="G49" t="str">
        <f>IF(AND(Controls_Raw!L49&lt;DATE(2026,9,30),Controls_Raw!M49&lt;&gt;"Completed"),"Overdue","OK")</f>
        <v>OK</v>
      </c>
      <c r="H49" t="str">
        <f>IF(AND(Controls_Raw!Q49&lt;DATE(2026,9,30),Controls_Raw!R49&lt;&gt;"Completed",Controls_Raw!R49&lt;&gt;"Not Required"),"Overdue","OK")</f>
        <v>Overdue</v>
      </c>
      <c r="I49" t="str">
        <f t="shared" si="0"/>
        <v>Issue</v>
      </c>
    </row>
    <row r="50" spans="1:9" x14ac:dyDescent="0.2">
      <c r="A50" t="str">
        <f>Controls_Raw!A50</f>
        <v>CTRL-0011</v>
      </c>
      <c r="B50" t="str">
        <f>IF(COUNTIF(Controls_Raw!$A$5:$A$1504,A50)&gt;1,"Duplicate","OK")</f>
        <v>Duplicate</v>
      </c>
      <c r="C50" t="str">
        <f>IF(LEN(TRIM(Controls_Raw!I50))=0,"Missing","OK")</f>
        <v>OK</v>
      </c>
      <c r="D50" t="str">
        <f>IF(LEN(TRIM(Controls_Raw!N50))=0,"Missing","OK")</f>
        <v>OK</v>
      </c>
      <c r="E50" t="str">
        <f>IF(OR(Controls_Raw!G50="USA",Controls_Raw!G50="UK"),"Standardize","OK")</f>
        <v>OK</v>
      </c>
      <c r="F50" t="str">
        <f>IF(Controls_Raw!E50&lt;&gt;TRIM(Controls_Raw!E50),"Trim","OK")</f>
        <v>OK</v>
      </c>
      <c r="G50" t="str">
        <f>IF(AND(Controls_Raw!L50&lt;DATE(2026,9,30),Controls_Raw!M50&lt;&gt;"Completed"),"Overdue","OK")</f>
        <v>OK</v>
      </c>
      <c r="H50" t="str">
        <f>IF(AND(Controls_Raw!Q50&lt;DATE(2026,9,30),Controls_Raw!R50&lt;&gt;"Completed",Controls_Raw!R50&lt;&gt;"Not Required"),"Overdue","OK")</f>
        <v>Overdue</v>
      </c>
      <c r="I50" t="str">
        <f t="shared" si="0"/>
        <v>Issue</v>
      </c>
    </row>
    <row r="51" spans="1:9" x14ac:dyDescent="0.2">
      <c r="A51" t="str">
        <f>Controls_Raw!A51</f>
        <v>CTRL-0012</v>
      </c>
      <c r="B51" t="str">
        <f>IF(COUNTIF(Controls_Raw!$A$5:$A$1504,A51)&gt;1,"Duplicate","OK")</f>
        <v>Duplicate</v>
      </c>
      <c r="C51" t="str">
        <f>IF(LEN(TRIM(Controls_Raw!I51))=0,"Missing","OK")</f>
        <v>OK</v>
      </c>
      <c r="D51" t="str">
        <f>IF(LEN(TRIM(Controls_Raw!N51))=0,"Missing","OK")</f>
        <v>OK</v>
      </c>
      <c r="E51" t="str">
        <f>IF(OR(Controls_Raw!G51="USA",Controls_Raw!G51="UK"),"Standardize","OK")</f>
        <v>OK</v>
      </c>
      <c r="F51" t="str">
        <f>IF(Controls_Raw!E51&lt;&gt;TRIM(Controls_Raw!E51),"Trim","OK")</f>
        <v>OK</v>
      </c>
      <c r="G51" t="str">
        <f>IF(AND(Controls_Raw!L51&lt;DATE(2026,9,30),Controls_Raw!M51&lt;&gt;"Completed"),"Overdue","OK")</f>
        <v>OK</v>
      </c>
      <c r="H51" t="str">
        <f>IF(AND(Controls_Raw!Q51&lt;DATE(2026,9,30),Controls_Raw!R51&lt;&gt;"Completed",Controls_Raw!R51&lt;&gt;"Not Required"),"Overdue","OK")</f>
        <v>Overdue</v>
      </c>
      <c r="I51" t="str">
        <f t="shared" si="0"/>
        <v>Issue</v>
      </c>
    </row>
    <row r="52" spans="1:9" x14ac:dyDescent="0.2">
      <c r="A52" t="str">
        <f>Controls_Raw!A52</f>
        <v>CTRL-0013</v>
      </c>
      <c r="B52" t="str">
        <f>IF(COUNTIF(Controls_Raw!$A$5:$A$1504,A52)&gt;1,"Duplicate","OK")</f>
        <v>Duplicate</v>
      </c>
      <c r="C52" t="str">
        <f>IF(LEN(TRIM(Controls_Raw!I52))=0,"Missing","OK")</f>
        <v>Missing</v>
      </c>
      <c r="D52" t="str">
        <f>IF(LEN(TRIM(Controls_Raw!N52))=0,"Missing","OK")</f>
        <v>OK</v>
      </c>
      <c r="E52" t="str">
        <f>IF(OR(Controls_Raw!G52="USA",Controls_Raw!G52="UK"),"Standardize","OK")</f>
        <v>OK</v>
      </c>
      <c r="F52" t="str">
        <f>IF(Controls_Raw!E52&lt;&gt;TRIM(Controls_Raw!E52),"Trim","OK")</f>
        <v>OK</v>
      </c>
      <c r="G52" t="str">
        <f>IF(AND(Controls_Raw!L52&lt;DATE(2026,9,30),Controls_Raw!M52&lt;&gt;"Completed"),"Overdue","OK")</f>
        <v>Overdue</v>
      </c>
      <c r="H52" t="str">
        <f>IF(AND(Controls_Raw!Q52&lt;DATE(2026,9,30),Controls_Raw!R52&lt;&gt;"Completed",Controls_Raw!R52&lt;&gt;"Not Required"),"Overdue","OK")</f>
        <v>OK</v>
      </c>
      <c r="I52" t="str">
        <f t="shared" si="0"/>
        <v>Issue</v>
      </c>
    </row>
    <row r="53" spans="1:9" x14ac:dyDescent="0.2">
      <c r="A53" t="str">
        <f>Controls_Raw!A53</f>
        <v>CTRL-0014</v>
      </c>
      <c r="B53" t="str">
        <f>IF(COUNTIF(Controls_Raw!$A$5:$A$1504,A53)&gt;1,"Duplicate","OK")</f>
        <v>Duplicate</v>
      </c>
      <c r="C53" t="str">
        <f>IF(LEN(TRIM(Controls_Raw!I53))=0,"Missing","OK")</f>
        <v>OK</v>
      </c>
      <c r="D53" t="str">
        <f>IF(LEN(TRIM(Controls_Raw!N53))=0,"Missing","OK")</f>
        <v>OK</v>
      </c>
      <c r="E53" t="str">
        <f>IF(OR(Controls_Raw!G53="USA",Controls_Raw!G53="UK"),"Standardize","OK")</f>
        <v>OK</v>
      </c>
      <c r="F53" t="str">
        <f>IF(Controls_Raw!E53&lt;&gt;TRIM(Controls_Raw!E53),"Trim","OK")</f>
        <v>OK</v>
      </c>
      <c r="G53" t="str">
        <f>IF(AND(Controls_Raw!L53&lt;DATE(2026,9,30),Controls_Raw!M53&lt;&gt;"Completed"),"Overdue","OK")</f>
        <v>OK</v>
      </c>
      <c r="H53" t="str">
        <f>IF(AND(Controls_Raw!Q53&lt;DATE(2026,9,30),Controls_Raw!R53&lt;&gt;"Completed",Controls_Raw!R53&lt;&gt;"Not Required"),"Overdue","OK")</f>
        <v>OK</v>
      </c>
      <c r="I53" t="str">
        <f t="shared" si="0"/>
        <v>Issue</v>
      </c>
    </row>
    <row r="54" spans="1:9" x14ac:dyDescent="0.2">
      <c r="A54" t="str">
        <f>Controls_Raw!A54</f>
        <v>CTRL-0015</v>
      </c>
      <c r="B54" t="str">
        <f>IF(COUNTIF(Controls_Raw!$A$5:$A$1504,A54)&gt;1,"Duplicate","OK")</f>
        <v>Duplicate</v>
      </c>
      <c r="C54" t="str">
        <f>IF(LEN(TRIM(Controls_Raw!I54))=0,"Missing","OK")</f>
        <v>OK</v>
      </c>
      <c r="D54" t="str">
        <f>IF(LEN(TRIM(Controls_Raw!N54))=0,"Missing","OK")</f>
        <v>OK</v>
      </c>
      <c r="E54" t="str">
        <f>IF(OR(Controls_Raw!G54="USA",Controls_Raw!G54="UK"),"Standardize","OK")</f>
        <v>OK</v>
      </c>
      <c r="F54" t="str">
        <f>IF(Controls_Raw!E54&lt;&gt;TRIM(Controls_Raw!E54),"Trim","OK")</f>
        <v>OK</v>
      </c>
      <c r="G54" t="str">
        <f>IF(AND(Controls_Raw!L54&lt;DATE(2026,9,30),Controls_Raw!M54&lt;&gt;"Completed"),"Overdue","OK")</f>
        <v>Overdue</v>
      </c>
      <c r="H54" t="str">
        <f>IF(AND(Controls_Raw!Q54&lt;DATE(2026,9,30),Controls_Raw!R54&lt;&gt;"Completed",Controls_Raw!R54&lt;&gt;"Not Required"),"Overdue","OK")</f>
        <v>Overdue</v>
      </c>
      <c r="I54" t="str">
        <f t="shared" si="0"/>
        <v>Issue</v>
      </c>
    </row>
    <row r="55" spans="1:9" x14ac:dyDescent="0.2">
      <c r="A55" t="str">
        <f>Controls_Raw!A55</f>
        <v>CTRL-0016</v>
      </c>
      <c r="B55" t="str">
        <f>IF(COUNTIF(Controls_Raw!$A$5:$A$1504,A55)&gt;1,"Duplicate","OK")</f>
        <v>Duplicate</v>
      </c>
      <c r="C55" t="str">
        <f>IF(LEN(TRIM(Controls_Raw!I55))=0,"Missing","OK")</f>
        <v>OK</v>
      </c>
      <c r="D55" t="str">
        <f>IF(LEN(TRIM(Controls_Raw!N55))=0,"Missing","OK")</f>
        <v>OK</v>
      </c>
      <c r="E55" t="str">
        <f>IF(OR(Controls_Raw!G55="USA",Controls_Raw!G55="UK"),"Standardize","OK")</f>
        <v>OK</v>
      </c>
      <c r="F55" t="str">
        <f>IF(Controls_Raw!E55&lt;&gt;TRIM(Controls_Raw!E55),"Trim","OK")</f>
        <v>OK</v>
      </c>
      <c r="G55" t="str">
        <f>IF(AND(Controls_Raw!L55&lt;DATE(2026,9,30),Controls_Raw!M55&lt;&gt;"Completed"),"Overdue","OK")</f>
        <v>Overdue</v>
      </c>
      <c r="H55" t="str">
        <f>IF(AND(Controls_Raw!Q55&lt;DATE(2026,9,30),Controls_Raw!R55&lt;&gt;"Completed",Controls_Raw!R55&lt;&gt;"Not Required"),"Overdue","OK")</f>
        <v>Overdue</v>
      </c>
      <c r="I55" t="str">
        <f t="shared" si="0"/>
        <v>Issue</v>
      </c>
    </row>
    <row r="56" spans="1:9" x14ac:dyDescent="0.2">
      <c r="A56" t="str">
        <f>Controls_Raw!A56</f>
        <v>CTRL-0017</v>
      </c>
      <c r="B56" t="str">
        <f>IF(COUNTIF(Controls_Raw!$A$5:$A$1504,A56)&gt;1,"Duplicate","OK")</f>
        <v>Duplicate</v>
      </c>
      <c r="C56" t="str">
        <f>IF(LEN(TRIM(Controls_Raw!I56))=0,"Missing","OK")</f>
        <v>OK</v>
      </c>
      <c r="D56" t="str">
        <f>IF(LEN(TRIM(Controls_Raw!N56))=0,"Missing","OK")</f>
        <v>OK</v>
      </c>
      <c r="E56" t="str">
        <f>IF(OR(Controls_Raw!G56="USA",Controls_Raw!G56="UK"),"Standardize","OK")</f>
        <v>OK</v>
      </c>
      <c r="F56" t="str">
        <f>IF(Controls_Raw!E56&lt;&gt;TRIM(Controls_Raw!E56),"Trim","OK")</f>
        <v>OK</v>
      </c>
      <c r="G56" t="str">
        <f>IF(AND(Controls_Raw!L56&lt;DATE(2026,9,30),Controls_Raw!M56&lt;&gt;"Completed"),"Overdue","OK")</f>
        <v>OK</v>
      </c>
      <c r="H56" t="str">
        <f>IF(AND(Controls_Raw!Q56&lt;DATE(2026,9,30),Controls_Raw!R56&lt;&gt;"Completed",Controls_Raw!R56&lt;&gt;"Not Required"),"Overdue","OK")</f>
        <v>OK</v>
      </c>
      <c r="I56" t="str">
        <f t="shared" si="0"/>
        <v>Issue</v>
      </c>
    </row>
    <row r="57" spans="1:9" x14ac:dyDescent="0.2">
      <c r="A57" t="str">
        <f>Controls_Raw!A57</f>
        <v>CTRL-0018</v>
      </c>
      <c r="B57" t="str">
        <f>IF(COUNTIF(Controls_Raw!$A$5:$A$1504,A57)&gt;1,"Duplicate","OK")</f>
        <v>Duplicate</v>
      </c>
      <c r="C57" t="str">
        <f>IF(LEN(TRIM(Controls_Raw!I57))=0,"Missing","OK")</f>
        <v>OK</v>
      </c>
      <c r="D57" t="str">
        <f>IF(LEN(TRIM(Controls_Raw!N57))=0,"Missing","OK")</f>
        <v>OK</v>
      </c>
      <c r="E57" t="str">
        <f>IF(OR(Controls_Raw!G57="USA",Controls_Raw!G57="UK"),"Standardize","OK")</f>
        <v>OK</v>
      </c>
      <c r="F57" t="str">
        <f>IF(Controls_Raw!E57&lt;&gt;TRIM(Controls_Raw!E57),"Trim","OK")</f>
        <v>OK</v>
      </c>
      <c r="G57" t="str">
        <f>IF(AND(Controls_Raw!L57&lt;DATE(2026,9,30),Controls_Raw!M57&lt;&gt;"Completed"),"Overdue","OK")</f>
        <v>OK</v>
      </c>
      <c r="H57" t="str">
        <f>IF(AND(Controls_Raw!Q57&lt;DATE(2026,9,30),Controls_Raw!R57&lt;&gt;"Completed",Controls_Raw!R57&lt;&gt;"Not Required"),"Overdue","OK")</f>
        <v>OK</v>
      </c>
      <c r="I57" t="str">
        <f t="shared" si="0"/>
        <v>Issue</v>
      </c>
    </row>
    <row r="58" spans="1:9" x14ac:dyDescent="0.2">
      <c r="A58" t="str">
        <f>Controls_Raw!A58</f>
        <v>CTRL-0019</v>
      </c>
      <c r="B58" t="str">
        <f>IF(COUNTIF(Controls_Raw!$A$5:$A$1504,A58)&gt;1,"Duplicate","OK")</f>
        <v>Duplicate</v>
      </c>
      <c r="C58" t="str">
        <f>IF(LEN(TRIM(Controls_Raw!I58))=0,"Missing","OK")</f>
        <v>OK</v>
      </c>
      <c r="D58" t="str">
        <f>IF(LEN(TRIM(Controls_Raw!N58))=0,"Missing","OK")</f>
        <v>OK</v>
      </c>
      <c r="E58" t="str">
        <f>IF(OR(Controls_Raw!G58="USA",Controls_Raw!G58="UK"),"Standardize","OK")</f>
        <v>Standardize</v>
      </c>
      <c r="F58" t="str">
        <f>IF(Controls_Raw!E58&lt;&gt;TRIM(Controls_Raw!E58),"Trim","OK")</f>
        <v>OK</v>
      </c>
      <c r="G58" t="str">
        <f>IF(AND(Controls_Raw!L58&lt;DATE(2026,9,30),Controls_Raw!M58&lt;&gt;"Completed"),"Overdue","OK")</f>
        <v>Overdue</v>
      </c>
      <c r="H58" t="str">
        <f>IF(AND(Controls_Raw!Q58&lt;DATE(2026,9,30),Controls_Raw!R58&lt;&gt;"Completed",Controls_Raw!R58&lt;&gt;"Not Required"),"Overdue","OK")</f>
        <v>Overdue</v>
      </c>
      <c r="I58" t="str">
        <f t="shared" si="0"/>
        <v>Issue</v>
      </c>
    </row>
    <row r="59" spans="1:9" x14ac:dyDescent="0.2">
      <c r="A59" t="str">
        <f>Controls_Raw!A59</f>
        <v>CTRL-0020</v>
      </c>
      <c r="B59" t="str">
        <f>IF(COUNTIF(Controls_Raw!$A$5:$A$1504,A59)&gt;1,"Duplicate","OK")</f>
        <v>Duplicate</v>
      </c>
      <c r="C59" t="str">
        <f>IF(LEN(TRIM(Controls_Raw!I59))=0,"Missing","OK")</f>
        <v>OK</v>
      </c>
      <c r="D59" t="str">
        <f>IF(LEN(TRIM(Controls_Raw!N59))=0,"Missing","OK")</f>
        <v>OK</v>
      </c>
      <c r="E59" t="str">
        <f>IF(OR(Controls_Raw!G59="USA",Controls_Raw!G59="UK"),"Standardize","OK")</f>
        <v>OK</v>
      </c>
      <c r="F59" t="str">
        <f>IF(Controls_Raw!E59&lt;&gt;TRIM(Controls_Raw!E59),"Trim","OK")</f>
        <v>OK</v>
      </c>
      <c r="G59" t="str">
        <f>IF(AND(Controls_Raw!L59&lt;DATE(2026,9,30),Controls_Raw!M59&lt;&gt;"Completed"),"Overdue","OK")</f>
        <v>Overdue</v>
      </c>
      <c r="H59" t="str">
        <f>IF(AND(Controls_Raw!Q59&lt;DATE(2026,9,30),Controls_Raw!R59&lt;&gt;"Completed",Controls_Raw!R59&lt;&gt;"Not Required"),"Overdue","OK")</f>
        <v>Overdue</v>
      </c>
      <c r="I59" t="str">
        <f t="shared" si="0"/>
        <v>Issue</v>
      </c>
    </row>
    <row r="60" spans="1:9" x14ac:dyDescent="0.2">
      <c r="A60" t="str">
        <f>Controls_Raw!A60</f>
        <v>CTRL-0056</v>
      </c>
      <c r="B60" t="str">
        <f>IF(COUNTIF(Controls_Raw!$A$5:$A$1504,A60)&gt;1,"Duplicate","OK")</f>
        <v>OK</v>
      </c>
      <c r="C60" t="str">
        <f>IF(LEN(TRIM(Controls_Raw!I60))=0,"Missing","OK")</f>
        <v>OK</v>
      </c>
      <c r="D60" t="str">
        <f>IF(LEN(TRIM(Controls_Raw!N60))=0,"Missing","OK")</f>
        <v>OK</v>
      </c>
      <c r="E60" t="str">
        <f>IF(OR(Controls_Raw!G60="USA",Controls_Raw!G60="UK"),"Standardize","OK")</f>
        <v>OK</v>
      </c>
      <c r="F60" t="str">
        <f>IF(Controls_Raw!E60&lt;&gt;TRIM(Controls_Raw!E60),"Trim","OK")</f>
        <v>OK</v>
      </c>
      <c r="G60" t="str">
        <f>IF(AND(Controls_Raw!L60&lt;DATE(2026,9,30),Controls_Raw!M60&lt;&gt;"Completed"),"Overdue","OK")</f>
        <v>Overdue</v>
      </c>
      <c r="H60" t="str">
        <f>IF(AND(Controls_Raw!Q60&lt;DATE(2026,9,30),Controls_Raw!R60&lt;&gt;"Completed",Controls_Raw!R60&lt;&gt;"Not Required"),"Overdue","OK")</f>
        <v>OK</v>
      </c>
      <c r="I60" t="str">
        <f t="shared" si="0"/>
        <v>Issue</v>
      </c>
    </row>
    <row r="61" spans="1:9" x14ac:dyDescent="0.2">
      <c r="A61" t="str">
        <f>Controls_Raw!A61</f>
        <v>CTRL-0057</v>
      </c>
      <c r="B61" t="str">
        <f>IF(COUNTIF(Controls_Raw!$A$5:$A$1504,A61)&gt;1,"Duplicate","OK")</f>
        <v>OK</v>
      </c>
      <c r="C61" t="str">
        <f>IF(LEN(TRIM(Controls_Raw!I61))=0,"Missing","OK")</f>
        <v>OK</v>
      </c>
      <c r="D61" t="str">
        <f>IF(LEN(TRIM(Controls_Raw!N61))=0,"Missing","OK")</f>
        <v>OK</v>
      </c>
      <c r="E61" t="str">
        <f>IF(OR(Controls_Raw!G61="USA",Controls_Raw!G61="UK"),"Standardize","OK")</f>
        <v>OK</v>
      </c>
      <c r="F61" t="str">
        <f>IF(Controls_Raw!E61&lt;&gt;TRIM(Controls_Raw!E61),"Trim","OK")</f>
        <v>OK</v>
      </c>
      <c r="G61" t="str">
        <f>IF(AND(Controls_Raw!L61&lt;DATE(2026,9,30),Controls_Raw!M61&lt;&gt;"Completed"),"Overdue","OK")</f>
        <v>OK</v>
      </c>
      <c r="H61" t="str">
        <f>IF(AND(Controls_Raw!Q61&lt;DATE(2026,9,30),Controls_Raw!R61&lt;&gt;"Completed",Controls_Raw!R61&lt;&gt;"Not Required"),"Overdue","OK")</f>
        <v>OK</v>
      </c>
      <c r="I61" t="str">
        <f t="shared" si="0"/>
        <v>Pass</v>
      </c>
    </row>
    <row r="62" spans="1:9" x14ac:dyDescent="0.2">
      <c r="A62" t="str">
        <f>Controls_Raw!A62</f>
        <v>CTRL-0058</v>
      </c>
      <c r="B62" t="str">
        <f>IF(COUNTIF(Controls_Raw!$A$5:$A$1504,A62)&gt;1,"Duplicate","OK")</f>
        <v>OK</v>
      </c>
      <c r="C62" t="str">
        <f>IF(LEN(TRIM(Controls_Raw!I62))=0,"Missing","OK")</f>
        <v>OK</v>
      </c>
      <c r="D62" t="str">
        <f>IF(LEN(TRIM(Controls_Raw!N62))=0,"Missing","OK")</f>
        <v>OK</v>
      </c>
      <c r="E62" t="str">
        <f>IF(OR(Controls_Raw!G62="USA",Controls_Raw!G62="UK"),"Standardize","OK")</f>
        <v>OK</v>
      </c>
      <c r="F62" t="str">
        <f>IF(Controls_Raw!E62&lt;&gt;TRIM(Controls_Raw!E62),"Trim","OK")</f>
        <v>OK</v>
      </c>
      <c r="G62" t="str">
        <f>IF(AND(Controls_Raw!L62&lt;DATE(2026,9,30),Controls_Raw!M62&lt;&gt;"Completed"),"Overdue","OK")</f>
        <v>Overdue</v>
      </c>
      <c r="H62" t="str">
        <f>IF(AND(Controls_Raw!Q62&lt;DATE(2026,9,30),Controls_Raw!R62&lt;&gt;"Completed",Controls_Raw!R62&lt;&gt;"Not Required"),"Overdue","OK")</f>
        <v>Overdue</v>
      </c>
      <c r="I62" t="str">
        <f t="shared" si="0"/>
        <v>Issue</v>
      </c>
    </row>
    <row r="63" spans="1:9" x14ac:dyDescent="0.2">
      <c r="A63" t="str">
        <f>Controls_Raw!A63</f>
        <v>CTRL-0059</v>
      </c>
      <c r="B63" t="str">
        <f>IF(COUNTIF(Controls_Raw!$A$5:$A$1504,A63)&gt;1,"Duplicate","OK")</f>
        <v>OK</v>
      </c>
      <c r="C63" t="str">
        <f>IF(LEN(TRIM(Controls_Raw!I63))=0,"Missing","OK")</f>
        <v>OK</v>
      </c>
      <c r="D63" t="str">
        <f>IF(LEN(TRIM(Controls_Raw!N63))=0,"Missing","OK")</f>
        <v>OK</v>
      </c>
      <c r="E63" t="str">
        <f>IF(OR(Controls_Raw!G63="USA",Controls_Raw!G63="UK"),"Standardize","OK")</f>
        <v>OK</v>
      </c>
      <c r="F63" t="str">
        <f>IF(Controls_Raw!E63&lt;&gt;TRIM(Controls_Raw!E63),"Trim","OK")</f>
        <v>OK</v>
      </c>
      <c r="G63" t="str">
        <f>IF(AND(Controls_Raw!L63&lt;DATE(2026,9,30),Controls_Raw!M63&lt;&gt;"Completed"),"Overdue","OK")</f>
        <v>OK</v>
      </c>
      <c r="H63" t="str">
        <f>IF(AND(Controls_Raw!Q63&lt;DATE(2026,9,30),Controls_Raw!R63&lt;&gt;"Completed",Controls_Raw!R63&lt;&gt;"Not Required"),"Overdue","OK")</f>
        <v>Overdue</v>
      </c>
      <c r="I63" t="str">
        <f t="shared" si="0"/>
        <v>Issue</v>
      </c>
    </row>
    <row r="64" spans="1:9" x14ac:dyDescent="0.2">
      <c r="A64" t="str">
        <f>Controls_Raw!A64</f>
        <v>CTRL-0060</v>
      </c>
      <c r="B64" t="str">
        <f>IF(COUNTIF(Controls_Raw!$A$5:$A$1504,A64)&gt;1,"Duplicate","OK")</f>
        <v>OK</v>
      </c>
      <c r="C64" t="str">
        <f>IF(LEN(TRIM(Controls_Raw!I64))=0,"Missing","OK")</f>
        <v>OK</v>
      </c>
      <c r="D64" t="str">
        <f>IF(LEN(TRIM(Controls_Raw!N64))=0,"Missing","OK")</f>
        <v>OK</v>
      </c>
      <c r="E64" t="str">
        <f>IF(OR(Controls_Raw!G64="USA",Controls_Raw!G64="UK"),"Standardize","OK")</f>
        <v>OK</v>
      </c>
      <c r="F64" t="str">
        <f>IF(Controls_Raw!E64&lt;&gt;TRIM(Controls_Raw!E64),"Trim","OK")</f>
        <v>OK</v>
      </c>
      <c r="G64" t="str">
        <f>IF(AND(Controls_Raw!L64&lt;DATE(2026,9,30),Controls_Raw!M64&lt;&gt;"Completed"),"Overdue","OK")</f>
        <v>Overdue</v>
      </c>
      <c r="H64" t="str">
        <f>IF(AND(Controls_Raw!Q64&lt;DATE(2026,9,30),Controls_Raw!R64&lt;&gt;"Completed",Controls_Raw!R64&lt;&gt;"Not Required"),"Overdue","OK")</f>
        <v>OK</v>
      </c>
      <c r="I64" t="str">
        <f t="shared" si="0"/>
        <v>Issue</v>
      </c>
    </row>
    <row r="65" spans="1:9" x14ac:dyDescent="0.2">
      <c r="A65" t="str">
        <f>Controls_Raw!A65</f>
        <v>CTRL-0061</v>
      </c>
      <c r="B65" t="str">
        <f>IF(COUNTIF(Controls_Raw!$A$5:$A$1504,A65)&gt;1,"Duplicate","OK")</f>
        <v>OK</v>
      </c>
      <c r="C65" t="str">
        <f>IF(LEN(TRIM(Controls_Raw!I65))=0,"Missing","OK")</f>
        <v>OK</v>
      </c>
      <c r="D65" t="str">
        <f>IF(LEN(TRIM(Controls_Raw!N65))=0,"Missing","OK")</f>
        <v>OK</v>
      </c>
      <c r="E65" t="str">
        <f>IF(OR(Controls_Raw!G65="USA",Controls_Raw!G65="UK"),"Standardize","OK")</f>
        <v>OK</v>
      </c>
      <c r="F65" t="str">
        <f>IF(Controls_Raw!E65&lt;&gt;TRIM(Controls_Raw!E65),"Trim","OK")</f>
        <v>OK</v>
      </c>
      <c r="G65" t="str">
        <f>IF(AND(Controls_Raw!L65&lt;DATE(2026,9,30),Controls_Raw!M65&lt;&gt;"Completed"),"Overdue","OK")</f>
        <v>Overdue</v>
      </c>
      <c r="H65" t="str">
        <f>IF(AND(Controls_Raw!Q65&lt;DATE(2026,9,30),Controls_Raw!R65&lt;&gt;"Completed",Controls_Raw!R65&lt;&gt;"Not Required"),"Overdue","OK")</f>
        <v>Overdue</v>
      </c>
      <c r="I65" t="str">
        <f t="shared" si="0"/>
        <v>Issue</v>
      </c>
    </row>
    <row r="66" spans="1:9" x14ac:dyDescent="0.2">
      <c r="A66" t="str">
        <f>Controls_Raw!A66</f>
        <v>CTRL-0062</v>
      </c>
      <c r="B66" t="str">
        <f>IF(COUNTIF(Controls_Raw!$A$5:$A$1504,A66)&gt;1,"Duplicate","OK")</f>
        <v>OK</v>
      </c>
      <c r="C66" t="str">
        <f>IF(LEN(TRIM(Controls_Raw!I66))=0,"Missing","OK")</f>
        <v>OK</v>
      </c>
      <c r="D66" t="str">
        <f>IF(LEN(TRIM(Controls_Raw!N66))=0,"Missing","OK")</f>
        <v>OK</v>
      </c>
      <c r="E66" t="str">
        <f>IF(OR(Controls_Raw!G66="USA",Controls_Raw!G66="UK"),"Standardize","OK")</f>
        <v>OK</v>
      </c>
      <c r="F66" t="str">
        <f>IF(Controls_Raw!E66&lt;&gt;TRIM(Controls_Raw!E66),"Trim","OK")</f>
        <v>OK</v>
      </c>
      <c r="G66" t="str">
        <f>IF(AND(Controls_Raw!L66&lt;DATE(2026,9,30),Controls_Raw!M66&lt;&gt;"Completed"),"Overdue","OK")</f>
        <v>Overdue</v>
      </c>
      <c r="H66" t="str">
        <f>IF(AND(Controls_Raw!Q66&lt;DATE(2026,9,30),Controls_Raw!R66&lt;&gt;"Completed",Controls_Raw!R66&lt;&gt;"Not Required"),"Overdue","OK")</f>
        <v>OK</v>
      </c>
      <c r="I66" t="str">
        <f t="shared" si="0"/>
        <v>Issue</v>
      </c>
    </row>
    <row r="67" spans="1:9" x14ac:dyDescent="0.2">
      <c r="A67" t="str">
        <f>Controls_Raw!A67</f>
        <v>CTRL-0063</v>
      </c>
      <c r="B67" t="str">
        <f>IF(COUNTIF(Controls_Raw!$A$5:$A$1504,A67)&gt;1,"Duplicate","OK")</f>
        <v>OK</v>
      </c>
      <c r="C67" t="str">
        <f>IF(LEN(TRIM(Controls_Raw!I67))=0,"Missing","OK")</f>
        <v>OK</v>
      </c>
      <c r="D67" t="str">
        <f>IF(LEN(TRIM(Controls_Raw!N67))=0,"Missing","OK")</f>
        <v>OK</v>
      </c>
      <c r="E67" t="str">
        <f>IF(OR(Controls_Raw!G67="USA",Controls_Raw!G67="UK"),"Standardize","OK")</f>
        <v>OK</v>
      </c>
      <c r="F67" t="str">
        <f>IF(Controls_Raw!E67&lt;&gt;TRIM(Controls_Raw!E67),"Trim","OK")</f>
        <v>OK</v>
      </c>
      <c r="G67" t="str">
        <f>IF(AND(Controls_Raw!L67&lt;DATE(2026,9,30),Controls_Raw!M67&lt;&gt;"Completed"),"Overdue","OK")</f>
        <v>Overdue</v>
      </c>
      <c r="H67" t="str">
        <f>IF(AND(Controls_Raw!Q67&lt;DATE(2026,9,30),Controls_Raw!R67&lt;&gt;"Completed",Controls_Raw!R67&lt;&gt;"Not Required"),"Overdue","OK")</f>
        <v>Overdue</v>
      </c>
      <c r="I67" t="str">
        <f t="shared" si="0"/>
        <v>Issue</v>
      </c>
    </row>
    <row r="68" spans="1:9" x14ac:dyDescent="0.2">
      <c r="A68" t="str">
        <f>Controls_Raw!A68</f>
        <v>CTRL-0064</v>
      </c>
      <c r="B68" t="str">
        <f>IF(COUNTIF(Controls_Raw!$A$5:$A$1504,A68)&gt;1,"Duplicate","OK")</f>
        <v>OK</v>
      </c>
      <c r="C68" t="str">
        <f>IF(LEN(TRIM(Controls_Raw!I68))=0,"Missing","OK")</f>
        <v>OK</v>
      </c>
      <c r="D68" t="str">
        <f>IF(LEN(TRIM(Controls_Raw!N68))=0,"Missing","OK")</f>
        <v>OK</v>
      </c>
      <c r="E68" t="str">
        <f>IF(OR(Controls_Raw!G68="USA",Controls_Raw!G68="UK"),"Standardize","OK")</f>
        <v>OK</v>
      </c>
      <c r="F68" t="str">
        <f>IF(Controls_Raw!E68&lt;&gt;TRIM(Controls_Raw!E68),"Trim","OK")</f>
        <v>OK</v>
      </c>
      <c r="G68" t="str">
        <f>IF(AND(Controls_Raw!L68&lt;DATE(2026,9,30),Controls_Raw!M68&lt;&gt;"Completed"),"Overdue","OK")</f>
        <v>Overdue</v>
      </c>
      <c r="H68" t="str">
        <f>IF(AND(Controls_Raw!Q68&lt;DATE(2026,9,30),Controls_Raw!R68&lt;&gt;"Completed",Controls_Raw!R68&lt;&gt;"Not Required"),"Overdue","OK")</f>
        <v>Overdue</v>
      </c>
      <c r="I68" t="str">
        <f t="shared" si="0"/>
        <v>Issue</v>
      </c>
    </row>
    <row r="69" spans="1:9" x14ac:dyDescent="0.2">
      <c r="A69" t="str">
        <f>Controls_Raw!A69</f>
        <v>CTRL-0065</v>
      </c>
      <c r="B69" t="str">
        <f>IF(COUNTIF(Controls_Raw!$A$5:$A$1504,A69)&gt;1,"Duplicate","OK")</f>
        <v>OK</v>
      </c>
      <c r="C69" t="str">
        <f>IF(LEN(TRIM(Controls_Raw!I69))=0,"Missing","OK")</f>
        <v>OK</v>
      </c>
      <c r="D69" t="str">
        <f>IF(LEN(TRIM(Controls_Raw!N69))=0,"Missing","OK")</f>
        <v>OK</v>
      </c>
      <c r="E69" t="str">
        <f>IF(OR(Controls_Raw!G69="USA",Controls_Raw!G69="UK"),"Standardize","OK")</f>
        <v>OK</v>
      </c>
      <c r="F69" t="str">
        <f>IF(Controls_Raw!E69&lt;&gt;TRIM(Controls_Raw!E69),"Trim","OK")</f>
        <v>OK</v>
      </c>
      <c r="G69" t="str">
        <f>IF(AND(Controls_Raw!L69&lt;DATE(2026,9,30),Controls_Raw!M69&lt;&gt;"Completed"),"Overdue","OK")</f>
        <v>Overdue</v>
      </c>
      <c r="H69" t="str">
        <f>IF(AND(Controls_Raw!Q69&lt;DATE(2026,9,30),Controls_Raw!R69&lt;&gt;"Completed",Controls_Raw!R69&lt;&gt;"Not Required"),"Overdue","OK")</f>
        <v>OK</v>
      </c>
      <c r="I69" t="str">
        <f t="shared" ref="I69:I132" si="1">IF(COUNTIF(B69:H69,"&lt;&gt;OK")&gt;0,"Issue","Pass")</f>
        <v>Issue</v>
      </c>
    </row>
    <row r="70" spans="1:9" x14ac:dyDescent="0.2">
      <c r="A70" t="str">
        <f>Controls_Raw!A70</f>
        <v>CTRL-0066</v>
      </c>
      <c r="B70" t="str">
        <f>IF(COUNTIF(Controls_Raw!$A$5:$A$1504,A70)&gt;1,"Duplicate","OK")</f>
        <v>OK</v>
      </c>
      <c r="C70" t="str">
        <f>IF(LEN(TRIM(Controls_Raw!I70))=0,"Missing","OK")</f>
        <v>OK</v>
      </c>
      <c r="D70" t="str">
        <f>IF(LEN(TRIM(Controls_Raw!N70))=0,"Missing","OK")</f>
        <v>OK</v>
      </c>
      <c r="E70" t="str">
        <f>IF(OR(Controls_Raw!G70="USA",Controls_Raw!G70="UK"),"Standardize","OK")</f>
        <v>OK</v>
      </c>
      <c r="F70" t="str">
        <f>IF(Controls_Raw!E70&lt;&gt;TRIM(Controls_Raw!E70),"Trim","OK")</f>
        <v>OK</v>
      </c>
      <c r="G70" t="str">
        <f>IF(AND(Controls_Raw!L70&lt;DATE(2026,9,30),Controls_Raw!M70&lt;&gt;"Completed"),"Overdue","OK")</f>
        <v>OK</v>
      </c>
      <c r="H70" t="str">
        <f>IF(AND(Controls_Raw!Q70&lt;DATE(2026,9,30),Controls_Raw!R70&lt;&gt;"Completed",Controls_Raw!R70&lt;&gt;"Not Required"),"Overdue","OK")</f>
        <v>OK</v>
      </c>
      <c r="I70" t="str">
        <f t="shared" si="1"/>
        <v>Pass</v>
      </c>
    </row>
    <row r="71" spans="1:9" x14ac:dyDescent="0.2">
      <c r="A71" t="str">
        <f>Controls_Raw!A71</f>
        <v>CTRL-0067</v>
      </c>
      <c r="B71" t="str">
        <f>IF(COUNTIF(Controls_Raw!$A$5:$A$1504,A71)&gt;1,"Duplicate","OK")</f>
        <v>OK</v>
      </c>
      <c r="C71" t="str">
        <f>IF(LEN(TRIM(Controls_Raw!I71))=0,"Missing","OK")</f>
        <v>OK</v>
      </c>
      <c r="D71" t="str">
        <f>IF(LEN(TRIM(Controls_Raw!N71))=0,"Missing","OK")</f>
        <v>OK</v>
      </c>
      <c r="E71" t="str">
        <f>IF(OR(Controls_Raw!G71="USA",Controls_Raw!G71="UK"),"Standardize","OK")</f>
        <v>OK</v>
      </c>
      <c r="F71" t="str">
        <f>IF(Controls_Raw!E71&lt;&gt;TRIM(Controls_Raw!E71),"Trim","OK")</f>
        <v>OK</v>
      </c>
      <c r="G71" t="str">
        <f>IF(AND(Controls_Raw!L71&lt;DATE(2026,9,30),Controls_Raw!M71&lt;&gt;"Completed"),"Overdue","OK")</f>
        <v>OK</v>
      </c>
      <c r="H71" t="str">
        <f>IF(AND(Controls_Raw!Q71&lt;DATE(2026,9,30),Controls_Raw!R71&lt;&gt;"Completed",Controls_Raw!R71&lt;&gt;"Not Required"),"Overdue","OK")</f>
        <v>Overdue</v>
      </c>
      <c r="I71" t="str">
        <f t="shared" si="1"/>
        <v>Issue</v>
      </c>
    </row>
    <row r="72" spans="1:9" x14ac:dyDescent="0.2">
      <c r="A72" t="str">
        <f>Controls_Raw!A72</f>
        <v>CTRL-0068</v>
      </c>
      <c r="B72" t="str">
        <f>IF(COUNTIF(Controls_Raw!$A$5:$A$1504,A72)&gt;1,"Duplicate","OK")</f>
        <v>OK</v>
      </c>
      <c r="C72" t="str">
        <f>IF(LEN(TRIM(Controls_Raw!I72))=0,"Missing","OK")</f>
        <v>OK</v>
      </c>
      <c r="D72" t="str">
        <f>IF(LEN(TRIM(Controls_Raw!N72))=0,"Missing","OK")</f>
        <v>OK</v>
      </c>
      <c r="E72" t="str">
        <f>IF(OR(Controls_Raw!G72="USA",Controls_Raw!G72="UK"),"Standardize","OK")</f>
        <v>OK</v>
      </c>
      <c r="F72" t="str">
        <f>IF(Controls_Raw!E72&lt;&gt;TRIM(Controls_Raw!E72),"Trim","OK")</f>
        <v>OK</v>
      </c>
      <c r="G72" t="str">
        <f>IF(AND(Controls_Raw!L72&lt;DATE(2026,9,30),Controls_Raw!M72&lt;&gt;"Completed"),"Overdue","OK")</f>
        <v>OK</v>
      </c>
      <c r="H72" t="str">
        <f>IF(AND(Controls_Raw!Q72&lt;DATE(2026,9,30),Controls_Raw!R72&lt;&gt;"Completed",Controls_Raw!R72&lt;&gt;"Not Required"),"Overdue","OK")</f>
        <v>OK</v>
      </c>
      <c r="I72" t="str">
        <f t="shared" si="1"/>
        <v>Pass</v>
      </c>
    </row>
    <row r="73" spans="1:9" x14ac:dyDescent="0.2">
      <c r="A73" t="str">
        <f>Controls_Raw!A73</f>
        <v>CTRL-0069</v>
      </c>
      <c r="B73" t="str">
        <f>IF(COUNTIF(Controls_Raw!$A$5:$A$1504,A73)&gt;1,"Duplicate","OK")</f>
        <v>OK</v>
      </c>
      <c r="C73" t="str">
        <f>IF(LEN(TRIM(Controls_Raw!I73))=0,"Missing","OK")</f>
        <v>OK</v>
      </c>
      <c r="D73" t="str">
        <f>IF(LEN(TRIM(Controls_Raw!N73))=0,"Missing","OK")</f>
        <v>OK</v>
      </c>
      <c r="E73" t="str">
        <f>IF(OR(Controls_Raw!G73="USA",Controls_Raw!G73="UK"),"Standardize","OK")</f>
        <v>OK</v>
      </c>
      <c r="F73" t="str">
        <f>IF(Controls_Raw!E73&lt;&gt;TRIM(Controls_Raw!E73),"Trim","OK")</f>
        <v>OK</v>
      </c>
      <c r="G73" t="str">
        <f>IF(AND(Controls_Raw!L73&lt;DATE(2026,9,30),Controls_Raw!M73&lt;&gt;"Completed"),"Overdue","OK")</f>
        <v>Overdue</v>
      </c>
      <c r="H73" t="str">
        <f>IF(AND(Controls_Raw!Q73&lt;DATE(2026,9,30),Controls_Raw!R73&lt;&gt;"Completed",Controls_Raw!R73&lt;&gt;"Not Required"),"Overdue","OK")</f>
        <v>OK</v>
      </c>
      <c r="I73" t="str">
        <f t="shared" si="1"/>
        <v>Issue</v>
      </c>
    </row>
    <row r="74" spans="1:9" x14ac:dyDescent="0.2">
      <c r="A74" t="str">
        <f>Controls_Raw!A74</f>
        <v>CTRL-0070</v>
      </c>
      <c r="B74" t="str">
        <f>IF(COUNTIF(Controls_Raw!$A$5:$A$1504,A74)&gt;1,"Duplicate","OK")</f>
        <v>OK</v>
      </c>
      <c r="C74" t="str">
        <f>IF(LEN(TRIM(Controls_Raw!I74))=0,"Missing","OK")</f>
        <v>OK</v>
      </c>
      <c r="D74" t="str">
        <f>IF(LEN(TRIM(Controls_Raw!N74))=0,"Missing","OK")</f>
        <v>OK</v>
      </c>
      <c r="E74" t="str">
        <f>IF(OR(Controls_Raw!G74="USA",Controls_Raw!G74="UK"),"Standardize","OK")</f>
        <v>OK</v>
      </c>
      <c r="F74" t="str">
        <f>IF(Controls_Raw!E74&lt;&gt;TRIM(Controls_Raw!E74),"Trim","OK")</f>
        <v>OK</v>
      </c>
      <c r="G74" t="str">
        <f>IF(AND(Controls_Raw!L74&lt;DATE(2026,9,30),Controls_Raw!M74&lt;&gt;"Completed"),"Overdue","OK")</f>
        <v>Overdue</v>
      </c>
      <c r="H74" t="str">
        <f>IF(AND(Controls_Raw!Q74&lt;DATE(2026,9,30),Controls_Raw!R74&lt;&gt;"Completed",Controls_Raw!R74&lt;&gt;"Not Required"),"Overdue","OK")</f>
        <v>Overdue</v>
      </c>
      <c r="I74" t="str">
        <f t="shared" si="1"/>
        <v>Issue</v>
      </c>
    </row>
    <row r="75" spans="1:9" x14ac:dyDescent="0.2">
      <c r="A75" t="str">
        <f>Controls_Raw!A75</f>
        <v>CTRL-0071</v>
      </c>
      <c r="B75" t="str">
        <f>IF(COUNTIF(Controls_Raw!$A$5:$A$1504,A75)&gt;1,"Duplicate","OK")</f>
        <v>OK</v>
      </c>
      <c r="C75" t="str">
        <f>IF(LEN(TRIM(Controls_Raw!I75))=0,"Missing","OK")</f>
        <v>OK</v>
      </c>
      <c r="D75" t="str">
        <f>IF(LEN(TRIM(Controls_Raw!N75))=0,"Missing","OK")</f>
        <v>OK</v>
      </c>
      <c r="E75" t="str">
        <f>IF(OR(Controls_Raw!G75="USA",Controls_Raw!G75="UK"),"Standardize","OK")</f>
        <v>OK</v>
      </c>
      <c r="F75" t="str">
        <f>IF(Controls_Raw!E75&lt;&gt;TRIM(Controls_Raw!E75),"Trim","OK")</f>
        <v>OK</v>
      </c>
      <c r="G75" t="str">
        <f>IF(AND(Controls_Raw!L75&lt;DATE(2026,9,30),Controls_Raw!M75&lt;&gt;"Completed"),"Overdue","OK")</f>
        <v>Overdue</v>
      </c>
      <c r="H75" t="str">
        <f>IF(AND(Controls_Raw!Q75&lt;DATE(2026,9,30),Controls_Raw!R75&lt;&gt;"Completed",Controls_Raw!R75&lt;&gt;"Not Required"),"Overdue","OK")</f>
        <v>Overdue</v>
      </c>
      <c r="I75" t="str">
        <f t="shared" si="1"/>
        <v>Issue</v>
      </c>
    </row>
    <row r="76" spans="1:9" x14ac:dyDescent="0.2">
      <c r="A76" t="str">
        <f>Controls_Raw!A76</f>
        <v>CTRL-0072</v>
      </c>
      <c r="B76" t="str">
        <f>IF(COUNTIF(Controls_Raw!$A$5:$A$1504,A76)&gt;1,"Duplicate","OK")</f>
        <v>OK</v>
      </c>
      <c r="C76" t="str">
        <f>IF(LEN(TRIM(Controls_Raw!I76))=0,"Missing","OK")</f>
        <v>OK</v>
      </c>
      <c r="D76" t="str">
        <f>IF(LEN(TRIM(Controls_Raw!N76))=0,"Missing","OK")</f>
        <v>OK</v>
      </c>
      <c r="E76" t="str">
        <f>IF(OR(Controls_Raw!G76="USA",Controls_Raw!G76="UK"),"Standardize","OK")</f>
        <v>OK</v>
      </c>
      <c r="F76" t="str">
        <f>IF(Controls_Raw!E76&lt;&gt;TRIM(Controls_Raw!E76),"Trim","OK")</f>
        <v>OK</v>
      </c>
      <c r="G76" t="str">
        <f>IF(AND(Controls_Raw!L76&lt;DATE(2026,9,30),Controls_Raw!M76&lt;&gt;"Completed"),"Overdue","OK")</f>
        <v>Overdue</v>
      </c>
      <c r="H76" t="str">
        <f>IF(AND(Controls_Raw!Q76&lt;DATE(2026,9,30),Controls_Raw!R76&lt;&gt;"Completed",Controls_Raw!R76&lt;&gt;"Not Required"),"Overdue","OK")</f>
        <v>OK</v>
      </c>
      <c r="I76" t="str">
        <f t="shared" si="1"/>
        <v>Issue</v>
      </c>
    </row>
    <row r="77" spans="1:9" x14ac:dyDescent="0.2">
      <c r="A77" t="str">
        <f>Controls_Raw!A77</f>
        <v>CTRL-0073</v>
      </c>
      <c r="B77" t="str">
        <f>IF(COUNTIF(Controls_Raw!$A$5:$A$1504,A77)&gt;1,"Duplicate","OK")</f>
        <v>OK</v>
      </c>
      <c r="C77" t="str">
        <f>IF(LEN(TRIM(Controls_Raw!I77))=0,"Missing","OK")</f>
        <v>OK</v>
      </c>
      <c r="D77" t="str">
        <f>IF(LEN(TRIM(Controls_Raw!N77))=0,"Missing","OK")</f>
        <v>OK</v>
      </c>
      <c r="E77" t="str">
        <f>IF(OR(Controls_Raw!G77="USA",Controls_Raw!G77="UK"),"Standardize","OK")</f>
        <v>OK</v>
      </c>
      <c r="F77" t="str">
        <f>IF(Controls_Raw!E77&lt;&gt;TRIM(Controls_Raw!E77),"Trim","OK")</f>
        <v>OK</v>
      </c>
      <c r="G77" t="str">
        <f>IF(AND(Controls_Raw!L77&lt;DATE(2026,9,30),Controls_Raw!M77&lt;&gt;"Completed"),"Overdue","OK")</f>
        <v>Overdue</v>
      </c>
      <c r="H77" t="str">
        <f>IF(AND(Controls_Raw!Q77&lt;DATE(2026,9,30),Controls_Raw!R77&lt;&gt;"Completed",Controls_Raw!R77&lt;&gt;"Not Required"),"Overdue","OK")</f>
        <v>Overdue</v>
      </c>
      <c r="I77" t="str">
        <f t="shared" si="1"/>
        <v>Issue</v>
      </c>
    </row>
    <row r="78" spans="1:9" x14ac:dyDescent="0.2">
      <c r="A78" t="str">
        <f>Controls_Raw!A78</f>
        <v>CTRL-0074</v>
      </c>
      <c r="B78" t="str">
        <f>IF(COUNTIF(Controls_Raw!$A$5:$A$1504,A78)&gt;1,"Duplicate","OK")</f>
        <v>OK</v>
      </c>
      <c r="C78" t="str">
        <f>IF(LEN(TRIM(Controls_Raw!I78))=0,"Missing","OK")</f>
        <v>OK</v>
      </c>
      <c r="D78" t="str">
        <f>IF(LEN(TRIM(Controls_Raw!N78))=0,"Missing","OK")</f>
        <v>OK</v>
      </c>
      <c r="E78" t="str">
        <f>IF(OR(Controls_Raw!G78="USA",Controls_Raw!G78="UK"),"Standardize","OK")</f>
        <v>OK</v>
      </c>
      <c r="F78" t="str">
        <f>IF(Controls_Raw!E78&lt;&gt;TRIM(Controls_Raw!E78),"Trim","OK")</f>
        <v>Trim</v>
      </c>
      <c r="G78" t="str">
        <f>IF(AND(Controls_Raw!L78&lt;DATE(2026,9,30),Controls_Raw!M78&lt;&gt;"Completed"),"Overdue","OK")</f>
        <v>Overdue</v>
      </c>
      <c r="H78" t="str">
        <f>IF(AND(Controls_Raw!Q78&lt;DATE(2026,9,30),Controls_Raw!R78&lt;&gt;"Completed",Controls_Raw!R78&lt;&gt;"Not Required"),"Overdue","OK")</f>
        <v>OK</v>
      </c>
      <c r="I78" t="str">
        <f t="shared" si="1"/>
        <v>Issue</v>
      </c>
    </row>
    <row r="79" spans="1:9" x14ac:dyDescent="0.2">
      <c r="A79" t="str">
        <f>Controls_Raw!A79</f>
        <v>CTRL-0075</v>
      </c>
      <c r="B79" t="str">
        <f>IF(COUNTIF(Controls_Raw!$A$5:$A$1504,A79)&gt;1,"Duplicate","OK")</f>
        <v>OK</v>
      </c>
      <c r="C79" t="str">
        <f>IF(LEN(TRIM(Controls_Raw!I79))=0,"Missing","OK")</f>
        <v>OK</v>
      </c>
      <c r="D79" t="str">
        <f>IF(LEN(TRIM(Controls_Raw!N79))=0,"Missing","OK")</f>
        <v>OK</v>
      </c>
      <c r="E79" t="str">
        <f>IF(OR(Controls_Raw!G79="USA",Controls_Raw!G79="UK"),"Standardize","OK")</f>
        <v>OK</v>
      </c>
      <c r="F79" t="str">
        <f>IF(Controls_Raw!E79&lt;&gt;TRIM(Controls_Raw!E79),"Trim","OK")</f>
        <v>OK</v>
      </c>
      <c r="G79" t="str">
        <f>IF(AND(Controls_Raw!L79&lt;DATE(2026,9,30),Controls_Raw!M79&lt;&gt;"Completed"),"Overdue","OK")</f>
        <v>Overdue</v>
      </c>
      <c r="H79" t="str">
        <f>IF(AND(Controls_Raw!Q79&lt;DATE(2026,9,30),Controls_Raw!R79&lt;&gt;"Completed",Controls_Raw!R79&lt;&gt;"Not Required"),"Overdue","OK")</f>
        <v>Overdue</v>
      </c>
      <c r="I79" t="str">
        <f t="shared" si="1"/>
        <v>Issue</v>
      </c>
    </row>
    <row r="80" spans="1:9" x14ac:dyDescent="0.2">
      <c r="A80" t="str">
        <f>Controls_Raw!A80</f>
        <v>CTRL-0076</v>
      </c>
      <c r="B80" t="str">
        <f>IF(COUNTIF(Controls_Raw!$A$5:$A$1504,A80)&gt;1,"Duplicate","OK")</f>
        <v>OK</v>
      </c>
      <c r="C80" t="str">
        <f>IF(LEN(TRIM(Controls_Raw!I80))=0,"Missing","OK")</f>
        <v>OK</v>
      </c>
      <c r="D80" t="str">
        <f>IF(LEN(TRIM(Controls_Raw!N80))=0,"Missing","OK")</f>
        <v>OK</v>
      </c>
      <c r="E80" t="str">
        <f>IF(OR(Controls_Raw!G80="USA",Controls_Raw!G80="UK"),"Standardize","OK")</f>
        <v>OK</v>
      </c>
      <c r="F80" t="str">
        <f>IF(Controls_Raw!E80&lt;&gt;TRIM(Controls_Raw!E80),"Trim","OK")</f>
        <v>OK</v>
      </c>
      <c r="G80" t="str">
        <f>IF(AND(Controls_Raw!L80&lt;DATE(2026,9,30),Controls_Raw!M80&lt;&gt;"Completed"),"Overdue","OK")</f>
        <v>Overdue</v>
      </c>
      <c r="H80" t="str">
        <f>IF(AND(Controls_Raw!Q80&lt;DATE(2026,9,30),Controls_Raw!R80&lt;&gt;"Completed",Controls_Raw!R80&lt;&gt;"Not Required"),"Overdue","OK")</f>
        <v>OK</v>
      </c>
      <c r="I80" t="str">
        <f t="shared" si="1"/>
        <v>Issue</v>
      </c>
    </row>
    <row r="81" spans="1:9" x14ac:dyDescent="0.2">
      <c r="A81" t="str">
        <f>Controls_Raw!A81</f>
        <v>CTRL-0077</v>
      </c>
      <c r="B81" t="str">
        <f>IF(COUNTIF(Controls_Raw!$A$5:$A$1504,A81)&gt;1,"Duplicate","OK")</f>
        <v>OK</v>
      </c>
      <c r="C81" t="str">
        <f>IF(LEN(TRIM(Controls_Raw!I81))=0,"Missing","OK")</f>
        <v>OK</v>
      </c>
      <c r="D81" t="str">
        <f>IF(LEN(TRIM(Controls_Raw!N81))=0,"Missing","OK")</f>
        <v>OK</v>
      </c>
      <c r="E81" t="str">
        <f>IF(OR(Controls_Raw!G81="USA",Controls_Raw!G81="UK"),"Standardize","OK")</f>
        <v>OK</v>
      </c>
      <c r="F81" t="str">
        <f>IF(Controls_Raw!E81&lt;&gt;TRIM(Controls_Raw!E81),"Trim","OK")</f>
        <v>OK</v>
      </c>
      <c r="G81" t="str">
        <f>IF(AND(Controls_Raw!L81&lt;DATE(2026,9,30),Controls_Raw!M81&lt;&gt;"Completed"),"Overdue","OK")</f>
        <v>OK</v>
      </c>
      <c r="H81" t="str">
        <f>IF(AND(Controls_Raw!Q81&lt;DATE(2026,9,30),Controls_Raw!R81&lt;&gt;"Completed",Controls_Raw!R81&lt;&gt;"Not Required"),"Overdue","OK")</f>
        <v>Overdue</v>
      </c>
      <c r="I81" t="str">
        <f t="shared" si="1"/>
        <v>Issue</v>
      </c>
    </row>
    <row r="82" spans="1:9" x14ac:dyDescent="0.2">
      <c r="A82" t="str">
        <f>Controls_Raw!A82</f>
        <v>CTRL-0078</v>
      </c>
      <c r="B82" t="str">
        <f>IF(COUNTIF(Controls_Raw!$A$5:$A$1504,A82)&gt;1,"Duplicate","OK")</f>
        <v>OK</v>
      </c>
      <c r="C82" t="str">
        <f>IF(LEN(TRIM(Controls_Raw!I82))=0,"Missing","OK")</f>
        <v>OK</v>
      </c>
      <c r="D82" t="str">
        <f>IF(LEN(TRIM(Controls_Raw!N82))=0,"Missing","OK")</f>
        <v>OK</v>
      </c>
      <c r="E82" t="str">
        <f>IF(OR(Controls_Raw!G82="USA",Controls_Raw!G82="UK"),"Standardize","OK")</f>
        <v>OK</v>
      </c>
      <c r="F82" t="str">
        <f>IF(Controls_Raw!E82&lt;&gt;TRIM(Controls_Raw!E82),"Trim","OK")</f>
        <v>OK</v>
      </c>
      <c r="G82" t="str">
        <f>IF(AND(Controls_Raw!L82&lt;DATE(2026,9,30),Controls_Raw!M82&lt;&gt;"Completed"),"Overdue","OK")</f>
        <v>Overdue</v>
      </c>
      <c r="H82" t="str">
        <f>IF(AND(Controls_Raw!Q82&lt;DATE(2026,9,30),Controls_Raw!R82&lt;&gt;"Completed",Controls_Raw!R82&lt;&gt;"Not Required"),"Overdue","OK")</f>
        <v>Overdue</v>
      </c>
      <c r="I82" t="str">
        <f t="shared" si="1"/>
        <v>Issue</v>
      </c>
    </row>
    <row r="83" spans="1:9" x14ac:dyDescent="0.2">
      <c r="A83" t="str">
        <f>Controls_Raw!A83</f>
        <v>CTRL-0079</v>
      </c>
      <c r="B83" t="str">
        <f>IF(COUNTIF(Controls_Raw!$A$5:$A$1504,A83)&gt;1,"Duplicate","OK")</f>
        <v>OK</v>
      </c>
      <c r="C83" t="str">
        <f>IF(LEN(TRIM(Controls_Raw!I83))=0,"Missing","OK")</f>
        <v>OK</v>
      </c>
      <c r="D83" t="str">
        <f>IF(LEN(TRIM(Controls_Raw!N83))=0,"Missing","OK")</f>
        <v>OK</v>
      </c>
      <c r="E83" t="str">
        <f>IF(OR(Controls_Raw!G83="USA",Controls_Raw!G83="UK"),"Standardize","OK")</f>
        <v>OK</v>
      </c>
      <c r="F83" t="str">
        <f>IF(Controls_Raw!E83&lt;&gt;TRIM(Controls_Raw!E83),"Trim","OK")</f>
        <v>OK</v>
      </c>
      <c r="G83" t="str">
        <f>IF(AND(Controls_Raw!L83&lt;DATE(2026,9,30),Controls_Raw!M83&lt;&gt;"Completed"),"Overdue","OK")</f>
        <v>Overdue</v>
      </c>
      <c r="H83" t="str">
        <f>IF(AND(Controls_Raw!Q83&lt;DATE(2026,9,30),Controls_Raw!R83&lt;&gt;"Completed",Controls_Raw!R83&lt;&gt;"Not Required"),"Overdue","OK")</f>
        <v>OK</v>
      </c>
      <c r="I83" t="str">
        <f t="shared" si="1"/>
        <v>Issue</v>
      </c>
    </row>
    <row r="84" spans="1:9" x14ac:dyDescent="0.2">
      <c r="A84" t="str">
        <f>Controls_Raw!A84</f>
        <v>CTRL-0080</v>
      </c>
      <c r="B84" t="str">
        <f>IF(COUNTIF(Controls_Raw!$A$5:$A$1504,A84)&gt;1,"Duplicate","OK")</f>
        <v>OK</v>
      </c>
      <c r="C84" t="str">
        <f>IF(LEN(TRIM(Controls_Raw!I84))=0,"Missing","OK")</f>
        <v>OK</v>
      </c>
      <c r="D84" t="str">
        <f>IF(LEN(TRIM(Controls_Raw!N84))=0,"Missing","OK")</f>
        <v>OK</v>
      </c>
      <c r="E84" t="str">
        <f>IF(OR(Controls_Raw!G84="USA",Controls_Raw!G84="UK"),"Standardize","OK")</f>
        <v>OK</v>
      </c>
      <c r="F84" t="str">
        <f>IF(Controls_Raw!E84&lt;&gt;TRIM(Controls_Raw!E84),"Trim","OK")</f>
        <v>OK</v>
      </c>
      <c r="G84" t="str">
        <f>IF(AND(Controls_Raw!L84&lt;DATE(2026,9,30),Controls_Raw!M84&lt;&gt;"Completed"),"Overdue","OK")</f>
        <v>Overdue</v>
      </c>
      <c r="H84" t="str">
        <f>IF(AND(Controls_Raw!Q84&lt;DATE(2026,9,30),Controls_Raw!R84&lt;&gt;"Completed",Controls_Raw!R84&lt;&gt;"Not Required"),"Overdue","OK")</f>
        <v>OK</v>
      </c>
      <c r="I84" t="str">
        <f t="shared" si="1"/>
        <v>Issue</v>
      </c>
    </row>
    <row r="85" spans="1:9" x14ac:dyDescent="0.2">
      <c r="A85" t="str">
        <f>Controls_Raw!A85</f>
        <v>CTRL-0081</v>
      </c>
      <c r="B85" t="str">
        <f>IF(COUNTIF(Controls_Raw!$A$5:$A$1504,A85)&gt;1,"Duplicate","OK")</f>
        <v>OK</v>
      </c>
      <c r="C85" t="str">
        <f>IF(LEN(TRIM(Controls_Raw!I85))=0,"Missing","OK")</f>
        <v>OK</v>
      </c>
      <c r="D85" t="str">
        <f>IF(LEN(TRIM(Controls_Raw!N85))=0,"Missing","OK")</f>
        <v>OK</v>
      </c>
      <c r="E85" t="str">
        <f>IF(OR(Controls_Raw!G85="USA",Controls_Raw!G85="UK"),"Standardize","OK")</f>
        <v>OK</v>
      </c>
      <c r="F85" t="str">
        <f>IF(Controls_Raw!E85&lt;&gt;TRIM(Controls_Raw!E85),"Trim","OK")</f>
        <v>OK</v>
      </c>
      <c r="G85" t="str">
        <f>IF(AND(Controls_Raw!L85&lt;DATE(2026,9,30),Controls_Raw!M85&lt;&gt;"Completed"),"Overdue","OK")</f>
        <v>OK</v>
      </c>
      <c r="H85" t="str">
        <f>IF(AND(Controls_Raw!Q85&lt;DATE(2026,9,30),Controls_Raw!R85&lt;&gt;"Completed",Controls_Raw!R85&lt;&gt;"Not Required"),"Overdue","OK")</f>
        <v>Overdue</v>
      </c>
      <c r="I85" t="str">
        <f t="shared" si="1"/>
        <v>Issue</v>
      </c>
    </row>
    <row r="86" spans="1:9" x14ac:dyDescent="0.2">
      <c r="A86" t="str">
        <f>Controls_Raw!A86</f>
        <v>CTRL-0082</v>
      </c>
      <c r="B86" t="str">
        <f>IF(COUNTIF(Controls_Raw!$A$5:$A$1504,A86)&gt;1,"Duplicate","OK")</f>
        <v>OK</v>
      </c>
      <c r="C86" t="str">
        <f>IF(LEN(TRIM(Controls_Raw!I86))=0,"Missing","OK")</f>
        <v>OK</v>
      </c>
      <c r="D86" t="str">
        <f>IF(LEN(TRIM(Controls_Raw!N86))=0,"Missing","OK")</f>
        <v>OK</v>
      </c>
      <c r="E86" t="str">
        <f>IF(OR(Controls_Raw!G86="USA",Controls_Raw!G86="UK"),"Standardize","OK")</f>
        <v>OK</v>
      </c>
      <c r="F86" t="str">
        <f>IF(Controls_Raw!E86&lt;&gt;TRIM(Controls_Raw!E86),"Trim","OK")</f>
        <v>OK</v>
      </c>
      <c r="G86" t="str">
        <f>IF(AND(Controls_Raw!L86&lt;DATE(2026,9,30),Controls_Raw!M86&lt;&gt;"Completed"),"Overdue","OK")</f>
        <v>Overdue</v>
      </c>
      <c r="H86" t="str">
        <f>IF(AND(Controls_Raw!Q86&lt;DATE(2026,9,30),Controls_Raw!R86&lt;&gt;"Completed",Controls_Raw!R86&lt;&gt;"Not Required"),"Overdue","OK")</f>
        <v>Overdue</v>
      </c>
      <c r="I86" t="str">
        <f t="shared" si="1"/>
        <v>Issue</v>
      </c>
    </row>
    <row r="87" spans="1:9" x14ac:dyDescent="0.2">
      <c r="A87" t="str">
        <f>Controls_Raw!A87</f>
        <v>CTRL-0083</v>
      </c>
      <c r="B87" t="str">
        <f>IF(COUNTIF(Controls_Raw!$A$5:$A$1504,A87)&gt;1,"Duplicate","OK")</f>
        <v>OK</v>
      </c>
      <c r="C87" t="str">
        <f>IF(LEN(TRIM(Controls_Raw!I87))=0,"Missing","OK")</f>
        <v>OK</v>
      </c>
      <c r="D87" t="str">
        <f>IF(LEN(TRIM(Controls_Raw!N87))=0,"Missing","OK")</f>
        <v>OK</v>
      </c>
      <c r="E87" t="str">
        <f>IF(OR(Controls_Raw!G87="USA",Controls_Raw!G87="UK"),"Standardize","OK")</f>
        <v>OK</v>
      </c>
      <c r="F87" t="str">
        <f>IF(Controls_Raw!E87&lt;&gt;TRIM(Controls_Raw!E87),"Trim","OK")</f>
        <v>OK</v>
      </c>
      <c r="G87" t="str">
        <f>IF(AND(Controls_Raw!L87&lt;DATE(2026,9,30),Controls_Raw!M87&lt;&gt;"Completed"),"Overdue","OK")</f>
        <v>OK</v>
      </c>
      <c r="H87" t="str">
        <f>IF(AND(Controls_Raw!Q87&lt;DATE(2026,9,30),Controls_Raw!R87&lt;&gt;"Completed",Controls_Raw!R87&lt;&gt;"Not Required"),"Overdue","OK")</f>
        <v>OK</v>
      </c>
      <c r="I87" t="str">
        <f t="shared" si="1"/>
        <v>Pass</v>
      </c>
    </row>
    <row r="88" spans="1:9" x14ac:dyDescent="0.2">
      <c r="A88" t="str">
        <f>Controls_Raw!A88</f>
        <v>CTRL-0084</v>
      </c>
      <c r="B88" t="str">
        <f>IF(COUNTIF(Controls_Raw!$A$5:$A$1504,A88)&gt;1,"Duplicate","OK")</f>
        <v>OK</v>
      </c>
      <c r="C88" t="str">
        <f>IF(LEN(TRIM(Controls_Raw!I88))=0,"Missing","OK")</f>
        <v>OK</v>
      </c>
      <c r="D88" t="str">
        <f>IF(LEN(TRIM(Controls_Raw!N88))=0,"Missing","OK")</f>
        <v>Missing</v>
      </c>
      <c r="E88" t="str">
        <f>IF(OR(Controls_Raw!G88="USA",Controls_Raw!G88="UK"),"Standardize","OK")</f>
        <v>OK</v>
      </c>
      <c r="F88" t="str">
        <f>IF(Controls_Raw!E88&lt;&gt;TRIM(Controls_Raw!E88),"Trim","OK")</f>
        <v>OK</v>
      </c>
      <c r="G88" t="str">
        <f>IF(AND(Controls_Raw!L88&lt;DATE(2026,9,30),Controls_Raw!M88&lt;&gt;"Completed"),"Overdue","OK")</f>
        <v>Overdue</v>
      </c>
      <c r="H88" t="str">
        <f>IF(AND(Controls_Raw!Q88&lt;DATE(2026,9,30),Controls_Raw!R88&lt;&gt;"Completed",Controls_Raw!R88&lt;&gt;"Not Required"),"Overdue","OK")</f>
        <v>OK</v>
      </c>
      <c r="I88" t="str">
        <f t="shared" si="1"/>
        <v>Issue</v>
      </c>
    </row>
    <row r="89" spans="1:9" x14ac:dyDescent="0.2">
      <c r="A89" t="str">
        <f>Controls_Raw!A89</f>
        <v>CTRL-0085</v>
      </c>
      <c r="B89" t="str">
        <f>IF(COUNTIF(Controls_Raw!$A$5:$A$1504,A89)&gt;1,"Duplicate","OK")</f>
        <v>OK</v>
      </c>
      <c r="C89" t="str">
        <f>IF(LEN(TRIM(Controls_Raw!I89))=0,"Missing","OK")</f>
        <v>OK</v>
      </c>
      <c r="D89" t="str">
        <f>IF(LEN(TRIM(Controls_Raw!N89))=0,"Missing","OK")</f>
        <v>OK</v>
      </c>
      <c r="E89" t="str">
        <f>IF(OR(Controls_Raw!G89="USA",Controls_Raw!G89="UK"),"Standardize","OK")</f>
        <v>OK</v>
      </c>
      <c r="F89" t="str">
        <f>IF(Controls_Raw!E89&lt;&gt;TRIM(Controls_Raw!E89),"Trim","OK")</f>
        <v>OK</v>
      </c>
      <c r="G89" t="str">
        <f>IF(AND(Controls_Raw!L89&lt;DATE(2026,9,30),Controls_Raw!M89&lt;&gt;"Completed"),"Overdue","OK")</f>
        <v>OK</v>
      </c>
      <c r="H89" t="str">
        <f>IF(AND(Controls_Raw!Q89&lt;DATE(2026,9,30),Controls_Raw!R89&lt;&gt;"Completed",Controls_Raw!R89&lt;&gt;"Not Required"),"Overdue","OK")</f>
        <v>Overdue</v>
      </c>
      <c r="I89" t="str">
        <f t="shared" si="1"/>
        <v>Issue</v>
      </c>
    </row>
    <row r="90" spans="1:9" x14ac:dyDescent="0.2">
      <c r="A90" t="str">
        <f>Controls_Raw!A90</f>
        <v>CTRL-0086</v>
      </c>
      <c r="B90" t="str">
        <f>IF(COUNTIF(Controls_Raw!$A$5:$A$1504,A90)&gt;1,"Duplicate","OK")</f>
        <v>OK</v>
      </c>
      <c r="C90" t="str">
        <f>IF(LEN(TRIM(Controls_Raw!I90))=0,"Missing","OK")</f>
        <v>OK</v>
      </c>
      <c r="D90" t="str">
        <f>IF(LEN(TRIM(Controls_Raw!N90))=0,"Missing","OK")</f>
        <v>OK</v>
      </c>
      <c r="E90" t="str">
        <f>IF(OR(Controls_Raw!G90="USA",Controls_Raw!G90="UK"),"Standardize","OK")</f>
        <v>OK</v>
      </c>
      <c r="F90" t="str">
        <f>IF(Controls_Raw!E90&lt;&gt;TRIM(Controls_Raw!E90),"Trim","OK")</f>
        <v>OK</v>
      </c>
      <c r="G90" t="str">
        <f>IF(AND(Controls_Raw!L90&lt;DATE(2026,9,30),Controls_Raw!M90&lt;&gt;"Completed"),"Overdue","OK")</f>
        <v>OK</v>
      </c>
      <c r="H90" t="str">
        <f>IF(AND(Controls_Raw!Q90&lt;DATE(2026,9,30),Controls_Raw!R90&lt;&gt;"Completed",Controls_Raw!R90&lt;&gt;"Not Required"),"Overdue","OK")</f>
        <v>Overdue</v>
      </c>
      <c r="I90" t="str">
        <f t="shared" si="1"/>
        <v>Issue</v>
      </c>
    </row>
    <row r="91" spans="1:9" x14ac:dyDescent="0.2">
      <c r="A91" t="str">
        <f>Controls_Raw!A91</f>
        <v>CTRL-0087</v>
      </c>
      <c r="B91" t="str">
        <f>IF(COUNTIF(Controls_Raw!$A$5:$A$1504,A91)&gt;1,"Duplicate","OK")</f>
        <v>OK</v>
      </c>
      <c r="C91" t="str">
        <f>IF(LEN(TRIM(Controls_Raw!I91))=0,"Missing","OK")</f>
        <v>OK</v>
      </c>
      <c r="D91" t="str">
        <f>IF(LEN(TRIM(Controls_Raw!N91))=0,"Missing","OK")</f>
        <v>OK</v>
      </c>
      <c r="E91" t="str">
        <f>IF(OR(Controls_Raw!G91="USA",Controls_Raw!G91="UK"),"Standardize","OK")</f>
        <v>OK</v>
      </c>
      <c r="F91" t="str">
        <f>IF(Controls_Raw!E91&lt;&gt;TRIM(Controls_Raw!E91),"Trim","OK")</f>
        <v>OK</v>
      </c>
      <c r="G91" t="str">
        <f>IF(AND(Controls_Raw!L91&lt;DATE(2026,9,30),Controls_Raw!M91&lt;&gt;"Completed"),"Overdue","OK")</f>
        <v>Overdue</v>
      </c>
      <c r="H91" t="str">
        <f>IF(AND(Controls_Raw!Q91&lt;DATE(2026,9,30),Controls_Raw!R91&lt;&gt;"Completed",Controls_Raw!R91&lt;&gt;"Not Required"),"Overdue","OK")</f>
        <v>OK</v>
      </c>
      <c r="I91" t="str">
        <f t="shared" si="1"/>
        <v>Issue</v>
      </c>
    </row>
    <row r="92" spans="1:9" x14ac:dyDescent="0.2">
      <c r="A92" t="str">
        <f>Controls_Raw!A92</f>
        <v>CTRL-0088</v>
      </c>
      <c r="B92" t="str">
        <f>IF(COUNTIF(Controls_Raw!$A$5:$A$1504,A92)&gt;1,"Duplicate","OK")</f>
        <v>OK</v>
      </c>
      <c r="C92" t="str">
        <f>IF(LEN(TRIM(Controls_Raw!I92))=0,"Missing","OK")</f>
        <v>OK</v>
      </c>
      <c r="D92" t="str">
        <f>IF(LEN(TRIM(Controls_Raw!N92))=0,"Missing","OK")</f>
        <v>OK</v>
      </c>
      <c r="E92" t="str">
        <f>IF(OR(Controls_Raw!G92="USA",Controls_Raw!G92="UK"),"Standardize","OK")</f>
        <v>OK</v>
      </c>
      <c r="F92" t="str">
        <f>IF(Controls_Raw!E92&lt;&gt;TRIM(Controls_Raw!E92),"Trim","OK")</f>
        <v>OK</v>
      </c>
      <c r="G92" t="str">
        <f>IF(AND(Controls_Raw!L92&lt;DATE(2026,9,30),Controls_Raw!M92&lt;&gt;"Completed"),"Overdue","OK")</f>
        <v>OK</v>
      </c>
      <c r="H92" t="str">
        <f>IF(AND(Controls_Raw!Q92&lt;DATE(2026,9,30),Controls_Raw!R92&lt;&gt;"Completed",Controls_Raw!R92&lt;&gt;"Not Required"),"Overdue","OK")</f>
        <v>OK</v>
      </c>
      <c r="I92" t="str">
        <f t="shared" si="1"/>
        <v>Pass</v>
      </c>
    </row>
    <row r="93" spans="1:9" x14ac:dyDescent="0.2">
      <c r="A93" t="str">
        <f>Controls_Raw!A93</f>
        <v>CTRL-0089</v>
      </c>
      <c r="B93" t="str">
        <f>IF(COUNTIF(Controls_Raw!$A$5:$A$1504,A93)&gt;1,"Duplicate","OK")</f>
        <v>OK</v>
      </c>
      <c r="C93" t="str">
        <f>IF(LEN(TRIM(Controls_Raw!I93))=0,"Missing","OK")</f>
        <v>OK</v>
      </c>
      <c r="D93" t="str">
        <f>IF(LEN(TRIM(Controls_Raw!N93))=0,"Missing","OK")</f>
        <v>OK</v>
      </c>
      <c r="E93" t="str">
        <f>IF(OR(Controls_Raw!G93="USA",Controls_Raw!G93="UK"),"Standardize","OK")</f>
        <v>OK</v>
      </c>
      <c r="F93" t="str">
        <f>IF(Controls_Raw!E93&lt;&gt;TRIM(Controls_Raw!E93),"Trim","OK")</f>
        <v>OK</v>
      </c>
      <c r="G93" t="str">
        <f>IF(AND(Controls_Raw!L93&lt;DATE(2026,9,30),Controls_Raw!M93&lt;&gt;"Completed"),"Overdue","OK")</f>
        <v>Overdue</v>
      </c>
      <c r="H93" t="str">
        <f>IF(AND(Controls_Raw!Q93&lt;DATE(2026,9,30),Controls_Raw!R93&lt;&gt;"Completed",Controls_Raw!R93&lt;&gt;"Not Required"),"Overdue","OK")</f>
        <v>Overdue</v>
      </c>
      <c r="I93" t="str">
        <f t="shared" si="1"/>
        <v>Issue</v>
      </c>
    </row>
    <row r="94" spans="1:9" x14ac:dyDescent="0.2">
      <c r="A94" t="str">
        <f>Controls_Raw!A94</f>
        <v>CTRL-0090</v>
      </c>
      <c r="B94" t="str">
        <f>IF(COUNTIF(Controls_Raw!$A$5:$A$1504,A94)&gt;1,"Duplicate","OK")</f>
        <v>OK</v>
      </c>
      <c r="C94" t="str">
        <f>IF(LEN(TRIM(Controls_Raw!I94))=0,"Missing","OK")</f>
        <v>OK</v>
      </c>
      <c r="D94" t="str">
        <f>IF(LEN(TRIM(Controls_Raw!N94))=0,"Missing","OK")</f>
        <v>OK</v>
      </c>
      <c r="E94" t="str">
        <f>IF(OR(Controls_Raw!G94="USA",Controls_Raw!G94="UK"),"Standardize","OK")</f>
        <v>OK</v>
      </c>
      <c r="F94" t="str">
        <f>IF(Controls_Raw!E94&lt;&gt;TRIM(Controls_Raw!E94),"Trim","OK")</f>
        <v>OK</v>
      </c>
      <c r="G94" t="str">
        <f>IF(AND(Controls_Raw!L94&lt;DATE(2026,9,30),Controls_Raw!M94&lt;&gt;"Completed"),"Overdue","OK")</f>
        <v>OK</v>
      </c>
      <c r="H94" t="str">
        <f>IF(AND(Controls_Raw!Q94&lt;DATE(2026,9,30),Controls_Raw!R94&lt;&gt;"Completed",Controls_Raw!R94&lt;&gt;"Not Required"),"Overdue","OK")</f>
        <v>OK</v>
      </c>
      <c r="I94" t="str">
        <f t="shared" si="1"/>
        <v>Pass</v>
      </c>
    </row>
    <row r="95" spans="1:9" x14ac:dyDescent="0.2">
      <c r="A95" t="str">
        <f>Controls_Raw!A95</f>
        <v>CTRL-0091</v>
      </c>
      <c r="B95" t="str">
        <f>IF(COUNTIF(Controls_Raw!$A$5:$A$1504,A95)&gt;1,"Duplicate","OK")</f>
        <v>OK</v>
      </c>
      <c r="C95" t="str">
        <f>IF(LEN(TRIM(Controls_Raw!I95))=0,"Missing","OK")</f>
        <v>OK</v>
      </c>
      <c r="D95" t="str">
        <f>IF(LEN(TRIM(Controls_Raw!N95))=0,"Missing","OK")</f>
        <v>OK</v>
      </c>
      <c r="E95" t="str">
        <f>IF(OR(Controls_Raw!G95="USA",Controls_Raw!G95="UK"),"Standardize","OK")</f>
        <v>OK</v>
      </c>
      <c r="F95" t="str">
        <f>IF(Controls_Raw!E95&lt;&gt;TRIM(Controls_Raw!E95),"Trim","OK")</f>
        <v>OK</v>
      </c>
      <c r="G95" t="str">
        <f>IF(AND(Controls_Raw!L95&lt;DATE(2026,9,30),Controls_Raw!M95&lt;&gt;"Completed"),"Overdue","OK")</f>
        <v>Overdue</v>
      </c>
      <c r="H95" t="str">
        <f>IF(AND(Controls_Raw!Q95&lt;DATE(2026,9,30),Controls_Raw!R95&lt;&gt;"Completed",Controls_Raw!R95&lt;&gt;"Not Required"),"Overdue","OK")</f>
        <v>OK</v>
      </c>
      <c r="I95" t="str">
        <f t="shared" si="1"/>
        <v>Issue</v>
      </c>
    </row>
    <row r="96" spans="1:9" x14ac:dyDescent="0.2">
      <c r="A96" t="str">
        <f>Controls_Raw!A96</f>
        <v>CTRL-0092</v>
      </c>
      <c r="B96" t="str">
        <f>IF(COUNTIF(Controls_Raw!$A$5:$A$1504,A96)&gt;1,"Duplicate","OK")</f>
        <v>OK</v>
      </c>
      <c r="C96" t="str">
        <f>IF(LEN(TRIM(Controls_Raw!I96))=0,"Missing","OK")</f>
        <v>OK</v>
      </c>
      <c r="D96" t="str">
        <f>IF(LEN(TRIM(Controls_Raw!N96))=0,"Missing","OK")</f>
        <v>OK</v>
      </c>
      <c r="E96" t="str">
        <f>IF(OR(Controls_Raw!G96="USA",Controls_Raw!G96="UK"),"Standardize","OK")</f>
        <v>OK</v>
      </c>
      <c r="F96" t="str">
        <f>IF(Controls_Raw!E96&lt;&gt;TRIM(Controls_Raw!E96),"Trim","OK")</f>
        <v>OK</v>
      </c>
      <c r="G96" t="str">
        <f>IF(AND(Controls_Raw!L96&lt;DATE(2026,9,30),Controls_Raw!M96&lt;&gt;"Completed"),"Overdue","OK")</f>
        <v>OK</v>
      </c>
      <c r="H96" t="str">
        <f>IF(AND(Controls_Raw!Q96&lt;DATE(2026,9,30),Controls_Raw!R96&lt;&gt;"Completed",Controls_Raw!R96&lt;&gt;"Not Required"),"Overdue","OK")</f>
        <v>OK</v>
      </c>
      <c r="I96" t="str">
        <f t="shared" si="1"/>
        <v>Pass</v>
      </c>
    </row>
    <row r="97" spans="1:9" x14ac:dyDescent="0.2">
      <c r="A97" t="str">
        <f>Controls_Raw!A97</f>
        <v>CTRL-0093</v>
      </c>
      <c r="B97" t="str">
        <f>IF(COUNTIF(Controls_Raw!$A$5:$A$1504,A97)&gt;1,"Duplicate","OK")</f>
        <v>OK</v>
      </c>
      <c r="C97" t="str">
        <f>IF(LEN(TRIM(Controls_Raw!I97))=0,"Missing","OK")</f>
        <v>OK</v>
      </c>
      <c r="D97" t="str">
        <f>IF(LEN(TRIM(Controls_Raw!N97))=0,"Missing","OK")</f>
        <v>OK</v>
      </c>
      <c r="E97" t="str">
        <f>IF(OR(Controls_Raw!G97="USA",Controls_Raw!G97="UK"),"Standardize","OK")</f>
        <v>OK</v>
      </c>
      <c r="F97" t="str">
        <f>IF(Controls_Raw!E97&lt;&gt;TRIM(Controls_Raw!E97),"Trim","OK")</f>
        <v>OK</v>
      </c>
      <c r="G97" t="str">
        <f>IF(AND(Controls_Raw!L97&lt;DATE(2026,9,30),Controls_Raw!M97&lt;&gt;"Completed"),"Overdue","OK")</f>
        <v>OK</v>
      </c>
      <c r="H97" t="str">
        <f>IF(AND(Controls_Raw!Q97&lt;DATE(2026,9,30),Controls_Raw!R97&lt;&gt;"Completed",Controls_Raw!R97&lt;&gt;"Not Required"),"Overdue","OK")</f>
        <v>OK</v>
      </c>
      <c r="I97" t="str">
        <f t="shared" si="1"/>
        <v>Pass</v>
      </c>
    </row>
    <row r="98" spans="1:9" x14ac:dyDescent="0.2">
      <c r="A98" t="str">
        <f>Controls_Raw!A98</f>
        <v>CTRL-0094</v>
      </c>
      <c r="B98" t="str">
        <f>IF(COUNTIF(Controls_Raw!$A$5:$A$1504,A98)&gt;1,"Duplicate","OK")</f>
        <v>OK</v>
      </c>
      <c r="C98" t="str">
        <f>IF(LEN(TRIM(Controls_Raw!I98))=0,"Missing","OK")</f>
        <v>OK</v>
      </c>
      <c r="D98" t="str">
        <f>IF(LEN(TRIM(Controls_Raw!N98))=0,"Missing","OK")</f>
        <v>OK</v>
      </c>
      <c r="E98" t="str">
        <f>IF(OR(Controls_Raw!G98="USA",Controls_Raw!G98="UK"),"Standardize","OK")</f>
        <v>OK</v>
      </c>
      <c r="F98" t="str">
        <f>IF(Controls_Raw!E98&lt;&gt;TRIM(Controls_Raw!E98),"Trim","OK")</f>
        <v>OK</v>
      </c>
      <c r="G98" t="str">
        <f>IF(AND(Controls_Raw!L98&lt;DATE(2026,9,30),Controls_Raw!M98&lt;&gt;"Completed"),"Overdue","OK")</f>
        <v>OK</v>
      </c>
      <c r="H98" t="str">
        <f>IF(AND(Controls_Raw!Q98&lt;DATE(2026,9,30),Controls_Raw!R98&lt;&gt;"Completed",Controls_Raw!R98&lt;&gt;"Not Required"),"Overdue","OK")</f>
        <v>OK</v>
      </c>
      <c r="I98" t="str">
        <f t="shared" si="1"/>
        <v>Pass</v>
      </c>
    </row>
    <row r="99" spans="1:9" x14ac:dyDescent="0.2">
      <c r="A99" t="str">
        <f>Controls_Raw!A99</f>
        <v>CTRL-0095</v>
      </c>
      <c r="B99" t="str">
        <f>IF(COUNTIF(Controls_Raw!$A$5:$A$1504,A99)&gt;1,"Duplicate","OK")</f>
        <v>OK</v>
      </c>
      <c r="C99" t="str">
        <f>IF(LEN(TRIM(Controls_Raw!I99))=0,"Missing","OK")</f>
        <v>Missing</v>
      </c>
      <c r="D99" t="str">
        <f>IF(LEN(TRIM(Controls_Raw!N99))=0,"Missing","OK")</f>
        <v>OK</v>
      </c>
      <c r="E99" t="str">
        <f>IF(OR(Controls_Raw!G99="USA",Controls_Raw!G99="UK"),"Standardize","OK")</f>
        <v>OK</v>
      </c>
      <c r="F99" t="str">
        <f>IF(Controls_Raw!E99&lt;&gt;TRIM(Controls_Raw!E99),"Trim","OK")</f>
        <v>OK</v>
      </c>
      <c r="G99" t="str">
        <f>IF(AND(Controls_Raw!L99&lt;DATE(2026,9,30),Controls_Raw!M99&lt;&gt;"Completed"),"Overdue","OK")</f>
        <v>OK</v>
      </c>
      <c r="H99" t="str">
        <f>IF(AND(Controls_Raw!Q99&lt;DATE(2026,9,30),Controls_Raw!R99&lt;&gt;"Completed",Controls_Raw!R99&lt;&gt;"Not Required"),"Overdue","OK")</f>
        <v>Overdue</v>
      </c>
      <c r="I99" t="str">
        <f t="shared" si="1"/>
        <v>Issue</v>
      </c>
    </row>
    <row r="100" spans="1:9" x14ac:dyDescent="0.2">
      <c r="A100" t="str">
        <f>Controls_Raw!A100</f>
        <v>CTRL-0096</v>
      </c>
      <c r="B100" t="str">
        <f>IF(COUNTIF(Controls_Raw!$A$5:$A$1504,A100)&gt;1,"Duplicate","OK")</f>
        <v>OK</v>
      </c>
      <c r="C100" t="str">
        <f>IF(LEN(TRIM(Controls_Raw!I100))=0,"Missing","OK")</f>
        <v>OK</v>
      </c>
      <c r="D100" t="str">
        <f>IF(LEN(TRIM(Controls_Raw!N100))=0,"Missing","OK")</f>
        <v>OK</v>
      </c>
      <c r="E100" t="str">
        <f>IF(OR(Controls_Raw!G100="USA",Controls_Raw!G100="UK"),"Standardize","OK")</f>
        <v>OK</v>
      </c>
      <c r="F100" t="str">
        <f>IF(Controls_Raw!E100&lt;&gt;TRIM(Controls_Raw!E100),"Trim","OK")</f>
        <v>OK</v>
      </c>
      <c r="G100" t="str">
        <f>IF(AND(Controls_Raw!L100&lt;DATE(2026,9,30),Controls_Raw!M100&lt;&gt;"Completed"),"Overdue","OK")</f>
        <v>OK</v>
      </c>
      <c r="H100" t="str">
        <f>IF(AND(Controls_Raw!Q100&lt;DATE(2026,9,30),Controls_Raw!R100&lt;&gt;"Completed",Controls_Raw!R100&lt;&gt;"Not Required"),"Overdue","OK")</f>
        <v>OK</v>
      </c>
      <c r="I100" t="str">
        <f t="shared" si="1"/>
        <v>Pass</v>
      </c>
    </row>
    <row r="101" spans="1:9" x14ac:dyDescent="0.2">
      <c r="A101" t="str">
        <f>Controls_Raw!A101</f>
        <v>CTRL-0097</v>
      </c>
      <c r="B101" t="str">
        <f>IF(COUNTIF(Controls_Raw!$A$5:$A$1504,A101)&gt;1,"Duplicate","OK")</f>
        <v>OK</v>
      </c>
      <c r="C101" t="str">
        <f>IF(LEN(TRIM(Controls_Raw!I101))=0,"Missing","OK")</f>
        <v>OK</v>
      </c>
      <c r="D101" t="str">
        <f>IF(LEN(TRIM(Controls_Raw!N101))=0,"Missing","OK")</f>
        <v>OK</v>
      </c>
      <c r="E101" t="str">
        <f>IF(OR(Controls_Raw!G101="USA",Controls_Raw!G101="UK"),"Standardize","OK")</f>
        <v>OK</v>
      </c>
      <c r="F101" t="str">
        <f>IF(Controls_Raw!E101&lt;&gt;TRIM(Controls_Raw!E101),"Trim","OK")</f>
        <v>OK</v>
      </c>
      <c r="G101" t="str">
        <f>IF(AND(Controls_Raw!L101&lt;DATE(2026,9,30),Controls_Raw!M101&lt;&gt;"Completed"),"Overdue","OK")</f>
        <v>Overdue</v>
      </c>
      <c r="H101" t="str">
        <f>IF(AND(Controls_Raw!Q101&lt;DATE(2026,9,30),Controls_Raw!R101&lt;&gt;"Completed",Controls_Raw!R101&lt;&gt;"Not Required"),"Overdue","OK")</f>
        <v>OK</v>
      </c>
      <c r="I101" t="str">
        <f t="shared" si="1"/>
        <v>Issue</v>
      </c>
    </row>
    <row r="102" spans="1:9" x14ac:dyDescent="0.2">
      <c r="A102" t="str">
        <f>Controls_Raw!A102</f>
        <v>CTRL-0098</v>
      </c>
      <c r="B102" t="str">
        <f>IF(COUNTIF(Controls_Raw!$A$5:$A$1504,A102)&gt;1,"Duplicate","OK")</f>
        <v>OK</v>
      </c>
      <c r="C102" t="str">
        <f>IF(LEN(TRIM(Controls_Raw!I102))=0,"Missing","OK")</f>
        <v>OK</v>
      </c>
      <c r="D102" t="str">
        <f>IF(LEN(TRIM(Controls_Raw!N102))=0,"Missing","OK")</f>
        <v>OK</v>
      </c>
      <c r="E102" t="str">
        <f>IF(OR(Controls_Raw!G102="USA",Controls_Raw!G102="UK"),"Standardize","OK")</f>
        <v>OK</v>
      </c>
      <c r="F102" t="str">
        <f>IF(Controls_Raw!E102&lt;&gt;TRIM(Controls_Raw!E102),"Trim","OK")</f>
        <v>OK</v>
      </c>
      <c r="G102" t="str">
        <f>IF(AND(Controls_Raw!L102&lt;DATE(2026,9,30),Controls_Raw!M102&lt;&gt;"Completed"),"Overdue","OK")</f>
        <v>Overdue</v>
      </c>
      <c r="H102" t="str">
        <f>IF(AND(Controls_Raw!Q102&lt;DATE(2026,9,30),Controls_Raw!R102&lt;&gt;"Completed",Controls_Raw!R102&lt;&gt;"Not Required"),"Overdue","OK")</f>
        <v>OK</v>
      </c>
      <c r="I102" t="str">
        <f t="shared" si="1"/>
        <v>Issue</v>
      </c>
    </row>
    <row r="103" spans="1:9" x14ac:dyDescent="0.2">
      <c r="A103" t="str">
        <f>Controls_Raw!A103</f>
        <v>CTRL-0099</v>
      </c>
      <c r="B103" t="str">
        <f>IF(COUNTIF(Controls_Raw!$A$5:$A$1504,A103)&gt;1,"Duplicate","OK")</f>
        <v>OK</v>
      </c>
      <c r="C103" t="str">
        <f>IF(LEN(TRIM(Controls_Raw!I103))=0,"Missing","OK")</f>
        <v>OK</v>
      </c>
      <c r="D103" t="str">
        <f>IF(LEN(TRIM(Controls_Raw!N103))=0,"Missing","OK")</f>
        <v>OK</v>
      </c>
      <c r="E103" t="str">
        <f>IF(OR(Controls_Raw!G103="USA",Controls_Raw!G103="UK"),"Standardize","OK")</f>
        <v>OK</v>
      </c>
      <c r="F103" t="str">
        <f>IF(Controls_Raw!E103&lt;&gt;TRIM(Controls_Raw!E103),"Trim","OK")</f>
        <v>OK</v>
      </c>
      <c r="G103" t="str">
        <f>IF(AND(Controls_Raw!L103&lt;DATE(2026,9,30),Controls_Raw!M103&lt;&gt;"Completed"),"Overdue","OK")</f>
        <v>Overdue</v>
      </c>
      <c r="H103" t="str">
        <f>IF(AND(Controls_Raw!Q103&lt;DATE(2026,9,30),Controls_Raw!R103&lt;&gt;"Completed",Controls_Raw!R103&lt;&gt;"Not Required"),"Overdue","OK")</f>
        <v>Overdue</v>
      </c>
      <c r="I103" t="str">
        <f t="shared" si="1"/>
        <v>Issue</v>
      </c>
    </row>
    <row r="104" spans="1:9" x14ac:dyDescent="0.2">
      <c r="A104" t="str">
        <f>Controls_Raw!A104</f>
        <v>CTRL-0100</v>
      </c>
      <c r="B104" t="str">
        <f>IF(COUNTIF(Controls_Raw!$A$5:$A$1504,A104)&gt;1,"Duplicate","OK")</f>
        <v>OK</v>
      </c>
      <c r="C104" t="str">
        <f>IF(LEN(TRIM(Controls_Raw!I104))=0,"Missing","OK")</f>
        <v>OK</v>
      </c>
      <c r="D104" t="str">
        <f>IF(LEN(TRIM(Controls_Raw!N104))=0,"Missing","OK")</f>
        <v>OK</v>
      </c>
      <c r="E104" t="str">
        <f>IF(OR(Controls_Raw!G104="USA",Controls_Raw!G104="UK"),"Standardize","OK")</f>
        <v>OK</v>
      </c>
      <c r="F104" t="str">
        <f>IF(Controls_Raw!E104&lt;&gt;TRIM(Controls_Raw!E104),"Trim","OK")</f>
        <v>OK</v>
      </c>
      <c r="G104" t="str">
        <f>IF(AND(Controls_Raw!L104&lt;DATE(2026,9,30),Controls_Raw!M104&lt;&gt;"Completed"),"Overdue","OK")</f>
        <v>Overdue</v>
      </c>
      <c r="H104" t="str">
        <f>IF(AND(Controls_Raw!Q104&lt;DATE(2026,9,30),Controls_Raw!R104&lt;&gt;"Completed",Controls_Raw!R104&lt;&gt;"Not Required"),"Overdue","OK")</f>
        <v>OK</v>
      </c>
      <c r="I104" t="str">
        <f t="shared" si="1"/>
        <v>Issue</v>
      </c>
    </row>
    <row r="105" spans="1:9" x14ac:dyDescent="0.2">
      <c r="A105" t="str">
        <f>Controls_Raw!A105</f>
        <v>CTRL-0101</v>
      </c>
      <c r="B105" t="str">
        <f>IF(COUNTIF(Controls_Raw!$A$5:$A$1504,A105)&gt;1,"Duplicate","OK")</f>
        <v>OK</v>
      </c>
      <c r="C105" t="str">
        <f>IF(LEN(TRIM(Controls_Raw!I105))=0,"Missing","OK")</f>
        <v>OK</v>
      </c>
      <c r="D105" t="str">
        <f>IF(LEN(TRIM(Controls_Raw!N105))=0,"Missing","OK")</f>
        <v>OK</v>
      </c>
      <c r="E105" t="str">
        <f>IF(OR(Controls_Raw!G105="USA",Controls_Raw!G105="UK"),"Standardize","OK")</f>
        <v>OK</v>
      </c>
      <c r="F105" t="str">
        <f>IF(Controls_Raw!E105&lt;&gt;TRIM(Controls_Raw!E105),"Trim","OK")</f>
        <v>OK</v>
      </c>
      <c r="G105" t="str">
        <f>IF(AND(Controls_Raw!L105&lt;DATE(2026,9,30),Controls_Raw!M105&lt;&gt;"Completed"),"Overdue","OK")</f>
        <v>OK</v>
      </c>
      <c r="H105" t="str">
        <f>IF(AND(Controls_Raw!Q105&lt;DATE(2026,9,30),Controls_Raw!R105&lt;&gt;"Completed",Controls_Raw!R105&lt;&gt;"Not Required"),"Overdue","OK")</f>
        <v>OK</v>
      </c>
      <c r="I105" t="str">
        <f t="shared" si="1"/>
        <v>Pass</v>
      </c>
    </row>
    <row r="106" spans="1:9" x14ac:dyDescent="0.2">
      <c r="A106" t="str">
        <f>Controls_Raw!A106</f>
        <v>CTRL-0102</v>
      </c>
      <c r="B106" t="str">
        <f>IF(COUNTIF(Controls_Raw!$A$5:$A$1504,A106)&gt;1,"Duplicate","OK")</f>
        <v>OK</v>
      </c>
      <c r="C106" t="str">
        <f>IF(LEN(TRIM(Controls_Raw!I106))=0,"Missing","OK")</f>
        <v>OK</v>
      </c>
      <c r="D106" t="str">
        <f>IF(LEN(TRIM(Controls_Raw!N106))=0,"Missing","OK")</f>
        <v>OK</v>
      </c>
      <c r="E106" t="str">
        <f>IF(OR(Controls_Raw!G106="USA",Controls_Raw!G106="UK"),"Standardize","OK")</f>
        <v>OK</v>
      </c>
      <c r="F106" t="str">
        <f>IF(Controls_Raw!E106&lt;&gt;TRIM(Controls_Raw!E106),"Trim","OK")</f>
        <v>OK</v>
      </c>
      <c r="G106" t="str">
        <f>IF(AND(Controls_Raw!L106&lt;DATE(2026,9,30),Controls_Raw!M106&lt;&gt;"Completed"),"Overdue","OK")</f>
        <v>Overdue</v>
      </c>
      <c r="H106" t="str">
        <f>IF(AND(Controls_Raw!Q106&lt;DATE(2026,9,30),Controls_Raw!R106&lt;&gt;"Completed",Controls_Raw!R106&lt;&gt;"Not Required"),"Overdue","OK")</f>
        <v>OK</v>
      </c>
      <c r="I106" t="str">
        <f t="shared" si="1"/>
        <v>Issue</v>
      </c>
    </row>
    <row r="107" spans="1:9" x14ac:dyDescent="0.2">
      <c r="A107" t="str">
        <f>Controls_Raw!A107</f>
        <v>CTRL-0103</v>
      </c>
      <c r="B107" t="str">
        <f>IF(COUNTIF(Controls_Raw!$A$5:$A$1504,A107)&gt;1,"Duplicate","OK")</f>
        <v>OK</v>
      </c>
      <c r="C107" t="str">
        <f>IF(LEN(TRIM(Controls_Raw!I107))=0,"Missing","OK")</f>
        <v>OK</v>
      </c>
      <c r="D107" t="str">
        <f>IF(LEN(TRIM(Controls_Raw!N107))=0,"Missing","OK")</f>
        <v>OK</v>
      </c>
      <c r="E107" t="str">
        <f>IF(OR(Controls_Raw!G107="USA",Controls_Raw!G107="UK"),"Standardize","OK")</f>
        <v>OK</v>
      </c>
      <c r="F107" t="str">
        <f>IF(Controls_Raw!E107&lt;&gt;TRIM(Controls_Raw!E107),"Trim","OK")</f>
        <v>OK</v>
      </c>
      <c r="G107" t="str">
        <f>IF(AND(Controls_Raw!L107&lt;DATE(2026,9,30),Controls_Raw!M107&lt;&gt;"Completed"),"Overdue","OK")</f>
        <v>Overdue</v>
      </c>
      <c r="H107" t="str">
        <f>IF(AND(Controls_Raw!Q107&lt;DATE(2026,9,30),Controls_Raw!R107&lt;&gt;"Completed",Controls_Raw!R107&lt;&gt;"Not Required"),"Overdue","OK")</f>
        <v>OK</v>
      </c>
      <c r="I107" t="str">
        <f t="shared" si="1"/>
        <v>Issue</v>
      </c>
    </row>
    <row r="108" spans="1:9" x14ac:dyDescent="0.2">
      <c r="A108" t="str">
        <f>Controls_Raw!A108</f>
        <v>CTRL-0104</v>
      </c>
      <c r="B108" t="str">
        <f>IF(COUNTIF(Controls_Raw!$A$5:$A$1504,A108)&gt;1,"Duplicate","OK")</f>
        <v>OK</v>
      </c>
      <c r="C108" t="str">
        <f>IF(LEN(TRIM(Controls_Raw!I108))=0,"Missing","OK")</f>
        <v>OK</v>
      </c>
      <c r="D108" t="str">
        <f>IF(LEN(TRIM(Controls_Raw!N108))=0,"Missing","OK")</f>
        <v>OK</v>
      </c>
      <c r="E108" t="str">
        <f>IF(OR(Controls_Raw!G108="USA",Controls_Raw!G108="UK"),"Standardize","OK")</f>
        <v>OK</v>
      </c>
      <c r="F108" t="str">
        <f>IF(Controls_Raw!E108&lt;&gt;TRIM(Controls_Raw!E108),"Trim","OK")</f>
        <v>OK</v>
      </c>
      <c r="G108" t="str">
        <f>IF(AND(Controls_Raw!L108&lt;DATE(2026,9,30),Controls_Raw!M108&lt;&gt;"Completed"),"Overdue","OK")</f>
        <v>OK</v>
      </c>
      <c r="H108" t="str">
        <f>IF(AND(Controls_Raw!Q108&lt;DATE(2026,9,30),Controls_Raw!R108&lt;&gt;"Completed",Controls_Raw!R108&lt;&gt;"Not Required"),"Overdue","OK")</f>
        <v>OK</v>
      </c>
      <c r="I108" t="str">
        <f t="shared" si="1"/>
        <v>Pass</v>
      </c>
    </row>
    <row r="109" spans="1:9" x14ac:dyDescent="0.2">
      <c r="A109" t="str">
        <f>Controls_Raw!A109</f>
        <v>CTRL-0105</v>
      </c>
      <c r="B109" t="str">
        <f>IF(COUNTIF(Controls_Raw!$A$5:$A$1504,A109)&gt;1,"Duplicate","OK")</f>
        <v>OK</v>
      </c>
      <c r="C109" t="str">
        <f>IF(LEN(TRIM(Controls_Raw!I109))=0,"Missing","OK")</f>
        <v>OK</v>
      </c>
      <c r="D109" t="str">
        <f>IF(LEN(TRIM(Controls_Raw!N109))=0,"Missing","OK")</f>
        <v>OK</v>
      </c>
      <c r="E109" t="str">
        <f>IF(OR(Controls_Raw!G109="USA",Controls_Raw!G109="UK"),"Standardize","OK")</f>
        <v>OK</v>
      </c>
      <c r="F109" t="str">
        <f>IF(Controls_Raw!E109&lt;&gt;TRIM(Controls_Raw!E109),"Trim","OK")</f>
        <v>OK</v>
      </c>
      <c r="G109" t="str">
        <f>IF(AND(Controls_Raw!L109&lt;DATE(2026,9,30),Controls_Raw!M109&lt;&gt;"Completed"),"Overdue","OK")</f>
        <v>OK</v>
      </c>
      <c r="H109" t="str">
        <f>IF(AND(Controls_Raw!Q109&lt;DATE(2026,9,30),Controls_Raw!R109&lt;&gt;"Completed",Controls_Raw!R109&lt;&gt;"Not Required"),"Overdue","OK")</f>
        <v>OK</v>
      </c>
      <c r="I109" t="str">
        <f t="shared" si="1"/>
        <v>Pass</v>
      </c>
    </row>
    <row r="110" spans="1:9" x14ac:dyDescent="0.2">
      <c r="A110" t="str">
        <f>Controls_Raw!A110</f>
        <v>CTRL-0106</v>
      </c>
      <c r="B110" t="str">
        <f>IF(COUNTIF(Controls_Raw!$A$5:$A$1504,A110)&gt;1,"Duplicate","OK")</f>
        <v>OK</v>
      </c>
      <c r="C110" t="str">
        <f>IF(LEN(TRIM(Controls_Raw!I110))=0,"Missing","OK")</f>
        <v>OK</v>
      </c>
      <c r="D110" t="str">
        <f>IF(LEN(TRIM(Controls_Raw!N110))=0,"Missing","OK")</f>
        <v>OK</v>
      </c>
      <c r="E110" t="str">
        <f>IF(OR(Controls_Raw!G110="USA",Controls_Raw!G110="UK"),"Standardize","OK")</f>
        <v>OK</v>
      </c>
      <c r="F110" t="str">
        <f>IF(Controls_Raw!E110&lt;&gt;TRIM(Controls_Raw!E110),"Trim","OK")</f>
        <v>OK</v>
      </c>
      <c r="G110" t="str">
        <f>IF(AND(Controls_Raw!L110&lt;DATE(2026,9,30),Controls_Raw!M110&lt;&gt;"Completed"),"Overdue","OK")</f>
        <v>Overdue</v>
      </c>
      <c r="H110" t="str">
        <f>IF(AND(Controls_Raw!Q110&lt;DATE(2026,9,30),Controls_Raw!R110&lt;&gt;"Completed",Controls_Raw!R110&lt;&gt;"Not Required"),"Overdue","OK")</f>
        <v>Overdue</v>
      </c>
      <c r="I110" t="str">
        <f t="shared" si="1"/>
        <v>Issue</v>
      </c>
    </row>
    <row r="111" spans="1:9" x14ac:dyDescent="0.2">
      <c r="A111" t="str">
        <f>Controls_Raw!A111</f>
        <v>CTRL-0107</v>
      </c>
      <c r="B111" t="str">
        <f>IF(COUNTIF(Controls_Raw!$A$5:$A$1504,A111)&gt;1,"Duplicate","OK")</f>
        <v>OK</v>
      </c>
      <c r="C111" t="str">
        <f>IF(LEN(TRIM(Controls_Raw!I111))=0,"Missing","OK")</f>
        <v>OK</v>
      </c>
      <c r="D111" t="str">
        <f>IF(LEN(TRIM(Controls_Raw!N111))=0,"Missing","OK")</f>
        <v>OK</v>
      </c>
      <c r="E111" t="str">
        <f>IF(OR(Controls_Raw!G111="USA",Controls_Raw!G111="UK"),"Standardize","OK")</f>
        <v>OK</v>
      </c>
      <c r="F111" t="str">
        <f>IF(Controls_Raw!E111&lt;&gt;TRIM(Controls_Raw!E111),"Trim","OK")</f>
        <v>OK</v>
      </c>
      <c r="G111" t="str">
        <f>IF(AND(Controls_Raw!L111&lt;DATE(2026,9,30),Controls_Raw!M111&lt;&gt;"Completed"),"Overdue","OK")</f>
        <v>Overdue</v>
      </c>
      <c r="H111" t="str">
        <f>IF(AND(Controls_Raw!Q111&lt;DATE(2026,9,30),Controls_Raw!R111&lt;&gt;"Completed",Controls_Raw!R111&lt;&gt;"Not Required"),"Overdue","OK")</f>
        <v>Overdue</v>
      </c>
      <c r="I111" t="str">
        <f t="shared" si="1"/>
        <v>Issue</v>
      </c>
    </row>
    <row r="112" spans="1:9" x14ac:dyDescent="0.2">
      <c r="A112" t="str">
        <f>Controls_Raw!A112</f>
        <v>CTRL-0108</v>
      </c>
      <c r="B112" t="str">
        <f>IF(COUNTIF(Controls_Raw!$A$5:$A$1504,A112)&gt;1,"Duplicate","OK")</f>
        <v>OK</v>
      </c>
      <c r="C112" t="str">
        <f>IF(LEN(TRIM(Controls_Raw!I112))=0,"Missing","OK")</f>
        <v>OK</v>
      </c>
      <c r="D112" t="str">
        <f>IF(LEN(TRIM(Controls_Raw!N112))=0,"Missing","OK")</f>
        <v>OK</v>
      </c>
      <c r="E112" t="str">
        <f>IF(OR(Controls_Raw!G112="USA",Controls_Raw!G112="UK"),"Standardize","OK")</f>
        <v>OK</v>
      </c>
      <c r="F112" t="str">
        <f>IF(Controls_Raw!E112&lt;&gt;TRIM(Controls_Raw!E112),"Trim","OK")</f>
        <v>OK</v>
      </c>
      <c r="G112" t="str">
        <f>IF(AND(Controls_Raw!L112&lt;DATE(2026,9,30),Controls_Raw!M112&lt;&gt;"Completed"),"Overdue","OK")</f>
        <v>OK</v>
      </c>
      <c r="H112" t="str">
        <f>IF(AND(Controls_Raw!Q112&lt;DATE(2026,9,30),Controls_Raw!R112&lt;&gt;"Completed",Controls_Raw!R112&lt;&gt;"Not Required"),"Overdue","OK")</f>
        <v>Overdue</v>
      </c>
      <c r="I112" t="str">
        <f t="shared" si="1"/>
        <v>Issue</v>
      </c>
    </row>
    <row r="113" spans="1:9" x14ac:dyDescent="0.2">
      <c r="A113" t="str">
        <f>Controls_Raw!A113</f>
        <v>CTRL-0109</v>
      </c>
      <c r="B113" t="str">
        <f>IF(COUNTIF(Controls_Raw!$A$5:$A$1504,A113)&gt;1,"Duplicate","OK")</f>
        <v>OK</v>
      </c>
      <c r="C113" t="str">
        <f>IF(LEN(TRIM(Controls_Raw!I113))=0,"Missing","OK")</f>
        <v>OK</v>
      </c>
      <c r="D113" t="str">
        <f>IF(LEN(TRIM(Controls_Raw!N113))=0,"Missing","OK")</f>
        <v>OK</v>
      </c>
      <c r="E113" t="str">
        <f>IF(OR(Controls_Raw!G113="USA",Controls_Raw!G113="UK"),"Standardize","OK")</f>
        <v>OK</v>
      </c>
      <c r="F113" t="str">
        <f>IF(Controls_Raw!E113&lt;&gt;TRIM(Controls_Raw!E113),"Trim","OK")</f>
        <v>OK</v>
      </c>
      <c r="G113" t="str">
        <f>IF(AND(Controls_Raw!L113&lt;DATE(2026,9,30),Controls_Raw!M113&lt;&gt;"Completed"),"Overdue","OK")</f>
        <v>Overdue</v>
      </c>
      <c r="H113" t="str">
        <f>IF(AND(Controls_Raw!Q113&lt;DATE(2026,9,30),Controls_Raw!R113&lt;&gt;"Completed",Controls_Raw!R113&lt;&gt;"Not Required"),"Overdue","OK")</f>
        <v>OK</v>
      </c>
      <c r="I113" t="str">
        <f t="shared" si="1"/>
        <v>Issue</v>
      </c>
    </row>
    <row r="114" spans="1:9" x14ac:dyDescent="0.2">
      <c r="A114" t="str">
        <f>Controls_Raw!A114</f>
        <v>CTRL-0110</v>
      </c>
      <c r="B114" t="str">
        <f>IF(COUNTIF(Controls_Raw!$A$5:$A$1504,A114)&gt;1,"Duplicate","OK")</f>
        <v>OK</v>
      </c>
      <c r="C114" t="str">
        <f>IF(LEN(TRIM(Controls_Raw!I114))=0,"Missing","OK")</f>
        <v>OK</v>
      </c>
      <c r="D114" t="str">
        <f>IF(LEN(TRIM(Controls_Raw!N114))=0,"Missing","OK")</f>
        <v>OK</v>
      </c>
      <c r="E114" t="str">
        <f>IF(OR(Controls_Raw!G114="USA",Controls_Raw!G114="UK"),"Standardize","OK")</f>
        <v>OK</v>
      </c>
      <c r="F114" t="str">
        <f>IF(Controls_Raw!E114&lt;&gt;TRIM(Controls_Raw!E114),"Trim","OK")</f>
        <v>OK</v>
      </c>
      <c r="G114" t="str">
        <f>IF(AND(Controls_Raw!L114&lt;DATE(2026,9,30),Controls_Raw!M114&lt;&gt;"Completed"),"Overdue","OK")</f>
        <v>OK</v>
      </c>
      <c r="H114" t="str">
        <f>IF(AND(Controls_Raw!Q114&lt;DATE(2026,9,30),Controls_Raw!R114&lt;&gt;"Completed",Controls_Raw!R114&lt;&gt;"Not Required"),"Overdue","OK")</f>
        <v>Overdue</v>
      </c>
      <c r="I114" t="str">
        <f t="shared" si="1"/>
        <v>Issue</v>
      </c>
    </row>
    <row r="115" spans="1:9" x14ac:dyDescent="0.2">
      <c r="A115" t="str">
        <f>Controls_Raw!A115</f>
        <v>CTRL-0111</v>
      </c>
      <c r="B115" t="str">
        <f>IF(COUNTIF(Controls_Raw!$A$5:$A$1504,A115)&gt;1,"Duplicate","OK")</f>
        <v>OK</v>
      </c>
      <c r="C115" t="str">
        <f>IF(LEN(TRIM(Controls_Raw!I115))=0,"Missing","OK")</f>
        <v>OK</v>
      </c>
      <c r="D115" t="str">
        <f>IF(LEN(TRIM(Controls_Raw!N115))=0,"Missing","OK")</f>
        <v>OK</v>
      </c>
      <c r="E115" t="str">
        <f>IF(OR(Controls_Raw!G115="USA",Controls_Raw!G115="UK"),"Standardize","OK")</f>
        <v>OK</v>
      </c>
      <c r="F115" t="str">
        <f>IF(Controls_Raw!E115&lt;&gt;TRIM(Controls_Raw!E115),"Trim","OK")</f>
        <v>OK</v>
      </c>
      <c r="G115" t="str">
        <f>IF(AND(Controls_Raw!L115&lt;DATE(2026,9,30),Controls_Raw!M115&lt;&gt;"Completed"),"Overdue","OK")</f>
        <v>Overdue</v>
      </c>
      <c r="H115" t="str">
        <f>IF(AND(Controls_Raw!Q115&lt;DATE(2026,9,30),Controls_Raw!R115&lt;&gt;"Completed",Controls_Raw!R115&lt;&gt;"Not Required"),"Overdue","OK")</f>
        <v>OK</v>
      </c>
      <c r="I115" t="str">
        <f t="shared" si="1"/>
        <v>Issue</v>
      </c>
    </row>
    <row r="116" spans="1:9" x14ac:dyDescent="0.2">
      <c r="A116" t="str">
        <f>Controls_Raw!A116</f>
        <v>CTRL-0112</v>
      </c>
      <c r="B116" t="str">
        <f>IF(COUNTIF(Controls_Raw!$A$5:$A$1504,A116)&gt;1,"Duplicate","OK")</f>
        <v>OK</v>
      </c>
      <c r="C116" t="str">
        <f>IF(LEN(TRIM(Controls_Raw!I116))=0,"Missing","OK")</f>
        <v>OK</v>
      </c>
      <c r="D116" t="str">
        <f>IF(LEN(TRIM(Controls_Raw!N116))=0,"Missing","OK")</f>
        <v>OK</v>
      </c>
      <c r="E116" t="str">
        <f>IF(OR(Controls_Raw!G116="USA",Controls_Raw!G116="UK"),"Standardize","OK")</f>
        <v>OK</v>
      </c>
      <c r="F116" t="str">
        <f>IF(Controls_Raw!E116&lt;&gt;TRIM(Controls_Raw!E116),"Trim","OK")</f>
        <v>OK</v>
      </c>
      <c r="G116" t="str">
        <f>IF(AND(Controls_Raw!L116&lt;DATE(2026,9,30),Controls_Raw!M116&lt;&gt;"Completed"),"Overdue","OK")</f>
        <v>Overdue</v>
      </c>
      <c r="H116" t="str">
        <f>IF(AND(Controls_Raw!Q116&lt;DATE(2026,9,30),Controls_Raw!R116&lt;&gt;"Completed",Controls_Raw!R116&lt;&gt;"Not Required"),"Overdue","OK")</f>
        <v>OK</v>
      </c>
      <c r="I116" t="str">
        <f t="shared" si="1"/>
        <v>Issue</v>
      </c>
    </row>
    <row r="117" spans="1:9" x14ac:dyDescent="0.2">
      <c r="A117" t="str">
        <f>Controls_Raw!A117</f>
        <v>CTRL-0113</v>
      </c>
      <c r="B117" t="str">
        <f>IF(COUNTIF(Controls_Raw!$A$5:$A$1504,A117)&gt;1,"Duplicate","OK")</f>
        <v>OK</v>
      </c>
      <c r="C117" t="str">
        <f>IF(LEN(TRIM(Controls_Raw!I117))=0,"Missing","OK")</f>
        <v>OK</v>
      </c>
      <c r="D117" t="str">
        <f>IF(LEN(TRIM(Controls_Raw!N117))=0,"Missing","OK")</f>
        <v>OK</v>
      </c>
      <c r="E117" t="str">
        <f>IF(OR(Controls_Raw!G117="USA",Controls_Raw!G117="UK"),"Standardize","OK")</f>
        <v>OK</v>
      </c>
      <c r="F117" t="str">
        <f>IF(Controls_Raw!E117&lt;&gt;TRIM(Controls_Raw!E117),"Trim","OK")</f>
        <v>OK</v>
      </c>
      <c r="G117" t="str">
        <f>IF(AND(Controls_Raw!L117&lt;DATE(2026,9,30),Controls_Raw!M117&lt;&gt;"Completed"),"Overdue","OK")</f>
        <v>Overdue</v>
      </c>
      <c r="H117" t="str">
        <f>IF(AND(Controls_Raw!Q117&lt;DATE(2026,9,30),Controls_Raw!R117&lt;&gt;"Completed",Controls_Raw!R117&lt;&gt;"Not Required"),"Overdue","OK")</f>
        <v>Overdue</v>
      </c>
      <c r="I117" t="str">
        <f t="shared" si="1"/>
        <v>Issue</v>
      </c>
    </row>
    <row r="118" spans="1:9" x14ac:dyDescent="0.2">
      <c r="A118" t="str">
        <f>Controls_Raw!A118</f>
        <v>CTRL-0114</v>
      </c>
      <c r="B118" t="str">
        <f>IF(COUNTIF(Controls_Raw!$A$5:$A$1504,A118)&gt;1,"Duplicate","OK")</f>
        <v>OK</v>
      </c>
      <c r="C118" t="str">
        <f>IF(LEN(TRIM(Controls_Raw!I118))=0,"Missing","OK")</f>
        <v>OK</v>
      </c>
      <c r="D118" t="str">
        <f>IF(LEN(TRIM(Controls_Raw!N118))=0,"Missing","OK")</f>
        <v>OK</v>
      </c>
      <c r="E118" t="str">
        <f>IF(OR(Controls_Raw!G118="USA",Controls_Raw!G118="UK"),"Standardize","OK")</f>
        <v>OK</v>
      </c>
      <c r="F118" t="str">
        <f>IF(Controls_Raw!E118&lt;&gt;TRIM(Controls_Raw!E118),"Trim","OK")</f>
        <v>OK</v>
      </c>
      <c r="G118" t="str">
        <f>IF(AND(Controls_Raw!L118&lt;DATE(2026,9,30),Controls_Raw!M118&lt;&gt;"Completed"),"Overdue","OK")</f>
        <v>OK</v>
      </c>
      <c r="H118" t="str">
        <f>IF(AND(Controls_Raw!Q118&lt;DATE(2026,9,30),Controls_Raw!R118&lt;&gt;"Completed",Controls_Raw!R118&lt;&gt;"Not Required"),"Overdue","OK")</f>
        <v>Overdue</v>
      </c>
      <c r="I118" t="str">
        <f t="shared" si="1"/>
        <v>Issue</v>
      </c>
    </row>
    <row r="119" spans="1:9" x14ac:dyDescent="0.2">
      <c r="A119" t="str">
        <f>Controls_Raw!A119</f>
        <v>CTRL-0115</v>
      </c>
      <c r="B119" t="str">
        <f>IF(COUNTIF(Controls_Raw!$A$5:$A$1504,A119)&gt;1,"Duplicate","OK")</f>
        <v>OK</v>
      </c>
      <c r="C119" t="str">
        <f>IF(LEN(TRIM(Controls_Raw!I119))=0,"Missing","OK")</f>
        <v>OK</v>
      </c>
      <c r="D119" t="str">
        <f>IF(LEN(TRIM(Controls_Raw!N119))=0,"Missing","OK")</f>
        <v>OK</v>
      </c>
      <c r="E119" t="str">
        <f>IF(OR(Controls_Raw!G119="USA",Controls_Raw!G119="UK"),"Standardize","OK")</f>
        <v>OK</v>
      </c>
      <c r="F119" t="str">
        <f>IF(Controls_Raw!E119&lt;&gt;TRIM(Controls_Raw!E119),"Trim","OK")</f>
        <v>OK</v>
      </c>
      <c r="G119" t="str">
        <f>IF(AND(Controls_Raw!L119&lt;DATE(2026,9,30),Controls_Raw!M119&lt;&gt;"Completed"),"Overdue","OK")</f>
        <v>Overdue</v>
      </c>
      <c r="H119" t="str">
        <f>IF(AND(Controls_Raw!Q119&lt;DATE(2026,9,30),Controls_Raw!R119&lt;&gt;"Completed",Controls_Raw!R119&lt;&gt;"Not Required"),"Overdue","OK")</f>
        <v>OK</v>
      </c>
      <c r="I119" t="str">
        <f t="shared" si="1"/>
        <v>Issue</v>
      </c>
    </row>
    <row r="120" spans="1:9" x14ac:dyDescent="0.2">
      <c r="A120" t="str">
        <f>Controls_Raw!A120</f>
        <v>CTRL-0116</v>
      </c>
      <c r="B120" t="str">
        <f>IF(COUNTIF(Controls_Raw!$A$5:$A$1504,A120)&gt;1,"Duplicate","OK")</f>
        <v>OK</v>
      </c>
      <c r="C120" t="str">
        <f>IF(LEN(TRIM(Controls_Raw!I120))=0,"Missing","OK")</f>
        <v>OK</v>
      </c>
      <c r="D120" t="str">
        <f>IF(LEN(TRIM(Controls_Raw!N120))=0,"Missing","OK")</f>
        <v>OK</v>
      </c>
      <c r="E120" t="str">
        <f>IF(OR(Controls_Raw!G120="USA",Controls_Raw!G120="UK"),"Standardize","OK")</f>
        <v>OK</v>
      </c>
      <c r="F120" t="str">
        <f>IF(Controls_Raw!E120&lt;&gt;TRIM(Controls_Raw!E120),"Trim","OK")</f>
        <v>OK</v>
      </c>
      <c r="G120" t="str">
        <f>IF(AND(Controls_Raw!L120&lt;DATE(2026,9,30),Controls_Raw!M120&lt;&gt;"Completed"),"Overdue","OK")</f>
        <v>Overdue</v>
      </c>
      <c r="H120" t="str">
        <f>IF(AND(Controls_Raw!Q120&lt;DATE(2026,9,30),Controls_Raw!R120&lt;&gt;"Completed",Controls_Raw!R120&lt;&gt;"Not Required"),"Overdue","OK")</f>
        <v>OK</v>
      </c>
      <c r="I120" t="str">
        <f t="shared" si="1"/>
        <v>Issue</v>
      </c>
    </row>
    <row r="121" spans="1:9" x14ac:dyDescent="0.2">
      <c r="A121" t="str">
        <f>Controls_Raw!A121</f>
        <v>CTRL-0117</v>
      </c>
      <c r="B121" t="str">
        <f>IF(COUNTIF(Controls_Raw!$A$5:$A$1504,A121)&gt;1,"Duplicate","OK")</f>
        <v>OK</v>
      </c>
      <c r="C121" t="str">
        <f>IF(LEN(TRIM(Controls_Raw!I121))=0,"Missing","OK")</f>
        <v>OK</v>
      </c>
      <c r="D121" t="str">
        <f>IF(LEN(TRIM(Controls_Raw!N121))=0,"Missing","OK")</f>
        <v>OK</v>
      </c>
      <c r="E121" t="str">
        <f>IF(OR(Controls_Raw!G121="USA",Controls_Raw!G121="UK"),"Standardize","OK")</f>
        <v>OK</v>
      </c>
      <c r="F121" t="str">
        <f>IF(Controls_Raw!E121&lt;&gt;TRIM(Controls_Raw!E121),"Trim","OK")</f>
        <v>OK</v>
      </c>
      <c r="G121" t="str">
        <f>IF(AND(Controls_Raw!L121&lt;DATE(2026,9,30),Controls_Raw!M121&lt;&gt;"Completed"),"Overdue","OK")</f>
        <v>Overdue</v>
      </c>
      <c r="H121" t="str">
        <f>IF(AND(Controls_Raw!Q121&lt;DATE(2026,9,30),Controls_Raw!R121&lt;&gt;"Completed",Controls_Raw!R121&lt;&gt;"Not Required"),"Overdue","OK")</f>
        <v>OK</v>
      </c>
      <c r="I121" t="str">
        <f t="shared" si="1"/>
        <v>Issue</v>
      </c>
    </row>
    <row r="122" spans="1:9" x14ac:dyDescent="0.2">
      <c r="A122" t="str">
        <f>Controls_Raw!A122</f>
        <v>CTRL-0118</v>
      </c>
      <c r="B122" t="str">
        <f>IF(COUNTIF(Controls_Raw!$A$5:$A$1504,A122)&gt;1,"Duplicate","OK")</f>
        <v>OK</v>
      </c>
      <c r="C122" t="str">
        <f>IF(LEN(TRIM(Controls_Raw!I122))=0,"Missing","OK")</f>
        <v>OK</v>
      </c>
      <c r="D122" t="str">
        <f>IF(LEN(TRIM(Controls_Raw!N122))=0,"Missing","OK")</f>
        <v>OK</v>
      </c>
      <c r="E122" t="str">
        <f>IF(OR(Controls_Raw!G122="USA",Controls_Raw!G122="UK"),"Standardize","OK")</f>
        <v>OK</v>
      </c>
      <c r="F122" t="str">
        <f>IF(Controls_Raw!E122&lt;&gt;TRIM(Controls_Raw!E122),"Trim","OK")</f>
        <v>OK</v>
      </c>
      <c r="G122" t="str">
        <f>IF(AND(Controls_Raw!L122&lt;DATE(2026,9,30),Controls_Raw!M122&lt;&gt;"Completed"),"Overdue","OK")</f>
        <v>Overdue</v>
      </c>
      <c r="H122" t="str">
        <f>IF(AND(Controls_Raw!Q122&lt;DATE(2026,9,30),Controls_Raw!R122&lt;&gt;"Completed",Controls_Raw!R122&lt;&gt;"Not Required"),"Overdue","OK")</f>
        <v>OK</v>
      </c>
      <c r="I122" t="str">
        <f t="shared" si="1"/>
        <v>Issue</v>
      </c>
    </row>
    <row r="123" spans="1:9" x14ac:dyDescent="0.2">
      <c r="A123" t="str">
        <f>Controls_Raw!A123</f>
        <v>CTRL-0119</v>
      </c>
      <c r="B123" t="str">
        <f>IF(COUNTIF(Controls_Raw!$A$5:$A$1504,A123)&gt;1,"Duplicate","OK")</f>
        <v>OK</v>
      </c>
      <c r="C123" t="str">
        <f>IF(LEN(TRIM(Controls_Raw!I123))=0,"Missing","OK")</f>
        <v>OK</v>
      </c>
      <c r="D123" t="str">
        <f>IF(LEN(TRIM(Controls_Raw!N123))=0,"Missing","OK")</f>
        <v>OK</v>
      </c>
      <c r="E123" t="str">
        <f>IF(OR(Controls_Raw!G123="USA",Controls_Raw!G123="UK"),"Standardize","OK")</f>
        <v>OK</v>
      </c>
      <c r="F123" t="str">
        <f>IF(Controls_Raw!E123&lt;&gt;TRIM(Controls_Raw!E123),"Trim","OK")</f>
        <v>OK</v>
      </c>
      <c r="G123" t="str">
        <f>IF(AND(Controls_Raw!L123&lt;DATE(2026,9,30),Controls_Raw!M123&lt;&gt;"Completed"),"Overdue","OK")</f>
        <v>OK</v>
      </c>
      <c r="H123" t="str">
        <f>IF(AND(Controls_Raw!Q123&lt;DATE(2026,9,30),Controls_Raw!R123&lt;&gt;"Completed",Controls_Raw!R123&lt;&gt;"Not Required"),"Overdue","OK")</f>
        <v>OK</v>
      </c>
      <c r="I123" t="str">
        <f t="shared" si="1"/>
        <v>Pass</v>
      </c>
    </row>
    <row r="124" spans="1:9" x14ac:dyDescent="0.2">
      <c r="A124" t="str">
        <f>Controls_Raw!A124</f>
        <v>CTRL-0120</v>
      </c>
      <c r="B124" t="str">
        <f>IF(COUNTIF(Controls_Raw!$A$5:$A$1504,A124)&gt;1,"Duplicate","OK")</f>
        <v>OK</v>
      </c>
      <c r="C124" t="str">
        <f>IF(LEN(TRIM(Controls_Raw!I124))=0,"Missing","OK")</f>
        <v>OK</v>
      </c>
      <c r="D124" t="str">
        <f>IF(LEN(TRIM(Controls_Raw!N124))=0,"Missing","OK")</f>
        <v>OK</v>
      </c>
      <c r="E124" t="str">
        <f>IF(OR(Controls_Raw!G124="USA",Controls_Raw!G124="UK"),"Standardize","OK")</f>
        <v>OK</v>
      </c>
      <c r="F124" t="str">
        <f>IF(Controls_Raw!E124&lt;&gt;TRIM(Controls_Raw!E124),"Trim","OK")</f>
        <v>OK</v>
      </c>
      <c r="G124" t="str">
        <f>IF(AND(Controls_Raw!L124&lt;DATE(2026,9,30),Controls_Raw!M124&lt;&gt;"Completed"),"Overdue","OK")</f>
        <v>Overdue</v>
      </c>
      <c r="H124" t="str">
        <f>IF(AND(Controls_Raw!Q124&lt;DATE(2026,9,30),Controls_Raw!R124&lt;&gt;"Completed",Controls_Raw!R124&lt;&gt;"Not Required"),"Overdue","OK")</f>
        <v>OK</v>
      </c>
      <c r="I124" t="str">
        <f t="shared" si="1"/>
        <v>Issue</v>
      </c>
    </row>
    <row r="125" spans="1:9" x14ac:dyDescent="0.2">
      <c r="A125" t="str">
        <f>Controls_Raw!A125</f>
        <v>CTRL-0121</v>
      </c>
      <c r="B125" t="str">
        <f>IF(COUNTIF(Controls_Raw!$A$5:$A$1504,A125)&gt;1,"Duplicate","OK")</f>
        <v>OK</v>
      </c>
      <c r="C125" t="str">
        <f>IF(LEN(TRIM(Controls_Raw!I125))=0,"Missing","OK")</f>
        <v>OK</v>
      </c>
      <c r="D125" t="str">
        <f>IF(LEN(TRIM(Controls_Raw!N125))=0,"Missing","OK")</f>
        <v>OK</v>
      </c>
      <c r="E125" t="str">
        <f>IF(OR(Controls_Raw!G125="USA",Controls_Raw!G125="UK"),"Standardize","OK")</f>
        <v>OK</v>
      </c>
      <c r="F125" t="str">
        <f>IF(Controls_Raw!E125&lt;&gt;TRIM(Controls_Raw!E125),"Trim","OK")</f>
        <v>OK</v>
      </c>
      <c r="G125" t="str">
        <f>IF(AND(Controls_Raw!L125&lt;DATE(2026,9,30),Controls_Raw!M125&lt;&gt;"Completed"),"Overdue","OK")</f>
        <v>OK</v>
      </c>
      <c r="H125" t="str">
        <f>IF(AND(Controls_Raw!Q125&lt;DATE(2026,9,30),Controls_Raw!R125&lt;&gt;"Completed",Controls_Raw!R125&lt;&gt;"Not Required"),"Overdue","OK")</f>
        <v>OK</v>
      </c>
      <c r="I125" t="str">
        <f t="shared" si="1"/>
        <v>Pass</v>
      </c>
    </row>
    <row r="126" spans="1:9" x14ac:dyDescent="0.2">
      <c r="A126" t="str">
        <f>Controls_Raw!A126</f>
        <v>CTRL-0122</v>
      </c>
      <c r="B126" t="str">
        <f>IF(COUNTIF(Controls_Raw!$A$5:$A$1504,A126)&gt;1,"Duplicate","OK")</f>
        <v>OK</v>
      </c>
      <c r="C126" t="str">
        <f>IF(LEN(TRIM(Controls_Raw!I126))=0,"Missing","OK")</f>
        <v>OK</v>
      </c>
      <c r="D126" t="str">
        <f>IF(LEN(TRIM(Controls_Raw!N126))=0,"Missing","OK")</f>
        <v>OK</v>
      </c>
      <c r="E126" t="str">
        <f>IF(OR(Controls_Raw!G126="USA",Controls_Raw!G126="UK"),"Standardize","OK")</f>
        <v>OK</v>
      </c>
      <c r="F126" t="str">
        <f>IF(Controls_Raw!E126&lt;&gt;TRIM(Controls_Raw!E126),"Trim","OK")</f>
        <v>OK</v>
      </c>
      <c r="G126" t="str">
        <f>IF(AND(Controls_Raw!L126&lt;DATE(2026,9,30),Controls_Raw!M126&lt;&gt;"Completed"),"Overdue","OK")</f>
        <v>Overdue</v>
      </c>
      <c r="H126" t="str">
        <f>IF(AND(Controls_Raw!Q126&lt;DATE(2026,9,30),Controls_Raw!R126&lt;&gt;"Completed",Controls_Raw!R126&lt;&gt;"Not Required"),"Overdue","OK")</f>
        <v>OK</v>
      </c>
      <c r="I126" t="str">
        <f t="shared" si="1"/>
        <v>Issue</v>
      </c>
    </row>
    <row r="127" spans="1:9" x14ac:dyDescent="0.2">
      <c r="A127" t="str">
        <f>Controls_Raw!A127</f>
        <v>CTRL-0123</v>
      </c>
      <c r="B127" t="str">
        <f>IF(COUNTIF(Controls_Raw!$A$5:$A$1504,A127)&gt;1,"Duplicate","OK")</f>
        <v>OK</v>
      </c>
      <c r="C127" t="str">
        <f>IF(LEN(TRIM(Controls_Raw!I127))=0,"Missing","OK")</f>
        <v>OK</v>
      </c>
      <c r="D127" t="str">
        <f>IF(LEN(TRIM(Controls_Raw!N127))=0,"Missing","OK")</f>
        <v>OK</v>
      </c>
      <c r="E127" t="str">
        <f>IF(OR(Controls_Raw!G127="USA",Controls_Raw!G127="UK"),"Standardize","OK")</f>
        <v>OK</v>
      </c>
      <c r="F127" t="str">
        <f>IF(Controls_Raw!E127&lt;&gt;TRIM(Controls_Raw!E127),"Trim","OK")</f>
        <v>OK</v>
      </c>
      <c r="G127" t="str">
        <f>IF(AND(Controls_Raw!L127&lt;DATE(2026,9,30),Controls_Raw!M127&lt;&gt;"Completed"),"Overdue","OK")</f>
        <v>Overdue</v>
      </c>
      <c r="H127" t="str">
        <f>IF(AND(Controls_Raw!Q127&lt;DATE(2026,9,30),Controls_Raw!R127&lt;&gt;"Completed",Controls_Raw!R127&lt;&gt;"Not Required"),"Overdue","OK")</f>
        <v>OK</v>
      </c>
      <c r="I127" t="str">
        <f t="shared" si="1"/>
        <v>Issue</v>
      </c>
    </row>
    <row r="128" spans="1:9" x14ac:dyDescent="0.2">
      <c r="A128" t="str">
        <f>Controls_Raw!A128</f>
        <v>CTRL-0124</v>
      </c>
      <c r="B128" t="str">
        <f>IF(COUNTIF(Controls_Raw!$A$5:$A$1504,A128)&gt;1,"Duplicate","OK")</f>
        <v>OK</v>
      </c>
      <c r="C128" t="str">
        <f>IF(LEN(TRIM(Controls_Raw!I128))=0,"Missing","OK")</f>
        <v>OK</v>
      </c>
      <c r="D128" t="str">
        <f>IF(LEN(TRIM(Controls_Raw!N128))=0,"Missing","OK")</f>
        <v>OK</v>
      </c>
      <c r="E128" t="str">
        <f>IF(OR(Controls_Raw!G128="USA",Controls_Raw!G128="UK"),"Standardize","OK")</f>
        <v>OK</v>
      </c>
      <c r="F128" t="str">
        <f>IF(Controls_Raw!E128&lt;&gt;TRIM(Controls_Raw!E128),"Trim","OK")</f>
        <v>OK</v>
      </c>
      <c r="G128" t="str">
        <f>IF(AND(Controls_Raw!L128&lt;DATE(2026,9,30),Controls_Raw!M128&lt;&gt;"Completed"),"Overdue","OK")</f>
        <v>Overdue</v>
      </c>
      <c r="H128" t="str">
        <f>IF(AND(Controls_Raw!Q128&lt;DATE(2026,9,30),Controls_Raw!R128&lt;&gt;"Completed",Controls_Raw!R128&lt;&gt;"Not Required"),"Overdue","OK")</f>
        <v>OK</v>
      </c>
      <c r="I128" t="str">
        <f t="shared" si="1"/>
        <v>Issue</v>
      </c>
    </row>
    <row r="129" spans="1:9" x14ac:dyDescent="0.2">
      <c r="A129" t="str">
        <f>Controls_Raw!A129</f>
        <v>CTRL-0125</v>
      </c>
      <c r="B129" t="str">
        <f>IF(COUNTIF(Controls_Raw!$A$5:$A$1504,A129)&gt;1,"Duplicate","OK")</f>
        <v>OK</v>
      </c>
      <c r="C129" t="str">
        <f>IF(LEN(TRIM(Controls_Raw!I129))=0,"Missing","OK")</f>
        <v>OK</v>
      </c>
      <c r="D129" t="str">
        <f>IF(LEN(TRIM(Controls_Raw!N129))=0,"Missing","OK")</f>
        <v>OK</v>
      </c>
      <c r="E129" t="str">
        <f>IF(OR(Controls_Raw!G129="USA",Controls_Raw!G129="UK"),"Standardize","OK")</f>
        <v>OK</v>
      </c>
      <c r="F129" t="str">
        <f>IF(Controls_Raw!E129&lt;&gt;TRIM(Controls_Raw!E129),"Trim","OK")</f>
        <v>OK</v>
      </c>
      <c r="G129" t="str">
        <f>IF(AND(Controls_Raw!L129&lt;DATE(2026,9,30),Controls_Raw!M129&lt;&gt;"Completed"),"Overdue","OK")</f>
        <v>OK</v>
      </c>
      <c r="H129" t="str">
        <f>IF(AND(Controls_Raw!Q129&lt;DATE(2026,9,30),Controls_Raw!R129&lt;&gt;"Completed",Controls_Raw!R129&lt;&gt;"Not Required"),"Overdue","OK")</f>
        <v>OK</v>
      </c>
      <c r="I129" t="str">
        <f t="shared" si="1"/>
        <v>Pass</v>
      </c>
    </row>
    <row r="130" spans="1:9" x14ac:dyDescent="0.2">
      <c r="A130" t="str">
        <f>Controls_Raw!A130</f>
        <v>CTRL-0126</v>
      </c>
      <c r="B130" t="str">
        <f>IF(COUNTIF(Controls_Raw!$A$5:$A$1504,A130)&gt;1,"Duplicate","OK")</f>
        <v>OK</v>
      </c>
      <c r="C130" t="str">
        <f>IF(LEN(TRIM(Controls_Raw!I130))=0,"Missing","OK")</f>
        <v>OK</v>
      </c>
      <c r="D130" t="str">
        <f>IF(LEN(TRIM(Controls_Raw!N130))=0,"Missing","OK")</f>
        <v>OK</v>
      </c>
      <c r="E130" t="str">
        <f>IF(OR(Controls_Raw!G130="USA",Controls_Raw!G130="UK"),"Standardize","OK")</f>
        <v>OK</v>
      </c>
      <c r="F130" t="str">
        <f>IF(Controls_Raw!E130&lt;&gt;TRIM(Controls_Raw!E130),"Trim","OK")</f>
        <v>OK</v>
      </c>
      <c r="G130" t="str">
        <f>IF(AND(Controls_Raw!L130&lt;DATE(2026,9,30),Controls_Raw!M130&lt;&gt;"Completed"),"Overdue","OK")</f>
        <v>Overdue</v>
      </c>
      <c r="H130" t="str">
        <f>IF(AND(Controls_Raw!Q130&lt;DATE(2026,9,30),Controls_Raw!R130&lt;&gt;"Completed",Controls_Raw!R130&lt;&gt;"Not Required"),"Overdue","OK")</f>
        <v>OK</v>
      </c>
      <c r="I130" t="str">
        <f t="shared" si="1"/>
        <v>Issue</v>
      </c>
    </row>
    <row r="131" spans="1:9" x14ac:dyDescent="0.2">
      <c r="A131" t="str">
        <f>Controls_Raw!A131</f>
        <v>CTRL-0127</v>
      </c>
      <c r="B131" t="str">
        <f>IF(COUNTIF(Controls_Raw!$A$5:$A$1504,A131)&gt;1,"Duplicate","OK")</f>
        <v>OK</v>
      </c>
      <c r="C131" t="str">
        <f>IF(LEN(TRIM(Controls_Raw!I131))=0,"Missing","OK")</f>
        <v>OK</v>
      </c>
      <c r="D131" t="str">
        <f>IF(LEN(TRIM(Controls_Raw!N131))=0,"Missing","OK")</f>
        <v>OK</v>
      </c>
      <c r="E131" t="str">
        <f>IF(OR(Controls_Raw!G131="USA",Controls_Raw!G131="UK"),"Standardize","OK")</f>
        <v>OK</v>
      </c>
      <c r="F131" t="str">
        <f>IF(Controls_Raw!E131&lt;&gt;TRIM(Controls_Raw!E131),"Trim","OK")</f>
        <v>OK</v>
      </c>
      <c r="G131" t="str">
        <f>IF(AND(Controls_Raw!L131&lt;DATE(2026,9,30),Controls_Raw!M131&lt;&gt;"Completed"),"Overdue","OK")</f>
        <v>Overdue</v>
      </c>
      <c r="H131" t="str">
        <f>IF(AND(Controls_Raw!Q131&lt;DATE(2026,9,30),Controls_Raw!R131&lt;&gt;"Completed",Controls_Raw!R131&lt;&gt;"Not Required"),"Overdue","OK")</f>
        <v>Overdue</v>
      </c>
      <c r="I131" t="str">
        <f t="shared" si="1"/>
        <v>Issue</v>
      </c>
    </row>
    <row r="132" spans="1:9" x14ac:dyDescent="0.2">
      <c r="A132" t="str">
        <f>Controls_Raw!A132</f>
        <v>CTRL-0128</v>
      </c>
      <c r="B132" t="str">
        <f>IF(COUNTIF(Controls_Raw!$A$5:$A$1504,A132)&gt;1,"Duplicate","OK")</f>
        <v>OK</v>
      </c>
      <c r="C132" t="str">
        <f>IF(LEN(TRIM(Controls_Raw!I132))=0,"Missing","OK")</f>
        <v>OK</v>
      </c>
      <c r="D132" t="str">
        <f>IF(LEN(TRIM(Controls_Raw!N132))=0,"Missing","OK")</f>
        <v>OK</v>
      </c>
      <c r="E132" t="str">
        <f>IF(OR(Controls_Raw!G132="USA",Controls_Raw!G132="UK"),"Standardize","OK")</f>
        <v>OK</v>
      </c>
      <c r="F132" t="str">
        <f>IF(Controls_Raw!E132&lt;&gt;TRIM(Controls_Raw!E132),"Trim","OK")</f>
        <v>OK</v>
      </c>
      <c r="G132" t="str">
        <f>IF(AND(Controls_Raw!L132&lt;DATE(2026,9,30),Controls_Raw!M132&lt;&gt;"Completed"),"Overdue","OK")</f>
        <v>Overdue</v>
      </c>
      <c r="H132" t="str">
        <f>IF(AND(Controls_Raw!Q132&lt;DATE(2026,9,30),Controls_Raw!R132&lt;&gt;"Completed",Controls_Raw!R132&lt;&gt;"Not Required"),"Overdue","OK")</f>
        <v>OK</v>
      </c>
      <c r="I132" t="str">
        <f t="shared" si="1"/>
        <v>Issue</v>
      </c>
    </row>
    <row r="133" spans="1:9" x14ac:dyDescent="0.2">
      <c r="A133" t="str">
        <f>Controls_Raw!A133</f>
        <v>CTRL-0129</v>
      </c>
      <c r="B133" t="str">
        <f>IF(COUNTIF(Controls_Raw!$A$5:$A$1504,A133)&gt;1,"Duplicate","OK")</f>
        <v>OK</v>
      </c>
      <c r="C133" t="str">
        <f>IF(LEN(TRIM(Controls_Raw!I133))=0,"Missing","OK")</f>
        <v>OK</v>
      </c>
      <c r="D133" t="str">
        <f>IF(LEN(TRIM(Controls_Raw!N133))=0,"Missing","OK")</f>
        <v>OK</v>
      </c>
      <c r="E133" t="str">
        <f>IF(OR(Controls_Raw!G133="USA",Controls_Raw!G133="UK"),"Standardize","OK")</f>
        <v>OK</v>
      </c>
      <c r="F133" t="str">
        <f>IF(Controls_Raw!E133&lt;&gt;TRIM(Controls_Raw!E133),"Trim","OK")</f>
        <v>OK</v>
      </c>
      <c r="G133" t="str">
        <f>IF(AND(Controls_Raw!L133&lt;DATE(2026,9,30),Controls_Raw!M133&lt;&gt;"Completed"),"Overdue","OK")</f>
        <v>OK</v>
      </c>
      <c r="H133" t="str">
        <f>IF(AND(Controls_Raw!Q133&lt;DATE(2026,9,30),Controls_Raw!R133&lt;&gt;"Completed",Controls_Raw!R133&lt;&gt;"Not Required"),"Overdue","OK")</f>
        <v>OK</v>
      </c>
      <c r="I133" t="str">
        <f t="shared" ref="I133:I196" si="2">IF(COUNTIF(B133:H133,"&lt;&gt;OK")&gt;0,"Issue","Pass")</f>
        <v>Pass</v>
      </c>
    </row>
    <row r="134" spans="1:9" x14ac:dyDescent="0.2">
      <c r="A134" t="str">
        <f>Controls_Raw!A134</f>
        <v>CTRL-0130</v>
      </c>
      <c r="B134" t="str">
        <f>IF(COUNTIF(Controls_Raw!$A$5:$A$1504,A134)&gt;1,"Duplicate","OK")</f>
        <v>OK</v>
      </c>
      <c r="C134" t="str">
        <f>IF(LEN(TRIM(Controls_Raw!I134))=0,"Missing","OK")</f>
        <v>OK</v>
      </c>
      <c r="D134" t="str">
        <f>IF(LEN(TRIM(Controls_Raw!N134))=0,"Missing","OK")</f>
        <v>OK</v>
      </c>
      <c r="E134" t="str">
        <f>IF(OR(Controls_Raw!G134="USA",Controls_Raw!G134="UK"),"Standardize","OK")</f>
        <v>OK</v>
      </c>
      <c r="F134" t="str">
        <f>IF(Controls_Raw!E134&lt;&gt;TRIM(Controls_Raw!E134),"Trim","OK")</f>
        <v>OK</v>
      </c>
      <c r="G134" t="str">
        <f>IF(AND(Controls_Raw!L134&lt;DATE(2026,9,30),Controls_Raw!M134&lt;&gt;"Completed"),"Overdue","OK")</f>
        <v>OK</v>
      </c>
      <c r="H134" t="str">
        <f>IF(AND(Controls_Raw!Q134&lt;DATE(2026,9,30),Controls_Raw!R134&lt;&gt;"Completed",Controls_Raw!R134&lt;&gt;"Not Required"),"Overdue","OK")</f>
        <v>OK</v>
      </c>
      <c r="I134" t="str">
        <f t="shared" si="2"/>
        <v>Pass</v>
      </c>
    </row>
    <row r="135" spans="1:9" x14ac:dyDescent="0.2">
      <c r="A135" t="str">
        <f>Controls_Raw!A135</f>
        <v>CTRL-0131</v>
      </c>
      <c r="B135" t="str">
        <f>IF(COUNTIF(Controls_Raw!$A$5:$A$1504,A135)&gt;1,"Duplicate","OK")</f>
        <v>OK</v>
      </c>
      <c r="C135" t="str">
        <f>IF(LEN(TRIM(Controls_Raw!I135))=0,"Missing","OK")</f>
        <v>OK</v>
      </c>
      <c r="D135" t="str">
        <f>IF(LEN(TRIM(Controls_Raw!N135))=0,"Missing","OK")</f>
        <v>OK</v>
      </c>
      <c r="E135" t="str">
        <f>IF(OR(Controls_Raw!G135="USA",Controls_Raw!G135="UK"),"Standardize","OK")</f>
        <v>OK</v>
      </c>
      <c r="F135" t="str">
        <f>IF(Controls_Raw!E135&lt;&gt;TRIM(Controls_Raw!E135),"Trim","OK")</f>
        <v>OK</v>
      </c>
      <c r="G135" t="str">
        <f>IF(AND(Controls_Raw!L135&lt;DATE(2026,9,30),Controls_Raw!M135&lt;&gt;"Completed"),"Overdue","OK")</f>
        <v>Overdue</v>
      </c>
      <c r="H135" t="str">
        <f>IF(AND(Controls_Raw!Q135&lt;DATE(2026,9,30),Controls_Raw!R135&lt;&gt;"Completed",Controls_Raw!R135&lt;&gt;"Not Required"),"Overdue","OK")</f>
        <v>Overdue</v>
      </c>
      <c r="I135" t="str">
        <f t="shared" si="2"/>
        <v>Issue</v>
      </c>
    </row>
    <row r="136" spans="1:9" x14ac:dyDescent="0.2">
      <c r="A136" t="str">
        <f>Controls_Raw!A136</f>
        <v>CTRL-0132</v>
      </c>
      <c r="B136" t="str">
        <f>IF(COUNTIF(Controls_Raw!$A$5:$A$1504,A136)&gt;1,"Duplicate","OK")</f>
        <v>OK</v>
      </c>
      <c r="C136" t="str">
        <f>IF(LEN(TRIM(Controls_Raw!I136))=0,"Missing","OK")</f>
        <v>OK</v>
      </c>
      <c r="D136" t="str">
        <f>IF(LEN(TRIM(Controls_Raw!N136))=0,"Missing","OK")</f>
        <v>OK</v>
      </c>
      <c r="E136" t="str">
        <f>IF(OR(Controls_Raw!G136="USA",Controls_Raw!G136="UK"),"Standardize","OK")</f>
        <v>OK</v>
      </c>
      <c r="F136" t="str">
        <f>IF(Controls_Raw!E136&lt;&gt;TRIM(Controls_Raw!E136),"Trim","OK")</f>
        <v>OK</v>
      </c>
      <c r="G136" t="str">
        <f>IF(AND(Controls_Raw!L136&lt;DATE(2026,9,30),Controls_Raw!M136&lt;&gt;"Completed"),"Overdue","OK")</f>
        <v>OK</v>
      </c>
      <c r="H136" t="str">
        <f>IF(AND(Controls_Raw!Q136&lt;DATE(2026,9,30),Controls_Raw!R136&lt;&gt;"Completed",Controls_Raw!R136&lt;&gt;"Not Required"),"Overdue","OK")</f>
        <v>OK</v>
      </c>
      <c r="I136" t="str">
        <f t="shared" si="2"/>
        <v>Pass</v>
      </c>
    </row>
    <row r="137" spans="1:9" x14ac:dyDescent="0.2">
      <c r="A137" t="str">
        <f>Controls_Raw!A137</f>
        <v>CTRL-0133</v>
      </c>
      <c r="B137" t="str">
        <f>IF(COUNTIF(Controls_Raw!$A$5:$A$1504,A137)&gt;1,"Duplicate","OK")</f>
        <v>OK</v>
      </c>
      <c r="C137" t="str">
        <f>IF(LEN(TRIM(Controls_Raw!I137))=0,"Missing","OK")</f>
        <v>OK</v>
      </c>
      <c r="D137" t="str">
        <f>IF(LEN(TRIM(Controls_Raw!N137))=0,"Missing","OK")</f>
        <v>OK</v>
      </c>
      <c r="E137" t="str">
        <f>IF(OR(Controls_Raw!G137="USA",Controls_Raw!G137="UK"),"Standardize","OK")</f>
        <v>OK</v>
      </c>
      <c r="F137" t="str">
        <f>IF(Controls_Raw!E137&lt;&gt;TRIM(Controls_Raw!E137),"Trim","OK")</f>
        <v>OK</v>
      </c>
      <c r="G137" t="str">
        <f>IF(AND(Controls_Raw!L137&lt;DATE(2026,9,30),Controls_Raw!M137&lt;&gt;"Completed"),"Overdue","OK")</f>
        <v>Overdue</v>
      </c>
      <c r="H137" t="str">
        <f>IF(AND(Controls_Raw!Q137&lt;DATE(2026,9,30),Controls_Raw!R137&lt;&gt;"Completed",Controls_Raw!R137&lt;&gt;"Not Required"),"Overdue","OK")</f>
        <v>OK</v>
      </c>
      <c r="I137" t="str">
        <f t="shared" si="2"/>
        <v>Issue</v>
      </c>
    </row>
    <row r="138" spans="1:9" x14ac:dyDescent="0.2">
      <c r="A138" t="str">
        <f>Controls_Raw!A138</f>
        <v>CTRL-0134</v>
      </c>
      <c r="B138" t="str">
        <f>IF(COUNTIF(Controls_Raw!$A$5:$A$1504,A138)&gt;1,"Duplicate","OK")</f>
        <v>OK</v>
      </c>
      <c r="C138" t="str">
        <f>IF(LEN(TRIM(Controls_Raw!I138))=0,"Missing","OK")</f>
        <v>OK</v>
      </c>
      <c r="D138" t="str">
        <f>IF(LEN(TRIM(Controls_Raw!N138))=0,"Missing","OK")</f>
        <v>OK</v>
      </c>
      <c r="E138" t="str">
        <f>IF(OR(Controls_Raw!G138="USA",Controls_Raw!G138="UK"),"Standardize","OK")</f>
        <v>OK</v>
      </c>
      <c r="F138" t="str">
        <f>IF(Controls_Raw!E138&lt;&gt;TRIM(Controls_Raw!E138),"Trim","OK")</f>
        <v>OK</v>
      </c>
      <c r="G138" t="str">
        <f>IF(AND(Controls_Raw!L138&lt;DATE(2026,9,30),Controls_Raw!M138&lt;&gt;"Completed"),"Overdue","OK")</f>
        <v>OK</v>
      </c>
      <c r="H138" t="str">
        <f>IF(AND(Controls_Raw!Q138&lt;DATE(2026,9,30),Controls_Raw!R138&lt;&gt;"Completed",Controls_Raw!R138&lt;&gt;"Not Required"),"Overdue","OK")</f>
        <v>Overdue</v>
      </c>
      <c r="I138" t="str">
        <f t="shared" si="2"/>
        <v>Issue</v>
      </c>
    </row>
    <row r="139" spans="1:9" x14ac:dyDescent="0.2">
      <c r="A139" t="str">
        <f>Controls_Raw!A139</f>
        <v>CTRL-0135</v>
      </c>
      <c r="B139" t="str">
        <f>IF(COUNTIF(Controls_Raw!$A$5:$A$1504,A139)&gt;1,"Duplicate","OK")</f>
        <v>OK</v>
      </c>
      <c r="C139" t="str">
        <f>IF(LEN(TRIM(Controls_Raw!I139))=0,"Missing","OK")</f>
        <v>OK</v>
      </c>
      <c r="D139" t="str">
        <f>IF(LEN(TRIM(Controls_Raw!N139))=0,"Missing","OK")</f>
        <v>OK</v>
      </c>
      <c r="E139" t="str">
        <f>IF(OR(Controls_Raw!G139="USA",Controls_Raw!G139="UK"),"Standardize","OK")</f>
        <v>OK</v>
      </c>
      <c r="F139" t="str">
        <f>IF(Controls_Raw!E139&lt;&gt;TRIM(Controls_Raw!E139),"Trim","OK")</f>
        <v>OK</v>
      </c>
      <c r="G139" t="str">
        <f>IF(AND(Controls_Raw!L139&lt;DATE(2026,9,30),Controls_Raw!M139&lt;&gt;"Completed"),"Overdue","OK")</f>
        <v>OK</v>
      </c>
      <c r="H139" t="str">
        <f>IF(AND(Controls_Raw!Q139&lt;DATE(2026,9,30),Controls_Raw!R139&lt;&gt;"Completed",Controls_Raw!R139&lt;&gt;"Not Required"),"Overdue","OK")</f>
        <v>Overdue</v>
      </c>
      <c r="I139" t="str">
        <f t="shared" si="2"/>
        <v>Issue</v>
      </c>
    </row>
    <row r="140" spans="1:9" x14ac:dyDescent="0.2">
      <c r="A140" t="str">
        <f>Controls_Raw!A140</f>
        <v>CTRL-0136</v>
      </c>
      <c r="B140" t="str">
        <f>IF(COUNTIF(Controls_Raw!$A$5:$A$1504,A140)&gt;1,"Duplicate","OK")</f>
        <v>OK</v>
      </c>
      <c r="C140" t="str">
        <f>IF(LEN(TRIM(Controls_Raw!I140))=0,"Missing","OK")</f>
        <v>OK</v>
      </c>
      <c r="D140" t="str">
        <f>IF(LEN(TRIM(Controls_Raw!N140))=0,"Missing","OK")</f>
        <v>OK</v>
      </c>
      <c r="E140" t="str">
        <f>IF(OR(Controls_Raw!G140="USA",Controls_Raw!G140="UK"),"Standardize","OK")</f>
        <v>OK</v>
      </c>
      <c r="F140" t="str">
        <f>IF(Controls_Raw!E140&lt;&gt;TRIM(Controls_Raw!E140),"Trim","OK")</f>
        <v>OK</v>
      </c>
      <c r="G140" t="str">
        <f>IF(AND(Controls_Raw!L140&lt;DATE(2026,9,30),Controls_Raw!M140&lt;&gt;"Completed"),"Overdue","OK")</f>
        <v>Overdue</v>
      </c>
      <c r="H140" t="str">
        <f>IF(AND(Controls_Raw!Q140&lt;DATE(2026,9,30),Controls_Raw!R140&lt;&gt;"Completed",Controls_Raw!R140&lt;&gt;"Not Required"),"Overdue","OK")</f>
        <v>OK</v>
      </c>
      <c r="I140" t="str">
        <f t="shared" si="2"/>
        <v>Issue</v>
      </c>
    </row>
    <row r="141" spans="1:9" x14ac:dyDescent="0.2">
      <c r="A141" t="str">
        <f>Controls_Raw!A141</f>
        <v>CTRL-0137</v>
      </c>
      <c r="B141" t="str">
        <f>IF(COUNTIF(Controls_Raw!$A$5:$A$1504,A141)&gt;1,"Duplicate","OK")</f>
        <v>OK</v>
      </c>
      <c r="C141" t="str">
        <f>IF(LEN(TRIM(Controls_Raw!I141))=0,"Missing","OK")</f>
        <v>OK</v>
      </c>
      <c r="D141" t="str">
        <f>IF(LEN(TRIM(Controls_Raw!N141))=0,"Missing","OK")</f>
        <v>OK</v>
      </c>
      <c r="E141" t="str">
        <f>IF(OR(Controls_Raw!G141="USA",Controls_Raw!G141="UK"),"Standardize","OK")</f>
        <v>OK</v>
      </c>
      <c r="F141" t="str">
        <f>IF(Controls_Raw!E141&lt;&gt;TRIM(Controls_Raw!E141),"Trim","OK")</f>
        <v>OK</v>
      </c>
      <c r="G141" t="str">
        <f>IF(AND(Controls_Raw!L141&lt;DATE(2026,9,30),Controls_Raw!M141&lt;&gt;"Completed"),"Overdue","OK")</f>
        <v>Overdue</v>
      </c>
      <c r="H141" t="str">
        <f>IF(AND(Controls_Raw!Q141&lt;DATE(2026,9,30),Controls_Raw!R141&lt;&gt;"Completed",Controls_Raw!R141&lt;&gt;"Not Required"),"Overdue","OK")</f>
        <v>Overdue</v>
      </c>
      <c r="I141" t="str">
        <f t="shared" si="2"/>
        <v>Issue</v>
      </c>
    </row>
    <row r="142" spans="1:9" x14ac:dyDescent="0.2">
      <c r="A142" t="str">
        <f>Controls_Raw!A142</f>
        <v>CTRL-0138</v>
      </c>
      <c r="B142" t="str">
        <f>IF(COUNTIF(Controls_Raw!$A$5:$A$1504,A142)&gt;1,"Duplicate","OK")</f>
        <v>OK</v>
      </c>
      <c r="C142" t="str">
        <f>IF(LEN(TRIM(Controls_Raw!I142))=0,"Missing","OK")</f>
        <v>OK</v>
      </c>
      <c r="D142" t="str">
        <f>IF(LEN(TRIM(Controls_Raw!N142))=0,"Missing","OK")</f>
        <v>OK</v>
      </c>
      <c r="E142" t="str">
        <f>IF(OR(Controls_Raw!G142="USA",Controls_Raw!G142="UK"),"Standardize","OK")</f>
        <v>OK</v>
      </c>
      <c r="F142" t="str">
        <f>IF(Controls_Raw!E142&lt;&gt;TRIM(Controls_Raw!E142),"Trim","OK")</f>
        <v>OK</v>
      </c>
      <c r="G142" t="str">
        <f>IF(AND(Controls_Raw!L142&lt;DATE(2026,9,30),Controls_Raw!M142&lt;&gt;"Completed"),"Overdue","OK")</f>
        <v>Overdue</v>
      </c>
      <c r="H142" t="str">
        <f>IF(AND(Controls_Raw!Q142&lt;DATE(2026,9,30),Controls_Raw!R142&lt;&gt;"Completed",Controls_Raw!R142&lt;&gt;"Not Required"),"Overdue","OK")</f>
        <v>Overdue</v>
      </c>
      <c r="I142" t="str">
        <f t="shared" si="2"/>
        <v>Issue</v>
      </c>
    </row>
    <row r="143" spans="1:9" x14ac:dyDescent="0.2">
      <c r="A143" t="str">
        <f>Controls_Raw!A143</f>
        <v>CTRL-0139</v>
      </c>
      <c r="B143" t="str">
        <f>IF(COUNTIF(Controls_Raw!$A$5:$A$1504,A143)&gt;1,"Duplicate","OK")</f>
        <v>OK</v>
      </c>
      <c r="C143" t="str">
        <f>IF(LEN(TRIM(Controls_Raw!I143))=0,"Missing","OK")</f>
        <v>OK</v>
      </c>
      <c r="D143" t="str">
        <f>IF(LEN(TRIM(Controls_Raw!N143))=0,"Missing","OK")</f>
        <v>OK</v>
      </c>
      <c r="E143" t="str">
        <f>IF(OR(Controls_Raw!G143="USA",Controls_Raw!G143="UK"),"Standardize","OK")</f>
        <v>OK</v>
      </c>
      <c r="F143" t="str">
        <f>IF(Controls_Raw!E143&lt;&gt;TRIM(Controls_Raw!E143),"Trim","OK")</f>
        <v>OK</v>
      </c>
      <c r="G143" t="str">
        <f>IF(AND(Controls_Raw!L143&lt;DATE(2026,9,30),Controls_Raw!M143&lt;&gt;"Completed"),"Overdue","OK")</f>
        <v>Overdue</v>
      </c>
      <c r="H143" t="str">
        <f>IF(AND(Controls_Raw!Q143&lt;DATE(2026,9,30),Controls_Raw!R143&lt;&gt;"Completed",Controls_Raw!R143&lt;&gt;"Not Required"),"Overdue","OK")</f>
        <v>Overdue</v>
      </c>
      <c r="I143" t="str">
        <f t="shared" si="2"/>
        <v>Issue</v>
      </c>
    </row>
    <row r="144" spans="1:9" x14ac:dyDescent="0.2">
      <c r="A144" t="str">
        <f>Controls_Raw!A144</f>
        <v>CTRL-0140</v>
      </c>
      <c r="B144" t="str">
        <f>IF(COUNTIF(Controls_Raw!$A$5:$A$1504,A144)&gt;1,"Duplicate","OK")</f>
        <v>OK</v>
      </c>
      <c r="C144" t="str">
        <f>IF(LEN(TRIM(Controls_Raw!I144))=0,"Missing","OK")</f>
        <v>OK</v>
      </c>
      <c r="D144" t="str">
        <f>IF(LEN(TRIM(Controls_Raw!N144))=0,"Missing","OK")</f>
        <v>OK</v>
      </c>
      <c r="E144" t="str">
        <f>IF(OR(Controls_Raw!G144="USA",Controls_Raw!G144="UK"),"Standardize","OK")</f>
        <v>OK</v>
      </c>
      <c r="F144" t="str">
        <f>IF(Controls_Raw!E144&lt;&gt;TRIM(Controls_Raw!E144),"Trim","OK")</f>
        <v>OK</v>
      </c>
      <c r="G144" t="str">
        <f>IF(AND(Controls_Raw!L144&lt;DATE(2026,9,30),Controls_Raw!M144&lt;&gt;"Completed"),"Overdue","OK")</f>
        <v>Overdue</v>
      </c>
      <c r="H144" t="str">
        <f>IF(AND(Controls_Raw!Q144&lt;DATE(2026,9,30),Controls_Raw!R144&lt;&gt;"Completed",Controls_Raw!R144&lt;&gt;"Not Required"),"Overdue","OK")</f>
        <v>OK</v>
      </c>
      <c r="I144" t="str">
        <f t="shared" si="2"/>
        <v>Issue</v>
      </c>
    </row>
    <row r="145" spans="1:9" x14ac:dyDescent="0.2">
      <c r="A145" t="str">
        <f>Controls_Raw!A145</f>
        <v>CTRL-0141</v>
      </c>
      <c r="B145" t="str">
        <f>IF(COUNTIF(Controls_Raw!$A$5:$A$1504,A145)&gt;1,"Duplicate","OK")</f>
        <v>OK</v>
      </c>
      <c r="C145" t="str">
        <f>IF(LEN(TRIM(Controls_Raw!I145))=0,"Missing","OK")</f>
        <v>OK</v>
      </c>
      <c r="D145" t="str">
        <f>IF(LEN(TRIM(Controls_Raw!N145))=0,"Missing","OK")</f>
        <v>OK</v>
      </c>
      <c r="E145" t="str">
        <f>IF(OR(Controls_Raw!G145="USA",Controls_Raw!G145="UK"),"Standardize","OK")</f>
        <v>OK</v>
      </c>
      <c r="F145" t="str">
        <f>IF(Controls_Raw!E145&lt;&gt;TRIM(Controls_Raw!E145),"Trim","OK")</f>
        <v>OK</v>
      </c>
      <c r="G145" t="str">
        <f>IF(AND(Controls_Raw!L145&lt;DATE(2026,9,30),Controls_Raw!M145&lt;&gt;"Completed"),"Overdue","OK")</f>
        <v>Overdue</v>
      </c>
      <c r="H145" t="str">
        <f>IF(AND(Controls_Raw!Q145&lt;DATE(2026,9,30),Controls_Raw!R145&lt;&gt;"Completed",Controls_Raw!R145&lt;&gt;"Not Required"),"Overdue","OK")</f>
        <v>Overdue</v>
      </c>
      <c r="I145" t="str">
        <f t="shared" si="2"/>
        <v>Issue</v>
      </c>
    </row>
    <row r="146" spans="1:9" x14ac:dyDescent="0.2">
      <c r="A146" t="str">
        <f>Controls_Raw!A146</f>
        <v>CTRL-0142</v>
      </c>
      <c r="B146" t="str">
        <f>IF(COUNTIF(Controls_Raw!$A$5:$A$1504,A146)&gt;1,"Duplicate","OK")</f>
        <v>OK</v>
      </c>
      <c r="C146" t="str">
        <f>IF(LEN(TRIM(Controls_Raw!I146))=0,"Missing","OK")</f>
        <v>Missing</v>
      </c>
      <c r="D146" t="str">
        <f>IF(LEN(TRIM(Controls_Raw!N146))=0,"Missing","OK")</f>
        <v>OK</v>
      </c>
      <c r="E146" t="str">
        <f>IF(OR(Controls_Raw!G146="USA",Controls_Raw!G146="UK"),"Standardize","OK")</f>
        <v>OK</v>
      </c>
      <c r="F146" t="str">
        <f>IF(Controls_Raw!E146&lt;&gt;TRIM(Controls_Raw!E146),"Trim","OK")</f>
        <v>OK</v>
      </c>
      <c r="G146" t="str">
        <f>IF(AND(Controls_Raw!L146&lt;DATE(2026,9,30),Controls_Raw!M146&lt;&gt;"Completed"),"Overdue","OK")</f>
        <v>OK</v>
      </c>
      <c r="H146" t="str">
        <f>IF(AND(Controls_Raw!Q146&lt;DATE(2026,9,30),Controls_Raw!R146&lt;&gt;"Completed",Controls_Raw!R146&lt;&gt;"Not Required"),"Overdue","OK")</f>
        <v>Overdue</v>
      </c>
      <c r="I146" t="str">
        <f t="shared" si="2"/>
        <v>Issue</v>
      </c>
    </row>
    <row r="147" spans="1:9" x14ac:dyDescent="0.2">
      <c r="A147" t="str">
        <f>Controls_Raw!A147</f>
        <v>CTRL-0143</v>
      </c>
      <c r="B147" t="str">
        <f>IF(COUNTIF(Controls_Raw!$A$5:$A$1504,A147)&gt;1,"Duplicate","OK")</f>
        <v>OK</v>
      </c>
      <c r="C147" t="str">
        <f>IF(LEN(TRIM(Controls_Raw!I147))=0,"Missing","OK")</f>
        <v>OK</v>
      </c>
      <c r="D147" t="str">
        <f>IF(LEN(TRIM(Controls_Raw!N147))=0,"Missing","OK")</f>
        <v>OK</v>
      </c>
      <c r="E147" t="str">
        <f>IF(OR(Controls_Raw!G147="USA",Controls_Raw!G147="UK"),"Standardize","OK")</f>
        <v>OK</v>
      </c>
      <c r="F147" t="str">
        <f>IF(Controls_Raw!E147&lt;&gt;TRIM(Controls_Raw!E147),"Trim","OK")</f>
        <v>OK</v>
      </c>
      <c r="G147" t="str">
        <f>IF(AND(Controls_Raw!L147&lt;DATE(2026,9,30),Controls_Raw!M147&lt;&gt;"Completed"),"Overdue","OK")</f>
        <v>Overdue</v>
      </c>
      <c r="H147" t="str">
        <f>IF(AND(Controls_Raw!Q147&lt;DATE(2026,9,30),Controls_Raw!R147&lt;&gt;"Completed",Controls_Raw!R147&lt;&gt;"Not Required"),"Overdue","OK")</f>
        <v>OK</v>
      </c>
      <c r="I147" t="str">
        <f t="shared" si="2"/>
        <v>Issue</v>
      </c>
    </row>
    <row r="148" spans="1:9" x14ac:dyDescent="0.2">
      <c r="A148" t="str">
        <f>Controls_Raw!A148</f>
        <v>CTRL-0144</v>
      </c>
      <c r="B148" t="str">
        <f>IF(COUNTIF(Controls_Raw!$A$5:$A$1504,A148)&gt;1,"Duplicate","OK")</f>
        <v>OK</v>
      </c>
      <c r="C148" t="str">
        <f>IF(LEN(TRIM(Controls_Raw!I148))=0,"Missing","OK")</f>
        <v>OK</v>
      </c>
      <c r="D148" t="str">
        <f>IF(LEN(TRIM(Controls_Raw!N148))=0,"Missing","OK")</f>
        <v>OK</v>
      </c>
      <c r="E148" t="str">
        <f>IF(OR(Controls_Raw!G148="USA",Controls_Raw!G148="UK"),"Standardize","OK")</f>
        <v>OK</v>
      </c>
      <c r="F148" t="str">
        <f>IF(Controls_Raw!E148&lt;&gt;TRIM(Controls_Raw!E148),"Trim","OK")</f>
        <v>OK</v>
      </c>
      <c r="G148" t="str">
        <f>IF(AND(Controls_Raw!L148&lt;DATE(2026,9,30),Controls_Raw!M148&lt;&gt;"Completed"),"Overdue","OK")</f>
        <v>Overdue</v>
      </c>
      <c r="H148" t="str">
        <f>IF(AND(Controls_Raw!Q148&lt;DATE(2026,9,30),Controls_Raw!R148&lt;&gt;"Completed",Controls_Raw!R148&lt;&gt;"Not Required"),"Overdue","OK")</f>
        <v>OK</v>
      </c>
      <c r="I148" t="str">
        <f t="shared" si="2"/>
        <v>Issue</v>
      </c>
    </row>
    <row r="149" spans="1:9" x14ac:dyDescent="0.2">
      <c r="A149" t="str">
        <f>Controls_Raw!A149</f>
        <v>CTRL-0145</v>
      </c>
      <c r="B149" t="str">
        <f>IF(COUNTIF(Controls_Raw!$A$5:$A$1504,A149)&gt;1,"Duplicate","OK")</f>
        <v>OK</v>
      </c>
      <c r="C149" t="str">
        <f>IF(LEN(TRIM(Controls_Raw!I149))=0,"Missing","OK")</f>
        <v>OK</v>
      </c>
      <c r="D149" t="str">
        <f>IF(LEN(TRIM(Controls_Raw!N149))=0,"Missing","OK")</f>
        <v>OK</v>
      </c>
      <c r="E149" t="str">
        <f>IF(OR(Controls_Raw!G149="USA",Controls_Raw!G149="UK"),"Standardize","OK")</f>
        <v>OK</v>
      </c>
      <c r="F149" t="str">
        <f>IF(Controls_Raw!E149&lt;&gt;TRIM(Controls_Raw!E149),"Trim","OK")</f>
        <v>OK</v>
      </c>
      <c r="G149" t="str">
        <f>IF(AND(Controls_Raw!L149&lt;DATE(2026,9,30),Controls_Raw!M149&lt;&gt;"Completed"),"Overdue","OK")</f>
        <v>Overdue</v>
      </c>
      <c r="H149" t="str">
        <f>IF(AND(Controls_Raw!Q149&lt;DATE(2026,9,30),Controls_Raw!R149&lt;&gt;"Completed",Controls_Raw!R149&lt;&gt;"Not Required"),"Overdue","OK")</f>
        <v>Overdue</v>
      </c>
      <c r="I149" t="str">
        <f t="shared" si="2"/>
        <v>Issue</v>
      </c>
    </row>
    <row r="150" spans="1:9" x14ac:dyDescent="0.2">
      <c r="A150" t="str">
        <f>Controls_Raw!A150</f>
        <v>CTRL-0146</v>
      </c>
      <c r="B150" t="str">
        <f>IF(COUNTIF(Controls_Raw!$A$5:$A$1504,A150)&gt;1,"Duplicate","OK")</f>
        <v>OK</v>
      </c>
      <c r="C150" t="str">
        <f>IF(LEN(TRIM(Controls_Raw!I150))=0,"Missing","OK")</f>
        <v>OK</v>
      </c>
      <c r="D150" t="str">
        <f>IF(LEN(TRIM(Controls_Raw!N150))=0,"Missing","OK")</f>
        <v>OK</v>
      </c>
      <c r="E150" t="str">
        <f>IF(OR(Controls_Raw!G150="USA",Controls_Raw!G150="UK"),"Standardize","OK")</f>
        <v>OK</v>
      </c>
      <c r="F150" t="str">
        <f>IF(Controls_Raw!E150&lt;&gt;TRIM(Controls_Raw!E150),"Trim","OK")</f>
        <v>OK</v>
      </c>
      <c r="G150" t="str">
        <f>IF(AND(Controls_Raw!L150&lt;DATE(2026,9,30),Controls_Raw!M150&lt;&gt;"Completed"),"Overdue","OK")</f>
        <v>Overdue</v>
      </c>
      <c r="H150" t="str">
        <f>IF(AND(Controls_Raw!Q150&lt;DATE(2026,9,30),Controls_Raw!R150&lt;&gt;"Completed",Controls_Raw!R150&lt;&gt;"Not Required"),"Overdue","OK")</f>
        <v>OK</v>
      </c>
      <c r="I150" t="str">
        <f t="shared" si="2"/>
        <v>Issue</v>
      </c>
    </row>
    <row r="151" spans="1:9" x14ac:dyDescent="0.2">
      <c r="A151" t="str">
        <f>Controls_Raw!A151</f>
        <v>CTRL-0147</v>
      </c>
      <c r="B151" t="str">
        <f>IF(COUNTIF(Controls_Raw!$A$5:$A$1504,A151)&gt;1,"Duplicate","OK")</f>
        <v>OK</v>
      </c>
      <c r="C151" t="str">
        <f>IF(LEN(TRIM(Controls_Raw!I151))=0,"Missing","OK")</f>
        <v>OK</v>
      </c>
      <c r="D151" t="str">
        <f>IF(LEN(TRIM(Controls_Raw!N151))=0,"Missing","OK")</f>
        <v>OK</v>
      </c>
      <c r="E151" t="str">
        <f>IF(OR(Controls_Raw!G151="USA",Controls_Raw!G151="UK"),"Standardize","OK")</f>
        <v>OK</v>
      </c>
      <c r="F151" t="str">
        <f>IF(Controls_Raw!E151&lt;&gt;TRIM(Controls_Raw!E151),"Trim","OK")</f>
        <v>Trim</v>
      </c>
      <c r="G151" t="str">
        <f>IF(AND(Controls_Raw!L151&lt;DATE(2026,9,30),Controls_Raw!M151&lt;&gt;"Completed"),"Overdue","OK")</f>
        <v>Overdue</v>
      </c>
      <c r="H151" t="str">
        <f>IF(AND(Controls_Raw!Q151&lt;DATE(2026,9,30),Controls_Raw!R151&lt;&gt;"Completed",Controls_Raw!R151&lt;&gt;"Not Required"),"Overdue","OK")</f>
        <v>OK</v>
      </c>
      <c r="I151" t="str">
        <f t="shared" si="2"/>
        <v>Issue</v>
      </c>
    </row>
    <row r="152" spans="1:9" x14ac:dyDescent="0.2">
      <c r="A152" t="str">
        <f>Controls_Raw!A152</f>
        <v>CTRL-0148</v>
      </c>
      <c r="B152" t="str">
        <f>IF(COUNTIF(Controls_Raw!$A$5:$A$1504,A152)&gt;1,"Duplicate","OK")</f>
        <v>OK</v>
      </c>
      <c r="C152" t="str">
        <f>IF(LEN(TRIM(Controls_Raw!I152))=0,"Missing","OK")</f>
        <v>OK</v>
      </c>
      <c r="D152" t="str">
        <f>IF(LEN(TRIM(Controls_Raw!N152))=0,"Missing","OK")</f>
        <v>OK</v>
      </c>
      <c r="E152" t="str">
        <f>IF(OR(Controls_Raw!G152="USA",Controls_Raw!G152="UK"),"Standardize","OK")</f>
        <v>OK</v>
      </c>
      <c r="F152" t="str">
        <f>IF(Controls_Raw!E152&lt;&gt;TRIM(Controls_Raw!E152),"Trim","OK")</f>
        <v>OK</v>
      </c>
      <c r="G152" t="str">
        <f>IF(AND(Controls_Raw!L152&lt;DATE(2026,9,30),Controls_Raw!M152&lt;&gt;"Completed"),"Overdue","OK")</f>
        <v>Overdue</v>
      </c>
      <c r="H152" t="str">
        <f>IF(AND(Controls_Raw!Q152&lt;DATE(2026,9,30),Controls_Raw!R152&lt;&gt;"Completed",Controls_Raw!R152&lt;&gt;"Not Required"),"Overdue","OK")</f>
        <v>Overdue</v>
      </c>
      <c r="I152" t="str">
        <f t="shared" si="2"/>
        <v>Issue</v>
      </c>
    </row>
    <row r="153" spans="1:9" x14ac:dyDescent="0.2">
      <c r="A153" t="str">
        <f>Controls_Raw!A153</f>
        <v>CTRL-0149</v>
      </c>
      <c r="B153" t="str">
        <f>IF(COUNTIF(Controls_Raw!$A$5:$A$1504,A153)&gt;1,"Duplicate","OK")</f>
        <v>OK</v>
      </c>
      <c r="C153" t="str">
        <f>IF(LEN(TRIM(Controls_Raw!I153))=0,"Missing","OK")</f>
        <v>OK</v>
      </c>
      <c r="D153" t="str">
        <f>IF(LEN(TRIM(Controls_Raw!N153))=0,"Missing","OK")</f>
        <v>OK</v>
      </c>
      <c r="E153" t="str">
        <f>IF(OR(Controls_Raw!G153="USA",Controls_Raw!G153="UK"),"Standardize","OK")</f>
        <v>OK</v>
      </c>
      <c r="F153" t="str">
        <f>IF(Controls_Raw!E153&lt;&gt;TRIM(Controls_Raw!E153),"Trim","OK")</f>
        <v>OK</v>
      </c>
      <c r="G153" t="str">
        <f>IF(AND(Controls_Raw!L153&lt;DATE(2026,9,30),Controls_Raw!M153&lt;&gt;"Completed"),"Overdue","OK")</f>
        <v>Overdue</v>
      </c>
      <c r="H153" t="str">
        <f>IF(AND(Controls_Raw!Q153&lt;DATE(2026,9,30),Controls_Raw!R153&lt;&gt;"Completed",Controls_Raw!R153&lt;&gt;"Not Required"),"Overdue","OK")</f>
        <v>Overdue</v>
      </c>
      <c r="I153" t="str">
        <f t="shared" si="2"/>
        <v>Issue</v>
      </c>
    </row>
    <row r="154" spans="1:9" x14ac:dyDescent="0.2">
      <c r="A154" t="str">
        <f>Controls_Raw!A154</f>
        <v>CTRL-0150</v>
      </c>
      <c r="B154" t="str">
        <f>IF(COUNTIF(Controls_Raw!$A$5:$A$1504,A154)&gt;1,"Duplicate","OK")</f>
        <v>OK</v>
      </c>
      <c r="C154" t="str">
        <f>IF(LEN(TRIM(Controls_Raw!I154))=0,"Missing","OK")</f>
        <v>OK</v>
      </c>
      <c r="D154" t="str">
        <f>IF(LEN(TRIM(Controls_Raw!N154))=0,"Missing","OK")</f>
        <v>OK</v>
      </c>
      <c r="E154" t="str">
        <f>IF(OR(Controls_Raw!G154="USA",Controls_Raw!G154="UK"),"Standardize","OK")</f>
        <v>OK</v>
      </c>
      <c r="F154" t="str">
        <f>IF(Controls_Raw!E154&lt;&gt;TRIM(Controls_Raw!E154),"Trim","OK")</f>
        <v>OK</v>
      </c>
      <c r="G154" t="str">
        <f>IF(AND(Controls_Raw!L154&lt;DATE(2026,9,30),Controls_Raw!M154&lt;&gt;"Completed"),"Overdue","OK")</f>
        <v>Overdue</v>
      </c>
      <c r="H154" t="str">
        <f>IF(AND(Controls_Raw!Q154&lt;DATE(2026,9,30),Controls_Raw!R154&lt;&gt;"Completed",Controls_Raw!R154&lt;&gt;"Not Required"),"Overdue","OK")</f>
        <v>OK</v>
      </c>
      <c r="I154" t="str">
        <f t="shared" si="2"/>
        <v>Issue</v>
      </c>
    </row>
    <row r="155" spans="1:9" x14ac:dyDescent="0.2">
      <c r="A155" t="str">
        <f>Controls_Raw!A155</f>
        <v>CTRL-0151</v>
      </c>
      <c r="B155" t="str">
        <f>IF(COUNTIF(Controls_Raw!$A$5:$A$1504,A155)&gt;1,"Duplicate","OK")</f>
        <v>OK</v>
      </c>
      <c r="C155" t="str">
        <f>IF(LEN(TRIM(Controls_Raw!I155))=0,"Missing","OK")</f>
        <v>OK</v>
      </c>
      <c r="D155" t="str">
        <f>IF(LEN(TRIM(Controls_Raw!N155))=0,"Missing","OK")</f>
        <v>OK</v>
      </c>
      <c r="E155" t="str">
        <f>IF(OR(Controls_Raw!G155="USA",Controls_Raw!G155="UK"),"Standardize","OK")</f>
        <v>OK</v>
      </c>
      <c r="F155" t="str">
        <f>IF(Controls_Raw!E155&lt;&gt;TRIM(Controls_Raw!E155),"Trim","OK")</f>
        <v>OK</v>
      </c>
      <c r="G155" t="str">
        <f>IF(AND(Controls_Raw!L155&lt;DATE(2026,9,30),Controls_Raw!M155&lt;&gt;"Completed"),"Overdue","OK")</f>
        <v>Overdue</v>
      </c>
      <c r="H155" t="str">
        <f>IF(AND(Controls_Raw!Q155&lt;DATE(2026,9,30),Controls_Raw!R155&lt;&gt;"Completed",Controls_Raw!R155&lt;&gt;"Not Required"),"Overdue","OK")</f>
        <v>Overdue</v>
      </c>
      <c r="I155" t="str">
        <f t="shared" si="2"/>
        <v>Issue</v>
      </c>
    </row>
    <row r="156" spans="1:9" x14ac:dyDescent="0.2">
      <c r="A156" t="str">
        <f>Controls_Raw!A156</f>
        <v>CTRL-0152</v>
      </c>
      <c r="B156" t="str">
        <f>IF(COUNTIF(Controls_Raw!$A$5:$A$1504,A156)&gt;1,"Duplicate","OK")</f>
        <v>OK</v>
      </c>
      <c r="C156" t="str">
        <f>IF(LEN(TRIM(Controls_Raw!I156))=0,"Missing","OK")</f>
        <v>OK</v>
      </c>
      <c r="D156" t="str">
        <f>IF(LEN(TRIM(Controls_Raw!N156))=0,"Missing","OK")</f>
        <v>OK</v>
      </c>
      <c r="E156" t="str">
        <f>IF(OR(Controls_Raw!G156="USA",Controls_Raw!G156="UK"),"Standardize","OK")</f>
        <v>OK</v>
      </c>
      <c r="F156" t="str">
        <f>IF(Controls_Raw!E156&lt;&gt;TRIM(Controls_Raw!E156),"Trim","OK")</f>
        <v>OK</v>
      </c>
      <c r="G156" t="str">
        <f>IF(AND(Controls_Raw!L156&lt;DATE(2026,9,30),Controls_Raw!M156&lt;&gt;"Completed"),"Overdue","OK")</f>
        <v>OK</v>
      </c>
      <c r="H156" t="str">
        <f>IF(AND(Controls_Raw!Q156&lt;DATE(2026,9,30),Controls_Raw!R156&lt;&gt;"Completed",Controls_Raw!R156&lt;&gt;"Not Required"),"Overdue","OK")</f>
        <v>Overdue</v>
      </c>
      <c r="I156" t="str">
        <f t="shared" si="2"/>
        <v>Issue</v>
      </c>
    </row>
    <row r="157" spans="1:9" x14ac:dyDescent="0.2">
      <c r="A157" t="str">
        <f>Controls_Raw!A157</f>
        <v>CTRL-0153</v>
      </c>
      <c r="B157" t="str">
        <f>IF(COUNTIF(Controls_Raw!$A$5:$A$1504,A157)&gt;1,"Duplicate","OK")</f>
        <v>OK</v>
      </c>
      <c r="C157" t="str">
        <f>IF(LEN(TRIM(Controls_Raw!I157))=0,"Missing","OK")</f>
        <v>OK</v>
      </c>
      <c r="D157" t="str">
        <f>IF(LEN(TRIM(Controls_Raw!N157))=0,"Missing","OK")</f>
        <v>OK</v>
      </c>
      <c r="E157" t="str">
        <f>IF(OR(Controls_Raw!G157="USA",Controls_Raw!G157="UK"),"Standardize","OK")</f>
        <v>OK</v>
      </c>
      <c r="F157" t="str">
        <f>IF(Controls_Raw!E157&lt;&gt;TRIM(Controls_Raw!E157),"Trim","OK")</f>
        <v>OK</v>
      </c>
      <c r="G157" t="str">
        <f>IF(AND(Controls_Raw!L157&lt;DATE(2026,9,30),Controls_Raw!M157&lt;&gt;"Completed"),"Overdue","OK")</f>
        <v>OK</v>
      </c>
      <c r="H157" t="str">
        <f>IF(AND(Controls_Raw!Q157&lt;DATE(2026,9,30),Controls_Raw!R157&lt;&gt;"Completed",Controls_Raw!R157&lt;&gt;"Not Required"),"Overdue","OK")</f>
        <v>OK</v>
      </c>
      <c r="I157" t="str">
        <f t="shared" si="2"/>
        <v>Pass</v>
      </c>
    </row>
    <row r="158" spans="1:9" x14ac:dyDescent="0.2">
      <c r="A158" t="str">
        <f>Controls_Raw!A158</f>
        <v>CTRL-0154</v>
      </c>
      <c r="B158" t="str">
        <f>IF(COUNTIF(Controls_Raw!$A$5:$A$1504,A158)&gt;1,"Duplicate","OK")</f>
        <v>OK</v>
      </c>
      <c r="C158" t="str">
        <f>IF(LEN(TRIM(Controls_Raw!I158))=0,"Missing","OK")</f>
        <v>OK</v>
      </c>
      <c r="D158" t="str">
        <f>IF(LEN(TRIM(Controls_Raw!N158))=0,"Missing","OK")</f>
        <v>OK</v>
      </c>
      <c r="E158" t="str">
        <f>IF(OR(Controls_Raw!G158="USA",Controls_Raw!G158="UK"),"Standardize","OK")</f>
        <v>OK</v>
      </c>
      <c r="F158" t="str">
        <f>IF(Controls_Raw!E158&lt;&gt;TRIM(Controls_Raw!E158),"Trim","OK")</f>
        <v>OK</v>
      </c>
      <c r="G158" t="str">
        <f>IF(AND(Controls_Raw!L158&lt;DATE(2026,9,30),Controls_Raw!M158&lt;&gt;"Completed"),"Overdue","OK")</f>
        <v>OK</v>
      </c>
      <c r="H158" t="str">
        <f>IF(AND(Controls_Raw!Q158&lt;DATE(2026,9,30),Controls_Raw!R158&lt;&gt;"Completed",Controls_Raw!R158&lt;&gt;"Not Required"),"Overdue","OK")</f>
        <v>Overdue</v>
      </c>
      <c r="I158" t="str">
        <f t="shared" si="2"/>
        <v>Issue</v>
      </c>
    </row>
    <row r="159" spans="1:9" x14ac:dyDescent="0.2">
      <c r="A159" t="str">
        <f>Controls_Raw!A159</f>
        <v>CTRL-0155</v>
      </c>
      <c r="B159" t="str">
        <f>IF(COUNTIF(Controls_Raw!$A$5:$A$1504,A159)&gt;1,"Duplicate","OK")</f>
        <v>OK</v>
      </c>
      <c r="C159" t="str">
        <f>IF(LEN(TRIM(Controls_Raw!I159))=0,"Missing","OK")</f>
        <v>OK</v>
      </c>
      <c r="D159" t="str">
        <f>IF(LEN(TRIM(Controls_Raw!N159))=0,"Missing","OK")</f>
        <v>OK</v>
      </c>
      <c r="E159" t="str">
        <f>IF(OR(Controls_Raw!G159="USA",Controls_Raw!G159="UK"),"Standardize","OK")</f>
        <v>OK</v>
      </c>
      <c r="F159" t="str">
        <f>IF(Controls_Raw!E159&lt;&gt;TRIM(Controls_Raw!E159),"Trim","OK")</f>
        <v>OK</v>
      </c>
      <c r="G159" t="str">
        <f>IF(AND(Controls_Raw!L159&lt;DATE(2026,9,30),Controls_Raw!M159&lt;&gt;"Completed"),"Overdue","OK")</f>
        <v>Overdue</v>
      </c>
      <c r="H159" t="str">
        <f>IF(AND(Controls_Raw!Q159&lt;DATE(2026,9,30),Controls_Raw!R159&lt;&gt;"Completed",Controls_Raw!R159&lt;&gt;"Not Required"),"Overdue","OK")</f>
        <v>OK</v>
      </c>
      <c r="I159" t="str">
        <f t="shared" si="2"/>
        <v>Issue</v>
      </c>
    </row>
    <row r="160" spans="1:9" x14ac:dyDescent="0.2">
      <c r="A160" t="str">
        <f>Controls_Raw!A160</f>
        <v>CTRL-0156</v>
      </c>
      <c r="B160" t="str">
        <f>IF(COUNTIF(Controls_Raw!$A$5:$A$1504,A160)&gt;1,"Duplicate","OK")</f>
        <v>OK</v>
      </c>
      <c r="C160" t="str">
        <f>IF(LEN(TRIM(Controls_Raw!I160))=0,"Missing","OK")</f>
        <v>OK</v>
      </c>
      <c r="D160" t="str">
        <f>IF(LEN(TRIM(Controls_Raw!N160))=0,"Missing","OK")</f>
        <v>OK</v>
      </c>
      <c r="E160" t="str">
        <f>IF(OR(Controls_Raw!G160="USA",Controls_Raw!G160="UK"),"Standardize","OK")</f>
        <v>OK</v>
      </c>
      <c r="F160" t="str">
        <f>IF(Controls_Raw!E160&lt;&gt;TRIM(Controls_Raw!E160),"Trim","OK")</f>
        <v>OK</v>
      </c>
      <c r="G160" t="str">
        <f>IF(AND(Controls_Raw!L160&lt;DATE(2026,9,30),Controls_Raw!M160&lt;&gt;"Completed"),"Overdue","OK")</f>
        <v>Overdue</v>
      </c>
      <c r="H160" t="str">
        <f>IF(AND(Controls_Raw!Q160&lt;DATE(2026,9,30),Controls_Raw!R160&lt;&gt;"Completed",Controls_Raw!R160&lt;&gt;"Not Required"),"Overdue","OK")</f>
        <v>OK</v>
      </c>
      <c r="I160" t="str">
        <f t="shared" si="2"/>
        <v>Issue</v>
      </c>
    </row>
    <row r="161" spans="1:9" x14ac:dyDescent="0.2">
      <c r="A161" t="str">
        <f>Controls_Raw!A161</f>
        <v>CTRL-0157</v>
      </c>
      <c r="B161" t="str">
        <f>IF(COUNTIF(Controls_Raw!$A$5:$A$1504,A161)&gt;1,"Duplicate","OK")</f>
        <v>OK</v>
      </c>
      <c r="C161" t="str">
        <f>IF(LEN(TRIM(Controls_Raw!I161))=0,"Missing","OK")</f>
        <v>OK</v>
      </c>
      <c r="D161" t="str">
        <f>IF(LEN(TRIM(Controls_Raw!N161))=0,"Missing","OK")</f>
        <v>OK</v>
      </c>
      <c r="E161" t="str">
        <f>IF(OR(Controls_Raw!G161="USA",Controls_Raw!G161="UK"),"Standardize","OK")</f>
        <v>OK</v>
      </c>
      <c r="F161" t="str">
        <f>IF(Controls_Raw!E161&lt;&gt;TRIM(Controls_Raw!E161),"Trim","OK")</f>
        <v>OK</v>
      </c>
      <c r="G161" t="str">
        <f>IF(AND(Controls_Raw!L161&lt;DATE(2026,9,30),Controls_Raw!M161&lt;&gt;"Completed"),"Overdue","OK")</f>
        <v>Overdue</v>
      </c>
      <c r="H161" t="str">
        <f>IF(AND(Controls_Raw!Q161&lt;DATE(2026,9,30),Controls_Raw!R161&lt;&gt;"Completed",Controls_Raw!R161&lt;&gt;"Not Required"),"Overdue","OK")</f>
        <v>OK</v>
      </c>
      <c r="I161" t="str">
        <f t="shared" si="2"/>
        <v>Issue</v>
      </c>
    </row>
    <row r="162" spans="1:9" x14ac:dyDescent="0.2">
      <c r="A162" t="str">
        <f>Controls_Raw!A162</f>
        <v>CTRL-0158</v>
      </c>
      <c r="B162" t="str">
        <f>IF(COUNTIF(Controls_Raw!$A$5:$A$1504,A162)&gt;1,"Duplicate","OK")</f>
        <v>OK</v>
      </c>
      <c r="C162" t="str">
        <f>IF(LEN(TRIM(Controls_Raw!I162))=0,"Missing","OK")</f>
        <v>OK</v>
      </c>
      <c r="D162" t="str">
        <f>IF(LEN(TRIM(Controls_Raw!N162))=0,"Missing","OK")</f>
        <v>OK</v>
      </c>
      <c r="E162" t="str">
        <f>IF(OR(Controls_Raw!G162="USA",Controls_Raw!G162="UK"),"Standardize","OK")</f>
        <v>OK</v>
      </c>
      <c r="F162" t="str">
        <f>IF(Controls_Raw!E162&lt;&gt;TRIM(Controls_Raw!E162),"Trim","OK")</f>
        <v>OK</v>
      </c>
      <c r="G162" t="str">
        <f>IF(AND(Controls_Raw!L162&lt;DATE(2026,9,30),Controls_Raw!M162&lt;&gt;"Completed"),"Overdue","OK")</f>
        <v>OK</v>
      </c>
      <c r="H162" t="str">
        <f>IF(AND(Controls_Raw!Q162&lt;DATE(2026,9,30),Controls_Raw!R162&lt;&gt;"Completed",Controls_Raw!R162&lt;&gt;"Not Required"),"Overdue","OK")</f>
        <v>OK</v>
      </c>
      <c r="I162" t="str">
        <f t="shared" si="2"/>
        <v>Pass</v>
      </c>
    </row>
    <row r="163" spans="1:9" x14ac:dyDescent="0.2">
      <c r="A163" t="str">
        <f>Controls_Raw!A163</f>
        <v>CTRL-0159</v>
      </c>
      <c r="B163" t="str">
        <f>IF(COUNTIF(Controls_Raw!$A$5:$A$1504,A163)&gt;1,"Duplicate","OK")</f>
        <v>OK</v>
      </c>
      <c r="C163" t="str">
        <f>IF(LEN(TRIM(Controls_Raw!I163))=0,"Missing","OK")</f>
        <v>OK</v>
      </c>
      <c r="D163" t="str">
        <f>IF(LEN(TRIM(Controls_Raw!N163))=0,"Missing","OK")</f>
        <v>OK</v>
      </c>
      <c r="E163" t="str">
        <f>IF(OR(Controls_Raw!G163="USA",Controls_Raw!G163="UK"),"Standardize","OK")</f>
        <v>OK</v>
      </c>
      <c r="F163" t="str">
        <f>IF(Controls_Raw!E163&lt;&gt;TRIM(Controls_Raw!E163),"Trim","OK")</f>
        <v>OK</v>
      </c>
      <c r="G163" t="str">
        <f>IF(AND(Controls_Raw!L163&lt;DATE(2026,9,30),Controls_Raw!M163&lt;&gt;"Completed"),"Overdue","OK")</f>
        <v>Overdue</v>
      </c>
      <c r="H163" t="str">
        <f>IF(AND(Controls_Raw!Q163&lt;DATE(2026,9,30),Controls_Raw!R163&lt;&gt;"Completed",Controls_Raw!R163&lt;&gt;"Not Required"),"Overdue","OK")</f>
        <v>Overdue</v>
      </c>
      <c r="I163" t="str">
        <f t="shared" si="2"/>
        <v>Issue</v>
      </c>
    </row>
    <row r="164" spans="1:9" x14ac:dyDescent="0.2">
      <c r="A164" t="str">
        <f>Controls_Raw!A164</f>
        <v>CTRL-0160</v>
      </c>
      <c r="B164" t="str">
        <f>IF(COUNTIF(Controls_Raw!$A$5:$A$1504,A164)&gt;1,"Duplicate","OK")</f>
        <v>OK</v>
      </c>
      <c r="C164" t="str">
        <f>IF(LEN(TRIM(Controls_Raw!I164))=0,"Missing","OK")</f>
        <v>OK</v>
      </c>
      <c r="D164" t="str">
        <f>IF(LEN(TRIM(Controls_Raw!N164))=0,"Missing","OK")</f>
        <v>OK</v>
      </c>
      <c r="E164" t="str">
        <f>IF(OR(Controls_Raw!G164="USA",Controls_Raw!G164="UK"),"Standardize","OK")</f>
        <v>OK</v>
      </c>
      <c r="F164" t="str">
        <f>IF(Controls_Raw!E164&lt;&gt;TRIM(Controls_Raw!E164),"Trim","OK")</f>
        <v>OK</v>
      </c>
      <c r="G164" t="str">
        <f>IF(AND(Controls_Raw!L164&lt;DATE(2026,9,30),Controls_Raw!M164&lt;&gt;"Completed"),"Overdue","OK")</f>
        <v>Overdue</v>
      </c>
      <c r="H164" t="str">
        <f>IF(AND(Controls_Raw!Q164&lt;DATE(2026,9,30),Controls_Raw!R164&lt;&gt;"Completed",Controls_Raw!R164&lt;&gt;"Not Required"),"Overdue","OK")</f>
        <v>OK</v>
      </c>
      <c r="I164" t="str">
        <f t="shared" si="2"/>
        <v>Issue</v>
      </c>
    </row>
    <row r="165" spans="1:9" x14ac:dyDescent="0.2">
      <c r="A165" t="str">
        <f>Controls_Raw!A165</f>
        <v>CTRL-0161</v>
      </c>
      <c r="B165" t="str">
        <f>IF(COUNTIF(Controls_Raw!$A$5:$A$1504,A165)&gt;1,"Duplicate","OK")</f>
        <v>OK</v>
      </c>
      <c r="C165" t="str">
        <f>IF(LEN(TRIM(Controls_Raw!I165))=0,"Missing","OK")</f>
        <v>OK</v>
      </c>
      <c r="D165" t="str">
        <f>IF(LEN(TRIM(Controls_Raw!N165))=0,"Missing","OK")</f>
        <v>OK</v>
      </c>
      <c r="E165" t="str">
        <f>IF(OR(Controls_Raw!G165="USA",Controls_Raw!G165="UK"),"Standardize","OK")</f>
        <v>OK</v>
      </c>
      <c r="F165" t="str">
        <f>IF(Controls_Raw!E165&lt;&gt;TRIM(Controls_Raw!E165),"Trim","OK")</f>
        <v>OK</v>
      </c>
      <c r="G165" t="str">
        <f>IF(AND(Controls_Raw!L165&lt;DATE(2026,9,30),Controls_Raw!M165&lt;&gt;"Completed"),"Overdue","OK")</f>
        <v>Overdue</v>
      </c>
      <c r="H165" t="str">
        <f>IF(AND(Controls_Raw!Q165&lt;DATE(2026,9,30),Controls_Raw!R165&lt;&gt;"Completed",Controls_Raw!R165&lt;&gt;"Not Required"),"Overdue","OK")</f>
        <v>OK</v>
      </c>
      <c r="I165" t="str">
        <f t="shared" si="2"/>
        <v>Issue</v>
      </c>
    </row>
    <row r="166" spans="1:9" x14ac:dyDescent="0.2">
      <c r="A166" t="str">
        <f>Controls_Raw!A166</f>
        <v>CTRL-0162</v>
      </c>
      <c r="B166" t="str">
        <f>IF(COUNTIF(Controls_Raw!$A$5:$A$1504,A166)&gt;1,"Duplicate","OK")</f>
        <v>OK</v>
      </c>
      <c r="C166" t="str">
        <f>IF(LEN(TRIM(Controls_Raw!I166))=0,"Missing","OK")</f>
        <v>OK</v>
      </c>
      <c r="D166" t="str">
        <f>IF(LEN(TRIM(Controls_Raw!N166))=0,"Missing","OK")</f>
        <v>OK</v>
      </c>
      <c r="E166" t="str">
        <f>IF(OR(Controls_Raw!G166="USA",Controls_Raw!G166="UK"),"Standardize","OK")</f>
        <v>OK</v>
      </c>
      <c r="F166" t="str">
        <f>IF(Controls_Raw!E166&lt;&gt;TRIM(Controls_Raw!E166),"Trim","OK")</f>
        <v>OK</v>
      </c>
      <c r="G166" t="str">
        <f>IF(AND(Controls_Raw!L166&lt;DATE(2026,9,30),Controls_Raw!M166&lt;&gt;"Completed"),"Overdue","OK")</f>
        <v>Overdue</v>
      </c>
      <c r="H166" t="str">
        <f>IF(AND(Controls_Raw!Q166&lt;DATE(2026,9,30),Controls_Raw!R166&lt;&gt;"Completed",Controls_Raw!R166&lt;&gt;"Not Required"),"Overdue","OK")</f>
        <v>OK</v>
      </c>
      <c r="I166" t="str">
        <f t="shared" si="2"/>
        <v>Issue</v>
      </c>
    </row>
    <row r="167" spans="1:9" x14ac:dyDescent="0.2">
      <c r="A167" t="str">
        <f>Controls_Raw!A167</f>
        <v>CTRL-0163</v>
      </c>
      <c r="B167" t="str">
        <f>IF(COUNTIF(Controls_Raw!$A$5:$A$1504,A167)&gt;1,"Duplicate","OK")</f>
        <v>OK</v>
      </c>
      <c r="C167" t="str">
        <f>IF(LEN(TRIM(Controls_Raw!I167))=0,"Missing","OK")</f>
        <v>OK</v>
      </c>
      <c r="D167" t="str">
        <f>IF(LEN(TRIM(Controls_Raw!N167))=0,"Missing","OK")</f>
        <v>OK</v>
      </c>
      <c r="E167" t="str">
        <f>IF(OR(Controls_Raw!G167="USA",Controls_Raw!G167="UK"),"Standardize","OK")</f>
        <v>OK</v>
      </c>
      <c r="F167" t="str">
        <f>IF(Controls_Raw!E167&lt;&gt;TRIM(Controls_Raw!E167),"Trim","OK")</f>
        <v>OK</v>
      </c>
      <c r="G167" t="str">
        <f>IF(AND(Controls_Raw!L167&lt;DATE(2026,9,30),Controls_Raw!M167&lt;&gt;"Completed"),"Overdue","OK")</f>
        <v>Overdue</v>
      </c>
      <c r="H167" t="str">
        <f>IF(AND(Controls_Raw!Q167&lt;DATE(2026,9,30),Controls_Raw!R167&lt;&gt;"Completed",Controls_Raw!R167&lt;&gt;"Not Required"),"Overdue","OK")</f>
        <v>OK</v>
      </c>
      <c r="I167" t="str">
        <f t="shared" si="2"/>
        <v>Issue</v>
      </c>
    </row>
    <row r="168" spans="1:9" x14ac:dyDescent="0.2">
      <c r="A168" t="str">
        <f>Controls_Raw!A168</f>
        <v>CTRL-0164</v>
      </c>
      <c r="B168" t="str">
        <f>IF(COUNTIF(Controls_Raw!$A$5:$A$1504,A168)&gt;1,"Duplicate","OK")</f>
        <v>OK</v>
      </c>
      <c r="C168" t="str">
        <f>IF(LEN(TRIM(Controls_Raw!I168))=0,"Missing","OK")</f>
        <v>OK</v>
      </c>
      <c r="D168" t="str">
        <f>IF(LEN(TRIM(Controls_Raw!N168))=0,"Missing","OK")</f>
        <v>OK</v>
      </c>
      <c r="E168" t="str">
        <f>IF(OR(Controls_Raw!G168="USA",Controls_Raw!G168="UK"),"Standardize","OK")</f>
        <v>OK</v>
      </c>
      <c r="F168" t="str">
        <f>IF(Controls_Raw!E168&lt;&gt;TRIM(Controls_Raw!E168),"Trim","OK")</f>
        <v>OK</v>
      </c>
      <c r="G168" t="str">
        <f>IF(AND(Controls_Raw!L168&lt;DATE(2026,9,30),Controls_Raw!M168&lt;&gt;"Completed"),"Overdue","OK")</f>
        <v>Overdue</v>
      </c>
      <c r="H168" t="str">
        <f>IF(AND(Controls_Raw!Q168&lt;DATE(2026,9,30),Controls_Raw!R168&lt;&gt;"Completed",Controls_Raw!R168&lt;&gt;"Not Required"),"Overdue","OK")</f>
        <v>Overdue</v>
      </c>
      <c r="I168" t="str">
        <f t="shared" si="2"/>
        <v>Issue</v>
      </c>
    </row>
    <row r="169" spans="1:9" x14ac:dyDescent="0.2">
      <c r="A169" t="str">
        <f>Controls_Raw!A169</f>
        <v>CTRL-0165</v>
      </c>
      <c r="B169" t="str">
        <f>IF(COUNTIF(Controls_Raw!$A$5:$A$1504,A169)&gt;1,"Duplicate","OK")</f>
        <v>OK</v>
      </c>
      <c r="C169" t="str">
        <f>IF(LEN(TRIM(Controls_Raw!I169))=0,"Missing","OK")</f>
        <v>OK</v>
      </c>
      <c r="D169" t="str">
        <f>IF(LEN(TRIM(Controls_Raw!N169))=0,"Missing","OK")</f>
        <v>OK</v>
      </c>
      <c r="E169" t="str">
        <f>IF(OR(Controls_Raw!G169="USA",Controls_Raw!G169="UK"),"Standardize","OK")</f>
        <v>OK</v>
      </c>
      <c r="F169" t="str">
        <f>IF(Controls_Raw!E169&lt;&gt;TRIM(Controls_Raw!E169),"Trim","OK")</f>
        <v>OK</v>
      </c>
      <c r="G169" t="str">
        <f>IF(AND(Controls_Raw!L169&lt;DATE(2026,9,30),Controls_Raw!M169&lt;&gt;"Completed"),"Overdue","OK")</f>
        <v>Overdue</v>
      </c>
      <c r="H169" t="str">
        <f>IF(AND(Controls_Raw!Q169&lt;DATE(2026,9,30),Controls_Raw!R169&lt;&gt;"Completed",Controls_Raw!R169&lt;&gt;"Not Required"),"Overdue","OK")</f>
        <v>OK</v>
      </c>
      <c r="I169" t="str">
        <f t="shared" si="2"/>
        <v>Issue</v>
      </c>
    </row>
    <row r="170" spans="1:9" x14ac:dyDescent="0.2">
      <c r="A170" t="str">
        <f>Controls_Raw!A170</f>
        <v>CTRL-0166</v>
      </c>
      <c r="B170" t="str">
        <f>IF(COUNTIF(Controls_Raw!$A$5:$A$1504,A170)&gt;1,"Duplicate","OK")</f>
        <v>OK</v>
      </c>
      <c r="C170" t="str">
        <f>IF(LEN(TRIM(Controls_Raw!I170))=0,"Missing","OK")</f>
        <v>OK</v>
      </c>
      <c r="D170" t="str">
        <f>IF(LEN(TRIM(Controls_Raw!N170))=0,"Missing","OK")</f>
        <v>OK</v>
      </c>
      <c r="E170" t="str">
        <f>IF(OR(Controls_Raw!G170="USA",Controls_Raw!G170="UK"),"Standardize","OK")</f>
        <v>OK</v>
      </c>
      <c r="F170" t="str">
        <f>IF(Controls_Raw!E170&lt;&gt;TRIM(Controls_Raw!E170),"Trim","OK")</f>
        <v>OK</v>
      </c>
      <c r="G170" t="str">
        <f>IF(AND(Controls_Raw!L170&lt;DATE(2026,9,30),Controls_Raw!M170&lt;&gt;"Completed"),"Overdue","OK")</f>
        <v>Overdue</v>
      </c>
      <c r="H170" t="str">
        <f>IF(AND(Controls_Raw!Q170&lt;DATE(2026,9,30),Controls_Raw!R170&lt;&gt;"Completed",Controls_Raw!R170&lt;&gt;"Not Required"),"Overdue","OK")</f>
        <v>OK</v>
      </c>
      <c r="I170" t="str">
        <f t="shared" si="2"/>
        <v>Issue</v>
      </c>
    </row>
    <row r="171" spans="1:9" x14ac:dyDescent="0.2">
      <c r="A171" t="str">
        <f>Controls_Raw!A171</f>
        <v>CTRL-0167</v>
      </c>
      <c r="B171" t="str">
        <f>IF(COUNTIF(Controls_Raw!$A$5:$A$1504,A171)&gt;1,"Duplicate","OK")</f>
        <v>OK</v>
      </c>
      <c r="C171" t="str">
        <f>IF(LEN(TRIM(Controls_Raw!I171))=0,"Missing","OK")</f>
        <v>OK</v>
      </c>
      <c r="D171" t="str">
        <f>IF(LEN(TRIM(Controls_Raw!N171))=0,"Missing","OK")</f>
        <v>Missing</v>
      </c>
      <c r="E171" t="str">
        <f>IF(OR(Controls_Raw!G171="USA",Controls_Raw!G171="UK"),"Standardize","OK")</f>
        <v>OK</v>
      </c>
      <c r="F171" t="str">
        <f>IF(Controls_Raw!E171&lt;&gt;TRIM(Controls_Raw!E171),"Trim","OK")</f>
        <v>OK</v>
      </c>
      <c r="G171" t="str">
        <f>IF(AND(Controls_Raw!L171&lt;DATE(2026,9,30),Controls_Raw!M171&lt;&gt;"Completed"),"Overdue","OK")</f>
        <v>OK</v>
      </c>
      <c r="H171" t="str">
        <f>IF(AND(Controls_Raw!Q171&lt;DATE(2026,9,30),Controls_Raw!R171&lt;&gt;"Completed",Controls_Raw!R171&lt;&gt;"Not Required"),"Overdue","OK")</f>
        <v>OK</v>
      </c>
      <c r="I171" t="str">
        <f t="shared" si="2"/>
        <v>Issue</v>
      </c>
    </row>
    <row r="172" spans="1:9" x14ac:dyDescent="0.2">
      <c r="A172" t="str">
        <f>Controls_Raw!A172</f>
        <v>CTRL-0168</v>
      </c>
      <c r="B172" t="str">
        <f>IF(COUNTIF(Controls_Raw!$A$5:$A$1504,A172)&gt;1,"Duplicate","OK")</f>
        <v>OK</v>
      </c>
      <c r="C172" t="str">
        <f>IF(LEN(TRIM(Controls_Raw!I172))=0,"Missing","OK")</f>
        <v>OK</v>
      </c>
      <c r="D172" t="str">
        <f>IF(LEN(TRIM(Controls_Raw!N172))=0,"Missing","OK")</f>
        <v>OK</v>
      </c>
      <c r="E172" t="str">
        <f>IF(OR(Controls_Raw!G172="USA",Controls_Raw!G172="UK"),"Standardize","OK")</f>
        <v>OK</v>
      </c>
      <c r="F172" t="str">
        <f>IF(Controls_Raw!E172&lt;&gt;TRIM(Controls_Raw!E172),"Trim","OK")</f>
        <v>OK</v>
      </c>
      <c r="G172" t="str">
        <f>IF(AND(Controls_Raw!L172&lt;DATE(2026,9,30),Controls_Raw!M172&lt;&gt;"Completed"),"Overdue","OK")</f>
        <v>Overdue</v>
      </c>
      <c r="H172" t="str">
        <f>IF(AND(Controls_Raw!Q172&lt;DATE(2026,9,30),Controls_Raw!R172&lt;&gt;"Completed",Controls_Raw!R172&lt;&gt;"Not Required"),"Overdue","OK")</f>
        <v>OK</v>
      </c>
      <c r="I172" t="str">
        <f t="shared" si="2"/>
        <v>Issue</v>
      </c>
    </row>
    <row r="173" spans="1:9" x14ac:dyDescent="0.2">
      <c r="A173" t="str">
        <f>Controls_Raw!A173</f>
        <v>CTRL-0169</v>
      </c>
      <c r="B173" t="str">
        <f>IF(COUNTIF(Controls_Raw!$A$5:$A$1504,A173)&gt;1,"Duplicate","OK")</f>
        <v>OK</v>
      </c>
      <c r="C173" t="str">
        <f>IF(LEN(TRIM(Controls_Raw!I173))=0,"Missing","OK")</f>
        <v>OK</v>
      </c>
      <c r="D173" t="str">
        <f>IF(LEN(TRIM(Controls_Raw!N173))=0,"Missing","OK")</f>
        <v>OK</v>
      </c>
      <c r="E173" t="str">
        <f>IF(OR(Controls_Raw!G173="USA",Controls_Raw!G173="UK"),"Standardize","OK")</f>
        <v>OK</v>
      </c>
      <c r="F173" t="str">
        <f>IF(Controls_Raw!E173&lt;&gt;TRIM(Controls_Raw!E173),"Trim","OK")</f>
        <v>OK</v>
      </c>
      <c r="G173" t="str">
        <f>IF(AND(Controls_Raw!L173&lt;DATE(2026,9,30),Controls_Raw!M173&lt;&gt;"Completed"),"Overdue","OK")</f>
        <v>OK</v>
      </c>
      <c r="H173" t="str">
        <f>IF(AND(Controls_Raw!Q173&lt;DATE(2026,9,30),Controls_Raw!R173&lt;&gt;"Completed",Controls_Raw!R173&lt;&gt;"Not Required"),"Overdue","OK")</f>
        <v>OK</v>
      </c>
      <c r="I173" t="str">
        <f t="shared" si="2"/>
        <v>Pass</v>
      </c>
    </row>
    <row r="174" spans="1:9" x14ac:dyDescent="0.2">
      <c r="A174" t="str">
        <f>Controls_Raw!A174</f>
        <v>CTRL-0170</v>
      </c>
      <c r="B174" t="str">
        <f>IF(COUNTIF(Controls_Raw!$A$5:$A$1504,A174)&gt;1,"Duplicate","OK")</f>
        <v>OK</v>
      </c>
      <c r="C174" t="str">
        <f>IF(LEN(TRIM(Controls_Raw!I174))=0,"Missing","OK")</f>
        <v>OK</v>
      </c>
      <c r="D174" t="str">
        <f>IF(LEN(TRIM(Controls_Raw!N174))=0,"Missing","OK")</f>
        <v>OK</v>
      </c>
      <c r="E174" t="str">
        <f>IF(OR(Controls_Raw!G174="USA",Controls_Raw!G174="UK"),"Standardize","OK")</f>
        <v>OK</v>
      </c>
      <c r="F174" t="str">
        <f>IF(Controls_Raw!E174&lt;&gt;TRIM(Controls_Raw!E174),"Trim","OK")</f>
        <v>OK</v>
      </c>
      <c r="G174" t="str">
        <f>IF(AND(Controls_Raw!L174&lt;DATE(2026,9,30),Controls_Raw!M174&lt;&gt;"Completed"),"Overdue","OK")</f>
        <v>Overdue</v>
      </c>
      <c r="H174" t="str">
        <f>IF(AND(Controls_Raw!Q174&lt;DATE(2026,9,30),Controls_Raw!R174&lt;&gt;"Completed",Controls_Raw!R174&lt;&gt;"Not Required"),"Overdue","OK")</f>
        <v>OK</v>
      </c>
      <c r="I174" t="str">
        <f t="shared" si="2"/>
        <v>Issue</v>
      </c>
    </row>
    <row r="175" spans="1:9" x14ac:dyDescent="0.2">
      <c r="A175" t="str">
        <f>Controls_Raw!A175</f>
        <v>CTRL-0171</v>
      </c>
      <c r="B175" t="str">
        <f>IF(COUNTIF(Controls_Raw!$A$5:$A$1504,A175)&gt;1,"Duplicate","OK")</f>
        <v>OK</v>
      </c>
      <c r="C175" t="str">
        <f>IF(LEN(TRIM(Controls_Raw!I175))=0,"Missing","OK")</f>
        <v>OK</v>
      </c>
      <c r="D175" t="str">
        <f>IF(LEN(TRIM(Controls_Raw!N175))=0,"Missing","OK")</f>
        <v>OK</v>
      </c>
      <c r="E175" t="str">
        <f>IF(OR(Controls_Raw!G175="USA",Controls_Raw!G175="UK"),"Standardize","OK")</f>
        <v>OK</v>
      </c>
      <c r="F175" t="str">
        <f>IF(Controls_Raw!E175&lt;&gt;TRIM(Controls_Raw!E175),"Trim","OK")</f>
        <v>OK</v>
      </c>
      <c r="G175" t="str">
        <f>IF(AND(Controls_Raw!L175&lt;DATE(2026,9,30),Controls_Raw!M175&lt;&gt;"Completed"),"Overdue","OK")</f>
        <v>OK</v>
      </c>
      <c r="H175" t="str">
        <f>IF(AND(Controls_Raw!Q175&lt;DATE(2026,9,30),Controls_Raw!R175&lt;&gt;"Completed",Controls_Raw!R175&lt;&gt;"Not Required"),"Overdue","OK")</f>
        <v>OK</v>
      </c>
      <c r="I175" t="str">
        <f t="shared" si="2"/>
        <v>Pass</v>
      </c>
    </row>
    <row r="176" spans="1:9" x14ac:dyDescent="0.2">
      <c r="A176" t="str">
        <f>Controls_Raw!A176</f>
        <v>CTRL-0172</v>
      </c>
      <c r="B176" t="str">
        <f>IF(COUNTIF(Controls_Raw!$A$5:$A$1504,A176)&gt;1,"Duplicate","OK")</f>
        <v>OK</v>
      </c>
      <c r="C176" t="str">
        <f>IF(LEN(TRIM(Controls_Raw!I176))=0,"Missing","OK")</f>
        <v>OK</v>
      </c>
      <c r="D176" t="str">
        <f>IF(LEN(TRIM(Controls_Raw!N176))=0,"Missing","OK")</f>
        <v>OK</v>
      </c>
      <c r="E176" t="str">
        <f>IF(OR(Controls_Raw!G176="USA",Controls_Raw!G176="UK"),"Standardize","OK")</f>
        <v>OK</v>
      </c>
      <c r="F176" t="str">
        <f>IF(Controls_Raw!E176&lt;&gt;TRIM(Controls_Raw!E176),"Trim","OK")</f>
        <v>OK</v>
      </c>
      <c r="G176" t="str">
        <f>IF(AND(Controls_Raw!L176&lt;DATE(2026,9,30),Controls_Raw!M176&lt;&gt;"Completed"),"Overdue","OK")</f>
        <v>OK</v>
      </c>
      <c r="H176" t="str">
        <f>IF(AND(Controls_Raw!Q176&lt;DATE(2026,9,30),Controls_Raw!R176&lt;&gt;"Completed",Controls_Raw!R176&lt;&gt;"Not Required"),"Overdue","OK")</f>
        <v>OK</v>
      </c>
      <c r="I176" t="str">
        <f t="shared" si="2"/>
        <v>Pass</v>
      </c>
    </row>
    <row r="177" spans="1:9" x14ac:dyDescent="0.2">
      <c r="A177" t="str">
        <f>Controls_Raw!A177</f>
        <v>CTRL-0173</v>
      </c>
      <c r="B177" t="str">
        <f>IF(COUNTIF(Controls_Raw!$A$5:$A$1504,A177)&gt;1,"Duplicate","OK")</f>
        <v>OK</v>
      </c>
      <c r="C177" t="str">
        <f>IF(LEN(TRIM(Controls_Raw!I177))=0,"Missing","OK")</f>
        <v>OK</v>
      </c>
      <c r="D177" t="str">
        <f>IF(LEN(TRIM(Controls_Raw!N177))=0,"Missing","OK")</f>
        <v>OK</v>
      </c>
      <c r="E177" t="str">
        <f>IF(OR(Controls_Raw!G177="USA",Controls_Raw!G177="UK"),"Standardize","OK")</f>
        <v>OK</v>
      </c>
      <c r="F177" t="str">
        <f>IF(Controls_Raw!E177&lt;&gt;TRIM(Controls_Raw!E177),"Trim","OK")</f>
        <v>OK</v>
      </c>
      <c r="G177" t="str">
        <f>IF(AND(Controls_Raw!L177&lt;DATE(2026,9,30),Controls_Raw!M177&lt;&gt;"Completed"),"Overdue","OK")</f>
        <v>Overdue</v>
      </c>
      <c r="H177" t="str">
        <f>IF(AND(Controls_Raw!Q177&lt;DATE(2026,9,30),Controls_Raw!R177&lt;&gt;"Completed",Controls_Raw!R177&lt;&gt;"Not Required"),"Overdue","OK")</f>
        <v>OK</v>
      </c>
      <c r="I177" t="str">
        <f t="shared" si="2"/>
        <v>Issue</v>
      </c>
    </row>
    <row r="178" spans="1:9" x14ac:dyDescent="0.2">
      <c r="A178" t="str">
        <f>Controls_Raw!A178</f>
        <v>CTRL-0174</v>
      </c>
      <c r="B178" t="str">
        <f>IF(COUNTIF(Controls_Raw!$A$5:$A$1504,A178)&gt;1,"Duplicate","OK")</f>
        <v>OK</v>
      </c>
      <c r="C178" t="str">
        <f>IF(LEN(TRIM(Controls_Raw!I178))=0,"Missing","OK")</f>
        <v>OK</v>
      </c>
      <c r="D178" t="str">
        <f>IF(LEN(TRIM(Controls_Raw!N178))=0,"Missing","OK")</f>
        <v>OK</v>
      </c>
      <c r="E178" t="str">
        <f>IF(OR(Controls_Raw!G178="USA",Controls_Raw!G178="UK"),"Standardize","OK")</f>
        <v>OK</v>
      </c>
      <c r="F178" t="str">
        <f>IF(Controls_Raw!E178&lt;&gt;TRIM(Controls_Raw!E178),"Trim","OK")</f>
        <v>OK</v>
      </c>
      <c r="G178" t="str">
        <f>IF(AND(Controls_Raw!L178&lt;DATE(2026,9,30),Controls_Raw!M178&lt;&gt;"Completed"),"Overdue","OK")</f>
        <v>Overdue</v>
      </c>
      <c r="H178" t="str">
        <f>IF(AND(Controls_Raw!Q178&lt;DATE(2026,9,30),Controls_Raw!R178&lt;&gt;"Completed",Controls_Raw!R178&lt;&gt;"Not Required"),"Overdue","OK")</f>
        <v>OK</v>
      </c>
      <c r="I178" t="str">
        <f t="shared" si="2"/>
        <v>Issue</v>
      </c>
    </row>
    <row r="179" spans="1:9" x14ac:dyDescent="0.2">
      <c r="A179" t="str">
        <f>Controls_Raw!A179</f>
        <v>CTRL-0175</v>
      </c>
      <c r="B179" t="str">
        <f>IF(COUNTIF(Controls_Raw!$A$5:$A$1504,A179)&gt;1,"Duplicate","OK")</f>
        <v>OK</v>
      </c>
      <c r="C179" t="str">
        <f>IF(LEN(TRIM(Controls_Raw!I179))=0,"Missing","OK")</f>
        <v>OK</v>
      </c>
      <c r="D179" t="str">
        <f>IF(LEN(TRIM(Controls_Raw!N179))=0,"Missing","OK")</f>
        <v>OK</v>
      </c>
      <c r="E179" t="str">
        <f>IF(OR(Controls_Raw!G179="USA",Controls_Raw!G179="UK"),"Standardize","OK")</f>
        <v>OK</v>
      </c>
      <c r="F179" t="str">
        <f>IF(Controls_Raw!E179&lt;&gt;TRIM(Controls_Raw!E179),"Trim","OK")</f>
        <v>OK</v>
      </c>
      <c r="G179" t="str">
        <f>IF(AND(Controls_Raw!L179&lt;DATE(2026,9,30),Controls_Raw!M179&lt;&gt;"Completed"),"Overdue","OK")</f>
        <v>OK</v>
      </c>
      <c r="H179" t="str">
        <f>IF(AND(Controls_Raw!Q179&lt;DATE(2026,9,30),Controls_Raw!R179&lt;&gt;"Completed",Controls_Raw!R179&lt;&gt;"Not Required"),"Overdue","OK")</f>
        <v>OK</v>
      </c>
      <c r="I179" t="str">
        <f t="shared" si="2"/>
        <v>Pass</v>
      </c>
    </row>
    <row r="180" spans="1:9" x14ac:dyDescent="0.2">
      <c r="A180" t="str">
        <f>Controls_Raw!A180</f>
        <v>CTRL-0176</v>
      </c>
      <c r="B180" t="str">
        <f>IF(COUNTIF(Controls_Raw!$A$5:$A$1504,A180)&gt;1,"Duplicate","OK")</f>
        <v>OK</v>
      </c>
      <c r="C180" t="str">
        <f>IF(LEN(TRIM(Controls_Raw!I180))=0,"Missing","OK")</f>
        <v>OK</v>
      </c>
      <c r="D180" t="str">
        <f>IF(LEN(TRIM(Controls_Raw!N180))=0,"Missing","OK")</f>
        <v>OK</v>
      </c>
      <c r="E180" t="str">
        <f>IF(OR(Controls_Raw!G180="USA",Controls_Raw!G180="UK"),"Standardize","OK")</f>
        <v>OK</v>
      </c>
      <c r="F180" t="str">
        <f>IF(Controls_Raw!E180&lt;&gt;TRIM(Controls_Raw!E180),"Trim","OK")</f>
        <v>OK</v>
      </c>
      <c r="G180" t="str">
        <f>IF(AND(Controls_Raw!L180&lt;DATE(2026,9,30),Controls_Raw!M180&lt;&gt;"Completed"),"Overdue","OK")</f>
        <v>Overdue</v>
      </c>
      <c r="H180" t="str">
        <f>IF(AND(Controls_Raw!Q180&lt;DATE(2026,9,30),Controls_Raw!R180&lt;&gt;"Completed",Controls_Raw!R180&lt;&gt;"Not Required"),"Overdue","OK")</f>
        <v>Overdue</v>
      </c>
      <c r="I180" t="str">
        <f t="shared" si="2"/>
        <v>Issue</v>
      </c>
    </row>
    <row r="181" spans="1:9" x14ac:dyDescent="0.2">
      <c r="A181" t="str">
        <f>Controls_Raw!A181</f>
        <v>CTRL-0177</v>
      </c>
      <c r="B181" t="str">
        <f>IF(COUNTIF(Controls_Raw!$A$5:$A$1504,A181)&gt;1,"Duplicate","OK")</f>
        <v>OK</v>
      </c>
      <c r="C181" t="str">
        <f>IF(LEN(TRIM(Controls_Raw!I181))=0,"Missing","OK")</f>
        <v>OK</v>
      </c>
      <c r="D181" t="str">
        <f>IF(LEN(TRIM(Controls_Raw!N181))=0,"Missing","OK")</f>
        <v>OK</v>
      </c>
      <c r="E181" t="str">
        <f>IF(OR(Controls_Raw!G181="USA",Controls_Raw!G181="UK"),"Standardize","OK")</f>
        <v>OK</v>
      </c>
      <c r="F181" t="str">
        <f>IF(Controls_Raw!E181&lt;&gt;TRIM(Controls_Raw!E181),"Trim","OK")</f>
        <v>OK</v>
      </c>
      <c r="G181" t="str">
        <f>IF(AND(Controls_Raw!L181&lt;DATE(2026,9,30),Controls_Raw!M181&lt;&gt;"Completed"),"Overdue","OK")</f>
        <v>Overdue</v>
      </c>
      <c r="H181" t="str">
        <f>IF(AND(Controls_Raw!Q181&lt;DATE(2026,9,30),Controls_Raw!R181&lt;&gt;"Completed",Controls_Raw!R181&lt;&gt;"Not Required"),"Overdue","OK")</f>
        <v>OK</v>
      </c>
      <c r="I181" t="str">
        <f t="shared" si="2"/>
        <v>Issue</v>
      </c>
    </row>
    <row r="182" spans="1:9" x14ac:dyDescent="0.2">
      <c r="A182" t="str">
        <f>Controls_Raw!A182</f>
        <v>CTRL-0178</v>
      </c>
      <c r="B182" t="str">
        <f>IF(COUNTIF(Controls_Raw!$A$5:$A$1504,A182)&gt;1,"Duplicate","OK")</f>
        <v>OK</v>
      </c>
      <c r="C182" t="str">
        <f>IF(LEN(TRIM(Controls_Raw!I182))=0,"Missing","OK")</f>
        <v>OK</v>
      </c>
      <c r="D182" t="str">
        <f>IF(LEN(TRIM(Controls_Raw!N182))=0,"Missing","OK")</f>
        <v>OK</v>
      </c>
      <c r="E182" t="str">
        <f>IF(OR(Controls_Raw!G182="USA",Controls_Raw!G182="UK"),"Standardize","OK")</f>
        <v>OK</v>
      </c>
      <c r="F182" t="str">
        <f>IF(Controls_Raw!E182&lt;&gt;TRIM(Controls_Raw!E182),"Trim","OK")</f>
        <v>OK</v>
      </c>
      <c r="G182" t="str">
        <f>IF(AND(Controls_Raw!L182&lt;DATE(2026,9,30),Controls_Raw!M182&lt;&gt;"Completed"),"Overdue","OK")</f>
        <v>OK</v>
      </c>
      <c r="H182" t="str">
        <f>IF(AND(Controls_Raw!Q182&lt;DATE(2026,9,30),Controls_Raw!R182&lt;&gt;"Completed",Controls_Raw!R182&lt;&gt;"Not Required"),"Overdue","OK")</f>
        <v>OK</v>
      </c>
      <c r="I182" t="str">
        <f t="shared" si="2"/>
        <v>Pass</v>
      </c>
    </row>
    <row r="183" spans="1:9" x14ac:dyDescent="0.2">
      <c r="A183" t="str">
        <f>Controls_Raw!A183</f>
        <v>CTRL-0179</v>
      </c>
      <c r="B183" t="str">
        <f>IF(COUNTIF(Controls_Raw!$A$5:$A$1504,A183)&gt;1,"Duplicate","OK")</f>
        <v>OK</v>
      </c>
      <c r="C183" t="str">
        <f>IF(LEN(TRIM(Controls_Raw!I183))=0,"Missing","OK")</f>
        <v>OK</v>
      </c>
      <c r="D183" t="str">
        <f>IF(LEN(TRIM(Controls_Raw!N183))=0,"Missing","OK")</f>
        <v>OK</v>
      </c>
      <c r="E183" t="str">
        <f>IF(OR(Controls_Raw!G183="USA",Controls_Raw!G183="UK"),"Standardize","OK")</f>
        <v>OK</v>
      </c>
      <c r="F183" t="str">
        <f>IF(Controls_Raw!E183&lt;&gt;TRIM(Controls_Raw!E183),"Trim","OK")</f>
        <v>OK</v>
      </c>
      <c r="G183" t="str">
        <f>IF(AND(Controls_Raw!L183&lt;DATE(2026,9,30),Controls_Raw!M183&lt;&gt;"Completed"),"Overdue","OK")</f>
        <v>Overdue</v>
      </c>
      <c r="H183" t="str">
        <f>IF(AND(Controls_Raw!Q183&lt;DATE(2026,9,30),Controls_Raw!R183&lt;&gt;"Completed",Controls_Raw!R183&lt;&gt;"Not Required"),"Overdue","OK")</f>
        <v>OK</v>
      </c>
      <c r="I183" t="str">
        <f t="shared" si="2"/>
        <v>Issue</v>
      </c>
    </row>
    <row r="184" spans="1:9" x14ac:dyDescent="0.2">
      <c r="A184" t="str">
        <f>Controls_Raw!A184</f>
        <v>CTRL-0180</v>
      </c>
      <c r="B184" t="str">
        <f>IF(COUNTIF(Controls_Raw!$A$5:$A$1504,A184)&gt;1,"Duplicate","OK")</f>
        <v>OK</v>
      </c>
      <c r="C184" t="str">
        <f>IF(LEN(TRIM(Controls_Raw!I184))=0,"Missing","OK")</f>
        <v>OK</v>
      </c>
      <c r="D184" t="str">
        <f>IF(LEN(TRIM(Controls_Raw!N184))=0,"Missing","OK")</f>
        <v>OK</v>
      </c>
      <c r="E184" t="str">
        <f>IF(OR(Controls_Raw!G184="USA",Controls_Raw!G184="UK"),"Standardize","OK")</f>
        <v>OK</v>
      </c>
      <c r="F184" t="str">
        <f>IF(Controls_Raw!E184&lt;&gt;TRIM(Controls_Raw!E184),"Trim","OK")</f>
        <v>OK</v>
      </c>
      <c r="G184" t="str">
        <f>IF(AND(Controls_Raw!L184&lt;DATE(2026,9,30),Controls_Raw!M184&lt;&gt;"Completed"),"Overdue","OK")</f>
        <v>OK</v>
      </c>
      <c r="H184" t="str">
        <f>IF(AND(Controls_Raw!Q184&lt;DATE(2026,9,30),Controls_Raw!R184&lt;&gt;"Completed",Controls_Raw!R184&lt;&gt;"Not Required"),"Overdue","OK")</f>
        <v>OK</v>
      </c>
      <c r="I184" t="str">
        <f t="shared" si="2"/>
        <v>Pass</v>
      </c>
    </row>
    <row r="185" spans="1:9" x14ac:dyDescent="0.2">
      <c r="A185" t="str">
        <f>Controls_Raw!A185</f>
        <v>CTRL-0181</v>
      </c>
      <c r="B185" t="str">
        <f>IF(COUNTIF(Controls_Raw!$A$5:$A$1504,A185)&gt;1,"Duplicate","OK")</f>
        <v>OK</v>
      </c>
      <c r="C185" t="str">
        <f>IF(LEN(TRIM(Controls_Raw!I185))=0,"Missing","OK")</f>
        <v>OK</v>
      </c>
      <c r="D185" t="str">
        <f>IF(LEN(TRIM(Controls_Raw!N185))=0,"Missing","OK")</f>
        <v>OK</v>
      </c>
      <c r="E185" t="str">
        <f>IF(OR(Controls_Raw!G185="USA",Controls_Raw!G185="UK"),"Standardize","OK")</f>
        <v>OK</v>
      </c>
      <c r="F185" t="str">
        <f>IF(Controls_Raw!E185&lt;&gt;TRIM(Controls_Raw!E185),"Trim","OK")</f>
        <v>OK</v>
      </c>
      <c r="G185" t="str">
        <f>IF(AND(Controls_Raw!L185&lt;DATE(2026,9,30),Controls_Raw!M185&lt;&gt;"Completed"),"Overdue","OK")</f>
        <v>Overdue</v>
      </c>
      <c r="H185" t="str">
        <f>IF(AND(Controls_Raw!Q185&lt;DATE(2026,9,30),Controls_Raw!R185&lt;&gt;"Completed",Controls_Raw!R185&lt;&gt;"Not Required"),"Overdue","OK")</f>
        <v>OK</v>
      </c>
      <c r="I185" t="str">
        <f t="shared" si="2"/>
        <v>Issue</v>
      </c>
    </row>
    <row r="186" spans="1:9" x14ac:dyDescent="0.2">
      <c r="A186" t="str">
        <f>Controls_Raw!A186</f>
        <v>CTRL-0182</v>
      </c>
      <c r="B186" t="str">
        <f>IF(COUNTIF(Controls_Raw!$A$5:$A$1504,A186)&gt;1,"Duplicate","OK")</f>
        <v>OK</v>
      </c>
      <c r="C186" t="str">
        <f>IF(LEN(TRIM(Controls_Raw!I186))=0,"Missing","OK")</f>
        <v>OK</v>
      </c>
      <c r="D186" t="str">
        <f>IF(LEN(TRIM(Controls_Raw!N186))=0,"Missing","OK")</f>
        <v>OK</v>
      </c>
      <c r="E186" t="str">
        <f>IF(OR(Controls_Raw!G186="USA",Controls_Raw!G186="UK"),"Standardize","OK")</f>
        <v>OK</v>
      </c>
      <c r="F186" t="str">
        <f>IF(Controls_Raw!E186&lt;&gt;TRIM(Controls_Raw!E186),"Trim","OK")</f>
        <v>OK</v>
      </c>
      <c r="G186" t="str">
        <f>IF(AND(Controls_Raw!L186&lt;DATE(2026,9,30),Controls_Raw!M186&lt;&gt;"Completed"),"Overdue","OK")</f>
        <v>OK</v>
      </c>
      <c r="H186" t="str">
        <f>IF(AND(Controls_Raw!Q186&lt;DATE(2026,9,30),Controls_Raw!R186&lt;&gt;"Completed",Controls_Raw!R186&lt;&gt;"Not Required"),"Overdue","OK")</f>
        <v>Overdue</v>
      </c>
      <c r="I186" t="str">
        <f t="shared" si="2"/>
        <v>Issue</v>
      </c>
    </row>
    <row r="187" spans="1:9" x14ac:dyDescent="0.2">
      <c r="A187" t="str">
        <f>Controls_Raw!A187</f>
        <v>CTRL-0183</v>
      </c>
      <c r="B187" t="str">
        <f>IF(COUNTIF(Controls_Raw!$A$5:$A$1504,A187)&gt;1,"Duplicate","OK")</f>
        <v>OK</v>
      </c>
      <c r="C187" t="str">
        <f>IF(LEN(TRIM(Controls_Raw!I187))=0,"Missing","OK")</f>
        <v>OK</v>
      </c>
      <c r="D187" t="str">
        <f>IF(LEN(TRIM(Controls_Raw!N187))=0,"Missing","OK")</f>
        <v>OK</v>
      </c>
      <c r="E187" t="str">
        <f>IF(OR(Controls_Raw!G187="USA",Controls_Raw!G187="UK"),"Standardize","OK")</f>
        <v>OK</v>
      </c>
      <c r="F187" t="str">
        <f>IF(Controls_Raw!E187&lt;&gt;TRIM(Controls_Raw!E187),"Trim","OK")</f>
        <v>OK</v>
      </c>
      <c r="G187" t="str">
        <f>IF(AND(Controls_Raw!L187&lt;DATE(2026,9,30),Controls_Raw!M187&lt;&gt;"Completed"),"Overdue","OK")</f>
        <v>Overdue</v>
      </c>
      <c r="H187" t="str">
        <f>IF(AND(Controls_Raw!Q187&lt;DATE(2026,9,30),Controls_Raw!R187&lt;&gt;"Completed",Controls_Raw!R187&lt;&gt;"Not Required"),"Overdue","OK")</f>
        <v>OK</v>
      </c>
      <c r="I187" t="str">
        <f t="shared" si="2"/>
        <v>Issue</v>
      </c>
    </row>
    <row r="188" spans="1:9" x14ac:dyDescent="0.2">
      <c r="A188" t="str">
        <f>Controls_Raw!A188</f>
        <v>CTRL-0184</v>
      </c>
      <c r="B188" t="str">
        <f>IF(COUNTIF(Controls_Raw!$A$5:$A$1504,A188)&gt;1,"Duplicate","OK")</f>
        <v>OK</v>
      </c>
      <c r="C188" t="str">
        <f>IF(LEN(TRIM(Controls_Raw!I188))=0,"Missing","OK")</f>
        <v>OK</v>
      </c>
      <c r="D188" t="str">
        <f>IF(LEN(TRIM(Controls_Raw!N188))=0,"Missing","OK")</f>
        <v>OK</v>
      </c>
      <c r="E188" t="str">
        <f>IF(OR(Controls_Raw!G188="USA",Controls_Raw!G188="UK"),"Standardize","OK")</f>
        <v>OK</v>
      </c>
      <c r="F188" t="str">
        <f>IF(Controls_Raw!E188&lt;&gt;TRIM(Controls_Raw!E188),"Trim","OK")</f>
        <v>OK</v>
      </c>
      <c r="G188" t="str">
        <f>IF(AND(Controls_Raw!L188&lt;DATE(2026,9,30),Controls_Raw!M188&lt;&gt;"Completed"),"Overdue","OK")</f>
        <v>Overdue</v>
      </c>
      <c r="H188" t="str">
        <f>IF(AND(Controls_Raw!Q188&lt;DATE(2026,9,30),Controls_Raw!R188&lt;&gt;"Completed",Controls_Raw!R188&lt;&gt;"Not Required"),"Overdue","OK")</f>
        <v>OK</v>
      </c>
      <c r="I188" t="str">
        <f t="shared" si="2"/>
        <v>Issue</v>
      </c>
    </row>
    <row r="189" spans="1:9" x14ac:dyDescent="0.2">
      <c r="A189" t="str">
        <f>Controls_Raw!A189</f>
        <v>CTRL-0185</v>
      </c>
      <c r="B189" t="str">
        <f>IF(COUNTIF(Controls_Raw!$A$5:$A$1504,A189)&gt;1,"Duplicate","OK")</f>
        <v>OK</v>
      </c>
      <c r="C189" t="str">
        <f>IF(LEN(TRIM(Controls_Raw!I189))=0,"Missing","OK")</f>
        <v>OK</v>
      </c>
      <c r="D189" t="str">
        <f>IF(LEN(TRIM(Controls_Raw!N189))=0,"Missing","OK")</f>
        <v>OK</v>
      </c>
      <c r="E189" t="str">
        <f>IF(OR(Controls_Raw!G189="USA",Controls_Raw!G189="UK"),"Standardize","OK")</f>
        <v>OK</v>
      </c>
      <c r="F189" t="str">
        <f>IF(Controls_Raw!E189&lt;&gt;TRIM(Controls_Raw!E189),"Trim","OK")</f>
        <v>OK</v>
      </c>
      <c r="G189" t="str">
        <f>IF(AND(Controls_Raw!L189&lt;DATE(2026,9,30),Controls_Raw!M189&lt;&gt;"Completed"),"Overdue","OK")</f>
        <v>OK</v>
      </c>
      <c r="H189" t="str">
        <f>IF(AND(Controls_Raw!Q189&lt;DATE(2026,9,30),Controls_Raw!R189&lt;&gt;"Completed",Controls_Raw!R189&lt;&gt;"Not Required"),"Overdue","OK")</f>
        <v>Overdue</v>
      </c>
      <c r="I189" t="str">
        <f t="shared" si="2"/>
        <v>Issue</v>
      </c>
    </row>
    <row r="190" spans="1:9" x14ac:dyDescent="0.2">
      <c r="A190" t="str">
        <f>Controls_Raw!A190</f>
        <v>CTRL-0186</v>
      </c>
      <c r="B190" t="str">
        <f>IF(COUNTIF(Controls_Raw!$A$5:$A$1504,A190)&gt;1,"Duplicate","OK")</f>
        <v>OK</v>
      </c>
      <c r="C190" t="str">
        <f>IF(LEN(TRIM(Controls_Raw!I190))=0,"Missing","OK")</f>
        <v>OK</v>
      </c>
      <c r="D190" t="str">
        <f>IF(LEN(TRIM(Controls_Raw!N190))=0,"Missing","OK")</f>
        <v>OK</v>
      </c>
      <c r="E190" t="str">
        <f>IF(OR(Controls_Raw!G190="USA",Controls_Raw!G190="UK"),"Standardize","OK")</f>
        <v>OK</v>
      </c>
      <c r="F190" t="str">
        <f>IF(Controls_Raw!E190&lt;&gt;TRIM(Controls_Raw!E190),"Trim","OK")</f>
        <v>OK</v>
      </c>
      <c r="G190" t="str">
        <f>IF(AND(Controls_Raw!L190&lt;DATE(2026,9,30),Controls_Raw!M190&lt;&gt;"Completed"),"Overdue","OK")</f>
        <v>Overdue</v>
      </c>
      <c r="H190" t="str">
        <f>IF(AND(Controls_Raw!Q190&lt;DATE(2026,9,30),Controls_Raw!R190&lt;&gt;"Completed",Controls_Raw!R190&lt;&gt;"Not Required"),"Overdue","OK")</f>
        <v>OK</v>
      </c>
      <c r="I190" t="str">
        <f t="shared" si="2"/>
        <v>Issue</v>
      </c>
    </row>
    <row r="191" spans="1:9" x14ac:dyDescent="0.2">
      <c r="A191" t="str">
        <f>Controls_Raw!A191</f>
        <v>CTRL-0187</v>
      </c>
      <c r="B191" t="str">
        <f>IF(COUNTIF(Controls_Raw!$A$5:$A$1504,A191)&gt;1,"Duplicate","OK")</f>
        <v>OK</v>
      </c>
      <c r="C191" t="str">
        <f>IF(LEN(TRIM(Controls_Raw!I191))=0,"Missing","OK")</f>
        <v>OK</v>
      </c>
      <c r="D191" t="str">
        <f>IF(LEN(TRIM(Controls_Raw!N191))=0,"Missing","OK")</f>
        <v>OK</v>
      </c>
      <c r="E191" t="str">
        <f>IF(OR(Controls_Raw!G191="USA",Controls_Raw!G191="UK"),"Standardize","OK")</f>
        <v>OK</v>
      </c>
      <c r="F191" t="str">
        <f>IF(Controls_Raw!E191&lt;&gt;TRIM(Controls_Raw!E191),"Trim","OK")</f>
        <v>OK</v>
      </c>
      <c r="G191" t="str">
        <f>IF(AND(Controls_Raw!L191&lt;DATE(2026,9,30),Controls_Raw!M191&lt;&gt;"Completed"),"Overdue","OK")</f>
        <v>Overdue</v>
      </c>
      <c r="H191" t="str">
        <f>IF(AND(Controls_Raw!Q191&lt;DATE(2026,9,30),Controls_Raw!R191&lt;&gt;"Completed",Controls_Raw!R191&lt;&gt;"Not Required"),"Overdue","OK")</f>
        <v>Overdue</v>
      </c>
      <c r="I191" t="str">
        <f t="shared" si="2"/>
        <v>Issue</v>
      </c>
    </row>
    <row r="192" spans="1:9" x14ac:dyDescent="0.2">
      <c r="A192" t="str">
        <f>Controls_Raw!A192</f>
        <v>CTRL-0188</v>
      </c>
      <c r="B192" t="str">
        <f>IF(COUNTIF(Controls_Raw!$A$5:$A$1504,A192)&gt;1,"Duplicate","OK")</f>
        <v>OK</v>
      </c>
      <c r="C192" t="str">
        <f>IF(LEN(TRIM(Controls_Raw!I192))=0,"Missing","OK")</f>
        <v>OK</v>
      </c>
      <c r="D192" t="str">
        <f>IF(LEN(TRIM(Controls_Raw!N192))=0,"Missing","OK")</f>
        <v>OK</v>
      </c>
      <c r="E192" t="str">
        <f>IF(OR(Controls_Raw!G192="USA",Controls_Raw!G192="UK"),"Standardize","OK")</f>
        <v>OK</v>
      </c>
      <c r="F192" t="str">
        <f>IF(Controls_Raw!E192&lt;&gt;TRIM(Controls_Raw!E192),"Trim","OK")</f>
        <v>OK</v>
      </c>
      <c r="G192" t="str">
        <f>IF(AND(Controls_Raw!L192&lt;DATE(2026,9,30),Controls_Raw!M192&lt;&gt;"Completed"),"Overdue","OK")</f>
        <v>Overdue</v>
      </c>
      <c r="H192" t="str">
        <f>IF(AND(Controls_Raw!Q192&lt;DATE(2026,9,30),Controls_Raw!R192&lt;&gt;"Completed",Controls_Raw!R192&lt;&gt;"Not Required"),"Overdue","OK")</f>
        <v>OK</v>
      </c>
      <c r="I192" t="str">
        <f t="shared" si="2"/>
        <v>Issue</v>
      </c>
    </row>
    <row r="193" spans="1:9" x14ac:dyDescent="0.2">
      <c r="A193" t="str">
        <f>Controls_Raw!A193</f>
        <v>CTRL-0189</v>
      </c>
      <c r="B193" t="str">
        <f>IF(COUNTIF(Controls_Raw!$A$5:$A$1504,A193)&gt;1,"Duplicate","OK")</f>
        <v>OK</v>
      </c>
      <c r="C193" t="str">
        <f>IF(LEN(TRIM(Controls_Raw!I193))=0,"Missing","OK")</f>
        <v>Missing</v>
      </c>
      <c r="D193" t="str">
        <f>IF(LEN(TRIM(Controls_Raw!N193))=0,"Missing","OK")</f>
        <v>OK</v>
      </c>
      <c r="E193" t="str">
        <f>IF(OR(Controls_Raw!G193="USA",Controls_Raw!G193="UK"),"Standardize","OK")</f>
        <v>OK</v>
      </c>
      <c r="F193" t="str">
        <f>IF(Controls_Raw!E193&lt;&gt;TRIM(Controls_Raw!E193),"Trim","OK")</f>
        <v>OK</v>
      </c>
      <c r="G193" t="str">
        <f>IF(AND(Controls_Raw!L193&lt;DATE(2026,9,30),Controls_Raw!M193&lt;&gt;"Completed"),"Overdue","OK")</f>
        <v>Overdue</v>
      </c>
      <c r="H193" t="str">
        <f>IF(AND(Controls_Raw!Q193&lt;DATE(2026,9,30),Controls_Raw!R193&lt;&gt;"Completed",Controls_Raw!R193&lt;&gt;"Not Required"),"Overdue","OK")</f>
        <v>OK</v>
      </c>
      <c r="I193" t="str">
        <f t="shared" si="2"/>
        <v>Issue</v>
      </c>
    </row>
    <row r="194" spans="1:9" x14ac:dyDescent="0.2">
      <c r="A194" t="str">
        <f>Controls_Raw!A194</f>
        <v>CTRL-0190</v>
      </c>
      <c r="B194" t="str">
        <f>IF(COUNTIF(Controls_Raw!$A$5:$A$1504,A194)&gt;1,"Duplicate","OK")</f>
        <v>OK</v>
      </c>
      <c r="C194" t="str">
        <f>IF(LEN(TRIM(Controls_Raw!I194))=0,"Missing","OK")</f>
        <v>OK</v>
      </c>
      <c r="D194" t="str">
        <f>IF(LEN(TRIM(Controls_Raw!N194))=0,"Missing","OK")</f>
        <v>OK</v>
      </c>
      <c r="E194" t="str">
        <f>IF(OR(Controls_Raw!G194="USA",Controls_Raw!G194="UK"),"Standardize","OK")</f>
        <v>OK</v>
      </c>
      <c r="F194" t="str">
        <f>IF(Controls_Raw!E194&lt;&gt;TRIM(Controls_Raw!E194),"Trim","OK")</f>
        <v>OK</v>
      </c>
      <c r="G194" t="str">
        <f>IF(AND(Controls_Raw!L194&lt;DATE(2026,9,30),Controls_Raw!M194&lt;&gt;"Completed"),"Overdue","OK")</f>
        <v>OK</v>
      </c>
      <c r="H194" t="str">
        <f>IF(AND(Controls_Raw!Q194&lt;DATE(2026,9,30),Controls_Raw!R194&lt;&gt;"Completed",Controls_Raw!R194&lt;&gt;"Not Required"),"Overdue","OK")</f>
        <v>OK</v>
      </c>
      <c r="I194" t="str">
        <f t="shared" si="2"/>
        <v>Pass</v>
      </c>
    </row>
    <row r="195" spans="1:9" x14ac:dyDescent="0.2">
      <c r="A195" t="str">
        <f>Controls_Raw!A195</f>
        <v>CTRL-0191</v>
      </c>
      <c r="B195" t="str">
        <f>IF(COUNTIF(Controls_Raw!$A$5:$A$1504,A195)&gt;1,"Duplicate","OK")</f>
        <v>OK</v>
      </c>
      <c r="C195" t="str">
        <f>IF(LEN(TRIM(Controls_Raw!I195))=0,"Missing","OK")</f>
        <v>OK</v>
      </c>
      <c r="D195" t="str">
        <f>IF(LEN(TRIM(Controls_Raw!N195))=0,"Missing","OK")</f>
        <v>OK</v>
      </c>
      <c r="E195" t="str">
        <f>IF(OR(Controls_Raw!G195="USA",Controls_Raw!G195="UK"),"Standardize","OK")</f>
        <v>OK</v>
      </c>
      <c r="F195" t="str">
        <f>IF(Controls_Raw!E195&lt;&gt;TRIM(Controls_Raw!E195),"Trim","OK")</f>
        <v>OK</v>
      </c>
      <c r="G195" t="str">
        <f>IF(AND(Controls_Raw!L195&lt;DATE(2026,9,30),Controls_Raw!M195&lt;&gt;"Completed"),"Overdue","OK")</f>
        <v>Overdue</v>
      </c>
      <c r="H195" t="str">
        <f>IF(AND(Controls_Raw!Q195&lt;DATE(2026,9,30),Controls_Raw!R195&lt;&gt;"Completed",Controls_Raw!R195&lt;&gt;"Not Required"),"Overdue","OK")</f>
        <v>OK</v>
      </c>
      <c r="I195" t="str">
        <f t="shared" si="2"/>
        <v>Issue</v>
      </c>
    </row>
    <row r="196" spans="1:9" x14ac:dyDescent="0.2">
      <c r="A196" t="str">
        <f>Controls_Raw!A196</f>
        <v>CTRL-0192</v>
      </c>
      <c r="B196" t="str">
        <f>IF(COUNTIF(Controls_Raw!$A$5:$A$1504,A196)&gt;1,"Duplicate","OK")</f>
        <v>OK</v>
      </c>
      <c r="C196" t="str">
        <f>IF(LEN(TRIM(Controls_Raw!I196))=0,"Missing","OK")</f>
        <v>OK</v>
      </c>
      <c r="D196" t="str">
        <f>IF(LEN(TRIM(Controls_Raw!N196))=0,"Missing","OK")</f>
        <v>OK</v>
      </c>
      <c r="E196" t="str">
        <f>IF(OR(Controls_Raw!G196="USA",Controls_Raw!G196="UK"),"Standardize","OK")</f>
        <v>OK</v>
      </c>
      <c r="F196" t="str">
        <f>IF(Controls_Raw!E196&lt;&gt;TRIM(Controls_Raw!E196),"Trim","OK")</f>
        <v>OK</v>
      </c>
      <c r="G196" t="str">
        <f>IF(AND(Controls_Raw!L196&lt;DATE(2026,9,30),Controls_Raw!M196&lt;&gt;"Completed"),"Overdue","OK")</f>
        <v>Overdue</v>
      </c>
      <c r="H196" t="str">
        <f>IF(AND(Controls_Raw!Q196&lt;DATE(2026,9,30),Controls_Raw!R196&lt;&gt;"Completed",Controls_Raw!R196&lt;&gt;"Not Required"),"Overdue","OK")</f>
        <v>OK</v>
      </c>
      <c r="I196" t="str">
        <f t="shared" si="2"/>
        <v>Issue</v>
      </c>
    </row>
    <row r="197" spans="1:9" x14ac:dyDescent="0.2">
      <c r="A197" t="str">
        <f>Controls_Raw!A197</f>
        <v>CTRL-0193</v>
      </c>
      <c r="B197" t="str">
        <f>IF(COUNTIF(Controls_Raw!$A$5:$A$1504,A197)&gt;1,"Duplicate","OK")</f>
        <v>OK</v>
      </c>
      <c r="C197" t="str">
        <f>IF(LEN(TRIM(Controls_Raw!I197))=0,"Missing","OK")</f>
        <v>OK</v>
      </c>
      <c r="D197" t="str">
        <f>IF(LEN(TRIM(Controls_Raw!N197))=0,"Missing","OK")</f>
        <v>OK</v>
      </c>
      <c r="E197" t="str">
        <f>IF(OR(Controls_Raw!G197="USA",Controls_Raw!G197="UK"),"Standardize","OK")</f>
        <v>OK</v>
      </c>
      <c r="F197" t="str">
        <f>IF(Controls_Raw!E197&lt;&gt;TRIM(Controls_Raw!E197),"Trim","OK")</f>
        <v>OK</v>
      </c>
      <c r="G197" t="str">
        <f>IF(AND(Controls_Raw!L197&lt;DATE(2026,9,30),Controls_Raw!M197&lt;&gt;"Completed"),"Overdue","OK")</f>
        <v>OK</v>
      </c>
      <c r="H197" t="str">
        <f>IF(AND(Controls_Raw!Q197&lt;DATE(2026,9,30),Controls_Raw!R197&lt;&gt;"Completed",Controls_Raw!R197&lt;&gt;"Not Required"),"Overdue","OK")</f>
        <v>Overdue</v>
      </c>
      <c r="I197" t="str">
        <f t="shared" ref="I197:I260" si="3">IF(COUNTIF(B197:H197,"&lt;&gt;OK")&gt;0,"Issue","Pass")</f>
        <v>Issue</v>
      </c>
    </row>
    <row r="198" spans="1:9" x14ac:dyDescent="0.2">
      <c r="A198" t="str">
        <f>Controls_Raw!A198</f>
        <v>CTRL-0194</v>
      </c>
      <c r="B198" t="str">
        <f>IF(COUNTIF(Controls_Raw!$A$5:$A$1504,A198)&gt;1,"Duplicate","OK")</f>
        <v>OK</v>
      </c>
      <c r="C198" t="str">
        <f>IF(LEN(TRIM(Controls_Raw!I198))=0,"Missing","OK")</f>
        <v>OK</v>
      </c>
      <c r="D198" t="str">
        <f>IF(LEN(TRIM(Controls_Raw!N198))=0,"Missing","OK")</f>
        <v>OK</v>
      </c>
      <c r="E198" t="str">
        <f>IF(OR(Controls_Raw!G198="USA",Controls_Raw!G198="UK"),"Standardize","OK")</f>
        <v>OK</v>
      </c>
      <c r="F198" t="str">
        <f>IF(Controls_Raw!E198&lt;&gt;TRIM(Controls_Raw!E198),"Trim","OK")</f>
        <v>OK</v>
      </c>
      <c r="G198" t="str">
        <f>IF(AND(Controls_Raw!L198&lt;DATE(2026,9,30),Controls_Raw!M198&lt;&gt;"Completed"),"Overdue","OK")</f>
        <v>Overdue</v>
      </c>
      <c r="H198" t="str">
        <f>IF(AND(Controls_Raw!Q198&lt;DATE(2026,9,30),Controls_Raw!R198&lt;&gt;"Completed",Controls_Raw!R198&lt;&gt;"Not Required"),"Overdue","OK")</f>
        <v>OK</v>
      </c>
      <c r="I198" t="str">
        <f t="shared" si="3"/>
        <v>Issue</v>
      </c>
    </row>
    <row r="199" spans="1:9" x14ac:dyDescent="0.2">
      <c r="A199" t="str">
        <f>Controls_Raw!A199</f>
        <v>CTRL-0195</v>
      </c>
      <c r="B199" t="str">
        <f>IF(COUNTIF(Controls_Raw!$A$5:$A$1504,A199)&gt;1,"Duplicate","OK")</f>
        <v>OK</v>
      </c>
      <c r="C199" t="str">
        <f>IF(LEN(TRIM(Controls_Raw!I199))=0,"Missing","OK")</f>
        <v>OK</v>
      </c>
      <c r="D199" t="str">
        <f>IF(LEN(TRIM(Controls_Raw!N199))=0,"Missing","OK")</f>
        <v>OK</v>
      </c>
      <c r="E199" t="str">
        <f>IF(OR(Controls_Raw!G199="USA",Controls_Raw!G199="UK"),"Standardize","OK")</f>
        <v>OK</v>
      </c>
      <c r="F199" t="str">
        <f>IF(Controls_Raw!E199&lt;&gt;TRIM(Controls_Raw!E199),"Trim","OK")</f>
        <v>OK</v>
      </c>
      <c r="G199" t="str">
        <f>IF(AND(Controls_Raw!L199&lt;DATE(2026,9,30),Controls_Raw!M199&lt;&gt;"Completed"),"Overdue","OK")</f>
        <v>Overdue</v>
      </c>
      <c r="H199" t="str">
        <f>IF(AND(Controls_Raw!Q199&lt;DATE(2026,9,30),Controls_Raw!R199&lt;&gt;"Completed",Controls_Raw!R199&lt;&gt;"Not Required"),"Overdue","OK")</f>
        <v>Overdue</v>
      </c>
      <c r="I199" t="str">
        <f t="shared" si="3"/>
        <v>Issue</v>
      </c>
    </row>
    <row r="200" spans="1:9" x14ac:dyDescent="0.2">
      <c r="A200" t="str">
        <f>Controls_Raw!A200</f>
        <v>CTRL-0196</v>
      </c>
      <c r="B200" t="str">
        <f>IF(COUNTIF(Controls_Raw!$A$5:$A$1504,A200)&gt;1,"Duplicate","OK")</f>
        <v>OK</v>
      </c>
      <c r="C200" t="str">
        <f>IF(LEN(TRIM(Controls_Raw!I200))=0,"Missing","OK")</f>
        <v>OK</v>
      </c>
      <c r="D200" t="str">
        <f>IF(LEN(TRIM(Controls_Raw!N200))=0,"Missing","OK")</f>
        <v>OK</v>
      </c>
      <c r="E200" t="str">
        <f>IF(OR(Controls_Raw!G200="USA",Controls_Raw!G200="UK"),"Standardize","OK")</f>
        <v>OK</v>
      </c>
      <c r="F200" t="str">
        <f>IF(Controls_Raw!E200&lt;&gt;TRIM(Controls_Raw!E200),"Trim","OK")</f>
        <v>OK</v>
      </c>
      <c r="G200" t="str">
        <f>IF(AND(Controls_Raw!L200&lt;DATE(2026,9,30),Controls_Raw!M200&lt;&gt;"Completed"),"Overdue","OK")</f>
        <v>OK</v>
      </c>
      <c r="H200" t="str">
        <f>IF(AND(Controls_Raw!Q200&lt;DATE(2026,9,30),Controls_Raw!R200&lt;&gt;"Completed",Controls_Raw!R200&lt;&gt;"Not Required"),"Overdue","OK")</f>
        <v>OK</v>
      </c>
      <c r="I200" t="str">
        <f t="shared" si="3"/>
        <v>Pass</v>
      </c>
    </row>
    <row r="201" spans="1:9" x14ac:dyDescent="0.2">
      <c r="A201" t="str">
        <f>Controls_Raw!A201</f>
        <v>CTRL-0197</v>
      </c>
      <c r="B201" t="str">
        <f>IF(COUNTIF(Controls_Raw!$A$5:$A$1504,A201)&gt;1,"Duplicate","OK")</f>
        <v>OK</v>
      </c>
      <c r="C201" t="str">
        <f>IF(LEN(TRIM(Controls_Raw!I201))=0,"Missing","OK")</f>
        <v>OK</v>
      </c>
      <c r="D201" t="str">
        <f>IF(LEN(TRIM(Controls_Raw!N201))=0,"Missing","OK")</f>
        <v>OK</v>
      </c>
      <c r="E201" t="str">
        <f>IF(OR(Controls_Raw!G201="USA",Controls_Raw!G201="UK"),"Standardize","OK")</f>
        <v>OK</v>
      </c>
      <c r="F201" t="str">
        <f>IF(Controls_Raw!E201&lt;&gt;TRIM(Controls_Raw!E201),"Trim","OK")</f>
        <v>OK</v>
      </c>
      <c r="G201" t="str">
        <f>IF(AND(Controls_Raw!L201&lt;DATE(2026,9,30),Controls_Raw!M201&lt;&gt;"Completed"),"Overdue","OK")</f>
        <v>Overdue</v>
      </c>
      <c r="H201" t="str">
        <f>IF(AND(Controls_Raw!Q201&lt;DATE(2026,9,30),Controls_Raw!R201&lt;&gt;"Completed",Controls_Raw!R201&lt;&gt;"Not Required"),"Overdue","OK")</f>
        <v>Overdue</v>
      </c>
      <c r="I201" t="str">
        <f t="shared" si="3"/>
        <v>Issue</v>
      </c>
    </row>
    <row r="202" spans="1:9" x14ac:dyDescent="0.2">
      <c r="A202" t="str">
        <f>Controls_Raw!A202</f>
        <v>CTRL-0198</v>
      </c>
      <c r="B202" t="str">
        <f>IF(COUNTIF(Controls_Raw!$A$5:$A$1504,A202)&gt;1,"Duplicate","OK")</f>
        <v>OK</v>
      </c>
      <c r="C202" t="str">
        <f>IF(LEN(TRIM(Controls_Raw!I202))=0,"Missing","OK")</f>
        <v>OK</v>
      </c>
      <c r="D202" t="str">
        <f>IF(LEN(TRIM(Controls_Raw!N202))=0,"Missing","OK")</f>
        <v>OK</v>
      </c>
      <c r="E202" t="str">
        <f>IF(OR(Controls_Raw!G202="USA",Controls_Raw!G202="UK"),"Standardize","OK")</f>
        <v>OK</v>
      </c>
      <c r="F202" t="str">
        <f>IF(Controls_Raw!E202&lt;&gt;TRIM(Controls_Raw!E202),"Trim","OK")</f>
        <v>OK</v>
      </c>
      <c r="G202" t="str">
        <f>IF(AND(Controls_Raw!L202&lt;DATE(2026,9,30),Controls_Raw!M202&lt;&gt;"Completed"),"Overdue","OK")</f>
        <v>OK</v>
      </c>
      <c r="H202" t="str">
        <f>IF(AND(Controls_Raw!Q202&lt;DATE(2026,9,30),Controls_Raw!R202&lt;&gt;"Completed",Controls_Raw!R202&lt;&gt;"Not Required"),"Overdue","OK")</f>
        <v>Overdue</v>
      </c>
      <c r="I202" t="str">
        <f t="shared" si="3"/>
        <v>Issue</v>
      </c>
    </row>
    <row r="203" spans="1:9" x14ac:dyDescent="0.2">
      <c r="A203" t="str">
        <f>Controls_Raw!A203</f>
        <v>CTRL-0199</v>
      </c>
      <c r="B203" t="str">
        <f>IF(COUNTIF(Controls_Raw!$A$5:$A$1504,A203)&gt;1,"Duplicate","OK")</f>
        <v>OK</v>
      </c>
      <c r="C203" t="str">
        <f>IF(LEN(TRIM(Controls_Raw!I203))=0,"Missing","OK")</f>
        <v>OK</v>
      </c>
      <c r="D203" t="str">
        <f>IF(LEN(TRIM(Controls_Raw!N203))=0,"Missing","OK")</f>
        <v>OK</v>
      </c>
      <c r="E203" t="str">
        <f>IF(OR(Controls_Raw!G203="USA",Controls_Raw!G203="UK"),"Standardize","OK")</f>
        <v>OK</v>
      </c>
      <c r="F203" t="str">
        <f>IF(Controls_Raw!E203&lt;&gt;TRIM(Controls_Raw!E203),"Trim","OK")</f>
        <v>OK</v>
      </c>
      <c r="G203" t="str">
        <f>IF(AND(Controls_Raw!L203&lt;DATE(2026,9,30),Controls_Raw!M203&lt;&gt;"Completed"),"Overdue","OK")</f>
        <v>OK</v>
      </c>
      <c r="H203" t="str">
        <f>IF(AND(Controls_Raw!Q203&lt;DATE(2026,9,30),Controls_Raw!R203&lt;&gt;"Completed",Controls_Raw!R203&lt;&gt;"Not Required"),"Overdue","OK")</f>
        <v>OK</v>
      </c>
      <c r="I203" t="str">
        <f t="shared" si="3"/>
        <v>Pass</v>
      </c>
    </row>
    <row r="204" spans="1:9" x14ac:dyDescent="0.2">
      <c r="A204" t="str">
        <f>Controls_Raw!A204</f>
        <v>CTRL-0200</v>
      </c>
      <c r="B204" t="str">
        <f>IF(COUNTIF(Controls_Raw!$A$5:$A$1504,A204)&gt;1,"Duplicate","OK")</f>
        <v>OK</v>
      </c>
      <c r="C204" t="str">
        <f>IF(LEN(TRIM(Controls_Raw!I204))=0,"Missing","OK")</f>
        <v>OK</v>
      </c>
      <c r="D204" t="str">
        <f>IF(LEN(TRIM(Controls_Raw!N204))=0,"Missing","OK")</f>
        <v>OK</v>
      </c>
      <c r="E204" t="str">
        <f>IF(OR(Controls_Raw!G204="USA",Controls_Raw!G204="UK"),"Standardize","OK")</f>
        <v>OK</v>
      </c>
      <c r="F204" t="str">
        <f>IF(Controls_Raw!E204&lt;&gt;TRIM(Controls_Raw!E204),"Trim","OK")</f>
        <v>OK</v>
      </c>
      <c r="G204" t="str">
        <f>IF(AND(Controls_Raw!L204&lt;DATE(2026,9,30),Controls_Raw!M204&lt;&gt;"Completed"),"Overdue","OK")</f>
        <v>Overdue</v>
      </c>
      <c r="H204" t="str">
        <f>IF(AND(Controls_Raw!Q204&lt;DATE(2026,9,30),Controls_Raw!R204&lt;&gt;"Completed",Controls_Raw!R204&lt;&gt;"Not Required"),"Overdue","OK")</f>
        <v>OK</v>
      </c>
      <c r="I204" t="str">
        <f t="shared" si="3"/>
        <v>Issue</v>
      </c>
    </row>
    <row r="205" spans="1:9" x14ac:dyDescent="0.2">
      <c r="A205" t="str">
        <f>Controls_Raw!A205</f>
        <v>CTRL-0201</v>
      </c>
      <c r="B205" t="str">
        <f>IF(COUNTIF(Controls_Raw!$A$5:$A$1504,A205)&gt;1,"Duplicate","OK")</f>
        <v>OK</v>
      </c>
      <c r="C205" t="str">
        <f>IF(LEN(TRIM(Controls_Raw!I205))=0,"Missing","OK")</f>
        <v>OK</v>
      </c>
      <c r="D205" t="str">
        <f>IF(LEN(TRIM(Controls_Raw!N205))=0,"Missing","OK")</f>
        <v>OK</v>
      </c>
      <c r="E205" t="str">
        <f>IF(OR(Controls_Raw!G205="USA",Controls_Raw!G205="UK"),"Standardize","OK")</f>
        <v>OK</v>
      </c>
      <c r="F205" t="str">
        <f>IF(Controls_Raw!E205&lt;&gt;TRIM(Controls_Raw!E205),"Trim","OK")</f>
        <v>OK</v>
      </c>
      <c r="G205" t="str">
        <f>IF(AND(Controls_Raw!L205&lt;DATE(2026,9,30),Controls_Raw!M205&lt;&gt;"Completed"),"Overdue","OK")</f>
        <v>Overdue</v>
      </c>
      <c r="H205" t="str">
        <f>IF(AND(Controls_Raw!Q205&lt;DATE(2026,9,30),Controls_Raw!R205&lt;&gt;"Completed",Controls_Raw!R205&lt;&gt;"Not Required"),"Overdue","OK")</f>
        <v>Overdue</v>
      </c>
      <c r="I205" t="str">
        <f t="shared" si="3"/>
        <v>Issue</v>
      </c>
    </row>
    <row r="206" spans="1:9" x14ac:dyDescent="0.2">
      <c r="A206" t="str">
        <f>Controls_Raw!A206</f>
        <v>CTRL-0202</v>
      </c>
      <c r="B206" t="str">
        <f>IF(COUNTIF(Controls_Raw!$A$5:$A$1504,A206)&gt;1,"Duplicate","OK")</f>
        <v>OK</v>
      </c>
      <c r="C206" t="str">
        <f>IF(LEN(TRIM(Controls_Raw!I206))=0,"Missing","OK")</f>
        <v>OK</v>
      </c>
      <c r="D206" t="str">
        <f>IF(LEN(TRIM(Controls_Raw!N206))=0,"Missing","OK")</f>
        <v>OK</v>
      </c>
      <c r="E206" t="str">
        <f>IF(OR(Controls_Raw!G206="USA",Controls_Raw!G206="UK"),"Standardize","OK")</f>
        <v>OK</v>
      </c>
      <c r="F206" t="str">
        <f>IF(Controls_Raw!E206&lt;&gt;TRIM(Controls_Raw!E206),"Trim","OK")</f>
        <v>OK</v>
      </c>
      <c r="G206" t="str">
        <f>IF(AND(Controls_Raw!L206&lt;DATE(2026,9,30),Controls_Raw!M206&lt;&gt;"Completed"),"Overdue","OK")</f>
        <v>OK</v>
      </c>
      <c r="H206" t="str">
        <f>IF(AND(Controls_Raw!Q206&lt;DATE(2026,9,30),Controls_Raw!R206&lt;&gt;"Completed",Controls_Raw!R206&lt;&gt;"Not Required"),"Overdue","OK")</f>
        <v>OK</v>
      </c>
      <c r="I206" t="str">
        <f t="shared" si="3"/>
        <v>Pass</v>
      </c>
    </row>
    <row r="207" spans="1:9" x14ac:dyDescent="0.2">
      <c r="A207" t="str">
        <f>Controls_Raw!A207</f>
        <v>CTRL-0203</v>
      </c>
      <c r="B207" t="str">
        <f>IF(COUNTIF(Controls_Raw!$A$5:$A$1504,A207)&gt;1,"Duplicate","OK")</f>
        <v>OK</v>
      </c>
      <c r="C207" t="str">
        <f>IF(LEN(TRIM(Controls_Raw!I207))=0,"Missing","OK")</f>
        <v>OK</v>
      </c>
      <c r="D207" t="str">
        <f>IF(LEN(TRIM(Controls_Raw!N207))=0,"Missing","OK")</f>
        <v>OK</v>
      </c>
      <c r="E207" t="str">
        <f>IF(OR(Controls_Raw!G207="USA",Controls_Raw!G207="UK"),"Standardize","OK")</f>
        <v>OK</v>
      </c>
      <c r="F207" t="str">
        <f>IF(Controls_Raw!E207&lt;&gt;TRIM(Controls_Raw!E207),"Trim","OK")</f>
        <v>OK</v>
      </c>
      <c r="G207" t="str">
        <f>IF(AND(Controls_Raw!L207&lt;DATE(2026,9,30),Controls_Raw!M207&lt;&gt;"Completed"),"Overdue","OK")</f>
        <v>OK</v>
      </c>
      <c r="H207" t="str">
        <f>IF(AND(Controls_Raw!Q207&lt;DATE(2026,9,30),Controls_Raw!R207&lt;&gt;"Completed",Controls_Raw!R207&lt;&gt;"Not Required"),"Overdue","OK")</f>
        <v>Overdue</v>
      </c>
      <c r="I207" t="str">
        <f t="shared" si="3"/>
        <v>Issue</v>
      </c>
    </row>
    <row r="208" spans="1:9" x14ac:dyDescent="0.2">
      <c r="A208" t="str">
        <f>Controls_Raw!A208</f>
        <v>CTRL-0204</v>
      </c>
      <c r="B208" t="str">
        <f>IF(COUNTIF(Controls_Raw!$A$5:$A$1504,A208)&gt;1,"Duplicate","OK")</f>
        <v>OK</v>
      </c>
      <c r="C208" t="str">
        <f>IF(LEN(TRIM(Controls_Raw!I208))=0,"Missing","OK")</f>
        <v>OK</v>
      </c>
      <c r="D208" t="str">
        <f>IF(LEN(TRIM(Controls_Raw!N208))=0,"Missing","OK")</f>
        <v>OK</v>
      </c>
      <c r="E208" t="str">
        <f>IF(OR(Controls_Raw!G208="USA",Controls_Raw!G208="UK"),"Standardize","OK")</f>
        <v>OK</v>
      </c>
      <c r="F208" t="str">
        <f>IF(Controls_Raw!E208&lt;&gt;TRIM(Controls_Raw!E208),"Trim","OK")</f>
        <v>OK</v>
      </c>
      <c r="G208" t="str">
        <f>IF(AND(Controls_Raw!L208&lt;DATE(2026,9,30),Controls_Raw!M208&lt;&gt;"Completed"),"Overdue","OK")</f>
        <v>OK</v>
      </c>
      <c r="H208" t="str">
        <f>IF(AND(Controls_Raw!Q208&lt;DATE(2026,9,30),Controls_Raw!R208&lt;&gt;"Completed",Controls_Raw!R208&lt;&gt;"Not Required"),"Overdue","OK")</f>
        <v>OK</v>
      </c>
      <c r="I208" t="str">
        <f t="shared" si="3"/>
        <v>Pass</v>
      </c>
    </row>
    <row r="209" spans="1:9" x14ac:dyDescent="0.2">
      <c r="A209" t="str">
        <f>Controls_Raw!A209</f>
        <v>CTRL-0205</v>
      </c>
      <c r="B209" t="str">
        <f>IF(COUNTIF(Controls_Raw!$A$5:$A$1504,A209)&gt;1,"Duplicate","OK")</f>
        <v>OK</v>
      </c>
      <c r="C209" t="str">
        <f>IF(LEN(TRIM(Controls_Raw!I209))=0,"Missing","OK")</f>
        <v>OK</v>
      </c>
      <c r="D209" t="str">
        <f>IF(LEN(TRIM(Controls_Raw!N209))=0,"Missing","OK")</f>
        <v>OK</v>
      </c>
      <c r="E209" t="str">
        <f>IF(OR(Controls_Raw!G209="USA",Controls_Raw!G209="UK"),"Standardize","OK")</f>
        <v>OK</v>
      </c>
      <c r="F209" t="str">
        <f>IF(Controls_Raw!E209&lt;&gt;TRIM(Controls_Raw!E209),"Trim","OK")</f>
        <v>OK</v>
      </c>
      <c r="G209" t="str">
        <f>IF(AND(Controls_Raw!L209&lt;DATE(2026,9,30),Controls_Raw!M209&lt;&gt;"Completed"),"Overdue","OK")</f>
        <v>Overdue</v>
      </c>
      <c r="H209" t="str">
        <f>IF(AND(Controls_Raw!Q209&lt;DATE(2026,9,30),Controls_Raw!R209&lt;&gt;"Completed",Controls_Raw!R209&lt;&gt;"Not Required"),"Overdue","OK")</f>
        <v>OK</v>
      </c>
      <c r="I209" t="str">
        <f t="shared" si="3"/>
        <v>Issue</v>
      </c>
    </row>
    <row r="210" spans="1:9" x14ac:dyDescent="0.2">
      <c r="A210" t="str">
        <f>Controls_Raw!A210</f>
        <v>CTRL-0206</v>
      </c>
      <c r="B210" t="str">
        <f>IF(COUNTIF(Controls_Raw!$A$5:$A$1504,A210)&gt;1,"Duplicate","OK")</f>
        <v>OK</v>
      </c>
      <c r="C210" t="str">
        <f>IF(LEN(TRIM(Controls_Raw!I210))=0,"Missing","OK")</f>
        <v>OK</v>
      </c>
      <c r="D210" t="str">
        <f>IF(LEN(TRIM(Controls_Raw!N210))=0,"Missing","OK")</f>
        <v>OK</v>
      </c>
      <c r="E210" t="str">
        <f>IF(OR(Controls_Raw!G210="USA",Controls_Raw!G210="UK"),"Standardize","OK")</f>
        <v>OK</v>
      </c>
      <c r="F210" t="str">
        <f>IF(Controls_Raw!E210&lt;&gt;TRIM(Controls_Raw!E210),"Trim","OK")</f>
        <v>OK</v>
      </c>
      <c r="G210" t="str">
        <f>IF(AND(Controls_Raw!L210&lt;DATE(2026,9,30),Controls_Raw!M210&lt;&gt;"Completed"),"Overdue","OK")</f>
        <v>Overdue</v>
      </c>
      <c r="H210" t="str">
        <f>IF(AND(Controls_Raw!Q210&lt;DATE(2026,9,30),Controls_Raw!R210&lt;&gt;"Completed",Controls_Raw!R210&lt;&gt;"Not Required"),"Overdue","OK")</f>
        <v>OK</v>
      </c>
      <c r="I210" t="str">
        <f t="shared" si="3"/>
        <v>Issue</v>
      </c>
    </row>
    <row r="211" spans="1:9" x14ac:dyDescent="0.2">
      <c r="A211" t="str">
        <f>Controls_Raw!A211</f>
        <v>CTRL-0207</v>
      </c>
      <c r="B211" t="str">
        <f>IF(COUNTIF(Controls_Raw!$A$5:$A$1504,A211)&gt;1,"Duplicate","OK")</f>
        <v>OK</v>
      </c>
      <c r="C211" t="str">
        <f>IF(LEN(TRIM(Controls_Raw!I211))=0,"Missing","OK")</f>
        <v>OK</v>
      </c>
      <c r="D211" t="str">
        <f>IF(LEN(TRIM(Controls_Raw!N211))=0,"Missing","OK")</f>
        <v>OK</v>
      </c>
      <c r="E211" t="str">
        <f>IF(OR(Controls_Raw!G211="USA",Controls_Raw!G211="UK"),"Standardize","OK")</f>
        <v>OK</v>
      </c>
      <c r="F211" t="str">
        <f>IF(Controls_Raw!E211&lt;&gt;TRIM(Controls_Raw!E211),"Trim","OK")</f>
        <v>OK</v>
      </c>
      <c r="G211" t="str">
        <f>IF(AND(Controls_Raw!L211&lt;DATE(2026,9,30),Controls_Raw!M211&lt;&gt;"Completed"),"Overdue","OK")</f>
        <v>Overdue</v>
      </c>
      <c r="H211" t="str">
        <f>IF(AND(Controls_Raw!Q211&lt;DATE(2026,9,30),Controls_Raw!R211&lt;&gt;"Completed",Controls_Raw!R211&lt;&gt;"Not Required"),"Overdue","OK")</f>
        <v>OK</v>
      </c>
      <c r="I211" t="str">
        <f t="shared" si="3"/>
        <v>Issue</v>
      </c>
    </row>
    <row r="212" spans="1:9" x14ac:dyDescent="0.2">
      <c r="A212" t="str">
        <f>Controls_Raw!A212</f>
        <v>CTRL-0208</v>
      </c>
      <c r="B212" t="str">
        <f>IF(COUNTIF(Controls_Raw!$A$5:$A$1504,A212)&gt;1,"Duplicate","OK")</f>
        <v>OK</v>
      </c>
      <c r="C212" t="str">
        <f>IF(LEN(TRIM(Controls_Raw!I212))=0,"Missing","OK")</f>
        <v>OK</v>
      </c>
      <c r="D212" t="str">
        <f>IF(LEN(TRIM(Controls_Raw!N212))=0,"Missing","OK")</f>
        <v>OK</v>
      </c>
      <c r="E212" t="str">
        <f>IF(OR(Controls_Raw!G212="USA",Controls_Raw!G212="UK"),"Standardize","OK")</f>
        <v>OK</v>
      </c>
      <c r="F212" t="str">
        <f>IF(Controls_Raw!E212&lt;&gt;TRIM(Controls_Raw!E212),"Trim","OK")</f>
        <v>OK</v>
      </c>
      <c r="G212" t="str">
        <f>IF(AND(Controls_Raw!L212&lt;DATE(2026,9,30),Controls_Raw!M212&lt;&gt;"Completed"),"Overdue","OK")</f>
        <v>OK</v>
      </c>
      <c r="H212" t="str">
        <f>IF(AND(Controls_Raw!Q212&lt;DATE(2026,9,30),Controls_Raw!R212&lt;&gt;"Completed",Controls_Raw!R212&lt;&gt;"Not Required"),"Overdue","OK")</f>
        <v>Overdue</v>
      </c>
      <c r="I212" t="str">
        <f t="shared" si="3"/>
        <v>Issue</v>
      </c>
    </row>
    <row r="213" spans="1:9" x14ac:dyDescent="0.2">
      <c r="A213" t="str">
        <f>Controls_Raw!A213</f>
        <v>CTRL-0209</v>
      </c>
      <c r="B213" t="str">
        <f>IF(COUNTIF(Controls_Raw!$A$5:$A$1504,A213)&gt;1,"Duplicate","OK")</f>
        <v>OK</v>
      </c>
      <c r="C213" t="str">
        <f>IF(LEN(TRIM(Controls_Raw!I213))=0,"Missing","OK")</f>
        <v>OK</v>
      </c>
      <c r="D213" t="str">
        <f>IF(LEN(TRIM(Controls_Raw!N213))=0,"Missing","OK")</f>
        <v>OK</v>
      </c>
      <c r="E213" t="str">
        <f>IF(OR(Controls_Raw!G213="USA",Controls_Raw!G213="UK"),"Standardize","OK")</f>
        <v>OK</v>
      </c>
      <c r="F213" t="str">
        <f>IF(Controls_Raw!E213&lt;&gt;TRIM(Controls_Raw!E213),"Trim","OK")</f>
        <v>OK</v>
      </c>
      <c r="G213" t="str">
        <f>IF(AND(Controls_Raw!L213&lt;DATE(2026,9,30),Controls_Raw!M213&lt;&gt;"Completed"),"Overdue","OK")</f>
        <v>Overdue</v>
      </c>
      <c r="H213" t="str">
        <f>IF(AND(Controls_Raw!Q213&lt;DATE(2026,9,30),Controls_Raw!R213&lt;&gt;"Completed",Controls_Raw!R213&lt;&gt;"Not Required"),"Overdue","OK")</f>
        <v>OK</v>
      </c>
      <c r="I213" t="str">
        <f t="shared" si="3"/>
        <v>Issue</v>
      </c>
    </row>
    <row r="214" spans="1:9" x14ac:dyDescent="0.2">
      <c r="A214" t="str">
        <f>Controls_Raw!A214</f>
        <v>CTRL-0210</v>
      </c>
      <c r="B214" t="str">
        <f>IF(COUNTIF(Controls_Raw!$A$5:$A$1504,A214)&gt;1,"Duplicate","OK")</f>
        <v>OK</v>
      </c>
      <c r="C214" t="str">
        <f>IF(LEN(TRIM(Controls_Raw!I214))=0,"Missing","OK")</f>
        <v>OK</v>
      </c>
      <c r="D214" t="str">
        <f>IF(LEN(TRIM(Controls_Raw!N214))=0,"Missing","OK")</f>
        <v>OK</v>
      </c>
      <c r="E214" t="str">
        <f>IF(OR(Controls_Raw!G214="USA",Controls_Raw!G214="UK"),"Standardize","OK")</f>
        <v>OK</v>
      </c>
      <c r="F214" t="str">
        <f>IF(Controls_Raw!E214&lt;&gt;TRIM(Controls_Raw!E214),"Trim","OK")</f>
        <v>OK</v>
      </c>
      <c r="G214" t="str">
        <f>IF(AND(Controls_Raw!L214&lt;DATE(2026,9,30),Controls_Raw!M214&lt;&gt;"Completed"),"Overdue","OK")</f>
        <v>OK</v>
      </c>
      <c r="H214" t="str">
        <f>IF(AND(Controls_Raw!Q214&lt;DATE(2026,9,30),Controls_Raw!R214&lt;&gt;"Completed",Controls_Raw!R214&lt;&gt;"Not Required"),"Overdue","OK")</f>
        <v>OK</v>
      </c>
      <c r="I214" t="str">
        <f t="shared" si="3"/>
        <v>Pass</v>
      </c>
    </row>
    <row r="215" spans="1:9" x14ac:dyDescent="0.2">
      <c r="A215" t="str">
        <f>Controls_Raw!A215</f>
        <v>CTRL-0211</v>
      </c>
      <c r="B215" t="str">
        <f>IF(COUNTIF(Controls_Raw!$A$5:$A$1504,A215)&gt;1,"Duplicate","OK")</f>
        <v>OK</v>
      </c>
      <c r="C215" t="str">
        <f>IF(LEN(TRIM(Controls_Raw!I215))=0,"Missing","OK")</f>
        <v>OK</v>
      </c>
      <c r="D215" t="str">
        <f>IF(LEN(TRIM(Controls_Raw!N215))=0,"Missing","OK")</f>
        <v>OK</v>
      </c>
      <c r="E215" t="str">
        <f>IF(OR(Controls_Raw!G215="USA",Controls_Raw!G215="UK"),"Standardize","OK")</f>
        <v>OK</v>
      </c>
      <c r="F215" t="str">
        <f>IF(Controls_Raw!E215&lt;&gt;TRIM(Controls_Raw!E215),"Trim","OK")</f>
        <v>OK</v>
      </c>
      <c r="G215" t="str">
        <f>IF(AND(Controls_Raw!L215&lt;DATE(2026,9,30),Controls_Raw!M215&lt;&gt;"Completed"),"Overdue","OK")</f>
        <v>OK</v>
      </c>
      <c r="H215" t="str">
        <f>IF(AND(Controls_Raw!Q215&lt;DATE(2026,9,30),Controls_Raw!R215&lt;&gt;"Completed",Controls_Raw!R215&lt;&gt;"Not Required"),"Overdue","OK")</f>
        <v>OK</v>
      </c>
      <c r="I215" t="str">
        <f t="shared" si="3"/>
        <v>Pass</v>
      </c>
    </row>
    <row r="216" spans="1:9" x14ac:dyDescent="0.2">
      <c r="A216" t="str">
        <f>Controls_Raw!A216</f>
        <v>CTRL-0212</v>
      </c>
      <c r="B216" t="str">
        <f>IF(COUNTIF(Controls_Raw!$A$5:$A$1504,A216)&gt;1,"Duplicate","OK")</f>
        <v>OK</v>
      </c>
      <c r="C216" t="str">
        <f>IF(LEN(TRIM(Controls_Raw!I216))=0,"Missing","OK")</f>
        <v>OK</v>
      </c>
      <c r="D216" t="str">
        <f>IF(LEN(TRIM(Controls_Raw!N216))=0,"Missing","OK")</f>
        <v>OK</v>
      </c>
      <c r="E216" t="str">
        <f>IF(OR(Controls_Raw!G216="USA",Controls_Raw!G216="UK"),"Standardize","OK")</f>
        <v>OK</v>
      </c>
      <c r="F216" t="str">
        <f>IF(Controls_Raw!E216&lt;&gt;TRIM(Controls_Raw!E216),"Trim","OK")</f>
        <v>OK</v>
      </c>
      <c r="G216" t="str">
        <f>IF(AND(Controls_Raw!L216&lt;DATE(2026,9,30),Controls_Raw!M216&lt;&gt;"Completed"),"Overdue","OK")</f>
        <v>OK</v>
      </c>
      <c r="H216" t="str">
        <f>IF(AND(Controls_Raw!Q216&lt;DATE(2026,9,30),Controls_Raw!R216&lt;&gt;"Completed",Controls_Raw!R216&lt;&gt;"Not Required"),"Overdue","OK")</f>
        <v>OK</v>
      </c>
      <c r="I216" t="str">
        <f t="shared" si="3"/>
        <v>Pass</v>
      </c>
    </row>
    <row r="217" spans="1:9" x14ac:dyDescent="0.2">
      <c r="A217" t="str">
        <f>Controls_Raw!A217</f>
        <v>CTRL-0213</v>
      </c>
      <c r="B217" t="str">
        <f>IF(COUNTIF(Controls_Raw!$A$5:$A$1504,A217)&gt;1,"Duplicate","OK")</f>
        <v>OK</v>
      </c>
      <c r="C217" t="str">
        <f>IF(LEN(TRIM(Controls_Raw!I217))=0,"Missing","OK")</f>
        <v>OK</v>
      </c>
      <c r="D217" t="str">
        <f>IF(LEN(TRIM(Controls_Raw!N217))=0,"Missing","OK")</f>
        <v>OK</v>
      </c>
      <c r="E217" t="str">
        <f>IF(OR(Controls_Raw!G217="USA",Controls_Raw!G217="UK"),"Standardize","OK")</f>
        <v>OK</v>
      </c>
      <c r="F217" t="str">
        <f>IF(Controls_Raw!E217&lt;&gt;TRIM(Controls_Raw!E217),"Trim","OK")</f>
        <v>OK</v>
      </c>
      <c r="G217" t="str">
        <f>IF(AND(Controls_Raw!L217&lt;DATE(2026,9,30),Controls_Raw!M217&lt;&gt;"Completed"),"Overdue","OK")</f>
        <v>OK</v>
      </c>
      <c r="H217" t="str">
        <f>IF(AND(Controls_Raw!Q217&lt;DATE(2026,9,30),Controls_Raw!R217&lt;&gt;"Completed",Controls_Raw!R217&lt;&gt;"Not Required"),"Overdue","OK")</f>
        <v>Overdue</v>
      </c>
      <c r="I217" t="str">
        <f t="shared" si="3"/>
        <v>Issue</v>
      </c>
    </row>
    <row r="218" spans="1:9" x14ac:dyDescent="0.2">
      <c r="A218" t="str">
        <f>Controls_Raw!A218</f>
        <v>CTRL-0214</v>
      </c>
      <c r="B218" t="str">
        <f>IF(COUNTIF(Controls_Raw!$A$5:$A$1504,A218)&gt;1,"Duplicate","OK")</f>
        <v>OK</v>
      </c>
      <c r="C218" t="str">
        <f>IF(LEN(TRIM(Controls_Raw!I218))=0,"Missing","OK")</f>
        <v>OK</v>
      </c>
      <c r="D218" t="str">
        <f>IF(LEN(TRIM(Controls_Raw!N218))=0,"Missing","OK")</f>
        <v>OK</v>
      </c>
      <c r="E218" t="str">
        <f>IF(OR(Controls_Raw!G218="USA",Controls_Raw!G218="UK"),"Standardize","OK")</f>
        <v>OK</v>
      </c>
      <c r="F218" t="str">
        <f>IF(Controls_Raw!E218&lt;&gt;TRIM(Controls_Raw!E218),"Trim","OK")</f>
        <v>OK</v>
      </c>
      <c r="G218" t="str">
        <f>IF(AND(Controls_Raw!L218&lt;DATE(2026,9,30),Controls_Raw!M218&lt;&gt;"Completed"),"Overdue","OK")</f>
        <v>Overdue</v>
      </c>
      <c r="H218" t="str">
        <f>IF(AND(Controls_Raw!Q218&lt;DATE(2026,9,30),Controls_Raw!R218&lt;&gt;"Completed",Controls_Raw!R218&lt;&gt;"Not Required"),"Overdue","OK")</f>
        <v>OK</v>
      </c>
      <c r="I218" t="str">
        <f t="shared" si="3"/>
        <v>Issue</v>
      </c>
    </row>
    <row r="219" spans="1:9" x14ac:dyDescent="0.2">
      <c r="A219" t="str">
        <f>Controls_Raw!A219</f>
        <v>CTRL-0215</v>
      </c>
      <c r="B219" t="str">
        <f>IF(COUNTIF(Controls_Raw!$A$5:$A$1504,A219)&gt;1,"Duplicate","OK")</f>
        <v>OK</v>
      </c>
      <c r="C219" t="str">
        <f>IF(LEN(TRIM(Controls_Raw!I219))=0,"Missing","OK")</f>
        <v>OK</v>
      </c>
      <c r="D219" t="str">
        <f>IF(LEN(TRIM(Controls_Raw!N219))=0,"Missing","OK")</f>
        <v>OK</v>
      </c>
      <c r="E219" t="str">
        <f>IF(OR(Controls_Raw!G219="USA",Controls_Raw!G219="UK"),"Standardize","OK")</f>
        <v>OK</v>
      </c>
      <c r="F219" t="str">
        <f>IF(Controls_Raw!E219&lt;&gt;TRIM(Controls_Raw!E219),"Trim","OK")</f>
        <v>OK</v>
      </c>
      <c r="G219" t="str">
        <f>IF(AND(Controls_Raw!L219&lt;DATE(2026,9,30),Controls_Raw!M219&lt;&gt;"Completed"),"Overdue","OK")</f>
        <v>Overdue</v>
      </c>
      <c r="H219" t="str">
        <f>IF(AND(Controls_Raw!Q219&lt;DATE(2026,9,30),Controls_Raw!R219&lt;&gt;"Completed",Controls_Raw!R219&lt;&gt;"Not Required"),"Overdue","OK")</f>
        <v>OK</v>
      </c>
      <c r="I219" t="str">
        <f t="shared" si="3"/>
        <v>Issue</v>
      </c>
    </row>
    <row r="220" spans="1:9" x14ac:dyDescent="0.2">
      <c r="A220" t="str">
        <f>Controls_Raw!A220</f>
        <v>CTRL-0216</v>
      </c>
      <c r="B220" t="str">
        <f>IF(COUNTIF(Controls_Raw!$A$5:$A$1504,A220)&gt;1,"Duplicate","OK")</f>
        <v>OK</v>
      </c>
      <c r="C220" t="str">
        <f>IF(LEN(TRIM(Controls_Raw!I220))=0,"Missing","OK")</f>
        <v>OK</v>
      </c>
      <c r="D220" t="str">
        <f>IF(LEN(TRIM(Controls_Raw!N220))=0,"Missing","OK")</f>
        <v>OK</v>
      </c>
      <c r="E220" t="str">
        <f>IF(OR(Controls_Raw!G220="USA",Controls_Raw!G220="UK"),"Standardize","OK")</f>
        <v>OK</v>
      </c>
      <c r="F220" t="str">
        <f>IF(Controls_Raw!E220&lt;&gt;TRIM(Controls_Raw!E220),"Trim","OK")</f>
        <v>OK</v>
      </c>
      <c r="G220" t="str">
        <f>IF(AND(Controls_Raw!L220&lt;DATE(2026,9,30),Controls_Raw!M220&lt;&gt;"Completed"),"Overdue","OK")</f>
        <v>Overdue</v>
      </c>
      <c r="H220" t="str">
        <f>IF(AND(Controls_Raw!Q220&lt;DATE(2026,9,30),Controls_Raw!R220&lt;&gt;"Completed",Controls_Raw!R220&lt;&gt;"Not Required"),"Overdue","OK")</f>
        <v>OK</v>
      </c>
      <c r="I220" t="str">
        <f t="shared" si="3"/>
        <v>Issue</v>
      </c>
    </row>
    <row r="221" spans="1:9" x14ac:dyDescent="0.2">
      <c r="A221" t="str">
        <f>Controls_Raw!A221</f>
        <v>CTRL-0217</v>
      </c>
      <c r="B221" t="str">
        <f>IF(COUNTIF(Controls_Raw!$A$5:$A$1504,A221)&gt;1,"Duplicate","OK")</f>
        <v>OK</v>
      </c>
      <c r="C221" t="str">
        <f>IF(LEN(TRIM(Controls_Raw!I221))=0,"Missing","OK")</f>
        <v>OK</v>
      </c>
      <c r="D221" t="str">
        <f>IF(LEN(TRIM(Controls_Raw!N221))=0,"Missing","OK")</f>
        <v>OK</v>
      </c>
      <c r="E221" t="str">
        <f>IF(OR(Controls_Raw!G221="USA",Controls_Raw!G221="UK"),"Standardize","OK")</f>
        <v>OK</v>
      </c>
      <c r="F221" t="str">
        <f>IF(Controls_Raw!E221&lt;&gt;TRIM(Controls_Raw!E221),"Trim","OK")</f>
        <v>OK</v>
      </c>
      <c r="G221" t="str">
        <f>IF(AND(Controls_Raw!L221&lt;DATE(2026,9,30),Controls_Raw!M221&lt;&gt;"Completed"),"Overdue","OK")</f>
        <v>Overdue</v>
      </c>
      <c r="H221" t="str">
        <f>IF(AND(Controls_Raw!Q221&lt;DATE(2026,9,30),Controls_Raw!R221&lt;&gt;"Completed",Controls_Raw!R221&lt;&gt;"Not Required"),"Overdue","OK")</f>
        <v>OK</v>
      </c>
      <c r="I221" t="str">
        <f t="shared" si="3"/>
        <v>Issue</v>
      </c>
    </row>
    <row r="222" spans="1:9" x14ac:dyDescent="0.2">
      <c r="A222" t="str">
        <f>Controls_Raw!A222</f>
        <v>CTRL-0218</v>
      </c>
      <c r="B222" t="str">
        <f>IF(COUNTIF(Controls_Raw!$A$5:$A$1504,A222)&gt;1,"Duplicate","OK")</f>
        <v>OK</v>
      </c>
      <c r="C222" t="str">
        <f>IF(LEN(TRIM(Controls_Raw!I222))=0,"Missing","OK")</f>
        <v>OK</v>
      </c>
      <c r="D222" t="str">
        <f>IF(LEN(TRIM(Controls_Raw!N222))=0,"Missing","OK")</f>
        <v>OK</v>
      </c>
      <c r="E222" t="str">
        <f>IF(OR(Controls_Raw!G222="USA",Controls_Raw!G222="UK"),"Standardize","OK")</f>
        <v>OK</v>
      </c>
      <c r="F222" t="str">
        <f>IF(Controls_Raw!E222&lt;&gt;TRIM(Controls_Raw!E222),"Trim","OK")</f>
        <v>OK</v>
      </c>
      <c r="G222" t="str">
        <f>IF(AND(Controls_Raw!L222&lt;DATE(2026,9,30),Controls_Raw!M222&lt;&gt;"Completed"),"Overdue","OK")</f>
        <v>OK</v>
      </c>
      <c r="H222" t="str">
        <f>IF(AND(Controls_Raw!Q222&lt;DATE(2026,9,30),Controls_Raw!R222&lt;&gt;"Completed",Controls_Raw!R222&lt;&gt;"Not Required"),"Overdue","OK")</f>
        <v>OK</v>
      </c>
      <c r="I222" t="str">
        <f t="shared" si="3"/>
        <v>Pass</v>
      </c>
    </row>
    <row r="223" spans="1:9" x14ac:dyDescent="0.2">
      <c r="A223" t="str">
        <f>Controls_Raw!A223</f>
        <v>CTRL-0219</v>
      </c>
      <c r="B223" t="str">
        <f>IF(COUNTIF(Controls_Raw!$A$5:$A$1504,A223)&gt;1,"Duplicate","OK")</f>
        <v>OK</v>
      </c>
      <c r="C223" t="str">
        <f>IF(LEN(TRIM(Controls_Raw!I223))=0,"Missing","OK")</f>
        <v>OK</v>
      </c>
      <c r="D223" t="str">
        <f>IF(LEN(TRIM(Controls_Raw!N223))=0,"Missing","OK")</f>
        <v>OK</v>
      </c>
      <c r="E223" t="str">
        <f>IF(OR(Controls_Raw!G223="USA",Controls_Raw!G223="UK"),"Standardize","OK")</f>
        <v>OK</v>
      </c>
      <c r="F223" t="str">
        <f>IF(Controls_Raw!E223&lt;&gt;TRIM(Controls_Raw!E223),"Trim","OK")</f>
        <v>OK</v>
      </c>
      <c r="G223" t="str">
        <f>IF(AND(Controls_Raw!L223&lt;DATE(2026,9,30),Controls_Raw!M223&lt;&gt;"Completed"),"Overdue","OK")</f>
        <v>OK</v>
      </c>
      <c r="H223" t="str">
        <f>IF(AND(Controls_Raw!Q223&lt;DATE(2026,9,30),Controls_Raw!R223&lt;&gt;"Completed",Controls_Raw!R223&lt;&gt;"Not Required"),"Overdue","OK")</f>
        <v>OK</v>
      </c>
      <c r="I223" t="str">
        <f t="shared" si="3"/>
        <v>Pass</v>
      </c>
    </row>
    <row r="224" spans="1:9" x14ac:dyDescent="0.2">
      <c r="A224" t="str">
        <f>Controls_Raw!A224</f>
        <v>CTRL-0220</v>
      </c>
      <c r="B224" t="str">
        <f>IF(COUNTIF(Controls_Raw!$A$5:$A$1504,A224)&gt;1,"Duplicate","OK")</f>
        <v>OK</v>
      </c>
      <c r="C224" t="str">
        <f>IF(LEN(TRIM(Controls_Raw!I224))=0,"Missing","OK")</f>
        <v>OK</v>
      </c>
      <c r="D224" t="str">
        <f>IF(LEN(TRIM(Controls_Raw!N224))=0,"Missing","OK")</f>
        <v>OK</v>
      </c>
      <c r="E224" t="str">
        <f>IF(OR(Controls_Raw!G224="USA",Controls_Raw!G224="UK"),"Standardize","OK")</f>
        <v>OK</v>
      </c>
      <c r="F224" t="str">
        <f>IF(Controls_Raw!E224&lt;&gt;TRIM(Controls_Raw!E224),"Trim","OK")</f>
        <v>Trim</v>
      </c>
      <c r="G224" t="str">
        <f>IF(AND(Controls_Raw!L224&lt;DATE(2026,9,30),Controls_Raw!M224&lt;&gt;"Completed"),"Overdue","OK")</f>
        <v>Overdue</v>
      </c>
      <c r="H224" t="str">
        <f>IF(AND(Controls_Raw!Q224&lt;DATE(2026,9,30),Controls_Raw!R224&lt;&gt;"Completed",Controls_Raw!R224&lt;&gt;"Not Required"),"Overdue","OK")</f>
        <v>OK</v>
      </c>
      <c r="I224" t="str">
        <f t="shared" si="3"/>
        <v>Issue</v>
      </c>
    </row>
    <row r="225" spans="1:9" x14ac:dyDescent="0.2">
      <c r="A225" t="str">
        <f>Controls_Raw!A225</f>
        <v>CTRL-0221</v>
      </c>
      <c r="B225" t="str">
        <f>IF(COUNTIF(Controls_Raw!$A$5:$A$1504,A225)&gt;1,"Duplicate","OK")</f>
        <v>OK</v>
      </c>
      <c r="C225" t="str">
        <f>IF(LEN(TRIM(Controls_Raw!I225))=0,"Missing","OK")</f>
        <v>OK</v>
      </c>
      <c r="D225" t="str">
        <f>IF(LEN(TRIM(Controls_Raw!N225))=0,"Missing","OK")</f>
        <v>OK</v>
      </c>
      <c r="E225" t="str">
        <f>IF(OR(Controls_Raw!G225="USA",Controls_Raw!G225="UK"),"Standardize","OK")</f>
        <v>OK</v>
      </c>
      <c r="F225" t="str">
        <f>IF(Controls_Raw!E225&lt;&gt;TRIM(Controls_Raw!E225),"Trim","OK")</f>
        <v>OK</v>
      </c>
      <c r="G225" t="str">
        <f>IF(AND(Controls_Raw!L225&lt;DATE(2026,9,30),Controls_Raw!M225&lt;&gt;"Completed"),"Overdue","OK")</f>
        <v>OK</v>
      </c>
      <c r="H225" t="str">
        <f>IF(AND(Controls_Raw!Q225&lt;DATE(2026,9,30),Controls_Raw!R225&lt;&gt;"Completed",Controls_Raw!R225&lt;&gt;"Not Required"),"Overdue","OK")</f>
        <v>Overdue</v>
      </c>
      <c r="I225" t="str">
        <f t="shared" si="3"/>
        <v>Issue</v>
      </c>
    </row>
    <row r="226" spans="1:9" x14ac:dyDescent="0.2">
      <c r="A226" t="str">
        <f>Controls_Raw!A226</f>
        <v>CTRL-0222</v>
      </c>
      <c r="B226" t="str">
        <f>IF(COUNTIF(Controls_Raw!$A$5:$A$1504,A226)&gt;1,"Duplicate","OK")</f>
        <v>OK</v>
      </c>
      <c r="C226" t="str">
        <f>IF(LEN(TRIM(Controls_Raw!I226))=0,"Missing","OK")</f>
        <v>OK</v>
      </c>
      <c r="D226" t="str">
        <f>IF(LEN(TRIM(Controls_Raw!N226))=0,"Missing","OK")</f>
        <v>OK</v>
      </c>
      <c r="E226" t="str">
        <f>IF(OR(Controls_Raw!G226="USA",Controls_Raw!G226="UK"),"Standardize","OK")</f>
        <v>OK</v>
      </c>
      <c r="F226" t="str">
        <f>IF(Controls_Raw!E226&lt;&gt;TRIM(Controls_Raw!E226),"Trim","OK")</f>
        <v>OK</v>
      </c>
      <c r="G226" t="str">
        <f>IF(AND(Controls_Raw!L226&lt;DATE(2026,9,30),Controls_Raw!M226&lt;&gt;"Completed"),"Overdue","OK")</f>
        <v>OK</v>
      </c>
      <c r="H226" t="str">
        <f>IF(AND(Controls_Raw!Q226&lt;DATE(2026,9,30),Controls_Raw!R226&lt;&gt;"Completed",Controls_Raw!R226&lt;&gt;"Not Required"),"Overdue","OK")</f>
        <v>OK</v>
      </c>
      <c r="I226" t="str">
        <f t="shared" si="3"/>
        <v>Pass</v>
      </c>
    </row>
    <row r="227" spans="1:9" x14ac:dyDescent="0.2">
      <c r="A227" t="str">
        <f>Controls_Raw!A227</f>
        <v>CTRL-0223</v>
      </c>
      <c r="B227" t="str">
        <f>IF(COUNTIF(Controls_Raw!$A$5:$A$1504,A227)&gt;1,"Duplicate","OK")</f>
        <v>OK</v>
      </c>
      <c r="C227" t="str">
        <f>IF(LEN(TRIM(Controls_Raw!I227))=0,"Missing","OK")</f>
        <v>OK</v>
      </c>
      <c r="D227" t="str">
        <f>IF(LEN(TRIM(Controls_Raw!N227))=0,"Missing","OK")</f>
        <v>OK</v>
      </c>
      <c r="E227" t="str">
        <f>IF(OR(Controls_Raw!G227="USA",Controls_Raw!G227="UK"),"Standardize","OK")</f>
        <v>OK</v>
      </c>
      <c r="F227" t="str">
        <f>IF(Controls_Raw!E227&lt;&gt;TRIM(Controls_Raw!E227),"Trim","OK")</f>
        <v>OK</v>
      </c>
      <c r="G227" t="str">
        <f>IF(AND(Controls_Raw!L227&lt;DATE(2026,9,30),Controls_Raw!M227&lt;&gt;"Completed"),"Overdue","OK")</f>
        <v>OK</v>
      </c>
      <c r="H227" t="str">
        <f>IF(AND(Controls_Raw!Q227&lt;DATE(2026,9,30),Controls_Raw!R227&lt;&gt;"Completed",Controls_Raw!R227&lt;&gt;"Not Required"),"Overdue","OK")</f>
        <v>OK</v>
      </c>
      <c r="I227" t="str">
        <f t="shared" si="3"/>
        <v>Pass</v>
      </c>
    </row>
    <row r="228" spans="1:9" x14ac:dyDescent="0.2">
      <c r="A228" t="str">
        <f>Controls_Raw!A228</f>
        <v>CTRL-0224</v>
      </c>
      <c r="B228" t="str">
        <f>IF(COUNTIF(Controls_Raw!$A$5:$A$1504,A228)&gt;1,"Duplicate","OK")</f>
        <v>OK</v>
      </c>
      <c r="C228" t="str">
        <f>IF(LEN(TRIM(Controls_Raw!I228))=0,"Missing","OK")</f>
        <v>OK</v>
      </c>
      <c r="D228" t="str">
        <f>IF(LEN(TRIM(Controls_Raw!N228))=0,"Missing","OK")</f>
        <v>OK</v>
      </c>
      <c r="E228" t="str">
        <f>IF(OR(Controls_Raw!G228="USA",Controls_Raw!G228="UK"),"Standardize","OK")</f>
        <v>OK</v>
      </c>
      <c r="F228" t="str">
        <f>IF(Controls_Raw!E228&lt;&gt;TRIM(Controls_Raw!E228),"Trim","OK")</f>
        <v>OK</v>
      </c>
      <c r="G228" t="str">
        <f>IF(AND(Controls_Raw!L228&lt;DATE(2026,9,30),Controls_Raw!M228&lt;&gt;"Completed"),"Overdue","OK")</f>
        <v>Overdue</v>
      </c>
      <c r="H228" t="str">
        <f>IF(AND(Controls_Raw!Q228&lt;DATE(2026,9,30),Controls_Raw!R228&lt;&gt;"Completed",Controls_Raw!R228&lt;&gt;"Not Required"),"Overdue","OK")</f>
        <v>OK</v>
      </c>
      <c r="I228" t="str">
        <f t="shared" si="3"/>
        <v>Issue</v>
      </c>
    </row>
    <row r="229" spans="1:9" x14ac:dyDescent="0.2">
      <c r="A229" t="str">
        <f>Controls_Raw!A229</f>
        <v>CTRL-0225</v>
      </c>
      <c r="B229" t="str">
        <f>IF(COUNTIF(Controls_Raw!$A$5:$A$1504,A229)&gt;1,"Duplicate","OK")</f>
        <v>OK</v>
      </c>
      <c r="C229" t="str">
        <f>IF(LEN(TRIM(Controls_Raw!I229))=0,"Missing","OK")</f>
        <v>OK</v>
      </c>
      <c r="D229" t="str">
        <f>IF(LEN(TRIM(Controls_Raw!N229))=0,"Missing","OK")</f>
        <v>OK</v>
      </c>
      <c r="E229" t="str">
        <f>IF(OR(Controls_Raw!G229="USA",Controls_Raw!G229="UK"),"Standardize","OK")</f>
        <v>OK</v>
      </c>
      <c r="F229" t="str">
        <f>IF(Controls_Raw!E229&lt;&gt;TRIM(Controls_Raw!E229),"Trim","OK")</f>
        <v>OK</v>
      </c>
      <c r="G229" t="str">
        <f>IF(AND(Controls_Raw!L229&lt;DATE(2026,9,30),Controls_Raw!M229&lt;&gt;"Completed"),"Overdue","OK")</f>
        <v>OK</v>
      </c>
      <c r="H229" t="str">
        <f>IF(AND(Controls_Raw!Q229&lt;DATE(2026,9,30),Controls_Raw!R229&lt;&gt;"Completed",Controls_Raw!R229&lt;&gt;"Not Required"),"Overdue","OK")</f>
        <v>OK</v>
      </c>
      <c r="I229" t="str">
        <f t="shared" si="3"/>
        <v>Pass</v>
      </c>
    </row>
    <row r="230" spans="1:9" x14ac:dyDescent="0.2">
      <c r="A230" t="str">
        <f>Controls_Raw!A230</f>
        <v>CTRL-0226</v>
      </c>
      <c r="B230" t="str">
        <f>IF(COUNTIF(Controls_Raw!$A$5:$A$1504,A230)&gt;1,"Duplicate","OK")</f>
        <v>OK</v>
      </c>
      <c r="C230" t="str">
        <f>IF(LEN(TRIM(Controls_Raw!I230))=0,"Missing","OK")</f>
        <v>OK</v>
      </c>
      <c r="D230" t="str">
        <f>IF(LEN(TRIM(Controls_Raw!N230))=0,"Missing","OK")</f>
        <v>OK</v>
      </c>
      <c r="E230" t="str">
        <f>IF(OR(Controls_Raw!G230="USA",Controls_Raw!G230="UK"),"Standardize","OK")</f>
        <v>OK</v>
      </c>
      <c r="F230" t="str">
        <f>IF(Controls_Raw!E230&lt;&gt;TRIM(Controls_Raw!E230),"Trim","OK")</f>
        <v>OK</v>
      </c>
      <c r="G230" t="str">
        <f>IF(AND(Controls_Raw!L230&lt;DATE(2026,9,30),Controls_Raw!M230&lt;&gt;"Completed"),"Overdue","OK")</f>
        <v>OK</v>
      </c>
      <c r="H230" t="str">
        <f>IF(AND(Controls_Raw!Q230&lt;DATE(2026,9,30),Controls_Raw!R230&lt;&gt;"Completed",Controls_Raw!R230&lt;&gt;"Not Required"),"Overdue","OK")</f>
        <v>OK</v>
      </c>
      <c r="I230" t="str">
        <f t="shared" si="3"/>
        <v>Pass</v>
      </c>
    </row>
    <row r="231" spans="1:9" x14ac:dyDescent="0.2">
      <c r="A231" t="str">
        <f>Controls_Raw!A231</f>
        <v>CTRL-0227</v>
      </c>
      <c r="B231" t="str">
        <f>IF(COUNTIF(Controls_Raw!$A$5:$A$1504,A231)&gt;1,"Duplicate","OK")</f>
        <v>OK</v>
      </c>
      <c r="C231" t="str">
        <f>IF(LEN(TRIM(Controls_Raw!I231))=0,"Missing","OK")</f>
        <v>OK</v>
      </c>
      <c r="D231" t="str">
        <f>IF(LEN(TRIM(Controls_Raw!N231))=0,"Missing","OK")</f>
        <v>OK</v>
      </c>
      <c r="E231" t="str">
        <f>IF(OR(Controls_Raw!G231="USA",Controls_Raw!G231="UK"),"Standardize","OK")</f>
        <v>OK</v>
      </c>
      <c r="F231" t="str">
        <f>IF(Controls_Raw!E231&lt;&gt;TRIM(Controls_Raw!E231),"Trim","OK")</f>
        <v>OK</v>
      </c>
      <c r="G231" t="str">
        <f>IF(AND(Controls_Raw!L231&lt;DATE(2026,9,30),Controls_Raw!M231&lt;&gt;"Completed"),"Overdue","OK")</f>
        <v>Overdue</v>
      </c>
      <c r="H231" t="str">
        <f>IF(AND(Controls_Raw!Q231&lt;DATE(2026,9,30),Controls_Raw!R231&lt;&gt;"Completed",Controls_Raw!R231&lt;&gt;"Not Required"),"Overdue","OK")</f>
        <v>Overdue</v>
      </c>
      <c r="I231" t="str">
        <f t="shared" si="3"/>
        <v>Issue</v>
      </c>
    </row>
    <row r="232" spans="1:9" x14ac:dyDescent="0.2">
      <c r="A232" t="str">
        <f>Controls_Raw!A232</f>
        <v>CTRL-0228</v>
      </c>
      <c r="B232" t="str">
        <f>IF(COUNTIF(Controls_Raw!$A$5:$A$1504,A232)&gt;1,"Duplicate","OK")</f>
        <v>OK</v>
      </c>
      <c r="C232" t="str">
        <f>IF(LEN(TRIM(Controls_Raw!I232))=0,"Missing","OK")</f>
        <v>OK</v>
      </c>
      <c r="D232" t="str">
        <f>IF(LEN(TRIM(Controls_Raw!N232))=0,"Missing","OK")</f>
        <v>OK</v>
      </c>
      <c r="E232" t="str">
        <f>IF(OR(Controls_Raw!G232="USA",Controls_Raw!G232="UK"),"Standardize","OK")</f>
        <v>OK</v>
      </c>
      <c r="F232" t="str">
        <f>IF(Controls_Raw!E232&lt;&gt;TRIM(Controls_Raw!E232),"Trim","OK")</f>
        <v>OK</v>
      </c>
      <c r="G232" t="str">
        <f>IF(AND(Controls_Raw!L232&lt;DATE(2026,9,30),Controls_Raw!M232&lt;&gt;"Completed"),"Overdue","OK")</f>
        <v>OK</v>
      </c>
      <c r="H232" t="str">
        <f>IF(AND(Controls_Raw!Q232&lt;DATE(2026,9,30),Controls_Raw!R232&lt;&gt;"Completed",Controls_Raw!R232&lt;&gt;"Not Required"),"Overdue","OK")</f>
        <v>Overdue</v>
      </c>
      <c r="I232" t="str">
        <f t="shared" si="3"/>
        <v>Issue</v>
      </c>
    </row>
    <row r="233" spans="1:9" x14ac:dyDescent="0.2">
      <c r="A233" t="str">
        <f>Controls_Raw!A233</f>
        <v>CTRL-0229</v>
      </c>
      <c r="B233" t="str">
        <f>IF(COUNTIF(Controls_Raw!$A$5:$A$1504,A233)&gt;1,"Duplicate","OK")</f>
        <v>OK</v>
      </c>
      <c r="C233" t="str">
        <f>IF(LEN(TRIM(Controls_Raw!I233))=0,"Missing","OK")</f>
        <v>OK</v>
      </c>
      <c r="D233" t="str">
        <f>IF(LEN(TRIM(Controls_Raw!N233))=0,"Missing","OK")</f>
        <v>OK</v>
      </c>
      <c r="E233" t="str">
        <f>IF(OR(Controls_Raw!G233="USA",Controls_Raw!G233="UK"),"Standardize","OK")</f>
        <v>OK</v>
      </c>
      <c r="F233" t="str">
        <f>IF(Controls_Raw!E233&lt;&gt;TRIM(Controls_Raw!E233),"Trim","OK")</f>
        <v>OK</v>
      </c>
      <c r="G233" t="str">
        <f>IF(AND(Controls_Raw!L233&lt;DATE(2026,9,30),Controls_Raw!M233&lt;&gt;"Completed"),"Overdue","OK")</f>
        <v>OK</v>
      </c>
      <c r="H233" t="str">
        <f>IF(AND(Controls_Raw!Q233&lt;DATE(2026,9,30),Controls_Raw!R233&lt;&gt;"Completed",Controls_Raw!R233&lt;&gt;"Not Required"),"Overdue","OK")</f>
        <v>OK</v>
      </c>
      <c r="I233" t="str">
        <f t="shared" si="3"/>
        <v>Pass</v>
      </c>
    </row>
    <row r="234" spans="1:9" x14ac:dyDescent="0.2">
      <c r="A234" t="str">
        <f>Controls_Raw!A234</f>
        <v>CTRL-0230</v>
      </c>
      <c r="B234" t="str">
        <f>IF(COUNTIF(Controls_Raw!$A$5:$A$1504,A234)&gt;1,"Duplicate","OK")</f>
        <v>OK</v>
      </c>
      <c r="C234" t="str">
        <f>IF(LEN(TRIM(Controls_Raw!I234))=0,"Missing","OK")</f>
        <v>OK</v>
      </c>
      <c r="D234" t="str">
        <f>IF(LEN(TRIM(Controls_Raw!N234))=0,"Missing","OK")</f>
        <v>OK</v>
      </c>
      <c r="E234" t="str">
        <f>IF(OR(Controls_Raw!G234="USA",Controls_Raw!G234="UK"),"Standardize","OK")</f>
        <v>OK</v>
      </c>
      <c r="F234" t="str">
        <f>IF(Controls_Raw!E234&lt;&gt;TRIM(Controls_Raw!E234),"Trim","OK")</f>
        <v>OK</v>
      </c>
      <c r="G234" t="str">
        <f>IF(AND(Controls_Raw!L234&lt;DATE(2026,9,30),Controls_Raw!M234&lt;&gt;"Completed"),"Overdue","OK")</f>
        <v>OK</v>
      </c>
      <c r="H234" t="str">
        <f>IF(AND(Controls_Raw!Q234&lt;DATE(2026,9,30),Controls_Raw!R234&lt;&gt;"Completed",Controls_Raw!R234&lt;&gt;"Not Required"),"Overdue","OK")</f>
        <v>Overdue</v>
      </c>
      <c r="I234" t="str">
        <f t="shared" si="3"/>
        <v>Issue</v>
      </c>
    </row>
    <row r="235" spans="1:9" x14ac:dyDescent="0.2">
      <c r="A235" t="str">
        <f>Controls_Raw!A235</f>
        <v>CTRL-0231</v>
      </c>
      <c r="B235" t="str">
        <f>IF(COUNTIF(Controls_Raw!$A$5:$A$1504,A235)&gt;1,"Duplicate","OK")</f>
        <v>OK</v>
      </c>
      <c r="C235" t="str">
        <f>IF(LEN(TRIM(Controls_Raw!I235))=0,"Missing","OK")</f>
        <v>OK</v>
      </c>
      <c r="D235" t="str">
        <f>IF(LEN(TRIM(Controls_Raw!N235))=0,"Missing","OK")</f>
        <v>OK</v>
      </c>
      <c r="E235" t="str">
        <f>IF(OR(Controls_Raw!G235="USA",Controls_Raw!G235="UK"),"Standardize","OK")</f>
        <v>OK</v>
      </c>
      <c r="F235" t="str">
        <f>IF(Controls_Raw!E235&lt;&gt;TRIM(Controls_Raw!E235),"Trim","OK")</f>
        <v>OK</v>
      </c>
      <c r="G235" t="str">
        <f>IF(AND(Controls_Raw!L235&lt;DATE(2026,9,30),Controls_Raw!M235&lt;&gt;"Completed"),"Overdue","OK")</f>
        <v>Overdue</v>
      </c>
      <c r="H235" t="str">
        <f>IF(AND(Controls_Raw!Q235&lt;DATE(2026,9,30),Controls_Raw!R235&lt;&gt;"Completed",Controls_Raw!R235&lt;&gt;"Not Required"),"Overdue","OK")</f>
        <v>OK</v>
      </c>
      <c r="I235" t="str">
        <f t="shared" si="3"/>
        <v>Issue</v>
      </c>
    </row>
    <row r="236" spans="1:9" x14ac:dyDescent="0.2">
      <c r="A236" t="str">
        <f>Controls_Raw!A236</f>
        <v>CTRL-0232</v>
      </c>
      <c r="B236" t="str">
        <f>IF(COUNTIF(Controls_Raw!$A$5:$A$1504,A236)&gt;1,"Duplicate","OK")</f>
        <v>OK</v>
      </c>
      <c r="C236" t="str">
        <f>IF(LEN(TRIM(Controls_Raw!I236))=0,"Missing","OK")</f>
        <v>OK</v>
      </c>
      <c r="D236" t="str">
        <f>IF(LEN(TRIM(Controls_Raw!N236))=0,"Missing","OK")</f>
        <v>OK</v>
      </c>
      <c r="E236" t="str">
        <f>IF(OR(Controls_Raw!G236="USA",Controls_Raw!G236="UK"),"Standardize","OK")</f>
        <v>OK</v>
      </c>
      <c r="F236" t="str">
        <f>IF(Controls_Raw!E236&lt;&gt;TRIM(Controls_Raw!E236),"Trim","OK")</f>
        <v>OK</v>
      </c>
      <c r="G236" t="str">
        <f>IF(AND(Controls_Raw!L236&lt;DATE(2026,9,30),Controls_Raw!M236&lt;&gt;"Completed"),"Overdue","OK")</f>
        <v>Overdue</v>
      </c>
      <c r="H236" t="str">
        <f>IF(AND(Controls_Raw!Q236&lt;DATE(2026,9,30),Controls_Raw!R236&lt;&gt;"Completed",Controls_Raw!R236&lt;&gt;"Not Required"),"Overdue","OK")</f>
        <v>OK</v>
      </c>
      <c r="I236" t="str">
        <f t="shared" si="3"/>
        <v>Issue</v>
      </c>
    </row>
    <row r="237" spans="1:9" x14ac:dyDescent="0.2">
      <c r="A237" t="str">
        <f>Controls_Raw!A237</f>
        <v>CTRL-0233</v>
      </c>
      <c r="B237" t="str">
        <f>IF(COUNTIF(Controls_Raw!$A$5:$A$1504,A237)&gt;1,"Duplicate","OK")</f>
        <v>OK</v>
      </c>
      <c r="C237" t="str">
        <f>IF(LEN(TRIM(Controls_Raw!I237))=0,"Missing","OK")</f>
        <v>OK</v>
      </c>
      <c r="D237" t="str">
        <f>IF(LEN(TRIM(Controls_Raw!N237))=0,"Missing","OK")</f>
        <v>OK</v>
      </c>
      <c r="E237" t="str">
        <f>IF(OR(Controls_Raw!G237="USA",Controls_Raw!G237="UK"),"Standardize","OK")</f>
        <v>OK</v>
      </c>
      <c r="F237" t="str">
        <f>IF(Controls_Raw!E237&lt;&gt;TRIM(Controls_Raw!E237),"Trim","OK")</f>
        <v>OK</v>
      </c>
      <c r="G237" t="str">
        <f>IF(AND(Controls_Raw!L237&lt;DATE(2026,9,30),Controls_Raw!M237&lt;&gt;"Completed"),"Overdue","OK")</f>
        <v>OK</v>
      </c>
      <c r="H237" t="str">
        <f>IF(AND(Controls_Raw!Q237&lt;DATE(2026,9,30),Controls_Raw!R237&lt;&gt;"Completed",Controls_Raw!R237&lt;&gt;"Not Required"),"Overdue","OK")</f>
        <v>Overdue</v>
      </c>
      <c r="I237" t="str">
        <f t="shared" si="3"/>
        <v>Issue</v>
      </c>
    </row>
    <row r="238" spans="1:9" x14ac:dyDescent="0.2">
      <c r="A238" t="str">
        <f>Controls_Raw!A238</f>
        <v>CTRL-0234</v>
      </c>
      <c r="B238" t="str">
        <f>IF(COUNTIF(Controls_Raw!$A$5:$A$1504,A238)&gt;1,"Duplicate","OK")</f>
        <v>OK</v>
      </c>
      <c r="C238" t="str">
        <f>IF(LEN(TRIM(Controls_Raw!I238))=0,"Missing","OK")</f>
        <v>OK</v>
      </c>
      <c r="D238" t="str">
        <f>IF(LEN(TRIM(Controls_Raw!N238))=0,"Missing","OK")</f>
        <v>OK</v>
      </c>
      <c r="E238" t="str">
        <f>IF(OR(Controls_Raw!G238="USA",Controls_Raw!G238="UK"),"Standardize","OK")</f>
        <v>OK</v>
      </c>
      <c r="F238" t="str">
        <f>IF(Controls_Raw!E238&lt;&gt;TRIM(Controls_Raw!E238),"Trim","OK")</f>
        <v>OK</v>
      </c>
      <c r="G238" t="str">
        <f>IF(AND(Controls_Raw!L238&lt;DATE(2026,9,30),Controls_Raw!M238&lt;&gt;"Completed"),"Overdue","OK")</f>
        <v>Overdue</v>
      </c>
      <c r="H238" t="str">
        <f>IF(AND(Controls_Raw!Q238&lt;DATE(2026,9,30),Controls_Raw!R238&lt;&gt;"Completed",Controls_Raw!R238&lt;&gt;"Not Required"),"Overdue","OK")</f>
        <v>OK</v>
      </c>
      <c r="I238" t="str">
        <f t="shared" si="3"/>
        <v>Issue</v>
      </c>
    </row>
    <row r="239" spans="1:9" x14ac:dyDescent="0.2">
      <c r="A239" t="str">
        <f>Controls_Raw!A239</f>
        <v>CTRL-0235</v>
      </c>
      <c r="B239" t="str">
        <f>IF(COUNTIF(Controls_Raw!$A$5:$A$1504,A239)&gt;1,"Duplicate","OK")</f>
        <v>OK</v>
      </c>
      <c r="C239" t="str">
        <f>IF(LEN(TRIM(Controls_Raw!I239))=0,"Missing","OK")</f>
        <v>OK</v>
      </c>
      <c r="D239" t="str">
        <f>IF(LEN(TRIM(Controls_Raw!N239))=0,"Missing","OK")</f>
        <v>OK</v>
      </c>
      <c r="E239" t="str">
        <f>IF(OR(Controls_Raw!G239="USA",Controls_Raw!G239="UK"),"Standardize","OK")</f>
        <v>OK</v>
      </c>
      <c r="F239" t="str">
        <f>IF(Controls_Raw!E239&lt;&gt;TRIM(Controls_Raw!E239),"Trim","OK")</f>
        <v>OK</v>
      </c>
      <c r="G239" t="str">
        <f>IF(AND(Controls_Raw!L239&lt;DATE(2026,9,30),Controls_Raw!M239&lt;&gt;"Completed"),"Overdue","OK")</f>
        <v>OK</v>
      </c>
      <c r="H239" t="str">
        <f>IF(AND(Controls_Raw!Q239&lt;DATE(2026,9,30),Controls_Raw!R239&lt;&gt;"Completed",Controls_Raw!R239&lt;&gt;"Not Required"),"Overdue","OK")</f>
        <v>OK</v>
      </c>
      <c r="I239" t="str">
        <f t="shared" si="3"/>
        <v>Pass</v>
      </c>
    </row>
    <row r="240" spans="1:9" x14ac:dyDescent="0.2">
      <c r="A240" t="str">
        <f>Controls_Raw!A240</f>
        <v>CTRL-0236</v>
      </c>
      <c r="B240" t="str">
        <f>IF(COUNTIF(Controls_Raw!$A$5:$A$1504,A240)&gt;1,"Duplicate","OK")</f>
        <v>OK</v>
      </c>
      <c r="C240" t="str">
        <f>IF(LEN(TRIM(Controls_Raw!I240))=0,"Missing","OK")</f>
        <v>Missing</v>
      </c>
      <c r="D240" t="str">
        <f>IF(LEN(TRIM(Controls_Raw!N240))=0,"Missing","OK")</f>
        <v>OK</v>
      </c>
      <c r="E240" t="str">
        <f>IF(OR(Controls_Raw!G240="USA",Controls_Raw!G240="UK"),"Standardize","OK")</f>
        <v>OK</v>
      </c>
      <c r="F240" t="str">
        <f>IF(Controls_Raw!E240&lt;&gt;TRIM(Controls_Raw!E240),"Trim","OK")</f>
        <v>OK</v>
      </c>
      <c r="G240" t="str">
        <f>IF(AND(Controls_Raw!L240&lt;DATE(2026,9,30),Controls_Raw!M240&lt;&gt;"Completed"),"Overdue","OK")</f>
        <v>Overdue</v>
      </c>
      <c r="H240" t="str">
        <f>IF(AND(Controls_Raw!Q240&lt;DATE(2026,9,30),Controls_Raw!R240&lt;&gt;"Completed",Controls_Raw!R240&lt;&gt;"Not Required"),"Overdue","OK")</f>
        <v>OK</v>
      </c>
      <c r="I240" t="str">
        <f t="shared" si="3"/>
        <v>Issue</v>
      </c>
    </row>
    <row r="241" spans="1:9" x14ac:dyDescent="0.2">
      <c r="A241" t="str">
        <f>Controls_Raw!A241</f>
        <v>CTRL-0237</v>
      </c>
      <c r="B241" t="str">
        <f>IF(COUNTIF(Controls_Raw!$A$5:$A$1504,A241)&gt;1,"Duplicate","OK")</f>
        <v>OK</v>
      </c>
      <c r="C241" t="str">
        <f>IF(LEN(TRIM(Controls_Raw!I241))=0,"Missing","OK")</f>
        <v>OK</v>
      </c>
      <c r="D241" t="str">
        <f>IF(LEN(TRIM(Controls_Raw!N241))=0,"Missing","OK")</f>
        <v>OK</v>
      </c>
      <c r="E241" t="str">
        <f>IF(OR(Controls_Raw!G241="USA",Controls_Raw!G241="UK"),"Standardize","OK")</f>
        <v>OK</v>
      </c>
      <c r="F241" t="str">
        <f>IF(Controls_Raw!E241&lt;&gt;TRIM(Controls_Raw!E241),"Trim","OK")</f>
        <v>OK</v>
      </c>
      <c r="G241" t="str">
        <f>IF(AND(Controls_Raw!L241&lt;DATE(2026,9,30),Controls_Raw!M241&lt;&gt;"Completed"),"Overdue","OK")</f>
        <v>Overdue</v>
      </c>
      <c r="H241" t="str">
        <f>IF(AND(Controls_Raw!Q241&lt;DATE(2026,9,30),Controls_Raw!R241&lt;&gt;"Completed",Controls_Raw!R241&lt;&gt;"Not Required"),"Overdue","OK")</f>
        <v>OK</v>
      </c>
      <c r="I241" t="str">
        <f t="shared" si="3"/>
        <v>Issue</v>
      </c>
    </row>
    <row r="242" spans="1:9" x14ac:dyDescent="0.2">
      <c r="A242" t="str">
        <f>Controls_Raw!A242</f>
        <v>CTRL-0238</v>
      </c>
      <c r="B242" t="str">
        <f>IF(COUNTIF(Controls_Raw!$A$5:$A$1504,A242)&gt;1,"Duplicate","OK")</f>
        <v>OK</v>
      </c>
      <c r="C242" t="str">
        <f>IF(LEN(TRIM(Controls_Raw!I242))=0,"Missing","OK")</f>
        <v>OK</v>
      </c>
      <c r="D242" t="str">
        <f>IF(LEN(TRIM(Controls_Raw!N242))=0,"Missing","OK")</f>
        <v>OK</v>
      </c>
      <c r="E242" t="str">
        <f>IF(OR(Controls_Raw!G242="USA",Controls_Raw!G242="UK"),"Standardize","OK")</f>
        <v>OK</v>
      </c>
      <c r="F242" t="str">
        <f>IF(Controls_Raw!E242&lt;&gt;TRIM(Controls_Raw!E242),"Trim","OK")</f>
        <v>OK</v>
      </c>
      <c r="G242" t="str">
        <f>IF(AND(Controls_Raw!L242&lt;DATE(2026,9,30),Controls_Raw!M242&lt;&gt;"Completed"),"Overdue","OK")</f>
        <v>Overdue</v>
      </c>
      <c r="H242" t="str">
        <f>IF(AND(Controls_Raw!Q242&lt;DATE(2026,9,30),Controls_Raw!R242&lt;&gt;"Completed",Controls_Raw!R242&lt;&gt;"Not Required"),"Overdue","OK")</f>
        <v>OK</v>
      </c>
      <c r="I242" t="str">
        <f t="shared" si="3"/>
        <v>Issue</v>
      </c>
    </row>
    <row r="243" spans="1:9" x14ac:dyDescent="0.2">
      <c r="A243" t="str">
        <f>Controls_Raw!A243</f>
        <v>CTRL-0239</v>
      </c>
      <c r="B243" t="str">
        <f>IF(COUNTIF(Controls_Raw!$A$5:$A$1504,A243)&gt;1,"Duplicate","OK")</f>
        <v>OK</v>
      </c>
      <c r="C243" t="str">
        <f>IF(LEN(TRIM(Controls_Raw!I243))=0,"Missing","OK")</f>
        <v>OK</v>
      </c>
      <c r="D243" t="str">
        <f>IF(LEN(TRIM(Controls_Raw!N243))=0,"Missing","OK")</f>
        <v>OK</v>
      </c>
      <c r="E243" t="str">
        <f>IF(OR(Controls_Raw!G243="USA",Controls_Raw!G243="UK"),"Standardize","OK")</f>
        <v>OK</v>
      </c>
      <c r="F243" t="str">
        <f>IF(Controls_Raw!E243&lt;&gt;TRIM(Controls_Raw!E243),"Trim","OK")</f>
        <v>OK</v>
      </c>
      <c r="G243" t="str">
        <f>IF(AND(Controls_Raw!L243&lt;DATE(2026,9,30),Controls_Raw!M243&lt;&gt;"Completed"),"Overdue","OK")</f>
        <v>OK</v>
      </c>
      <c r="H243" t="str">
        <f>IF(AND(Controls_Raw!Q243&lt;DATE(2026,9,30),Controls_Raw!R243&lt;&gt;"Completed",Controls_Raw!R243&lt;&gt;"Not Required"),"Overdue","OK")</f>
        <v>Overdue</v>
      </c>
      <c r="I243" t="str">
        <f t="shared" si="3"/>
        <v>Issue</v>
      </c>
    </row>
    <row r="244" spans="1:9" x14ac:dyDescent="0.2">
      <c r="A244" t="str">
        <f>Controls_Raw!A244</f>
        <v>CTRL-0240</v>
      </c>
      <c r="B244" t="str">
        <f>IF(COUNTIF(Controls_Raw!$A$5:$A$1504,A244)&gt;1,"Duplicate","OK")</f>
        <v>OK</v>
      </c>
      <c r="C244" t="str">
        <f>IF(LEN(TRIM(Controls_Raw!I244))=0,"Missing","OK")</f>
        <v>OK</v>
      </c>
      <c r="D244" t="str">
        <f>IF(LEN(TRIM(Controls_Raw!N244))=0,"Missing","OK")</f>
        <v>OK</v>
      </c>
      <c r="E244" t="str">
        <f>IF(OR(Controls_Raw!G244="USA",Controls_Raw!G244="UK"),"Standardize","OK")</f>
        <v>OK</v>
      </c>
      <c r="F244" t="str">
        <f>IF(Controls_Raw!E244&lt;&gt;TRIM(Controls_Raw!E244),"Trim","OK")</f>
        <v>OK</v>
      </c>
      <c r="G244" t="str">
        <f>IF(AND(Controls_Raw!L244&lt;DATE(2026,9,30),Controls_Raw!M244&lt;&gt;"Completed"),"Overdue","OK")</f>
        <v>Overdue</v>
      </c>
      <c r="H244" t="str">
        <f>IF(AND(Controls_Raw!Q244&lt;DATE(2026,9,30),Controls_Raw!R244&lt;&gt;"Completed",Controls_Raw!R244&lt;&gt;"Not Required"),"Overdue","OK")</f>
        <v>OK</v>
      </c>
      <c r="I244" t="str">
        <f t="shared" si="3"/>
        <v>Issue</v>
      </c>
    </row>
    <row r="245" spans="1:9" x14ac:dyDescent="0.2">
      <c r="A245" t="str">
        <f>Controls_Raw!A245</f>
        <v>CTRL-0241</v>
      </c>
      <c r="B245" t="str">
        <f>IF(COUNTIF(Controls_Raw!$A$5:$A$1504,A245)&gt;1,"Duplicate","OK")</f>
        <v>OK</v>
      </c>
      <c r="C245" t="str">
        <f>IF(LEN(TRIM(Controls_Raw!I245))=0,"Missing","OK")</f>
        <v>OK</v>
      </c>
      <c r="D245" t="str">
        <f>IF(LEN(TRIM(Controls_Raw!N245))=0,"Missing","OK")</f>
        <v>OK</v>
      </c>
      <c r="E245" t="str">
        <f>IF(OR(Controls_Raw!G245="USA",Controls_Raw!G245="UK"),"Standardize","OK")</f>
        <v>OK</v>
      </c>
      <c r="F245" t="str">
        <f>IF(Controls_Raw!E245&lt;&gt;TRIM(Controls_Raw!E245),"Trim","OK")</f>
        <v>OK</v>
      </c>
      <c r="G245" t="str">
        <f>IF(AND(Controls_Raw!L245&lt;DATE(2026,9,30),Controls_Raw!M245&lt;&gt;"Completed"),"Overdue","OK")</f>
        <v>OK</v>
      </c>
      <c r="H245" t="str">
        <f>IF(AND(Controls_Raw!Q245&lt;DATE(2026,9,30),Controls_Raw!R245&lt;&gt;"Completed",Controls_Raw!R245&lt;&gt;"Not Required"),"Overdue","OK")</f>
        <v>OK</v>
      </c>
      <c r="I245" t="str">
        <f t="shared" si="3"/>
        <v>Pass</v>
      </c>
    </row>
    <row r="246" spans="1:9" x14ac:dyDescent="0.2">
      <c r="A246" t="str">
        <f>Controls_Raw!A246</f>
        <v>CTRL-0242</v>
      </c>
      <c r="B246" t="str">
        <f>IF(COUNTIF(Controls_Raw!$A$5:$A$1504,A246)&gt;1,"Duplicate","OK")</f>
        <v>OK</v>
      </c>
      <c r="C246" t="str">
        <f>IF(LEN(TRIM(Controls_Raw!I246))=0,"Missing","OK")</f>
        <v>OK</v>
      </c>
      <c r="D246" t="str">
        <f>IF(LEN(TRIM(Controls_Raw!N246))=0,"Missing","OK")</f>
        <v>OK</v>
      </c>
      <c r="E246" t="str">
        <f>IF(OR(Controls_Raw!G246="USA",Controls_Raw!G246="UK"),"Standardize","OK")</f>
        <v>OK</v>
      </c>
      <c r="F246" t="str">
        <f>IF(Controls_Raw!E246&lt;&gt;TRIM(Controls_Raw!E246),"Trim","OK")</f>
        <v>OK</v>
      </c>
      <c r="G246" t="str">
        <f>IF(AND(Controls_Raw!L246&lt;DATE(2026,9,30),Controls_Raw!M246&lt;&gt;"Completed"),"Overdue","OK")</f>
        <v>OK</v>
      </c>
      <c r="H246" t="str">
        <f>IF(AND(Controls_Raw!Q246&lt;DATE(2026,9,30),Controls_Raw!R246&lt;&gt;"Completed",Controls_Raw!R246&lt;&gt;"Not Required"),"Overdue","OK")</f>
        <v>OK</v>
      </c>
      <c r="I246" t="str">
        <f t="shared" si="3"/>
        <v>Pass</v>
      </c>
    </row>
    <row r="247" spans="1:9" x14ac:dyDescent="0.2">
      <c r="A247" t="str">
        <f>Controls_Raw!A247</f>
        <v>CTRL-0243</v>
      </c>
      <c r="B247" t="str">
        <f>IF(COUNTIF(Controls_Raw!$A$5:$A$1504,A247)&gt;1,"Duplicate","OK")</f>
        <v>OK</v>
      </c>
      <c r="C247" t="str">
        <f>IF(LEN(TRIM(Controls_Raw!I247))=0,"Missing","OK")</f>
        <v>OK</v>
      </c>
      <c r="D247" t="str">
        <f>IF(LEN(TRIM(Controls_Raw!N247))=0,"Missing","OK")</f>
        <v>OK</v>
      </c>
      <c r="E247" t="str">
        <f>IF(OR(Controls_Raw!G247="USA",Controls_Raw!G247="UK"),"Standardize","OK")</f>
        <v>OK</v>
      </c>
      <c r="F247" t="str">
        <f>IF(Controls_Raw!E247&lt;&gt;TRIM(Controls_Raw!E247),"Trim","OK")</f>
        <v>OK</v>
      </c>
      <c r="G247" t="str">
        <f>IF(AND(Controls_Raw!L247&lt;DATE(2026,9,30),Controls_Raw!M247&lt;&gt;"Completed"),"Overdue","OK")</f>
        <v>Overdue</v>
      </c>
      <c r="H247" t="str">
        <f>IF(AND(Controls_Raw!Q247&lt;DATE(2026,9,30),Controls_Raw!R247&lt;&gt;"Completed",Controls_Raw!R247&lt;&gt;"Not Required"),"Overdue","OK")</f>
        <v>OK</v>
      </c>
      <c r="I247" t="str">
        <f t="shared" si="3"/>
        <v>Issue</v>
      </c>
    </row>
    <row r="248" spans="1:9" x14ac:dyDescent="0.2">
      <c r="A248" t="str">
        <f>Controls_Raw!A248</f>
        <v>CTRL-0244</v>
      </c>
      <c r="B248" t="str">
        <f>IF(COUNTIF(Controls_Raw!$A$5:$A$1504,A248)&gt;1,"Duplicate","OK")</f>
        <v>OK</v>
      </c>
      <c r="C248" t="str">
        <f>IF(LEN(TRIM(Controls_Raw!I248))=0,"Missing","OK")</f>
        <v>OK</v>
      </c>
      <c r="D248" t="str">
        <f>IF(LEN(TRIM(Controls_Raw!N248))=0,"Missing","OK")</f>
        <v>OK</v>
      </c>
      <c r="E248" t="str">
        <f>IF(OR(Controls_Raw!G248="USA",Controls_Raw!G248="UK"),"Standardize","OK")</f>
        <v>OK</v>
      </c>
      <c r="F248" t="str">
        <f>IF(Controls_Raw!E248&lt;&gt;TRIM(Controls_Raw!E248),"Trim","OK")</f>
        <v>OK</v>
      </c>
      <c r="G248" t="str">
        <f>IF(AND(Controls_Raw!L248&lt;DATE(2026,9,30),Controls_Raw!M248&lt;&gt;"Completed"),"Overdue","OK")</f>
        <v>OK</v>
      </c>
      <c r="H248" t="str">
        <f>IF(AND(Controls_Raw!Q248&lt;DATE(2026,9,30),Controls_Raw!R248&lt;&gt;"Completed",Controls_Raw!R248&lt;&gt;"Not Required"),"Overdue","OK")</f>
        <v>Overdue</v>
      </c>
      <c r="I248" t="str">
        <f t="shared" si="3"/>
        <v>Issue</v>
      </c>
    </row>
    <row r="249" spans="1:9" x14ac:dyDescent="0.2">
      <c r="A249" t="str">
        <f>Controls_Raw!A249</f>
        <v>CTRL-0245</v>
      </c>
      <c r="B249" t="str">
        <f>IF(COUNTIF(Controls_Raw!$A$5:$A$1504,A249)&gt;1,"Duplicate","OK")</f>
        <v>OK</v>
      </c>
      <c r="C249" t="str">
        <f>IF(LEN(TRIM(Controls_Raw!I249))=0,"Missing","OK")</f>
        <v>OK</v>
      </c>
      <c r="D249" t="str">
        <f>IF(LEN(TRIM(Controls_Raw!N249))=0,"Missing","OK")</f>
        <v>OK</v>
      </c>
      <c r="E249" t="str">
        <f>IF(OR(Controls_Raw!G249="USA",Controls_Raw!G249="UK"),"Standardize","OK")</f>
        <v>OK</v>
      </c>
      <c r="F249" t="str">
        <f>IF(Controls_Raw!E249&lt;&gt;TRIM(Controls_Raw!E249),"Trim","OK")</f>
        <v>OK</v>
      </c>
      <c r="G249" t="str">
        <f>IF(AND(Controls_Raw!L249&lt;DATE(2026,9,30),Controls_Raw!M249&lt;&gt;"Completed"),"Overdue","OK")</f>
        <v>Overdue</v>
      </c>
      <c r="H249" t="str">
        <f>IF(AND(Controls_Raw!Q249&lt;DATE(2026,9,30),Controls_Raw!R249&lt;&gt;"Completed",Controls_Raw!R249&lt;&gt;"Not Required"),"Overdue","OK")</f>
        <v>Overdue</v>
      </c>
      <c r="I249" t="str">
        <f t="shared" si="3"/>
        <v>Issue</v>
      </c>
    </row>
    <row r="250" spans="1:9" x14ac:dyDescent="0.2">
      <c r="A250" t="str">
        <f>Controls_Raw!A250</f>
        <v>CTRL-0246</v>
      </c>
      <c r="B250" t="str">
        <f>IF(COUNTIF(Controls_Raw!$A$5:$A$1504,A250)&gt;1,"Duplicate","OK")</f>
        <v>OK</v>
      </c>
      <c r="C250" t="str">
        <f>IF(LEN(TRIM(Controls_Raw!I250))=0,"Missing","OK")</f>
        <v>OK</v>
      </c>
      <c r="D250" t="str">
        <f>IF(LEN(TRIM(Controls_Raw!N250))=0,"Missing","OK")</f>
        <v>OK</v>
      </c>
      <c r="E250" t="str">
        <f>IF(OR(Controls_Raw!G250="USA",Controls_Raw!G250="UK"),"Standardize","OK")</f>
        <v>OK</v>
      </c>
      <c r="F250" t="str">
        <f>IF(Controls_Raw!E250&lt;&gt;TRIM(Controls_Raw!E250),"Trim","OK")</f>
        <v>OK</v>
      </c>
      <c r="G250" t="str">
        <f>IF(AND(Controls_Raw!L250&lt;DATE(2026,9,30),Controls_Raw!M250&lt;&gt;"Completed"),"Overdue","OK")</f>
        <v>OK</v>
      </c>
      <c r="H250" t="str">
        <f>IF(AND(Controls_Raw!Q250&lt;DATE(2026,9,30),Controls_Raw!R250&lt;&gt;"Completed",Controls_Raw!R250&lt;&gt;"Not Required"),"Overdue","OK")</f>
        <v>OK</v>
      </c>
      <c r="I250" t="str">
        <f t="shared" si="3"/>
        <v>Pass</v>
      </c>
    </row>
    <row r="251" spans="1:9" x14ac:dyDescent="0.2">
      <c r="A251" t="str">
        <f>Controls_Raw!A251</f>
        <v>CTRL-0247</v>
      </c>
      <c r="B251" t="str">
        <f>IF(COUNTIF(Controls_Raw!$A$5:$A$1504,A251)&gt;1,"Duplicate","OK")</f>
        <v>OK</v>
      </c>
      <c r="C251" t="str">
        <f>IF(LEN(TRIM(Controls_Raw!I251))=0,"Missing","OK")</f>
        <v>OK</v>
      </c>
      <c r="D251" t="str">
        <f>IF(LEN(TRIM(Controls_Raw!N251))=0,"Missing","OK")</f>
        <v>OK</v>
      </c>
      <c r="E251" t="str">
        <f>IF(OR(Controls_Raw!G251="USA",Controls_Raw!G251="UK"),"Standardize","OK")</f>
        <v>OK</v>
      </c>
      <c r="F251" t="str">
        <f>IF(Controls_Raw!E251&lt;&gt;TRIM(Controls_Raw!E251),"Trim","OK")</f>
        <v>OK</v>
      </c>
      <c r="G251" t="str">
        <f>IF(AND(Controls_Raw!L251&lt;DATE(2026,9,30),Controls_Raw!M251&lt;&gt;"Completed"),"Overdue","OK")</f>
        <v>Overdue</v>
      </c>
      <c r="H251" t="str">
        <f>IF(AND(Controls_Raw!Q251&lt;DATE(2026,9,30),Controls_Raw!R251&lt;&gt;"Completed",Controls_Raw!R251&lt;&gt;"Not Required"),"Overdue","OK")</f>
        <v>Overdue</v>
      </c>
      <c r="I251" t="str">
        <f t="shared" si="3"/>
        <v>Issue</v>
      </c>
    </row>
    <row r="252" spans="1:9" x14ac:dyDescent="0.2">
      <c r="A252" t="str">
        <f>Controls_Raw!A252</f>
        <v>CTRL-0248</v>
      </c>
      <c r="B252" t="str">
        <f>IF(COUNTIF(Controls_Raw!$A$5:$A$1504,A252)&gt;1,"Duplicate","OK")</f>
        <v>OK</v>
      </c>
      <c r="C252" t="str">
        <f>IF(LEN(TRIM(Controls_Raw!I252))=0,"Missing","OK")</f>
        <v>OK</v>
      </c>
      <c r="D252" t="str">
        <f>IF(LEN(TRIM(Controls_Raw!N252))=0,"Missing","OK")</f>
        <v>OK</v>
      </c>
      <c r="E252" t="str">
        <f>IF(OR(Controls_Raw!G252="USA",Controls_Raw!G252="UK"),"Standardize","OK")</f>
        <v>OK</v>
      </c>
      <c r="F252" t="str">
        <f>IF(Controls_Raw!E252&lt;&gt;TRIM(Controls_Raw!E252),"Trim","OK")</f>
        <v>OK</v>
      </c>
      <c r="G252" t="str">
        <f>IF(AND(Controls_Raw!L252&lt;DATE(2026,9,30),Controls_Raw!M252&lt;&gt;"Completed"),"Overdue","OK")</f>
        <v>Overdue</v>
      </c>
      <c r="H252" t="str">
        <f>IF(AND(Controls_Raw!Q252&lt;DATE(2026,9,30),Controls_Raw!R252&lt;&gt;"Completed",Controls_Raw!R252&lt;&gt;"Not Required"),"Overdue","OK")</f>
        <v>OK</v>
      </c>
      <c r="I252" t="str">
        <f t="shared" si="3"/>
        <v>Issue</v>
      </c>
    </row>
    <row r="253" spans="1:9" x14ac:dyDescent="0.2">
      <c r="A253" t="str">
        <f>Controls_Raw!A253</f>
        <v>CTRL-0249</v>
      </c>
      <c r="B253" t="str">
        <f>IF(COUNTIF(Controls_Raw!$A$5:$A$1504,A253)&gt;1,"Duplicate","OK")</f>
        <v>OK</v>
      </c>
      <c r="C253" t="str">
        <f>IF(LEN(TRIM(Controls_Raw!I253))=0,"Missing","OK")</f>
        <v>OK</v>
      </c>
      <c r="D253" t="str">
        <f>IF(LEN(TRIM(Controls_Raw!N253))=0,"Missing","OK")</f>
        <v>OK</v>
      </c>
      <c r="E253" t="str">
        <f>IF(OR(Controls_Raw!G253="USA",Controls_Raw!G253="UK"),"Standardize","OK")</f>
        <v>OK</v>
      </c>
      <c r="F253" t="str">
        <f>IF(Controls_Raw!E253&lt;&gt;TRIM(Controls_Raw!E253),"Trim","OK")</f>
        <v>OK</v>
      </c>
      <c r="G253" t="str">
        <f>IF(AND(Controls_Raw!L253&lt;DATE(2026,9,30),Controls_Raw!M253&lt;&gt;"Completed"),"Overdue","OK")</f>
        <v>OK</v>
      </c>
      <c r="H253" t="str">
        <f>IF(AND(Controls_Raw!Q253&lt;DATE(2026,9,30),Controls_Raw!R253&lt;&gt;"Completed",Controls_Raw!R253&lt;&gt;"Not Required"),"Overdue","OK")</f>
        <v>Overdue</v>
      </c>
      <c r="I253" t="str">
        <f t="shared" si="3"/>
        <v>Issue</v>
      </c>
    </row>
    <row r="254" spans="1:9" x14ac:dyDescent="0.2">
      <c r="A254" t="str">
        <f>Controls_Raw!A254</f>
        <v>CTRL-0250</v>
      </c>
      <c r="B254" t="str">
        <f>IF(COUNTIF(Controls_Raw!$A$5:$A$1504,A254)&gt;1,"Duplicate","OK")</f>
        <v>OK</v>
      </c>
      <c r="C254" t="str">
        <f>IF(LEN(TRIM(Controls_Raw!I254))=0,"Missing","OK")</f>
        <v>OK</v>
      </c>
      <c r="D254" t="str">
        <f>IF(LEN(TRIM(Controls_Raw!N254))=0,"Missing","OK")</f>
        <v>Missing</v>
      </c>
      <c r="E254" t="str">
        <f>IF(OR(Controls_Raw!G254="USA",Controls_Raw!G254="UK"),"Standardize","OK")</f>
        <v>OK</v>
      </c>
      <c r="F254" t="str">
        <f>IF(Controls_Raw!E254&lt;&gt;TRIM(Controls_Raw!E254),"Trim","OK")</f>
        <v>OK</v>
      </c>
      <c r="G254" t="str">
        <f>IF(AND(Controls_Raw!L254&lt;DATE(2026,9,30),Controls_Raw!M254&lt;&gt;"Completed"),"Overdue","OK")</f>
        <v>Overdue</v>
      </c>
      <c r="H254" t="str">
        <f>IF(AND(Controls_Raw!Q254&lt;DATE(2026,9,30),Controls_Raw!R254&lt;&gt;"Completed",Controls_Raw!R254&lt;&gt;"Not Required"),"Overdue","OK")</f>
        <v>Overdue</v>
      </c>
      <c r="I254" t="str">
        <f t="shared" si="3"/>
        <v>Issue</v>
      </c>
    </row>
    <row r="255" spans="1:9" x14ac:dyDescent="0.2">
      <c r="A255" t="str">
        <f>Controls_Raw!A255</f>
        <v>CTRL-0251</v>
      </c>
      <c r="B255" t="str">
        <f>IF(COUNTIF(Controls_Raw!$A$5:$A$1504,A255)&gt;1,"Duplicate","OK")</f>
        <v>OK</v>
      </c>
      <c r="C255" t="str">
        <f>IF(LEN(TRIM(Controls_Raw!I255))=0,"Missing","OK")</f>
        <v>OK</v>
      </c>
      <c r="D255" t="str">
        <f>IF(LEN(TRIM(Controls_Raw!N255))=0,"Missing","OK")</f>
        <v>OK</v>
      </c>
      <c r="E255" t="str">
        <f>IF(OR(Controls_Raw!G255="USA",Controls_Raw!G255="UK"),"Standardize","OK")</f>
        <v>OK</v>
      </c>
      <c r="F255" t="str">
        <f>IF(Controls_Raw!E255&lt;&gt;TRIM(Controls_Raw!E255),"Trim","OK")</f>
        <v>OK</v>
      </c>
      <c r="G255" t="str">
        <f>IF(AND(Controls_Raw!L255&lt;DATE(2026,9,30),Controls_Raw!M255&lt;&gt;"Completed"),"Overdue","OK")</f>
        <v>Overdue</v>
      </c>
      <c r="H255" t="str">
        <f>IF(AND(Controls_Raw!Q255&lt;DATE(2026,9,30),Controls_Raw!R255&lt;&gt;"Completed",Controls_Raw!R255&lt;&gt;"Not Required"),"Overdue","OK")</f>
        <v>OK</v>
      </c>
      <c r="I255" t="str">
        <f t="shared" si="3"/>
        <v>Issue</v>
      </c>
    </row>
    <row r="256" spans="1:9" x14ac:dyDescent="0.2">
      <c r="A256" t="str">
        <f>Controls_Raw!A256</f>
        <v>CTRL-0252</v>
      </c>
      <c r="B256" t="str">
        <f>IF(COUNTIF(Controls_Raw!$A$5:$A$1504,A256)&gt;1,"Duplicate","OK")</f>
        <v>OK</v>
      </c>
      <c r="C256" t="str">
        <f>IF(LEN(TRIM(Controls_Raw!I256))=0,"Missing","OK")</f>
        <v>OK</v>
      </c>
      <c r="D256" t="str">
        <f>IF(LEN(TRIM(Controls_Raw!N256))=0,"Missing","OK")</f>
        <v>OK</v>
      </c>
      <c r="E256" t="str">
        <f>IF(OR(Controls_Raw!G256="USA",Controls_Raw!G256="UK"),"Standardize","OK")</f>
        <v>OK</v>
      </c>
      <c r="F256" t="str">
        <f>IF(Controls_Raw!E256&lt;&gt;TRIM(Controls_Raw!E256),"Trim","OK")</f>
        <v>OK</v>
      </c>
      <c r="G256" t="str">
        <f>IF(AND(Controls_Raw!L256&lt;DATE(2026,9,30),Controls_Raw!M256&lt;&gt;"Completed"),"Overdue","OK")</f>
        <v>Overdue</v>
      </c>
      <c r="H256" t="str">
        <f>IF(AND(Controls_Raw!Q256&lt;DATE(2026,9,30),Controls_Raw!R256&lt;&gt;"Completed",Controls_Raw!R256&lt;&gt;"Not Required"),"Overdue","OK")</f>
        <v>OK</v>
      </c>
      <c r="I256" t="str">
        <f t="shared" si="3"/>
        <v>Issue</v>
      </c>
    </row>
    <row r="257" spans="1:9" x14ac:dyDescent="0.2">
      <c r="A257" t="str">
        <f>Controls_Raw!A257</f>
        <v>CTRL-0253</v>
      </c>
      <c r="B257" t="str">
        <f>IF(COUNTIF(Controls_Raw!$A$5:$A$1504,A257)&gt;1,"Duplicate","OK")</f>
        <v>OK</v>
      </c>
      <c r="C257" t="str">
        <f>IF(LEN(TRIM(Controls_Raw!I257))=0,"Missing","OK")</f>
        <v>OK</v>
      </c>
      <c r="D257" t="str">
        <f>IF(LEN(TRIM(Controls_Raw!N257))=0,"Missing","OK")</f>
        <v>OK</v>
      </c>
      <c r="E257" t="str">
        <f>IF(OR(Controls_Raw!G257="USA",Controls_Raw!G257="UK"),"Standardize","OK")</f>
        <v>OK</v>
      </c>
      <c r="F257" t="str">
        <f>IF(Controls_Raw!E257&lt;&gt;TRIM(Controls_Raw!E257),"Trim","OK")</f>
        <v>OK</v>
      </c>
      <c r="G257" t="str">
        <f>IF(AND(Controls_Raw!L257&lt;DATE(2026,9,30),Controls_Raw!M257&lt;&gt;"Completed"),"Overdue","OK")</f>
        <v>Overdue</v>
      </c>
      <c r="H257" t="str">
        <f>IF(AND(Controls_Raw!Q257&lt;DATE(2026,9,30),Controls_Raw!R257&lt;&gt;"Completed",Controls_Raw!R257&lt;&gt;"Not Required"),"Overdue","OK")</f>
        <v>OK</v>
      </c>
      <c r="I257" t="str">
        <f t="shared" si="3"/>
        <v>Issue</v>
      </c>
    </row>
    <row r="258" spans="1:9" x14ac:dyDescent="0.2">
      <c r="A258" t="str">
        <f>Controls_Raw!A258</f>
        <v>CTRL-0254</v>
      </c>
      <c r="B258" t="str">
        <f>IF(COUNTIF(Controls_Raw!$A$5:$A$1504,A258)&gt;1,"Duplicate","OK")</f>
        <v>OK</v>
      </c>
      <c r="C258" t="str">
        <f>IF(LEN(TRIM(Controls_Raw!I258))=0,"Missing","OK")</f>
        <v>OK</v>
      </c>
      <c r="D258" t="str">
        <f>IF(LEN(TRIM(Controls_Raw!N258))=0,"Missing","OK")</f>
        <v>OK</v>
      </c>
      <c r="E258" t="str">
        <f>IF(OR(Controls_Raw!G258="USA",Controls_Raw!G258="UK"),"Standardize","OK")</f>
        <v>OK</v>
      </c>
      <c r="F258" t="str">
        <f>IF(Controls_Raw!E258&lt;&gt;TRIM(Controls_Raw!E258),"Trim","OK")</f>
        <v>OK</v>
      </c>
      <c r="G258" t="str">
        <f>IF(AND(Controls_Raw!L258&lt;DATE(2026,9,30),Controls_Raw!M258&lt;&gt;"Completed"),"Overdue","OK")</f>
        <v>OK</v>
      </c>
      <c r="H258" t="str">
        <f>IF(AND(Controls_Raw!Q258&lt;DATE(2026,9,30),Controls_Raw!R258&lt;&gt;"Completed",Controls_Raw!R258&lt;&gt;"Not Required"),"Overdue","OK")</f>
        <v>OK</v>
      </c>
      <c r="I258" t="str">
        <f t="shared" si="3"/>
        <v>Pass</v>
      </c>
    </row>
    <row r="259" spans="1:9" x14ac:dyDescent="0.2">
      <c r="A259" t="str">
        <f>Controls_Raw!A259</f>
        <v>CTRL-0255</v>
      </c>
      <c r="B259" t="str">
        <f>IF(COUNTIF(Controls_Raw!$A$5:$A$1504,A259)&gt;1,"Duplicate","OK")</f>
        <v>OK</v>
      </c>
      <c r="C259" t="str">
        <f>IF(LEN(TRIM(Controls_Raw!I259))=0,"Missing","OK")</f>
        <v>OK</v>
      </c>
      <c r="D259" t="str">
        <f>IF(LEN(TRIM(Controls_Raw!N259))=0,"Missing","OK")</f>
        <v>OK</v>
      </c>
      <c r="E259" t="str">
        <f>IF(OR(Controls_Raw!G259="USA",Controls_Raw!G259="UK"),"Standardize","OK")</f>
        <v>OK</v>
      </c>
      <c r="F259" t="str">
        <f>IF(Controls_Raw!E259&lt;&gt;TRIM(Controls_Raw!E259),"Trim","OK")</f>
        <v>OK</v>
      </c>
      <c r="G259" t="str">
        <f>IF(AND(Controls_Raw!L259&lt;DATE(2026,9,30),Controls_Raw!M259&lt;&gt;"Completed"),"Overdue","OK")</f>
        <v>Overdue</v>
      </c>
      <c r="H259" t="str">
        <f>IF(AND(Controls_Raw!Q259&lt;DATE(2026,9,30),Controls_Raw!R259&lt;&gt;"Completed",Controls_Raw!R259&lt;&gt;"Not Required"),"Overdue","OK")</f>
        <v>OK</v>
      </c>
      <c r="I259" t="str">
        <f t="shared" si="3"/>
        <v>Issue</v>
      </c>
    </row>
    <row r="260" spans="1:9" x14ac:dyDescent="0.2">
      <c r="A260" t="str">
        <f>Controls_Raw!A260</f>
        <v>CTRL-0256</v>
      </c>
      <c r="B260" t="str">
        <f>IF(COUNTIF(Controls_Raw!$A$5:$A$1504,A260)&gt;1,"Duplicate","OK")</f>
        <v>OK</v>
      </c>
      <c r="C260" t="str">
        <f>IF(LEN(TRIM(Controls_Raw!I260))=0,"Missing","OK")</f>
        <v>OK</v>
      </c>
      <c r="D260" t="str">
        <f>IF(LEN(TRIM(Controls_Raw!N260))=0,"Missing","OK")</f>
        <v>OK</v>
      </c>
      <c r="E260" t="str">
        <f>IF(OR(Controls_Raw!G260="USA",Controls_Raw!G260="UK"),"Standardize","OK")</f>
        <v>OK</v>
      </c>
      <c r="F260" t="str">
        <f>IF(Controls_Raw!E260&lt;&gt;TRIM(Controls_Raw!E260),"Trim","OK")</f>
        <v>OK</v>
      </c>
      <c r="G260" t="str">
        <f>IF(AND(Controls_Raw!L260&lt;DATE(2026,9,30),Controls_Raw!M260&lt;&gt;"Completed"),"Overdue","OK")</f>
        <v>Overdue</v>
      </c>
      <c r="H260" t="str">
        <f>IF(AND(Controls_Raw!Q260&lt;DATE(2026,9,30),Controls_Raw!R260&lt;&gt;"Completed",Controls_Raw!R260&lt;&gt;"Not Required"),"Overdue","OK")</f>
        <v>OK</v>
      </c>
      <c r="I260" t="str">
        <f t="shared" si="3"/>
        <v>Issue</v>
      </c>
    </row>
    <row r="261" spans="1:9" x14ac:dyDescent="0.2">
      <c r="A261" t="str">
        <f>Controls_Raw!A261</f>
        <v>CTRL-0257</v>
      </c>
      <c r="B261" t="str">
        <f>IF(COUNTIF(Controls_Raw!$A$5:$A$1504,A261)&gt;1,"Duplicate","OK")</f>
        <v>OK</v>
      </c>
      <c r="C261" t="str">
        <f>IF(LEN(TRIM(Controls_Raw!I261))=0,"Missing","OK")</f>
        <v>OK</v>
      </c>
      <c r="D261" t="str">
        <f>IF(LEN(TRIM(Controls_Raw!N261))=0,"Missing","OK")</f>
        <v>OK</v>
      </c>
      <c r="E261" t="str">
        <f>IF(OR(Controls_Raw!G261="USA",Controls_Raw!G261="UK"),"Standardize","OK")</f>
        <v>OK</v>
      </c>
      <c r="F261" t="str">
        <f>IF(Controls_Raw!E261&lt;&gt;TRIM(Controls_Raw!E261),"Trim","OK")</f>
        <v>OK</v>
      </c>
      <c r="G261" t="str">
        <f>IF(AND(Controls_Raw!L261&lt;DATE(2026,9,30),Controls_Raw!M261&lt;&gt;"Completed"),"Overdue","OK")</f>
        <v>Overdue</v>
      </c>
      <c r="H261" t="str">
        <f>IF(AND(Controls_Raw!Q261&lt;DATE(2026,9,30),Controls_Raw!R261&lt;&gt;"Completed",Controls_Raw!R261&lt;&gt;"Not Required"),"Overdue","OK")</f>
        <v>OK</v>
      </c>
      <c r="I261" t="str">
        <f t="shared" ref="I261:I324" si="4">IF(COUNTIF(B261:H261,"&lt;&gt;OK")&gt;0,"Issue","Pass")</f>
        <v>Issue</v>
      </c>
    </row>
    <row r="262" spans="1:9" x14ac:dyDescent="0.2">
      <c r="A262" t="str">
        <f>Controls_Raw!A262</f>
        <v>CTRL-0258</v>
      </c>
      <c r="B262" t="str">
        <f>IF(COUNTIF(Controls_Raw!$A$5:$A$1504,A262)&gt;1,"Duplicate","OK")</f>
        <v>OK</v>
      </c>
      <c r="C262" t="str">
        <f>IF(LEN(TRIM(Controls_Raw!I262))=0,"Missing","OK")</f>
        <v>OK</v>
      </c>
      <c r="D262" t="str">
        <f>IF(LEN(TRIM(Controls_Raw!N262))=0,"Missing","OK")</f>
        <v>OK</v>
      </c>
      <c r="E262" t="str">
        <f>IF(OR(Controls_Raw!G262="USA",Controls_Raw!G262="UK"),"Standardize","OK")</f>
        <v>OK</v>
      </c>
      <c r="F262" t="str">
        <f>IF(Controls_Raw!E262&lt;&gt;TRIM(Controls_Raw!E262),"Trim","OK")</f>
        <v>OK</v>
      </c>
      <c r="G262" t="str">
        <f>IF(AND(Controls_Raw!L262&lt;DATE(2026,9,30),Controls_Raw!M262&lt;&gt;"Completed"),"Overdue","OK")</f>
        <v>Overdue</v>
      </c>
      <c r="H262" t="str">
        <f>IF(AND(Controls_Raw!Q262&lt;DATE(2026,9,30),Controls_Raw!R262&lt;&gt;"Completed",Controls_Raw!R262&lt;&gt;"Not Required"),"Overdue","OK")</f>
        <v>OK</v>
      </c>
      <c r="I262" t="str">
        <f t="shared" si="4"/>
        <v>Issue</v>
      </c>
    </row>
    <row r="263" spans="1:9" x14ac:dyDescent="0.2">
      <c r="A263" t="str">
        <f>Controls_Raw!A263</f>
        <v>CTRL-0259</v>
      </c>
      <c r="B263" t="str">
        <f>IF(COUNTIF(Controls_Raw!$A$5:$A$1504,A263)&gt;1,"Duplicate","OK")</f>
        <v>OK</v>
      </c>
      <c r="C263" t="str">
        <f>IF(LEN(TRIM(Controls_Raw!I263))=0,"Missing","OK")</f>
        <v>OK</v>
      </c>
      <c r="D263" t="str">
        <f>IF(LEN(TRIM(Controls_Raw!N263))=0,"Missing","OK")</f>
        <v>OK</v>
      </c>
      <c r="E263" t="str">
        <f>IF(OR(Controls_Raw!G263="USA",Controls_Raw!G263="UK"),"Standardize","OK")</f>
        <v>OK</v>
      </c>
      <c r="F263" t="str">
        <f>IF(Controls_Raw!E263&lt;&gt;TRIM(Controls_Raw!E263),"Trim","OK")</f>
        <v>OK</v>
      </c>
      <c r="G263" t="str">
        <f>IF(AND(Controls_Raw!L263&lt;DATE(2026,9,30),Controls_Raw!M263&lt;&gt;"Completed"),"Overdue","OK")</f>
        <v>Overdue</v>
      </c>
      <c r="H263" t="str">
        <f>IF(AND(Controls_Raw!Q263&lt;DATE(2026,9,30),Controls_Raw!R263&lt;&gt;"Completed",Controls_Raw!R263&lt;&gt;"Not Required"),"Overdue","OK")</f>
        <v>OK</v>
      </c>
      <c r="I263" t="str">
        <f t="shared" si="4"/>
        <v>Issue</v>
      </c>
    </row>
    <row r="264" spans="1:9" x14ac:dyDescent="0.2">
      <c r="A264" t="str">
        <f>Controls_Raw!A264</f>
        <v>CTRL-0260</v>
      </c>
      <c r="B264" t="str">
        <f>IF(COUNTIF(Controls_Raw!$A$5:$A$1504,A264)&gt;1,"Duplicate","OK")</f>
        <v>OK</v>
      </c>
      <c r="C264" t="str">
        <f>IF(LEN(TRIM(Controls_Raw!I264))=0,"Missing","OK")</f>
        <v>OK</v>
      </c>
      <c r="D264" t="str">
        <f>IF(LEN(TRIM(Controls_Raw!N264))=0,"Missing","OK")</f>
        <v>OK</v>
      </c>
      <c r="E264" t="str">
        <f>IF(OR(Controls_Raw!G264="USA",Controls_Raw!G264="UK"),"Standardize","OK")</f>
        <v>OK</v>
      </c>
      <c r="F264" t="str">
        <f>IF(Controls_Raw!E264&lt;&gt;TRIM(Controls_Raw!E264),"Trim","OK")</f>
        <v>OK</v>
      </c>
      <c r="G264" t="str">
        <f>IF(AND(Controls_Raw!L264&lt;DATE(2026,9,30),Controls_Raw!M264&lt;&gt;"Completed"),"Overdue","OK")</f>
        <v>Overdue</v>
      </c>
      <c r="H264" t="str">
        <f>IF(AND(Controls_Raw!Q264&lt;DATE(2026,9,30),Controls_Raw!R264&lt;&gt;"Completed",Controls_Raw!R264&lt;&gt;"Not Required"),"Overdue","OK")</f>
        <v>Overdue</v>
      </c>
      <c r="I264" t="str">
        <f t="shared" si="4"/>
        <v>Issue</v>
      </c>
    </row>
    <row r="265" spans="1:9" x14ac:dyDescent="0.2">
      <c r="A265" t="str">
        <f>Controls_Raw!A265</f>
        <v>CTRL-0261</v>
      </c>
      <c r="B265" t="str">
        <f>IF(COUNTIF(Controls_Raw!$A$5:$A$1504,A265)&gt;1,"Duplicate","OK")</f>
        <v>OK</v>
      </c>
      <c r="C265" t="str">
        <f>IF(LEN(TRIM(Controls_Raw!I265))=0,"Missing","OK")</f>
        <v>OK</v>
      </c>
      <c r="D265" t="str">
        <f>IF(LEN(TRIM(Controls_Raw!N265))=0,"Missing","OK")</f>
        <v>OK</v>
      </c>
      <c r="E265" t="str">
        <f>IF(OR(Controls_Raw!G265="USA",Controls_Raw!G265="UK"),"Standardize","OK")</f>
        <v>OK</v>
      </c>
      <c r="F265" t="str">
        <f>IF(Controls_Raw!E265&lt;&gt;TRIM(Controls_Raw!E265),"Trim","OK")</f>
        <v>OK</v>
      </c>
      <c r="G265" t="str">
        <f>IF(AND(Controls_Raw!L265&lt;DATE(2026,9,30),Controls_Raw!M265&lt;&gt;"Completed"),"Overdue","OK")</f>
        <v>Overdue</v>
      </c>
      <c r="H265" t="str">
        <f>IF(AND(Controls_Raw!Q265&lt;DATE(2026,9,30),Controls_Raw!R265&lt;&gt;"Completed",Controls_Raw!R265&lt;&gt;"Not Required"),"Overdue","OK")</f>
        <v>OK</v>
      </c>
      <c r="I265" t="str">
        <f t="shared" si="4"/>
        <v>Issue</v>
      </c>
    </row>
    <row r="266" spans="1:9" x14ac:dyDescent="0.2">
      <c r="A266" t="str">
        <f>Controls_Raw!A266</f>
        <v>CTRL-0262</v>
      </c>
      <c r="B266" t="str">
        <f>IF(COUNTIF(Controls_Raw!$A$5:$A$1504,A266)&gt;1,"Duplicate","OK")</f>
        <v>OK</v>
      </c>
      <c r="C266" t="str">
        <f>IF(LEN(TRIM(Controls_Raw!I266))=0,"Missing","OK")</f>
        <v>OK</v>
      </c>
      <c r="D266" t="str">
        <f>IF(LEN(TRIM(Controls_Raw!N266))=0,"Missing","OK")</f>
        <v>OK</v>
      </c>
      <c r="E266" t="str">
        <f>IF(OR(Controls_Raw!G266="USA",Controls_Raw!G266="UK"),"Standardize","OK")</f>
        <v>OK</v>
      </c>
      <c r="F266" t="str">
        <f>IF(Controls_Raw!E266&lt;&gt;TRIM(Controls_Raw!E266),"Trim","OK")</f>
        <v>OK</v>
      </c>
      <c r="G266" t="str">
        <f>IF(AND(Controls_Raw!L266&lt;DATE(2026,9,30),Controls_Raw!M266&lt;&gt;"Completed"),"Overdue","OK")</f>
        <v>Overdue</v>
      </c>
      <c r="H266" t="str">
        <f>IF(AND(Controls_Raw!Q266&lt;DATE(2026,9,30),Controls_Raw!R266&lt;&gt;"Completed",Controls_Raw!R266&lt;&gt;"Not Required"),"Overdue","OK")</f>
        <v>OK</v>
      </c>
      <c r="I266" t="str">
        <f t="shared" si="4"/>
        <v>Issue</v>
      </c>
    </row>
    <row r="267" spans="1:9" x14ac:dyDescent="0.2">
      <c r="A267" t="str">
        <f>Controls_Raw!A267</f>
        <v>CTRL-0263</v>
      </c>
      <c r="B267" t="str">
        <f>IF(COUNTIF(Controls_Raw!$A$5:$A$1504,A267)&gt;1,"Duplicate","OK")</f>
        <v>OK</v>
      </c>
      <c r="C267" t="str">
        <f>IF(LEN(TRIM(Controls_Raw!I267))=0,"Missing","OK")</f>
        <v>OK</v>
      </c>
      <c r="D267" t="str">
        <f>IF(LEN(TRIM(Controls_Raw!N267))=0,"Missing","OK")</f>
        <v>OK</v>
      </c>
      <c r="E267" t="str">
        <f>IF(OR(Controls_Raw!G267="USA",Controls_Raw!G267="UK"),"Standardize","OK")</f>
        <v>OK</v>
      </c>
      <c r="F267" t="str">
        <f>IF(Controls_Raw!E267&lt;&gt;TRIM(Controls_Raw!E267),"Trim","OK")</f>
        <v>OK</v>
      </c>
      <c r="G267" t="str">
        <f>IF(AND(Controls_Raw!L267&lt;DATE(2026,9,30),Controls_Raw!M267&lt;&gt;"Completed"),"Overdue","OK")</f>
        <v>Overdue</v>
      </c>
      <c r="H267" t="str">
        <f>IF(AND(Controls_Raw!Q267&lt;DATE(2026,9,30),Controls_Raw!R267&lt;&gt;"Completed",Controls_Raw!R267&lt;&gt;"Not Required"),"Overdue","OK")</f>
        <v>Overdue</v>
      </c>
      <c r="I267" t="str">
        <f t="shared" si="4"/>
        <v>Issue</v>
      </c>
    </row>
    <row r="268" spans="1:9" x14ac:dyDescent="0.2">
      <c r="A268" t="str">
        <f>Controls_Raw!A268</f>
        <v>CTRL-0264</v>
      </c>
      <c r="B268" t="str">
        <f>IF(COUNTIF(Controls_Raw!$A$5:$A$1504,A268)&gt;1,"Duplicate","OK")</f>
        <v>OK</v>
      </c>
      <c r="C268" t="str">
        <f>IF(LEN(TRIM(Controls_Raw!I268))=0,"Missing","OK")</f>
        <v>OK</v>
      </c>
      <c r="D268" t="str">
        <f>IF(LEN(TRIM(Controls_Raw!N268))=0,"Missing","OK")</f>
        <v>OK</v>
      </c>
      <c r="E268" t="str">
        <f>IF(OR(Controls_Raw!G268="USA",Controls_Raw!G268="UK"),"Standardize","OK")</f>
        <v>OK</v>
      </c>
      <c r="F268" t="str">
        <f>IF(Controls_Raw!E268&lt;&gt;TRIM(Controls_Raw!E268),"Trim","OK")</f>
        <v>OK</v>
      </c>
      <c r="G268" t="str">
        <f>IF(AND(Controls_Raw!L268&lt;DATE(2026,9,30),Controls_Raw!M268&lt;&gt;"Completed"),"Overdue","OK")</f>
        <v>OK</v>
      </c>
      <c r="H268" t="str">
        <f>IF(AND(Controls_Raw!Q268&lt;DATE(2026,9,30),Controls_Raw!R268&lt;&gt;"Completed",Controls_Raw!R268&lt;&gt;"Not Required"),"Overdue","OK")</f>
        <v>Overdue</v>
      </c>
      <c r="I268" t="str">
        <f t="shared" si="4"/>
        <v>Issue</v>
      </c>
    </row>
    <row r="269" spans="1:9" x14ac:dyDescent="0.2">
      <c r="A269" t="str">
        <f>Controls_Raw!A269</f>
        <v>CTRL-0265</v>
      </c>
      <c r="B269" t="str">
        <f>IF(COUNTIF(Controls_Raw!$A$5:$A$1504,A269)&gt;1,"Duplicate","OK")</f>
        <v>OK</v>
      </c>
      <c r="C269" t="str">
        <f>IF(LEN(TRIM(Controls_Raw!I269))=0,"Missing","OK")</f>
        <v>OK</v>
      </c>
      <c r="D269" t="str">
        <f>IF(LEN(TRIM(Controls_Raw!N269))=0,"Missing","OK")</f>
        <v>OK</v>
      </c>
      <c r="E269" t="str">
        <f>IF(OR(Controls_Raw!G269="USA",Controls_Raw!G269="UK"),"Standardize","OK")</f>
        <v>OK</v>
      </c>
      <c r="F269" t="str">
        <f>IF(Controls_Raw!E269&lt;&gt;TRIM(Controls_Raw!E269),"Trim","OK")</f>
        <v>OK</v>
      </c>
      <c r="G269" t="str">
        <f>IF(AND(Controls_Raw!L269&lt;DATE(2026,9,30),Controls_Raw!M269&lt;&gt;"Completed"),"Overdue","OK")</f>
        <v>Overdue</v>
      </c>
      <c r="H269" t="str">
        <f>IF(AND(Controls_Raw!Q269&lt;DATE(2026,9,30),Controls_Raw!R269&lt;&gt;"Completed",Controls_Raw!R269&lt;&gt;"Not Required"),"Overdue","OK")</f>
        <v>OK</v>
      </c>
      <c r="I269" t="str">
        <f t="shared" si="4"/>
        <v>Issue</v>
      </c>
    </row>
    <row r="270" spans="1:9" x14ac:dyDescent="0.2">
      <c r="A270" t="str">
        <f>Controls_Raw!A270</f>
        <v>CTRL-0266</v>
      </c>
      <c r="B270" t="str">
        <f>IF(COUNTIF(Controls_Raw!$A$5:$A$1504,A270)&gt;1,"Duplicate","OK")</f>
        <v>OK</v>
      </c>
      <c r="C270" t="str">
        <f>IF(LEN(TRIM(Controls_Raw!I270))=0,"Missing","OK")</f>
        <v>OK</v>
      </c>
      <c r="D270" t="str">
        <f>IF(LEN(TRIM(Controls_Raw!N270))=0,"Missing","OK")</f>
        <v>OK</v>
      </c>
      <c r="E270" t="str">
        <f>IF(OR(Controls_Raw!G270="USA",Controls_Raw!G270="UK"),"Standardize","OK")</f>
        <v>Standardize</v>
      </c>
      <c r="F270" t="str">
        <f>IF(Controls_Raw!E270&lt;&gt;TRIM(Controls_Raw!E270),"Trim","OK")</f>
        <v>OK</v>
      </c>
      <c r="G270" t="str">
        <f>IF(AND(Controls_Raw!L270&lt;DATE(2026,9,30),Controls_Raw!M270&lt;&gt;"Completed"),"Overdue","OK")</f>
        <v>OK</v>
      </c>
      <c r="H270" t="str">
        <f>IF(AND(Controls_Raw!Q270&lt;DATE(2026,9,30),Controls_Raw!R270&lt;&gt;"Completed",Controls_Raw!R270&lt;&gt;"Not Required"),"Overdue","OK")</f>
        <v>OK</v>
      </c>
      <c r="I270" t="str">
        <f t="shared" si="4"/>
        <v>Issue</v>
      </c>
    </row>
    <row r="271" spans="1:9" x14ac:dyDescent="0.2">
      <c r="A271" t="str">
        <f>Controls_Raw!A271</f>
        <v>CTRL-0267</v>
      </c>
      <c r="B271" t="str">
        <f>IF(COUNTIF(Controls_Raw!$A$5:$A$1504,A271)&gt;1,"Duplicate","OK")</f>
        <v>OK</v>
      </c>
      <c r="C271" t="str">
        <f>IF(LEN(TRIM(Controls_Raw!I271))=0,"Missing","OK")</f>
        <v>OK</v>
      </c>
      <c r="D271" t="str">
        <f>IF(LEN(TRIM(Controls_Raw!N271))=0,"Missing","OK")</f>
        <v>OK</v>
      </c>
      <c r="E271" t="str">
        <f>IF(OR(Controls_Raw!G271="USA",Controls_Raw!G271="UK"),"Standardize","OK")</f>
        <v>OK</v>
      </c>
      <c r="F271" t="str">
        <f>IF(Controls_Raw!E271&lt;&gt;TRIM(Controls_Raw!E271),"Trim","OK")</f>
        <v>OK</v>
      </c>
      <c r="G271" t="str">
        <f>IF(AND(Controls_Raw!L271&lt;DATE(2026,9,30),Controls_Raw!M271&lt;&gt;"Completed"),"Overdue","OK")</f>
        <v>OK</v>
      </c>
      <c r="H271" t="str">
        <f>IF(AND(Controls_Raw!Q271&lt;DATE(2026,9,30),Controls_Raw!R271&lt;&gt;"Completed",Controls_Raw!R271&lt;&gt;"Not Required"),"Overdue","OK")</f>
        <v>OK</v>
      </c>
      <c r="I271" t="str">
        <f t="shared" si="4"/>
        <v>Pass</v>
      </c>
    </row>
    <row r="272" spans="1:9" x14ac:dyDescent="0.2">
      <c r="A272" t="str">
        <f>Controls_Raw!A272</f>
        <v>CTRL-0268</v>
      </c>
      <c r="B272" t="str">
        <f>IF(COUNTIF(Controls_Raw!$A$5:$A$1504,A272)&gt;1,"Duplicate","OK")</f>
        <v>OK</v>
      </c>
      <c r="C272" t="str">
        <f>IF(LEN(TRIM(Controls_Raw!I272))=0,"Missing","OK")</f>
        <v>OK</v>
      </c>
      <c r="D272" t="str">
        <f>IF(LEN(TRIM(Controls_Raw!N272))=0,"Missing","OK")</f>
        <v>OK</v>
      </c>
      <c r="E272" t="str">
        <f>IF(OR(Controls_Raw!G272="USA",Controls_Raw!G272="UK"),"Standardize","OK")</f>
        <v>OK</v>
      </c>
      <c r="F272" t="str">
        <f>IF(Controls_Raw!E272&lt;&gt;TRIM(Controls_Raw!E272),"Trim","OK")</f>
        <v>OK</v>
      </c>
      <c r="G272" t="str">
        <f>IF(AND(Controls_Raw!L272&lt;DATE(2026,9,30),Controls_Raw!M272&lt;&gt;"Completed"),"Overdue","OK")</f>
        <v>OK</v>
      </c>
      <c r="H272" t="str">
        <f>IF(AND(Controls_Raw!Q272&lt;DATE(2026,9,30),Controls_Raw!R272&lt;&gt;"Completed",Controls_Raw!R272&lt;&gt;"Not Required"),"Overdue","OK")</f>
        <v>Overdue</v>
      </c>
      <c r="I272" t="str">
        <f t="shared" si="4"/>
        <v>Issue</v>
      </c>
    </row>
    <row r="273" spans="1:9" x14ac:dyDescent="0.2">
      <c r="A273" t="str">
        <f>Controls_Raw!A273</f>
        <v>CTRL-0269</v>
      </c>
      <c r="B273" t="str">
        <f>IF(COUNTIF(Controls_Raw!$A$5:$A$1504,A273)&gt;1,"Duplicate","OK")</f>
        <v>OK</v>
      </c>
      <c r="C273" t="str">
        <f>IF(LEN(TRIM(Controls_Raw!I273))=0,"Missing","OK")</f>
        <v>OK</v>
      </c>
      <c r="D273" t="str">
        <f>IF(LEN(TRIM(Controls_Raw!N273))=0,"Missing","OK")</f>
        <v>OK</v>
      </c>
      <c r="E273" t="str">
        <f>IF(OR(Controls_Raw!G273="USA",Controls_Raw!G273="UK"),"Standardize","OK")</f>
        <v>OK</v>
      </c>
      <c r="F273" t="str">
        <f>IF(Controls_Raw!E273&lt;&gt;TRIM(Controls_Raw!E273),"Trim","OK")</f>
        <v>OK</v>
      </c>
      <c r="G273" t="str">
        <f>IF(AND(Controls_Raw!L273&lt;DATE(2026,9,30),Controls_Raw!M273&lt;&gt;"Completed"),"Overdue","OK")</f>
        <v>Overdue</v>
      </c>
      <c r="H273" t="str">
        <f>IF(AND(Controls_Raw!Q273&lt;DATE(2026,9,30),Controls_Raw!R273&lt;&gt;"Completed",Controls_Raw!R273&lt;&gt;"Not Required"),"Overdue","OK")</f>
        <v>OK</v>
      </c>
      <c r="I273" t="str">
        <f t="shared" si="4"/>
        <v>Issue</v>
      </c>
    </row>
    <row r="274" spans="1:9" x14ac:dyDescent="0.2">
      <c r="A274" t="str">
        <f>Controls_Raw!A274</f>
        <v>CTRL-0270</v>
      </c>
      <c r="B274" t="str">
        <f>IF(COUNTIF(Controls_Raw!$A$5:$A$1504,A274)&gt;1,"Duplicate","OK")</f>
        <v>OK</v>
      </c>
      <c r="C274" t="str">
        <f>IF(LEN(TRIM(Controls_Raw!I274))=0,"Missing","OK")</f>
        <v>OK</v>
      </c>
      <c r="D274" t="str">
        <f>IF(LEN(TRIM(Controls_Raw!N274))=0,"Missing","OK")</f>
        <v>OK</v>
      </c>
      <c r="E274" t="str">
        <f>IF(OR(Controls_Raw!G274="USA",Controls_Raw!G274="UK"),"Standardize","OK")</f>
        <v>OK</v>
      </c>
      <c r="F274" t="str">
        <f>IF(Controls_Raw!E274&lt;&gt;TRIM(Controls_Raw!E274),"Trim","OK")</f>
        <v>OK</v>
      </c>
      <c r="G274" t="str">
        <f>IF(AND(Controls_Raw!L274&lt;DATE(2026,9,30),Controls_Raw!M274&lt;&gt;"Completed"),"Overdue","OK")</f>
        <v>OK</v>
      </c>
      <c r="H274" t="str">
        <f>IF(AND(Controls_Raw!Q274&lt;DATE(2026,9,30),Controls_Raw!R274&lt;&gt;"Completed",Controls_Raw!R274&lt;&gt;"Not Required"),"Overdue","OK")</f>
        <v>OK</v>
      </c>
      <c r="I274" t="str">
        <f t="shared" si="4"/>
        <v>Pass</v>
      </c>
    </row>
    <row r="275" spans="1:9" x14ac:dyDescent="0.2">
      <c r="A275" t="str">
        <f>Controls_Raw!A275</f>
        <v>CTRL-0271</v>
      </c>
      <c r="B275" t="str">
        <f>IF(COUNTIF(Controls_Raw!$A$5:$A$1504,A275)&gt;1,"Duplicate","OK")</f>
        <v>OK</v>
      </c>
      <c r="C275" t="str">
        <f>IF(LEN(TRIM(Controls_Raw!I275))=0,"Missing","OK")</f>
        <v>OK</v>
      </c>
      <c r="D275" t="str">
        <f>IF(LEN(TRIM(Controls_Raw!N275))=0,"Missing","OK")</f>
        <v>OK</v>
      </c>
      <c r="E275" t="str">
        <f>IF(OR(Controls_Raw!G275="USA",Controls_Raw!G275="UK"),"Standardize","OK")</f>
        <v>OK</v>
      </c>
      <c r="F275" t="str">
        <f>IF(Controls_Raw!E275&lt;&gt;TRIM(Controls_Raw!E275),"Trim","OK")</f>
        <v>OK</v>
      </c>
      <c r="G275" t="str">
        <f>IF(AND(Controls_Raw!L275&lt;DATE(2026,9,30),Controls_Raw!M275&lt;&gt;"Completed"),"Overdue","OK")</f>
        <v>OK</v>
      </c>
      <c r="H275" t="str">
        <f>IF(AND(Controls_Raw!Q275&lt;DATE(2026,9,30),Controls_Raw!R275&lt;&gt;"Completed",Controls_Raw!R275&lt;&gt;"Not Required"),"Overdue","OK")</f>
        <v>OK</v>
      </c>
      <c r="I275" t="str">
        <f t="shared" si="4"/>
        <v>Pass</v>
      </c>
    </row>
    <row r="276" spans="1:9" x14ac:dyDescent="0.2">
      <c r="A276" t="str">
        <f>Controls_Raw!A276</f>
        <v>CTRL-0272</v>
      </c>
      <c r="B276" t="str">
        <f>IF(COUNTIF(Controls_Raw!$A$5:$A$1504,A276)&gt;1,"Duplicate","OK")</f>
        <v>OK</v>
      </c>
      <c r="C276" t="str">
        <f>IF(LEN(TRIM(Controls_Raw!I276))=0,"Missing","OK")</f>
        <v>OK</v>
      </c>
      <c r="D276" t="str">
        <f>IF(LEN(TRIM(Controls_Raw!N276))=0,"Missing","OK")</f>
        <v>OK</v>
      </c>
      <c r="E276" t="str">
        <f>IF(OR(Controls_Raw!G276="USA",Controls_Raw!G276="UK"),"Standardize","OK")</f>
        <v>OK</v>
      </c>
      <c r="F276" t="str">
        <f>IF(Controls_Raw!E276&lt;&gt;TRIM(Controls_Raw!E276),"Trim","OK")</f>
        <v>OK</v>
      </c>
      <c r="G276" t="str">
        <f>IF(AND(Controls_Raw!L276&lt;DATE(2026,9,30),Controls_Raw!M276&lt;&gt;"Completed"),"Overdue","OK")</f>
        <v>Overdue</v>
      </c>
      <c r="H276" t="str">
        <f>IF(AND(Controls_Raw!Q276&lt;DATE(2026,9,30),Controls_Raw!R276&lt;&gt;"Completed",Controls_Raw!R276&lt;&gt;"Not Required"),"Overdue","OK")</f>
        <v>Overdue</v>
      </c>
      <c r="I276" t="str">
        <f t="shared" si="4"/>
        <v>Issue</v>
      </c>
    </row>
    <row r="277" spans="1:9" x14ac:dyDescent="0.2">
      <c r="A277" t="str">
        <f>Controls_Raw!A277</f>
        <v>CTRL-0273</v>
      </c>
      <c r="B277" t="str">
        <f>IF(COUNTIF(Controls_Raw!$A$5:$A$1504,A277)&gt;1,"Duplicate","OK")</f>
        <v>OK</v>
      </c>
      <c r="C277" t="str">
        <f>IF(LEN(TRIM(Controls_Raw!I277))=0,"Missing","OK")</f>
        <v>OK</v>
      </c>
      <c r="D277" t="str">
        <f>IF(LEN(TRIM(Controls_Raw!N277))=0,"Missing","OK")</f>
        <v>OK</v>
      </c>
      <c r="E277" t="str">
        <f>IF(OR(Controls_Raw!G277="USA",Controls_Raw!G277="UK"),"Standardize","OK")</f>
        <v>OK</v>
      </c>
      <c r="F277" t="str">
        <f>IF(Controls_Raw!E277&lt;&gt;TRIM(Controls_Raw!E277),"Trim","OK")</f>
        <v>OK</v>
      </c>
      <c r="G277" t="str">
        <f>IF(AND(Controls_Raw!L277&lt;DATE(2026,9,30),Controls_Raw!M277&lt;&gt;"Completed"),"Overdue","OK")</f>
        <v>OK</v>
      </c>
      <c r="H277" t="str">
        <f>IF(AND(Controls_Raw!Q277&lt;DATE(2026,9,30),Controls_Raw!R277&lt;&gt;"Completed",Controls_Raw!R277&lt;&gt;"Not Required"),"Overdue","OK")</f>
        <v>OK</v>
      </c>
      <c r="I277" t="str">
        <f t="shared" si="4"/>
        <v>Pass</v>
      </c>
    </row>
    <row r="278" spans="1:9" x14ac:dyDescent="0.2">
      <c r="A278" t="str">
        <f>Controls_Raw!A278</f>
        <v>CTRL-0274</v>
      </c>
      <c r="B278" t="str">
        <f>IF(COUNTIF(Controls_Raw!$A$5:$A$1504,A278)&gt;1,"Duplicate","OK")</f>
        <v>OK</v>
      </c>
      <c r="C278" t="str">
        <f>IF(LEN(TRIM(Controls_Raw!I278))=0,"Missing","OK")</f>
        <v>OK</v>
      </c>
      <c r="D278" t="str">
        <f>IF(LEN(TRIM(Controls_Raw!N278))=0,"Missing","OK")</f>
        <v>OK</v>
      </c>
      <c r="E278" t="str">
        <f>IF(OR(Controls_Raw!G278="USA",Controls_Raw!G278="UK"),"Standardize","OK")</f>
        <v>OK</v>
      </c>
      <c r="F278" t="str">
        <f>IF(Controls_Raw!E278&lt;&gt;TRIM(Controls_Raw!E278),"Trim","OK")</f>
        <v>OK</v>
      </c>
      <c r="G278" t="str">
        <f>IF(AND(Controls_Raw!L278&lt;DATE(2026,9,30),Controls_Raw!M278&lt;&gt;"Completed"),"Overdue","OK")</f>
        <v>OK</v>
      </c>
      <c r="H278" t="str">
        <f>IF(AND(Controls_Raw!Q278&lt;DATE(2026,9,30),Controls_Raw!R278&lt;&gt;"Completed",Controls_Raw!R278&lt;&gt;"Not Required"),"Overdue","OK")</f>
        <v>OK</v>
      </c>
      <c r="I278" t="str">
        <f t="shared" si="4"/>
        <v>Pass</v>
      </c>
    </row>
    <row r="279" spans="1:9" x14ac:dyDescent="0.2">
      <c r="A279" t="str">
        <f>Controls_Raw!A279</f>
        <v>CTRL-0275</v>
      </c>
      <c r="B279" t="str">
        <f>IF(COUNTIF(Controls_Raw!$A$5:$A$1504,A279)&gt;1,"Duplicate","OK")</f>
        <v>OK</v>
      </c>
      <c r="C279" t="str">
        <f>IF(LEN(TRIM(Controls_Raw!I279))=0,"Missing","OK")</f>
        <v>OK</v>
      </c>
      <c r="D279" t="str">
        <f>IF(LEN(TRIM(Controls_Raw!N279))=0,"Missing","OK")</f>
        <v>OK</v>
      </c>
      <c r="E279" t="str">
        <f>IF(OR(Controls_Raw!G279="USA",Controls_Raw!G279="UK"),"Standardize","OK")</f>
        <v>OK</v>
      </c>
      <c r="F279" t="str">
        <f>IF(Controls_Raw!E279&lt;&gt;TRIM(Controls_Raw!E279),"Trim","OK")</f>
        <v>OK</v>
      </c>
      <c r="G279" t="str">
        <f>IF(AND(Controls_Raw!L279&lt;DATE(2026,9,30),Controls_Raw!M279&lt;&gt;"Completed"),"Overdue","OK")</f>
        <v>OK</v>
      </c>
      <c r="H279" t="str">
        <f>IF(AND(Controls_Raw!Q279&lt;DATE(2026,9,30),Controls_Raw!R279&lt;&gt;"Completed",Controls_Raw!R279&lt;&gt;"Not Required"),"Overdue","OK")</f>
        <v>OK</v>
      </c>
      <c r="I279" t="str">
        <f t="shared" si="4"/>
        <v>Pass</v>
      </c>
    </row>
    <row r="280" spans="1:9" x14ac:dyDescent="0.2">
      <c r="A280" t="str">
        <f>Controls_Raw!A280</f>
        <v>CTRL-0276</v>
      </c>
      <c r="B280" t="str">
        <f>IF(COUNTIF(Controls_Raw!$A$5:$A$1504,A280)&gt;1,"Duplicate","OK")</f>
        <v>OK</v>
      </c>
      <c r="C280" t="str">
        <f>IF(LEN(TRIM(Controls_Raw!I280))=0,"Missing","OK")</f>
        <v>OK</v>
      </c>
      <c r="D280" t="str">
        <f>IF(LEN(TRIM(Controls_Raw!N280))=0,"Missing","OK")</f>
        <v>OK</v>
      </c>
      <c r="E280" t="str">
        <f>IF(OR(Controls_Raw!G280="USA",Controls_Raw!G280="UK"),"Standardize","OK")</f>
        <v>OK</v>
      </c>
      <c r="F280" t="str">
        <f>IF(Controls_Raw!E280&lt;&gt;TRIM(Controls_Raw!E280),"Trim","OK")</f>
        <v>OK</v>
      </c>
      <c r="G280" t="str">
        <f>IF(AND(Controls_Raw!L280&lt;DATE(2026,9,30),Controls_Raw!M280&lt;&gt;"Completed"),"Overdue","OK")</f>
        <v>Overdue</v>
      </c>
      <c r="H280" t="str">
        <f>IF(AND(Controls_Raw!Q280&lt;DATE(2026,9,30),Controls_Raw!R280&lt;&gt;"Completed",Controls_Raw!R280&lt;&gt;"Not Required"),"Overdue","OK")</f>
        <v>OK</v>
      </c>
      <c r="I280" t="str">
        <f t="shared" si="4"/>
        <v>Issue</v>
      </c>
    </row>
    <row r="281" spans="1:9" x14ac:dyDescent="0.2">
      <c r="A281" t="str">
        <f>Controls_Raw!A281</f>
        <v>CTRL-0277</v>
      </c>
      <c r="B281" t="str">
        <f>IF(COUNTIF(Controls_Raw!$A$5:$A$1504,A281)&gt;1,"Duplicate","OK")</f>
        <v>OK</v>
      </c>
      <c r="C281" t="str">
        <f>IF(LEN(TRIM(Controls_Raw!I281))=0,"Missing","OK")</f>
        <v>OK</v>
      </c>
      <c r="D281" t="str">
        <f>IF(LEN(TRIM(Controls_Raw!N281))=0,"Missing","OK")</f>
        <v>OK</v>
      </c>
      <c r="E281" t="str">
        <f>IF(OR(Controls_Raw!G281="USA",Controls_Raw!G281="UK"),"Standardize","OK")</f>
        <v>OK</v>
      </c>
      <c r="F281" t="str">
        <f>IF(Controls_Raw!E281&lt;&gt;TRIM(Controls_Raw!E281),"Trim","OK")</f>
        <v>OK</v>
      </c>
      <c r="G281" t="str">
        <f>IF(AND(Controls_Raw!L281&lt;DATE(2026,9,30),Controls_Raw!M281&lt;&gt;"Completed"),"Overdue","OK")</f>
        <v>OK</v>
      </c>
      <c r="H281" t="str">
        <f>IF(AND(Controls_Raw!Q281&lt;DATE(2026,9,30),Controls_Raw!R281&lt;&gt;"Completed",Controls_Raw!R281&lt;&gt;"Not Required"),"Overdue","OK")</f>
        <v>OK</v>
      </c>
      <c r="I281" t="str">
        <f t="shared" si="4"/>
        <v>Pass</v>
      </c>
    </row>
    <row r="282" spans="1:9" x14ac:dyDescent="0.2">
      <c r="A282" t="str">
        <f>Controls_Raw!A282</f>
        <v>CTRL-0278</v>
      </c>
      <c r="B282" t="str">
        <f>IF(COUNTIF(Controls_Raw!$A$5:$A$1504,A282)&gt;1,"Duplicate","OK")</f>
        <v>OK</v>
      </c>
      <c r="C282" t="str">
        <f>IF(LEN(TRIM(Controls_Raw!I282))=0,"Missing","OK")</f>
        <v>OK</v>
      </c>
      <c r="D282" t="str">
        <f>IF(LEN(TRIM(Controls_Raw!N282))=0,"Missing","OK")</f>
        <v>OK</v>
      </c>
      <c r="E282" t="str">
        <f>IF(OR(Controls_Raw!G282="USA",Controls_Raw!G282="UK"),"Standardize","OK")</f>
        <v>OK</v>
      </c>
      <c r="F282" t="str">
        <f>IF(Controls_Raw!E282&lt;&gt;TRIM(Controls_Raw!E282),"Trim","OK")</f>
        <v>OK</v>
      </c>
      <c r="G282" t="str">
        <f>IF(AND(Controls_Raw!L282&lt;DATE(2026,9,30),Controls_Raw!M282&lt;&gt;"Completed"),"Overdue","OK")</f>
        <v>OK</v>
      </c>
      <c r="H282" t="str">
        <f>IF(AND(Controls_Raw!Q282&lt;DATE(2026,9,30),Controls_Raw!R282&lt;&gt;"Completed",Controls_Raw!R282&lt;&gt;"Not Required"),"Overdue","OK")</f>
        <v>OK</v>
      </c>
      <c r="I282" t="str">
        <f t="shared" si="4"/>
        <v>Pass</v>
      </c>
    </row>
    <row r="283" spans="1:9" x14ac:dyDescent="0.2">
      <c r="A283" t="str">
        <f>Controls_Raw!A283</f>
        <v>CTRL-0279</v>
      </c>
      <c r="B283" t="str">
        <f>IF(COUNTIF(Controls_Raw!$A$5:$A$1504,A283)&gt;1,"Duplicate","OK")</f>
        <v>OK</v>
      </c>
      <c r="C283" t="str">
        <f>IF(LEN(TRIM(Controls_Raw!I283))=0,"Missing","OK")</f>
        <v>OK</v>
      </c>
      <c r="D283" t="str">
        <f>IF(LEN(TRIM(Controls_Raw!N283))=0,"Missing","OK")</f>
        <v>OK</v>
      </c>
      <c r="E283" t="str">
        <f>IF(OR(Controls_Raw!G283="USA",Controls_Raw!G283="UK"),"Standardize","OK")</f>
        <v>OK</v>
      </c>
      <c r="F283" t="str">
        <f>IF(Controls_Raw!E283&lt;&gt;TRIM(Controls_Raw!E283),"Trim","OK")</f>
        <v>OK</v>
      </c>
      <c r="G283" t="str">
        <f>IF(AND(Controls_Raw!L283&lt;DATE(2026,9,30),Controls_Raw!M283&lt;&gt;"Completed"),"Overdue","OK")</f>
        <v>OK</v>
      </c>
      <c r="H283" t="str">
        <f>IF(AND(Controls_Raw!Q283&lt;DATE(2026,9,30),Controls_Raw!R283&lt;&gt;"Completed",Controls_Raw!R283&lt;&gt;"Not Required"),"Overdue","OK")</f>
        <v>OK</v>
      </c>
      <c r="I283" t="str">
        <f t="shared" si="4"/>
        <v>Pass</v>
      </c>
    </row>
    <row r="284" spans="1:9" x14ac:dyDescent="0.2">
      <c r="A284" t="str">
        <f>Controls_Raw!A284</f>
        <v>CTRL-0280</v>
      </c>
      <c r="B284" t="str">
        <f>IF(COUNTIF(Controls_Raw!$A$5:$A$1504,A284)&gt;1,"Duplicate","OK")</f>
        <v>OK</v>
      </c>
      <c r="C284" t="str">
        <f>IF(LEN(TRIM(Controls_Raw!I284))=0,"Missing","OK")</f>
        <v>OK</v>
      </c>
      <c r="D284" t="str">
        <f>IF(LEN(TRIM(Controls_Raw!N284))=0,"Missing","OK")</f>
        <v>OK</v>
      </c>
      <c r="E284" t="str">
        <f>IF(OR(Controls_Raw!G284="USA",Controls_Raw!G284="UK"),"Standardize","OK")</f>
        <v>OK</v>
      </c>
      <c r="F284" t="str">
        <f>IF(Controls_Raw!E284&lt;&gt;TRIM(Controls_Raw!E284),"Trim","OK")</f>
        <v>OK</v>
      </c>
      <c r="G284" t="str">
        <f>IF(AND(Controls_Raw!L284&lt;DATE(2026,9,30),Controls_Raw!M284&lt;&gt;"Completed"),"Overdue","OK")</f>
        <v>Overdue</v>
      </c>
      <c r="H284" t="str">
        <f>IF(AND(Controls_Raw!Q284&lt;DATE(2026,9,30),Controls_Raw!R284&lt;&gt;"Completed",Controls_Raw!R284&lt;&gt;"Not Required"),"Overdue","OK")</f>
        <v>OK</v>
      </c>
      <c r="I284" t="str">
        <f t="shared" si="4"/>
        <v>Issue</v>
      </c>
    </row>
    <row r="285" spans="1:9" x14ac:dyDescent="0.2">
      <c r="A285" t="str">
        <f>Controls_Raw!A285</f>
        <v>CTRL-0281</v>
      </c>
      <c r="B285" t="str">
        <f>IF(COUNTIF(Controls_Raw!$A$5:$A$1504,A285)&gt;1,"Duplicate","OK")</f>
        <v>OK</v>
      </c>
      <c r="C285" t="str">
        <f>IF(LEN(TRIM(Controls_Raw!I285))=0,"Missing","OK")</f>
        <v>OK</v>
      </c>
      <c r="D285" t="str">
        <f>IF(LEN(TRIM(Controls_Raw!N285))=0,"Missing","OK")</f>
        <v>OK</v>
      </c>
      <c r="E285" t="str">
        <f>IF(OR(Controls_Raw!G285="USA",Controls_Raw!G285="UK"),"Standardize","OK")</f>
        <v>OK</v>
      </c>
      <c r="F285" t="str">
        <f>IF(Controls_Raw!E285&lt;&gt;TRIM(Controls_Raw!E285),"Trim","OK")</f>
        <v>OK</v>
      </c>
      <c r="G285" t="str">
        <f>IF(AND(Controls_Raw!L285&lt;DATE(2026,9,30),Controls_Raw!M285&lt;&gt;"Completed"),"Overdue","OK")</f>
        <v>Overdue</v>
      </c>
      <c r="H285" t="str">
        <f>IF(AND(Controls_Raw!Q285&lt;DATE(2026,9,30),Controls_Raw!R285&lt;&gt;"Completed",Controls_Raw!R285&lt;&gt;"Not Required"),"Overdue","OK")</f>
        <v>OK</v>
      </c>
      <c r="I285" t="str">
        <f t="shared" si="4"/>
        <v>Issue</v>
      </c>
    </row>
    <row r="286" spans="1:9" x14ac:dyDescent="0.2">
      <c r="A286" t="str">
        <f>Controls_Raw!A286</f>
        <v>CTRL-0282</v>
      </c>
      <c r="B286" t="str">
        <f>IF(COUNTIF(Controls_Raw!$A$5:$A$1504,A286)&gt;1,"Duplicate","OK")</f>
        <v>OK</v>
      </c>
      <c r="C286" t="str">
        <f>IF(LEN(TRIM(Controls_Raw!I286))=0,"Missing","OK")</f>
        <v>OK</v>
      </c>
      <c r="D286" t="str">
        <f>IF(LEN(TRIM(Controls_Raw!N286))=0,"Missing","OK")</f>
        <v>OK</v>
      </c>
      <c r="E286" t="str">
        <f>IF(OR(Controls_Raw!G286="USA",Controls_Raw!G286="UK"),"Standardize","OK")</f>
        <v>OK</v>
      </c>
      <c r="F286" t="str">
        <f>IF(Controls_Raw!E286&lt;&gt;TRIM(Controls_Raw!E286),"Trim","OK")</f>
        <v>OK</v>
      </c>
      <c r="G286" t="str">
        <f>IF(AND(Controls_Raw!L286&lt;DATE(2026,9,30),Controls_Raw!M286&lt;&gt;"Completed"),"Overdue","OK")</f>
        <v>OK</v>
      </c>
      <c r="H286" t="str">
        <f>IF(AND(Controls_Raw!Q286&lt;DATE(2026,9,30),Controls_Raw!R286&lt;&gt;"Completed",Controls_Raw!R286&lt;&gt;"Not Required"),"Overdue","OK")</f>
        <v>OK</v>
      </c>
      <c r="I286" t="str">
        <f t="shared" si="4"/>
        <v>Pass</v>
      </c>
    </row>
    <row r="287" spans="1:9" x14ac:dyDescent="0.2">
      <c r="A287" t="str">
        <f>Controls_Raw!A287</f>
        <v>CTRL-0283</v>
      </c>
      <c r="B287" t="str">
        <f>IF(COUNTIF(Controls_Raw!$A$5:$A$1504,A287)&gt;1,"Duplicate","OK")</f>
        <v>OK</v>
      </c>
      <c r="C287" t="str">
        <f>IF(LEN(TRIM(Controls_Raw!I287))=0,"Missing","OK")</f>
        <v>Missing</v>
      </c>
      <c r="D287" t="str">
        <f>IF(LEN(TRIM(Controls_Raw!N287))=0,"Missing","OK")</f>
        <v>OK</v>
      </c>
      <c r="E287" t="str">
        <f>IF(OR(Controls_Raw!G287="USA",Controls_Raw!G287="UK"),"Standardize","OK")</f>
        <v>OK</v>
      </c>
      <c r="F287" t="str">
        <f>IF(Controls_Raw!E287&lt;&gt;TRIM(Controls_Raw!E287),"Trim","OK")</f>
        <v>OK</v>
      </c>
      <c r="G287" t="str">
        <f>IF(AND(Controls_Raw!L287&lt;DATE(2026,9,30),Controls_Raw!M287&lt;&gt;"Completed"),"Overdue","OK")</f>
        <v>Overdue</v>
      </c>
      <c r="H287" t="str">
        <f>IF(AND(Controls_Raw!Q287&lt;DATE(2026,9,30),Controls_Raw!R287&lt;&gt;"Completed",Controls_Raw!R287&lt;&gt;"Not Required"),"Overdue","OK")</f>
        <v>Overdue</v>
      </c>
      <c r="I287" t="str">
        <f t="shared" si="4"/>
        <v>Issue</v>
      </c>
    </row>
    <row r="288" spans="1:9" x14ac:dyDescent="0.2">
      <c r="A288" t="str">
        <f>Controls_Raw!A288</f>
        <v>CTRL-0284</v>
      </c>
      <c r="B288" t="str">
        <f>IF(COUNTIF(Controls_Raw!$A$5:$A$1504,A288)&gt;1,"Duplicate","OK")</f>
        <v>OK</v>
      </c>
      <c r="C288" t="str">
        <f>IF(LEN(TRIM(Controls_Raw!I288))=0,"Missing","OK")</f>
        <v>OK</v>
      </c>
      <c r="D288" t="str">
        <f>IF(LEN(TRIM(Controls_Raw!N288))=0,"Missing","OK")</f>
        <v>OK</v>
      </c>
      <c r="E288" t="str">
        <f>IF(OR(Controls_Raw!G288="USA",Controls_Raw!G288="UK"),"Standardize","OK")</f>
        <v>OK</v>
      </c>
      <c r="F288" t="str">
        <f>IF(Controls_Raw!E288&lt;&gt;TRIM(Controls_Raw!E288),"Trim","OK")</f>
        <v>OK</v>
      </c>
      <c r="G288" t="str">
        <f>IF(AND(Controls_Raw!L288&lt;DATE(2026,9,30),Controls_Raw!M288&lt;&gt;"Completed"),"Overdue","OK")</f>
        <v>Overdue</v>
      </c>
      <c r="H288" t="str">
        <f>IF(AND(Controls_Raw!Q288&lt;DATE(2026,9,30),Controls_Raw!R288&lt;&gt;"Completed",Controls_Raw!R288&lt;&gt;"Not Required"),"Overdue","OK")</f>
        <v>OK</v>
      </c>
      <c r="I288" t="str">
        <f t="shared" si="4"/>
        <v>Issue</v>
      </c>
    </row>
    <row r="289" spans="1:9" x14ac:dyDescent="0.2">
      <c r="A289" t="str">
        <f>Controls_Raw!A289</f>
        <v>CTRL-0285</v>
      </c>
      <c r="B289" t="str">
        <f>IF(COUNTIF(Controls_Raw!$A$5:$A$1504,A289)&gt;1,"Duplicate","OK")</f>
        <v>OK</v>
      </c>
      <c r="C289" t="str">
        <f>IF(LEN(TRIM(Controls_Raw!I289))=0,"Missing","OK")</f>
        <v>OK</v>
      </c>
      <c r="D289" t="str">
        <f>IF(LEN(TRIM(Controls_Raw!N289))=0,"Missing","OK")</f>
        <v>OK</v>
      </c>
      <c r="E289" t="str">
        <f>IF(OR(Controls_Raw!G289="USA",Controls_Raw!G289="UK"),"Standardize","OK")</f>
        <v>OK</v>
      </c>
      <c r="F289" t="str">
        <f>IF(Controls_Raw!E289&lt;&gt;TRIM(Controls_Raw!E289),"Trim","OK")</f>
        <v>OK</v>
      </c>
      <c r="G289" t="str">
        <f>IF(AND(Controls_Raw!L289&lt;DATE(2026,9,30),Controls_Raw!M289&lt;&gt;"Completed"),"Overdue","OK")</f>
        <v>Overdue</v>
      </c>
      <c r="H289" t="str">
        <f>IF(AND(Controls_Raw!Q289&lt;DATE(2026,9,30),Controls_Raw!R289&lt;&gt;"Completed",Controls_Raw!R289&lt;&gt;"Not Required"),"Overdue","OK")</f>
        <v>Overdue</v>
      </c>
      <c r="I289" t="str">
        <f t="shared" si="4"/>
        <v>Issue</v>
      </c>
    </row>
    <row r="290" spans="1:9" x14ac:dyDescent="0.2">
      <c r="A290" t="str">
        <f>Controls_Raw!A290</f>
        <v>CTRL-0286</v>
      </c>
      <c r="B290" t="str">
        <f>IF(COUNTIF(Controls_Raw!$A$5:$A$1504,A290)&gt;1,"Duplicate","OK")</f>
        <v>OK</v>
      </c>
      <c r="C290" t="str">
        <f>IF(LEN(TRIM(Controls_Raw!I290))=0,"Missing","OK")</f>
        <v>OK</v>
      </c>
      <c r="D290" t="str">
        <f>IF(LEN(TRIM(Controls_Raw!N290))=0,"Missing","OK")</f>
        <v>OK</v>
      </c>
      <c r="E290" t="str">
        <f>IF(OR(Controls_Raw!G290="USA",Controls_Raw!G290="UK"),"Standardize","OK")</f>
        <v>OK</v>
      </c>
      <c r="F290" t="str">
        <f>IF(Controls_Raw!E290&lt;&gt;TRIM(Controls_Raw!E290),"Trim","OK")</f>
        <v>OK</v>
      </c>
      <c r="G290" t="str">
        <f>IF(AND(Controls_Raw!L290&lt;DATE(2026,9,30),Controls_Raw!M290&lt;&gt;"Completed"),"Overdue","OK")</f>
        <v>OK</v>
      </c>
      <c r="H290" t="str">
        <f>IF(AND(Controls_Raw!Q290&lt;DATE(2026,9,30),Controls_Raw!R290&lt;&gt;"Completed",Controls_Raw!R290&lt;&gt;"Not Required"),"Overdue","OK")</f>
        <v>OK</v>
      </c>
      <c r="I290" t="str">
        <f t="shared" si="4"/>
        <v>Pass</v>
      </c>
    </row>
    <row r="291" spans="1:9" x14ac:dyDescent="0.2">
      <c r="A291" t="str">
        <f>Controls_Raw!A291</f>
        <v>CTRL-0287</v>
      </c>
      <c r="B291" t="str">
        <f>IF(COUNTIF(Controls_Raw!$A$5:$A$1504,A291)&gt;1,"Duplicate","OK")</f>
        <v>OK</v>
      </c>
      <c r="C291" t="str">
        <f>IF(LEN(TRIM(Controls_Raw!I291))=0,"Missing","OK")</f>
        <v>OK</v>
      </c>
      <c r="D291" t="str">
        <f>IF(LEN(TRIM(Controls_Raw!N291))=0,"Missing","OK")</f>
        <v>OK</v>
      </c>
      <c r="E291" t="str">
        <f>IF(OR(Controls_Raw!G291="USA",Controls_Raw!G291="UK"),"Standardize","OK")</f>
        <v>OK</v>
      </c>
      <c r="F291" t="str">
        <f>IF(Controls_Raw!E291&lt;&gt;TRIM(Controls_Raw!E291),"Trim","OK")</f>
        <v>OK</v>
      </c>
      <c r="G291" t="str">
        <f>IF(AND(Controls_Raw!L291&lt;DATE(2026,9,30),Controls_Raw!M291&lt;&gt;"Completed"),"Overdue","OK")</f>
        <v>OK</v>
      </c>
      <c r="H291" t="str">
        <f>IF(AND(Controls_Raw!Q291&lt;DATE(2026,9,30),Controls_Raw!R291&lt;&gt;"Completed",Controls_Raw!R291&lt;&gt;"Not Required"),"Overdue","OK")</f>
        <v>OK</v>
      </c>
      <c r="I291" t="str">
        <f t="shared" si="4"/>
        <v>Pass</v>
      </c>
    </row>
    <row r="292" spans="1:9" x14ac:dyDescent="0.2">
      <c r="A292" t="str">
        <f>Controls_Raw!A292</f>
        <v>CTRL-0288</v>
      </c>
      <c r="B292" t="str">
        <f>IF(COUNTIF(Controls_Raw!$A$5:$A$1504,A292)&gt;1,"Duplicate","OK")</f>
        <v>OK</v>
      </c>
      <c r="C292" t="str">
        <f>IF(LEN(TRIM(Controls_Raw!I292))=0,"Missing","OK")</f>
        <v>OK</v>
      </c>
      <c r="D292" t="str">
        <f>IF(LEN(TRIM(Controls_Raw!N292))=0,"Missing","OK")</f>
        <v>OK</v>
      </c>
      <c r="E292" t="str">
        <f>IF(OR(Controls_Raw!G292="USA",Controls_Raw!G292="UK"),"Standardize","OK")</f>
        <v>OK</v>
      </c>
      <c r="F292" t="str">
        <f>IF(Controls_Raw!E292&lt;&gt;TRIM(Controls_Raw!E292),"Trim","OK")</f>
        <v>OK</v>
      </c>
      <c r="G292" t="str">
        <f>IF(AND(Controls_Raw!L292&lt;DATE(2026,9,30),Controls_Raw!M292&lt;&gt;"Completed"),"Overdue","OK")</f>
        <v>OK</v>
      </c>
      <c r="H292" t="str">
        <f>IF(AND(Controls_Raw!Q292&lt;DATE(2026,9,30),Controls_Raw!R292&lt;&gt;"Completed",Controls_Raw!R292&lt;&gt;"Not Required"),"Overdue","OK")</f>
        <v>OK</v>
      </c>
      <c r="I292" t="str">
        <f t="shared" si="4"/>
        <v>Pass</v>
      </c>
    </row>
    <row r="293" spans="1:9" x14ac:dyDescent="0.2">
      <c r="A293" t="str">
        <f>Controls_Raw!A293</f>
        <v>CTRL-0289</v>
      </c>
      <c r="B293" t="str">
        <f>IF(COUNTIF(Controls_Raw!$A$5:$A$1504,A293)&gt;1,"Duplicate","OK")</f>
        <v>OK</v>
      </c>
      <c r="C293" t="str">
        <f>IF(LEN(TRIM(Controls_Raw!I293))=0,"Missing","OK")</f>
        <v>OK</v>
      </c>
      <c r="D293" t="str">
        <f>IF(LEN(TRIM(Controls_Raw!N293))=0,"Missing","OK")</f>
        <v>OK</v>
      </c>
      <c r="E293" t="str">
        <f>IF(OR(Controls_Raw!G293="USA",Controls_Raw!G293="UK"),"Standardize","OK")</f>
        <v>OK</v>
      </c>
      <c r="F293" t="str">
        <f>IF(Controls_Raw!E293&lt;&gt;TRIM(Controls_Raw!E293),"Trim","OK")</f>
        <v>OK</v>
      </c>
      <c r="G293" t="str">
        <f>IF(AND(Controls_Raw!L293&lt;DATE(2026,9,30),Controls_Raw!M293&lt;&gt;"Completed"),"Overdue","OK")</f>
        <v>OK</v>
      </c>
      <c r="H293" t="str">
        <f>IF(AND(Controls_Raw!Q293&lt;DATE(2026,9,30),Controls_Raw!R293&lt;&gt;"Completed",Controls_Raw!R293&lt;&gt;"Not Required"),"Overdue","OK")</f>
        <v>OK</v>
      </c>
      <c r="I293" t="str">
        <f t="shared" si="4"/>
        <v>Pass</v>
      </c>
    </row>
    <row r="294" spans="1:9" x14ac:dyDescent="0.2">
      <c r="A294" t="str">
        <f>Controls_Raw!A294</f>
        <v>CTRL-0290</v>
      </c>
      <c r="B294" t="str">
        <f>IF(COUNTIF(Controls_Raw!$A$5:$A$1504,A294)&gt;1,"Duplicate","OK")</f>
        <v>OK</v>
      </c>
      <c r="C294" t="str">
        <f>IF(LEN(TRIM(Controls_Raw!I294))=0,"Missing","OK")</f>
        <v>OK</v>
      </c>
      <c r="D294" t="str">
        <f>IF(LEN(TRIM(Controls_Raw!N294))=0,"Missing","OK")</f>
        <v>OK</v>
      </c>
      <c r="E294" t="str">
        <f>IF(OR(Controls_Raw!G294="USA",Controls_Raw!G294="UK"),"Standardize","OK")</f>
        <v>OK</v>
      </c>
      <c r="F294" t="str">
        <f>IF(Controls_Raw!E294&lt;&gt;TRIM(Controls_Raw!E294),"Trim","OK")</f>
        <v>OK</v>
      </c>
      <c r="G294" t="str">
        <f>IF(AND(Controls_Raw!L294&lt;DATE(2026,9,30),Controls_Raw!M294&lt;&gt;"Completed"),"Overdue","OK")</f>
        <v>Overdue</v>
      </c>
      <c r="H294" t="str">
        <f>IF(AND(Controls_Raw!Q294&lt;DATE(2026,9,30),Controls_Raw!R294&lt;&gt;"Completed",Controls_Raw!R294&lt;&gt;"Not Required"),"Overdue","OK")</f>
        <v>OK</v>
      </c>
      <c r="I294" t="str">
        <f t="shared" si="4"/>
        <v>Issue</v>
      </c>
    </row>
    <row r="295" spans="1:9" x14ac:dyDescent="0.2">
      <c r="A295" t="str">
        <f>Controls_Raw!A295</f>
        <v>CTRL-0291</v>
      </c>
      <c r="B295" t="str">
        <f>IF(COUNTIF(Controls_Raw!$A$5:$A$1504,A295)&gt;1,"Duplicate","OK")</f>
        <v>OK</v>
      </c>
      <c r="C295" t="str">
        <f>IF(LEN(TRIM(Controls_Raw!I295))=0,"Missing","OK")</f>
        <v>OK</v>
      </c>
      <c r="D295" t="str">
        <f>IF(LEN(TRIM(Controls_Raw!N295))=0,"Missing","OK")</f>
        <v>OK</v>
      </c>
      <c r="E295" t="str">
        <f>IF(OR(Controls_Raw!G295="USA",Controls_Raw!G295="UK"),"Standardize","OK")</f>
        <v>OK</v>
      </c>
      <c r="F295" t="str">
        <f>IF(Controls_Raw!E295&lt;&gt;TRIM(Controls_Raw!E295),"Trim","OK")</f>
        <v>OK</v>
      </c>
      <c r="G295" t="str">
        <f>IF(AND(Controls_Raw!L295&lt;DATE(2026,9,30),Controls_Raw!M295&lt;&gt;"Completed"),"Overdue","OK")</f>
        <v>Overdue</v>
      </c>
      <c r="H295" t="str">
        <f>IF(AND(Controls_Raw!Q295&lt;DATE(2026,9,30),Controls_Raw!R295&lt;&gt;"Completed",Controls_Raw!R295&lt;&gt;"Not Required"),"Overdue","OK")</f>
        <v>OK</v>
      </c>
      <c r="I295" t="str">
        <f t="shared" si="4"/>
        <v>Issue</v>
      </c>
    </row>
    <row r="296" spans="1:9" x14ac:dyDescent="0.2">
      <c r="A296" t="str">
        <f>Controls_Raw!A296</f>
        <v>CTRL-0292</v>
      </c>
      <c r="B296" t="str">
        <f>IF(COUNTIF(Controls_Raw!$A$5:$A$1504,A296)&gt;1,"Duplicate","OK")</f>
        <v>OK</v>
      </c>
      <c r="C296" t="str">
        <f>IF(LEN(TRIM(Controls_Raw!I296))=0,"Missing","OK")</f>
        <v>OK</v>
      </c>
      <c r="D296" t="str">
        <f>IF(LEN(TRIM(Controls_Raw!N296))=0,"Missing","OK")</f>
        <v>OK</v>
      </c>
      <c r="E296" t="str">
        <f>IF(OR(Controls_Raw!G296="USA",Controls_Raw!G296="UK"),"Standardize","OK")</f>
        <v>OK</v>
      </c>
      <c r="F296" t="str">
        <f>IF(Controls_Raw!E296&lt;&gt;TRIM(Controls_Raw!E296),"Trim","OK")</f>
        <v>OK</v>
      </c>
      <c r="G296" t="str">
        <f>IF(AND(Controls_Raw!L296&lt;DATE(2026,9,30),Controls_Raw!M296&lt;&gt;"Completed"),"Overdue","OK")</f>
        <v>OK</v>
      </c>
      <c r="H296" t="str">
        <f>IF(AND(Controls_Raw!Q296&lt;DATE(2026,9,30),Controls_Raw!R296&lt;&gt;"Completed",Controls_Raw!R296&lt;&gt;"Not Required"),"Overdue","OK")</f>
        <v>OK</v>
      </c>
      <c r="I296" t="str">
        <f t="shared" si="4"/>
        <v>Pass</v>
      </c>
    </row>
    <row r="297" spans="1:9" x14ac:dyDescent="0.2">
      <c r="A297" t="str">
        <f>Controls_Raw!A297</f>
        <v>CTRL-0293</v>
      </c>
      <c r="B297" t="str">
        <f>IF(COUNTIF(Controls_Raw!$A$5:$A$1504,A297)&gt;1,"Duplicate","OK")</f>
        <v>OK</v>
      </c>
      <c r="C297" t="str">
        <f>IF(LEN(TRIM(Controls_Raw!I297))=0,"Missing","OK")</f>
        <v>OK</v>
      </c>
      <c r="D297" t="str">
        <f>IF(LEN(TRIM(Controls_Raw!N297))=0,"Missing","OK")</f>
        <v>OK</v>
      </c>
      <c r="E297" t="str">
        <f>IF(OR(Controls_Raw!G297="USA",Controls_Raw!G297="UK"),"Standardize","OK")</f>
        <v>OK</v>
      </c>
      <c r="F297" t="str">
        <f>IF(Controls_Raw!E297&lt;&gt;TRIM(Controls_Raw!E297),"Trim","OK")</f>
        <v>Trim</v>
      </c>
      <c r="G297" t="str">
        <f>IF(AND(Controls_Raw!L297&lt;DATE(2026,9,30),Controls_Raw!M297&lt;&gt;"Completed"),"Overdue","OK")</f>
        <v>OK</v>
      </c>
      <c r="H297" t="str">
        <f>IF(AND(Controls_Raw!Q297&lt;DATE(2026,9,30),Controls_Raw!R297&lt;&gt;"Completed",Controls_Raw!R297&lt;&gt;"Not Required"),"Overdue","OK")</f>
        <v>OK</v>
      </c>
      <c r="I297" t="str">
        <f t="shared" si="4"/>
        <v>Issue</v>
      </c>
    </row>
    <row r="298" spans="1:9" x14ac:dyDescent="0.2">
      <c r="A298" t="str">
        <f>Controls_Raw!A298</f>
        <v>CTRL-0294</v>
      </c>
      <c r="B298" t="str">
        <f>IF(COUNTIF(Controls_Raw!$A$5:$A$1504,A298)&gt;1,"Duplicate","OK")</f>
        <v>OK</v>
      </c>
      <c r="C298" t="str">
        <f>IF(LEN(TRIM(Controls_Raw!I298))=0,"Missing","OK")</f>
        <v>OK</v>
      </c>
      <c r="D298" t="str">
        <f>IF(LEN(TRIM(Controls_Raw!N298))=0,"Missing","OK")</f>
        <v>OK</v>
      </c>
      <c r="E298" t="str">
        <f>IF(OR(Controls_Raw!G298="USA",Controls_Raw!G298="UK"),"Standardize","OK")</f>
        <v>OK</v>
      </c>
      <c r="F298" t="str">
        <f>IF(Controls_Raw!E298&lt;&gt;TRIM(Controls_Raw!E298),"Trim","OK")</f>
        <v>OK</v>
      </c>
      <c r="G298" t="str">
        <f>IF(AND(Controls_Raw!L298&lt;DATE(2026,9,30),Controls_Raw!M298&lt;&gt;"Completed"),"Overdue","OK")</f>
        <v>Overdue</v>
      </c>
      <c r="H298" t="str">
        <f>IF(AND(Controls_Raw!Q298&lt;DATE(2026,9,30),Controls_Raw!R298&lt;&gt;"Completed",Controls_Raw!R298&lt;&gt;"Not Required"),"Overdue","OK")</f>
        <v>OK</v>
      </c>
      <c r="I298" t="str">
        <f t="shared" si="4"/>
        <v>Issue</v>
      </c>
    </row>
    <row r="299" spans="1:9" x14ac:dyDescent="0.2">
      <c r="A299" t="str">
        <f>Controls_Raw!A299</f>
        <v>CTRL-0295</v>
      </c>
      <c r="B299" t="str">
        <f>IF(COUNTIF(Controls_Raw!$A$5:$A$1504,A299)&gt;1,"Duplicate","OK")</f>
        <v>OK</v>
      </c>
      <c r="C299" t="str">
        <f>IF(LEN(TRIM(Controls_Raw!I299))=0,"Missing","OK")</f>
        <v>OK</v>
      </c>
      <c r="D299" t="str">
        <f>IF(LEN(TRIM(Controls_Raw!N299))=0,"Missing","OK")</f>
        <v>OK</v>
      </c>
      <c r="E299" t="str">
        <f>IF(OR(Controls_Raw!G299="USA",Controls_Raw!G299="UK"),"Standardize","OK")</f>
        <v>OK</v>
      </c>
      <c r="F299" t="str">
        <f>IF(Controls_Raw!E299&lt;&gt;TRIM(Controls_Raw!E299),"Trim","OK")</f>
        <v>OK</v>
      </c>
      <c r="G299" t="str">
        <f>IF(AND(Controls_Raw!L299&lt;DATE(2026,9,30),Controls_Raw!M299&lt;&gt;"Completed"),"Overdue","OK")</f>
        <v>OK</v>
      </c>
      <c r="H299" t="str">
        <f>IF(AND(Controls_Raw!Q299&lt;DATE(2026,9,30),Controls_Raw!R299&lt;&gt;"Completed",Controls_Raw!R299&lt;&gt;"Not Required"),"Overdue","OK")</f>
        <v>Overdue</v>
      </c>
      <c r="I299" t="str">
        <f t="shared" si="4"/>
        <v>Issue</v>
      </c>
    </row>
    <row r="300" spans="1:9" x14ac:dyDescent="0.2">
      <c r="A300" t="str">
        <f>Controls_Raw!A300</f>
        <v>CTRL-0296</v>
      </c>
      <c r="B300" t="str">
        <f>IF(COUNTIF(Controls_Raw!$A$5:$A$1504,A300)&gt;1,"Duplicate","OK")</f>
        <v>OK</v>
      </c>
      <c r="C300" t="str">
        <f>IF(LEN(TRIM(Controls_Raw!I300))=0,"Missing","OK")</f>
        <v>OK</v>
      </c>
      <c r="D300" t="str">
        <f>IF(LEN(TRIM(Controls_Raw!N300))=0,"Missing","OK")</f>
        <v>OK</v>
      </c>
      <c r="E300" t="str">
        <f>IF(OR(Controls_Raw!G300="USA",Controls_Raw!G300="UK"),"Standardize","OK")</f>
        <v>OK</v>
      </c>
      <c r="F300" t="str">
        <f>IF(Controls_Raw!E300&lt;&gt;TRIM(Controls_Raw!E300),"Trim","OK")</f>
        <v>OK</v>
      </c>
      <c r="G300" t="str">
        <f>IF(AND(Controls_Raw!L300&lt;DATE(2026,9,30),Controls_Raw!M300&lt;&gt;"Completed"),"Overdue","OK")</f>
        <v>OK</v>
      </c>
      <c r="H300" t="str">
        <f>IF(AND(Controls_Raw!Q300&lt;DATE(2026,9,30),Controls_Raw!R300&lt;&gt;"Completed",Controls_Raw!R300&lt;&gt;"Not Required"),"Overdue","OK")</f>
        <v>OK</v>
      </c>
      <c r="I300" t="str">
        <f t="shared" si="4"/>
        <v>Pass</v>
      </c>
    </row>
    <row r="301" spans="1:9" x14ac:dyDescent="0.2">
      <c r="A301" t="str">
        <f>Controls_Raw!A301</f>
        <v>CTRL-0297</v>
      </c>
      <c r="B301" t="str">
        <f>IF(COUNTIF(Controls_Raw!$A$5:$A$1504,A301)&gt;1,"Duplicate","OK")</f>
        <v>OK</v>
      </c>
      <c r="C301" t="str">
        <f>IF(LEN(TRIM(Controls_Raw!I301))=0,"Missing","OK")</f>
        <v>OK</v>
      </c>
      <c r="D301" t="str">
        <f>IF(LEN(TRIM(Controls_Raw!N301))=0,"Missing","OK")</f>
        <v>OK</v>
      </c>
      <c r="E301" t="str">
        <f>IF(OR(Controls_Raw!G301="USA",Controls_Raw!G301="UK"),"Standardize","OK")</f>
        <v>OK</v>
      </c>
      <c r="F301" t="str">
        <f>IF(Controls_Raw!E301&lt;&gt;TRIM(Controls_Raw!E301),"Trim","OK")</f>
        <v>OK</v>
      </c>
      <c r="G301" t="str">
        <f>IF(AND(Controls_Raw!L301&lt;DATE(2026,9,30),Controls_Raw!M301&lt;&gt;"Completed"),"Overdue","OK")</f>
        <v>Overdue</v>
      </c>
      <c r="H301" t="str">
        <f>IF(AND(Controls_Raw!Q301&lt;DATE(2026,9,30),Controls_Raw!R301&lt;&gt;"Completed",Controls_Raw!R301&lt;&gt;"Not Required"),"Overdue","OK")</f>
        <v>Overdue</v>
      </c>
      <c r="I301" t="str">
        <f t="shared" si="4"/>
        <v>Issue</v>
      </c>
    </row>
    <row r="302" spans="1:9" x14ac:dyDescent="0.2">
      <c r="A302" t="str">
        <f>Controls_Raw!A302</f>
        <v>CTRL-0298</v>
      </c>
      <c r="B302" t="str">
        <f>IF(COUNTIF(Controls_Raw!$A$5:$A$1504,A302)&gt;1,"Duplicate","OK")</f>
        <v>OK</v>
      </c>
      <c r="C302" t="str">
        <f>IF(LEN(TRIM(Controls_Raw!I302))=0,"Missing","OK")</f>
        <v>OK</v>
      </c>
      <c r="D302" t="str">
        <f>IF(LEN(TRIM(Controls_Raw!N302))=0,"Missing","OK")</f>
        <v>OK</v>
      </c>
      <c r="E302" t="str">
        <f>IF(OR(Controls_Raw!G302="USA",Controls_Raw!G302="UK"),"Standardize","OK")</f>
        <v>OK</v>
      </c>
      <c r="F302" t="str">
        <f>IF(Controls_Raw!E302&lt;&gt;TRIM(Controls_Raw!E302),"Trim","OK")</f>
        <v>OK</v>
      </c>
      <c r="G302" t="str">
        <f>IF(AND(Controls_Raw!L302&lt;DATE(2026,9,30),Controls_Raw!M302&lt;&gt;"Completed"),"Overdue","OK")</f>
        <v>Overdue</v>
      </c>
      <c r="H302" t="str">
        <f>IF(AND(Controls_Raw!Q302&lt;DATE(2026,9,30),Controls_Raw!R302&lt;&gt;"Completed",Controls_Raw!R302&lt;&gt;"Not Required"),"Overdue","OK")</f>
        <v>OK</v>
      </c>
      <c r="I302" t="str">
        <f t="shared" si="4"/>
        <v>Issue</v>
      </c>
    </row>
    <row r="303" spans="1:9" x14ac:dyDescent="0.2">
      <c r="A303" t="str">
        <f>Controls_Raw!A303</f>
        <v>CTRL-0299</v>
      </c>
      <c r="B303" t="str">
        <f>IF(COUNTIF(Controls_Raw!$A$5:$A$1504,A303)&gt;1,"Duplicate","OK")</f>
        <v>OK</v>
      </c>
      <c r="C303" t="str">
        <f>IF(LEN(TRIM(Controls_Raw!I303))=0,"Missing","OK")</f>
        <v>OK</v>
      </c>
      <c r="D303" t="str">
        <f>IF(LEN(TRIM(Controls_Raw!N303))=0,"Missing","OK")</f>
        <v>OK</v>
      </c>
      <c r="E303" t="str">
        <f>IF(OR(Controls_Raw!G303="USA",Controls_Raw!G303="UK"),"Standardize","OK")</f>
        <v>OK</v>
      </c>
      <c r="F303" t="str">
        <f>IF(Controls_Raw!E303&lt;&gt;TRIM(Controls_Raw!E303),"Trim","OK")</f>
        <v>OK</v>
      </c>
      <c r="G303" t="str">
        <f>IF(AND(Controls_Raw!L303&lt;DATE(2026,9,30),Controls_Raw!M303&lt;&gt;"Completed"),"Overdue","OK")</f>
        <v>Overdue</v>
      </c>
      <c r="H303" t="str">
        <f>IF(AND(Controls_Raw!Q303&lt;DATE(2026,9,30),Controls_Raw!R303&lt;&gt;"Completed",Controls_Raw!R303&lt;&gt;"Not Required"),"Overdue","OK")</f>
        <v>OK</v>
      </c>
      <c r="I303" t="str">
        <f t="shared" si="4"/>
        <v>Issue</v>
      </c>
    </row>
    <row r="304" spans="1:9" x14ac:dyDescent="0.2">
      <c r="A304" t="str">
        <f>Controls_Raw!A304</f>
        <v>CTRL-0300</v>
      </c>
      <c r="B304" t="str">
        <f>IF(COUNTIF(Controls_Raw!$A$5:$A$1504,A304)&gt;1,"Duplicate","OK")</f>
        <v>OK</v>
      </c>
      <c r="C304" t="str">
        <f>IF(LEN(TRIM(Controls_Raw!I304))=0,"Missing","OK")</f>
        <v>OK</v>
      </c>
      <c r="D304" t="str">
        <f>IF(LEN(TRIM(Controls_Raw!N304))=0,"Missing","OK")</f>
        <v>OK</v>
      </c>
      <c r="E304" t="str">
        <f>IF(OR(Controls_Raw!G304="USA",Controls_Raw!G304="UK"),"Standardize","OK")</f>
        <v>OK</v>
      </c>
      <c r="F304" t="str">
        <f>IF(Controls_Raw!E304&lt;&gt;TRIM(Controls_Raw!E304),"Trim","OK")</f>
        <v>OK</v>
      </c>
      <c r="G304" t="str">
        <f>IF(AND(Controls_Raw!L304&lt;DATE(2026,9,30),Controls_Raw!M304&lt;&gt;"Completed"),"Overdue","OK")</f>
        <v>Overdue</v>
      </c>
      <c r="H304" t="str">
        <f>IF(AND(Controls_Raw!Q304&lt;DATE(2026,9,30),Controls_Raw!R304&lt;&gt;"Completed",Controls_Raw!R304&lt;&gt;"Not Required"),"Overdue","OK")</f>
        <v>OK</v>
      </c>
      <c r="I304" t="str">
        <f t="shared" si="4"/>
        <v>Issue</v>
      </c>
    </row>
    <row r="305" spans="1:9" x14ac:dyDescent="0.2">
      <c r="A305" t="str">
        <f>Controls_Raw!A305</f>
        <v>CTRL-0301</v>
      </c>
      <c r="B305" t="str">
        <f>IF(COUNTIF(Controls_Raw!$A$5:$A$1504,A305)&gt;1,"Duplicate","OK")</f>
        <v>OK</v>
      </c>
      <c r="C305" t="str">
        <f>IF(LEN(TRIM(Controls_Raw!I305))=0,"Missing","OK")</f>
        <v>OK</v>
      </c>
      <c r="D305" t="str">
        <f>IF(LEN(TRIM(Controls_Raw!N305))=0,"Missing","OK")</f>
        <v>OK</v>
      </c>
      <c r="E305" t="str">
        <f>IF(OR(Controls_Raw!G305="USA",Controls_Raw!G305="UK"),"Standardize","OK")</f>
        <v>OK</v>
      </c>
      <c r="F305" t="str">
        <f>IF(Controls_Raw!E305&lt;&gt;TRIM(Controls_Raw!E305),"Trim","OK")</f>
        <v>OK</v>
      </c>
      <c r="G305" t="str">
        <f>IF(AND(Controls_Raw!L305&lt;DATE(2026,9,30),Controls_Raw!M305&lt;&gt;"Completed"),"Overdue","OK")</f>
        <v>OK</v>
      </c>
      <c r="H305" t="str">
        <f>IF(AND(Controls_Raw!Q305&lt;DATE(2026,9,30),Controls_Raw!R305&lt;&gt;"Completed",Controls_Raw!R305&lt;&gt;"Not Required"),"Overdue","OK")</f>
        <v>OK</v>
      </c>
      <c r="I305" t="str">
        <f t="shared" si="4"/>
        <v>Pass</v>
      </c>
    </row>
    <row r="306" spans="1:9" x14ac:dyDescent="0.2">
      <c r="A306" t="str">
        <f>Controls_Raw!A306</f>
        <v>CTRL-0302</v>
      </c>
      <c r="B306" t="str">
        <f>IF(COUNTIF(Controls_Raw!$A$5:$A$1504,A306)&gt;1,"Duplicate","OK")</f>
        <v>OK</v>
      </c>
      <c r="C306" t="str">
        <f>IF(LEN(TRIM(Controls_Raw!I306))=0,"Missing","OK")</f>
        <v>OK</v>
      </c>
      <c r="D306" t="str">
        <f>IF(LEN(TRIM(Controls_Raw!N306))=0,"Missing","OK")</f>
        <v>OK</v>
      </c>
      <c r="E306" t="str">
        <f>IF(OR(Controls_Raw!G306="USA",Controls_Raw!G306="UK"),"Standardize","OK")</f>
        <v>OK</v>
      </c>
      <c r="F306" t="str">
        <f>IF(Controls_Raw!E306&lt;&gt;TRIM(Controls_Raw!E306),"Trim","OK")</f>
        <v>OK</v>
      </c>
      <c r="G306" t="str">
        <f>IF(AND(Controls_Raw!L306&lt;DATE(2026,9,30),Controls_Raw!M306&lt;&gt;"Completed"),"Overdue","OK")</f>
        <v>OK</v>
      </c>
      <c r="H306" t="str">
        <f>IF(AND(Controls_Raw!Q306&lt;DATE(2026,9,30),Controls_Raw!R306&lt;&gt;"Completed",Controls_Raw!R306&lt;&gt;"Not Required"),"Overdue","OK")</f>
        <v>Overdue</v>
      </c>
      <c r="I306" t="str">
        <f t="shared" si="4"/>
        <v>Issue</v>
      </c>
    </row>
    <row r="307" spans="1:9" x14ac:dyDescent="0.2">
      <c r="A307" t="str">
        <f>Controls_Raw!A307</f>
        <v>CTRL-0303</v>
      </c>
      <c r="B307" t="str">
        <f>IF(COUNTIF(Controls_Raw!$A$5:$A$1504,A307)&gt;1,"Duplicate","OK")</f>
        <v>OK</v>
      </c>
      <c r="C307" t="str">
        <f>IF(LEN(TRIM(Controls_Raw!I307))=0,"Missing","OK")</f>
        <v>OK</v>
      </c>
      <c r="D307" t="str">
        <f>IF(LEN(TRIM(Controls_Raw!N307))=0,"Missing","OK")</f>
        <v>OK</v>
      </c>
      <c r="E307" t="str">
        <f>IF(OR(Controls_Raw!G307="USA",Controls_Raw!G307="UK"),"Standardize","OK")</f>
        <v>OK</v>
      </c>
      <c r="F307" t="str">
        <f>IF(Controls_Raw!E307&lt;&gt;TRIM(Controls_Raw!E307),"Trim","OK")</f>
        <v>OK</v>
      </c>
      <c r="G307" t="str">
        <f>IF(AND(Controls_Raw!L307&lt;DATE(2026,9,30),Controls_Raw!M307&lt;&gt;"Completed"),"Overdue","OK")</f>
        <v>OK</v>
      </c>
      <c r="H307" t="str">
        <f>IF(AND(Controls_Raw!Q307&lt;DATE(2026,9,30),Controls_Raw!R307&lt;&gt;"Completed",Controls_Raw!R307&lt;&gt;"Not Required"),"Overdue","OK")</f>
        <v>OK</v>
      </c>
      <c r="I307" t="str">
        <f t="shared" si="4"/>
        <v>Pass</v>
      </c>
    </row>
    <row r="308" spans="1:9" x14ac:dyDescent="0.2">
      <c r="A308" t="str">
        <f>Controls_Raw!A308</f>
        <v>CTRL-0304</v>
      </c>
      <c r="B308" t="str">
        <f>IF(COUNTIF(Controls_Raw!$A$5:$A$1504,A308)&gt;1,"Duplicate","OK")</f>
        <v>OK</v>
      </c>
      <c r="C308" t="str">
        <f>IF(LEN(TRIM(Controls_Raw!I308))=0,"Missing","OK")</f>
        <v>OK</v>
      </c>
      <c r="D308" t="str">
        <f>IF(LEN(TRIM(Controls_Raw!N308))=0,"Missing","OK")</f>
        <v>OK</v>
      </c>
      <c r="E308" t="str">
        <f>IF(OR(Controls_Raw!G308="USA",Controls_Raw!G308="UK"),"Standardize","OK")</f>
        <v>OK</v>
      </c>
      <c r="F308" t="str">
        <f>IF(Controls_Raw!E308&lt;&gt;TRIM(Controls_Raw!E308),"Trim","OK")</f>
        <v>OK</v>
      </c>
      <c r="G308" t="str">
        <f>IF(AND(Controls_Raw!L308&lt;DATE(2026,9,30),Controls_Raw!M308&lt;&gt;"Completed"),"Overdue","OK")</f>
        <v>Overdue</v>
      </c>
      <c r="H308" t="str">
        <f>IF(AND(Controls_Raw!Q308&lt;DATE(2026,9,30),Controls_Raw!R308&lt;&gt;"Completed",Controls_Raw!R308&lt;&gt;"Not Required"),"Overdue","OK")</f>
        <v>Overdue</v>
      </c>
      <c r="I308" t="str">
        <f t="shared" si="4"/>
        <v>Issue</v>
      </c>
    </row>
    <row r="309" spans="1:9" x14ac:dyDescent="0.2">
      <c r="A309" t="str">
        <f>Controls_Raw!A309</f>
        <v>CTRL-0305</v>
      </c>
      <c r="B309" t="str">
        <f>IF(COUNTIF(Controls_Raw!$A$5:$A$1504,A309)&gt;1,"Duplicate","OK")</f>
        <v>OK</v>
      </c>
      <c r="C309" t="str">
        <f>IF(LEN(TRIM(Controls_Raw!I309))=0,"Missing","OK")</f>
        <v>OK</v>
      </c>
      <c r="D309" t="str">
        <f>IF(LEN(TRIM(Controls_Raw!N309))=0,"Missing","OK")</f>
        <v>OK</v>
      </c>
      <c r="E309" t="str">
        <f>IF(OR(Controls_Raw!G309="USA",Controls_Raw!G309="UK"),"Standardize","OK")</f>
        <v>OK</v>
      </c>
      <c r="F309" t="str">
        <f>IF(Controls_Raw!E309&lt;&gt;TRIM(Controls_Raw!E309),"Trim","OK")</f>
        <v>OK</v>
      </c>
      <c r="G309" t="str">
        <f>IF(AND(Controls_Raw!L309&lt;DATE(2026,9,30),Controls_Raw!M309&lt;&gt;"Completed"),"Overdue","OK")</f>
        <v>Overdue</v>
      </c>
      <c r="H309" t="str">
        <f>IF(AND(Controls_Raw!Q309&lt;DATE(2026,9,30),Controls_Raw!R309&lt;&gt;"Completed",Controls_Raw!R309&lt;&gt;"Not Required"),"Overdue","OK")</f>
        <v>Overdue</v>
      </c>
      <c r="I309" t="str">
        <f t="shared" si="4"/>
        <v>Issue</v>
      </c>
    </row>
    <row r="310" spans="1:9" x14ac:dyDescent="0.2">
      <c r="A310" t="str">
        <f>Controls_Raw!A310</f>
        <v>CTRL-0306</v>
      </c>
      <c r="B310" t="str">
        <f>IF(COUNTIF(Controls_Raw!$A$5:$A$1504,A310)&gt;1,"Duplicate","OK")</f>
        <v>OK</v>
      </c>
      <c r="C310" t="str">
        <f>IF(LEN(TRIM(Controls_Raw!I310))=0,"Missing","OK")</f>
        <v>OK</v>
      </c>
      <c r="D310" t="str">
        <f>IF(LEN(TRIM(Controls_Raw!N310))=0,"Missing","OK")</f>
        <v>OK</v>
      </c>
      <c r="E310" t="str">
        <f>IF(OR(Controls_Raw!G310="USA",Controls_Raw!G310="UK"),"Standardize","OK")</f>
        <v>OK</v>
      </c>
      <c r="F310" t="str">
        <f>IF(Controls_Raw!E310&lt;&gt;TRIM(Controls_Raw!E310),"Trim","OK")</f>
        <v>OK</v>
      </c>
      <c r="G310" t="str">
        <f>IF(AND(Controls_Raw!L310&lt;DATE(2026,9,30),Controls_Raw!M310&lt;&gt;"Completed"),"Overdue","OK")</f>
        <v>OK</v>
      </c>
      <c r="H310" t="str">
        <f>IF(AND(Controls_Raw!Q310&lt;DATE(2026,9,30),Controls_Raw!R310&lt;&gt;"Completed",Controls_Raw!R310&lt;&gt;"Not Required"),"Overdue","OK")</f>
        <v>OK</v>
      </c>
      <c r="I310" t="str">
        <f t="shared" si="4"/>
        <v>Pass</v>
      </c>
    </row>
    <row r="311" spans="1:9" x14ac:dyDescent="0.2">
      <c r="A311" t="str">
        <f>Controls_Raw!A311</f>
        <v>CTRL-0307</v>
      </c>
      <c r="B311" t="str">
        <f>IF(COUNTIF(Controls_Raw!$A$5:$A$1504,A311)&gt;1,"Duplicate","OK")</f>
        <v>OK</v>
      </c>
      <c r="C311" t="str">
        <f>IF(LEN(TRIM(Controls_Raw!I311))=0,"Missing","OK")</f>
        <v>OK</v>
      </c>
      <c r="D311" t="str">
        <f>IF(LEN(TRIM(Controls_Raw!N311))=0,"Missing","OK")</f>
        <v>OK</v>
      </c>
      <c r="E311" t="str">
        <f>IF(OR(Controls_Raw!G311="USA",Controls_Raw!G311="UK"),"Standardize","OK")</f>
        <v>OK</v>
      </c>
      <c r="F311" t="str">
        <f>IF(Controls_Raw!E311&lt;&gt;TRIM(Controls_Raw!E311),"Trim","OK")</f>
        <v>OK</v>
      </c>
      <c r="G311" t="str">
        <f>IF(AND(Controls_Raw!L311&lt;DATE(2026,9,30),Controls_Raw!M311&lt;&gt;"Completed"),"Overdue","OK")</f>
        <v>Overdue</v>
      </c>
      <c r="H311" t="str">
        <f>IF(AND(Controls_Raw!Q311&lt;DATE(2026,9,30),Controls_Raw!R311&lt;&gt;"Completed",Controls_Raw!R311&lt;&gt;"Not Required"),"Overdue","OK")</f>
        <v>OK</v>
      </c>
      <c r="I311" t="str">
        <f t="shared" si="4"/>
        <v>Issue</v>
      </c>
    </row>
    <row r="312" spans="1:9" x14ac:dyDescent="0.2">
      <c r="A312" t="str">
        <f>Controls_Raw!A312</f>
        <v>CTRL-0308</v>
      </c>
      <c r="B312" t="str">
        <f>IF(COUNTIF(Controls_Raw!$A$5:$A$1504,A312)&gt;1,"Duplicate","OK")</f>
        <v>OK</v>
      </c>
      <c r="C312" t="str">
        <f>IF(LEN(TRIM(Controls_Raw!I312))=0,"Missing","OK")</f>
        <v>OK</v>
      </c>
      <c r="D312" t="str">
        <f>IF(LEN(TRIM(Controls_Raw!N312))=0,"Missing","OK")</f>
        <v>OK</v>
      </c>
      <c r="E312" t="str">
        <f>IF(OR(Controls_Raw!G312="USA",Controls_Raw!G312="UK"),"Standardize","OK")</f>
        <v>OK</v>
      </c>
      <c r="F312" t="str">
        <f>IF(Controls_Raw!E312&lt;&gt;TRIM(Controls_Raw!E312),"Trim","OK")</f>
        <v>OK</v>
      </c>
      <c r="G312" t="str">
        <f>IF(AND(Controls_Raw!L312&lt;DATE(2026,9,30),Controls_Raw!M312&lt;&gt;"Completed"),"Overdue","OK")</f>
        <v>Overdue</v>
      </c>
      <c r="H312" t="str">
        <f>IF(AND(Controls_Raw!Q312&lt;DATE(2026,9,30),Controls_Raw!R312&lt;&gt;"Completed",Controls_Raw!R312&lt;&gt;"Not Required"),"Overdue","OK")</f>
        <v>Overdue</v>
      </c>
      <c r="I312" t="str">
        <f t="shared" si="4"/>
        <v>Issue</v>
      </c>
    </row>
    <row r="313" spans="1:9" x14ac:dyDescent="0.2">
      <c r="A313" t="str">
        <f>Controls_Raw!A313</f>
        <v>CTRL-0309</v>
      </c>
      <c r="B313" t="str">
        <f>IF(COUNTIF(Controls_Raw!$A$5:$A$1504,A313)&gt;1,"Duplicate","OK")</f>
        <v>OK</v>
      </c>
      <c r="C313" t="str">
        <f>IF(LEN(TRIM(Controls_Raw!I313))=0,"Missing","OK")</f>
        <v>OK</v>
      </c>
      <c r="D313" t="str">
        <f>IF(LEN(TRIM(Controls_Raw!N313))=0,"Missing","OK")</f>
        <v>OK</v>
      </c>
      <c r="E313" t="str">
        <f>IF(OR(Controls_Raw!G313="USA",Controls_Raw!G313="UK"),"Standardize","OK")</f>
        <v>OK</v>
      </c>
      <c r="F313" t="str">
        <f>IF(Controls_Raw!E313&lt;&gt;TRIM(Controls_Raw!E313),"Trim","OK")</f>
        <v>OK</v>
      </c>
      <c r="G313" t="str">
        <f>IF(AND(Controls_Raw!L313&lt;DATE(2026,9,30),Controls_Raw!M313&lt;&gt;"Completed"),"Overdue","OK")</f>
        <v>Overdue</v>
      </c>
      <c r="H313" t="str">
        <f>IF(AND(Controls_Raw!Q313&lt;DATE(2026,9,30),Controls_Raw!R313&lt;&gt;"Completed",Controls_Raw!R313&lt;&gt;"Not Required"),"Overdue","OK")</f>
        <v>OK</v>
      </c>
      <c r="I313" t="str">
        <f t="shared" si="4"/>
        <v>Issue</v>
      </c>
    </row>
    <row r="314" spans="1:9" x14ac:dyDescent="0.2">
      <c r="A314" t="str">
        <f>Controls_Raw!A314</f>
        <v>CTRL-0310</v>
      </c>
      <c r="B314" t="str">
        <f>IF(COUNTIF(Controls_Raw!$A$5:$A$1504,A314)&gt;1,"Duplicate","OK")</f>
        <v>OK</v>
      </c>
      <c r="C314" t="str">
        <f>IF(LEN(TRIM(Controls_Raw!I314))=0,"Missing","OK")</f>
        <v>OK</v>
      </c>
      <c r="D314" t="str">
        <f>IF(LEN(TRIM(Controls_Raw!N314))=0,"Missing","OK")</f>
        <v>OK</v>
      </c>
      <c r="E314" t="str">
        <f>IF(OR(Controls_Raw!G314="USA",Controls_Raw!G314="UK"),"Standardize","OK")</f>
        <v>OK</v>
      </c>
      <c r="F314" t="str">
        <f>IF(Controls_Raw!E314&lt;&gt;TRIM(Controls_Raw!E314),"Trim","OK")</f>
        <v>OK</v>
      </c>
      <c r="G314" t="str">
        <f>IF(AND(Controls_Raw!L314&lt;DATE(2026,9,30),Controls_Raw!M314&lt;&gt;"Completed"),"Overdue","OK")</f>
        <v>Overdue</v>
      </c>
      <c r="H314" t="str">
        <f>IF(AND(Controls_Raw!Q314&lt;DATE(2026,9,30),Controls_Raw!R314&lt;&gt;"Completed",Controls_Raw!R314&lt;&gt;"Not Required"),"Overdue","OK")</f>
        <v>OK</v>
      </c>
      <c r="I314" t="str">
        <f t="shared" si="4"/>
        <v>Issue</v>
      </c>
    </row>
    <row r="315" spans="1:9" x14ac:dyDescent="0.2">
      <c r="A315" t="str">
        <f>Controls_Raw!A315</f>
        <v>CTRL-0311</v>
      </c>
      <c r="B315" t="str">
        <f>IF(COUNTIF(Controls_Raw!$A$5:$A$1504,A315)&gt;1,"Duplicate","OK")</f>
        <v>OK</v>
      </c>
      <c r="C315" t="str">
        <f>IF(LEN(TRIM(Controls_Raw!I315))=0,"Missing","OK")</f>
        <v>OK</v>
      </c>
      <c r="D315" t="str">
        <f>IF(LEN(TRIM(Controls_Raw!N315))=0,"Missing","OK")</f>
        <v>OK</v>
      </c>
      <c r="E315" t="str">
        <f>IF(OR(Controls_Raw!G315="USA",Controls_Raw!G315="UK"),"Standardize","OK")</f>
        <v>OK</v>
      </c>
      <c r="F315" t="str">
        <f>IF(Controls_Raw!E315&lt;&gt;TRIM(Controls_Raw!E315),"Trim","OK")</f>
        <v>OK</v>
      </c>
      <c r="G315" t="str">
        <f>IF(AND(Controls_Raw!L315&lt;DATE(2026,9,30),Controls_Raw!M315&lt;&gt;"Completed"),"Overdue","OK")</f>
        <v>OK</v>
      </c>
      <c r="H315" t="str">
        <f>IF(AND(Controls_Raw!Q315&lt;DATE(2026,9,30),Controls_Raw!R315&lt;&gt;"Completed",Controls_Raw!R315&lt;&gt;"Not Required"),"Overdue","OK")</f>
        <v>OK</v>
      </c>
      <c r="I315" t="str">
        <f t="shared" si="4"/>
        <v>Pass</v>
      </c>
    </row>
    <row r="316" spans="1:9" x14ac:dyDescent="0.2">
      <c r="A316" t="str">
        <f>Controls_Raw!A316</f>
        <v>CTRL-0312</v>
      </c>
      <c r="B316" t="str">
        <f>IF(COUNTIF(Controls_Raw!$A$5:$A$1504,A316)&gt;1,"Duplicate","OK")</f>
        <v>OK</v>
      </c>
      <c r="C316" t="str">
        <f>IF(LEN(TRIM(Controls_Raw!I316))=0,"Missing","OK")</f>
        <v>OK</v>
      </c>
      <c r="D316" t="str">
        <f>IF(LEN(TRIM(Controls_Raw!N316))=0,"Missing","OK")</f>
        <v>OK</v>
      </c>
      <c r="E316" t="str">
        <f>IF(OR(Controls_Raw!G316="USA",Controls_Raw!G316="UK"),"Standardize","OK")</f>
        <v>OK</v>
      </c>
      <c r="F316" t="str">
        <f>IF(Controls_Raw!E316&lt;&gt;TRIM(Controls_Raw!E316),"Trim","OK")</f>
        <v>OK</v>
      </c>
      <c r="G316" t="str">
        <f>IF(AND(Controls_Raw!L316&lt;DATE(2026,9,30),Controls_Raw!M316&lt;&gt;"Completed"),"Overdue","OK")</f>
        <v>Overdue</v>
      </c>
      <c r="H316" t="str">
        <f>IF(AND(Controls_Raw!Q316&lt;DATE(2026,9,30),Controls_Raw!R316&lt;&gt;"Completed",Controls_Raw!R316&lt;&gt;"Not Required"),"Overdue","OK")</f>
        <v>OK</v>
      </c>
      <c r="I316" t="str">
        <f t="shared" si="4"/>
        <v>Issue</v>
      </c>
    </row>
    <row r="317" spans="1:9" x14ac:dyDescent="0.2">
      <c r="A317" t="str">
        <f>Controls_Raw!A317</f>
        <v>CTRL-0313</v>
      </c>
      <c r="B317" t="str">
        <f>IF(COUNTIF(Controls_Raw!$A$5:$A$1504,A317)&gt;1,"Duplicate","OK")</f>
        <v>OK</v>
      </c>
      <c r="C317" t="str">
        <f>IF(LEN(TRIM(Controls_Raw!I317))=0,"Missing","OK")</f>
        <v>OK</v>
      </c>
      <c r="D317" t="str">
        <f>IF(LEN(TRIM(Controls_Raw!N317))=0,"Missing","OK")</f>
        <v>OK</v>
      </c>
      <c r="E317" t="str">
        <f>IF(OR(Controls_Raw!G317="USA",Controls_Raw!G317="UK"),"Standardize","OK")</f>
        <v>OK</v>
      </c>
      <c r="F317" t="str">
        <f>IF(Controls_Raw!E317&lt;&gt;TRIM(Controls_Raw!E317),"Trim","OK")</f>
        <v>OK</v>
      </c>
      <c r="G317" t="str">
        <f>IF(AND(Controls_Raw!L317&lt;DATE(2026,9,30),Controls_Raw!M317&lt;&gt;"Completed"),"Overdue","OK")</f>
        <v>Overdue</v>
      </c>
      <c r="H317" t="str">
        <f>IF(AND(Controls_Raw!Q317&lt;DATE(2026,9,30),Controls_Raw!R317&lt;&gt;"Completed",Controls_Raw!R317&lt;&gt;"Not Required"),"Overdue","OK")</f>
        <v>OK</v>
      </c>
      <c r="I317" t="str">
        <f t="shared" si="4"/>
        <v>Issue</v>
      </c>
    </row>
    <row r="318" spans="1:9" x14ac:dyDescent="0.2">
      <c r="A318" t="str">
        <f>Controls_Raw!A318</f>
        <v>CTRL-0314</v>
      </c>
      <c r="B318" t="str">
        <f>IF(COUNTIF(Controls_Raw!$A$5:$A$1504,A318)&gt;1,"Duplicate","OK")</f>
        <v>OK</v>
      </c>
      <c r="C318" t="str">
        <f>IF(LEN(TRIM(Controls_Raw!I318))=0,"Missing","OK")</f>
        <v>OK</v>
      </c>
      <c r="D318" t="str">
        <f>IF(LEN(TRIM(Controls_Raw!N318))=0,"Missing","OK")</f>
        <v>OK</v>
      </c>
      <c r="E318" t="str">
        <f>IF(OR(Controls_Raw!G318="USA",Controls_Raw!G318="UK"),"Standardize","OK")</f>
        <v>OK</v>
      </c>
      <c r="F318" t="str">
        <f>IF(Controls_Raw!E318&lt;&gt;TRIM(Controls_Raw!E318),"Trim","OK")</f>
        <v>OK</v>
      </c>
      <c r="G318" t="str">
        <f>IF(AND(Controls_Raw!L318&lt;DATE(2026,9,30),Controls_Raw!M318&lt;&gt;"Completed"),"Overdue","OK")</f>
        <v>OK</v>
      </c>
      <c r="H318" t="str">
        <f>IF(AND(Controls_Raw!Q318&lt;DATE(2026,9,30),Controls_Raw!R318&lt;&gt;"Completed",Controls_Raw!R318&lt;&gt;"Not Required"),"Overdue","OK")</f>
        <v>OK</v>
      </c>
      <c r="I318" t="str">
        <f t="shared" si="4"/>
        <v>Pass</v>
      </c>
    </row>
    <row r="319" spans="1:9" x14ac:dyDescent="0.2">
      <c r="A319" t="str">
        <f>Controls_Raw!A319</f>
        <v>CTRL-0315</v>
      </c>
      <c r="B319" t="str">
        <f>IF(COUNTIF(Controls_Raw!$A$5:$A$1504,A319)&gt;1,"Duplicate","OK")</f>
        <v>OK</v>
      </c>
      <c r="C319" t="str">
        <f>IF(LEN(TRIM(Controls_Raw!I319))=0,"Missing","OK")</f>
        <v>OK</v>
      </c>
      <c r="D319" t="str">
        <f>IF(LEN(TRIM(Controls_Raw!N319))=0,"Missing","OK")</f>
        <v>OK</v>
      </c>
      <c r="E319" t="str">
        <f>IF(OR(Controls_Raw!G319="USA",Controls_Raw!G319="UK"),"Standardize","OK")</f>
        <v>OK</v>
      </c>
      <c r="F319" t="str">
        <f>IF(Controls_Raw!E319&lt;&gt;TRIM(Controls_Raw!E319),"Trim","OK")</f>
        <v>OK</v>
      </c>
      <c r="G319" t="str">
        <f>IF(AND(Controls_Raw!L319&lt;DATE(2026,9,30),Controls_Raw!M319&lt;&gt;"Completed"),"Overdue","OK")</f>
        <v>Overdue</v>
      </c>
      <c r="H319" t="str">
        <f>IF(AND(Controls_Raw!Q319&lt;DATE(2026,9,30),Controls_Raw!R319&lt;&gt;"Completed",Controls_Raw!R319&lt;&gt;"Not Required"),"Overdue","OK")</f>
        <v>OK</v>
      </c>
      <c r="I319" t="str">
        <f t="shared" si="4"/>
        <v>Issue</v>
      </c>
    </row>
    <row r="320" spans="1:9" x14ac:dyDescent="0.2">
      <c r="A320" t="str">
        <f>Controls_Raw!A320</f>
        <v>CTRL-0316</v>
      </c>
      <c r="B320" t="str">
        <f>IF(COUNTIF(Controls_Raw!$A$5:$A$1504,A320)&gt;1,"Duplicate","OK")</f>
        <v>OK</v>
      </c>
      <c r="C320" t="str">
        <f>IF(LEN(TRIM(Controls_Raw!I320))=0,"Missing","OK")</f>
        <v>OK</v>
      </c>
      <c r="D320" t="str">
        <f>IF(LEN(TRIM(Controls_Raw!N320))=0,"Missing","OK")</f>
        <v>OK</v>
      </c>
      <c r="E320" t="str">
        <f>IF(OR(Controls_Raw!G320="USA",Controls_Raw!G320="UK"),"Standardize","OK")</f>
        <v>OK</v>
      </c>
      <c r="F320" t="str">
        <f>IF(Controls_Raw!E320&lt;&gt;TRIM(Controls_Raw!E320),"Trim","OK")</f>
        <v>OK</v>
      </c>
      <c r="G320" t="str">
        <f>IF(AND(Controls_Raw!L320&lt;DATE(2026,9,30),Controls_Raw!M320&lt;&gt;"Completed"),"Overdue","OK")</f>
        <v>Overdue</v>
      </c>
      <c r="H320" t="str">
        <f>IF(AND(Controls_Raw!Q320&lt;DATE(2026,9,30),Controls_Raw!R320&lt;&gt;"Completed",Controls_Raw!R320&lt;&gt;"Not Required"),"Overdue","OK")</f>
        <v>OK</v>
      </c>
      <c r="I320" t="str">
        <f t="shared" si="4"/>
        <v>Issue</v>
      </c>
    </row>
    <row r="321" spans="1:9" x14ac:dyDescent="0.2">
      <c r="A321" t="str">
        <f>Controls_Raw!A321</f>
        <v>CTRL-0317</v>
      </c>
      <c r="B321" t="str">
        <f>IF(COUNTIF(Controls_Raw!$A$5:$A$1504,A321)&gt;1,"Duplicate","OK")</f>
        <v>OK</v>
      </c>
      <c r="C321" t="str">
        <f>IF(LEN(TRIM(Controls_Raw!I321))=0,"Missing","OK")</f>
        <v>OK</v>
      </c>
      <c r="D321" t="str">
        <f>IF(LEN(TRIM(Controls_Raw!N321))=0,"Missing","OK")</f>
        <v>OK</v>
      </c>
      <c r="E321" t="str">
        <f>IF(OR(Controls_Raw!G321="USA",Controls_Raw!G321="UK"),"Standardize","OK")</f>
        <v>OK</v>
      </c>
      <c r="F321" t="str">
        <f>IF(Controls_Raw!E321&lt;&gt;TRIM(Controls_Raw!E321),"Trim","OK")</f>
        <v>OK</v>
      </c>
      <c r="G321" t="str">
        <f>IF(AND(Controls_Raw!L321&lt;DATE(2026,9,30),Controls_Raw!M321&lt;&gt;"Completed"),"Overdue","OK")</f>
        <v>OK</v>
      </c>
      <c r="H321" t="str">
        <f>IF(AND(Controls_Raw!Q321&lt;DATE(2026,9,30),Controls_Raw!R321&lt;&gt;"Completed",Controls_Raw!R321&lt;&gt;"Not Required"),"Overdue","OK")</f>
        <v>OK</v>
      </c>
      <c r="I321" t="str">
        <f t="shared" si="4"/>
        <v>Pass</v>
      </c>
    </row>
    <row r="322" spans="1:9" x14ac:dyDescent="0.2">
      <c r="A322" t="str">
        <f>Controls_Raw!A322</f>
        <v>CTRL-0318</v>
      </c>
      <c r="B322" t="str">
        <f>IF(COUNTIF(Controls_Raw!$A$5:$A$1504,A322)&gt;1,"Duplicate","OK")</f>
        <v>OK</v>
      </c>
      <c r="C322" t="str">
        <f>IF(LEN(TRIM(Controls_Raw!I322))=0,"Missing","OK")</f>
        <v>OK</v>
      </c>
      <c r="D322" t="str">
        <f>IF(LEN(TRIM(Controls_Raw!N322))=0,"Missing","OK")</f>
        <v>OK</v>
      </c>
      <c r="E322" t="str">
        <f>IF(OR(Controls_Raw!G322="USA",Controls_Raw!G322="UK"),"Standardize","OK")</f>
        <v>OK</v>
      </c>
      <c r="F322" t="str">
        <f>IF(Controls_Raw!E322&lt;&gt;TRIM(Controls_Raw!E322),"Trim","OK")</f>
        <v>OK</v>
      </c>
      <c r="G322" t="str">
        <f>IF(AND(Controls_Raw!L322&lt;DATE(2026,9,30),Controls_Raw!M322&lt;&gt;"Completed"),"Overdue","OK")</f>
        <v>Overdue</v>
      </c>
      <c r="H322" t="str">
        <f>IF(AND(Controls_Raw!Q322&lt;DATE(2026,9,30),Controls_Raw!R322&lt;&gt;"Completed",Controls_Raw!R322&lt;&gt;"Not Required"),"Overdue","OK")</f>
        <v>OK</v>
      </c>
      <c r="I322" t="str">
        <f t="shared" si="4"/>
        <v>Issue</v>
      </c>
    </row>
    <row r="323" spans="1:9" x14ac:dyDescent="0.2">
      <c r="A323" t="str">
        <f>Controls_Raw!A323</f>
        <v>CTRL-0319</v>
      </c>
      <c r="B323" t="str">
        <f>IF(COUNTIF(Controls_Raw!$A$5:$A$1504,A323)&gt;1,"Duplicate","OK")</f>
        <v>OK</v>
      </c>
      <c r="C323" t="str">
        <f>IF(LEN(TRIM(Controls_Raw!I323))=0,"Missing","OK")</f>
        <v>OK</v>
      </c>
      <c r="D323" t="str">
        <f>IF(LEN(TRIM(Controls_Raw!N323))=0,"Missing","OK")</f>
        <v>OK</v>
      </c>
      <c r="E323" t="str">
        <f>IF(OR(Controls_Raw!G323="USA",Controls_Raw!G323="UK"),"Standardize","OK")</f>
        <v>OK</v>
      </c>
      <c r="F323" t="str">
        <f>IF(Controls_Raw!E323&lt;&gt;TRIM(Controls_Raw!E323),"Trim","OK")</f>
        <v>OK</v>
      </c>
      <c r="G323" t="str">
        <f>IF(AND(Controls_Raw!L323&lt;DATE(2026,9,30),Controls_Raw!M323&lt;&gt;"Completed"),"Overdue","OK")</f>
        <v>Overdue</v>
      </c>
      <c r="H323" t="str">
        <f>IF(AND(Controls_Raw!Q323&lt;DATE(2026,9,30),Controls_Raw!R323&lt;&gt;"Completed",Controls_Raw!R323&lt;&gt;"Not Required"),"Overdue","OK")</f>
        <v>Overdue</v>
      </c>
      <c r="I323" t="str">
        <f t="shared" si="4"/>
        <v>Issue</v>
      </c>
    </row>
    <row r="324" spans="1:9" x14ac:dyDescent="0.2">
      <c r="A324" t="str">
        <f>Controls_Raw!A324</f>
        <v>CTRL-0320</v>
      </c>
      <c r="B324" t="str">
        <f>IF(COUNTIF(Controls_Raw!$A$5:$A$1504,A324)&gt;1,"Duplicate","OK")</f>
        <v>OK</v>
      </c>
      <c r="C324" t="str">
        <f>IF(LEN(TRIM(Controls_Raw!I324))=0,"Missing","OK")</f>
        <v>OK</v>
      </c>
      <c r="D324" t="str">
        <f>IF(LEN(TRIM(Controls_Raw!N324))=0,"Missing","OK")</f>
        <v>OK</v>
      </c>
      <c r="E324" t="str">
        <f>IF(OR(Controls_Raw!G324="USA",Controls_Raw!G324="UK"),"Standardize","OK")</f>
        <v>OK</v>
      </c>
      <c r="F324" t="str">
        <f>IF(Controls_Raw!E324&lt;&gt;TRIM(Controls_Raw!E324),"Trim","OK")</f>
        <v>OK</v>
      </c>
      <c r="G324" t="str">
        <f>IF(AND(Controls_Raw!L324&lt;DATE(2026,9,30),Controls_Raw!M324&lt;&gt;"Completed"),"Overdue","OK")</f>
        <v>OK</v>
      </c>
      <c r="H324" t="str">
        <f>IF(AND(Controls_Raw!Q324&lt;DATE(2026,9,30),Controls_Raw!R324&lt;&gt;"Completed",Controls_Raw!R324&lt;&gt;"Not Required"),"Overdue","OK")</f>
        <v>Overdue</v>
      </c>
      <c r="I324" t="str">
        <f t="shared" si="4"/>
        <v>Issue</v>
      </c>
    </row>
    <row r="325" spans="1:9" x14ac:dyDescent="0.2">
      <c r="A325" t="str">
        <f>Controls_Raw!A325</f>
        <v>CTRL-0321</v>
      </c>
      <c r="B325" t="str">
        <f>IF(COUNTIF(Controls_Raw!$A$5:$A$1504,A325)&gt;1,"Duplicate","OK")</f>
        <v>OK</v>
      </c>
      <c r="C325" t="str">
        <f>IF(LEN(TRIM(Controls_Raw!I325))=0,"Missing","OK")</f>
        <v>OK</v>
      </c>
      <c r="D325" t="str">
        <f>IF(LEN(TRIM(Controls_Raw!N325))=0,"Missing","OK")</f>
        <v>OK</v>
      </c>
      <c r="E325" t="str">
        <f>IF(OR(Controls_Raw!G325="USA",Controls_Raw!G325="UK"),"Standardize","OK")</f>
        <v>OK</v>
      </c>
      <c r="F325" t="str">
        <f>IF(Controls_Raw!E325&lt;&gt;TRIM(Controls_Raw!E325),"Trim","OK")</f>
        <v>OK</v>
      </c>
      <c r="G325" t="str">
        <f>IF(AND(Controls_Raw!L325&lt;DATE(2026,9,30),Controls_Raw!M325&lt;&gt;"Completed"),"Overdue","OK")</f>
        <v>Overdue</v>
      </c>
      <c r="H325" t="str">
        <f>IF(AND(Controls_Raw!Q325&lt;DATE(2026,9,30),Controls_Raw!R325&lt;&gt;"Completed",Controls_Raw!R325&lt;&gt;"Not Required"),"Overdue","OK")</f>
        <v>Overdue</v>
      </c>
      <c r="I325" t="str">
        <f t="shared" ref="I325:I388" si="5">IF(COUNTIF(B325:H325,"&lt;&gt;OK")&gt;0,"Issue","Pass")</f>
        <v>Issue</v>
      </c>
    </row>
    <row r="326" spans="1:9" x14ac:dyDescent="0.2">
      <c r="A326" t="str">
        <f>Controls_Raw!A326</f>
        <v>CTRL-0322</v>
      </c>
      <c r="B326" t="str">
        <f>IF(COUNTIF(Controls_Raw!$A$5:$A$1504,A326)&gt;1,"Duplicate","OK")</f>
        <v>OK</v>
      </c>
      <c r="C326" t="str">
        <f>IF(LEN(TRIM(Controls_Raw!I326))=0,"Missing","OK")</f>
        <v>OK</v>
      </c>
      <c r="D326" t="str">
        <f>IF(LEN(TRIM(Controls_Raw!N326))=0,"Missing","OK")</f>
        <v>OK</v>
      </c>
      <c r="E326" t="str">
        <f>IF(OR(Controls_Raw!G326="USA",Controls_Raw!G326="UK"),"Standardize","OK")</f>
        <v>OK</v>
      </c>
      <c r="F326" t="str">
        <f>IF(Controls_Raw!E326&lt;&gt;TRIM(Controls_Raw!E326),"Trim","OK")</f>
        <v>OK</v>
      </c>
      <c r="G326" t="str">
        <f>IF(AND(Controls_Raw!L326&lt;DATE(2026,9,30),Controls_Raw!M326&lt;&gt;"Completed"),"Overdue","OK")</f>
        <v>OK</v>
      </c>
      <c r="H326" t="str">
        <f>IF(AND(Controls_Raw!Q326&lt;DATE(2026,9,30),Controls_Raw!R326&lt;&gt;"Completed",Controls_Raw!R326&lt;&gt;"Not Required"),"Overdue","OK")</f>
        <v>Overdue</v>
      </c>
      <c r="I326" t="str">
        <f t="shared" si="5"/>
        <v>Issue</v>
      </c>
    </row>
    <row r="327" spans="1:9" x14ac:dyDescent="0.2">
      <c r="A327" t="str">
        <f>Controls_Raw!A327</f>
        <v>CTRL-0323</v>
      </c>
      <c r="B327" t="str">
        <f>IF(COUNTIF(Controls_Raw!$A$5:$A$1504,A327)&gt;1,"Duplicate","OK")</f>
        <v>OK</v>
      </c>
      <c r="C327" t="str">
        <f>IF(LEN(TRIM(Controls_Raw!I327))=0,"Missing","OK")</f>
        <v>OK</v>
      </c>
      <c r="D327" t="str">
        <f>IF(LEN(TRIM(Controls_Raw!N327))=0,"Missing","OK")</f>
        <v>OK</v>
      </c>
      <c r="E327" t="str">
        <f>IF(OR(Controls_Raw!G327="USA",Controls_Raw!G327="UK"),"Standardize","OK")</f>
        <v>OK</v>
      </c>
      <c r="F327" t="str">
        <f>IF(Controls_Raw!E327&lt;&gt;TRIM(Controls_Raw!E327),"Trim","OK")</f>
        <v>OK</v>
      </c>
      <c r="G327" t="str">
        <f>IF(AND(Controls_Raw!L327&lt;DATE(2026,9,30),Controls_Raw!M327&lt;&gt;"Completed"),"Overdue","OK")</f>
        <v>Overdue</v>
      </c>
      <c r="H327" t="str">
        <f>IF(AND(Controls_Raw!Q327&lt;DATE(2026,9,30),Controls_Raw!R327&lt;&gt;"Completed",Controls_Raw!R327&lt;&gt;"Not Required"),"Overdue","OK")</f>
        <v>OK</v>
      </c>
      <c r="I327" t="str">
        <f t="shared" si="5"/>
        <v>Issue</v>
      </c>
    </row>
    <row r="328" spans="1:9" x14ac:dyDescent="0.2">
      <c r="A328" t="str">
        <f>Controls_Raw!A328</f>
        <v>CTRL-0324</v>
      </c>
      <c r="B328" t="str">
        <f>IF(COUNTIF(Controls_Raw!$A$5:$A$1504,A328)&gt;1,"Duplicate","OK")</f>
        <v>OK</v>
      </c>
      <c r="C328" t="str">
        <f>IF(LEN(TRIM(Controls_Raw!I328))=0,"Missing","OK")</f>
        <v>OK</v>
      </c>
      <c r="D328" t="str">
        <f>IF(LEN(TRIM(Controls_Raw!N328))=0,"Missing","OK")</f>
        <v>OK</v>
      </c>
      <c r="E328" t="str">
        <f>IF(OR(Controls_Raw!G328="USA",Controls_Raw!G328="UK"),"Standardize","OK")</f>
        <v>OK</v>
      </c>
      <c r="F328" t="str">
        <f>IF(Controls_Raw!E328&lt;&gt;TRIM(Controls_Raw!E328),"Trim","OK")</f>
        <v>OK</v>
      </c>
      <c r="G328" t="str">
        <f>IF(AND(Controls_Raw!L328&lt;DATE(2026,9,30),Controls_Raw!M328&lt;&gt;"Completed"),"Overdue","OK")</f>
        <v>Overdue</v>
      </c>
      <c r="H328" t="str">
        <f>IF(AND(Controls_Raw!Q328&lt;DATE(2026,9,30),Controls_Raw!R328&lt;&gt;"Completed",Controls_Raw!R328&lt;&gt;"Not Required"),"Overdue","OK")</f>
        <v>OK</v>
      </c>
      <c r="I328" t="str">
        <f t="shared" si="5"/>
        <v>Issue</v>
      </c>
    </row>
    <row r="329" spans="1:9" x14ac:dyDescent="0.2">
      <c r="A329" t="str">
        <f>Controls_Raw!A329</f>
        <v>CTRL-0325</v>
      </c>
      <c r="B329" t="str">
        <f>IF(COUNTIF(Controls_Raw!$A$5:$A$1504,A329)&gt;1,"Duplicate","OK")</f>
        <v>OK</v>
      </c>
      <c r="C329" t="str">
        <f>IF(LEN(TRIM(Controls_Raw!I329))=0,"Missing","OK")</f>
        <v>OK</v>
      </c>
      <c r="D329" t="str">
        <f>IF(LEN(TRIM(Controls_Raw!N329))=0,"Missing","OK")</f>
        <v>OK</v>
      </c>
      <c r="E329" t="str">
        <f>IF(OR(Controls_Raw!G329="USA",Controls_Raw!G329="UK"),"Standardize","OK")</f>
        <v>OK</v>
      </c>
      <c r="F329" t="str">
        <f>IF(Controls_Raw!E329&lt;&gt;TRIM(Controls_Raw!E329),"Trim","OK")</f>
        <v>OK</v>
      </c>
      <c r="G329" t="str">
        <f>IF(AND(Controls_Raw!L329&lt;DATE(2026,9,30),Controls_Raw!M329&lt;&gt;"Completed"),"Overdue","OK")</f>
        <v>OK</v>
      </c>
      <c r="H329" t="str">
        <f>IF(AND(Controls_Raw!Q329&lt;DATE(2026,9,30),Controls_Raw!R329&lt;&gt;"Completed",Controls_Raw!R329&lt;&gt;"Not Required"),"Overdue","OK")</f>
        <v>OK</v>
      </c>
      <c r="I329" t="str">
        <f t="shared" si="5"/>
        <v>Pass</v>
      </c>
    </row>
    <row r="330" spans="1:9" x14ac:dyDescent="0.2">
      <c r="A330" t="str">
        <f>Controls_Raw!A330</f>
        <v>CTRL-0326</v>
      </c>
      <c r="B330" t="str">
        <f>IF(COUNTIF(Controls_Raw!$A$5:$A$1504,A330)&gt;1,"Duplicate","OK")</f>
        <v>OK</v>
      </c>
      <c r="C330" t="str">
        <f>IF(LEN(TRIM(Controls_Raw!I330))=0,"Missing","OK")</f>
        <v>OK</v>
      </c>
      <c r="D330" t="str">
        <f>IF(LEN(TRIM(Controls_Raw!N330))=0,"Missing","OK")</f>
        <v>OK</v>
      </c>
      <c r="E330" t="str">
        <f>IF(OR(Controls_Raw!G330="USA",Controls_Raw!G330="UK"),"Standardize","OK")</f>
        <v>OK</v>
      </c>
      <c r="F330" t="str">
        <f>IF(Controls_Raw!E330&lt;&gt;TRIM(Controls_Raw!E330),"Trim","OK")</f>
        <v>OK</v>
      </c>
      <c r="G330" t="str">
        <f>IF(AND(Controls_Raw!L330&lt;DATE(2026,9,30),Controls_Raw!M330&lt;&gt;"Completed"),"Overdue","OK")</f>
        <v>OK</v>
      </c>
      <c r="H330" t="str">
        <f>IF(AND(Controls_Raw!Q330&lt;DATE(2026,9,30),Controls_Raw!R330&lt;&gt;"Completed",Controls_Raw!R330&lt;&gt;"Not Required"),"Overdue","OK")</f>
        <v>OK</v>
      </c>
      <c r="I330" t="str">
        <f t="shared" si="5"/>
        <v>Pass</v>
      </c>
    </row>
    <row r="331" spans="1:9" x14ac:dyDescent="0.2">
      <c r="A331" t="str">
        <f>Controls_Raw!A331</f>
        <v>CTRL-0327</v>
      </c>
      <c r="B331" t="str">
        <f>IF(COUNTIF(Controls_Raw!$A$5:$A$1504,A331)&gt;1,"Duplicate","OK")</f>
        <v>OK</v>
      </c>
      <c r="C331" t="str">
        <f>IF(LEN(TRIM(Controls_Raw!I331))=0,"Missing","OK")</f>
        <v>OK</v>
      </c>
      <c r="D331" t="str">
        <f>IF(LEN(TRIM(Controls_Raw!N331))=0,"Missing","OK")</f>
        <v>OK</v>
      </c>
      <c r="E331" t="str">
        <f>IF(OR(Controls_Raw!G331="USA",Controls_Raw!G331="UK"),"Standardize","OK")</f>
        <v>OK</v>
      </c>
      <c r="F331" t="str">
        <f>IF(Controls_Raw!E331&lt;&gt;TRIM(Controls_Raw!E331),"Trim","OK")</f>
        <v>OK</v>
      </c>
      <c r="G331" t="str">
        <f>IF(AND(Controls_Raw!L331&lt;DATE(2026,9,30),Controls_Raw!M331&lt;&gt;"Completed"),"Overdue","OK")</f>
        <v>Overdue</v>
      </c>
      <c r="H331" t="str">
        <f>IF(AND(Controls_Raw!Q331&lt;DATE(2026,9,30),Controls_Raw!R331&lt;&gt;"Completed",Controls_Raw!R331&lt;&gt;"Not Required"),"Overdue","OK")</f>
        <v>Overdue</v>
      </c>
      <c r="I331" t="str">
        <f t="shared" si="5"/>
        <v>Issue</v>
      </c>
    </row>
    <row r="332" spans="1:9" x14ac:dyDescent="0.2">
      <c r="A332" t="str">
        <f>Controls_Raw!A332</f>
        <v>CTRL-0328</v>
      </c>
      <c r="B332" t="str">
        <f>IF(COUNTIF(Controls_Raw!$A$5:$A$1504,A332)&gt;1,"Duplicate","OK")</f>
        <v>OK</v>
      </c>
      <c r="C332" t="str">
        <f>IF(LEN(TRIM(Controls_Raw!I332))=0,"Missing","OK")</f>
        <v>OK</v>
      </c>
      <c r="D332" t="str">
        <f>IF(LEN(TRIM(Controls_Raw!N332))=0,"Missing","OK")</f>
        <v>OK</v>
      </c>
      <c r="E332" t="str">
        <f>IF(OR(Controls_Raw!G332="USA",Controls_Raw!G332="UK"),"Standardize","OK")</f>
        <v>OK</v>
      </c>
      <c r="F332" t="str">
        <f>IF(Controls_Raw!E332&lt;&gt;TRIM(Controls_Raw!E332),"Trim","OK")</f>
        <v>OK</v>
      </c>
      <c r="G332" t="str">
        <f>IF(AND(Controls_Raw!L332&lt;DATE(2026,9,30),Controls_Raw!M332&lt;&gt;"Completed"),"Overdue","OK")</f>
        <v>Overdue</v>
      </c>
      <c r="H332" t="str">
        <f>IF(AND(Controls_Raw!Q332&lt;DATE(2026,9,30),Controls_Raw!R332&lt;&gt;"Completed",Controls_Raw!R332&lt;&gt;"Not Required"),"Overdue","OK")</f>
        <v>OK</v>
      </c>
      <c r="I332" t="str">
        <f t="shared" si="5"/>
        <v>Issue</v>
      </c>
    </row>
    <row r="333" spans="1:9" x14ac:dyDescent="0.2">
      <c r="A333" t="str">
        <f>Controls_Raw!A333</f>
        <v>CTRL-0329</v>
      </c>
      <c r="B333" t="str">
        <f>IF(COUNTIF(Controls_Raw!$A$5:$A$1504,A333)&gt;1,"Duplicate","OK")</f>
        <v>OK</v>
      </c>
      <c r="C333" t="str">
        <f>IF(LEN(TRIM(Controls_Raw!I333))=0,"Missing","OK")</f>
        <v>OK</v>
      </c>
      <c r="D333" t="str">
        <f>IF(LEN(TRIM(Controls_Raw!N333))=0,"Missing","OK")</f>
        <v>OK</v>
      </c>
      <c r="E333" t="str">
        <f>IF(OR(Controls_Raw!G333="USA",Controls_Raw!G333="UK"),"Standardize","OK")</f>
        <v>OK</v>
      </c>
      <c r="F333" t="str">
        <f>IF(Controls_Raw!E333&lt;&gt;TRIM(Controls_Raw!E333),"Trim","OK")</f>
        <v>OK</v>
      </c>
      <c r="G333" t="str">
        <f>IF(AND(Controls_Raw!L333&lt;DATE(2026,9,30),Controls_Raw!M333&lt;&gt;"Completed"),"Overdue","OK")</f>
        <v>Overdue</v>
      </c>
      <c r="H333" t="str">
        <f>IF(AND(Controls_Raw!Q333&lt;DATE(2026,9,30),Controls_Raw!R333&lt;&gt;"Completed",Controls_Raw!R333&lt;&gt;"Not Required"),"Overdue","OK")</f>
        <v>OK</v>
      </c>
      <c r="I333" t="str">
        <f t="shared" si="5"/>
        <v>Issue</v>
      </c>
    </row>
    <row r="334" spans="1:9" x14ac:dyDescent="0.2">
      <c r="A334" t="str">
        <f>Controls_Raw!A334</f>
        <v>CTRL-0330</v>
      </c>
      <c r="B334" t="str">
        <f>IF(COUNTIF(Controls_Raw!$A$5:$A$1504,A334)&gt;1,"Duplicate","OK")</f>
        <v>OK</v>
      </c>
      <c r="C334" t="str">
        <f>IF(LEN(TRIM(Controls_Raw!I334))=0,"Missing","OK")</f>
        <v>Missing</v>
      </c>
      <c r="D334" t="str">
        <f>IF(LEN(TRIM(Controls_Raw!N334))=0,"Missing","OK")</f>
        <v>OK</v>
      </c>
      <c r="E334" t="str">
        <f>IF(OR(Controls_Raw!G334="USA",Controls_Raw!G334="UK"),"Standardize","OK")</f>
        <v>OK</v>
      </c>
      <c r="F334" t="str">
        <f>IF(Controls_Raw!E334&lt;&gt;TRIM(Controls_Raw!E334),"Trim","OK")</f>
        <v>OK</v>
      </c>
      <c r="G334" t="str">
        <f>IF(AND(Controls_Raw!L334&lt;DATE(2026,9,30),Controls_Raw!M334&lt;&gt;"Completed"),"Overdue","OK")</f>
        <v>Overdue</v>
      </c>
      <c r="H334" t="str">
        <f>IF(AND(Controls_Raw!Q334&lt;DATE(2026,9,30),Controls_Raw!R334&lt;&gt;"Completed",Controls_Raw!R334&lt;&gt;"Not Required"),"Overdue","OK")</f>
        <v>OK</v>
      </c>
      <c r="I334" t="str">
        <f t="shared" si="5"/>
        <v>Issue</v>
      </c>
    </row>
    <row r="335" spans="1:9" x14ac:dyDescent="0.2">
      <c r="A335" t="str">
        <f>Controls_Raw!A335</f>
        <v>CTRL-0331</v>
      </c>
      <c r="B335" t="str">
        <f>IF(COUNTIF(Controls_Raw!$A$5:$A$1504,A335)&gt;1,"Duplicate","OK")</f>
        <v>OK</v>
      </c>
      <c r="C335" t="str">
        <f>IF(LEN(TRIM(Controls_Raw!I335))=0,"Missing","OK")</f>
        <v>OK</v>
      </c>
      <c r="D335" t="str">
        <f>IF(LEN(TRIM(Controls_Raw!N335))=0,"Missing","OK")</f>
        <v>OK</v>
      </c>
      <c r="E335" t="str">
        <f>IF(OR(Controls_Raw!G335="USA",Controls_Raw!G335="UK"),"Standardize","OK")</f>
        <v>OK</v>
      </c>
      <c r="F335" t="str">
        <f>IF(Controls_Raw!E335&lt;&gt;TRIM(Controls_Raw!E335),"Trim","OK")</f>
        <v>OK</v>
      </c>
      <c r="G335" t="str">
        <f>IF(AND(Controls_Raw!L335&lt;DATE(2026,9,30),Controls_Raw!M335&lt;&gt;"Completed"),"Overdue","OK")</f>
        <v>Overdue</v>
      </c>
      <c r="H335" t="str">
        <f>IF(AND(Controls_Raw!Q335&lt;DATE(2026,9,30),Controls_Raw!R335&lt;&gt;"Completed",Controls_Raw!R335&lt;&gt;"Not Required"),"Overdue","OK")</f>
        <v>OK</v>
      </c>
      <c r="I335" t="str">
        <f t="shared" si="5"/>
        <v>Issue</v>
      </c>
    </row>
    <row r="336" spans="1:9" x14ac:dyDescent="0.2">
      <c r="A336" t="str">
        <f>Controls_Raw!A336</f>
        <v>CTRL-0332</v>
      </c>
      <c r="B336" t="str">
        <f>IF(COUNTIF(Controls_Raw!$A$5:$A$1504,A336)&gt;1,"Duplicate","OK")</f>
        <v>OK</v>
      </c>
      <c r="C336" t="str">
        <f>IF(LEN(TRIM(Controls_Raw!I336))=0,"Missing","OK")</f>
        <v>OK</v>
      </c>
      <c r="D336" t="str">
        <f>IF(LEN(TRIM(Controls_Raw!N336))=0,"Missing","OK")</f>
        <v>OK</v>
      </c>
      <c r="E336" t="str">
        <f>IF(OR(Controls_Raw!G336="USA",Controls_Raw!G336="UK"),"Standardize","OK")</f>
        <v>OK</v>
      </c>
      <c r="F336" t="str">
        <f>IF(Controls_Raw!E336&lt;&gt;TRIM(Controls_Raw!E336),"Trim","OK")</f>
        <v>OK</v>
      </c>
      <c r="G336" t="str">
        <f>IF(AND(Controls_Raw!L336&lt;DATE(2026,9,30),Controls_Raw!M336&lt;&gt;"Completed"),"Overdue","OK")</f>
        <v>Overdue</v>
      </c>
      <c r="H336" t="str">
        <f>IF(AND(Controls_Raw!Q336&lt;DATE(2026,9,30),Controls_Raw!R336&lt;&gt;"Completed",Controls_Raw!R336&lt;&gt;"Not Required"),"Overdue","OK")</f>
        <v>Overdue</v>
      </c>
      <c r="I336" t="str">
        <f t="shared" si="5"/>
        <v>Issue</v>
      </c>
    </row>
    <row r="337" spans="1:9" x14ac:dyDescent="0.2">
      <c r="A337" t="str">
        <f>Controls_Raw!A337</f>
        <v>CTRL-0333</v>
      </c>
      <c r="B337" t="str">
        <f>IF(COUNTIF(Controls_Raw!$A$5:$A$1504,A337)&gt;1,"Duplicate","OK")</f>
        <v>OK</v>
      </c>
      <c r="C337" t="str">
        <f>IF(LEN(TRIM(Controls_Raw!I337))=0,"Missing","OK")</f>
        <v>OK</v>
      </c>
      <c r="D337" t="str">
        <f>IF(LEN(TRIM(Controls_Raw!N337))=0,"Missing","OK")</f>
        <v>Missing</v>
      </c>
      <c r="E337" t="str">
        <f>IF(OR(Controls_Raw!G337="USA",Controls_Raw!G337="UK"),"Standardize","OK")</f>
        <v>OK</v>
      </c>
      <c r="F337" t="str">
        <f>IF(Controls_Raw!E337&lt;&gt;TRIM(Controls_Raw!E337),"Trim","OK")</f>
        <v>OK</v>
      </c>
      <c r="G337" t="str">
        <f>IF(AND(Controls_Raw!L337&lt;DATE(2026,9,30),Controls_Raw!M337&lt;&gt;"Completed"),"Overdue","OK")</f>
        <v>OK</v>
      </c>
      <c r="H337" t="str">
        <f>IF(AND(Controls_Raw!Q337&lt;DATE(2026,9,30),Controls_Raw!R337&lt;&gt;"Completed",Controls_Raw!R337&lt;&gt;"Not Required"),"Overdue","OK")</f>
        <v>Overdue</v>
      </c>
      <c r="I337" t="str">
        <f t="shared" si="5"/>
        <v>Issue</v>
      </c>
    </row>
    <row r="338" spans="1:9" x14ac:dyDescent="0.2">
      <c r="A338" t="str">
        <f>Controls_Raw!A338</f>
        <v>CTRL-0334</v>
      </c>
      <c r="B338" t="str">
        <f>IF(COUNTIF(Controls_Raw!$A$5:$A$1504,A338)&gt;1,"Duplicate","OK")</f>
        <v>OK</v>
      </c>
      <c r="C338" t="str">
        <f>IF(LEN(TRIM(Controls_Raw!I338))=0,"Missing","OK")</f>
        <v>OK</v>
      </c>
      <c r="D338" t="str">
        <f>IF(LEN(TRIM(Controls_Raw!N338))=0,"Missing","OK")</f>
        <v>OK</v>
      </c>
      <c r="E338" t="str">
        <f>IF(OR(Controls_Raw!G338="USA",Controls_Raw!G338="UK"),"Standardize","OK")</f>
        <v>OK</v>
      </c>
      <c r="F338" t="str">
        <f>IF(Controls_Raw!E338&lt;&gt;TRIM(Controls_Raw!E338),"Trim","OK")</f>
        <v>OK</v>
      </c>
      <c r="G338" t="str">
        <f>IF(AND(Controls_Raw!L338&lt;DATE(2026,9,30),Controls_Raw!M338&lt;&gt;"Completed"),"Overdue","OK")</f>
        <v>Overdue</v>
      </c>
      <c r="H338" t="str">
        <f>IF(AND(Controls_Raw!Q338&lt;DATE(2026,9,30),Controls_Raw!R338&lt;&gt;"Completed",Controls_Raw!R338&lt;&gt;"Not Required"),"Overdue","OK")</f>
        <v>Overdue</v>
      </c>
      <c r="I338" t="str">
        <f t="shared" si="5"/>
        <v>Issue</v>
      </c>
    </row>
    <row r="339" spans="1:9" x14ac:dyDescent="0.2">
      <c r="A339" t="str">
        <f>Controls_Raw!A339</f>
        <v>CTRL-0335</v>
      </c>
      <c r="B339" t="str">
        <f>IF(COUNTIF(Controls_Raw!$A$5:$A$1504,A339)&gt;1,"Duplicate","OK")</f>
        <v>OK</v>
      </c>
      <c r="C339" t="str">
        <f>IF(LEN(TRIM(Controls_Raw!I339))=0,"Missing","OK")</f>
        <v>OK</v>
      </c>
      <c r="D339" t="str">
        <f>IF(LEN(TRIM(Controls_Raw!N339))=0,"Missing","OK")</f>
        <v>OK</v>
      </c>
      <c r="E339" t="str">
        <f>IF(OR(Controls_Raw!G339="USA",Controls_Raw!G339="UK"),"Standardize","OK")</f>
        <v>OK</v>
      </c>
      <c r="F339" t="str">
        <f>IF(Controls_Raw!E339&lt;&gt;TRIM(Controls_Raw!E339),"Trim","OK")</f>
        <v>OK</v>
      </c>
      <c r="G339" t="str">
        <f>IF(AND(Controls_Raw!L339&lt;DATE(2026,9,30),Controls_Raw!M339&lt;&gt;"Completed"),"Overdue","OK")</f>
        <v>Overdue</v>
      </c>
      <c r="H339" t="str">
        <f>IF(AND(Controls_Raw!Q339&lt;DATE(2026,9,30),Controls_Raw!R339&lt;&gt;"Completed",Controls_Raw!R339&lt;&gt;"Not Required"),"Overdue","OK")</f>
        <v>OK</v>
      </c>
      <c r="I339" t="str">
        <f t="shared" si="5"/>
        <v>Issue</v>
      </c>
    </row>
    <row r="340" spans="1:9" x14ac:dyDescent="0.2">
      <c r="A340" t="str">
        <f>Controls_Raw!A340</f>
        <v>CTRL-0336</v>
      </c>
      <c r="B340" t="str">
        <f>IF(COUNTIF(Controls_Raw!$A$5:$A$1504,A340)&gt;1,"Duplicate","OK")</f>
        <v>OK</v>
      </c>
      <c r="C340" t="str">
        <f>IF(LEN(TRIM(Controls_Raw!I340))=0,"Missing","OK")</f>
        <v>OK</v>
      </c>
      <c r="D340" t="str">
        <f>IF(LEN(TRIM(Controls_Raw!N340))=0,"Missing","OK")</f>
        <v>OK</v>
      </c>
      <c r="E340" t="str">
        <f>IF(OR(Controls_Raw!G340="USA",Controls_Raw!G340="UK"),"Standardize","OK")</f>
        <v>OK</v>
      </c>
      <c r="F340" t="str">
        <f>IF(Controls_Raw!E340&lt;&gt;TRIM(Controls_Raw!E340),"Trim","OK")</f>
        <v>OK</v>
      </c>
      <c r="G340" t="str">
        <f>IF(AND(Controls_Raw!L340&lt;DATE(2026,9,30),Controls_Raw!M340&lt;&gt;"Completed"),"Overdue","OK")</f>
        <v>OK</v>
      </c>
      <c r="H340" t="str">
        <f>IF(AND(Controls_Raw!Q340&lt;DATE(2026,9,30),Controls_Raw!R340&lt;&gt;"Completed",Controls_Raw!R340&lt;&gt;"Not Required"),"Overdue","OK")</f>
        <v>Overdue</v>
      </c>
      <c r="I340" t="str">
        <f t="shared" si="5"/>
        <v>Issue</v>
      </c>
    </row>
    <row r="341" spans="1:9" x14ac:dyDescent="0.2">
      <c r="A341" t="str">
        <f>Controls_Raw!A341</f>
        <v>CTRL-0337</v>
      </c>
      <c r="B341" t="str">
        <f>IF(COUNTIF(Controls_Raw!$A$5:$A$1504,A341)&gt;1,"Duplicate","OK")</f>
        <v>OK</v>
      </c>
      <c r="C341" t="str">
        <f>IF(LEN(TRIM(Controls_Raw!I341))=0,"Missing","OK")</f>
        <v>OK</v>
      </c>
      <c r="D341" t="str">
        <f>IF(LEN(TRIM(Controls_Raw!N341))=0,"Missing","OK")</f>
        <v>OK</v>
      </c>
      <c r="E341" t="str">
        <f>IF(OR(Controls_Raw!G341="USA",Controls_Raw!G341="UK"),"Standardize","OK")</f>
        <v>OK</v>
      </c>
      <c r="F341" t="str">
        <f>IF(Controls_Raw!E341&lt;&gt;TRIM(Controls_Raw!E341),"Trim","OK")</f>
        <v>OK</v>
      </c>
      <c r="G341" t="str">
        <f>IF(AND(Controls_Raw!L341&lt;DATE(2026,9,30),Controls_Raw!M341&lt;&gt;"Completed"),"Overdue","OK")</f>
        <v>Overdue</v>
      </c>
      <c r="H341" t="str">
        <f>IF(AND(Controls_Raw!Q341&lt;DATE(2026,9,30),Controls_Raw!R341&lt;&gt;"Completed",Controls_Raw!R341&lt;&gt;"Not Required"),"Overdue","OK")</f>
        <v>OK</v>
      </c>
      <c r="I341" t="str">
        <f t="shared" si="5"/>
        <v>Issue</v>
      </c>
    </row>
    <row r="342" spans="1:9" x14ac:dyDescent="0.2">
      <c r="A342" t="str">
        <f>Controls_Raw!A342</f>
        <v>CTRL-0338</v>
      </c>
      <c r="B342" t="str">
        <f>IF(COUNTIF(Controls_Raw!$A$5:$A$1504,A342)&gt;1,"Duplicate","OK")</f>
        <v>OK</v>
      </c>
      <c r="C342" t="str">
        <f>IF(LEN(TRIM(Controls_Raw!I342))=0,"Missing","OK")</f>
        <v>OK</v>
      </c>
      <c r="D342" t="str">
        <f>IF(LEN(TRIM(Controls_Raw!N342))=0,"Missing","OK")</f>
        <v>OK</v>
      </c>
      <c r="E342" t="str">
        <f>IF(OR(Controls_Raw!G342="USA",Controls_Raw!G342="UK"),"Standardize","OK")</f>
        <v>OK</v>
      </c>
      <c r="F342" t="str">
        <f>IF(Controls_Raw!E342&lt;&gt;TRIM(Controls_Raw!E342),"Trim","OK")</f>
        <v>OK</v>
      </c>
      <c r="G342" t="str">
        <f>IF(AND(Controls_Raw!L342&lt;DATE(2026,9,30),Controls_Raw!M342&lt;&gt;"Completed"),"Overdue","OK")</f>
        <v>Overdue</v>
      </c>
      <c r="H342" t="str">
        <f>IF(AND(Controls_Raw!Q342&lt;DATE(2026,9,30),Controls_Raw!R342&lt;&gt;"Completed",Controls_Raw!R342&lt;&gt;"Not Required"),"Overdue","OK")</f>
        <v>OK</v>
      </c>
      <c r="I342" t="str">
        <f t="shared" si="5"/>
        <v>Issue</v>
      </c>
    </row>
    <row r="343" spans="1:9" x14ac:dyDescent="0.2">
      <c r="A343" t="str">
        <f>Controls_Raw!A343</f>
        <v>CTRL-0339</v>
      </c>
      <c r="B343" t="str">
        <f>IF(COUNTIF(Controls_Raw!$A$5:$A$1504,A343)&gt;1,"Duplicate","OK")</f>
        <v>OK</v>
      </c>
      <c r="C343" t="str">
        <f>IF(LEN(TRIM(Controls_Raw!I343))=0,"Missing","OK")</f>
        <v>OK</v>
      </c>
      <c r="D343" t="str">
        <f>IF(LEN(TRIM(Controls_Raw!N343))=0,"Missing","OK")</f>
        <v>OK</v>
      </c>
      <c r="E343" t="str">
        <f>IF(OR(Controls_Raw!G343="USA",Controls_Raw!G343="UK"),"Standardize","OK")</f>
        <v>OK</v>
      </c>
      <c r="F343" t="str">
        <f>IF(Controls_Raw!E343&lt;&gt;TRIM(Controls_Raw!E343),"Trim","OK")</f>
        <v>OK</v>
      </c>
      <c r="G343" t="str">
        <f>IF(AND(Controls_Raw!L343&lt;DATE(2026,9,30),Controls_Raw!M343&lt;&gt;"Completed"),"Overdue","OK")</f>
        <v>Overdue</v>
      </c>
      <c r="H343" t="str">
        <f>IF(AND(Controls_Raw!Q343&lt;DATE(2026,9,30),Controls_Raw!R343&lt;&gt;"Completed",Controls_Raw!R343&lt;&gt;"Not Required"),"Overdue","OK")</f>
        <v>OK</v>
      </c>
      <c r="I343" t="str">
        <f t="shared" si="5"/>
        <v>Issue</v>
      </c>
    </row>
    <row r="344" spans="1:9" x14ac:dyDescent="0.2">
      <c r="A344" t="str">
        <f>Controls_Raw!A344</f>
        <v>CTRL-0340</v>
      </c>
      <c r="B344" t="str">
        <f>IF(COUNTIF(Controls_Raw!$A$5:$A$1504,A344)&gt;1,"Duplicate","OK")</f>
        <v>OK</v>
      </c>
      <c r="C344" t="str">
        <f>IF(LEN(TRIM(Controls_Raw!I344))=0,"Missing","OK")</f>
        <v>OK</v>
      </c>
      <c r="D344" t="str">
        <f>IF(LEN(TRIM(Controls_Raw!N344))=0,"Missing","OK")</f>
        <v>OK</v>
      </c>
      <c r="E344" t="str">
        <f>IF(OR(Controls_Raw!G344="USA",Controls_Raw!G344="UK"),"Standardize","OK")</f>
        <v>OK</v>
      </c>
      <c r="F344" t="str">
        <f>IF(Controls_Raw!E344&lt;&gt;TRIM(Controls_Raw!E344),"Trim","OK")</f>
        <v>OK</v>
      </c>
      <c r="G344" t="str">
        <f>IF(AND(Controls_Raw!L344&lt;DATE(2026,9,30),Controls_Raw!M344&lt;&gt;"Completed"),"Overdue","OK")</f>
        <v>Overdue</v>
      </c>
      <c r="H344" t="str">
        <f>IF(AND(Controls_Raw!Q344&lt;DATE(2026,9,30),Controls_Raw!R344&lt;&gt;"Completed",Controls_Raw!R344&lt;&gt;"Not Required"),"Overdue","OK")</f>
        <v>OK</v>
      </c>
      <c r="I344" t="str">
        <f t="shared" si="5"/>
        <v>Issue</v>
      </c>
    </row>
    <row r="345" spans="1:9" x14ac:dyDescent="0.2">
      <c r="A345" t="str">
        <f>Controls_Raw!A345</f>
        <v>CTRL-0341</v>
      </c>
      <c r="B345" t="str">
        <f>IF(COUNTIF(Controls_Raw!$A$5:$A$1504,A345)&gt;1,"Duplicate","OK")</f>
        <v>OK</v>
      </c>
      <c r="C345" t="str">
        <f>IF(LEN(TRIM(Controls_Raw!I345))=0,"Missing","OK")</f>
        <v>OK</v>
      </c>
      <c r="D345" t="str">
        <f>IF(LEN(TRIM(Controls_Raw!N345))=0,"Missing","OK")</f>
        <v>OK</v>
      </c>
      <c r="E345" t="str">
        <f>IF(OR(Controls_Raw!G345="USA",Controls_Raw!G345="UK"),"Standardize","OK")</f>
        <v>OK</v>
      </c>
      <c r="F345" t="str">
        <f>IF(Controls_Raw!E345&lt;&gt;TRIM(Controls_Raw!E345),"Trim","OK")</f>
        <v>OK</v>
      </c>
      <c r="G345" t="str">
        <f>IF(AND(Controls_Raw!L345&lt;DATE(2026,9,30),Controls_Raw!M345&lt;&gt;"Completed"),"Overdue","OK")</f>
        <v>Overdue</v>
      </c>
      <c r="H345" t="str">
        <f>IF(AND(Controls_Raw!Q345&lt;DATE(2026,9,30),Controls_Raw!R345&lt;&gt;"Completed",Controls_Raw!R345&lt;&gt;"Not Required"),"Overdue","OK")</f>
        <v>OK</v>
      </c>
      <c r="I345" t="str">
        <f t="shared" si="5"/>
        <v>Issue</v>
      </c>
    </row>
    <row r="346" spans="1:9" x14ac:dyDescent="0.2">
      <c r="A346" t="str">
        <f>Controls_Raw!A346</f>
        <v>CTRL-0342</v>
      </c>
      <c r="B346" t="str">
        <f>IF(COUNTIF(Controls_Raw!$A$5:$A$1504,A346)&gt;1,"Duplicate","OK")</f>
        <v>OK</v>
      </c>
      <c r="C346" t="str">
        <f>IF(LEN(TRIM(Controls_Raw!I346))=0,"Missing","OK")</f>
        <v>OK</v>
      </c>
      <c r="D346" t="str">
        <f>IF(LEN(TRIM(Controls_Raw!N346))=0,"Missing","OK")</f>
        <v>OK</v>
      </c>
      <c r="E346" t="str">
        <f>IF(OR(Controls_Raw!G346="USA",Controls_Raw!G346="UK"),"Standardize","OK")</f>
        <v>OK</v>
      </c>
      <c r="F346" t="str">
        <f>IF(Controls_Raw!E346&lt;&gt;TRIM(Controls_Raw!E346),"Trim","OK")</f>
        <v>OK</v>
      </c>
      <c r="G346" t="str">
        <f>IF(AND(Controls_Raw!L346&lt;DATE(2026,9,30),Controls_Raw!M346&lt;&gt;"Completed"),"Overdue","OK")</f>
        <v>Overdue</v>
      </c>
      <c r="H346" t="str">
        <f>IF(AND(Controls_Raw!Q346&lt;DATE(2026,9,30),Controls_Raw!R346&lt;&gt;"Completed",Controls_Raw!R346&lt;&gt;"Not Required"),"Overdue","OK")</f>
        <v>OK</v>
      </c>
      <c r="I346" t="str">
        <f t="shared" si="5"/>
        <v>Issue</v>
      </c>
    </row>
    <row r="347" spans="1:9" x14ac:dyDescent="0.2">
      <c r="A347" t="str">
        <f>Controls_Raw!A347</f>
        <v>CTRL-0343</v>
      </c>
      <c r="B347" t="str">
        <f>IF(COUNTIF(Controls_Raw!$A$5:$A$1504,A347)&gt;1,"Duplicate","OK")</f>
        <v>OK</v>
      </c>
      <c r="C347" t="str">
        <f>IF(LEN(TRIM(Controls_Raw!I347))=0,"Missing","OK")</f>
        <v>OK</v>
      </c>
      <c r="D347" t="str">
        <f>IF(LEN(TRIM(Controls_Raw!N347))=0,"Missing","OK")</f>
        <v>OK</v>
      </c>
      <c r="E347" t="str">
        <f>IF(OR(Controls_Raw!G347="USA",Controls_Raw!G347="UK"),"Standardize","OK")</f>
        <v>OK</v>
      </c>
      <c r="F347" t="str">
        <f>IF(Controls_Raw!E347&lt;&gt;TRIM(Controls_Raw!E347),"Trim","OK")</f>
        <v>OK</v>
      </c>
      <c r="G347" t="str">
        <f>IF(AND(Controls_Raw!L347&lt;DATE(2026,9,30),Controls_Raw!M347&lt;&gt;"Completed"),"Overdue","OK")</f>
        <v>Overdue</v>
      </c>
      <c r="H347" t="str">
        <f>IF(AND(Controls_Raw!Q347&lt;DATE(2026,9,30),Controls_Raw!R347&lt;&gt;"Completed",Controls_Raw!R347&lt;&gt;"Not Required"),"Overdue","OK")</f>
        <v>OK</v>
      </c>
      <c r="I347" t="str">
        <f t="shared" si="5"/>
        <v>Issue</v>
      </c>
    </row>
    <row r="348" spans="1:9" x14ac:dyDescent="0.2">
      <c r="A348" t="str">
        <f>Controls_Raw!A348</f>
        <v>CTRL-0344</v>
      </c>
      <c r="B348" t="str">
        <f>IF(COUNTIF(Controls_Raw!$A$5:$A$1504,A348)&gt;1,"Duplicate","OK")</f>
        <v>OK</v>
      </c>
      <c r="C348" t="str">
        <f>IF(LEN(TRIM(Controls_Raw!I348))=0,"Missing","OK")</f>
        <v>OK</v>
      </c>
      <c r="D348" t="str">
        <f>IF(LEN(TRIM(Controls_Raw!N348))=0,"Missing","OK")</f>
        <v>OK</v>
      </c>
      <c r="E348" t="str">
        <f>IF(OR(Controls_Raw!G348="USA",Controls_Raw!G348="UK"),"Standardize","OK")</f>
        <v>OK</v>
      </c>
      <c r="F348" t="str">
        <f>IF(Controls_Raw!E348&lt;&gt;TRIM(Controls_Raw!E348),"Trim","OK")</f>
        <v>OK</v>
      </c>
      <c r="G348" t="str">
        <f>IF(AND(Controls_Raw!L348&lt;DATE(2026,9,30),Controls_Raw!M348&lt;&gt;"Completed"),"Overdue","OK")</f>
        <v>OK</v>
      </c>
      <c r="H348" t="str">
        <f>IF(AND(Controls_Raw!Q348&lt;DATE(2026,9,30),Controls_Raw!R348&lt;&gt;"Completed",Controls_Raw!R348&lt;&gt;"Not Required"),"Overdue","OK")</f>
        <v>OK</v>
      </c>
      <c r="I348" t="str">
        <f t="shared" si="5"/>
        <v>Pass</v>
      </c>
    </row>
    <row r="349" spans="1:9" x14ac:dyDescent="0.2">
      <c r="A349" t="str">
        <f>Controls_Raw!A349</f>
        <v>CTRL-0345</v>
      </c>
      <c r="B349" t="str">
        <f>IF(COUNTIF(Controls_Raw!$A$5:$A$1504,A349)&gt;1,"Duplicate","OK")</f>
        <v>OK</v>
      </c>
      <c r="C349" t="str">
        <f>IF(LEN(TRIM(Controls_Raw!I349))=0,"Missing","OK")</f>
        <v>OK</v>
      </c>
      <c r="D349" t="str">
        <f>IF(LEN(TRIM(Controls_Raw!N349))=0,"Missing","OK")</f>
        <v>OK</v>
      </c>
      <c r="E349" t="str">
        <f>IF(OR(Controls_Raw!G349="USA",Controls_Raw!G349="UK"),"Standardize","OK")</f>
        <v>OK</v>
      </c>
      <c r="F349" t="str">
        <f>IF(Controls_Raw!E349&lt;&gt;TRIM(Controls_Raw!E349),"Trim","OK")</f>
        <v>OK</v>
      </c>
      <c r="G349" t="str">
        <f>IF(AND(Controls_Raw!L349&lt;DATE(2026,9,30),Controls_Raw!M349&lt;&gt;"Completed"),"Overdue","OK")</f>
        <v>Overdue</v>
      </c>
      <c r="H349" t="str">
        <f>IF(AND(Controls_Raw!Q349&lt;DATE(2026,9,30),Controls_Raw!R349&lt;&gt;"Completed",Controls_Raw!R349&lt;&gt;"Not Required"),"Overdue","OK")</f>
        <v>OK</v>
      </c>
      <c r="I349" t="str">
        <f t="shared" si="5"/>
        <v>Issue</v>
      </c>
    </row>
    <row r="350" spans="1:9" x14ac:dyDescent="0.2">
      <c r="A350" t="str">
        <f>Controls_Raw!A350</f>
        <v>CTRL-0346</v>
      </c>
      <c r="B350" t="str">
        <f>IF(COUNTIF(Controls_Raw!$A$5:$A$1504,A350)&gt;1,"Duplicate","OK")</f>
        <v>OK</v>
      </c>
      <c r="C350" t="str">
        <f>IF(LEN(TRIM(Controls_Raw!I350))=0,"Missing","OK")</f>
        <v>OK</v>
      </c>
      <c r="D350" t="str">
        <f>IF(LEN(TRIM(Controls_Raw!N350))=0,"Missing","OK")</f>
        <v>OK</v>
      </c>
      <c r="E350" t="str">
        <f>IF(OR(Controls_Raw!G350="USA",Controls_Raw!G350="UK"),"Standardize","OK")</f>
        <v>OK</v>
      </c>
      <c r="F350" t="str">
        <f>IF(Controls_Raw!E350&lt;&gt;TRIM(Controls_Raw!E350),"Trim","OK")</f>
        <v>OK</v>
      </c>
      <c r="G350" t="str">
        <f>IF(AND(Controls_Raw!L350&lt;DATE(2026,9,30),Controls_Raw!M350&lt;&gt;"Completed"),"Overdue","OK")</f>
        <v>OK</v>
      </c>
      <c r="H350" t="str">
        <f>IF(AND(Controls_Raw!Q350&lt;DATE(2026,9,30),Controls_Raw!R350&lt;&gt;"Completed",Controls_Raw!R350&lt;&gt;"Not Required"),"Overdue","OK")</f>
        <v>OK</v>
      </c>
      <c r="I350" t="str">
        <f t="shared" si="5"/>
        <v>Pass</v>
      </c>
    </row>
    <row r="351" spans="1:9" x14ac:dyDescent="0.2">
      <c r="A351" t="str">
        <f>Controls_Raw!A351</f>
        <v>CTRL-0347</v>
      </c>
      <c r="B351" t="str">
        <f>IF(COUNTIF(Controls_Raw!$A$5:$A$1504,A351)&gt;1,"Duplicate","OK")</f>
        <v>OK</v>
      </c>
      <c r="C351" t="str">
        <f>IF(LEN(TRIM(Controls_Raw!I351))=0,"Missing","OK")</f>
        <v>OK</v>
      </c>
      <c r="D351" t="str">
        <f>IF(LEN(TRIM(Controls_Raw!N351))=0,"Missing","OK")</f>
        <v>OK</v>
      </c>
      <c r="E351" t="str">
        <f>IF(OR(Controls_Raw!G351="USA",Controls_Raw!G351="UK"),"Standardize","OK")</f>
        <v>OK</v>
      </c>
      <c r="F351" t="str">
        <f>IF(Controls_Raw!E351&lt;&gt;TRIM(Controls_Raw!E351),"Trim","OK")</f>
        <v>OK</v>
      </c>
      <c r="G351" t="str">
        <f>IF(AND(Controls_Raw!L351&lt;DATE(2026,9,30),Controls_Raw!M351&lt;&gt;"Completed"),"Overdue","OK")</f>
        <v>Overdue</v>
      </c>
      <c r="H351" t="str">
        <f>IF(AND(Controls_Raw!Q351&lt;DATE(2026,9,30),Controls_Raw!R351&lt;&gt;"Completed",Controls_Raw!R351&lt;&gt;"Not Required"),"Overdue","OK")</f>
        <v>OK</v>
      </c>
      <c r="I351" t="str">
        <f t="shared" si="5"/>
        <v>Issue</v>
      </c>
    </row>
    <row r="352" spans="1:9" x14ac:dyDescent="0.2">
      <c r="A352" t="str">
        <f>Controls_Raw!A352</f>
        <v>CTRL-0348</v>
      </c>
      <c r="B352" t="str">
        <f>IF(COUNTIF(Controls_Raw!$A$5:$A$1504,A352)&gt;1,"Duplicate","OK")</f>
        <v>OK</v>
      </c>
      <c r="C352" t="str">
        <f>IF(LEN(TRIM(Controls_Raw!I352))=0,"Missing","OK")</f>
        <v>OK</v>
      </c>
      <c r="D352" t="str">
        <f>IF(LEN(TRIM(Controls_Raw!N352))=0,"Missing","OK")</f>
        <v>OK</v>
      </c>
      <c r="E352" t="str">
        <f>IF(OR(Controls_Raw!G352="USA",Controls_Raw!G352="UK"),"Standardize","OK")</f>
        <v>OK</v>
      </c>
      <c r="F352" t="str">
        <f>IF(Controls_Raw!E352&lt;&gt;TRIM(Controls_Raw!E352),"Trim","OK")</f>
        <v>OK</v>
      </c>
      <c r="G352" t="str">
        <f>IF(AND(Controls_Raw!L352&lt;DATE(2026,9,30),Controls_Raw!M352&lt;&gt;"Completed"),"Overdue","OK")</f>
        <v>Overdue</v>
      </c>
      <c r="H352" t="str">
        <f>IF(AND(Controls_Raw!Q352&lt;DATE(2026,9,30),Controls_Raw!R352&lt;&gt;"Completed",Controls_Raw!R352&lt;&gt;"Not Required"),"Overdue","OK")</f>
        <v>OK</v>
      </c>
      <c r="I352" t="str">
        <f t="shared" si="5"/>
        <v>Issue</v>
      </c>
    </row>
    <row r="353" spans="1:9" x14ac:dyDescent="0.2">
      <c r="A353" t="str">
        <f>Controls_Raw!A353</f>
        <v>CTRL-0349</v>
      </c>
      <c r="B353" t="str">
        <f>IF(COUNTIF(Controls_Raw!$A$5:$A$1504,A353)&gt;1,"Duplicate","OK")</f>
        <v>OK</v>
      </c>
      <c r="C353" t="str">
        <f>IF(LEN(TRIM(Controls_Raw!I353))=0,"Missing","OK")</f>
        <v>OK</v>
      </c>
      <c r="D353" t="str">
        <f>IF(LEN(TRIM(Controls_Raw!N353))=0,"Missing","OK")</f>
        <v>OK</v>
      </c>
      <c r="E353" t="str">
        <f>IF(OR(Controls_Raw!G353="USA",Controls_Raw!G353="UK"),"Standardize","OK")</f>
        <v>OK</v>
      </c>
      <c r="F353" t="str">
        <f>IF(Controls_Raw!E353&lt;&gt;TRIM(Controls_Raw!E353),"Trim","OK")</f>
        <v>OK</v>
      </c>
      <c r="G353" t="str">
        <f>IF(AND(Controls_Raw!L353&lt;DATE(2026,9,30),Controls_Raw!M353&lt;&gt;"Completed"),"Overdue","OK")</f>
        <v>OK</v>
      </c>
      <c r="H353" t="str">
        <f>IF(AND(Controls_Raw!Q353&lt;DATE(2026,9,30),Controls_Raw!R353&lt;&gt;"Completed",Controls_Raw!R353&lt;&gt;"Not Required"),"Overdue","OK")</f>
        <v>OK</v>
      </c>
      <c r="I353" t="str">
        <f t="shared" si="5"/>
        <v>Pass</v>
      </c>
    </row>
    <row r="354" spans="1:9" x14ac:dyDescent="0.2">
      <c r="A354" t="str">
        <f>Controls_Raw!A354</f>
        <v>CTRL-0350</v>
      </c>
      <c r="B354" t="str">
        <f>IF(COUNTIF(Controls_Raw!$A$5:$A$1504,A354)&gt;1,"Duplicate","OK")</f>
        <v>OK</v>
      </c>
      <c r="C354" t="str">
        <f>IF(LEN(TRIM(Controls_Raw!I354))=0,"Missing","OK")</f>
        <v>OK</v>
      </c>
      <c r="D354" t="str">
        <f>IF(LEN(TRIM(Controls_Raw!N354))=0,"Missing","OK")</f>
        <v>OK</v>
      </c>
      <c r="E354" t="str">
        <f>IF(OR(Controls_Raw!G354="USA",Controls_Raw!G354="UK"),"Standardize","OK")</f>
        <v>OK</v>
      </c>
      <c r="F354" t="str">
        <f>IF(Controls_Raw!E354&lt;&gt;TRIM(Controls_Raw!E354),"Trim","OK")</f>
        <v>OK</v>
      </c>
      <c r="G354" t="str">
        <f>IF(AND(Controls_Raw!L354&lt;DATE(2026,9,30),Controls_Raw!M354&lt;&gt;"Completed"),"Overdue","OK")</f>
        <v>OK</v>
      </c>
      <c r="H354" t="str">
        <f>IF(AND(Controls_Raw!Q354&lt;DATE(2026,9,30),Controls_Raw!R354&lt;&gt;"Completed",Controls_Raw!R354&lt;&gt;"Not Required"),"Overdue","OK")</f>
        <v>OK</v>
      </c>
      <c r="I354" t="str">
        <f t="shared" si="5"/>
        <v>Pass</v>
      </c>
    </row>
    <row r="355" spans="1:9" x14ac:dyDescent="0.2">
      <c r="A355" t="str">
        <f>Controls_Raw!A355</f>
        <v>CTRL-0351</v>
      </c>
      <c r="B355" t="str">
        <f>IF(COUNTIF(Controls_Raw!$A$5:$A$1504,A355)&gt;1,"Duplicate","OK")</f>
        <v>OK</v>
      </c>
      <c r="C355" t="str">
        <f>IF(LEN(TRIM(Controls_Raw!I355))=0,"Missing","OK")</f>
        <v>OK</v>
      </c>
      <c r="D355" t="str">
        <f>IF(LEN(TRIM(Controls_Raw!N355))=0,"Missing","OK")</f>
        <v>OK</v>
      </c>
      <c r="E355" t="str">
        <f>IF(OR(Controls_Raw!G355="USA",Controls_Raw!G355="UK"),"Standardize","OK")</f>
        <v>OK</v>
      </c>
      <c r="F355" t="str">
        <f>IF(Controls_Raw!E355&lt;&gt;TRIM(Controls_Raw!E355),"Trim","OK")</f>
        <v>OK</v>
      </c>
      <c r="G355" t="str">
        <f>IF(AND(Controls_Raw!L355&lt;DATE(2026,9,30),Controls_Raw!M355&lt;&gt;"Completed"),"Overdue","OK")</f>
        <v>Overdue</v>
      </c>
      <c r="H355" t="str">
        <f>IF(AND(Controls_Raw!Q355&lt;DATE(2026,9,30),Controls_Raw!R355&lt;&gt;"Completed",Controls_Raw!R355&lt;&gt;"Not Required"),"Overdue","OK")</f>
        <v>Overdue</v>
      </c>
      <c r="I355" t="str">
        <f t="shared" si="5"/>
        <v>Issue</v>
      </c>
    </row>
    <row r="356" spans="1:9" x14ac:dyDescent="0.2">
      <c r="A356" t="str">
        <f>Controls_Raw!A356</f>
        <v>CTRL-0352</v>
      </c>
      <c r="B356" t="str">
        <f>IF(COUNTIF(Controls_Raw!$A$5:$A$1504,A356)&gt;1,"Duplicate","OK")</f>
        <v>OK</v>
      </c>
      <c r="C356" t="str">
        <f>IF(LEN(TRIM(Controls_Raw!I356))=0,"Missing","OK")</f>
        <v>OK</v>
      </c>
      <c r="D356" t="str">
        <f>IF(LEN(TRIM(Controls_Raw!N356))=0,"Missing","OK")</f>
        <v>OK</v>
      </c>
      <c r="E356" t="str">
        <f>IF(OR(Controls_Raw!G356="USA",Controls_Raw!G356="UK"),"Standardize","OK")</f>
        <v>OK</v>
      </c>
      <c r="F356" t="str">
        <f>IF(Controls_Raw!E356&lt;&gt;TRIM(Controls_Raw!E356),"Trim","OK")</f>
        <v>OK</v>
      </c>
      <c r="G356" t="str">
        <f>IF(AND(Controls_Raw!L356&lt;DATE(2026,9,30),Controls_Raw!M356&lt;&gt;"Completed"),"Overdue","OK")</f>
        <v>OK</v>
      </c>
      <c r="H356" t="str">
        <f>IF(AND(Controls_Raw!Q356&lt;DATE(2026,9,30),Controls_Raw!R356&lt;&gt;"Completed",Controls_Raw!R356&lt;&gt;"Not Required"),"Overdue","OK")</f>
        <v>OK</v>
      </c>
      <c r="I356" t="str">
        <f t="shared" si="5"/>
        <v>Pass</v>
      </c>
    </row>
    <row r="357" spans="1:9" x14ac:dyDescent="0.2">
      <c r="A357" t="str">
        <f>Controls_Raw!A357</f>
        <v>CTRL-0353</v>
      </c>
      <c r="B357" t="str">
        <f>IF(COUNTIF(Controls_Raw!$A$5:$A$1504,A357)&gt;1,"Duplicate","OK")</f>
        <v>OK</v>
      </c>
      <c r="C357" t="str">
        <f>IF(LEN(TRIM(Controls_Raw!I357))=0,"Missing","OK")</f>
        <v>OK</v>
      </c>
      <c r="D357" t="str">
        <f>IF(LEN(TRIM(Controls_Raw!N357))=0,"Missing","OK")</f>
        <v>OK</v>
      </c>
      <c r="E357" t="str">
        <f>IF(OR(Controls_Raw!G357="USA",Controls_Raw!G357="UK"),"Standardize","OK")</f>
        <v>OK</v>
      </c>
      <c r="F357" t="str">
        <f>IF(Controls_Raw!E357&lt;&gt;TRIM(Controls_Raw!E357),"Trim","OK")</f>
        <v>OK</v>
      </c>
      <c r="G357" t="str">
        <f>IF(AND(Controls_Raw!L357&lt;DATE(2026,9,30),Controls_Raw!M357&lt;&gt;"Completed"),"Overdue","OK")</f>
        <v>OK</v>
      </c>
      <c r="H357" t="str">
        <f>IF(AND(Controls_Raw!Q357&lt;DATE(2026,9,30),Controls_Raw!R357&lt;&gt;"Completed",Controls_Raw!R357&lt;&gt;"Not Required"),"Overdue","OK")</f>
        <v>Overdue</v>
      </c>
      <c r="I357" t="str">
        <f t="shared" si="5"/>
        <v>Issue</v>
      </c>
    </row>
    <row r="358" spans="1:9" x14ac:dyDescent="0.2">
      <c r="A358" t="str">
        <f>Controls_Raw!A358</f>
        <v>CTRL-0354</v>
      </c>
      <c r="B358" t="str">
        <f>IF(COUNTIF(Controls_Raw!$A$5:$A$1504,A358)&gt;1,"Duplicate","OK")</f>
        <v>OK</v>
      </c>
      <c r="C358" t="str">
        <f>IF(LEN(TRIM(Controls_Raw!I358))=0,"Missing","OK")</f>
        <v>OK</v>
      </c>
      <c r="D358" t="str">
        <f>IF(LEN(TRIM(Controls_Raw!N358))=0,"Missing","OK")</f>
        <v>OK</v>
      </c>
      <c r="E358" t="str">
        <f>IF(OR(Controls_Raw!G358="USA",Controls_Raw!G358="UK"),"Standardize","OK")</f>
        <v>OK</v>
      </c>
      <c r="F358" t="str">
        <f>IF(Controls_Raw!E358&lt;&gt;TRIM(Controls_Raw!E358),"Trim","OK")</f>
        <v>OK</v>
      </c>
      <c r="G358" t="str">
        <f>IF(AND(Controls_Raw!L358&lt;DATE(2026,9,30),Controls_Raw!M358&lt;&gt;"Completed"),"Overdue","OK")</f>
        <v>OK</v>
      </c>
      <c r="H358" t="str">
        <f>IF(AND(Controls_Raw!Q358&lt;DATE(2026,9,30),Controls_Raw!R358&lt;&gt;"Completed",Controls_Raw!R358&lt;&gt;"Not Required"),"Overdue","OK")</f>
        <v>OK</v>
      </c>
      <c r="I358" t="str">
        <f t="shared" si="5"/>
        <v>Pass</v>
      </c>
    </row>
    <row r="359" spans="1:9" x14ac:dyDescent="0.2">
      <c r="A359" t="str">
        <f>Controls_Raw!A359</f>
        <v>CTRL-0355</v>
      </c>
      <c r="B359" t="str">
        <f>IF(COUNTIF(Controls_Raw!$A$5:$A$1504,A359)&gt;1,"Duplicate","OK")</f>
        <v>OK</v>
      </c>
      <c r="C359" t="str">
        <f>IF(LEN(TRIM(Controls_Raw!I359))=0,"Missing","OK")</f>
        <v>OK</v>
      </c>
      <c r="D359" t="str">
        <f>IF(LEN(TRIM(Controls_Raw!N359))=0,"Missing","OK")</f>
        <v>OK</v>
      </c>
      <c r="E359" t="str">
        <f>IF(OR(Controls_Raw!G359="USA",Controls_Raw!G359="UK"),"Standardize","OK")</f>
        <v>OK</v>
      </c>
      <c r="F359" t="str">
        <f>IF(Controls_Raw!E359&lt;&gt;TRIM(Controls_Raw!E359),"Trim","OK")</f>
        <v>OK</v>
      </c>
      <c r="G359" t="str">
        <f>IF(AND(Controls_Raw!L359&lt;DATE(2026,9,30),Controls_Raw!M359&lt;&gt;"Completed"),"Overdue","OK")</f>
        <v>Overdue</v>
      </c>
      <c r="H359" t="str">
        <f>IF(AND(Controls_Raw!Q359&lt;DATE(2026,9,30),Controls_Raw!R359&lt;&gt;"Completed",Controls_Raw!R359&lt;&gt;"Not Required"),"Overdue","OK")</f>
        <v>OK</v>
      </c>
      <c r="I359" t="str">
        <f t="shared" si="5"/>
        <v>Issue</v>
      </c>
    </row>
    <row r="360" spans="1:9" x14ac:dyDescent="0.2">
      <c r="A360" t="str">
        <f>Controls_Raw!A360</f>
        <v>CTRL-0356</v>
      </c>
      <c r="B360" t="str">
        <f>IF(COUNTIF(Controls_Raw!$A$5:$A$1504,A360)&gt;1,"Duplicate","OK")</f>
        <v>OK</v>
      </c>
      <c r="C360" t="str">
        <f>IF(LEN(TRIM(Controls_Raw!I360))=0,"Missing","OK")</f>
        <v>OK</v>
      </c>
      <c r="D360" t="str">
        <f>IF(LEN(TRIM(Controls_Raw!N360))=0,"Missing","OK")</f>
        <v>OK</v>
      </c>
      <c r="E360" t="str">
        <f>IF(OR(Controls_Raw!G360="USA",Controls_Raw!G360="UK"),"Standardize","OK")</f>
        <v>OK</v>
      </c>
      <c r="F360" t="str">
        <f>IF(Controls_Raw!E360&lt;&gt;TRIM(Controls_Raw!E360),"Trim","OK")</f>
        <v>OK</v>
      </c>
      <c r="G360" t="str">
        <f>IF(AND(Controls_Raw!L360&lt;DATE(2026,9,30),Controls_Raw!M360&lt;&gt;"Completed"),"Overdue","OK")</f>
        <v>Overdue</v>
      </c>
      <c r="H360" t="str">
        <f>IF(AND(Controls_Raw!Q360&lt;DATE(2026,9,30),Controls_Raw!R360&lt;&gt;"Completed",Controls_Raw!R360&lt;&gt;"Not Required"),"Overdue","OK")</f>
        <v>OK</v>
      </c>
      <c r="I360" t="str">
        <f t="shared" si="5"/>
        <v>Issue</v>
      </c>
    </row>
    <row r="361" spans="1:9" x14ac:dyDescent="0.2">
      <c r="A361" t="str">
        <f>Controls_Raw!A361</f>
        <v>CTRL-0357</v>
      </c>
      <c r="B361" t="str">
        <f>IF(COUNTIF(Controls_Raw!$A$5:$A$1504,A361)&gt;1,"Duplicate","OK")</f>
        <v>OK</v>
      </c>
      <c r="C361" t="str">
        <f>IF(LEN(TRIM(Controls_Raw!I361))=0,"Missing","OK")</f>
        <v>OK</v>
      </c>
      <c r="D361" t="str">
        <f>IF(LEN(TRIM(Controls_Raw!N361))=0,"Missing","OK")</f>
        <v>OK</v>
      </c>
      <c r="E361" t="str">
        <f>IF(OR(Controls_Raw!G361="USA",Controls_Raw!G361="UK"),"Standardize","OK")</f>
        <v>OK</v>
      </c>
      <c r="F361" t="str">
        <f>IF(Controls_Raw!E361&lt;&gt;TRIM(Controls_Raw!E361),"Trim","OK")</f>
        <v>OK</v>
      </c>
      <c r="G361" t="str">
        <f>IF(AND(Controls_Raw!L361&lt;DATE(2026,9,30),Controls_Raw!M361&lt;&gt;"Completed"),"Overdue","OK")</f>
        <v>Overdue</v>
      </c>
      <c r="H361" t="str">
        <f>IF(AND(Controls_Raw!Q361&lt;DATE(2026,9,30),Controls_Raw!R361&lt;&gt;"Completed",Controls_Raw!R361&lt;&gt;"Not Required"),"Overdue","OK")</f>
        <v>OK</v>
      </c>
      <c r="I361" t="str">
        <f t="shared" si="5"/>
        <v>Issue</v>
      </c>
    </row>
    <row r="362" spans="1:9" x14ac:dyDescent="0.2">
      <c r="A362" t="str">
        <f>Controls_Raw!A362</f>
        <v>CTRL-0358</v>
      </c>
      <c r="B362" t="str">
        <f>IF(COUNTIF(Controls_Raw!$A$5:$A$1504,A362)&gt;1,"Duplicate","OK")</f>
        <v>OK</v>
      </c>
      <c r="C362" t="str">
        <f>IF(LEN(TRIM(Controls_Raw!I362))=0,"Missing","OK")</f>
        <v>OK</v>
      </c>
      <c r="D362" t="str">
        <f>IF(LEN(TRIM(Controls_Raw!N362))=0,"Missing","OK")</f>
        <v>OK</v>
      </c>
      <c r="E362" t="str">
        <f>IF(OR(Controls_Raw!G362="USA",Controls_Raw!G362="UK"),"Standardize","OK")</f>
        <v>OK</v>
      </c>
      <c r="F362" t="str">
        <f>IF(Controls_Raw!E362&lt;&gt;TRIM(Controls_Raw!E362),"Trim","OK")</f>
        <v>OK</v>
      </c>
      <c r="G362" t="str">
        <f>IF(AND(Controls_Raw!L362&lt;DATE(2026,9,30),Controls_Raw!M362&lt;&gt;"Completed"),"Overdue","OK")</f>
        <v>Overdue</v>
      </c>
      <c r="H362" t="str">
        <f>IF(AND(Controls_Raw!Q362&lt;DATE(2026,9,30),Controls_Raw!R362&lt;&gt;"Completed",Controls_Raw!R362&lt;&gt;"Not Required"),"Overdue","OK")</f>
        <v>Overdue</v>
      </c>
      <c r="I362" t="str">
        <f t="shared" si="5"/>
        <v>Issue</v>
      </c>
    </row>
    <row r="363" spans="1:9" x14ac:dyDescent="0.2">
      <c r="A363" t="str">
        <f>Controls_Raw!A363</f>
        <v>CTRL-0359</v>
      </c>
      <c r="B363" t="str">
        <f>IF(COUNTIF(Controls_Raw!$A$5:$A$1504,A363)&gt;1,"Duplicate","OK")</f>
        <v>OK</v>
      </c>
      <c r="C363" t="str">
        <f>IF(LEN(TRIM(Controls_Raw!I363))=0,"Missing","OK")</f>
        <v>OK</v>
      </c>
      <c r="D363" t="str">
        <f>IF(LEN(TRIM(Controls_Raw!N363))=0,"Missing","OK")</f>
        <v>OK</v>
      </c>
      <c r="E363" t="str">
        <f>IF(OR(Controls_Raw!G363="USA",Controls_Raw!G363="UK"),"Standardize","OK")</f>
        <v>OK</v>
      </c>
      <c r="F363" t="str">
        <f>IF(Controls_Raw!E363&lt;&gt;TRIM(Controls_Raw!E363),"Trim","OK")</f>
        <v>OK</v>
      </c>
      <c r="G363" t="str">
        <f>IF(AND(Controls_Raw!L363&lt;DATE(2026,9,30),Controls_Raw!M363&lt;&gt;"Completed"),"Overdue","OK")</f>
        <v>Overdue</v>
      </c>
      <c r="H363" t="str">
        <f>IF(AND(Controls_Raw!Q363&lt;DATE(2026,9,30),Controls_Raw!R363&lt;&gt;"Completed",Controls_Raw!R363&lt;&gt;"Not Required"),"Overdue","OK")</f>
        <v>OK</v>
      </c>
      <c r="I363" t="str">
        <f t="shared" si="5"/>
        <v>Issue</v>
      </c>
    </row>
    <row r="364" spans="1:9" x14ac:dyDescent="0.2">
      <c r="A364" t="str">
        <f>Controls_Raw!A364</f>
        <v>CTRL-0360</v>
      </c>
      <c r="B364" t="str">
        <f>IF(COUNTIF(Controls_Raw!$A$5:$A$1504,A364)&gt;1,"Duplicate","OK")</f>
        <v>OK</v>
      </c>
      <c r="C364" t="str">
        <f>IF(LEN(TRIM(Controls_Raw!I364))=0,"Missing","OK")</f>
        <v>OK</v>
      </c>
      <c r="D364" t="str">
        <f>IF(LEN(TRIM(Controls_Raw!N364))=0,"Missing","OK")</f>
        <v>OK</v>
      </c>
      <c r="E364" t="str">
        <f>IF(OR(Controls_Raw!G364="USA",Controls_Raw!G364="UK"),"Standardize","OK")</f>
        <v>OK</v>
      </c>
      <c r="F364" t="str">
        <f>IF(Controls_Raw!E364&lt;&gt;TRIM(Controls_Raw!E364),"Trim","OK")</f>
        <v>OK</v>
      </c>
      <c r="G364" t="str">
        <f>IF(AND(Controls_Raw!L364&lt;DATE(2026,9,30),Controls_Raw!M364&lt;&gt;"Completed"),"Overdue","OK")</f>
        <v>Overdue</v>
      </c>
      <c r="H364" t="str">
        <f>IF(AND(Controls_Raw!Q364&lt;DATE(2026,9,30),Controls_Raw!R364&lt;&gt;"Completed",Controls_Raw!R364&lt;&gt;"Not Required"),"Overdue","OK")</f>
        <v>OK</v>
      </c>
      <c r="I364" t="str">
        <f t="shared" si="5"/>
        <v>Issue</v>
      </c>
    </row>
    <row r="365" spans="1:9" x14ac:dyDescent="0.2">
      <c r="A365" t="str">
        <f>Controls_Raw!A365</f>
        <v>CTRL-0361</v>
      </c>
      <c r="B365" t="str">
        <f>IF(COUNTIF(Controls_Raw!$A$5:$A$1504,A365)&gt;1,"Duplicate","OK")</f>
        <v>OK</v>
      </c>
      <c r="C365" t="str">
        <f>IF(LEN(TRIM(Controls_Raw!I365))=0,"Missing","OK")</f>
        <v>OK</v>
      </c>
      <c r="D365" t="str">
        <f>IF(LEN(TRIM(Controls_Raw!N365))=0,"Missing","OK")</f>
        <v>OK</v>
      </c>
      <c r="E365" t="str">
        <f>IF(OR(Controls_Raw!G365="USA",Controls_Raw!G365="UK"),"Standardize","OK")</f>
        <v>OK</v>
      </c>
      <c r="F365" t="str">
        <f>IF(Controls_Raw!E365&lt;&gt;TRIM(Controls_Raw!E365),"Trim","OK")</f>
        <v>OK</v>
      </c>
      <c r="G365" t="str">
        <f>IF(AND(Controls_Raw!L365&lt;DATE(2026,9,30),Controls_Raw!M365&lt;&gt;"Completed"),"Overdue","OK")</f>
        <v>OK</v>
      </c>
      <c r="H365" t="str">
        <f>IF(AND(Controls_Raw!Q365&lt;DATE(2026,9,30),Controls_Raw!R365&lt;&gt;"Completed",Controls_Raw!R365&lt;&gt;"Not Required"),"Overdue","OK")</f>
        <v>OK</v>
      </c>
      <c r="I365" t="str">
        <f t="shared" si="5"/>
        <v>Pass</v>
      </c>
    </row>
    <row r="366" spans="1:9" x14ac:dyDescent="0.2">
      <c r="A366" t="str">
        <f>Controls_Raw!A366</f>
        <v>CTRL-0362</v>
      </c>
      <c r="B366" t="str">
        <f>IF(COUNTIF(Controls_Raw!$A$5:$A$1504,A366)&gt;1,"Duplicate","OK")</f>
        <v>OK</v>
      </c>
      <c r="C366" t="str">
        <f>IF(LEN(TRIM(Controls_Raw!I366))=0,"Missing","OK")</f>
        <v>OK</v>
      </c>
      <c r="D366" t="str">
        <f>IF(LEN(TRIM(Controls_Raw!N366))=0,"Missing","OK")</f>
        <v>OK</v>
      </c>
      <c r="E366" t="str">
        <f>IF(OR(Controls_Raw!G366="USA",Controls_Raw!G366="UK"),"Standardize","OK")</f>
        <v>OK</v>
      </c>
      <c r="F366" t="str">
        <f>IF(Controls_Raw!E366&lt;&gt;TRIM(Controls_Raw!E366),"Trim","OK")</f>
        <v>OK</v>
      </c>
      <c r="G366" t="str">
        <f>IF(AND(Controls_Raw!L366&lt;DATE(2026,9,30),Controls_Raw!M366&lt;&gt;"Completed"),"Overdue","OK")</f>
        <v>Overdue</v>
      </c>
      <c r="H366" t="str">
        <f>IF(AND(Controls_Raw!Q366&lt;DATE(2026,9,30),Controls_Raw!R366&lt;&gt;"Completed",Controls_Raw!R366&lt;&gt;"Not Required"),"Overdue","OK")</f>
        <v>Overdue</v>
      </c>
      <c r="I366" t="str">
        <f t="shared" si="5"/>
        <v>Issue</v>
      </c>
    </row>
    <row r="367" spans="1:9" x14ac:dyDescent="0.2">
      <c r="A367" t="str">
        <f>Controls_Raw!A367</f>
        <v>CTRL-0363</v>
      </c>
      <c r="B367" t="str">
        <f>IF(COUNTIF(Controls_Raw!$A$5:$A$1504,A367)&gt;1,"Duplicate","OK")</f>
        <v>OK</v>
      </c>
      <c r="C367" t="str">
        <f>IF(LEN(TRIM(Controls_Raw!I367))=0,"Missing","OK")</f>
        <v>OK</v>
      </c>
      <c r="D367" t="str">
        <f>IF(LEN(TRIM(Controls_Raw!N367))=0,"Missing","OK")</f>
        <v>OK</v>
      </c>
      <c r="E367" t="str">
        <f>IF(OR(Controls_Raw!G367="USA",Controls_Raw!G367="UK"),"Standardize","OK")</f>
        <v>OK</v>
      </c>
      <c r="F367" t="str">
        <f>IF(Controls_Raw!E367&lt;&gt;TRIM(Controls_Raw!E367),"Trim","OK")</f>
        <v>OK</v>
      </c>
      <c r="G367" t="str">
        <f>IF(AND(Controls_Raw!L367&lt;DATE(2026,9,30),Controls_Raw!M367&lt;&gt;"Completed"),"Overdue","OK")</f>
        <v>Overdue</v>
      </c>
      <c r="H367" t="str">
        <f>IF(AND(Controls_Raw!Q367&lt;DATE(2026,9,30),Controls_Raw!R367&lt;&gt;"Completed",Controls_Raw!R367&lt;&gt;"Not Required"),"Overdue","OK")</f>
        <v>OK</v>
      </c>
      <c r="I367" t="str">
        <f t="shared" si="5"/>
        <v>Issue</v>
      </c>
    </row>
    <row r="368" spans="1:9" x14ac:dyDescent="0.2">
      <c r="A368" t="str">
        <f>Controls_Raw!A368</f>
        <v>CTRL-0364</v>
      </c>
      <c r="B368" t="str">
        <f>IF(COUNTIF(Controls_Raw!$A$5:$A$1504,A368)&gt;1,"Duplicate","OK")</f>
        <v>OK</v>
      </c>
      <c r="C368" t="str">
        <f>IF(LEN(TRIM(Controls_Raw!I368))=0,"Missing","OK")</f>
        <v>OK</v>
      </c>
      <c r="D368" t="str">
        <f>IF(LEN(TRIM(Controls_Raw!N368))=0,"Missing","OK")</f>
        <v>OK</v>
      </c>
      <c r="E368" t="str">
        <f>IF(OR(Controls_Raw!G368="USA",Controls_Raw!G368="UK"),"Standardize","OK")</f>
        <v>OK</v>
      </c>
      <c r="F368" t="str">
        <f>IF(Controls_Raw!E368&lt;&gt;TRIM(Controls_Raw!E368),"Trim","OK")</f>
        <v>OK</v>
      </c>
      <c r="G368" t="str">
        <f>IF(AND(Controls_Raw!L368&lt;DATE(2026,9,30),Controls_Raw!M368&lt;&gt;"Completed"),"Overdue","OK")</f>
        <v>OK</v>
      </c>
      <c r="H368" t="str">
        <f>IF(AND(Controls_Raw!Q368&lt;DATE(2026,9,30),Controls_Raw!R368&lt;&gt;"Completed",Controls_Raw!R368&lt;&gt;"Not Required"),"Overdue","OK")</f>
        <v>OK</v>
      </c>
      <c r="I368" t="str">
        <f t="shared" si="5"/>
        <v>Pass</v>
      </c>
    </row>
    <row r="369" spans="1:9" x14ac:dyDescent="0.2">
      <c r="A369" t="str">
        <f>Controls_Raw!A369</f>
        <v>CTRL-0365</v>
      </c>
      <c r="B369" t="str">
        <f>IF(COUNTIF(Controls_Raw!$A$5:$A$1504,A369)&gt;1,"Duplicate","OK")</f>
        <v>OK</v>
      </c>
      <c r="C369" t="str">
        <f>IF(LEN(TRIM(Controls_Raw!I369))=0,"Missing","OK")</f>
        <v>OK</v>
      </c>
      <c r="D369" t="str">
        <f>IF(LEN(TRIM(Controls_Raw!N369))=0,"Missing","OK")</f>
        <v>OK</v>
      </c>
      <c r="E369" t="str">
        <f>IF(OR(Controls_Raw!G369="USA",Controls_Raw!G369="UK"),"Standardize","OK")</f>
        <v>OK</v>
      </c>
      <c r="F369" t="str">
        <f>IF(Controls_Raw!E369&lt;&gt;TRIM(Controls_Raw!E369),"Trim","OK")</f>
        <v>OK</v>
      </c>
      <c r="G369" t="str">
        <f>IF(AND(Controls_Raw!L369&lt;DATE(2026,9,30),Controls_Raw!M369&lt;&gt;"Completed"),"Overdue","OK")</f>
        <v>OK</v>
      </c>
      <c r="H369" t="str">
        <f>IF(AND(Controls_Raw!Q369&lt;DATE(2026,9,30),Controls_Raw!R369&lt;&gt;"Completed",Controls_Raw!R369&lt;&gt;"Not Required"),"Overdue","OK")</f>
        <v>OK</v>
      </c>
      <c r="I369" t="str">
        <f t="shared" si="5"/>
        <v>Pass</v>
      </c>
    </row>
    <row r="370" spans="1:9" x14ac:dyDescent="0.2">
      <c r="A370" t="str">
        <f>Controls_Raw!A370</f>
        <v>CTRL-0366</v>
      </c>
      <c r="B370" t="str">
        <f>IF(COUNTIF(Controls_Raw!$A$5:$A$1504,A370)&gt;1,"Duplicate","OK")</f>
        <v>OK</v>
      </c>
      <c r="C370" t="str">
        <f>IF(LEN(TRIM(Controls_Raw!I370))=0,"Missing","OK")</f>
        <v>OK</v>
      </c>
      <c r="D370" t="str">
        <f>IF(LEN(TRIM(Controls_Raw!N370))=0,"Missing","OK")</f>
        <v>OK</v>
      </c>
      <c r="E370" t="str">
        <f>IF(OR(Controls_Raw!G370="USA",Controls_Raw!G370="UK"),"Standardize","OK")</f>
        <v>OK</v>
      </c>
      <c r="F370" t="str">
        <f>IF(Controls_Raw!E370&lt;&gt;TRIM(Controls_Raw!E370),"Trim","OK")</f>
        <v>Trim</v>
      </c>
      <c r="G370" t="str">
        <f>IF(AND(Controls_Raw!L370&lt;DATE(2026,9,30),Controls_Raw!M370&lt;&gt;"Completed"),"Overdue","OK")</f>
        <v>OK</v>
      </c>
      <c r="H370" t="str">
        <f>IF(AND(Controls_Raw!Q370&lt;DATE(2026,9,30),Controls_Raw!R370&lt;&gt;"Completed",Controls_Raw!R370&lt;&gt;"Not Required"),"Overdue","OK")</f>
        <v>OK</v>
      </c>
      <c r="I370" t="str">
        <f t="shared" si="5"/>
        <v>Issue</v>
      </c>
    </row>
    <row r="371" spans="1:9" x14ac:dyDescent="0.2">
      <c r="A371" t="str">
        <f>Controls_Raw!A371</f>
        <v>CTRL-0367</v>
      </c>
      <c r="B371" t="str">
        <f>IF(COUNTIF(Controls_Raw!$A$5:$A$1504,A371)&gt;1,"Duplicate","OK")</f>
        <v>OK</v>
      </c>
      <c r="C371" t="str">
        <f>IF(LEN(TRIM(Controls_Raw!I371))=0,"Missing","OK")</f>
        <v>OK</v>
      </c>
      <c r="D371" t="str">
        <f>IF(LEN(TRIM(Controls_Raw!N371))=0,"Missing","OK")</f>
        <v>OK</v>
      </c>
      <c r="E371" t="str">
        <f>IF(OR(Controls_Raw!G371="USA",Controls_Raw!G371="UK"),"Standardize","OK")</f>
        <v>OK</v>
      </c>
      <c r="F371" t="str">
        <f>IF(Controls_Raw!E371&lt;&gt;TRIM(Controls_Raw!E371),"Trim","OK")</f>
        <v>OK</v>
      </c>
      <c r="G371" t="str">
        <f>IF(AND(Controls_Raw!L371&lt;DATE(2026,9,30),Controls_Raw!M371&lt;&gt;"Completed"),"Overdue","OK")</f>
        <v>OK</v>
      </c>
      <c r="H371" t="str">
        <f>IF(AND(Controls_Raw!Q371&lt;DATE(2026,9,30),Controls_Raw!R371&lt;&gt;"Completed",Controls_Raw!R371&lt;&gt;"Not Required"),"Overdue","OK")</f>
        <v>OK</v>
      </c>
      <c r="I371" t="str">
        <f t="shared" si="5"/>
        <v>Pass</v>
      </c>
    </row>
    <row r="372" spans="1:9" x14ac:dyDescent="0.2">
      <c r="A372" t="str">
        <f>Controls_Raw!A372</f>
        <v>CTRL-0368</v>
      </c>
      <c r="B372" t="str">
        <f>IF(COUNTIF(Controls_Raw!$A$5:$A$1504,A372)&gt;1,"Duplicate","OK")</f>
        <v>OK</v>
      </c>
      <c r="C372" t="str">
        <f>IF(LEN(TRIM(Controls_Raw!I372))=0,"Missing","OK")</f>
        <v>OK</v>
      </c>
      <c r="D372" t="str">
        <f>IF(LEN(TRIM(Controls_Raw!N372))=0,"Missing","OK")</f>
        <v>OK</v>
      </c>
      <c r="E372" t="str">
        <f>IF(OR(Controls_Raw!G372="USA",Controls_Raw!G372="UK"),"Standardize","OK")</f>
        <v>OK</v>
      </c>
      <c r="F372" t="str">
        <f>IF(Controls_Raw!E372&lt;&gt;TRIM(Controls_Raw!E372),"Trim","OK")</f>
        <v>OK</v>
      </c>
      <c r="G372" t="str">
        <f>IF(AND(Controls_Raw!L372&lt;DATE(2026,9,30),Controls_Raw!M372&lt;&gt;"Completed"),"Overdue","OK")</f>
        <v>OK</v>
      </c>
      <c r="H372" t="str">
        <f>IF(AND(Controls_Raw!Q372&lt;DATE(2026,9,30),Controls_Raw!R372&lt;&gt;"Completed",Controls_Raw!R372&lt;&gt;"Not Required"),"Overdue","OK")</f>
        <v>OK</v>
      </c>
      <c r="I372" t="str">
        <f t="shared" si="5"/>
        <v>Pass</v>
      </c>
    </row>
    <row r="373" spans="1:9" x14ac:dyDescent="0.2">
      <c r="A373" t="str">
        <f>Controls_Raw!A373</f>
        <v>CTRL-0369</v>
      </c>
      <c r="B373" t="str">
        <f>IF(COUNTIF(Controls_Raw!$A$5:$A$1504,A373)&gt;1,"Duplicate","OK")</f>
        <v>OK</v>
      </c>
      <c r="C373" t="str">
        <f>IF(LEN(TRIM(Controls_Raw!I373))=0,"Missing","OK")</f>
        <v>OK</v>
      </c>
      <c r="D373" t="str">
        <f>IF(LEN(TRIM(Controls_Raw!N373))=0,"Missing","OK")</f>
        <v>OK</v>
      </c>
      <c r="E373" t="str">
        <f>IF(OR(Controls_Raw!G373="USA",Controls_Raw!G373="UK"),"Standardize","OK")</f>
        <v>OK</v>
      </c>
      <c r="F373" t="str">
        <f>IF(Controls_Raw!E373&lt;&gt;TRIM(Controls_Raw!E373),"Trim","OK")</f>
        <v>OK</v>
      </c>
      <c r="G373" t="str">
        <f>IF(AND(Controls_Raw!L373&lt;DATE(2026,9,30),Controls_Raw!M373&lt;&gt;"Completed"),"Overdue","OK")</f>
        <v>OK</v>
      </c>
      <c r="H373" t="str">
        <f>IF(AND(Controls_Raw!Q373&lt;DATE(2026,9,30),Controls_Raw!R373&lt;&gt;"Completed",Controls_Raw!R373&lt;&gt;"Not Required"),"Overdue","OK")</f>
        <v>OK</v>
      </c>
      <c r="I373" t="str">
        <f t="shared" si="5"/>
        <v>Pass</v>
      </c>
    </row>
    <row r="374" spans="1:9" x14ac:dyDescent="0.2">
      <c r="A374" t="str">
        <f>Controls_Raw!A374</f>
        <v>CTRL-0370</v>
      </c>
      <c r="B374" t="str">
        <f>IF(COUNTIF(Controls_Raw!$A$5:$A$1504,A374)&gt;1,"Duplicate","OK")</f>
        <v>OK</v>
      </c>
      <c r="C374" t="str">
        <f>IF(LEN(TRIM(Controls_Raw!I374))=0,"Missing","OK")</f>
        <v>OK</v>
      </c>
      <c r="D374" t="str">
        <f>IF(LEN(TRIM(Controls_Raw!N374))=0,"Missing","OK")</f>
        <v>OK</v>
      </c>
      <c r="E374" t="str">
        <f>IF(OR(Controls_Raw!G374="USA",Controls_Raw!G374="UK"),"Standardize","OK")</f>
        <v>OK</v>
      </c>
      <c r="F374" t="str">
        <f>IF(Controls_Raw!E374&lt;&gt;TRIM(Controls_Raw!E374),"Trim","OK")</f>
        <v>OK</v>
      </c>
      <c r="G374" t="str">
        <f>IF(AND(Controls_Raw!L374&lt;DATE(2026,9,30),Controls_Raw!M374&lt;&gt;"Completed"),"Overdue","OK")</f>
        <v>Overdue</v>
      </c>
      <c r="H374" t="str">
        <f>IF(AND(Controls_Raw!Q374&lt;DATE(2026,9,30),Controls_Raw!R374&lt;&gt;"Completed",Controls_Raw!R374&lt;&gt;"Not Required"),"Overdue","OK")</f>
        <v>OK</v>
      </c>
      <c r="I374" t="str">
        <f t="shared" si="5"/>
        <v>Issue</v>
      </c>
    </row>
    <row r="375" spans="1:9" x14ac:dyDescent="0.2">
      <c r="A375" t="str">
        <f>Controls_Raw!A375</f>
        <v>CTRL-0371</v>
      </c>
      <c r="B375" t="str">
        <f>IF(COUNTIF(Controls_Raw!$A$5:$A$1504,A375)&gt;1,"Duplicate","OK")</f>
        <v>OK</v>
      </c>
      <c r="C375" t="str">
        <f>IF(LEN(TRIM(Controls_Raw!I375))=0,"Missing","OK")</f>
        <v>OK</v>
      </c>
      <c r="D375" t="str">
        <f>IF(LEN(TRIM(Controls_Raw!N375))=0,"Missing","OK")</f>
        <v>OK</v>
      </c>
      <c r="E375" t="str">
        <f>IF(OR(Controls_Raw!G375="USA",Controls_Raw!G375="UK"),"Standardize","OK")</f>
        <v>OK</v>
      </c>
      <c r="F375" t="str">
        <f>IF(Controls_Raw!E375&lt;&gt;TRIM(Controls_Raw!E375),"Trim","OK")</f>
        <v>OK</v>
      </c>
      <c r="G375" t="str">
        <f>IF(AND(Controls_Raw!L375&lt;DATE(2026,9,30),Controls_Raw!M375&lt;&gt;"Completed"),"Overdue","OK")</f>
        <v>Overdue</v>
      </c>
      <c r="H375" t="str">
        <f>IF(AND(Controls_Raw!Q375&lt;DATE(2026,9,30),Controls_Raw!R375&lt;&gt;"Completed",Controls_Raw!R375&lt;&gt;"Not Required"),"Overdue","OK")</f>
        <v>OK</v>
      </c>
      <c r="I375" t="str">
        <f t="shared" si="5"/>
        <v>Issue</v>
      </c>
    </row>
    <row r="376" spans="1:9" x14ac:dyDescent="0.2">
      <c r="A376" t="str">
        <f>Controls_Raw!A376</f>
        <v>CTRL-0372</v>
      </c>
      <c r="B376" t="str">
        <f>IF(COUNTIF(Controls_Raw!$A$5:$A$1504,A376)&gt;1,"Duplicate","OK")</f>
        <v>OK</v>
      </c>
      <c r="C376" t="str">
        <f>IF(LEN(TRIM(Controls_Raw!I376))=0,"Missing","OK")</f>
        <v>OK</v>
      </c>
      <c r="D376" t="str">
        <f>IF(LEN(TRIM(Controls_Raw!N376))=0,"Missing","OK")</f>
        <v>OK</v>
      </c>
      <c r="E376" t="str">
        <f>IF(OR(Controls_Raw!G376="USA",Controls_Raw!G376="UK"),"Standardize","OK")</f>
        <v>Standardize</v>
      </c>
      <c r="F376" t="str">
        <f>IF(Controls_Raw!E376&lt;&gt;TRIM(Controls_Raw!E376),"Trim","OK")</f>
        <v>OK</v>
      </c>
      <c r="G376" t="str">
        <f>IF(AND(Controls_Raw!L376&lt;DATE(2026,9,30),Controls_Raw!M376&lt;&gt;"Completed"),"Overdue","OK")</f>
        <v>OK</v>
      </c>
      <c r="H376" t="str">
        <f>IF(AND(Controls_Raw!Q376&lt;DATE(2026,9,30),Controls_Raw!R376&lt;&gt;"Completed",Controls_Raw!R376&lt;&gt;"Not Required"),"Overdue","OK")</f>
        <v>Overdue</v>
      </c>
      <c r="I376" t="str">
        <f t="shared" si="5"/>
        <v>Issue</v>
      </c>
    </row>
    <row r="377" spans="1:9" x14ac:dyDescent="0.2">
      <c r="A377" t="str">
        <f>Controls_Raw!A377</f>
        <v>CTRL-0373</v>
      </c>
      <c r="B377" t="str">
        <f>IF(COUNTIF(Controls_Raw!$A$5:$A$1504,A377)&gt;1,"Duplicate","OK")</f>
        <v>OK</v>
      </c>
      <c r="C377" t="str">
        <f>IF(LEN(TRIM(Controls_Raw!I377))=0,"Missing","OK")</f>
        <v>OK</v>
      </c>
      <c r="D377" t="str">
        <f>IF(LEN(TRIM(Controls_Raw!N377))=0,"Missing","OK")</f>
        <v>OK</v>
      </c>
      <c r="E377" t="str">
        <f>IF(OR(Controls_Raw!G377="USA",Controls_Raw!G377="UK"),"Standardize","OK")</f>
        <v>OK</v>
      </c>
      <c r="F377" t="str">
        <f>IF(Controls_Raw!E377&lt;&gt;TRIM(Controls_Raw!E377),"Trim","OK")</f>
        <v>OK</v>
      </c>
      <c r="G377" t="str">
        <f>IF(AND(Controls_Raw!L377&lt;DATE(2026,9,30),Controls_Raw!M377&lt;&gt;"Completed"),"Overdue","OK")</f>
        <v>OK</v>
      </c>
      <c r="H377" t="str">
        <f>IF(AND(Controls_Raw!Q377&lt;DATE(2026,9,30),Controls_Raw!R377&lt;&gt;"Completed",Controls_Raw!R377&lt;&gt;"Not Required"),"Overdue","OK")</f>
        <v>OK</v>
      </c>
      <c r="I377" t="str">
        <f t="shared" si="5"/>
        <v>Pass</v>
      </c>
    </row>
    <row r="378" spans="1:9" x14ac:dyDescent="0.2">
      <c r="A378" t="str">
        <f>Controls_Raw!A378</f>
        <v>CTRL-0374</v>
      </c>
      <c r="B378" t="str">
        <f>IF(COUNTIF(Controls_Raw!$A$5:$A$1504,A378)&gt;1,"Duplicate","OK")</f>
        <v>OK</v>
      </c>
      <c r="C378" t="str">
        <f>IF(LEN(TRIM(Controls_Raw!I378))=0,"Missing","OK")</f>
        <v>OK</v>
      </c>
      <c r="D378" t="str">
        <f>IF(LEN(TRIM(Controls_Raw!N378))=0,"Missing","OK")</f>
        <v>OK</v>
      </c>
      <c r="E378" t="str">
        <f>IF(OR(Controls_Raw!G378="USA",Controls_Raw!G378="UK"),"Standardize","OK")</f>
        <v>OK</v>
      </c>
      <c r="F378" t="str">
        <f>IF(Controls_Raw!E378&lt;&gt;TRIM(Controls_Raw!E378),"Trim","OK")</f>
        <v>OK</v>
      </c>
      <c r="G378" t="str">
        <f>IF(AND(Controls_Raw!L378&lt;DATE(2026,9,30),Controls_Raw!M378&lt;&gt;"Completed"),"Overdue","OK")</f>
        <v>Overdue</v>
      </c>
      <c r="H378" t="str">
        <f>IF(AND(Controls_Raw!Q378&lt;DATE(2026,9,30),Controls_Raw!R378&lt;&gt;"Completed",Controls_Raw!R378&lt;&gt;"Not Required"),"Overdue","OK")</f>
        <v>OK</v>
      </c>
      <c r="I378" t="str">
        <f t="shared" si="5"/>
        <v>Issue</v>
      </c>
    </row>
    <row r="379" spans="1:9" x14ac:dyDescent="0.2">
      <c r="A379" t="str">
        <f>Controls_Raw!A379</f>
        <v>CTRL-0375</v>
      </c>
      <c r="B379" t="str">
        <f>IF(COUNTIF(Controls_Raw!$A$5:$A$1504,A379)&gt;1,"Duplicate","OK")</f>
        <v>OK</v>
      </c>
      <c r="C379" t="str">
        <f>IF(LEN(TRIM(Controls_Raw!I379))=0,"Missing","OK")</f>
        <v>OK</v>
      </c>
      <c r="D379" t="str">
        <f>IF(LEN(TRIM(Controls_Raw!N379))=0,"Missing","OK")</f>
        <v>OK</v>
      </c>
      <c r="E379" t="str">
        <f>IF(OR(Controls_Raw!G379="USA",Controls_Raw!G379="UK"),"Standardize","OK")</f>
        <v>OK</v>
      </c>
      <c r="F379" t="str">
        <f>IF(Controls_Raw!E379&lt;&gt;TRIM(Controls_Raw!E379),"Trim","OK")</f>
        <v>OK</v>
      </c>
      <c r="G379" t="str">
        <f>IF(AND(Controls_Raw!L379&lt;DATE(2026,9,30),Controls_Raw!M379&lt;&gt;"Completed"),"Overdue","OK")</f>
        <v>OK</v>
      </c>
      <c r="H379" t="str">
        <f>IF(AND(Controls_Raw!Q379&lt;DATE(2026,9,30),Controls_Raw!R379&lt;&gt;"Completed",Controls_Raw!R379&lt;&gt;"Not Required"),"Overdue","OK")</f>
        <v>OK</v>
      </c>
      <c r="I379" t="str">
        <f t="shared" si="5"/>
        <v>Pass</v>
      </c>
    </row>
    <row r="380" spans="1:9" x14ac:dyDescent="0.2">
      <c r="A380" t="str">
        <f>Controls_Raw!A380</f>
        <v>CTRL-0376</v>
      </c>
      <c r="B380" t="str">
        <f>IF(COUNTIF(Controls_Raw!$A$5:$A$1504,A380)&gt;1,"Duplicate","OK")</f>
        <v>OK</v>
      </c>
      <c r="C380" t="str">
        <f>IF(LEN(TRIM(Controls_Raw!I380))=0,"Missing","OK")</f>
        <v>OK</v>
      </c>
      <c r="D380" t="str">
        <f>IF(LEN(TRIM(Controls_Raw!N380))=0,"Missing","OK")</f>
        <v>OK</v>
      </c>
      <c r="E380" t="str">
        <f>IF(OR(Controls_Raw!G380="USA",Controls_Raw!G380="UK"),"Standardize","OK")</f>
        <v>OK</v>
      </c>
      <c r="F380" t="str">
        <f>IF(Controls_Raw!E380&lt;&gt;TRIM(Controls_Raw!E380),"Trim","OK")</f>
        <v>OK</v>
      </c>
      <c r="G380" t="str">
        <f>IF(AND(Controls_Raw!L380&lt;DATE(2026,9,30),Controls_Raw!M380&lt;&gt;"Completed"),"Overdue","OK")</f>
        <v>OK</v>
      </c>
      <c r="H380" t="str">
        <f>IF(AND(Controls_Raw!Q380&lt;DATE(2026,9,30),Controls_Raw!R380&lt;&gt;"Completed",Controls_Raw!R380&lt;&gt;"Not Required"),"Overdue","OK")</f>
        <v>OK</v>
      </c>
      <c r="I380" t="str">
        <f t="shared" si="5"/>
        <v>Pass</v>
      </c>
    </row>
    <row r="381" spans="1:9" x14ac:dyDescent="0.2">
      <c r="A381" t="str">
        <f>Controls_Raw!A381</f>
        <v>CTRL-0377</v>
      </c>
      <c r="B381" t="str">
        <f>IF(COUNTIF(Controls_Raw!$A$5:$A$1504,A381)&gt;1,"Duplicate","OK")</f>
        <v>OK</v>
      </c>
      <c r="C381" t="str">
        <f>IF(LEN(TRIM(Controls_Raw!I381))=0,"Missing","OK")</f>
        <v>Missing</v>
      </c>
      <c r="D381" t="str">
        <f>IF(LEN(TRIM(Controls_Raw!N381))=0,"Missing","OK")</f>
        <v>OK</v>
      </c>
      <c r="E381" t="str">
        <f>IF(OR(Controls_Raw!G381="USA",Controls_Raw!G381="UK"),"Standardize","OK")</f>
        <v>OK</v>
      </c>
      <c r="F381" t="str">
        <f>IF(Controls_Raw!E381&lt;&gt;TRIM(Controls_Raw!E381),"Trim","OK")</f>
        <v>OK</v>
      </c>
      <c r="G381" t="str">
        <f>IF(AND(Controls_Raw!L381&lt;DATE(2026,9,30),Controls_Raw!M381&lt;&gt;"Completed"),"Overdue","OK")</f>
        <v>OK</v>
      </c>
      <c r="H381" t="str">
        <f>IF(AND(Controls_Raw!Q381&lt;DATE(2026,9,30),Controls_Raw!R381&lt;&gt;"Completed",Controls_Raw!R381&lt;&gt;"Not Required"),"Overdue","OK")</f>
        <v>OK</v>
      </c>
      <c r="I381" t="str">
        <f t="shared" si="5"/>
        <v>Issue</v>
      </c>
    </row>
    <row r="382" spans="1:9" x14ac:dyDescent="0.2">
      <c r="A382" t="str">
        <f>Controls_Raw!A382</f>
        <v>CTRL-0378</v>
      </c>
      <c r="B382" t="str">
        <f>IF(COUNTIF(Controls_Raw!$A$5:$A$1504,A382)&gt;1,"Duplicate","OK")</f>
        <v>OK</v>
      </c>
      <c r="C382" t="str">
        <f>IF(LEN(TRIM(Controls_Raw!I382))=0,"Missing","OK")</f>
        <v>OK</v>
      </c>
      <c r="D382" t="str">
        <f>IF(LEN(TRIM(Controls_Raw!N382))=0,"Missing","OK")</f>
        <v>OK</v>
      </c>
      <c r="E382" t="str">
        <f>IF(OR(Controls_Raw!G382="USA",Controls_Raw!G382="UK"),"Standardize","OK")</f>
        <v>OK</v>
      </c>
      <c r="F382" t="str">
        <f>IF(Controls_Raw!E382&lt;&gt;TRIM(Controls_Raw!E382),"Trim","OK")</f>
        <v>OK</v>
      </c>
      <c r="G382" t="str">
        <f>IF(AND(Controls_Raw!L382&lt;DATE(2026,9,30),Controls_Raw!M382&lt;&gt;"Completed"),"Overdue","OK")</f>
        <v>OK</v>
      </c>
      <c r="H382" t="str">
        <f>IF(AND(Controls_Raw!Q382&lt;DATE(2026,9,30),Controls_Raw!R382&lt;&gt;"Completed",Controls_Raw!R382&lt;&gt;"Not Required"),"Overdue","OK")</f>
        <v>OK</v>
      </c>
      <c r="I382" t="str">
        <f t="shared" si="5"/>
        <v>Pass</v>
      </c>
    </row>
    <row r="383" spans="1:9" x14ac:dyDescent="0.2">
      <c r="A383" t="str">
        <f>Controls_Raw!A383</f>
        <v>CTRL-0379</v>
      </c>
      <c r="B383" t="str">
        <f>IF(COUNTIF(Controls_Raw!$A$5:$A$1504,A383)&gt;1,"Duplicate","OK")</f>
        <v>OK</v>
      </c>
      <c r="C383" t="str">
        <f>IF(LEN(TRIM(Controls_Raw!I383))=0,"Missing","OK")</f>
        <v>OK</v>
      </c>
      <c r="D383" t="str">
        <f>IF(LEN(TRIM(Controls_Raw!N383))=0,"Missing","OK")</f>
        <v>OK</v>
      </c>
      <c r="E383" t="str">
        <f>IF(OR(Controls_Raw!G383="USA",Controls_Raw!G383="UK"),"Standardize","OK")</f>
        <v>OK</v>
      </c>
      <c r="F383" t="str">
        <f>IF(Controls_Raw!E383&lt;&gt;TRIM(Controls_Raw!E383),"Trim","OK")</f>
        <v>OK</v>
      </c>
      <c r="G383" t="str">
        <f>IF(AND(Controls_Raw!L383&lt;DATE(2026,9,30),Controls_Raw!M383&lt;&gt;"Completed"),"Overdue","OK")</f>
        <v>OK</v>
      </c>
      <c r="H383" t="str">
        <f>IF(AND(Controls_Raw!Q383&lt;DATE(2026,9,30),Controls_Raw!R383&lt;&gt;"Completed",Controls_Raw!R383&lt;&gt;"Not Required"),"Overdue","OK")</f>
        <v>OK</v>
      </c>
      <c r="I383" t="str">
        <f t="shared" si="5"/>
        <v>Pass</v>
      </c>
    </row>
    <row r="384" spans="1:9" x14ac:dyDescent="0.2">
      <c r="A384" t="str">
        <f>Controls_Raw!A384</f>
        <v>CTRL-0380</v>
      </c>
      <c r="B384" t="str">
        <f>IF(COUNTIF(Controls_Raw!$A$5:$A$1504,A384)&gt;1,"Duplicate","OK")</f>
        <v>OK</v>
      </c>
      <c r="C384" t="str">
        <f>IF(LEN(TRIM(Controls_Raw!I384))=0,"Missing","OK")</f>
        <v>OK</v>
      </c>
      <c r="D384" t="str">
        <f>IF(LEN(TRIM(Controls_Raw!N384))=0,"Missing","OK")</f>
        <v>OK</v>
      </c>
      <c r="E384" t="str">
        <f>IF(OR(Controls_Raw!G384="USA",Controls_Raw!G384="UK"),"Standardize","OK")</f>
        <v>OK</v>
      </c>
      <c r="F384" t="str">
        <f>IF(Controls_Raw!E384&lt;&gt;TRIM(Controls_Raw!E384),"Trim","OK")</f>
        <v>OK</v>
      </c>
      <c r="G384" t="str">
        <f>IF(AND(Controls_Raw!L384&lt;DATE(2026,9,30),Controls_Raw!M384&lt;&gt;"Completed"),"Overdue","OK")</f>
        <v>OK</v>
      </c>
      <c r="H384" t="str">
        <f>IF(AND(Controls_Raw!Q384&lt;DATE(2026,9,30),Controls_Raw!R384&lt;&gt;"Completed",Controls_Raw!R384&lt;&gt;"Not Required"),"Overdue","OK")</f>
        <v>OK</v>
      </c>
      <c r="I384" t="str">
        <f t="shared" si="5"/>
        <v>Pass</v>
      </c>
    </row>
    <row r="385" spans="1:9" x14ac:dyDescent="0.2">
      <c r="A385" t="str">
        <f>Controls_Raw!A385</f>
        <v>CTRL-0381</v>
      </c>
      <c r="B385" t="str">
        <f>IF(COUNTIF(Controls_Raw!$A$5:$A$1504,A385)&gt;1,"Duplicate","OK")</f>
        <v>OK</v>
      </c>
      <c r="C385" t="str">
        <f>IF(LEN(TRIM(Controls_Raw!I385))=0,"Missing","OK")</f>
        <v>OK</v>
      </c>
      <c r="D385" t="str">
        <f>IF(LEN(TRIM(Controls_Raw!N385))=0,"Missing","OK")</f>
        <v>OK</v>
      </c>
      <c r="E385" t="str">
        <f>IF(OR(Controls_Raw!G385="USA",Controls_Raw!G385="UK"),"Standardize","OK")</f>
        <v>OK</v>
      </c>
      <c r="F385" t="str">
        <f>IF(Controls_Raw!E385&lt;&gt;TRIM(Controls_Raw!E385),"Trim","OK")</f>
        <v>OK</v>
      </c>
      <c r="G385" t="str">
        <f>IF(AND(Controls_Raw!L385&lt;DATE(2026,9,30),Controls_Raw!M385&lt;&gt;"Completed"),"Overdue","OK")</f>
        <v>Overdue</v>
      </c>
      <c r="H385" t="str">
        <f>IF(AND(Controls_Raw!Q385&lt;DATE(2026,9,30),Controls_Raw!R385&lt;&gt;"Completed",Controls_Raw!R385&lt;&gt;"Not Required"),"Overdue","OK")</f>
        <v>OK</v>
      </c>
      <c r="I385" t="str">
        <f t="shared" si="5"/>
        <v>Issue</v>
      </c>
    </row>
    <row r="386" spans="1:9" x14ac:dyDescent="0.2">
      <c r="A386" t="str">
        <f>Controls_Raw!A386</f>
        <v>CTRL-0382</v>
      </c>
      <c r="B386" t="str">
        <f>IF(COUNTIF(Controls_Raw!$A$5:$A$1504,A386)&gt;1,"Duplicate","OK")</f>
        <v>OK</v>
      </c>
      <c r="C386" t="str">
        <f>IF(LEN(TRIM(Controls_Raw!I386))=0,"Missing","OK")</f>
        <v>OK</v>
      </c>
      <c r="D386" t="str">
        <f>IF(LEN(TRIM(Controls_Raw!N386))=0,"Missing","OK")</f>
        <v>OK</v>
      </c>
      <c r="E386" t="str">
        <f>IF(OR(Controls_Raw!G386="USA",Controls_Raw!G386="UK"),"Standardize","OK")</f>
        <v>OK</v>
      </c>
      <c r="F386" t="str">
        <f>IF(Controls_Raw!E386&lt;&gt;TRIM(Controls_Raw!E386),"Trim","OK")</f>
        <v>OK</v>
      </c>
      <c r="G386" t="str">
        <f>IF(AND(Controls_Raw!L386&lt;DATE(2026,9,30),Controls_Raw!M386&lt;&gt;"Completed"),"Overdue","OK")</f>
        <v>Overdue</v>
      </c>
      <c r="H386" t="str">
        <f>IF(AND(Controls_Raw!Q386&lt;DATE(2026,9,30),Controls_Raw!R386&lt;&gt;"Completed",Controls_Raw!R386&lt;&gt;"Not Required"),"Overdue","OK")</f>
        <v>OK</v>
      </c>
      <c r="I386" t="str">
        <f t="shared" si="5"/>
        <v>Issue</v>
      </c>
    </row>
    <row r="387" spans="1:9" x14ac:dyDescent="0.2">
      <c r="A387" t="str">
        <f>Controls_Raw!A387</f>
        <v>CTRL-0383</v>
      </c>
      <c r="B387" t="str">
        <f>IF(COUNTIF(Controls_Raw!$A$5:$A$1504,A387)&gt;1,"Duplicate","OK")</f>
        <v>OK</v>
      </c>
      <c r="C387" t="str">
        <f>IF(LEN(TRIM(Controls_Raw!I387))=0,"Missing","OK")</f>
        <v>OK</v>
      </c>
      <c r="D387" t="str">
        <f>IF(LEN(TRIM(Controls_Raw!N387))=0,"Missing","OK")</f>
        <v>OK</v>
      </c>
      <c r="E387" t="str">
        <f>IF(OR(Controls_Raw!G387="USA",Controls_Raw!G387="UK"),"Standardize","OK")</f>
        <v>OK</v>
      </c>
      <c r="F387" t="str">
        <f>IF(Controls_Raw!E387&lt;&gt;TRIM(Controls_Raw!E387),"Trim","OK")</f>
        <v>OK</v>
      </c>
      <c r="G387" t="str">
        <f>IF(AND(Controls_Raw!L387&lt;DATE(2026,9,30),Controls_Raw!M387&lt;&gt;"Completed"),"Overdue","OK")</f>
        <v>OK</v>
      </c>
      <c r="H387" t="str">
        <f>IF(AND(Controls_Raw!Q387&lt;DATE(2026,9,30),Controls_Raw!R387&lt;&gt;"Completed",Controls_Raw!R387&lt;&gt;"Not Required"),"Overdue","OK")</f>
        <v>OK</v>
      </c>
      <c r="I387" t="str">
        <f t="shared" si="5"/>
        <v>Pass</v>
      </c>
    </row>
    <row r="388" spans="1:9" x14ac:dyDescent="0.2">
      <c r="A388" t="str">
        <f>Controls_Raw!A388</f>
        <v>CTRL-0384</v>
      </c>
      <c r="B388" t="str">
        <f>IF(COUNTIF(Controls_Raw!$A$5:$A$1504,A388)&gt;1,"Duplicate","OK")</f>
        <v>OK</v>
      </c>
      <c r="C388" t="str">
        <f>IF(LEN(TRIM(Controls_Raw!I388))=0,"Missing","OK")</f>
        <v>OK</v>
      </c>
      <c r="D388" t="str">
        <f>IF(LEN(TRIM(Controls_Raw!N388))=0,"Missing","OK")</f>
        <v>OK</v>
      </c>
      <c r="E388" t="str">
        <f>IF(OR(Controls_Raw!G388="USA",Controls_Raw!G388="UK"),"Standardize","OK")</f>
        <v>OK</v>
      </c>
      <c r="F388" t="str">
        <f>IF(Controls_Raw!E388&lt;&gt;TRIM(Controls_Raw!E388),"Trim","OK")</f>
        <v>OK</v>
      </c>
      <c r="G388" t="str">
        <f>IF(AND(Controls_Raw!L388&lt;DATE(2026,9,30),Controls_Raw!M388&lt;&gt;"Completed"),"Overdue","OK")</f>
        <v>OK</v>
      </c>
      <c r="H388" t="str">
        <f>IF(AND(Controls_Raw!Q388&lt;DATE(2026,9,30),Controls_Raw!R388&lt;&gt;"Completed",Controls_Raw!R388&lt;&gt;"Not Required"),"Overdue","OK")</f>
        <v>Overdue</v>
      </c>
      <c r="I388" t="str">
        <f t="shared" si="5"/>
        <v>Issue</v>
      </c>
    </row>
    <row r="389" spans="1:9" x14ac:dyDescent="0.2">
      <c r="A389" t="str">
        <f>Controls_Raw!A389</f>
        <v>CTRL-0385</v>
      </c>
      <c r="B389" t="str">
        <f>IF(COUNTIF(Controls_Raw!$A$5:$A$1504,A389)&gt;1,"Duplicate","OK")</f>
        <v>OK</v>
      </c>
      <c r="C389" t="str">
        <f>IF(LEN(TRIM(Controls_Raw!I389))=0,"Missing","OK")</f>
        <v>OK</v>
      </c>
      <c r="D389" t="str">
        <f>IF(LEN(TRIM(Controls_Raw!N389))=0,"Missing","OK")</f>
        <v>OK</v>
      </c>
      <c r="E389" t="str">
        <f>IF(OR(Controls_Raw!G389="USA",Controls_Raw!G389="UK"),"Standardize","OK")</f>
        <v>OK</v>
      </c>
      <c r="F389" t="str">
        <f>IF(Controls_Raw!E389&lt;&gt;TRIM(Controls_Raw!E389),"Trim","OK")</f>
        <v>OK</v>
      </c>
      <c r="G389" t="str">
        <f>IF(AND(Controls_Raw!L389&lt;DATE(2026,9,30),Controls_Raw!M389&lt;&gt;"Completed"),"Overdue","OK")</f>
        <v>OK</v>
      </c>
      <c r="H389" t="str">
        <f>IF(AND(Controls_Raw!Q389&lt;DATE(2026,9,30),Controls_Raw!R389&lt;&gt;"Completed",Controls_Raw!R389&lt;&gt;"Not Required"),"Overdue","OK")</f>
        <v>Overdue</v>
      </c>
      <c r="I389" t="str">
        <f t="shared" ref="I389:I452" si="6">IF(COUNTIF(B389:H389,"&lt;&gt;OK")&gt;0,"Issue","Pass")</f>
        <v>Issue</v>
      </c>
    </row>
    <row r="390" spans="1:9" x14ac:dyDescent="0.2">
      <c r="A390" t="str">
        <f>Controls_Raw!A390</f>
        <v>CTRL-0386</v>
      </c>
      <c r="B390" t="str">
        <f>IF(COUNTIF(Controls_Raw!$A$5:$A$1504,A390)&gt;1,"Duplicate","OK")</f>
        <v>OK</v>
      </c>
      <c r="C390" t="str">
        <f>IF(LEN(TRIM(Controls_Raw!I390))=0,"Missing","OK")</f>
        <v>OK</v>
      </c>
      <c r="D390" t="str">
        <f>IF(LEN(TRIM(Controls_Raw!N390))=0,"Missing","OK")</f>
        <v>OK</v>
      </c>
      <c r="E390" t="str">
        <f>IF(OR(Controls_Raw!G390="USA",Controls_Raw!G390="UK"),"Standardize","OK")</f>
        <v>OK</v>
      </c>
      <c r="F390" t="str">
        <f>IF(Controls_Raw!E390&lt;&gt;TRIM(Controls_Raw!E390),"Trim","OK")</f>
        <v>OK</v>
      </c>
      <c r="G390" t="str">
        <f>IF(AND(Controls_Raw!L390&lt;DATE(2026,9,30),Controls_Raw!M390&lt;&gt;"Completed"),"Overdue","OK")</f>
        <v>Overdue</v>
      </c>
      <c r="H390" t="str">
        <f>IF(AND(Controls_Raw!Q390&lt;DATE(2026,9,30),Controls_Raw!R390&lt;&gt;"Completed",Controls_Raw!R390&lt;&gt;"Not Required"),"Overdue","OK")</f>
        <v>Overdue</v>
      </c>
      <c r="I390" t="str">
        <f t="shared" si="6"/>
        <v>Issue</v>
      </c>
    </row>
    <row r="391" spans="1:9" x14ac:dyDescent="0.2">
      <c r="A391" t="str">
        <f>Controls_Raw!A391</f>
        <v>CTRL-0387</v>
      </c>
      <c r="B391" t="str">
        <f>IF(COUNTIF(Controls_Raw!$A$5:$A$1504,A391)&gt;1,"Duplicate","OK")</f>
        <v>OK</v>
      </c>
      <c r="C391" t="str">
        <f>IF(LEN(TRIM(Controls_Raw!I391))=0,"Missing","OK")</f>
        <v>OK</v>
      </c>
      <c r="D391" t="str">
        <f>IF(LEN(TRIM(Controls_Raw!N391))=0,"Missing","OK")</f>
        <v>OK</v>
      </c>
      <c r="E391" t="str">
        <f>IF(OR(Controls_Raw!G391="USA",Controls_Raw!G391="UK"),"Standardize","OK")</f>
        <v>OK</v>
      </c>
      <c r="F391" t="str">
        <f>IF(Controls_Raw!E391&lt;&gt;TRIM(Controls_Raw!E391),"Trim","OK")</f>
        <v>OK</v>
      </c>
      <c r="G391" t="str">
        <f>IF(AND(Controls_Raw!L391&lt;DATE(2026,9,30),Controls_Raw!M391&lt;&gt;"Completed"),"Overdue","OK")</f>
        <v>Overdue</v>
      </c>
      <c r="H391" t="str">
        <f>IF(AND(Controls_Raw!Q391&lt;DATE(2026,9,30),Controls_Raw!R391&lt;&gt;"Completed",Controls_Raw!R391&lt;&gt;"Not Required"),"Overdue","OK")</f>
        <v>OK</v>
      </c>
      <c r="I391" t="str">
        <f t="shared" si="6"/>
        <v>Issue</v>
      </c>
    </row>
    <row r="392" spans="1:9" x14ac:dyDescent="0.2">
      <c r="A392" t="str">
        <f>Controls_Raw!A392</f>
        <v>CTRL-0388</v>
      </c>
      <c r="B392" t="str">
        <f>IF(COUNTIF(Controls_Raw!$A$5:$A$1504,A392)&gt;1,"Duplicate","OK")</f>
        <v>OK</v>
      </c>
      <c r="C392" t="str">
        <f>IF(LEN(TRIM(Controls_Raw!I392))=0,"Missing","OK")</f>
        <v>OK</v>
      </c>
      <c r="D392" t="str">
        <f>IF(LEN(TRIM(Controls_Raw!N392))=0,"Missing","OK")</f>
        <v>OK</v>
      </c>
      <c r="E392" t="str">
        <f>IF(OR(Controls_Raw!G392="USA",Controls_Raw!G392="UK"),"Standardize","OK")</f>
        <v>OK</v>
      </c>
      <c r="F392" t="str">
        <f>IF(Controls_Raw!E392&lt;&gt;TRIM(Controls_Raw!E392),"Trim","OK")</f>
        <v>OK</v>
      </c>
      <c r="G392" t="str">
        <f>IF(AND(Controls_Raw!L392&lt;DATE(2026,9,30),Controls_Raw!M392&lt;&gt;"Completed"),"Overdue","OK")</f>
        <v>Overdue</v>
      </c>
      <c r="H392" t="str">
        <f>IF(AND(Controls_Raw!Q392&lt;DATE(2026,9,30),Controls_Raw!R392&lt;&gt;"Completed",Controls_Raw!R392&lt;&gt;"Not Required"),"Overdue","OK")</f>
        <v>Overdue</v>
      </c>
      <c r="I392" t="str">
        <f t="shared" si="6"/>
        <v>Issue</v>
      </c>
    </row>
    <row r="393" spans="1:9" x14ac:dyDescent="0.2">
      <c r="A393" t="str">
        <f>Controls_Raw!A393</f>
        <v>CTRL-0389</v>
      </c>
      <c r="B393" t="str">
        <f>IF(COUNTIF(Controls_Raw!$A$5:$A$1504,A393)&gt;1,"Duplicate","OK")</f>
        <v>OK</v>
      </c>
      <c r="C393" t="str">
        <f>IF(LEN(TRIM(Controls_Raw!I393))=0,"Missing","OK")</f>
        <v>OK</v>
      </c>
      <c r="D393" t="str">
        <f>IF(LEN(TRIM(Controls_Raw!N393))=0,"Missing","OK")</f>
        <v>OK</v>
      </c>
      <c r="E393" t="str">
        <f>IF(OR(Controls_Raw!G393="USA",Controls_Raw!G393="UK"),"Standardize","OK")</f>
        <v>OK</v>
      </c>
      <c r="F393" t="str">
        <f>IF(Controls_Raw!E393&lt;&gt;TRIM(Controls_Raw!E393),"Trim","OK")</f>
        <v>OK</v>
      </c>
      <c r="G393" t="str">
        <f>IF(AND(Controls_Raw!L393&lt;DATE(2026,9,30),Controls_Raw!M393&lt;&gt;"Completed"),"Overdue","OK")</f>
        <v>OK</v>
      </c>
      <c r="H393" t="str">
        <f>IF(AND(Controls_Raw!Q393&lt;DATE(2026,9,30),Controls_Raw!R393&lt;&gt;"Completed",Controls_Raw!R393&lt;&gt;"Not Required"),"Overdue","OK")</f>
        <v>Overdue</v>
      </c>
      <c r="I393" t="str">
        <f t="shared" si="6"/>
        <v>Issue</v>
      </c>
    </row>
    <row r="394" spans="1:9" x14ac:dyDescent="0.2">
      <c r="A394" t="str">
        <f>Controls_Raw!A394</f>
        <v>CTRL-0390</v>
      </c>
      <c r="B394" t="str">
        <f>IF(COUNTIF(Controls_Raw!$A$5:$A$1504,A394)&gt;1,"Duplicate","OK")</f>
        <v>OK</v>
      </c>
      <c r="C394" t="str">
        <f>IF(LEN(TRIM(Controls_Raw!I394))=0,"Missing","OK")</f>
        <v>OK</v>
      </c>
      <c r="D394" t="str">
        <f>IF(LEN(TRIM(Controls_Raw!N394))=0,"Missing","OK")</f>
        <v>OK</v>
      </c>
      <c r="E394" t="str">
        <f>IF(OR(Controls_Raw!G394="USA",Controls_Raw!G394="UK"),"Standardize","OK")</f>
        <v>OK</v>
      </c>
      <c r="F394" t="str">
        <f>IF(Controls_Raw!E394&lt;&gt;TRIM(Controls_Raw!E394),"Trim","OK")</f>
        <v>OK</v>
      </c>
      <c r="G394" t="str">
        <f>IF(AND(Controls_Raw!L394&lt;DATE(2026,9,30),Controls_Raw!M394&lt;&gt;"Completed"),"Overdue","OK")</f>
        <v>OK</v>
      </c>
      <c r="H394" t="str">
        <f>IF(AND(Controls_Raw!Q394&lt;DATE(2026,9,30),Controls_Raw!R394&lt;&gt;"Completed",Controls_Raw!R394&lt;&gt;"Not Required"),"Overdue","OK")</f>
        <v>OK</v>
      </c>
      <c r="I394" t="str">
        <f t="shared" si="6"/>
        <v>Pass</v>
      </c>
    </row>
    <row r="395" spans="1:9" x14ac:dyDescent="0.2">
      <c r="A395" t="str">
        <f>Controls_Raw!A395</f>
        <v>CTRL-0391</v>
      </c>
      <c r="B395" t="str">
        <f>IF(COUNTIF(Controls_Raw!$A$5:$A$1504,A395)&gt;1,"Duplicate","OK")</f>
        <v>OK</v>
      </c>
      <c r="C395" t="str">
        <f>IF(LEN(TRIM(Controls_Raw!I395))=0,"Missing","OK")</f>
        <v>OK</v>
      </c>
      <c r="D395" t="str">
        <f>IF(LEN(TRIM(Controls_Raw!N395))=0,"Missing","OK")</f>
        <v>OK</v>
      </c>
      <c r="E395" t="str">
        <f>IF(OR(Controls_Raw!G395="USA",Controls_Raw!G395="UK"),"Standardize","OK")</f>
        <v>OK</v>
      </c>
      <c r="F395" t="str">
        <f>IF(Controls_Raw!E395&lt;&gt;TRIM(Controls_Raw!E395),"Trim","OK")</f>
        <v>OK</v>
      </c>
      <c r="G395" t="str">
        <f>IF(AND(Controls_Raw!L395&lt;DATE(2026,9,30),Controls_Raw!M395&lt;&gt;"Completed"),"Overdue","OK")</f>
        <v>Overdue</v>
      </c>
      <c r="H395" t="str">
        <f>IF(AND(Controls_Raw!Q395&lt;DATE(2026,9,30),Controls_Raw!R395&lt;&gt;"Completed",Controls_Raw!R395&lt;&gt;"Not Required"),"Overdue","OK")</f>
        <v>OK</v>
      </c>
      <c r="I395" t="str">
        <f t="shared" si="6"/>
        <v>Issue</v>
      </c>
    </row>
    <row r="396" spans="1:9" x14ac:dyDescent="0.2">
      <c r="A396" t="str">
        <f>Controls_Raw!A396</f>
        <v>CTRL-0392</v>
      </c>
      <c r="B396" t="str">
        <f>IF(COUNTIF(Controls_Raw!$A$5:$A$1504,A396)&gt;1,"Duplicate","OK")</f>
        <v>OK</v>
      </c>
      <c r="C396" t="str">
        <f>IF(LEN(TRIM(Controls_Raw!I396))=0,"Missing","OK")</f>
        <v>OK</v>
      </c>
      <c r="D396" t="str">
        <f>IF(LEN(TRIM(Controls_Raw!N396))=0,"Missing","OK")</f>
        <v>OK</v>
      </c>
      <c r="E396" t="str">
        <f>IF(OR(Controls_Raw!G396="USA",Controls_Raw!G396="UK"),"Standardize","OK")</f>
        <v>OK</v>
      </c>
      <c r="F396" t="str">
        <f>IF(Controls_Raw!E396&lt;&gt;TRIM(Controls_Raw!E396),"Trim","OK")</f>
        <v>OK</v>
      </c>
      <c r="G396" t="str">
        <f>IF(AND(Controls_Raw!L396&lt;DATE(2026,9,30),Controls_Raw!M396&lt;&gt;"Completed"),"Overdue","OK")</f>
        <v>Overdue</v>
      </c>
      <c r="H396" t="str">
        <f>IF(AND(Controls_Raw!Q396&lt;DATE(2026,9,30),Controls_Raw!R396&lt;&gt;"Completed",Controls_Raw!R396&lt;&gt;"Not Required"),"Overdue","OK")</f>
        <v>OK</v>
      </c>
      <c r="I396" t="str">
        <f t="shared" si="6"/>
        <v>Issue</v>
      </c>
    </row>
    <row r="397" spans="1:9" x14ac:dyDescent="0.2">
      <c r="A397" t="str">
        <f>Controls_Raw!A397</f>
        <v>CTRL-0393</v>
      </c>
      <c r="B397" t="str">
        <f>IF(COUNTIF(Controls_Raw!$A$5:$A$1504,A397)&gt;1,"Duplicate","OK")</f>
        <v>OK</v>
      </c>
      <c r="C397" t="str">
        <f>IF(LEN(TRIM(Controls_Raw!I397))=0,"Missing","OK")</f>
        <v>OK</v>
      </c>
      <c r="D397" t="str">
        <f>IF(LEN(TRIM(Controls_Raw!N397))=0,"Missing","OK")</f>
        <v>OK</v>
      </c>
      <c r="E397" t="str">
        <f>IF(OR(Controls_Raw!G397="USA",Controls_Raw!G397="UK"),"Standardize","OK")</f>
        <v>OK</v>
      </c>
      <c r="F397" t="str">
        <f>IF(Controls_Raw!E397&lt;&gt;TRIM(Controls_Raw!E397),"Trim","OK")</f>
        <v>OK</v>
      </c>
      <c r="G397" t="str">
        <f>IF(AND(Controls_Raw!L397&lt;DATE(2026,9,30),Controls_Raw!M397&lt;&gt;"Completed"),"Overdue","OK")</f>
        <v>OK</v>
      </c>
      <c r="H397" t="str">
        <f>IF(AND(Controls_Raw!Q397&lt;DATE(2026,9,30),Controls_Raw!R397&lt;&gt;"Completed",Controls_Raw!R397&lt;&gt;"Not Required"),"Overdue","OK")</f>
        <v>OK</v>
      </c>
      <c r="I397" t="str">
        <f t="shared" si="6"/>
        <v>Pass</v>
      </c>
    </row>
    <row r="398" spans="1:9" x14ac:dyDescent="0.2">
      <c r="A398" t="str">
        <f>Controls_Raw!A398</f>
        <v>CTRL-0394</v>
      </c>
      <c r="B398" t="str">
        <f>IF(COUNTIF(Controls_Raw!$A$5:$A$1504,A398)&gt;1,"Duplicate","OK")</f>
        <v>OK</v>
      </c>
      <c r="C398" t="str">
        <f>IF(LEN(TRIM(Controls_Raw!I398))=0,"Missing","OK")</f>
        <v>OK</v>
      </c>
      <c r="D398" t="str">
        <f>IF(LEN(TRIM(Controls_Raw!N398))=0,"Missing","OK")</f>
        <v>OK</v>
      </c>
      <c r="E398" t="str">
        <f>IF(OR(Controls_Raw!G398="USA",Controls_Raw!G398="UK"),"Standardize","OK")</f>
        <v>OK</v>
      </c>
      <c r="F398" t="str">
        <f>IF(Controls_Raw!E398&lt;&gt;TRIM(Controls_Raw!E398),"Trim","OK")</f>
        <v>OK</v>
      </c>
      <c r="G398" t="str">
        <f>IF(AND(Controls_Raw!L398&lt;DATE(2026,9,30),Controls_Raw!M398&lt;&gt;"Completed"),"Overdue","OK")</f>
        <v>OK</v>
      </c>
      <c r="H398" t="str">
        <f>IF(AND(Controls_Raw!Q398&lt;DATE(2026,9,30),Controls_Raw!R398&lt;&gt;"Completed",Controls_Raw!R398&lt;&gt;"Not Required"),"Overdue","OK")</f>
        <v>OK</v>
      </c>
      <c r="I398" t="str">
        <f t="shared" si="6"/>
        <v>Pass</v>
      </c>
    </row>
    <row r="399" spans="1:9" x14ac:dyDescent="0.2">
      <c r="A399" t="str">
        <f>Controls_Raw!A399</f>
        <v>CTRL-0395</v>
      </c>
      <c r="B399" t="str">
        <f>IF(COUNTIF(Controls_Raw!$A$5:$A$1504,A399)&gt;1,"Duplicate","OK")</f>
        <v>OK</v>
      </c>
      <c r="C399" t="str">
        <f>IF(LEN(TRIM(Controls_Raw!I399))=0,"Missing","OK")</f>
        <v>OK</v>
      </c>
      <c r="D399" t="str">
        <f>IF(LEN(TRIM(Controls_Raw!N399))=0,"Missing","OK")</f>
        <v>OK</v>
      </c>
      <c r="E399" t="str">
        <f>IF(OR(Controls_Raw!G399="USA",Controls_Raw!G399="UK"),"Standardize","OK")</f>
        <v>OK</v>
      </c>
      <c r="F399" t="str">
        <f>IF(Controls_Raw!E399&lt;&gt;TRIM(Controls_Raw!E399),"Trim","OK")</f>
        <v>OK</v>
      </c>
      <c r="G399" t="str">
        <f>IF(AND(Controls_Raw!L399&lt;DATE(2026,9,30),Controls_Raw!M399&lt;&gt;"Completed"),"Overdue","OK")</f>
        <v>OK</v>
      </c>
      <c r="H399" t="str">
        <f>IF(AND(Controls_Raw!Q399&lt;DATE(2026,9,30),Controls_Raw!R399&lt;&gt;"Completed",Controls_Raw!R399&lt;&gt;"Not Required"),"Overdue","OK")</f>
        <v>OK</v>
      </c>
      <c r="I399" t="str">
        <f t="shared" si="6"/>
        <v>Pass</v>
      </c>
    </row>
    <row r="400" spans="1:9" x14ac:dyDescent="0.2">
      <c r="A400" t="str">
        <f>Controls_Raw!A400</f>
        <v>CTRL-0396</v>
      </c>
      <c r="B400" t="str">
        <f>IF(COUNTIF(Controls_Raw!$A$5:$A$1504,A400)&gt;1,"Duplicate","OK")</f>
        <v>OK</v>
      </c>
      <c r="C400" t="str">
        <f>IF(LEN(TRIM(Controls_Raw!I400))=0,"Missing","OK")</f>
        <v>OK</v>
      </c>
      <c r="D400" t="str">
        <f>IF(LEN(TRIM(Controls_Raw!N400))=0,"Missing","OK")</f>
        <v>OK</v>
      </c>
      <c r="E400" t="str">
        <f>IF(OR(Controls_Raw!G400="USA",Controls_Raw!G400="UK"),"Standardize","OK")</f>
        <v>OK</v>
      </c>
      <c r="F400" t="str">
        <f>IF(Controls_Raw!E400&lt;&gt;TRIM(Controls_Raw!E400),"Trim","OK")</f>
        <v>OK</v>
      </c>
      <c r="G400" t="str">
        <f>IF(AND(Controls_Raw!L400&lt;DATE(2026,9,30),Controls_Raw!M400&lt;&gt;"Completed"),"Overdue","OK")</f>
        <v>OK</v>
      </c>
      <c r="H400" t="str">
        <f>IF(AND(Controls_Raw!Q400&lt;DATE(2026,9,30),Controls_Raw!R400&lt;&gt;"Completed",Controls_Raw!R400&lt;&gt;"Not Required"),"Overdue","OK")</f>
        <v>Overdue</v>
      </c>
      <c r="I400" t="str">
        <f t="shared" si="6"/>
        <v>Issue</v>
      </c>
    </row>
    <row r="401" spans="1:9" x14ac:dyDescent="0.2">
      <c r="A401" t="str">
        <f>Controls_Raw!A401</f>
        <v>CTRL-0397</v>
      </c>
      <c r="B401" t="str">
        <f>IF(COUNTIF(Controls_Raw!$A$5:$A$1504,A401)&gt;1,"Duplicate","OK")</f>
        <v>OK</v>
      </c>
      <c r="C401" t="str">
        <f>IF(LEN(TRIM(Controls_Raw!I401))=0,"Missing","OK")</f>
        <v>OK</v>
      </c>
      <c r="D401" t="str">
        <f>IF(LEN(TRIM(Controls_Raw!N401))=0,"Missing","OK")</f>
        <v>OK</v>
      </c>
      <c r="E401" t="str">
        <f>IF(OR(Controls_Raw!G401="USA",Controls_Raw!G401="UK"),"Standardize","OK")</f>
        <v>OK</v>
      </c>
      <c r="F401" t="str">
        <f>IF(Controls_Raw!E401&lt;&gt;TRIM(Controls_Raw!E401),"Trim","OK")</f>
        <v>OK</v>
      </c>
      <c r="G401" t="str">
        <f>IF(AND(Controls_Raw!L401&lt;DATE(2026,9,30),Controls_Raw!M401&lt;&gt;"Completed"),"Overdue","OK")</f>
        <v>Overdue</v>
      </c>
      <c r="H401" t="str">
        <f>IF(AND(Controls_Raw!Q401&lt;DATE(2026,9,30),Controls_Raw!R401&lt;&gt;"Completed",Controls_Raw!R401&lt;&gt;"Not Required"),"Overdue","OK")</f>
        <v>OK</v>
      </c>
      <c r="I401" t="str">
        <f t="shared" si="6"/>
        <v>Issue</v>
      </c>
    </row>
    <row r="402" spans="1:9" x14ac:dyDescent="0.2">
      <c r="A402" t="str">
        <f>Controls_Raw!A402</f>
        <v>CTRL-0398</v>
      </c>
      <c r="B402" t="str">
        <f>IF(COUNTIF(Controls_Raw!$A$5:$A$1504,A402)&gt;1,"Duplicate","OK")</f>
        <v>OK</v>
      </c>
      <c r="C402" t="str">
        <f>IF(LEN(TRIM(Controls_Raw!I402))=0,"Missing","OK")</f>
        <v>OK</v>
      </c>
      <c r="D402" t="str">
        <f>IF(LEN(TRIM(Controls_Raw!N402))=0,"Missing","OK")</f>
        <v>OK</v>
      </c>
      <c r="E402" t="str">
        <f>IF(OR(Controls_Raw!G402="USA",Controls_Raw!G402="UK"),"Standardize","OK")</f>
        <v>OK</v>
      </c>
      <c r="F402" t="str">
        <f>IF(Controls_Raw!E402&lt;&gt;TRIM(Controls_Raw!E402),"Trim","OK")</f>
        <v>OK</v>
      </c>
      <c r="G402" t="str">
        <f>IF(AND(Controls_Raw!L402&lt;DATE(2026,9,30),Controls_Raw!M402&lt;&gt;"Completed"),"Overdue","OK")</f>
        <v>OK</v>
      </c>
      <c r="H402" t="str">
        <f>IF(AND(Controls_Raw!Q402&lt;DATE(2026,9,30),Controls_Raw!R402&lt;&gt;"Completed",Controls_Raw!R402&lt;&gt;"Not Required"),"Overdue","OK")</f>
        <v>OK</v>
      </c>
      <c r="I402" t="str">
        <f t="shared" si="6"/>
        <v>Pass</v>
      </c>
    </row>
    <row r="403" spans="1:9" x14ac:dyDescent="0.2">
      <c r="A403" t="str">
        <f>Controls_Raw!A403</f>
        <v>CTRL-0399</v>
      </c>
      <c r="B403" t="str">
        <f>IF(COUNTIF(Controls_Raw!$A$5:$A$1504,A403)&gt;1,"Duplicate","OK")</f>
        <v>OK</v>
      </c>
      <c r="C403" t="str">
        <f>IF(LEN(TRIM(Controls_Raw!I403))=0,"Missing","OK")</f>
        <v>OK</v>
      </c>
      <c r="D403" t="str">
        <f>IF(LEN(TRIM(Controls_Raw!N403))=0,"Missing","OK")</f>
        <v>OK</v>
      </c>
      <c r="E403" t="str">
        <f>IF(OR(Controls_Raw!G403="USA",Controls_Raw!G403="UK"),"Standardize","OK")</f>
        <v>OK</v>
      </c>
      <c r="F403" t="str">
        <f>IF(Controls_Raw!E403&lt;&gt;TRIM(Controls_Raw!E403),"Trim","OK")</f>
        <v>OK</v>
      </c>
      <c r="G403" t="str">
        <f>IF(AND(Controls_Raw!L403&lt;DATE(2026,9,30),Controls_Raw!M403&lt;&gt;"Completed"),"Overdue","OK")</f>
        <v>Overdue</v>
      </c>
      <c r="H403" t="str">
        <f>IF(AND(Controls_Raw!Q403&lt;DATE(2026,9,30),Controls_Raw!R403&lt;&gt;"Completed",Controls_Raw!R403&lt;&gt;"Not Required"),"Overdue","OK")</f>
        <v>OK</v>
      </c>
      <c r="I403" t="str">
        <f t="shared" si="6"/>
        <v>Issue</v>
      </c>
    </row>
    <row r="404" spans="1:9" x14ac:dyDescent="0.2">
      <c r="A404" t="str">
        <f>Controls_Raw!A404</f>
        <v>CTRL-0400</v>
      </c>
      <c r="B404" t="str">
        <f>IF(COUNTIF(Controls_Raw!$A$5:$A$1504,A404)&gt;1,"Duplicate","OK")</f>
        <v>OK</v>
      </c>
      <c r="C404" t="str">
        <f>IF(LEN(TRIM(Controls_Raw!I404))=0,"Missing","OK")</f>
        <v>OK</v>
      </c>
      <c r="D404" t="str">
        <f>IF(LEN(TRIM(Controls_Raw!N404))=0,"Missing","OK")</f>
        <v>OK</v>
      </c>
      <c r="E404" t="str">
        <f>IF(OR(Controls_Raw!G404="USA",Controls_Raw!G404="UK"),"Standardize","OK")</f>
        <v>OK</v>
      </c>
      <c r="F404" t="str">
        <f>IF(Controls_Raw!E404&lt;&gt;TRIM(Controls_Raw!E404),"Trim","OK")</f>
        <v>OK</v>
      </c>
      <c r="G404" t="str">
        <f>IF(AND(Controls_Raw!L404&lt;DATE(2026,9,30),Controls_Raw!M404&lt;&gt;"Completed"),"Overdue","OK")</f>
        <v>OK</v>
      </c>
      <c r="H404" t="str">
        <f>IF(AND(Controls_Raw!Q404&lt;DATE(2026,9,30),Controls_Raw!R404&lt;&gt;"Completed",Controls_Raw!R404&lt;&gt;"Not Required"),"Overdue","OK")</f>
        <v>OK</v>
      </c>
      <c r="I404" t="str">
        <f t="shared" si="6"/>
        <v>Pass</v>
      </c>
    </row>
    <row r="405" spans="1:9" x14ac:dyDescent="0.2">
      <c r="A405" t="str">
        <f>Controls_Raw!A405</f>
        <v>CTRL-0401</v>
      </c>
      <c r="B405" t="str">
        <f>IF(COUNTIF(Controls_Raw!$A$5:$A$1504,A405)&gt;1,"Duplicate","OK")</f>
        <v>OK</v>
      </c>
      <c r="C405" t="str">
        <f>IF(LEN(TRIM(Controls_Raw!I405))=0,"Missing","OK")</f>
        <v>OK</v>
      </c>
      <c r="D405" t="str">
        <f>IF(LEN(TRIM(Controls_Raw!N405))=0,"Missing","OK")</f>
        <v>OK</v>
      </c>
      <c r="E405" t="str">
        <f>IF(OR(Controls_Raw!G405="USA",Controls_Raw!G405="UK"),"Standardize","OK")</f>
        <v>OK</v>
      </c>
      <c r="F405" t="str">
        <f>IF(Controls_Raw!E405&lt;&gt;TRIM(Controls_Raw!E405),"Trim","OK")</f>
        <v>OK</v>
      </c>
      <c r="G405" t="str">
        <f>IF(AND(Controls_Raw!L405&lt;DATE(2026,9,30),Controls_Raw!M405&lt;&gt;"Completed"),"Overdue","OK")</f>
        <v>Overdue</v>
      </c>
      <c r="H405" t="str">
        <f>IF(AND(Controls_Raw!Q405&lt;DATE(2026,9,30),Controls_Raw!R405&lt;&gt;"Completed",Controls_Raw!R405&lt;&gt;"Not Required"),"Overdue","OK")</f>
        <v>Overdue</v>
      </c>
      <c r="I405" t="str">
        <f t="shared" si="6"/>
        <v>Issue</v>
      </c>
    </row>
    <row r="406" spans="1:9" x14ac:dyDescent="0.2">
      <c r="A406" t="str">
        <f>Controls_Raw!A406</f>
        <v>CTRL-0402</v>
      </c>
      <c r="B406" t="str">
        <f>IF(COUNTIF(Controls_Raw!$A$5:$A$1504,A406)&gt;1,"Duplicate","OK")</f>
        <v>OK</v>
      </c>
      <c r="C406" t="str">
        <f>IF(LEN(TRIM(Controls_Raw!I406))=0,"Missing","OK")</f>
        <v>OK</v>
      </c>
      <c r="D406" t="str">
        <f>IF(LEN(TRIM(Controls_Raw!N406))=0,"Missing","OK")</f>
        <v>OK</v>
      </c>
      <c r="E406" t="str">
        <f>IF(OR(Controls_Raw!G406="USA",Controls_Raw!G406="UK"),"Standardize","OK")</f>
        <v>OK</v>
      </c>
      <c r="F406" t="str">
        <f>IF(Controls_Raw!E406&lt;&gt;TRIM(Controls_Raw!E406),"Trim","OK")</f>
        <v>OK</v>
      </c>
      <c r="G406" t="str">
        <f>IF(AND(Controls_Raw!L406&lt;DATE(2026,9,30),Controls_Raw!M406&lt;&gt;"Completed"),"Overdue","OK")</f>
        <v>Overdue</v>
      </c>
      <c r="H406" t="str">
        <f>IF(AND(Controls_Raw!Q406&lt;DATE(2026,9,30),Controls_Raw!R406&lt;&gt;"Completed",Controls_Raw!R406&lt;&gt;"Not Required"),"Overdue","OK")</f>
        <v>OK</v>
      </c>
      <c r="I406" t="str">
        <f t="shared" si="6"/>
        <v>Issue</v>
      </c>
    </row>
    <row r="407" spans="1:9" x14ac:dyDescent="0.2">
      <c r="A407" t="str">
        <f>Controls_Raw!A407</f>
        <v>CTRL-0403</v>
      </c>
      <c r="B407" t="str">
        <f>IF(COUNTIF(Controls_Raw!$A$5:$A$1504,A407)&gt;1,"Duplicate","OK")</f>
        <v>OK</v>
      </c>
      <c r="C407" t="str">
        <f>IF(LEN(TRIM(Controls_Raw!I407))=0,"Missing","OK")</f>
        <v>OK</v>
      </c>
      <c r="D407" t="str">
        <f>IF(LEN(TRIM(Controls_Raw!N407))=0,"Missing","OK")</f>
        <v>OK</v>
      </c>
      <c r="E407" t="str">
        <f>IF(OR(Controls_Raw!G407="USA",Controls_Raw!G407="UK"),"Standardize","OK")</f>
        <v>OK</v>
      </c>
      <c r="F407" t="str">
        <f>IF(Controls_Raw!E407&lt;&gt;TRIM(Controls_Raw!E407),"Trim","OK")</f>
        <v>OK</v>
      </c>
      <c r="G407" t="str">
        <f>IF(AND(Controls_Raw!L407&lt;DATE(2026,9,30),Controls_Raw!M407&lt;&gt;"Completed"),"Overdue","OK")</f>
        <v>Overdue</v>
      </c>
      <c r="H407" t="str">
        <f>IF(AND(Controls_Raw!Q407&lt;DATE(2026,9,30),Controls_Raw!R407&lt;&gt;"Completed",Controls_Raw!R407&lt;&gt;"Not Required"),"Overdue","OK")</f>
        <v>Overdue</v>
      </c>
      <c r="I407" t="str">
        <f t="shared" si="6"/>
        <v>Issue</v>
      </c>
    </row>
    <row r="408" spans="1:9" x14ac:dyDescent="0.2">
      <c r="A408" t="str">
        <f>Controls_Raw!A408</f>
        <v>CTRL-0404</v>
      </c>
      <c r="B408" t="str">
        <f>IF(COUNTIF(Controls_Raw!$A$5:$A$1504,A408)&gt;1,"Duplicate","OK")</f>
        <v>OK</v>
      </c>
      <c r="C408" t="str">
        <f>IF(LEN(TRIM(Controls_Raw!I408))=0,"Missing","OK")</f>
        <v>OK</v>
      </c>
      <c r="D408" t="str">
        <f>IF(LEN(TRIM(Controls_Raw!N408))=0,"Missing","OK")</f>
        <v>OK</v>
      </c>
      <c r="E408" t="str">
        <f>IF(OR(Controls_Raw!G408="USA",Controls_Raw!G408="UK"),"Standardize","OK")</f>
        <v>OK</v>
      </c>
      <c r="F408" t="str">
        <f>IF(Controls_Raw!E408&lt;&gt;TRIM(Controls_Raw!E408),"Trim","OK")</f>
        <v>OK</v>
      </c>
      <c r="G408" t="str">
        <f>IF(AND(Controls_Raw!L408&lt;DATE(2026,9,30),Controls_Raw!M408&lt;&gt;"Completed"),"Overdue","OK")</f>
        <v>Overdue</v>
      </c>
      <c r="H408" t="str">
        <f>IF(AND(Controls_Raw!Q408&lt;DATE(2026,9,30),Controls_Raw!R408&lt;&gt;"Completed",Controls_Raw!R408&lt;&gt;"Not Required"),"Overdue","OK")</f>
        <v>OK</v>
      </c>
      <c r="I408" t="str">
        <f t="shared" si="6"/>
        <v>Issue</v>
      </c>
    </row>
    <row r="409" spans="1:9" x14ac:dyDescent="0.2">
      <c r="A409" t="str">
        <f>Controls_Raw!A409</f>
        <v>CTRL-0405</v>
      </c>
      <c r="B409" t="str">
        <f>IF(COUNTIF(Controls_Raw!$A$5:$A$1504,A409)&gt;1,"Duplicate","OK")</f>
        <v>OK</v>
      </c>
      <c r="C409" t="str">
        <f>IF(LEN(TRIM(Controls_Raw!I409))=0,"Missing","OK")</f>
        <v>OK</v>
      </c>
      <c r="D409" t="str">
        <f>IF(LEN(TRIM(Controls_Raw!N409))=0,"Missing","OK")</f>
        <v>OK</v>
      </c>
      <c r="E409" t="str">
        <f>IF(OR(Controls_Raw!G409="USA",Controls_Raw!G409="UK"),"Standardize","OK")</f>
        <v>OK</v>
      </c>
      <c r="F409" t="str">
        <f>IF(Controls_Raw!E409&lt;&gt;TRIM(Controls_Raw!E409),"Trim","OK")</f>
        <v>OK</v>
      </c>
      <c r="G409" t="str">
        <f>IF(AND(Controls_Raw!L409&lt;DATE(2026,9,30),Controls_Raw!M409&lt;&gt;"Completed"),"Overdue","OK")</f>
        <v>Overdue</v>
      </c>
      <c r="H409" t="str">
        <f>IF(AND(Controls_Raw!Q409&lt;DATE(2026,9,30),Controls_Raw!R409&lt;&gt;"Completed",Controls_Raw!R409&lt;&gt;"Not Required"),"Overdue","OK")</f>
        <v>OK</v>
      </c>
      <c r="I409" t="str">
        <f t="shared" si="6"/>
        <v>Issue</v>
      </c>
    </row>
    <row r="410" spans="1:9" x14ac:dyDescent="0.2">
      <c r="A410" t="str">
        <f>Controls_Raw!A410</f>
        <v>CTRL-0406</v>
      </c>
      <c r="B410" t="str">
        <f>IF(COUNTIF(Controls_Raw!$A$5:$A$1504,A410)&gt;1,"Duplicate","OK")</f>
        <v>OK</v>
      </c>
      <c r="C410" t="str">
        <f>IF(LEN(TRIM(Controls_Raw!I410))=0,"Missing","OK")</f>
        <v>OK</v>
      </c>
      <c r="D410" t="str">
        <f>IF(LEN(TRIM(Controls_Raw!N410))=0,"Missing","OK")</f>
        <v>OK</v>
      </c>
      <c r="E410" t="str">
        <f>IF(OR(Controls_Raw!G410="USA",Controls_Raw!G410="UK"),"Standardize","OK")</f>
        <v>OK</v>
      </c>
      <c r="F410" t="str">
        <f>IF(Controls_Raw!E410&lt;&gt;TRIM(Controls_Raw!E410),"Trim","OK")</f>
        <v>OK</v>
      </c>
      <c r="G410" t="str">
        <f>IF(AND(Controls_Raw!L410&lt;DATE(2026,9,30),Controls_Raw!M410&lt;&gt;"Completed"),"Overdue","OK")</f>
        <v>Overdue</v>
      </c>
      <c r="H410" t="str">
        <f>IF(AND(Controls_Raw!Q410&lt;DATE(2026,9,30),Controls_Raw!R410&lt;&gt;"Completed",Controls_Raw!R410&lt;&gt;"Not Required"),"Overdue","OK")</f>
        <v>Overdue</v>
      </c>
      <c r="I410" t="str">
        <f t="shared" si="6"/>
        <v>Issue</v>
      </c>
    </row>
    <row r="411" spans="1:9" x14ac:dyDescent="0.2">
      <c r="A411" t="str">
        <f>Controls_Raw!A411</f>
        <v>CTRL-0407</v>
      </c>
      <c r="B411" t="str">
        <f>IF(COUNTIF(Controls_Raw!$A$5:$A$1504,A411)&gt;1,"Duplicate","OK")</f>
        <v>OK</v>
      </c>
      <c r="C411" t="str">
        <f>IF(LEN(TRIM(Controls_Raw!I411))=0,"Missing","OK")</f>
        <v>OK</v>
      </c>
      <c r="D411" t="str">
        <f>IF(LEN(TRIM(Controls_Raw!N411))=0,"Missing","OK")</f>
        <v>OK</v>
      </c>
      <c r="E411" t="str">
        <f>IF(OR(Controls_Raw!G411="USA",Controls_Raw!G411="UK"),"Standardize","OK")</f>
        <v>OK</v>
      </c>
      <c r="F411" t="str">
        <f>IF(Controls_Raw!E411&lt;&gt;TRIM(Controls_Raw!E411),"Trim","OK")</f>
        <v>OK</v>
      </c>
      <c r="G411" t="str">
        <f>IF(AND(Controls_Raw!L411&lt;DATE(2026,9,30),Controls_Raw!M411&lt;&gt;"Completed"),"Overdue","OK")</f>
        <v>OK</v>
      </c>
      <c r="H411" t="str">
        <f>IF(AND(Controls_Raw!Q411&lt;DATE(2026,9,30),Controls_Raw!R411&lt;&gt;"Completed",Controls_Raw!R411&lt;&gt;"Not Required"),"Overdue","OK")</f>
        <v>OK</v>
      </c>
      <c r="I411" t="str">
        <f t="shared" si="6"/>
        <v>Pass</v>
      </c>
    </row>
    <row r="412" spans="1:9" x14ac:dyDescent="0.2">
      <c r="A412" t="str">
        <f>Controls_Raw!A412</f>
        <v>CTRL-0408</v>
      </c>
      <c r="B412" t="str">
        <f>IF(COUNTIF(Controls_Raw!$A$5:$A$1504,A412)&gt;1,"Duplicate","OK")</f>
        <v>OK</v>
      </c>
      <c r="C412" t="str">
        <f>IF(LEN(TRIM(Controls_Raw!I412))=0,"Missing","OK")</f>
        <v>OK</v>
      </c>
      <c r="D412" t="str">
        <f>IF(LEN(TRIM(Controls_Raw!N412))=0,"Missing","OK")</f>
        <v>OK</v>
      </c>
      <c r="E412" t="str">
        <f>IF(OR(Controls_Raw!G412="USA",Controls_Raw!G412="UK"),"Standardize","OK")</f>
        <v>OK</v>
      </c>
      <c r="F412" t="str">
        <f>IF(Controls_Raw!E412&lt;&gt;TRIM(Controls_Raw!E412),"Trim","OK")</f>
        <v>OK</v>
      </c>
      <c r="G412" t="str">
        <f>IF(AND(Controls_Raw!L412&lt;DATE(2026,9,30),Controls_Raw!M412&lt;&gt;"Completed"),"Overdue","OK")</f>
        <v>OK</v>
      </c>
      <c r="H412" t="str">
        <f>IF(AND(Controls_Raw!Q412&lt;DATE(2026,9,30),Controls_Raw!R412&lt;&gt;"Completed",Controls_Raw!R412&lt;&gt;"Not Required"),"Overdue","OK")</f>
        <v>OK</v>
      </c>
      <c r="I412" t="str">
        <f t="shared" si="6"/>
        <v>Pass</v>
      </c>
    </row>
    <row r="413" spans="1:9" x14ac:dyDescent="0.2">
      <c r="A413" t="str">
        <f>Controls_Raw!A413</f>
        <v>CTRL-0409</v>
      </c>
      <c r="B413" t="str">
        <f>IF(COUNTIF(Controls_Raw!$A$5:$A$1504,A413)&gt;1,"Duplicate","OK")</f>
        <v>OK</v>
      </c>
      <c r="C413" t="str">
        <f>IF(LEN(TRIM(Controls_Raw!I413))=0,"Missing","OK")</f>
        <v>OK</v>
      </c>
      <c r="D413" t="str">
        <f>IF(LEN(TRIM(Controls_Raw!N413))=0,"Missing","OK")</f>
        <v>OK</v>
      </c>
      <c r="E413" t="str">
        <f>IF(OR(Controls_Raw!G413="USA",Controls_Raw!G413="UK"),"Standardize","OK")</f>
        <v>OK</v>
      </c>
      <c r="F413" t="str">
        <f>IF(Controls_Raw!E413&lt;&gt;TRIM(Controls_Raw!E413),"Trim","OK")</f>
        <v>OK</v>
      </c>
      <c r="G413" t="str">
        <f>IF(AND(Controls_Raw!L413&lt;DATE(2026,9,30),Controls_Raw!M413&lt;&gt;"Completed"),"Overdue","OK")</f>
        <v>Overdue</v>
      </c>
      <c r="H413" t="str">
        <f>IF(AND(Controls_Raw!Q413&lt;DATE(2026,9,30),Controls_Raw!R413&lt;&gt;"Completed",Controls_Raw!R413&lt;&gt;"Not Required"),"Overdue","OK")</f>
        <v>OK</v>
      </c>
      <c r="I413" t="str">
        <f t="shared" si="6"/>
        <v>Issue</v>
      </c>
    </row>
    <row r="414" spans="1:9" x14ac:dyDescent="0.2">
      <c r="A414" t="str">
        <f>Controls_Raw!A414</f>
        <v>CTRL-0410</v>
      </c>
      <c r="B414" t="str">
        <f>IF(COUNTIF(Controls_Raw!$A$5:$A$1504,A414)&gt;1,"Duplicate","OK")</f>
        <v>OK</v>
      </c>
      <c r="C414" t="str">
        <f>IF(LEN(TRIM(Controls_Raw!I414))=0,"Missing","OK")</f>
        <v>OK</v>
      </c>
      <c r="D414" t="str">
        <f>IF(LEN(TRIM(Controls_Raw!N414))=0,"Missing","OK")</f>
        <v>OK</v>
      </c>
      <c r="E414" t="str">
        <f>IF(OR(Controls_Raw!G414="USA",Controls_Raw!G414="UK"),"Standardize","OK")</f>
        <v>OK</v>
      </c>
      <c r="F414" t="str">
        <f>IF(Controls_Raw!E414&lt;&gt;TRIM(Controls_Raw!E414),"Trim","OK")</f>
        <v>OK</v>
      </c>
      <c r="G414" t="str">
        <f>IF(AND(Controls_Raw!L414&lt;DATE(2026,9,30),Controls_Raw!M414&lt;&gt;"Completed"),"Overdue","OK")</f>
        <v>Overdue</v>
      </c>
      <c r="H414" t="str">
        <f>IF(AND(Controls_Raw!Q414&lt;DATE(2026,9,30),Controls_Raw!R414&lt;&gt;"Completed",Controls_Raw!R414&lt;&gt;"Not Required"),"Overdue","OK")</f>
        <v>OK</v>
      </c>
      <c r="I414" t="str">
        <f t="shared" si="6"/>
        <v>Issue</v>
      </c>
    </row>
    <row r="415" spans="1:9" x14ac:dyDescent="0.2">
      <c r="A415" t="str">
        <f>Controls_Raw!A415</f>
        <v>CTRL-0411</v>
      </c>
      <c r="B415" t="str">
        <f>IF(COUNTIF(Controls_Raw!$A$5:$A$1504,A415)&gt;1,"Duplicate","OK")</f>
        <v>OK</v>
      </c>
      <c r="C415" t="str">
        <f>IF(LEN(TRIM(Controls_Raw!I415))=0,"Missing","OK")</f>
        <v>OK</v>
      </c>
      <c r="D415" t="str">
        <f>IF(LEN(TRIM(Controls_Raw!N415))=0,"Missing","OK")</f>
        <v>OK</v>
      </c>
      <c r="E415" t="str">
        <f>IF(OR(Controls_Raw!G415="USA",Controls_Raw!G415="UK"),"Standardize","OK")</f>
        <v>OK</v>
      </c>
      <c r="F415" t="str">
        <f>IF(Controls_Raw!E415&lt;&gt;TRIM(Controls_Raw!E415),"Trim","OK")</f>
        <v>OK</v>
      </c>
      <c r="G415" t="str">
        <f>IF(AND(Controls_Raw!L415&lt;DATE(2026,9,30),Controls_Raw!M415&lt;&gt;"Completed"),"Overdue","OK")</f>
        <v>Overdue</v>
      </c>
      <c r="H415" t="str">
        <f>IF(AND(Controls_Raw!Q415&lt;DATE(2026,9,30),Controls_Raw!R415&lt;&gt;"Completed",Controls_Raw!R415&lt;&gt;"Not Required"),"Overdue","OK")</f>
        <v>OK</v>
      </c>
      <c r="I415" t="str">
        <f t="shared" si="6"/>
        <v>Issue</v>
      </c>
    </row>
    <row r="416" spans="1:9" x14ac:dyDescent="0.2">
      <c r="A416" t="str">
        <f>Controls_Raw!A416</f>
        <v>CTRL-0412</v>
      </c>
      <c r="B416" t="str">
        <f>IF(COUNTIF(Controls_Raw!$A$5:$A$1504,A416)&gt;1,"Duplicate","OK")</f>
        <v>OK</v>
      </c>
      <c r="C416" t="str">
        <f>IF(LEN(TRIM(Controls_Raw!I416))=0,"Missing","OK")</f>
        <v>OK</v>
      </c>
      <c r="D416" t="str">
        <f>IF(LEN(TRIM(Controls_Raw!N416))=0,"Missing","OK")</f>
        <v>OK</v>
      </c>
      <c r="E416" t="str">
        <f>IF(OR(Controls_Raw!G416="USA",Controls_Raw!G416="UK"),"Standardize","OK")</f>
        <v>OK</v>
      </c>
      <c r="F416" t="str">
        <f>IF(Controls_Raw!E416&lt;&gt;TRIM(Controls_Raw!E416),"Trim","OK")</f>
        <v>OK</v>
      </c>
      <c r="G416" t="str">
        <f>IF(AND(Controls_Raw!L416&lt;DATE(2026,9,30),Controls_Raw!M416&lt;&gt;"Completed"),"Overdue","OK")</f>
        <v>Overdue</v>
      </c>
      <c r="H416" t="str">
        <f>IF(AND(Controls_Raw!Q416&lt;DATE(2026,9,30),Controls_Raw!R416&lt;&gt;"Completed",Controls_Raw!R416&lt;&gt;"Not Required"),"Overdue","OK")</f>
        <v>Overdue</v>
      </c>
      <c r="I416" t="str">
        <f t="shared" si="6"/>
        <v>Issue</v>
      </c>
    </row>
    <row r="417" spans="1:9" x14ac:dyDescent="0.2">
      <c r="A417" t="str">
        <f>Controls_Raw!A417</f>
        <v>CTRL-0413</v>
      </c>
      <c r="B417" t="str">
        <f>IF(COUNTIF(Controls_Raw!$A$5:$A$1504,A417)&gt;1,"Duplicate","OK")</f>
        <v>OK</v>
      </c>
      <c r="C417" t="str">
        <f>IF(LEN(TRIM(Controls_Raw!I417))=0,"Missing","OK")</f>
        <v>OK</v>
      </c>
      <c r="D417" t="str">
        <f>IF(LEN(TRIM(Controls_Raw!N417))=0,"Missing","OK")</f>
        <v>OK</v>
      </c>
      <c r="E417" t="str">
        <f>IF(OR(Controls_Raw!G417="USA",Controls_Raw!G417="UK"),"Standardize","OK")</f>
        <v>OK</v>
      </c>
      <c r="F417" t="str">
        <f>IF(Controls_Raw!E417&lt;&gt;TRIM(Controls_Raw!E417),"Trim","OK")</f>
        <v>OK</v>
      </c>
      <c r="G417" t="str">
        <f>IF(AND(Controls_Raw!L417&lt;DATE(2026,9,30),Controls_Raw!M417&lt;&gt;"Completed"),"Overdue","OK")</f>
        <v>OK</v>
      </c>
      <c r="H417" t="str">
        <f>IF(AND(Controls_Raw!Q417&lt;DATE(2026,9,30),Controls_Raw!R417&lt;&gt;"Completed",Controls_Raw!R417&lt;&gt;"Not Required"),"Overdue","OK")</f>
        <v>Overdue</v>
      </c>
      <c r="I417" t="str">
        <f t="shared" si="6"/>
        <v>Issue</v>
      </c>
    </row>
    <row r="418" spans="1:9" x14ac:dyDescent="0.2">
      <c r="A418" t="str">
        <f>Controls_Raw!A418</f>
        <v>CTRL-0414</v>
      </c>
      <c r="B418" t="str">
        <f>IF(COUNTIF(Controls_Raw!$A$5:$A$1504,A418)&gt;1,"Duplicate","OK")</f>
        <v>OK</v>
      </c>
      <c r="C418" t="str">
        <f>IF(LEN(TRIM(Controls_Raw!I418))=0,"Missing","OK")</f>
        <v>OK</v>
      </c>
      <c r="D418" t="str">
        <f>IF(LEN(TRIM(Controls_Raw!N418))=0,"Missing","OK")</f>
        <v>OK</v>
      </c>
      <c r="E418" t="str">
        <f>IF(OR(Controls_Raw!G418="USA",Controls_Raw!G418="UK"),"Standardize","OK")</f>
        <v>OK</v>
      </c>
      <c r="F418" t="str">
        <f>IF(Controls_Raw!E418&lt;&gt;TRIM(Controls_Raw!E418),"Trim","OK")</f>
        <v>OK</v>
      </c>
      <c r="G418" t="str">
        <f>IF(AND(Controls_Raw!L418&lt;DATE(2026,9,30),Controls_Raw!M418&lt;&gt;"Completed"),"Overdue","OK")</f>
        <v>Overdue</v>
      </c>
      <c r="H418" t="str">
        <f>IF(AND(Controls_Raw!Q418&lt;DATE(2026,9,30),Controls_Raw!R418&lt;&gt;"Completed",Controls_Raw!R418&lt;&gt;"Not Required"),"Overdue","OK")</f>
        <v>OK</v>
      </c>
      <c r="I418" t="str">
        <f t="shared" si="6"/>
        <v>Issue</v>
      </c>
    </row>
    <row r="419" spans="1:9" x14ac:dyDescent="0.2">
      <c r="A419" t="str">
        <f>Controls_Raw!A419</f>
        <v>CTRL-0415</v>
      </c>
      <c r="B419" t="str">
        <f>IF(COUNTIF(Controls_Raw!$A$5:$A$1504,A419)&gt;1,"Duplicate","OK")</f>
        <v>OK</v>
      </c>
      <c r="C419" t="str">
        <f>IF(LEN(TRIM(Controls_Raw!I419))=0,"Missing","OK")</f>
        <v>OK</v>
      </c>
      <c r="D419" t="str">
        <f>IF(LEN(TRIM(Controls_Raw!N419))=0,"Missing","OK")</f>
        <v>OK</v>
      </c>
      <c r="E419" t="str">
        <f>IF(OR(Controls_Raw!G419="USA",Controls_Raw!G419="UK"),"Standardize","OK")</f>
        <v>OK</v>
      </c>
      <c r="F419" t="str">
        <f>IF(Controls_Raw!E419&lt;&gt;TRIM(Controls_Raw!E419),"Trim","OK")</f>
        <v>OK</v>
      </c>
      <c r="G419" t="str">
        <f>IF(AND(Controls_Raw!L419&lt;DATE(2026,9,30),Controls_Raw!M419&lt;&gt;"Completed"),"Overdue","OK")</f>
        <v>Overdue</v>
      </c>
      <c r="H419" t="str">
        <f>IF(AND(Controls_Raw!Q419&lt;DATE(2026,9,30),Controls_Raw!R419&lt;&gt;"Completed",Controls_Raw!R419&lt;&gt;"Not Required"),"Overdue","OK")</f>
        <v>OK</v>
      </c>
      <c r="I419" t="str">
        <f t="shared" si="6"/>
        <v>Issue</v>
      </c>
    </row>
    <row r="420" spans="1:9" x14ac:dyDescent="0.2">
      <c r="A420" t="str">
        <f>Controls_Raw!A420</f>
        <v>CTRL-0416</v>
      </c>
      <c r="B420" t="str">
        <f>IF(COUNTIF(Controls_Raw!$A$5:$A$1504,A420)&gt;1,"Duplicate","OK")</f>
        <v>OK</v>
      </c>
      <c r="C420" t="str">
        <f>IF(LEN(TRIM(Controls_Raw!I420))=0,"Missing","OK")</f>
        <v>OK</v>
      </c>
      <c r="D420" t="str">
        <f>IF(LEN(TRIM(Controls_Raw!N420))=0,"Missing","OK")</f>
        <v>Missing</v>
      </c>
      <c r="E420" t="str">
        <f>IF(OR(Controls_Raw!G420="USA",Controls_Raw!G420="UK"),"Standardize","OK")</f>
        <v>OK</v>
      </c>
      <c r="F420" t="str">
        <f>IF(Controls_Raw!E420&lt;&gt;TRIM(Controls_Raw!E420),"Trim","OK")</f>
        <v>OK</v>
      </c>
      <c r="G420" t="str">
        <f>IF(AND(Controls_Raw!L420&lt;DATE(2026,9,30),Controls_Raw!M420&lt;&gt;"Completed"),"Overdue","OK")</f>
        <v>OK</v>
      </c>
      <c r="H420" t="str">
        <f>IF(AND(Controls_Raw!Q420&lt;DATE(2026,9,30),Controls_Raw!R420&lt;&gt;"Completed",Controls_Raw!R420&lt;&gt;"Not Required"),"Overdue","OK")</f>
        <v>OK</v>
      </c>
      <c r="I420" t="str">
        <f t="shared" si="6"/>
        <v>Issue</v>
      </c>
    </row>
    <row r="421" spans="1:9" x14ac:dyDescent="0.2">
      <c r="A421" t="str">
        <f>Controls_Raw!A421</f>
        <v>CTRL-0417</v>
      </c>
      <c r="B421" t="str">
        <f>IF(COUNTIF(Controls_Raw!$A$5:$A$1504,A421)&gt;1,"Duplicate","OK")</f>
        <v>OK</v>
      </c>
      <c r="C421" t="str">
        <f>IF(LEN(TRIM(Controls_Raw!I421))=0,"Missing","OK")</f>
        <v>OK</v>
      </c>
      <c r="D421" t="str">
        <f>IF(LEN(TRIM(Controls_Raw!N421))=0,"Missing","OK")</f>
        <v>OK</v>
      </c>
      <c r="E421" t="str">
        <f>IF(OR(Controls_Raw!G421="USA",Controls_Raw!G421="UK"),"Standardize","OK")</f>
        <v>OK</v>
      </c>
      <c r="F421" t="str">
        <f>IF(Controls_Raw!E421&lt;&gt;TRIM(Controls_Raw!E421),"Trim","OK")</f>
        <v>OK</v>
      </c>
      <c r="G421" t="str">
        <f>IF(AND(Controls_Raw!L421&lt;DATE(2026,9,30),Controls_Raw!M421&lt;&gt;"Completed"),"Overdue","OK")</f>
        <v>OK</v>
      </c>
      <c r="H421" t="str">
        <f>IF(AND(Controls_Raw!Q421&lt;DATE(2026,9,30),Controls_Raw!R421&lt;&gt;"Completed",Controls_Raw!R421&lt;&gt;"Not Required"),"Overdue","OK")</f>
        <v>OK</v>
      </c>
      <c r="I421" t="str">
        <f t="shared" si="6"/>
        <v>Pass</v>
      </c>
    </row>
    <row r="422" spans="1:9" x14ac:dyDescent="0.2">
      <c r="A422" t="str">
        <f>Controls_Raw!A422</f>
        <v>CTRL-0418</v>
      </c>
      <c r="B422" t="str">
        <f>IF(COUNTIF(Controls_Raw!$A$5:$A$1504,A422)&gt;1,"Duplicate","OK")</f>
        <v>OK</v>
      </c>
      <c r="C422" t="str">
        <f>IF(LEN(TRIM(Controls_Raw!I422))=0,"Missing","OK")</f>
        <v>OK</v>
      </c>
      <c r="D422" t="str">
        <f>IF(LEN(TRIM(Controls_Raw!N422))=0,"Missing","OK")</f>
        <v>OK</v>
      </c>
      <c r="E422" t="str">
        <f>IF(OR(Controls_Raw!G422="USA",Controls_Raw!G422="UK"),"Standardize","OK")</f>
        <v>OK</v>
      </c>
      <c r="F422" t="str">
        <f>IF(Controls_Raw!E422&lt;&gt;TRIM(Controls_Raw!E422),"Trim","OK")</f>
        <v>OK</v>
      </c>
      <c r="G422" t="str">
        <f>IF(AND(Controls_Raw!L422&lt;DATE(2026,9,30),Controls_Raw!M422&lt;&gt;"Completed"),"Overdue","OK")</f>
        <v>OK</v>
      </c>
      <c r="H422" t="str">
        <f>IF(AND(Controls_Raw!Q422&lt;DATE(2026,9,30),Controls_Raw!R422&lt;&gt;"Completed",Controls_Raw!R422&lt;&gt;"Not Required"),"Overdue","OK")</f>
        <v>Overdue</v>
      </c>
      <c r="I422" t="str">
        <f t="shared" si="6"/>
        <v>Issue</v>
      </c>
    </row>
    <row r="423" spans="1:9" x14ac:dyDescent="0.2">
      <c r="A423" t="str">
        <f>Controls_Raw!A423</f>
        <v>CTRL-0419</v>
      </c>
      <c r="B423" t="str">
        <f>IF(COUNTIF(Controls_Raw!$A$5:$A$1504,A423)&gt;1,"Duplicate","OK")</f>
        <v>OK</v>
      </c>
      <c r="C423" t="str">
        <f>IF(LEN(TRIM(Controls_Raw!I423))=0,"Missing","OK")</f>
        <v>OK</v>
      </c>
      <c r="D423" t="str">
        <f>IF(LEN(TRIM(Controls_Raw!N423))=0,"Missing","OK")</f>
        <v>OK</v>
      </c>
      <c r="E423" t="str">
        <f>IF(OR(Controls_Raw!G423="USA",Controls_Raw!G423="UK"),"Standardize","OK")</f>
        <v>OK</v>
      </c>
      <c r="F423" t="str">
        <f>IF(Controls_Raw!E423&lt;&gt;TRIM(Controls_Raw!E423),"Trim","OK")</f>
        <v>OK</v>
      </c>
      <c r="G423" t="str">
        <f>IF(AND(Controls_Raw!L423&lt;DATE(2026,9,30),Controls_Raw!M423&lt;&gt;"Completed"),"Overdue","OK")</f>
        <v>OK</v>
      </c>
      <c r="H423" t="str">
        <f>IF(AND(Controls_Raw!Q423&lt;DATE(2026,9,30),Controls_Raw!R423&lt;&gt;"Completed",Controls_Raw!R423&lt;&gt;"Not Required"),"Overdue","OK")</f>
        <v>OK</v>
      </c>
      <c r="I423" t="str">
        <f t="shared" si="6"/>
        <v>Pass</v>
      </c>
    </row>
    <row r="424" spans="1:9" x14ac:dyDescent="0.2">
      <c r="A424" t="str">
        <f>Controls_Raw!A424</f>
        <v>CTRL-0420</v>
      </c>
      <c r="B424" t="str">
        <f>IF(COUNTIF(Controls_Raw!$A$5:$A$1504,A424)&gt;1,"Duplicate","OK")</f>
        <v>OK</v>
      </c>
      <c r="C424" t="str">
        <f>IF(LEN(TRIM(Controls_Raw!I424))=0,"Missing","OK")</f>
        <v>OK</v>
      </c>
      <c r="D424" t="str">
        <f>IF(LEN(TRIM(Controls_Raw!N424))=0,"Missing","OK")</f>
        <v>OK</v>
      </c>
      <c r="E424" t="str">
        <f>IF(OR(Controls_Raw!G424="USA",Controls_Raw!G424="UK"),"Standardize","OK")</f>
        <v>OK</v>
      </c>
      <c r="F424" t="str">
        <f>IF(Controls_Raw!E424&lt;&gt;TRIM(Controls_Raw!E424),"Trim","OK")</f>
        <v>OK</v>
      </c>
      <c r="G424" t="str">
        <f>IF(AND(Controls_Raw!L424&lt;DATE(2026,9,30),Controls_Raw!M424&lt;&gt;"Completed"),"Overdue","OK")</f>
        <v>Overdue</v>
      </c>
      <c r="H424" t="str">
        <f>IF(AND(Controls_Raw!Q424&lt;DATE(2026,9,30),Controls_Raw!R424&lt;&gt;"Completed",Controls_Raw!R424&lt;&gt;"Not Required"),"Overdue","OK")</f>
        <v>OK</v>
      </c>
      <c r="I424" t="str">
        <f t="shared" si="6"/>
        <v>Issue</v>
      </c>
    </row>
    <row r="425" spans="1:9" x14ac:dyDescent="0.2">
      <c r="A425" t="str">
        <f>Controls_Raw!A425</f>
        <v>CTRL-0421</v>
      </c>
      <c r="B425" t="str">
        <f>IF(COUNTIF(Controls_Raw!$A$5:$A$1504,A425)&gt;1,"Duplicate","OK")</f>
        <v>OK</v>
      </c>
      <c r="C425" t="str">
        <f>IF(LEN(TRIM(Controls_Raw!I425))=0,"Missing","OK")</f>
        <v>OK</v>
      </c>
      <c r="D425" t="str">
        <f>IF(LEN(TRIM(Controls_Raw!N425))=0,"Missing","OK")</f>
        <v>OK</v>
      </c>
      <c r="E425" t="str">
        <f>IF(OR(Controls_Raw!G425="USA",Controls_Raw!G425="UK"),"Standardize","OK")</f>
        <v>OK</v>
      </c>
      <c r="F425" t="str">
        <f>IF(Controls_Raw!E425&lt;&gt;TRIM(Controls_Raw!E425),"Trim","OK")</f>
        <v>OK</v>
      </c>
      <c r="G425" t="str">
        <f>IF(AND(Controls_Raw!L425&lt;DATE(2026,9,30),Controls_Raw!M425&lt;&gt;"Completed"),"Overdue","OK")</f>
        <v>Overdue</v>
      </c>
      <c r="H425" t="str">
        <f>IF(AND(Controls_Raw!Q425&lt;DATE(2026,9,30),Controls_Raw!R425&lt;&gt;"Completed",Controls_Raw!R425&lt;&gt;"Not Required"),"Overdue","OK")</f>
        <v>OK</v>
      </c>
      <c r="I425" t="str">
        <f t="shared" si="6"/>
        <v>Issue</v>
      </c>
    </row>
    <row r="426" spans="1:9" x14ac:dyDescent="0.2">
      <c r="A426" t="str">
        <f>Controls_Raw!A426</f>
        <v>CTRL-0422</v>
      </c>
      <c r="B426" t="str">
        <f>IF(COUNTIF(Controls_Raw!$A$5:$A$1504,A426)&gt;1,"Duplicate","OK")</f>
        <v>OK</v>
      </c>
      <c r="C426" t="str">
        <f>IF(LEN(TRIM(Controls_Raw!I426))=0,"Missing","OK")</f>
        <v>OK</v>
      </c>
      <c r="D426" t="str">
        <f>IF(LEN(TRIM(Controls_Raw!N426))=0,"Missing","OK")</f>
        <v>OK</v>
      </c>
      <c r="E426" t="str">
        <f>IF(OR(Controls_Raw!G426="USA",Controls_Raw!G426="UK"),"Standardize","OK")</f>
        <v>OK</v>
      </c>
      <c r="F426" t="str">
        <f>IF(Controls_Raw!E426&lt;&gt;TRIM(Controls_Raw!E426),"Trim","OK")</f>
        <v>OK</v>
      </c>
      <c r="G426" t="str">
        <f>IF(AND(Controls_Raw!L426&lt;DATE(2026,9,30),Controls_Raw!M426&lt;&gt;"Completed"),"Overdue","OK")</f>
        <v>Overdue</v>
      </c>
      <c r="H426" t="str">
        <f>IF(AND(Controls_Raw!Q426&lt;DATE(2026,9,30),Controls_Raw!R426&lt;&gt;"Completed",Controls_Raw!R426&lt;&gt;"Not Required"),"Overdue","OK")</f>
        <v>OK</v>
      </c>
      <c r="I426" t="str">
        <f t="shared" si="6"/>
        <v>Issue</v>
      </c>
    </row>
    <row r="427" spans="1:9" x14ac:dyDescent="0.2">
      <c r="A427" t="str">
        <f>Controls_Raw!A427</f>
        <v>CTRL-0423</v>
      </c>
      <c r="B427" t="str">
        <f>IF(COUNTIF(Controls_Raw!$A$5:$A$1504,A427)&gt;1,"Duplicate","OK")</f>
        <v>OK</v>
      </c>
      <c r="C427" t="str">
        <f>IF(LEN(TRIM(Controls_Raw!I427))=0,"Missing","OK")</f>
        <v>OK</v>
      </c>
      <c r="D427" t="str">
        <f>IF(LEN(TRIM(Controls_Raw!N427))=0,"Missing","OK")</f>
        <v>OK</v>
      </c>
      <c r="E427" t="str">
        <f>IF(OR(Controls_Raw!G427="USA",Controls_Raw!G427="UK"),"Standardize","OK")</f>
        <v>OK</v>
      </c>
      <c r="F427" t="str">
        <f>IF(Controls_Raw!E427&lt;&gt;TRIM(Controls_Raw!E427),"Trim","OK")</f>
        <v>OK</v>
      </c>
      <c r="G427" t="str">
        <f>IF(AND(Controls_Raw!L427&lt;DATE(2026,9,30),Controls_Raw!M427&lt;&gt;"Completed"),"Overdue","OK")</f>
        <v>OK</v>
      </c>
      <c r="H427" t="str">
        <f>IF(AND(Controls_Raw!Q427&lt;DATE(2026,9,30),Controls_Raw!R427&lt;&gt;"Completed",Controls_Raw!R427&lt;&gt;"Not Required"),"Overdue","OK")</f>
        <v>OK</v>
      </c>
      <c r="I427" t="str">
        <f t="shared" si="6"/>
        <v>Pass</v>
      </c>
    </row>
    <row r="428" spans="1:9" x14ac:dyDescent="0.2">
      <c r="A428" t="str">
        <f>Controls_Raw!A428</f>
        <v>CTRL-0424</v>
      </c>
      <c r="B428" t="str">
        <f>IF(COUNTIF(Controls_Raw!$A$5:$A$1504,A428)&gt;1,"Duplicate","OK")</f>
        <v>OK</v>
      </c>
      <c r="C428" t="str">
        <f>IF(LEN(TRIM(Controls_Raw!I428))=0,"Missing","OK")</f>
        <v>Missing</v>
      </c>
      <c r="D428" t="str">
        <f>IF(LEN(TRIM(Controls_Raw!N428))=0,"Missing","OK")</f>
        <v>OK</v>
      </c>
      <c r="E428" t="str">
        <f>IF(OR(Controls_Raw!G428="USA",Controls_Raw!G428="UK"),"Standardize","OK")</f>
        <v>OK</v>
      </c>
      <c r="F428" t="str">
        <f>IF(Controls_Raw!E428&lt;&gt;TRIM(Controls_Raw!E428),"Trim","OK")</f>
        <v>OK</v>
      </c>
      <c r="G428" t="str">
        <f>IF(AND(Controls_Raw!L428&lt;DATE(2026,9,30),Controls_Raw!M428&lt;&gt;"Completed"),"Overdue","OK")</f>
        <v>OK</v>
      </c>
      <c r="H428" t="str">
        <f>IF(AND(Controls_Raw!Q428&lt;DATE(2026,9,30),Controls_Raw!R428&lt;&gt;"Completed",Controls_Raw!R428&lt;&gt;"Not Required"),"Overdue","OK")</f>
        <v>Overdue</v>
      </c>
      <c r="I428" t="str">
        <f t="shared" si="6"/>
        <v>Issue</v>
      </c>
    </row>
    <row r="429" spans="1:9" x14ac:dyDescent="0.2">
      <c r="A429" t="str">
        <f>Controls_Raw!A429</f>
        <v>CTRL-0425</v>
      </c>
      <c r="B429" t="str">
        <f>IF(COUNTIF(Controls_Raw!$A$5:$A$1504,A429)&gt;1,"Duplicate","OK")</f>
        <v>OK</v>
      </c>
      <c r="C429" t="str">
        <f>IF(LEN(TRIM(Controls_Raw!I429))=0,"Missing","OK")</f>
        <v>OK</v>
      </c>
      <c r="D429" t="str">
        <f>IF(LEN(TRIM(Controls_Raw!N429))=0,"Missing","OK")</f>
        <v>OK</v>
      </c>
      <c r="E429" t="str">
        <f>IF(OR(Controls_Raw!G429="USA",Controls_Raw!G429="UK"),"Standardize","OK")</f>
        <v>OK</v>
      </c>
      <c r="F429" t="str">
        <f>IF(Controls_Raw!E429&lt;&gt;TRIM(Controls_Raw!E429),"Trim","OK")</f>
        <v>OK</v>
      </c>
      <c r="G429" t="str">
        <f>IF(AND(Controls_Raw!L429&lt;DATE(2026,9,30),Controls_Raw!M429&lt;&gt;"Completed"),"Overdue","OK")</f>
        <v>OK</v>
      </c>
      <c r="H429" t="str">
        <f>IF(AND(Controls_Raw!Q429&lt;DATE(2026,9,30),Controls_Raw!R429&lt;&gt;"Completed",Controls_Raw!R429&lt;&gt;"Not Required"),"Overdue","OK")</f>
        <v>OK</v>
      </c>
      <c r="I429" t="str">
        <f t="shared" si="6"/>
        <v>Pass</v>
      </c>
    </row>
    <row r="430" spans="1:9" x14ac:dyDescent="0.2">
      <c r="A430" t="str">
        <f>Controls_Raw!A430</f>
        <v>CTRL-0426</v>
      </c>
      <c r="B430" t="str">
        <f>IF(COUNTIF(Controls_Raw!$A$5:$A$1504,A430)&gt;1,"Duplicate","OK")</f>
        <v>OK</v>
      </c>
      <c r="C430" t="str">
        <f>IF(LEN(TRIM(Controls_Raw!I430))=0,"Missing","OK")</f>
        <v>OK</v>
      </c>
      <c r="D430" t="str">
        <f>IF(LEN(TRIM(Controls_Raw!N430))=0,"Missing","OK")</f>
        <v>OK</v>
      </c>
      <c r="E430" t="str">
        <f>IF(OR(Controls_Raw!G430="USA",Controls_Raw!G430="UK"),"Standardize","OK")</f>
        <v>OK</v>
      </c>
      <c r="F430" t="str">
        <f>IF(Controls_Raw!E430&lt;&gt;TRIM(Controls_Raw!E430),"Trim","OK")</f>
        <v>OK</v>
      </c>
      <c r="G430" t="str">
        <f>IF(AND(Controls_Raw!L430&lt;DATE(2026,9,30),Controls_Raw!M430&lt;&gt;"Completed"),"Overdue","OK")</f>
        <v>Overdue</v>
      </c>
      <c r="H430" t="str">
        <f>IF(AND(Controls_Raw!Q430&lt;DATE(2026,9,30),Controls_Raw!R430&lt;&gt;"Completed",Controls_Raw!R430&lt;&gt;"Not Required"),"Overdue","OK")</f>
        <v>OK</v>
      </c>
      <c r="I430" t="str">
        <f t="shared" si="6"/>
        <v>Issue</v>
      </c>
    </row>
    <row r="431" spans="1:9" x14ac:dyDescent="0.2">
      <c r="A431" t="str">
        <f>Controls_Raw!A431</f>
        <v>CTRL-0427</v>
      </c>
      <c r="B431" t="str">
        <f>IF(COUNTIF(Controls_Raw!$A$5:$A$1504,A431)&gt;1,"Duplicate","OK")</f>
        <v>OK</v>
      </c>
      <c r="C431" t="str">
        <f>IF(LEN(TRIM(Controls_Raw!I431))=0,"Missing","OK")</f>
        <v>OK</v>
      </c>
      <c r="D431" t="str">
        <f>IF(LEN(TRIM(Controls_Raw!N431))=0,"Missing","OK")</f>
        <v>OK</v>
      </c>
      <c r="E431" t="str">
        <f>IF(OR(Controls_Raw!G431="USA",Controls_Raw!G431="UK"),"Standardize","OK")</f>
        <v>OK</v>
      </c>
      <c r="F431" t="str">
        <f>IF(Controls_Raw!E431&lt;&gt;TRIM(Controls_Raw!E431),"Trim","OK")</f>
        <v>OK</v>
      </c>
      <c r="G431" t="str">
        <f>IF(AND(Controls_Raw!L431&lt;DATE(2026,9,30),Controls_Raw!M431&lt;&gt;"Completed"),"Overdue","OK")</f>
        <v>Overdue</v>
      </c>
      <c r="H431" t="str">
        <f>IF(AND(Controls_Raw!Q431&lt;DATE(2026,9,30),Controls_Raw!R431&lt;&gt;"Completed",Controls_Raw!R431&lt;&gt;"Not Required"),"Overdue","OK")</f>
        <v>OK</v>
      </c>
      <c r="I431" t="str">
        <f t="shared" si="6"/>
        <v>Issue</v>
      </c>
    </row>
    <row r="432" spans="1:9" x14ac:dyDescent="0.2">
      <c r="A432" t="str">
        <f>Controls_Raw!A432</f>
        <v>CTRL-0428</v>
      </c>
      <c r="B432" t="str">
        <f>IF(COUNTIF(Controls_Raw!$A$5:$A$1504,A432)&gt;1,"Duplicate","OK")</f>
        <v>OK</v>
      </c>
      <c r="C432" t="str">
        <f>IF(LEN(TRIM(Controls_Raw!I432))=0,"Missing","OK")</f>
        <v>OK</v>
      </c>
      <c r="D432" t="str">
        <f>IF(LEN(TRIM(Controls_Raw!N432))=0,"Missing","OK")</f>
        <v>OK</v>
      </c>
      <c r="E432" t="str">
        <f>IF(OR(Controls_Raw!G432="USA",Controls_Raw!G432="UK"),"Standardize","OK")</f>
        <v>OK</v>
      </c>
      <c r="F432" t="str">
        <f>IF(Controls_Raw!E432&lt;&gt;TRIM(Controls_Raw!E432),"Trim","OK")</f>
        <v>OK</v>
      </c>
      <c r="G432" t="str">
        <f>IF(AND(Controls_Raw!L432&lt;DATE(2026,9,30),Controls_Raw!M432&lt;&gt;"Completed"),"Overdue","OK")</f>
        <v>Overdue</v>
      </c>
      <c r="H432" t="str">
        <f>IF(AND(Controls_Raw!Q432&lt;DATE(2026,9,30),Controls_Raw!R432&lt;&gt;"Completed",Controls_Raw!R432&lt;&gt;"Not Required"),"Overdue","OK")</f>
        <v>Overdue</v>
      </c>
      <c r="I432" t="str">
        <f t="shared" si="6"/>
        <v>Issue</v>
      </c>
    </row>
    <row r="433" spans="1:9" x14ac:dyDescent="0.2">
      <c r="A433" t="str">
        <f>Controls_Raw!A433</f>
        <v>CTRL-0429</v>
      </c>
      <c r="B433" t="str">
        <f>IF(COUNTIF(Controls_Raw!$A$5:$A$1504,A433)&gt;1,"Duplicate","OK")</f>
        <v>OK</v>
      </c>
      <c r="C433" t="str">
        <f>IF(LEN(TRIM(Controls_Raw!I433))=0,"Missing","OK")</f>
        <v>OK</v>
      </c>
      <c r="D433" t="str">
        <f>IF(LEN(TRIM(Controls_Raw!N433))=0,"Missing","OK")</f>
        <v>OK</v>
      </c>
      <c r="E433" t="str">
        <f>IF(OR(Controls_Raw!G433="USA",Controls_Raw!G433="UK"),"Standardize","OK")</f>
        <v>OK</v>
      </c>
      <c r="F433" t="str">
        <f>IF(Controls_Raw!E433&lt;&gt;TRIM(Controls_Raw!E433),"Trim","OK")</f>
        <v>OK</v>
      </c>
      <c r="G433" t="str">
        <f>IF(AND(Controls_Raw!L433&lt;DATE(2026,9,30),Controls_Raw!M433&lt;&gt;"Completed"),"Overdue","OK")</f>
        <v>OK</v>
      </c>
      <c r="H433" t="str">
        <f>IF(AND(Controls_Raw!Q433&lt;DATE(2026,9,30),Controls_Raw!R433&lt;&gt;"Completed",Controls_Raw!R433&lt;&gt;"Not Required"),"Overdue","OK")</f>
        <v>OK</v>
      </c>
      <c r="I433" t="str">
        <f t="shared" si="6"/>
        <v>Pass</v>
      </c>
    </row>
    <row r="434" spans="1:9" x14ac:dyDescent="0.2">
      <c r="A434" t="str">
        <f>Controls_Raw!A434</f>
        <v>CTRL-0430</v>
      </c>
      <c r="B434" t="str">
        <f>IF(COUNTIF(Controls_Raw!$A$5:$A$1504,A434)&gt;1,"Duplicate","OK")</f>
        <v>OK</v>
      </c>
      <c r="C434" t="str">
        <f>IF(LEN(TRIM(Controls_Raw!I434))=0,"Missing","OK")</f>
        <v>OK</v>
      </c>
      <c r="D434" t="str">
        <f>IF(LEN(TRIM(Controls_Raw!N434))=0,"Missing","OK")</f>
        <v>OK</v>
      </c>
      <c r="E434" t="str">
        <f>IF(OR(Controls_Raw!G434="USA",Controls_Raw!G434="UK"),"Standardize","OK")</f>
        <v>OK</v>
      </c>
      <c r="F434" t="str">
        <f>IF(Controls_Raw!E434&lt;&gt;TRIM(Controls_Raw!E434),"Trim","OK")</f>
        <v>OK</v>
      </c>
      <c r="G434" t="str">
        <f>IF(AND(Controls_Raw!L434&lt;DATE(2026,9,30),Controls_Raw!M434&lt;&gt;"Completed"),"Overdue","OK")</f>
        <v>Overdue</v>
      </c>
      <c r="H434" t="str">
        <f>IF(AND(Controls_Raw!Q434&lt;DATE(2026,9,30),Controls_Raw!R434&lt;&gt;"Completed",Controls_Raw!R434&lt;&gt;"Not Required"),"Overdue","OK")</f>
        <v>OK</v>
      </c>
      <c r="I434" t="str">
        <f t="shared" si="6"/>
        <v>Issue</v>
      </c>
    </row>
    <row r="435" spans="1:9" x14ac:dyDescent="0.2">
      <c r="A435" t="str">
        <f>Controls_Raw!A435</f>
        <v>CTRL-0431</v>
      </c>
      <c r="B435" t="str">
        <f>IF(COUNTIF(Controls_Raw!$A$5:$A$1504,A435)&gt;1,"Duplicate","OK")</f>
        <v>OK</v>
      </c>
      <c r="C435" t="str">
        <f>IF(LEN(TRIM(Controls_Raw!I435))=0,"Missing","OK")</f>
        <v>OK</v>
      </c>
      <c r="D435" t="str">
        <f>IF(LEN(TRIM(Controls_Raw!N435))=0,"Missing","OK")</f>
        <v>OK</v>
      </c>
      <c r="E435" t="str">
        <f>IF(OR(Controls_Raw!G435="USA",Controls_Raw!G435="UK"),"Standardize","OK")</f>
        <v>OK</v>
      </c>
      <c r="F435" t="str">
        <f>IF(Controls_Raw!E435&lt;&gt;TRIM(Controls_Raw!E435),"Trim","OK")</f>
        <v>OK</v>
      </c>
      <c r="G435" t="str">
        <f>IF(AND(Controls_Raw!L435&lt;DATE(2026,9,30),Controls_Raw!M435&lt;&gt;"Completed"),"Overdue","OK")</f>
        <v>Overdue</v>
      </c>
      <c r="H435" t="str">
        <f>IF(AND(Controls_Raw!Q435&lt;DATE(2026,9,30),Controls_Raw!R435&lt;&gt;"Completed",Controls_Raw!R435&lt;&gt;"Not Required"),"Overdue","OK")</f>
        <v>OK</v>
      </c>
      <c r="I435" t="str">
        <f t="shared" si="6"/>
        <v>Issue</v>
      </c>
    </row>
    <row r="436" spans="1:9" x14ac:dyDescent="0.2">
      <c r="A436" t="str">
        <f>Controls_Raw!A436</f>
        <v>CTRL-0432</v>
      </c>
      <c r="B436" t="str">
        <f>IF(COUNTIF(Controls_Raw!$A$5:$A$1504,A436)&gt;1,"Duplicate","OK")</f>
        <v>OK</v>
      </c>
      <c r="C436" t="str">
        <f>IF(LEN(TRIM(Controls_Raw!I436))=0,"Missing","OK")</f>
        <v>OK</v>
      </c>
      <c r="D436" t="str">
        <f>IF(LEN(TRIM(Controls_Raw!N436))=0,"Missing","OK")</f>
        <v>OK</v>
      </c>
      <c r="E436" t="str">
        <f>IF(OR(Controls_Raw!G436="USA",Controls_Raw!G436="UK"),"Standardize","OK")</f>
        <v>OK</v>
      </c>
      <c r="F436" t="str">
        <f>IF(Controls_Raw!E436&lt;&gt;TRIM(Controls_Raw!E436),"Trim","OK")</f>
        <v>OK</v>
      </c>
      <c r="G436" t="str">
        <f>IF(AND(Controls_Raw!L436&lt;DATE(2026,9,30),Controls_Raw!M436&lt;&gt;"Completed"),"Overdue","OK")</f>
        <v>Overdue</v>
      </c>
      <c r="H436" t="str">
        <f>IF(AND(Controls_Raw!Q436&lt;DATE(2026,9,30),Controls_Raw!R436&lt;&gt;"Completed",Controls_Raw!R436&lt;&gt;"Not Required"),"Overdue","OK")</f>
        <v>OK</v>
      </c>
      <c r="I436" t="str">
        <f t="shared" si="6"/>
        <v>Issue</v>
      </c>
    </row>
    <row r="437" spans="1:9" x14ac:dyDescent="0.2">
      <c r="A437" t="str">
        <f>Controls_Raw!A437</f>
        <v>CTRL-0433</v>
      </c>
      <c r="B437" t="str">
        <f>IF(COUNTIF(Controls_Raw!$A$5:$A$1504,A437)&gt;1,"Duplicate","OK")</f>
        <v>OK</v>
      </c>
      <c r="C437" t="str">
        <f>IF(LEN(TRIM(Controls_Raw!I437))=0,"Missing","OK")</f>
        <v>OK</v>
      </c>
      <c r="D437" t="str">
        <f>IF(LEN(TRIM(Controls_Raw!N437))=0,"Missing","OK")</f>
        <v>OK</v>
      </c>
      <c r="E437" t="str">
        <f>IF(OR(Controls_Raw!G437="USA",Controls_Raw!G437="UK"),"Standardize","OK")</f>
        <v>OK</v>
      </c>
      <c r="F437" t="str">
        <f>IF(Controls_Raw!E437&lt;&gt;TRIM(Controls_Raw!E437),"Trim","OK")</f>
        <v>OK</v>
      </c>
      <c r="G437" t="str">
        <f>IF(AND(Controls_Raw!L437&lt;DATE(2026,9,30),Controls_Raw!M437&lt;&gt;"Completed"),"Overdue","OK")</f>
        <v>Overdue</v>
      </c>
      <c r="H437" t="str">
        <f>IF(AND(Controls_Raw!Q437&lt;DATE(2026,9,30),Controls_Raw!R437&lt;&gt;"Completed",Controls_Raw!R437&lt;&gt;"Not Required"),"Overdue","OK")</f>
        <v>OK</v>
      </c>
      <c r="I437" t="str">
        <f t="shared" si="6"/>
        <v>Issue</v>
      </c>
    </row>
    <row r="438" spans="1:9" x14ac:dyDescent="0.2">
      <c r="A438" t="str">
        <f>Controls_Raw!A438</f>
        <v>CTRL-0434</v>
      </c>
      <c r="B438" t="str">
        <f>IF(COUNTIF(Controls_Raw!$A$5:$A$1504,A438)&gt;1,"Duplicate","OK")</f>
        <v>OK</v>
      </c>
      <c r="C438" t="str">
        <f>IF(LEN(TRIM(Controls_Raw!I438))=0,"Missing","OK")</f>
        <v>OK</v>
      </c>
      <c r="D438" t="str">
        <f>IF(LEN(TRIM(Controls_Raw!N438))=0,"Missing","OK")</f>
        <v>OK</v>
      </c>
      <c r="E438" t="str">
        <f>IF(OR(Controls_Raw!G438="USA",Controls_Raw!G438="UK"),"Standardize","OK")</f>
        <v>OK</v>
      </c>
      <c r="F438" t="str">
        <f>IF(Controls_Raw!E438&lt;&gt;TRIM(Controls_Raw!E438),"Trim","OK")</f>
        <v>OK</v>
      </c>
      <c r="G438" t="str">
        <f>IF(AND(Controls_Raw!L438&lt;DATE(2026,9,30),Controls_Raw!M438&lt;&gt;"Completed"),"Overdue","OK")</f>
        <v>OK</v>
      </c>
      <c r="H438" t="str">
        <f>IF(AND(Controls_Raw!Q438&lt;DATE(2026,9,30),Controls_Raw!R438&lt;&gt;"Completed",Controls_Raw!R438&lt;&gt;"Not Required"),"Overdue","OK")</f>
        <v>OK</v>
      </c>
      <c r="I438" t="str">
        <f t="shared" si="6"/>
        <v>Pass</v>
      </c>
    </row>
    <row r="439" spans="1:9" x14ac:dyDescent="0.2">
      <c r="A439" t="str">
        <f>Controls_Raw!A439</f>
        <v>CTRL-0435</v>
      </c>
      <c r="B439" t="str">
        <f>IF(COUNTIF(Controls_Raw!$A$5:$A$1504,A439)&gt;1,"Duplicate","OK")</f>
        <v>OK</v>
      </c>
      <c r="C439" t="str">
        <f>IF(LEN(TRIM(Controls_Raw!I439))=0,"Missing","OK")</f>
        <v>OK</v>
      </c>
      <c r="D439" t="str">
        <f>IF(LEN(TRIM(Controls_Raw!N439))=0,"Missing","OK")</f>
        <v>OK</v>
      </c>
      <c r="E439" t="str">
        <f>IF(OR(Controls_Raw!G439="USA",Controls_Raw!G439="UK"),"Standardize","OK")</f>
        <v>OK</v>
      </c>
      <c r="F439" t="str">
        <f>IF(Controls_Raw!E439&lt;&gt;TRIM(Controls_Raw!E439),"Trim","OK")</f>
        <v>OK</v>
      </c>
      <c r="G439" t="str">
        <f>IF(AND(Controls_Raw!L439&lt;DATE(2026,9,30),Controls_Raw!M439&lt;&gt;"Completed"),"Overdue","OK")</f>
        <v>Overdue</v>
      </c>
      <c r="H439" t="str">
        <f>IF(AND(Controls_Raw!Q439&lt;DATE(2026,9,30),Controls_Raw!R439&lt;&gt;"Completed",Controls_Raw!R439&lt;&gt;"Not Required"),"Overdue","OK")</f>
        <v>OK</v>
      </c>
      <c r="I439" t="str">
        <f t="shared" si="6"/>
        <v>Issue</v>
      </c>
    </row>
    <row r="440" spans="1:9" x14ac:dyDescent="0.2">
      <c r="A440" t="str">
        <f>Controls_Raw!A440</f>
        <v>CTRL-0436</v>
      </c>
      <c r="B440" t="str">
        <f>IF(COUNTIF(Controls_Raw!$A$5:$A$1504,A440)&gt;1,"Duplicate","OK")</f>
        <v>OK</v>
      </c>
      <c r="C440" t="str">
        <f>IF(LEN(TRIM(Controls_Raw!I440))=0,"Missing","OK")</f>
        <v>OK</v>
      </c>
      <c r="D440" t="str">
        <f>IF(LEN(TRIM(Controls_Raw!N440))=0,"Missing","OK")</f>
        <v>OK</v>
      </c>
      <c r="E440" t="str">
        <f>IF(OR(Controls_Raw!G440="USA",Controls_Raw!G440="UK"),"Standardize","OK")</f>
        <v>OK</v>
      </c>
      <c r="F440" t="str">
        <f>IF(Controls_Raw!E440&lt;&gt;TRIM(Controls_Raw!E440),"Trim","OK")</f>
        <v>OK</v>
      </c>
      <c r="G440" t="str">
        <f>IF(AND(Controls_Raw!L440&lt;DATE(2026,9,30),Controls_Raw!M440&lt;&gt;"Completed"),"Overdue","OK")</f>
        <v>OK</v>
      </c>
      <c r="H440" t="str">
        <f>IF(AND(Controls_Raw!Q440&lt;DATE(2026,9,30),Controls_Raw!R440&lt;&gt;"Completed",Controls_Raw!R440&lt;&gt;"Not Required"),"Overdue","OK")</f>
        <v>Overdue</v>
      </c>
      <c r="I440" t="str">
        <f t="shared" si="6"/>
        <v>Issue</v>
      </c>
    </row>
    <row r="441" spans="1:9" x14ac:dyDescent="0.2">
      <c r="A441" t="str">
        <f>Controls_Raw!A441</f>
        <v>CTRL-0437</v>
      </c>
      <c r="B441" t="str">
        <f>IF(COUNTIF(Controls_Raw!$A$5:$A$1504,A441)&gt;1,"Duplicate","OK")</f>
        <v>OK</v>
      </c>
      <c r="C441" t="str">
        <f>IF(LEN(TRIM(Controls_Raw!I441))=0,"Missing","OK")</f>
        <v>OK</v>
      </c>
      <c r="D441" t="str">
        <f>IF(LEN(TRIM(Controls_Raw!N441))=0,"Missing","OK")</f>
        <v>OK</v>
      </c>
      <c r="E441" t="str">
        <f>IF(OR(Controls_Raw!G441="USA",Controls_Raw!G441="UK"),"Standardize","OK")</f>
        <v>OK</v>
      </c>
      <c r="F441" t="str">
        <f>IF(Controls_Raw!E441&lt;&gt;TRIM(Controls_Raw!E441),"Trim","OK")</f>
        <v>OK</v>
      </c>
      <c r="G441" t="str">
        <f>IF(AND(Controls_Raw!L441&lt;DATE(2026,9,30),Controls_Raw!M441&lt;&gt;"Completed"),"Overdue","OK")</f>
        <v>OK</v>
      </c>
      <c r="H441" t="str">
        <f>IF(AND(Controls_Raw!Q441&lt;DATE(2026,9,30),Controls_Raw!R441&lt;&gt;"Completed",Controls_Raw!R441&lt;&gt;"Not Required"),"Overdue","OK")</f>
        <v>OK</v>
      </c>
      <c r="I441" t="str">
        <f t="shared" si="6"/>
        <v>Pass</v>
      </c>
    </row>
    <row r="442" spans="1:9" x14ac:dyDescent="0.2">
      <c r="A442" t="str">
        <f>Controls_Raw!A442</f>
        <v>CTRL-0438</v>
      </c>
      <c r="B442" t="str">
        <f>IF(COUNTIF(Controls_Raw!$A$5:$A$1504,A442)&gt;1,"Duplicate","OK")</f>
        <v>OK</v>
      </c>
      <c r="C442" t="str">
        <f>IF(LEN(TRIM(Controls_Raw!I442))=0,"Missing","OK")</f>
        <v>OK</v>
      </c>
      <c r="D442" t="str">
        <f>IF(LEN(TRIM(Controls_Raw!N442))=0,"Missing","OK")</f>
        <v>OK</v>
      </c>
      <c r="E442" t="str">
        <f>IF(OR(Controls_Raw!G442="USA",Controls_Raw!G442="UK"),"Standardize","OK")</f>
        <v>OK</v>
      </c>
      <c r="F442" t="str">
        <f>IF(Controls_Raw!E442&lt;&gt;TRIM(Controls_Raw!E442),"Trim","OK")</f>
        <v>OK</v>
      </c>
      <c r="G442" t="str">
        <f>IF(AND(Controls_Raw!L442&lt;DATE(2026,9,30),Controls_Raw!M442&lt;&gt;"Completed"),"Overdue","OK")</f>
        <v>Overdue</v>
      </c>
      <c r="H442" t="str">
        <f>IF(AND(Controls_Raw!Q442&lt;DATE(2026,9,30),Controls_Raw!R442&lt;&gt;"Completed",Controls_Raw!R442&lt;&gt;"Not Required"),"Overdue","OK")</f>
        <v>OK</v>
      </c>
      <c r="I442" t="str">
        <f t="shared" si="6"/>
        <v>Issue</v>
      </c>
    </row>
    <row r="443" spans="1:9" x14ac:dyDescent="0.2">
      <c r="A443" t="str">
        <f>Controls_Raw!A443</f>
        <v>CTRL-0439</v>
      </c>
      <c r="B443" t="str">
        <f>IF(COUNTIF(Controls_Raw!$A$5:$A$1504,A443)&gt;1,"Duplicate","OK")</f>
        <v>OK</v>
      </c>
      <c r="C443" t="str">
        <f>IF(LEN(TRIM(Controls_Raw!I443))=0,"Missing","OK")</f>
        <v>OK</v>
      </c>
      <c r="D443" t="str">
        <f>IF(LEN(TRIM(Controls_Raw!N443))=0,"Missing","OK")</f>
        <v>OK</v>
      </c>
      <c r="E443" t="str">
        <f>IF(OR(Controls_Raw!G443="USA",Controls_Raw!G443="UK"),"Standardize","OK")</f>
        <v>OK</v>
      </c>
      <c r="F443" t="str">
        <f>IF(Controls_Raw!E443&lt;&gt;TRIM(Controls_Raw!E443),"Trim","OK")</f>
        <v>Trim</v>
      </c>
      <c r="G443" t="str">
        <f>IF(AND(Controls_Raw!L443&lt;DATE(2026,9,30),Controls_Raw!M443&lt;&gt;"Completed"),"Overdue","OK")</f>
        <v>Overdue</v>
      </c>
      <c r="H443" t="str">
        <f>IF(AND(Controls_Raw!Q443&lt;DATE(2026,9,30),Controls_Raw!R443&lt;&gt;"Completed",Controls_Raw!R443&lt;&gt;"Not Required"),"Overdue","OK")</f>
        <v>Overdue</v>
      </c>
      <c r="I443" t="str">
        <f t="shared" si="6"/>
        <v>Issue</v>
      </c>
    </row>
    <row r="444" spans="1:9" x14ac:dyDescent="0.2">
      <c r="A444" t="str">
        <f>Controls_Raw!A444</f>
        <v>CTRL-0440</v>
      </c>
      <c r="B444" t="str">
        <f>IF(COUNTIF(Controls_Raw!$A$5:$A$1504,A444)&gt;1,"Duplicate","OK")</f>
        <v>OK</v>
      </c>
      <c r="C444" t="str">
        <f>IF(LEN(TRIM(Controls_Raw!I444))=0,"Missing","OK")</f>
        <v>OK</v>
      </c>
      <c r="D444" t="str">
        <f>IF(LEN(TRIM(Controls_Raw!N444))=0,"Missing","OK")</f>
        <v>OK</v>
      </c>
      <c r="E444" t="str">
        <f>IF(OR(Controls_Raw!G444="USA",Controls_Raw!G444="UK"),"Standardize","OK")</f>
        <v>OK</v>
      </c>
      <c r="F444" t="str">
        <f>IF(Controls_Raw!E444&lt;&gt;TRIM(Controls_Raw!E444),"Trim","OK")</f>
        <v>OK</v>
      </c>
      <c r="G444" t="str">
        <f>IF(AND(Controls_Raw!L444&lt;DATE(2026,9,30),Controls_Raw!M444&lt;&gt;"Completed"),"Overdue","OK")</f>
        <v>Overdue</v>
      </c>
      <c r="H444" t="str">
        <f>IF(AND(Controls_Raw!Q444&lt;DATE(2026,9,30),Controls_Raw!R444&lt;&gt;"Completed",Controls_Raw!R444&lt;&gt;"Not Required"),"Overdue","OK")</f>
        <v>Overdue</v>
      </c>
      <c r="I444" t="str">
        <f t="shared" si="6"/>
        <v>Issue</v>
      </c>
    </row>
    <row r="445" spans="1:9" x14ac:dyDescent="0.2">
      <c r="A445" t="str">
        <f>Controls_Raw!A445</f>
        <v>CTRL-0441</v>
      </c>
      <c r="B445" t="str">
        <f>IF(COUNTIF(Controls_Raw!$A$5:$A$1504,A445)&gt;1,"Duplicate","OK")</f>
        <v>OK</v>
      </c>
      <c r="C445" t="str">
        <f>IF(LEN(TRIM(Controls_Raw!I445))=0,"Missing","OK")</f>
        <v>OK</v>
      </c>
      <c r="D445" t="str">
        <f>IF(LEN(TRIM(Controls_Raw!N445))=0,"Missing","OK")</f>
        <v>OK</v>
      </c>
      <c r="E445" t="str">
        <f>IF(OR(Controls_Raw!G445="USA",Controls_Raw!G445="UK"),"Standardize","OK")</f>
        <v>OK</v>
      </c>
      <c r="F445" t="str">
        <f>IF(Controls_Raw!E445&lt;&gt;TRIM(Controls_Raw!E445),"Trim","OK")</f>
        <v>OK</v>
      </c>
      <c r="G445" t="str">
        <f>IF(AND(Controls_Raw!L445&lt;DATE(2026,9,30),Controls_Raw!M445&lt;&gt;"Completed"),"Overdue","OK")</f>
        <v>Overdue</v>
      </c>
      <c r="H445" t="str">
        <f>IF(AND(Controls_Raw!Q445&lt;DATE(2026,9,30),Controls_Raw!R445&lt;&gt;"Completed",Controls_Raw!R445&lt;&gt;"Not Required"),"Overdue","OK")</f>
        <v>OK</v>
      </c>
      <c r="I445" t="str">
        <f t="shared" si="6"/>
        <v>Issue</v>
      </c>
    </row>
    <row r="446" spans="1:9" x14ac:dyDescent="0.2">
      <c r="A446" t="str">
        <f>Controls_Raw!A446</f>
        <v>CTRL-0442</v>
      </c>
      <c r="B446" t="str">
        <f>IF(COUNTIF(Controls_Raw!$A$5:$A$1504,A446)&gt;1,"Duplicate","OK")</f>
        <v>OK</v>
      </c>
      <c r="C446" t="str">
        <f>IF(LEN(TRIM(Controls_Raw!I446))=0,"Missing","OK")</f>
        <v>OK</v>
      </c>
      <c r="D446" t="str">
        <f>IF(LEN(TRIM(Controls_Raw!N446))=0,"Missing","OK")</f>
        <v>OK</v>
      </c>
      <c r="E446" t="str">
        <f>IF(OR(Controls_Raw!G446="USA",Controls_Raw!G446="UK"),"Standardize","OK")</f>
        <v>OK</v>
      </c>
      <c r="F446" t="str">
        <f>IF(Controls_Raw!E446&lt;&gt;TRIM(Controls_Raw!E446),"Trim","OK")</f>
        <v>OK</v>
      </c>
      <c r="G446" t="str">
        <f>IF(AND(Controls_Raw!L446&lt;DATE(2026,9,30),Controls_Raw!M446&lt;&gt;"Completed"),"Overdue","OK")</f>
        <v>OK</v>
      </c>
      <c r="H446" t="str">
        <f>IF(AND(Controls_Raw!Q446&lt;DATE(2026,9,30),Controls_Raw!R446&lt;&gt;"Completed",Controls_Raw!R446&lt;&gt;"Not Required"),"Overdue","OK")</f>
        <v>OK</v>
      </c>
      <c r="I446" t="str">
        <f t="shared" si="6"/>
        <v>Pass</v>
      </c>
    </row>
    <row r="447" spans="1:9" x14ac:dyDescent="0.2">
      <c r="A447" t="str">
        <f>Controls_Raw!A447</f>
        <v>CTRL-0443</v>
      </c>
      <c r="B447" t="str">
        <f>IF(COUNTIF(Controls_Raw!$A$5:$A$1504,A447)&gt;1,"Duplicate","OK")</f>
        <v>OK</v>
      </c>
      <c r="C447" t="str">
        <f>IF(LEN(TRIM(Controls_Raw!I447))=0,"Missing","OK")</f>
        <v>OK</v>
      </c>
      <c r="D447" t="str">
        <f>IF(LEN(TRIM(Controls_Raw!N447))=0,"Missing","OK")</f>
        <v>OK</v>
      </c>
      <c r="E447" t="str">
        <f>IF(OR(Controls_Raw!G447="USA",Controls_Raw!G447="UK"),"Standardize","OK")</f>
        <v>OK</v>
      </c>
      <c r="F447" t="str">
        <f>IF(Controls_Raw!E447&lt;&gt;TRIM(Controls_Raw!E447),"Trim","OK")</f>
        <v>OK</v>
      </c>
      <c r="G447" t="str">
        <f>IF(AND(Controls_Raw!L447&lt;DATE(2026,9,30),Controls_Raw!M447&lt;&gt;"Completed"),"Overdue","OK")</f>
        <v>Overdue</v>
      </c>
      <c r="H447" t="str">
        <f>IF(AND(Controls_Raw!Q447&lt;DATE(2026,9,30),Controls_Raw!R447&lt;&gt;"Completed",Controls_Raw!R447&lt;&gt;"Not Required"),"Overdue","OK")</f>
        <v>OK</v>
      </c>
      <c r="I447" t="str">
        <f t="shared" si="6"/>
        <v>Issue</v>
      </c>
    </row>
    <row r="448" spans="1:9" x14ac:dyDescent="0.2">
      <c r="A448" t="str">
        <f>Controls_Raw!A448</f>
        <v>CTRL-0444</v>
      </c>
      <c r="B448" t="str">
        <f>IF(COUNTIF(Controls_Raw!$A$5:$A$1504,A448)&gt;1,"Duplicate","OK")</f>
        <v>OK</v>
      </c>
      <c r="C448" t="str">
        <f>IF(LEN(TRIM(Controls_Raw!I448))=0,"Missing","OK")</f>
        <v>OK</v>
      </c>
      <c r="D448" t="str">
        <f>IF(LEN(TRIM(Controls_Raw!N448))=0,"Missing","OK")</f>
        <v>OK</v>
      </c>
      <c r="E448" t="str">
        <f>IF(OR(Controls_Raw!G448="USA",Controls_Raw!G448="UK"),"Standardize","OK")</f>
        <v>OK</v>
      </c>
      <c r="F448" t="str">
        <f>IF(Controls_Raw!E448&lt;&gt;TRIM(Controls_Raw!E448),"Trim","OK")</f>
        <v>OK</v>
      </c>
      <c r="G448" t="str">
        <f>IF(AND(Controls_Raw!L448&lt;DATE(2026,9,30),Controls_Raw!M448&lt;&gt;"Completed"),"Overdue","OK")</f>
        <v>OK</v>
      </c>
      <c r="H448" t="str">
        <f>IF(AND(Controls_Raw!Q448&lt;DATE(2026,9,30),Controls_Raw!R448&lt;&gt;"Completed",Controls_Raw!R448&lt;&gt;"Not Required"),"Overdue","OK")</f>
        <v>Overdue</v>
      </c>
      <c r="I448" t="str">
        <f t="shared" si="6"/>
        <v>Issue</v>
      </c>
    </row>
    <row r="449" spans="1:9" x14ac:dyDescent="0.2">
      <c r="A449" t="str">
        <f>Controls_Raw!A449</f>
        <v>CTRL-0445</v>
      </c>
      <c r="B449" t="str">
        <f>IF(COUNTIF(Controls_Raw!$A$5:$A$1504,A449)&gt;1,"Duplicate","OK")</f>
        <v>OK</v>
      </c>
      <c r="C449" t="str">
        <f>IF(LEN(TRIM(Controls_Raw!I449))=0,"Missing","OK")</f>
        <v>OK</v>
      </c>
      <c r="D449" t="str">
        <f>IF(LEN(TRIM(Controls_Raw!N449))=0,"Missing","OK")</f>
        <v>OK</v>
      </c>
      <c r="E449" t="str">
        <f>IF(OR(Controls_Raw!G449="USA",Controls_Raw!G449="UK"),"Standardize","OK")</f>
        <v>OK</v>
      </c>
      <c r="F449" t="str">
        <f>IF(Controls_Raw!E449&lt;&gt;TRIM(Controls_Raw!E449),"Trim","OK")</f>
        <v>OK</v>
      </c>
      <c r="G449" t="str">
        <f>IF(AND(Controls_Raw!L449&lt;DATE(2026,9,30),Controls_Raw!M449&lt;&gt;"Completed"),"Overdue","OK")</f>
        <v>OK</v>
      </c>
      <c r="H449" t="str">
        <f>IF(AND(Controls_Raw!Q449&lt;DATE(2026,9,30),Controls_Raw!R449&lt;&gt;"Completed",Controls_Raw!R449&lt;&gt;"Not Required"),"Overdue","OK")</f>
        <v>OK</v>
      </c>
      <c r="I449" t="str">
        <f t="shared" si="6"/>
        <v>Pass</v>
      </c>
    </row>
    <row r="450" spans="1:9" x14ac:dyDescent="0.2">
      <c r="A450" t="str">
        <f>Controls_Raw!A450</f>
        <v>CTRL-0446</v>
      </c>
      <c r="B450" t="str">
        <f>IF(COUNTIF(Controls_Raw!$A$5:$A$1504,A450)&gt;1,"Duplicate","OK")</f>
        <v>OK</v>
      </c>
      <c r="C450" t="str">
        <f>IF(LEN(TRIM(Controls_Raw!I450))=0,"Missing","OK")</f>
        <v>OK</v>
      </c>
      <c r="D450" t="str">
        <f>IF(LEN(TRIM(Controls_Raw!N450))=0,"Missing","OK")</f>
        <v>OK</v>
      </c>
      <c r="E450" t="str">
        <f>IF(OR(Controls_Raw!G450="USA",Controls_Raw!G450="UK"),"Standardize","OK")</f>
        <v>OK</v>
      </c>
      <c r="F450" t="str">
        <f>IF(Controls_Raw!E450&lt;&gt;TRIM(Controls_Raw!E450),"Trim","OK")</f>
        <v>OK</v>
      </c>
      <c r="G450" t="str">
        <f>IF(AND(Controls_Raw!L450&lt;DATE(2026,9,30),Controls_Raw!M450&lt;&gt;"Completed"),"Overdue","OK")</f>
        <v>OK</v>
      </c>
      <c r="H450" t="str">
        <f>IF(AND(Controls_Raw!Q450&lt;DATE(2026,9,30),Controls_Raw!R450&lt;&gt;"Completed",Controls_Raw!R450&lt;&gt;"Not Required"),"Overdue","OK")</f>
        <v>OK</v>
      </c>
      <c r="I450" t="str">
        <f t="shared" si="6"/>
        <v>Pass</v>
      </c>
    </row>
    <row r="451" spans="1:9" x14ac:dyDescent="0.2">
      <c r="A451" t="str">
        <f>Controls_Raw!A451</f>
        <v>CTRL-0447</v>
      </c>
      <c r="B451" t="str">
        <f>IF(COUNTIF(Controls_Raw!$A$5:$A$1504,A451)&gt;1,"Duplicate","OK")</f>
        <v>OK</v>
      </c>
      <c r="C451" t="str">
        <f>IF(LEN(TRIM(Controls_Raw!I451))=0,"Missing","OK")</f>
        <v>OK</v>
      </c>
      <c r="D451" t="str">
        <f>IF(LEN(TRIM(Controls_Raw!N451))=0,"Missing","OK")</f>
        <v>OK</v>
      </c>
      <c r="E451" t="str">
        <f>IF(OR(Controls_Raw!G451="USA",Controls_Raw!G451="UK"),"Standardize","OK")</f>
        <v>OK</v>
      </c>
      <c r="F451" t="str">
        <f>IF(Controls_Raw!E451&lt;&gt;TRIM(Controls_Raw!E451),"Trim","OK")</f>
        <v>OK</v>
      </c>
      <c r="G451" t="str">
        <f>IF(AND(Controls_Raw!L451&lt;DATE(2026,9,30),Controls_Raw!M451&lt;&gt;"Completed"),"Overdue","OK")</f>
        <v>Overdue</v>
      </c>
      <c r="H451" t="str">
        <f>IF(AND(Controls_Raw!Q451&lt;DATE(2026,9,30),Controls_Raw!R451&lt;&gt;"Completed",Controls_Raw!R451&lt;&gt;"Not Required"),"Overdue","OK")</f>
        <v>OK</v>
      </c>
      <c r="I451" t="str">
        <f t="shared" si="6"/>
        <v>Issue</v>
      </c>
    </row>
    <row r="452" spans="1:9" x14ac:dyDescent="0.2">
      <c r="A452" t="str">
        <f>Controls_Raw!A452</f>
        <v>CTRL-0448</v>
      </c>
      <c r="B452" t="str">
        <f>IF(COUNTIF(Controls_Raw!$A$5:$A$1504,A452)&gt;1,"Duplicate","OK")</f>
        <v>OK</v>
      </c>
      <c r="C452" t="str">
        <f>IF(LEN(TRIM(Controls_Raw!I452))=0,"Missing","OK")</f>
        <v>OK</v>
      </c>
      <c r="D452" t="str">
        <f>IF(LEN(TRIM(Controls_Raw!N452))=0,"Missing","OK")</f>
        <v>OK</v>
      </c>
      <c r="E452" t="str">
        <f>IF(OR(Controls_Raw!G452="USA",Controls_Raw!G452="UK"),"Standardize","OK")</f>
        <v>OK</v>
      </c>
      <c r="F452" t="str">
        <f>IF(Controls_Raw!E452&lt;&gt;TRIM(Controls_Raw!E452),"Trim","OK")</f>
        <v>OK</v>
      </c>
      <c r="G452" t="str">
        <f>IF(AND(Controls_Raw!L452&lt;DATE(2026,9,30),Controls_Raw!M452&lt;&gt;"Completed"),"Overdue","OK")</f>
        <v>Overdue</v>
      </c>
      <c r="H452" t="str">
        <f>IF(AND(Controls_Raw!Q452&lt;DATE(2026,9,30),Controls_Raw!R452&lt;&gt;"Completed",Controls_Raw!R452&lt;&gt;"Not Required"),"Overdue","OK")</f>
        <v>OK</v>
      </c>
      <c r="I452" t="str">
        <f t="shared" si="6"/>
        <v>Issue</v>
      </c>
    </row>
    <row r="453" spans="1:9" x14ac:dyDescent="0.2">
      <c r="A453" t="str">
        <f>Controls_Raw!A453</f>
        <v>CTRL-0449</v>
      </c>
      <c r="B453" t="str">
        <f>IF(COUNTIF(Controls_Raw!$A$5:$A$1504,A453)&gt;1,"Duplicate","OK")</f>
        <v>OK</v>
      </c>
      <c r="C453" t="str">
        <f>IF(LEN(TRIM(Controls_Raw!I453))=0,"Missing","OK")</f>
        <v>OK</v>
      </c>
      <c r="D453" t="str">
        <f>IF(LEN(TRIM(Controls_Raw!N453))=0,"Missing","OK")</f>
        <v>OK</v>
      </c>
      <c r="E453" t="str">
        <f>IF(OR(Controls_Raw!G453="USA",Controls_Raw!G453="UK"),"Standardize","OK")</f>
        <v>OK</v>
      </c>
      <c r="F453" t="str">
        <f>IF(Controls_Raw!E453&lt;&gt;TRIM(Controls_Raw!E453),"Trim","OK")</f>
        <v>OK</v>
      </c>
      <c r="G453" t="str">
        <f>IF(AND(Controls_Raw!L453&lt;DATE(2026,9,30),Controls_Raw!M453&lt;&gt;"Completed"),"Overdue","OK")</f>
        <v>OK</v>
      </c>
      <c r="H453" t="str">
        <f>IF(AND(Controls_Raw!Q453&lt;DATE(2026,9,30),Controls_Raw!R453&lt;&gt;"Completed",Controls_Raw!R453&lt;&gt;"Not Required"),"Overdue","OK")</f>
        <v>OK</v>
      </c>
      <c r="I453" t="str">
        <f t="shared" ref="I453:I516" si="7">IF(COUNTIF(B453:H453,"&lt;&gt;OK")&gt;0,"Issue","Pass")</f>
        <v>Pass</v>
      </c>
    </row>
    <row r="454" spans="1:9" x14ac:dyDescent="0.2">
      <c r="A454" t="str">
        <f>Controls_Raw!A454</f>
        <v>CTRL-0450</v>
      </c>
      <c r="B454" t="str">
        <f>IF(COUNTIF(Controls_Raw!$A$5:$A$1504,A454)&gt;1,"Duplicate","OK")</f>
        <v>OK</v>
      </c>
      <c r="C454" t="str">
        <f>IF(LEN(TRIM(Controls_Raw!I454))=0,"Missing","OK")</f>
        <v>OK</v>
      </c>
      <c r="D454" t="str">
        <f>IF(LEN(TRIM(Controls_Raw!N454))=0,"Missing","OK")</f>
        <v>OK</v>
      </c>
      <c r="E454" t="str">
        <f>IF(OR(Controls_Raw!G454="USA",Controls_Raw!G454="UK"),"Standardize","OK")</f>
        <v>OK</v>
      </c>
      <c r="F454" t="str">
        <f>IF(Controls_Raw!E454&lt;&gt;TRIM(Controls_Raw!E454),"Trim","OK")</f>
        <v>OK</v>
      </c>
      <c r="G454" t="str">
        <f>IF(AND(Controls_Raw!L454&lt;DATE(2026,9,30),Controls_Raw!M454&lt;&gt;"Completed"),"Overdue","OK")</f>
        <v>Overdue</v>
      </c>
      <c r="H454" t="str">
        <f>IF(AND(Controls_Raw!Q454&lt;DATE(2026,9,30),Controls_Raw!R454&lt;&gt;"Completed",Controls_Raw!R454&lt;&gt;"Not Required"),"Overdue","OK")</f>
        <v>OK</v>
      </c>
      <c r="I454" t="str">
        <f t="shared" si="7"/>
        <v>Issue</v>
      </c>
    </row>
    <row r="455" spans="1:9" x14ac:dyDescent="0.2">
      <c r="A455" t="str">
        <f>Controls_Raw!A455</f>
        <v>CTRL-0451</v>
      </c>
      <c r="B455" t="str">
        <f>IF(COUNTIF(Controls_Raw!$A$5:$A$1504,A455)&gt;1,"Duplicate","OK")</f>
        <v>OK</v>
      </c>
      <c r="C455" t="str">
        <f>IF(LEN(TRIM(Controls_Raw!I455))=0,"Missing","OK")</f>
        <v>OK</v>
      </c>
      <c r="D455" t="str">
        <f>IF(LEN(TRIM(Controls_Raw!N455))=0,"Missing","OK")</f>
        <v>OK</v>
      </c>
      <c r="E455" t="str">
        <f>IF(OR(Controls_Raw!G455="USA",Controls_Raw!G455="UK"),"Standardize","OK")</f>
        <v>OK</v>
      </c>
      <c r="F455" t="str">
        <f>IF(Controls_Raw!E455&lt;&gt;TRIM(Controls_Raw!E455),"Trim","OK")</f>
        <v>OK</v>
      </c>
      <c r="G455" t="str">
        <f>IF(AND(Controls_Raw!L455&lt;DATE(2026,9,30),Controls_Raw!M455&lt;&gt;"Completed"),"Overdue","OK")</f>
        <v>OK</v>
      </c>
      <c r="H455" t="str">
        <f>IF(AND(Controls_Raw!Q455&lt;DATE(2026,9,30),Controls_Raw!R455&lt;&gt;"Completed",Controls_Raw!R455&lt;&gt;"Not Required"),"Overdue","OK")</f>
        <v>OK</v>
      </c>
      <c r="I455" t="str">
        <f t="shared" si="7"/>
        <v>Pass</v>
      </c>
    </row>
    <row r="456" spans="1:9" x14ac:dyDescent="0.2">
      <c r="A456" t="str">
        <f>Controls_Raw!A456</f>
        <v>CTRL-0452</v>
      </c>
      <c r="B456" t="str">
        <f>IF(COUNTIF(Controls_Raw!$A$5:$A$1504,A456)&gt;1,"Duplicate","OK")</f>
        <v>OK</v>
      </c>
      <c r="C456" t="str">
        <f>IF(LEN(TRIM(Controls_Raw!I456))=0,"Missing","OK")</f>
        <v>OK</v>
      </c>
      <c r="D456" t="str">
        <f>IF(LEN(TRIM(Controls_Raw!N456))=0,"Missing","OK")</f>
        <v>OK</v>
      </c>
      <c r="E456" t="str">
        <f>IF(OR(Controls_Raw!G456="USA",Controls_Raw!G456="UK"),"Standardize","OK")</f>
        <v>OK</v>
      </c>
      <c r="F456" t="str">
        <f>IF(Controls_Raw!E456&lt;&gt;TRIM(Controls_Raw!E456),"Trim","OK")</f>
        <v>OK</v>
      </c>
      <c r="G456" t="str">
        <f>IF(AND(Controls_Raw!L456&lt;DATE(2026,9,30),Controls_Raw!M456&lt;&gt;"Completed"),"Overdue","OK")</f>
        <v>Overdue</v>
      </c>
      <c r="H456" t="str">
        <f>IF(AND(Controls_Raw!Q456&lt;DATE(2026,9,30),Controls_Raw!R456&lt;&gt;"Completed",Controls_Raw!R456&lt;&gt;"Not Required"),"Overdue","OK")</f>
        <v>OK</v>
      </c>
      <c r="I456" t="str">
        <f t="shared" si="7"/>
        <v>Issue</v>
      </c>
    </row>
    <row r="457" spans="1:9" x14ac:dyDescent="0.2">
      <c r="A457" t="str">
        <f>Controls_Raw!A457</f>
        <v>CTRL-0453</v>
      </c>
      <c r="B457" t="str">
        <f>IF(COUNTIF(Controls_Raw!$A$5:$A$1504,A457)&gt;1,"Duplicate","OK")</f>
        <v>OK</v>
      </c>
      <c r="C457" t="str">
        <f>IF(LEN(TRIM(Controls_Raw!I457))=0,"Missing","OK")</f>
        <v>OK</v>
      </c>
      <c r="D457" t="str">
        <f>IF(LEN(TRIM(Controls_Raw!N457))=0,"Missing","OK")</f>
        <v>OK</v>
      </c>
      <c r="E457" t="str">
        <f>IF(OR(Controls_Raw!G457="USA",Controls_Raw!G457="UK"),"Standardize","OK")</f>
        <v>OK</v>
      </c>
      <c r="F457" t="str">
        <f>IF(Controls_Raw!E457&lt;&gt;TRIM(Controls_Raw!E457),"Trim","OK")</f>
        <v>OK</v>
      </c>
      <c r="G457" t="str">
        <f>IF(AND(Controls_Raw!L457&lt;DATE(2026,9,30),Controls_Raw!M457&lt;&gt;"Completed"),"Overdue","OK")</f>
        <v>Overdue</v>
      </c>
      <c r="H457" t="str">
        <f>IF(AND(Controls_Raw!Q457&lt;DATE(2026,9,30),Controls_Raw!R457&lt;&gt;"Completed",Controls_Raw!R457&lt;&gt;"Not Required"),"Overdue","OK")</f>
        <v>OK</v>
      </c>
      <c r="I457" t="str">
        <f t="shared" si="7"/>
        <v>Issue</v>
      </c>
    </row>
    <row r="458" spans="1:9" x14ac:dyDescent="0.2">
      <c r="A458" t="str">
        <f>Controls_Raw!A458</f>
        <v>CTRL-0454</v>
      </c>
      <c r="B458" t="str">
        <f>IF(COUNTIF(Controls_Raw!$A$5:$A$1504,A458)&gt;1,"Duplicate","OK")</f>
        <v>OK</v>
      </c>
      <c r="C458" t="str">
        <f>IF(LEN(TRIM(Controls_Raw!I458))=0,"Missing","OK")</f>
        <v>OK</v>
      </c>
      <c r="D458" t="str">
        <f>IF(LEN(TRIM(Controls_Raw!N458))=0,"Missing","OK")</f>
        <v>OK</v>
      </c>
      <c r="E458" t="str">
        <f>IF(OR(Controls_Raw!G458="USA",Controls_Raw!G458="UK"),"Standardize","OK")</f>
        <v>OK</v>
      </c>
      <c r="F458" t="str">
        <f>IF(Controls_Raw!E458&lt;&gt;TRIM(Controls_Raw!E458),"Trim","OK")</f>
        <v>OK</v>
      </c>
      <c r="G458" t="str">
        <f>IF(AND(Controls_Raw!L458&lt;DATE(2026,9,30),Controls_Raw!M458&lt;&gt;"Completed"),"Overdue","OK")</f>
        <v>OK</v>
      </c>
      <c r="H458" t="str">
        <f>IF(AND(Controls_Raw!Q458&lt;DATE(2026,9,30),Controls_Raw!R458&lt;&gt;"Completed",Controls_Raw!R458&lt;&gt;"Not Required"),"Overdue","OK")</f>
        <v>OK</v>
      </c>
      <c r="I458" t="str">
        <f t="shared" si="7"/>
        <v>Pass</v>
      </c>
    </row>
    <row r="459" spans="1:9" x14ac:dyDescent="0.2">
      <c r="A459" t="str">
        <f>Controls_Raw!A459</f>
        <v>CTRL-0455</v>
      </c>
      <c r="B459" t="str">
        <f>IF(COUNTIF(Controls_Raw!$A$5:$A$1504,A459)&gt;1,"Duplicate","OK")</f>
        <v>OK</v>
      </c>
      <c r="C459" t="str">
        <f>IF(LEN(TRIM(Controls_Raw!I459))=0,"Missing","OK")</f>
        <v>OK</v>
      </c>
      <c r="D459" t="str">
        <f>IF(LEN(TRIM(Controls_Raw!N459))=0,"Missing","OK")</f>
        <v>OK</v>
      </c>
      <c r="E459" t="str">
        <f>IF(OR(Controls_Raw!G459="USA",Controls_Raw!G459="UK"),"Standardize","OK")</f>
        <v>OK</v>
      </c>
      <c r="F459" t="str">
        <f>IF(Controls_Raw!E459&lt;&gt;TRIM(Controls_Raw!E459),"Trim","OK")</f>
        <v>OK</v>
      </c>
      <c r="G459" t="str">
        <f>IF(AND(Controls_Raw!L459&lt;DATE(2026,9,30),Controls_Raw!M459&lt;&gt;"Completed"),"Overdue","OK")</f>
        <v>OK</v>
      </c>
      <c r="H459" t="str">
        <f>IF(AND(Controls_Raw!Q459&lt;DATE(2026,9,30),Controls_Raw!R459&lt;&gt;"Completed",Controls_Raw!R459&lt;&gt;"Not Required"),"Overdue","OK")</f>
        <v>Overdue</v>
      </c>
      <c r="I459" t="str">
        <f t="shared" si="7"/>
        <v>Issue</v>
      </c>
    </row>
    <row r="460" spans="1:9" x14ac:dyDescent="0.2">
      <c r="A460" t="str">
        <f>Controls_Raw!A460</f>
        <v>CTRL-0456</v>
      </c>
      <c r="B460" t="str">
        <f>IF(COUNTIF(Controls_Raw!$A$5:$A$1504,A460)&gt;1,"Duplicate","OK")</f>
        <v>OK</v>
      </c>
      <c r="C460" t="str">
        <f>IF(LEN(TRIM(Controls_Raw!I460))=0,"Missing","OK")</f>
        <v>OK</v>
      </c>
      <c r="D460" t="str">
        <f>IF(LEN(TRIM(Controls_Raw!N460))=0,"Missing","OK")</f>
        <v>OK</v>
      </c>
      <c r="E460" t="str">
        <f>IF(OR(Controls_Raw!G460="USA",Controls_Raw!G460="UK"),"Standardize","OK")</f>
        <v>OK</v>
      </c>
      <c r="F460" t="str">
        <f>IF(Controls_Raw!E460&lt;&gt;TRIM(Controls_Raw!E460),"Trim","OK")</f>
        <v>OK</v>
      </c>
      <c r="G460" t="str">
        <f>IF(AND(Controls_Raw!L460&lt;DATE(2026,9,30),Controls_Raw!M460&lt;&gt;"Completed"),"Overdue","OK")</f>
        <v>Overdue</v>
      </c>
      <c r="H460" t="str">
        <f>IF(AND(Controls_Raw!Q460&lt;DATE(2026,9,30),Controls_Raw!R460&lt;&gt;"Completed",Controls_Raw!R460&lt;&gt;"Not Required"),"Overdue","OK")</f>
        <v>OK</v>
      </c>
      <c r="I460" t="str">
        <f t="shared" si="7"/>
        <v>Issue</v>
      </c>
    </row>
    <row r="461" spans="1:9" x14ac:dyDescent="0.2">
      <c r="A461" t="str">
        <f>Controls_Raw!A461</f>
        <v>CTRL-0457</v>
      </c>
      <c r="B461" t="str">
        <f>IF(COUNTIF(Controls_Raw!$A$5:$A$1504,A461)&gt;1,"Duplicate","OK")</f>
        <v>OK</v>
      </c>
      <c r="C461" t="str">
        <f>IF(LEN(TRIM(Controls_Raw!I461))=0,"Missing","OK")</f>
        <v>OK</v>
      </c>
      <c r="D461" t="str">
        <f>IF(LEN(TRIM(Controls_Raw!N461))=0,"Missing","OK")</f>
        <v>OK</v>
      </c>
      <c r="E461" t="str">
        <f>IF(OR(Controls_Raw!G461="USA",Controls_Raw!G461="UK"),"Standardize","OK")</f>
        <v>OK</v>
      </c>
      <c r="F461" t="str">
        <f>IF(Controls_Raw!E461&lt;&gt;TRIM(Controls_Raw!E461),"Trim","OK")</f>
        <v>OK</v>
      </c>
      <c r="G461" t="str">
        <f>IF(AND(Controls_Raw!L461&lt;DATE(2026,9,30),Controls_Raw!M461&lt;&gt;"Completed"),"Overdue","OK")</f>
        <v>Overdue</v>
      </c>
      <c r="H461" t="str">
        <f>IF(AND(Controls_Raw!Q461&lt;DATE(2026,9,30),Controls_Raw!R461&lt;&gt;"Completed",Controls_Raw!R461&lt;&gt;"Not Required"),"Overdue","OK")</f>
        <v>OK</v>
      </c>
      <c r="I461" t="str">
        <f t="shared" si="7"/>
        <v>Issue</v>
      </c>
    </row>
    <row r="462" spans="1:9" x14ac:dyDescent="0.2">
      <c r="A462" t="str">
        <f>Controls_Raw!A462</f>
        <v>CTRL-0458</v>
      </c>
      <c r="B462" t="str">
        <f>IF(COUNTIF(Controls_Raw!$A$5:$A$1504,A462)&gt;1,"Duplicate","OK")</f>
        <v>OK</v>
      </c>
      <c r="C462" t="str">
        <f>IF(LEN(TRIM(Controls_Raw!I462))=0,"Missing","OK")</f>
        <v>OK</v>
      </c>
      <c r="D462" t="str">
        <f>IF(LEN(TRIM(Controls_Raw!N462))=0,"Missing","OK")</f>
        <v>OK</v>
      </c>
      <c r="E462" t="str">
        <f>IF(OR(Controls_Raw!G462="USA",Controls_Raw!G462="UK"),"Standardize","OK")</f>
        <v>OK</v>
      </c>
      <c r="F462" t="str">
        <f>IF(Controls_Raw!E462&lt;&gt;TRIM(Controls_Raw!E462),"Trim","OK")</f>
        <v>OK</v>
      </c>
      <c r="G462" t="str">
        <f>IF(AND(Controls_Raw!L462&lt;DATE(2026,9,30),Controls_Raw!M462&lt;&gt;"Completed"),"Overdue","OK")</f>
        <v>OK</v>
      </c>
      <c r="H462" t="str">
        <f>IF(AND(Controls_Raw!Q462&lt;DATE(2026,9,30),Controls_Raw!R462&lt;&gt;"Completed",Controls_Raw!R462&lt;&gt;"Not Required"),"Overdue","OK")</f>
        <v>OK</v>
      </c>
      <c r="I462" t="str">
        <f t="shared" si="7"/>
        <v>Pass</v>
      </c>
    </row>
    <row r="463" spans="1:9" x14ac:dyDescent="0.2">
      <c r="A463" t="str">
        <f>Controls_Raw!A463</f>
        <v>CTRL-0459</v>
      </c>
      <c r="B463" t="str">
        <f>IF(COUNTIF(Controls_Raw!$A$5:$A$1504,A463)&gt;1,"Duplicate","OK")</f>
        <v>OK</v>
      </c>
      <c r="C463" t="str">
        <f>IF(LEN(TRIM(Controls_Raw!I463))=0,"Missing","OK")</f>
        <v>OK</v>
      </c>
      <c r="D463" t="str">
        <f>IF(LEN(TRIM(Controls_Raw!N463))=0,"Missing","OK")</f>
        <v>OK</v>
      </c>
      <c r="E463" t="str">
        <f>IF(OR(Controls_Raw!G463="USA",Controls_Raw!G463="UK"),"Standardize","OK")</f>
        <v>OK</v>
      </c>
      <c r="F463" t="str">
        <f>IF(Controls_Raw!E463&lt;&gt;TRIM(Controls_Raw!E463),"Trim","OK")</f>
        <v>OK</v>
      </c>
      <c r="G463" t="str">
        <f>IF(AND(Controls_Raw!L463&lt;DATE(2026,9,30),Controls_Raw!M463&lt;&gt;"Completed"),"Overdue","OK")</f>
        <v>Overdue</v>
      </c>
      <c r="H463" t="str">
        <f>IF(AND(Controls_Raw!Q463&lt;DATE(2026,9,30),Controls_Raw!R463&lt;&gt;"Completed",Controls_Raw!R463&lt;&gt;"Not Required"),"Overdue","OK")</f>
        <v>Overdue</v>
      </c>
      <c r="I463" t="str">
        <f t="shared" si="7"/>
        <v>Issue</v>
      </c>
    </row>
    <row r="464" spans="1:9" x14ac:dyDescent="0.2">
      <c r="A464" t="str">
        <f>Controls_Raw!A464</f>
        <v>CTRL-0460</v>
      </c>
      <c r="B464" t="str">
        <f>IF(COUNTIF(Controls_Raw!$A$5:$A$1504,A464)&gt;1,"Duplicate","OK")</f>
        <v>OK</v>
      </c>
      <c r="C464" t="str">
        <f>IF(LEN(TRIM(Controls_Raw!I464))=0,"Missing","OK")</f>
        <v>OK</v>
      </c>
      <c r="D464" t="str">
        <f>IF(LEN(TRIM(Controls_Raw!N464))=0,"Missing","OK")</f>
        <v>OK</v>
      </c>
      <c r="E464" t="str">
        <f>IF(OR(Controls_Raw!G464="USA",Controls_Raw!G464="UK"),"Standardize","OK")</f>
        <v>OK</v>
      </c>
      <c r="F464" t="str">
        <f>IF(Controls_Raw!E464&lt;&gt;TRIM(Controls_Raw!E464),"Trim","OK")</f>
        <v>OK</v>
      </c>
      <c r="G464" t="str">
        <f>IF(AND(Controls_Raw!L464&lt;DATE(2026,9,30),Controls_Raw!M464&lt;&gt;"Completed"),"Overdue","OK")</f>
        <v>Overdue</v>
      </c>
      <c r="H464" t="str">
        <f>IF(AND(Controls_Raw!Q464&lt;DATE(2026,9,30),Controls_Raw!R464&lt;&gt;"Completed",Controls_Raw!R464&lt;&gt;"Not Required"),"Overdue","OK")</f>
        <v>Overdue</v>
      </c>
      <c r="I464" t="str">
        <f t="shared" si="7"/>
        <v>Issue</v>
      </c>
    </row>
    <row r="465" spans="1:9" x14ac:dyDescent="0.2">
      <c r="A465" t="str">
        <f>Controls_Raw!A465</f>
        <v>CTRL-0461</v>
      </c>
      <c r="B465" t="str">
        <f>IF(COUNTIF(Controls_Raw!$A$5:$A$1504,A465)&gt;1,"Duplicate","OK")</f>
        <v>OK</v>
      </c>
      <c r="C465" t="str">
        <f>IF(LEN(TRIM(Controls_Raw!I465))=0,"Missing","OK")</f>
        <v>OK</v>
      </c>
      <c r="D465" t="str">
        <f>IF(LEN(TRIM(Controls_Raw!N465))=0,"Missing","OK")</f>
        <v>OK</v>
      </c>
      <c r="E465" t="str">
        <f>IF(OR(Controls_Raw!G465="USA",Controls_Raw!G465="UK"),"Standardize","OK")</f>
        <v>OK</v>
      </c>
      <c r="F465" t="str">
        <f>IF(Controls_Raw!E465&lt;&gt;TRIM(Controls_Raw!E465),"Trim","OK")</f>
        <v>OK</v>
      </c>
      <c r="G465" t="str">
        <f>IF(AND(Controls_Raw!L465&lt;DATE(2026,9,30),Controls_Raw!M465&lt;&gt;"Completed"),"Overdue","OK")</f>
        <v>Overdue</v>
      </c>
      <c r="H465" t="str">
        <f>IF(AND(Controls_Raw!Q465&lt;DATE(2026,9,30),Controls_Raw!R465&lt;&gt;"Completed",Controls_Raw!R465&lt;&gt;"Not Required"),"Overdue","OK")</f>
        <v>OK</v>
      </c>
      <c r="I465" t="str">
        <f t="shared" si="7"/>
        <v>Issue</v>
      </c>
    </row>
    <row r="466" spans="1:9" x14ac:dyDescent="0.2">
      <c r="A466" t="str">
        <f>Controls_Raw!A466</f>
        <v>CTRL-0462</v>
      </c>
      <c r="B466" t="str">
        <f>IF(COUNTIF(Controls_Raw!$A$5:$A$1504,A466)&gt;1,"Duplicate","OK")</f>
        <v>OK</v>
      </c>
      <c r="C466" t="str">
        <f>IF(LEN(TRIM(Controls_Raw!I466))=0,"Missing","OK")</f>
        <v>OK</v>
      </c>
      <c r="D466" t="str">
        <f>IF(LEN(TRIM(Controls_Raw!N466))=0,"Missing","OK")</f>
        <v>OK</v>
      </c>
      <c r="E466" t="str">
        <f>IF(OR(Controls_Raw!G466="USA",Controls_Raw!G466="UK"),"Standardize","OK")</f>
        <v>OK</v>
      </c>
      <c r="F466" t="str">
        <f>IF(Controls_Raw!E466&lt;&gt;TRIM(Controls_Raw!E466),"Trim","OK")</f>
        <v>OK</v>
      </c>
      <c r="G466" t="str">
        <f>IF(AND(Controls_Raw!L466&lt;DATE(2026,9,30),Controls_Raw!M466&lt;&gt;"Completed"),"Overdue","OK")</f>
        <v>Overdue</v>
      </c>
      <c r="H466" t="str">
        <f>IF(AND(Controls_Raw!Q466&lt;DATE(2026,9,30),Controls_Raw!R466&lt;&gt;"Completed",Controls_Raw!R466&lt;&gt;"Not Required"),"Overdue","OK")</f>
        <v>OK</v>
      </c>
      <c r="I466" t="str">
        <f t="shared" si="7"/>
        <v>Issue</v>
      </c>
    </row>
    <row r="467" spans="1:9" x14ac:dyDescent="0.2">
      <c r="A467" t="str">
        <f>Controls_Raw!A467</f>
        <v>CTRL-0463</v>
      </c>
      <c r="B467" t="str">
        <f>IF(COUNTIF(Controls_Raw!$A$5:$A$1504,A467)&gt;1,"Duplicate","OK")</f>
        <v>OK</v>
      </c>
      <c r="C467" t="str">
        <f>IF(LEN(TRIM(Controls_Raw!I467))=0,"Missing","OK")</f>
        <v>OK</v>
      </c>
      <c r="D467" t="str">
        <f>IF(LEN(TRIM(Controls_Raw!N467))=0,"Missing","OK")</f>
        <v>OK</v>
      </c>
      <c r="E467" t="str">
        <f>IF(OR(Controls_Raw!G467="USA",Controls_Raw!G467="UK"),"Standardize","OK")</f>
        <v>OK</v>
      </c>
      <c r="F467" t="str">
        <f>IF(Controls_Raw!E467&lt;&gt;TRIM(Controls_Raw!E467),"Trim","OK")</f>
        <v>OK</v>
      </c>
      <c r="G467" t="str">
        <f>IF(AND(Controls_Raw!L467&lt;DATE(2026,9,30),Controls_Raw!M467&lt;&gt;"Completed"),"Overdue","OK")</f>
        <v>OK</v>
      </c>
      <c r="H467" t="str">
        <f>IF(AND(Controls_Raw!Q467&lt;DATE(2026,9,30),Controls_Raw!R467&lt;&gt;"Completed",Controls_Raw!R467&lt;&gt;"Not Required"),"Overdue","OK")</f>
        <v>OK</v>
      </c>
      <c r="I467" t="str">
        <f t="shared" si="7"/>
        <v>Pass</v>
      </c>
    </row>
    <row r="468" spans="1:9" x14ac:dyDescent="0.2">
      <c r="A468" t="str">
        <f>Controls_Raw!A468</f>
        <v>CTRL-0464</v>
      </c>
      <c r="B468" t="str">
        <f>IF(COUNTIF(Controls_Raw!$A$5:$A$1504,A468)&gt;1,"Duplicate","OK")</f>
        <v>OK</v>
      </c>
      <c r="C468" t="str">
        <f>IF(LEN(TRIM(Controls_Raw!I468))=0,"Missing","OK")</f>
        <v>OK</v>
      </c>
      <c r="D468" t="str">
        <f>IF(LEN(TRIM(Controls_Raw!N468))=0,"Missing","OK")</f>
        <v>OK</v>
      </c>
      <c r="E468" t="str">
        <f>IF(OR(Controls_Raw!G468="USA",Controls_Raw!G468="UK"),"Standardize","OK")</f>
        <v>OK</v>
      </c>
      <c r="F468" t="str">
        <f>IF(Controls_Raw!E468&lt;&gt;TRIM(Controls_Raw!E468),"Trim","OK")</f>
        <v>OK</v>
      </c>
      <c r="G468" t="str">
        <f>IF(AND(Controls_Raw!L468&lt;DATE(2026,9,30),Controls_Raw!M468&lt;&gt;"Completed"),"Overdue","OK")</f>
        <v>OK</v>
      </c>
      <c r="H468" t="str">
        <f>IF(AND(Controls_Raw!Q468&lt;DATE(2026,9,30),Controls_Raw!R468&lt;&gt;"Completed",Controls_Raw!R468&lt;&gt;"Not Required"),"Overdue","OK")</f>
        <v>OK</v>
      </c>
      <c r="I468" t="str">
        <f t="shared" si="7"/>
        <v>Pass</v>
      </c>
    </row>
    <row r="469" spans="1:9" x14ac:dyDescent="0.2">
      <c r="A469" t="str">
        <f>Controls_Raw!A469</f>
        <v>CTRL-0465</v>
      </c>
      <c r="B469" t="str">
        <f>IF(COUNTIF(Controls_Raw!$A$5:$A$1504,A469)&gt;1,"Duplicate","OK")</f>
        <v>OK</v>
      </c>
      <c r="C469" t="str">
        <f>IF(LEN(TRIM(Controls_Raw!I469))=0,"Missing","OK")</f>
        <v>OK</v>
      </c>
      <c r="D469" t="str">
        <f>IF(LEN(TRIM(Controls_Raw!N469))=0,"Missing","OK")</f>
        <v>OK</v>
      </c>
      <c r="E469" t="str">
        <f>IF(OR(Controls_Raw!G469="USA",Controls_Raw!G469="UK"),"Standardize","OK")</f>
        <v>OK</v>
      </c>
      <c r="F469" t="str">
        <f>IF(Controls_Raw!E469&lt;&gt;TRIM(Controls_Raw!E469),"Trim","OK")</f>
        <v>OK</v>
      </c>
      <c r="G469" t="str">
        <f>IF(AND(Controls_Raw!L469&lt;DATE(2026,9,30),Controls_Raw!M469&lt;&gt;"Completed"),"Overdue","OK")</f>
        <v>Overdue</v>
      </c>
      <c r="H469" t="str">
        <f>IF(AND(Controls_Raw!Q469&lt;DATE(2026,9,30),Controls_Raw!R469&lt;&gt;"Completed",Controls_Raw!R469&lt;&gt;"Not Required"),"Overdue","OK")</f>
        <v>OK</v>
      </c>
      <c r="I469" t="str">
        <f t="shared" si="7"/>
        <v>Issue</v>
      </c>
    </row>
    <row r="470" spans="1:9" x14ac:dyDescent="0.2">
      <c r="A470" t="str">
        <f>Controls_Raw!A470</f>
        <v>CTRL-0466</v>
      </c>
      <c r="B470" t="str">
        <f>IF(COUNTIF(Controls_Raw!$A$5:$A$1504,A470)&gt;1,"Duplicate","OK")</f>
        <v>OK</v>
      </c>
      <c r="C470" t="str">
        <f>IF(LEN(TRIM(Controls_Raw!I470))=0,"Missing","OK")</f>
        <v>OK</v>
      </c>
      <c r="D470" t="str">
        <f>IF(LEN(TRIM(Controls_Raw!N470))=0,"Missing","OK")</f>
        <v>OK</v>
      </c>
      <c r="E470" t="str">
        <f>IF(OR(Controls_Raw!G470="USA",Controls_Raw!G470="UK"),"Standardize","OK")</f>
        <v>OK</v>
      </c>
      <c r="F470" t="str">
        <f>IF(Controls_Raw!E470&lt;&gt;TRIM(Controls_Raw!E470),"Trim","OK")</f>
        <v>OK</v>
      </c>
      <c r="G470" t="str">
        <f>IF(AND(Controls_Raw!L470&lt;DATE(2026,9,30),Controls_Raw!M470&lt;&gt;"Completed"),"Overdue","OK")</f>
        <v>OK</v>
      </c>
      <c r="H470" t="str">
        <f>IF(AND(Controls_Raw!Q470&lt;DATE(2026,9,30),Controls_Raw!R470&lt;&gt;"Completed",Controls_Raw!R470&lt;&gt;"Not Required"),"Overdue","OK")</f>
        <v>OK</v>
      </c>
      <c r="I470" t="str">
        <f t="shared" si="7"/>
        <v>Pass</v>
      </c>
    </row>
    <row r="471" spans="1:9" x14ac:dyDescent="0.2">
      <c r="A471" t="str">
        <f>Controls_Raw!A471</f>
        <v>CTRL-0467</v>
      </c>
      <c r="B471" t="str">
        <f>IF(COUNTIF(Controls_Raw!$A$5:$A$1504,A471)&gt;1,"Duplicate","OK")</f>
        <v>OK</v>
      </c>
      <c r="C471" t="str">
        <f>IF(LEN(TRIM(Controls_Raw!I471))=0,"Missing","OK")</f>
        <v>OK</v>
      </c>
      <c r="D471" t="str">
        <f>IF(LEN(TRIM(Controls_Raw!N471))=0,"Missing","OK")</f>
        <v>OK</v>
      </c>
      <c r="E471" t="str">
        <f>IF(OR(Controls_Raw!G471="USA",Controls_Raw!G471="UK"),"Standardize","OK")</f>
        <v>OK</v>
      </c>
      <c r="F471" t="str">
        <f>IF(Controls_Raw!E471&lt;&gt;TRIM(Controls_Raw!E471),"Trim","OK")</f>
        <v>OK</v>
      </c>
      <c r="G471" t="str">
        <f>IF(AND(Controls_Raw!L471&lt;DATE(2026,9,30),Controls_Raw!M471&lt;&gt;"Completed"),"Overdue","OK")</f>
        <v>OK</v>
      </c>
      <c r="H471" t="str">
        <f>IF(AND(Controls_Raw!Q471&lt;DATE(2026,9,30),Controls_Raw!R471&lt;&gt;"Completed",Controls_Raw!R471&lt;&gt;"Not Required"),"Overdue","OK")</f>
        <v>Overdue</v>
      </c>
      <c r="I471" t="str">
        <f t="shared" si="7"/>
        <v>Issue</v>
      </c>
    </row>
    <row r="472" spans="1:9" x14ac:dyDescent="0.2">
      <c r="A472" t="str">
        <f>Controls_Raw!A472</f>
        <v>CTRL-0468</v>
      </c>
      <c r="B472" t="str">
        <f>IF(COUNTIF(Controls_Raw!$A$5:$A$1504,A472)&gt;1,"Duplicate","OK")</f>
        <v>OK</v>
      </c>
      <c r="C472" t="str">
        <f>IF(LEN(TRIM(Controls_Raw!I472))=0,"Missing","OK")</f>
        <v>OK</v>
      </c>
      <c r="D472" t="str">
        <f>IF(LEN(TRIM(Controls_Raw!N472))=0,"Missing","OK")</f>
        <v>OK</v>
      </c>
      <c r="E472" t="str">
        <f>IF(OR(Controls_Raw!G472="USA",Controls_Raw!G472="UK"),"Standardize","OK")</f>
        <v>OK</v>
      </c>
      <c r="F472" t="str">
        <f>IF(Controls_Raw!E472&lt;&gt;TRIM(Controls_Raw!E472),"Trim","OK")</f>
        <v>OK</v>
      </c>
      <c r="G472" t="str">
        <f>IF(AND(Controls_Raw!L472&lt;DATE(2026,9,30),Controls_Raw!M472&lt;&gt;"Completed"),"Overdue","OK")</f>
        <v>Overdue</v>
      </c>
      <c r="H472" t="str">
        <f>IF(AND(Controls_Raw!Q472&lt;DATE(2026,9,30),Controls_Raw!R472&lt;&gt;"Completed",Controls_Raw!R472&lt;&gt;"Not Required"),"Overdue","OK")</f>
        <v>OK</v>
      </c>
      <c r="I472" t="str">
        <f t="shared" si="7"/>
        <v>Issue</v>
      </c>
    </row>
    <row r="473" spans="1:9" x14ac:dyDescent="0.2">
      <c r="A473" t="str">
        <f>Controls_Raw!A473</f>
        <v>CTRL-0469</v>
      </c>
      <c r="B473" t="str">
        <f>IF(COUNTIF(Controls_Raw!$A$5:$A$1504,A473)&gt;1,"Duplicate","OK")</f>
        <v>OK</v>
      </c>
      <c r="C473" t="str">
        <f>IF(LEN(TRIM(Controls_Raw!I473))=0,"Missing","OK")</f>
        <v>OK</v>
      </c>
      <c r="D473" t="str">
        <f>IF(LEN(TRIM(Controls_Raw!N473))=0,"Missing","OK")</f>
        <v>OK</v>
      </c>
      <c r="E473" t="str">
        <f>IF(OR(Controls_Raw!G473="USA",Controls_Raw!G473="UK"),"Standardize","OK")</f>
        <v>OK</v>
      </c>
      <c r="F473" t="str">
        <f>IF(Controls_Raw!E473&lt;&gt;TRIM(Controls_Raw!E473),"Trim","OK")</f>
        <v>OK</v>
      </c>
      <c r="G473" t="str">
        <f>IF(AND(Controls_Raw!L473&lt;DATE(2026,9,30),Controls_Raw!M473&lt;&gt;"Completed"),"Overdue","OK")</f>
        <v>Overdue</v>
      </c>
      <c r="H473" t="str">
        <f>IF(AND(Controls_Raw!Q473&lt;DATE(2026,9,30),Controls_Raw!R473&lt;&gt;"Completed",Controls_Raw!R473&lt;&gt;"Not Required"),"Overdue","OK")</f>
        <v>OK</v>
      </c>
      <c r="I473" t="str">
        <f t="shared" si="7"/>
        <v>Issue</v>
      </c>
    </row>
    <row r="474" spans="1:9" x14ac:dyDescent="0.2">
      <c r="A474" t="str">
        <f>Controls_Raw!A474</f>
        <v>CTRL-0470</v>
      </c>
      <c r="B474" t="str">
        <f>IF(COUNTIF(Controls_Raw!$A$5:$A$1504,A474)&gt;1,"Duplicate","OK")</f>
        <v>OK</v>
      </c>
      <c r="C474" t="str">
        <f>IF(LEN(TRIM(Controls_Raw!I474))=0,"Missing","OK")</f>
        <v>OK</v>
      </c>
      <c r="D474" t="str">
        <f>IF(LEN(TRIM(Controls_Raw!N474))=0,"Missing","OK")</f>
        <v>OK</v>
      </c>
      <c r="E474" t="str">
        <f>IF(OR(Controls_Raw!G474="USA",Controls_Raw!G474="UK"),"Standardize","OK")</f>
        <v>OK</v>
      </c>
      <c r="F474" t="str">
        <f>IF(Controls_Raw!E474&lt;&gt;TRIM(Controls_Raw!E474),"Trim","OK")</f>
        <v>OK</v>
      </c>
      <c r="G474" t="str">
        <f>IF(AND(Controls_Raw!L474&lt;DATE(2026,9,30),Controls_Raw!M474&lt;&gt;"Completed"),"Overdue","OK")</f>
        <v>OK</v>
      </c>
      <c r="H474" t="str">
        <f>IF(AND(Controls_Raw!Q474&lt;DATE(2026,9,30),Controls_Raw!R474&lt;&gt;"Completed",Controls_Raw!R474&lt;&gt;"Not Required"),"Overdue","OK")</f>
        <v>Overdue</v>
      </c>
      <c r="I474" t="str">
        <f t="shared" si="7"/>
        <v>Issue</v>
      </c>
    </row>
    <row r="475" spans="1:9" x14ac:dyDescent="0.2">
      <c r="A475" t="str">
        <f>Controls_Raw!A475</f>
        <v>CTRL-0471</v>
      </c>
      <c r="B475" t="str">
        <f>IF(COUNTIF(Controls_Raw!$A$5:$A$1504,A475)&gt;1,"Duplicate","OK")</f>
        <v>OK</v>
      </c>
      <c r="C475" t="str">
        <f>IF(LEN(TRIM(Controls_Raw!I475))=0,"Missing","OK")</f>
        <v>Missing</v>
      </c>
      <c r="D475" t="str">
        <f>IF(LEN(TRIM(Controls_Raw!N475))=0,"Missing","OK")</f>
        <v>OK</v>
      </c>
      <c r="E475" t="str">
        <f>IF(OR(Controls_Raw!G475="USA",Controls_Raw!G475="UK"),"Standardize","OK")</f>
        <v>OK</v>
      </c>
      <c r="F475" t="str">
        <f>IF(Controls_Raw!E475&lt;&gt;TRIM(Controls_Raw!E475),"Trim","OK")</f>
        <v>OK</v>
      </c>
      <c r="G475" t="str">
        <f>IF(AND(Controls_Raw!L475&lt;DATE(2026,9,30),Controls_Raw!M475&lt;&gt;"Completed"),"Overdue","OK")</f>
        <v>Overdue</v>
      </c>
      <c r="H475" t="str">
        <f>IF(AND(Controls_Raw!Q475&lt;DATE(2026,9,30),Controls_Raw!R475&lt;&gt;"Completed",Controls_Raw!R475&lt;&gt;"Not Required"),"Overdue","OK")</f>
        <v>OK</v>
      </c>
      <c r="I475" t="str">
        <f t="shared" si="7"/>
        <v>Issue</v>
      </c>
    </row>
    <row r="476" spans="1:9" x14ac:dyDescent="0.2">
      <c r="A476" t="str">
        <f>Controls_Raw!A476</f>
        <v>CTRL-0472</v>
      </c>
      <c r="B476" t="str">
        <f>IF(COUNTIF(Controls_Raw!$A$5:$A$1504,A476)&gt;1,"Duplicate","OK")</f>
        <v>OK</v>
      </c>
      <c r="C476" t="str">
        <f>IF(LEN(TRIM(Controls_Raw!I476))=0,"Missing","OK")</f>
        <v>OK</v>
      </c>
      <c r="D476" t="str">
        <f>IF(LEN(TRIM(Controls_Raw!N476))=0,"Missing","OK")</f>
        <v>OK</v>
      </c>
      <c r="E476" t="str">
        <f>IF(OR(Controls_Raw!G476="USA",Controls_Raw!G476="UK"),"Standardize","OK")</f>
        <v>OK</v>
      </c>
      <c r="F476" t="str">
        <f>IF(Controls_Raw!E476&lt;&gt;TRIM(Controls_Raw!E476),"Trim","OK")</f>
        <v>OK</v>
      </c>
      <c r="G476" t="str">
        <f>IF(AND(Controls_Raw!L476&lt;DATE(2026,9,30),Controls_Raw!M476&lt;&gt;"Completed"),"Overdue","OK")</f>
        <v>Overdue</v>
      </c>
      <c r="H476" t="str">
        <f>IF(AND(Controls_Raw!Q476&lt;DATE(2026,9,30),Controls_Raw!R476&lt;&gt;"Completed",Controls_Raw!R476&lt;&gt;"Not Required"),"Overdue","OK")</f>
        <v>OK</v>
      </c>
      <c r="I476" t="str">
        <f t="shared" si="7"/>
        <v>Issue</v>
      </c>
    </row>
    <row r="477" spans="1:9" x14ac:dyDescent="0.2">
      <c r="A477" t="str">
        <f>Controls_Raw!A477</f>
        <v>CTRL-0473</v>
      </c>
      <c r="B477" t="str">
        <f>IF(COUNTIF(Controls_Raw!$A$5:$A$1504,A477)&gt;1,"Duplicate","OK")</f>
        <v>OK</v>
      </c>
      <c r="C477" t="str">
        <f>IF(LEN(TRIM(Controls_Raw!I477))=0,"Missing","OK")</f>
        <v>OK</v>
      </c>
      <c r="D477" t="str">
        <f>IF(LEN(TRIM(Controls_Raw!N477))=0,"Missing","OK")</f>
        <v>OK</v>
      </c>
      <c r="E477" t="str">
        <f>IF(OR(Controls_Raw!G477="USA",Controls_Raw!G477="UK"),"Standardize","OK")</f>
        <v>OK</v>
      </c>
      <c r="F477" t="str">
        <f>IF(Controls_Raw!E477&lt;&gt;TRIM(Controls_Raw!E477),"Trim","OK")</f>
        <v>OK</v>
      </c>
      <c r="G477" t="str">
        <f>IF(AND(Controls_Raw!L477&lt;DATE(2026,9,30),Controls_Raw!M477&lt;&gt;"Completed"),"Overdue","OK")</f>
        <v>Overdue</v>
      </c>
      <c r="H477" t="str">
        <f>IF(AND(Controls_Raw!Q477&lt;DATE(2026,9,30),Controls_Raw!R477&lt;&gt;"Completed",Controls_Raw!R477&lt;&gt;"Not Required"),"Overdue","OK")</f>
        <v>Overdue</v>
      </c>
      <c r="I477" t="str">
        <f t="shared" si="7"/>
        <v>Issue</v>
      </c>
    </row>
    <row r="478" spans="1:9" x14ac:dyDescent="0.2">
      <c r="A478" t="str">
        <f>Controls_Raw!A478</f>
        <v>CTRL-0474</v>
      </c>
      <c r="B478" t="str">
        <f>IF(COUNTIF(Controls_Raw!$A$5:$A$1504,A478)&gt;1,"Duplicate","OK")</f>
        <v>OK</v>
      </c>
      <c r="C478" t="str">
        <f>IF(LEN(TRIM(Controls_Raw!I478))=0,"Missing","OK")</f>
        <v>OK</v>
      </c>
      <c r="D478" t="str">
        <f>IF(LEN(TRIM(Controls_Raw!N478))=0,"Missing","OK")</f>
        <v>OK</v>
      </c>
      <c r="E478" t="str">
        <f>IF(OR(Controls_Raw!G478="USA",Controls_Raw!G478="UK"),"Standardize","OK")</f>
        <v>OK</v>
      </c>
      <c r="F478" t="str">
        <f>IF(Controls_Raw!E478&lt;&gt;TRIM(Controls_Raw!E478),"Trim","OK")</f>
        <v>OK</v>
      </c>
      <c r="G478" t="str">
        <f>IF(AND(Controls_Raw!L478&lt;DATE(2026,9,30),Controls_Raw!M478&lt;&gt;"Completed"),"Overdue","OK")</f>
        <v>Overdue</v>
      </c>
      <c r="H478" t="str">
        <f>IF(AND(Controls_Raw!Q478&lt;DATE(2026,9,30),Controls_Raw!R478&lt;&gt;"Completed",Controls_Raw!R478&lt;&gt;"Not Required"),"Overdue","OK")</f>
        <v>OK</v>
      </c>
      <c r="I478" t="str">
        <f t="shared" si="7"/>
        <v>Issue</v>
      </c>
    </row>
    <row r="479" spans="1:9" x14ac:dyDescent="0.2">
      <c r="A479" t="str">
        <f>Controls_Raw!A479</f>
        <v>CTRL-0475</v>
      </c>
      <c r="B479" t="str">
        <f>IF(COUNTIF(Controls_Raw!$A$5:$A$1504,A479)&gt;1,"Duplicate","OK")</f>
        <v>OK</v>
      </c>
      <c r="C479" t="str">
        <f>IF(LEN(TRIM(Controls_Raw!I479))=0,"Missing","OK")</f>
        <v>OK</v>
      </c>
      <c r="D479" t="str">
        <f>IF(LEN(TRIM(Controls_Raw!N479))=0,"Missing","OK")</f>
        <v>OK</v>
      </c>
      <c r="E479" t="str">
        <f>IF(OR(Controls_Raw!G479="USA",Controls_Raw!G479="UK"),"Standardize","OK")</f>
        <v>OK</v>
      </c>
      <c r="F479" t="str">
        <f>IF(Controls_Raw!E479&lt;&gt;TRIM(Controls_Raw!E479),"Trim","OK")</f>
        <v>OK</v>
      </c>
      <c r="G479" t="str">
        <f>IF(AND(Controls_Raw!L479&lt;DATE(2026,9,30),Controls_Raw!M479&lt;&gt;"Completed"),"Overdue","OK")</f>
        <v>Overdue</v>
      </c>
      <c r="H479" t="str">
        <f>IF(AND(Controls_Raw!Q479&lt;DATE(2026,9,30),Controls_Raw!R479&lt;&gt;"Completed",Controls_Raw!R479&lt;&gt;"Not Required"),"Overdue","OK")</f>
        <v>OK</v>
      </c>
      <c r="I479" t="str">
        <f t="shared" si="7"/>
        <v>Issue</v>
      </c>
    </row>
    <row r="480" spans="1:9" x14ac:dyDescent="0.2">
      <c r="A480" t="str">
        <f>Controls_Raw!A480</f>
        <v>CTRL-0476</v>
      </c>
      <c r="B480" t="str">
        <f>IF(COUNTIF(Controls_Raw!$A$5:$A$1504,A480)&gt;1,"Duplicate","OK")</f>
        <v>OK</v>
      </c>
      <c r="C480" t="str">
        <f>IF(LEN(TRIM(Controls_Raw!I480))=0,"Missing","OK")</f>
        <v>OK</v>
      </c>
      <c r="D480" t="str">
        <f>IF(LEN(TRIM(Controls_Raw!N480))=0,"Missing","OK")</f>
        <v>OK</v>
      </c>
      <c r="E480" t="str">
        <f>IF(OR(Controls_Raw!G480="USA",Controls_Raw!G480="UK"),"Standardize","OK")</f>
        <v>OK</v>
      </c>
      <c r="F480" t="str">
        <f>IF(Controls_Raw!E480&lt;&gt;TRIM(Controls_Raw!E480),"Trim","OK")</f>
        <v>OK</v>
      </c>
      <c r="G480" t="str">
        <f>IF(AND(Controls_Raw!L480&lt;DATE(2026,9,30),Controls_Raw!M480&lt;&gt;"Completed"),"Overdue","OK")</f>
        <v>Overdue</v>
      </c>
      <c r="H480" t="str">
        <f>IF(AND(Controls_Raw!Q480&lt;DATE(2026,9,30),Controls_Raw!R480&lt;&gt;"Completed",Controls_Raw!R480&lt;&gt;"Not Required"),"Overdue","OK")</f>
        <v>OK</v>
      </c>
      <c r="I480" t="str">
        <f t="shared" si="7"/>
        <v>Issue</v>
      </c>
    </row>
    <row r="481" spans="1:9" x14ac:dyDescent="0.2">
      <c r="A481" t="str">
        <f>Controls_Raw!A481</f>
        <v>CTRL-0477</v>
      </c>
      <c r="B481" t="str">
        <f>IF(COUNTIF(Controls_Raw!$A$5:$A$1504,A481)&gt;1,"Duplicate","OK")</f>
        <v>OK</v>
      </c>
      <c r="C481" t="str">
        <f>IF(LEN(TRIM(Controls_Raw!I481))=0,"Missing","OK")</f>
        <v>OK</v>
      </c>
      <c r="D481" t="str">
        <f>IF(LEN(TRIM(Controls_Raw!N481))=0,"Missing","OK")</f>
        <v>OK</v>
      </c>
      <c r="E481" t="str">
        <f>IF(OR(Controls_Raw!G481="USA",Controls_Raw!G481="UK"),"Standardize","OK")</f>
        <v>OK</v>
      </c>
      <c r="F481" t="str">
        <f>IF(Controls_Raw!E481&lt;&gt;TRIM(Controls_Raw!E481),"Trim","OK")</f>
        <v>OK</v>
      </c>
      <c r="G481" t="str">
        <f>IF(AND(Controls_Raw!L481&lt;DATE(2026,9,30),Controls_Raw!M481&lt;&gt;"Completed"),"Overdue","OK")</f>
        <v>Overdue</v>
      </c>
      <c r="H481" t="str">
        <f>IF(AND(Controls_Raw!Q481&lt;DATE(2026,9,30),Controls_Raw!R481&lt;&gt;"Completed",Controls_Raw!R481&lt;&gt;"Not Required"),"Overdue","OK")</f>
        <v>OK</v>
      </c>
      <c r="I481" t="str">
        <f t="shared" si="7"/>
        <v>Issue</v>
      </c>
    </row>
    <row r="482" spans="1:9" x14ac:dyDescent="0.2">
      <c r="A482" t="str">
        <f>Controls_Raw!A482</f>
        <v>CTRL-0478</v>
      </c>
      <c r="B482" t="str">
        <f>IF(COUNTIF(Controls_Raw!$A$5:$A$1504,A482)&gt;1,"Duplicate","OK")</f>
        <v>OK</v>
      </c>
      <c r="C482" t="str">
        <f>IF(LEN(TRIM(Controls_Raw!I482))=0,"Missing","OK")</f>
        <v>OK</v>
      </c>
      <c r="D482" t="str">
        <f>IF(LEN(TRIM(Controls_Raw!N482))=0,"Missing","OK")</f>
        <v>OK</v>
      </c>
      <c r="E482" t="str">
        <f>IF(OR(Controls_Raw!G482="USA",Controls_Raw!G482="UK"),"Standardize","OK")</f>
        <v>OK</v>
      </c>
      <c r="F482" t="str">
        <f>IF(Controls_Raw!E482&lt;&gt;TRIM(Controls_Raw!E482),"Trim","OK")</f>
        <v>OK</v>
      </c>
      <c r="G482" t="str">
        <f>IF(AND(Controls_Raw!L482&lt;DATE(2026,9,30),Controls_Raw!M482&lt;&gt;"Completed"),"Overdue","OK")</f>
        <v>OK</v>
      </c>
      <c r="H482" t="str">
        <f>IF(AND(Controls_Raw!Q482&lt;DATE(2026,9,30),Controls_Raw!R482&lt;&gt;"Completed",Controls_Raw!R482&lt;&gt;"Not Required"),"Overdue","OK")</f>
        <v>OK</v>
      </c>
      <c r="I482" t="str">
        <f t="shared" si="7"/>
        <v>Pass</v>
      </c>
    </row>
    <row r="483" spans="1:9" x14ac:dyDescent="0.2">
      <c r="A483" t="str">
        <f>Controls_Raw!A483</f>
        <v>CTRL-0479</v>
      </c>
      <c r="B483" t="str">
        <f>IF(COUNTIF(Controls_Raw!$A$5:$A$1504,A483)&gt;1,"Duplicate","OK")</f>
        <v>OK</v>
      </c>
      <c r="C483" t="str">
        <f>IF(LEN(TRIM(Controls_Raw!I483))=0,"Missing","OK")</f>
        <v>OK</v>
      </c>
      <c r="D483" t="str">
        <f>IF(LEN(TRIM(Controls_Raw!N483))=0,"Missing","OK")</f>
        <v>OK</v>
      </c>
      <c r="E483" t="str">
        <f>IF(OR(Controls_Raw!G483="USA",Controls_Raw!G483="UK"),"Standardize","OK")</f>
        <v>OK</v>
      </c>
      <c r="F483" t="str">
        <f>IF(Controls_Raw!E483&lt;&gt;TRIM(Controls_Raw!E483),"Trim","OK")</f>
        <v>OK</v>
      </c>
      <c r="G483" t="str">
        <f>IF(AND(Controls_Raw!L483&lt;DATE(2026,9,30),Controls_Raw!M483&lt;&gt;"Completed"),"Overdue","OK")</f>
        <v>Overdue</v>
      </c>
      <c r="H483" t="str">
        <f>IF(AND(Controls_Raw!Q483&lt;DATE(2026,9,30),Controls_Raw!R483&lt;&gt;"Completed",Controls_Raw!R483&lt;&gt;"Not Required"),"Overdue","OK")</f>
        <v>OK</v>
      </c>
      <c r="I483" t="str">
        <f t="shared" si="7"/>
        <v>Issue</v>
      </c>
    </row>
    <row r="484" spans="1:9" x14ac:dyDescent="0.2">
      <c r="A484" t="str">
        <f>Controls_Raw!A484</f>
        <v>CTRL-0480</v>
      </c>
      <c r="B484" t="str">
        <f>IF(COUNTIF(Controls_Raw!$A$5:$A$1504,A484)&gt;1,"Duplicate","OK")</f>
        <v>OK</v>
      </c>
      <c r="C484" t="str">
        <f>IF(LEN(TRIM(Controls_Raw!I484))=0,"Missing","OK")</f>
        <v>OK</v>
      </c>
      <c r="D484" t="str">
        <f>IF(LEN(TRIM(Controls_Raw!N484))=0,"Missing","OK")</f>
        <v>OK</v>
      </c>
      <c r="E484" t="str">
        <f>IF(OR(Controls_Raw!G484="USA",Controls_Raw!G484="UK"),"Standardize","OK")</f>
        <v>OK</v>
      </c>
      <c r="F484" t="str">
        <f>IF(Controls_Raw!E484&lt;&gt;TRIM(Controls_Raw!E484),"Trim","OK")</f>
        <v>OK</v>
      </c>
      <c r="G484" t="str">
        <f>IF(AND(Controls_Raw!L484&lt;DATE(2026,9,30),Controls_Raw!M484&lt;&gt;"Completed"),"Overdue","OK")</f>
        <v>OK</v>
      </c>
      <c r="H484" t="str">
        <f>IF(AND(Controls_Raw!Q484&lt;DATE(2026,9,30),Controls_Raw!R484&lt;&gt;"Completed",Controls_Raw!R484&lt;&gt;"Not Required"),"Overdue","OK")</f>
        <v>OK</v>
      </c>
      <c r="I484" t="str">
        <f t="shared" si="7"/>
        <v>Pass</v>
      </c>
    </row>
    <row r="485" spans="1:9" x14ac:dyDescent="0.2">
      <c r="A485" t="str">
        <f>Controls_Raw!A485</f>
        <v>CTRL-0481</v>
      </c>
      <c r="B485" t="str">
        <f>IF(COUNTIF(Controls_Raw!$A$5:$A$1504,A485)&gt;1,"Duplicate","OK")</f>
        <v>OK</v>
      </c>
      <c r="C485" t="str">
        <f>IF(LEN(TRIM(Controls_Raw!I485))=0,"Missing","OK")</f>
        <v>OK</v>
      </c>
      <c r="D485" t="str">
        <f>IF(LEN(TRIM(Controls_Raw!N485))=0,"Missing","OK")</f>
        <v>OK</v>
      </c>
      <c r="E485" t="str">
        <f>IF(OR(Controls_Raw!G485="USA",Controls_Raw!G485="UK"),"Standardize","OK")</f>
        <v>OK</v>
      </c>
      <c r="F485" t="str">
        <f>IF(Controls_Raw!E485&lt;&gt;TRIM(Controls_Raw!E485),"Trim","OK")</f>
        <v>OK</v>
      </c>
      <c r="G485" t="str">
        <f>IF(AND(Controls_Raw!L485&lt;DATE(2026,9,30),Controls_Raw!M485&lt;&gt;"Completed"),"Overdue","OK")</f>
        <v>Overdue</v>
      </c>
      <c r="H485" t="str">
        <f>IF(AND(Controls_Raw!Q485&lt;DATE(2026,9,30),Controls_Raw!R485&lt;&gt;"Completed",Controls_Raw!R485&lt;&gt;"Not Required"),"Overdue","OK")</f>
        <v>Overdue</v>
      </c>
      <c r="I485" t="str">
        <f t="shared" si="7"/>
        <v>Issue</v>
      </c>
    </row>
    <row r="486" spans="1:9" x14ac:dyDescent="0.2">
      <c r="A486" t="str">
        <f>Controls_Raw!A486</f>
        <v>CTRL-0482</v>
      </c>
      <c r="B486" t="str">
        <f>IF(COUNTIF(Controls_Raw!$A$5:$A$1504,A486)&gt;1,"Duplicate","OK")</f>
        <v>OK</v>
      </c>
      <c r="C486" t="str">
        <f>IF(LEN(TRIM(Controls_Raw!I486))=0,"Missing","OK")</f>
        <v>OK</v>
      </c>
      <c r="D486" t="str">
        <f>IF(LEN(TRIM(Controls_Raw!N486))=0,"Missing","OK")</f>
        <v>OK</v>
      </c>
      <c r="E486" t="str">
        <f>IF(OR(Controls_Raw!G486="USA",Controls_Raw!G486="UK"),"Standardize","OK")</f>
        <v>OK</v>
      </c>
      <c r="F486" t="str">
        <f>IF(Controls_Raw!E486&lt;&gt;TRIM(Controls_Raw!E486),"Trim","OK")</f>
        <v>OK</v>
      </c>
      <c r="G486" t="str">
        <f>IF(AND(Controls_Raw!L486&lt;DATE(2026,9,30),Controls_Raw!M486&lt;&gt;"Completed"),"Overdue","OK")</f>
        <v>OK</v>
      </c>
      <c r="H486" t="str">
        <f>IF(AND(Controls_Raw!Q486&lt;DATE(2026,9,30),Controls_Raw!R486&lt;&gt;"Completed",Controls_Raw!R486&lt;&gt;"Not Required"),"Overdue","OK")</f>
        <v>OK</v>
      </c>
      <c r="I486" t="str">
        <f t="shared" si="7"/>
        <v>Pass</v>
      </c>
    </row>
    <row r="487" spans="1:9" x14ac:dyDescent="0.2">
      <c r="A487" t="str">
        <f>Controls_Raw!A487</f>
        <v>CTRL-0483</v>
      </c>
      <c r="B487" t="str">
        <f>IF(COUNTIF(Controls_Raw!$A$5:$A$1504,A487)&gt;1,"Duplicate","OK")</f>
        <v>OK</v>
      </c>
      <c r="C487" t="str">
        <f>IF(LEN(TRIM(Controls_Raw!I487))=0,"Missing","OK")</f>
        <v>OK</v>
      </c>
      <c r="D487" t="str">
        <f>IF(LEN(TRIM(Controls_Raw!N487))=0,"Missing","OK")</f>
        <v>OK</v>
      </c>
      <c r="E487" t="str">
        <f>IF(OR(Controls_Raw!G487="USA",Controls_Raw!G487="UK"),"Standardize","OK")</f>
        <v>OK</v>
      </c>
      <c r="F487" t="str">
        <f>IF(Controls_Raw!E487&lt;&gt;TRIM(Controls_Raw!E487),"Trim","OK")</f>
        <v>OK</v>
      </c>
      <c r="G487" t="str">
        <f>IF(AND(Controls_Raw!L487&lt;DATE(2026,9,30),Controls_Raw!M487&lt;&gt;"Completed"),"Overdue","OK")</f>
        <v>Overdue</v>
      </c>
      <c r="H487" t="str">
        <f>IF(AND(Controls_Raw!Q487&lt;DATE(2026,9,30),Controls_Raw!R487&lt;&gt;"Completed",Controls_Raw!R487&lt;&gt;"Not Required"),"Overdue","OK")</f>
        <v>OK</v>
      </c>
      <c r="I487" t="str">
        <f t="shared" si="7"/>
        <v>Issue</v>
      </c>
    </row>
    <row r="488" spans="1:9" x14ac:dyDescent="0.2">
      <c r="A488" t="str">
        <f>Controls_Raw!A488</f>
        <v>CTRL-0484</v>
      </c>
      <c r="B488" t="str">
        <f>IF(COUNTIF(Controls_Raw!$A$5:$A$1504,A488)&gt;1,"Duplicate","OK")</f>
        <v>OK</v>
      </c>
      <c r="C488" t="str">
        <f>IF(LEN(TRIM(Controls_Raw!I488))=0,"Missing","OK")</f>
        <v>OK</v>
      </c>
      <c r="D488" t="str">
        <f>IF(LEN(TRIM(Controls_Raw!N488))=0,"Missing","OK")</f>
        <v>OK</v>
      </c>
      <c r="E488" t="str">
        <f>IF(OR(Controls_Raw!G488="USA",Controls_Raw!G488="UK"),"Standardize","OK")</f>
        <v>OK</v>
      </c>
      <c r="F488" t="str">
        <f>IF(Controls_Raw!E488&lt;&gt;TRIM(Controls_Raw!E488),"Trim","OK")</f>
        <v>OK</v>
      </c>
      <c r="G488" t="str">
        <f>IF(AND(Controls_Raw!L488&lt;DATE(2026,9,30),Controls_Raw!M488&lt;&gt;"Completed"),"Overdue","OK")</f>
        <v>OK</v>
      </c>
      <c r="H488" t="str">
        <f>IF(AND(Controls_Raw!Q488&lt;DATE(2026,9,30),Controls_Raw!R488&lt;&gt;"Completed",Controls_Raw!R488&lt;&gt;"Not Required"),"Overdue","OK")</f>
        <v>Overdue</v>
      </c>
      <c r="I488" t="str">
        <f t="shared" si="7"/>
        <v>Issue</v>
      </c>
    </row>
    <row r="489" spans="1:9" x14ac:dyDescent="0.2">
      <c r="A489" t="str">
        <f>Controls_Raw!A489</f>
        <v>CTRL-0485</v>
      </c>
      <c r="B489" t="str">
        <f>IF(COUNTIF(Controls_Raw!$A$5:$A$1504,A489)&gt;1,"Duplicate","OK")</f>
        <v>OK</v>
      </c>
      <c r="C489" t="str">
        <f>IF(LEN(TRIM(Controls_Raw!I489))=0,"Missing","OK")</f>
        <v>OK</v>
      </c>
      <c r="D489" t="str">
        <f>IF(LEN(TRIM(Controls_Raw!N489))=0,"Missing","OK")</f>
        <v>OK</v>
      </c>
      <c r="E489" t="str">
        <f>IF(OR(Controls_Raw!G489="USA",Controls_Raw!G489="UK"),"Standardize","OK")</f>
        <v>OK</v>
      </c>
      <c r="F489" t="str">
        <f>IF(Controls_Raw!E489&lt;&gt;TRIM(Controls_Raw!E489),"Trim","OK")</f>
        <v>OK</v>
      </c>
      <c r="G489" t="str">
        <f>IF(AND(Controls_Raw!L489&lt;DATE(2026,9,30),Controls_Raw!M489&lt;&gt;"Completed"),"Overdue","OK")</f>
        <v>OK</v>
      </c>
      <c r="H489" t="str">
        <f>IF(AND(Controls_Raw!Q489&lt;DATE(2026,9,30),Controls_Raw!R489&lt;&gt;"Completed",Controls_Raw!R489&lt;&gt;"Not Required"),"Overdue","OK")</f>
        <v>OK</v>
      </c>
      <c r="I489" t="str">
        <f t="shared" si="7"/>
        <v>Pass</v>
      </c>
    </row>
    <row r="490" spans="1:9" x14ac:dyDescent="0.2">
      <c r="A490" t="str">
        <f>Controls_Raw!A490</f>
        <v>CTRL-0486</v>
      </c>
      <c r="B490" t="str">
        <f>IF(COUNTIF(Controls_Raw!$A$5:$A$1504,A490)&gt;1,"Duplicate","OK")</f>
        <v>OK</v>
      </c>
      <c r="C490" t="str">
        <f>IF(LEN(TRIM(Controls_Raw!I490))=0,"Missing","OK")</f>
        <v>OK</v>
      </c>
      <c r="D490" t="str">
        <f>IF(LEN(TRIM(Controls_Raw!N490))=0,"Missing","OK")</f>
        <v>OK</v>
      </c>
      <c r="E490" t="str">
        <f>IF(OR(Controls_Raw!G490="USA",Controls_Raw!G490="UK"),"Standardize","OK")</f>
        <v>OK</v>
      </c>
      <c r="F490" t="str">
        <f>IF(Controls_Raw!E490&lt;&gt;TRIM(Controls_Raw!E490),"Trim","OK")</f>
        <v>OK</v>
      </c>
      <c r="G490" t="str">
        <f>IF(AND(Controls_Raw!L490&lt;DATE(2026,9,30),Controls_Raw!M490&lt;&gt;"Completed"),"Overdue","OK")</f>
        <v>OK</v>
      </c>
      <c r="H490" t="str">
        <f>IF(AND(Controls_Raw!Q490&lt;DATE(2026,9,30),Controls_Raw!R490&lt;&gt;"Completed",Controls_Raw!R490&lt;&gt;"Not Required"),"Overdue","OK")</f>
        <v>OK</v>
      </c>
      <c r="I490" t="str">
        <f t="shared" si="7"/>
        <v>Pass</v>
      </c>
    </row>
    <row r="491" spans="1:9" x14ac:dyDescent="0.2">
      <c r="A491" t="str">
        <f>Controls_Raw!A491</f>
        <v>CTRL-0487</v>
      </c>
      <c r="B491" t="str">
        <f>IF(COUNTIF(Controls_Raw!$A$5:$A$1504,A491)&gt;1,"Duplicate","OK")</f>
        <v>OK</v>
      </c>
      <c r="C491" t="str">
        <f>IF(LEN(TRIM(Controls_Raw!I491))=0,"Missing","OK")</f>
        <v>OK</v>
      </c>
      <c r="D491" t="str">
        <f>IF(LEN(TRIM(Controls_Raw!N491))=0,"Missing","OK")</f>
        <v>OK</v>
      </c>
      <c r="E491" t="str">
        <f>IF(OR(Controls_Raw!G491="USA",Controls_Raw!G491="UK"),"Standardize","OK")</f>
        <v>OK</v>
      </c>
      <c r="F491" t="str">
        <f>IF(Controls_Raw!E491&lt;&gt;TRIM(Controls_Raw!E491),"Trim","OK")</f>
        <v>OK</v>
      </c>
      <c r="G491" t="str">
        <f>IF(AND(Controls_Raw!L491&lt;DATE(2026,9,30),Controls_Raw!M491&lt;&gt;"Completed"),"Overdue","OK")</f>
        <v>Overdue</v>
      </c>
      <c r="H491" t="str">
        <f>IF(AND(Controls_Raw!Q491&lt;DATE(2026,9,30),Controls_Raw!R491&lt;&gt;"Completed",Controls_Raw!R491&lt;&gt;"Not Required"),"Overdue","OK")</f>
        <v>OK</v>
      </c>
      <c r="I491" t="str">
        <f t="shared" si="7"/>
        <v>Issue</v>
      </c>
    </row>
    <row r="492" spans="1:9" x14ac:dyDescent="0.2">
      <c r="A492" t="str">
        <f>Controls_Raw!A492</f>
        <v>CTRL-0488</v>
      </c>
      <c r="B492" t="str">
        <f>IF(COUNTIF(Controls_Raw!$A$5:$A$1504,A492)&gt;1,"Duplicate","OK")</f>
        <v>OK</v>
      </c>
      <c r="C492" t="str">
        <f>IF(LEN(TRIM(Controls_Raw!I492))=0,"Missing","OK")</f>
        <v>OK</v>
      </c>
      <c r="D492" t="str">
        <f>IF(LEN(TRIM(Controls_Raw!N492))=0,"Missing","OK")</f>
        <v>OK</v>
      </c>
      <c r="E492" t="str">
        <f>IF(OR(Controls_Raw!G492="USA",Controls_Raw!G492="UK"),"Standardize","OK")</f>
        <v>OK</v>
      </c>
      <c r="F492" t="str">
        <f>IF(Controls_Raw!E492&lt;&gt;TRIM(Controls_Raw!E492),"Trim","OK")</f>
        <v>OK</v>
      </c>
      <c r="G492" t="str">
        <f>IF(AND(Controls_Raw!L492&lt;DATE(2026,9,30),Controls_Raw!M492&lt;&gt;"Completed"),"Overdue","OK")</f>
        <v>Overdue</v>
      </c>
      <c r="H492" t="str">
        <f>IF(AND(Controls_Raw!Q492&lt;DATE(2026,9,30),Controls_Raw!R492&lt;&gt;"Completed",Controls_Raw!R492&lt;&gt;"Not Required"),"Overdue","OK")</f>
        <v>OK</v>
      </c>
      <c r="I492" t="str">
        <f t="shared" si="7"/>
        <v>Issue</v>
      </c>
    </row>
    <row r="493" spans="1:9" x14ac:dyDescent="0.2">
      <c r="A493" t="str">
        <f>Controls_Raw!A493</f>
        <v>CTRL-0489</v>
      </c>
      <c r="B493" t="str">
        <f>IF(COUNTIF(Controls_Raw!$A$5:$A$1504,A493)&gt;1,"Duplicate","OK")</f>
        <v>OK</v>
      </c>
      <c r="C493" t="str">
        <f>IF(LEN(TRIM(Controls_Raw!I493))=0,"Missing","OK")</f>
        <v>OK</v>
      </c>
      <c r="D493" t="str">
        <f>IF(LEN(TRIM(Controls_Raw!N493))=0,"Missing","OK")</f>
        <v>OK</v>
      </c>
      <c r="E493" t="str">
        <f>IF(OR(Controls_Raw!G493="USA",Controls_Raw!G493="UK"),"Standardize","OK")</f>
        <v>OK</v>
      </c>
      <c r="F493" t="str">
        <f>IF(Controls_Raw!E493&lt;&gt;TRIM(Controls_Raw!E493),"Trim","OK")</f>
        <v>OK</v>
      </c>
      <c r="G493" t="str">
        <f>IF(AND(Controls_Raw!L493&lt;DATE(2026,9,30),Controls_Raw!M493&lt;&gt;"Completed"),"Overdue","OK")</f>
        <v>OK</v>
      </c>
      <c r="H493" t="str">
        <f>IF(AND(Controls_Raw!Q493&lt;DATE(2026,9,30),Controls_Raw!R493&lt;&gt;"Completed",Controls_Raw!R493&lt;&gt;"Not Required"),"Overdue","OK")</f>
        <v>OK</v>
      </c>
      <c r="I493" t="str">
        <f t="shared" si="7"/>
        <v>Pass</v>
      </c>
    </row>
    <row r="494" spans="1:9" x14ac:dyDescent="0.2">
      <c r="A494" t="str">
        <f>Controls_Raw!A494</f>
        <v>CTRL-0490</v>
      </c>
      <c r="B494" t="str">
        <f>IF(COUNTIF(Controls_Raw!$A$5:$A$1504,A494)&gt;1,"Duplicate","OK")</f>
        <v>OK</v>
      </c>
      <c r="C494" t="str">
        <f>IF(LEN(TRIM(Controls_Raw!I494))=0,"Missing","OK")</f>
        <v>OK</v>
      </c>
      <c r="D494" t="str">
        <f>IF(LEN(TRIM(Controls_Raw!N494))=0,"Missing","OK")</f>
        <v>OK</v>
      </c>
      <c r="E494" t="str">
        <f>IF(OR(Controls_Raw!G494="USA",Controls_Raw!G494="UK"),"Standardize","OK")</f>
        <v>OK</v>
      </c>
      <c r="F494" t="str">
        <f>IF(Controls_Raw!E494&lt;&gt;TRIM(Controls_Raw!E494),"Trim","OK")</f>
        <v>OK</v>
      </c>
      <c r="G494" t="str">
        <f>IF(AND(Controls_Raw!L494&lt;DATE(2026,9,30),Controls_Raw!M494&lt;&gt;"Completed"),"Overdue","OK")</f>
        <v>OK</v>
      </c>
      <c r="H494" t="str">
        <f>IF(AND(Controls_Raw!Q494&lt;DATE(2026,9,30),Controls_Raw!R494&lt;&gt;"Completed",Controls_Raw!R494&lt;&gt;"Not Required"),"Overdue","OK")</f>
        <v>Overdue</v>
      </c>
      <c r="I494" t="str">
        <f t="shared" si="7"/>
        <v>Issue</v>
      </c>
    </row>
    <row r="495" spans="1:9" x14ac:dyDescent="0.2">
      <c r="A495" t="str">
        <f>Controls_Raw!A495</f>
        <v>CTRL-0491</v>
      </c>
      <c r="B495" t="str">
        <f>IF(COUNTIF(Controls_Raw!$A$5:$A$1504,A495)&gt;1,"Duplicate","OK")</f>
        <v>OK</v>
      </c>
      <c r="C495" t="str">
        <f>IF(LEN(TRIM(Controls_Raw!I495))=0,"Missing","OK")</f>
        <v>OK</v>
      </c>
      <c r="D495" t="str">
        <f>IF(LEN(TRIM(Controls_Raw!N495))=0,"Missing","OK")</f>
        <v>OK</v>
      </c>
      <c r="E495" t="str">
        <f>IF(OR(Controls_Raw!G495="USA",Controls_Raw!G495="UK"),"Standardize","OK")</f>
        <v>OK</v>
      </c>
      <c r="F495" t="str">
        <f>IF(Controls_Raw!E495&lt;&gt;TRIM(Controls_Raw!E495),"Trim","OK")</f>
        <v>OK</v>
      </c>
      <c r="G495" t="str">
        <f>IF(AND(Controls_Raw!L495&lt;DATE(2026,9,30),Controls_Raw!M495&lt;&gt;"Completed"),"Overdue","OK")</f>
        <v>Overdue</v>
      </c>
      <c r="H495" t="str">
        <f>IF(AND(Controls_Raw!Q495&lt;DATE(2026,9,30),Controls_Raw!R495&lt;&gt;"Completed",Controls_Raw!R495&lt;&gt;"Not Required"),"Overdue","OK")</f>
        <v>OK</v>
      </c>
      <c r="I495" t="str">
        <f t="shared" si="7"/>
        <v>Issue</v>
      </c>
    </row>
    <row r="496" spans="1:9" x14ac:dyDescent="0.2">
      <c r="A496" t="str">
        <f>Controls_Raw!A496</f>
        <v>CTRL-0492</v>
      </c>
      <c r="B496" t="str">
        <f>IF(COUNTIF(Controls_Raw!$A$5:$A$1504,A496)&gt;1,"Duplicate","OK")</f>
        <v>OK</v>
      </c>
      <c r="C496" t="str">
        <f>IF(LEN(TRIM(Controls_Raw!I496))=0,"Missing","OK")</f>
        <v>OK</v>
      </c>
      <c r="D496" t="str">
        <f>IF(LEN(TRIM(Controls_Raw!N496))=0,"Missing","OK")</f>
        <v>OK</v>
      </c>
      <c r="E496" t="str">
        <f>IF(OR(Controls_Raw!G496="USA",Controls_Raw!G496="UK"),"Standardize","OK")</f>
        <v>OK</v>
      </c>
      <c r="F496" t="str">
        <f>IF(Controls_Raw!E496&lt;&gt;TRIM(Controls_Raw!E496),"Trim","OK")</f>
        <v>OK</v>
      </c>
      <c r="G496" t="str">
        <f>IF(AND(Controls_Raw!L496&lt;DATE(2026,9,30),Controls_Raw!M496&lt;&gt;"Completed"),"Overdue","OK")</f>
        <v>OK</v>
      </c>
      <c r="H496" t="str">
        <f>IF(AND(Controls_Raw!Q496&lt;DATE(2026,9,30),Controls_Raw!R496&lt;&gt;"Completed",Controls_Raw!R496&lt;&gt;"Not Required"),"Overdue","OK")</f>
        <v>OK</v>
      </c>
      <c r="I496" t="str">
        <f t="shared" si="7"/>
        <v>Pass</v>
      </c>
    </row>
    <row r="497" spans="1:9" x14ac:dyDescent="0.2">
      <c r="A497" t="str">
        <f>Controls_Raw!A497</f>
        <v>CTRL-0493</v>
      </c>
      <c r="B497" t="str">
        <f>IF(COUNTIF(Controls_Raw!$A$5:$A$1504,A497)&gt;1,"Duplicate","OK")</f>
        <v>OK</v>
      </c>
      <c r="C497" t="str">
        <f>IF(LEN(TRIM(Controls_Raw!I497))=0,"Missing","OK")</f>
        <v>OK</v>
      </c>
      <c r="D497" t="str">
        <f>IF(LEN(TRIM(Controls_Raw!N497))=0,"Missing","OK")</f>
        <v>OK</v>
      </c>
      <c r="E497" t="str">
        <f>IF(OR(Controls_Raw!G497="USA",Controls_Raw!G497="UK"),"Standardize","OK")</f>
        <v>OK</v>
      </c>
      <c r="F497" t="str">
        <f>IF(Controls_Raw!E497&lt;&gt;TRIM(Controls_Raw!E497),"Trim","OK")</f>
        <v>OK</v>
      </c>
      <c r="G497" t="str">
        <f>IF(AND(Controls_Raw!L497&lt;DATE(2026,9,30),Controls_Raw!M497&lt;&gt;"Completed"),"Overdue","OK")</f>
        <v>Overdue</v>
      </c>
      <c r="H497" t="str">
        <f>IF(AND(Controls_Raw!Q497&lt;DATE(2026,9,30),Controls_Raw!R497&lt;&gt;"Completed",Controls_Raw!R497&lt;&gt;"Not Required"),"Overdue","OK")</f>
        <v>OK</v>
      </c>
      <c r="I497" t="str">
        <f t="shared" si="7"/>
        <v>Issue</v>
      </c>
    </row>
    <row r="498" spans="1:9" x14ac:dyDescent="0.2">
      <c r="A498" t="str">
        <f>Controls_Raw!A498</f>
        <v>CTRL-0494</v>
      </c>
      <c r="B498" t="str">
        <f>IF(COUNTIF(Controls_Raw!$A$5:$A$1504,A498)&gt;1,"Duplicate","OK")</f>
        <v>OK</v>
      </c>
      <c r="C498" t="str">
        <f>IF(LEN(TRIM(Controls_Raw!I498))=0,"Missing","OK")</f>
        <v>OK</v>
      </c>
      <c r="D498" t="str">
        <f>IF(LEN(TRIM(Controls_Raw!N498))=0,"Missing","OK")</f>
        <v>OK</v>
      </c>
      <c r="E498" t="str">
        <f>IF(OR(Controls_Raw!G498="USA",Controls_Raw!G498="UK"),"Standardize","OK")</f>
        <v>OK</v>
      </c>
      <c r="F498" t="str">
        <f>IF(Controls_Raw!E498&lt;&gt;TRIM(Controls_Raw!E498),"Trim","OK")</f>
        <v>OK</v>
      </c>
      <c r="G498" t="str">
        <f>IF(AND(Controls_Raw!L498&lt;DATE(2026,9,30),Controls_Raw!M498&lt;&gt;"Completed"),"Overdue","OK")</f>
        <v>Overdue</v>
      </c>
      <c r="H498" t="str">
        <f>IF(AND(Controls_Raw!Q498&lt;DATE(2026,9,30),Controls_Raw!R498&lt;&gt;"Completed",Controls_Raw!R498&lt;&gt;"Not Required"),"Overdue","OK")</f>
        <v>OK</v>
      </c>
      <c r="I498" t="str">
        <f t="shared" si="7"/>
        <v>Issue</v>
      </c>
    </row>
    <row r="499" spans="1:9" x14ac:dyDescent="0.2">
      <c r="A499" t="str">
        <f>Controls_Raw!A499</f>
        <v>CTRL-0495</v>
      </c>
      <c r="B499" t="str">
        <f>IF(COUNTIF(Controls_Raw!$A$5:$A$1504,A499)&gt;1,"Duplicate","OK")</f>
        <v>OK</v>
      </c>
      <c r="C499" t="str">
        <f>IF(LEN(TRIM(Controls_Raw!I499))=0,"Missing","OK")</f>
        <v>OK</v>
      </c>
      <c r="D499" t="str">
        <f>IF(LEN(TRIM(Controls_Raw!N499))=0,"Missing","OK")</f>
        <v>OK</v>
      </c>
      <c r="E499" t="str">
        <f>IF(OR(Controls_Raw!G499="USA",Controls_Raw!G499="UK"),"Standardize","OK")</f>
        <v>OK</v>
      </c>
      <c r="F499" t="str">
        <f>IF(Controls_Raw!E499&lt;&gt;TRIM(Controls_Raw!E499),"Trim","OK")</f>
        <v>OK</v>
      </c>
      <c r="G499" t="str">
        <f>IF(AND(Controls_Raw!L499&lt;DATE(2026,9,30),Controls_Raw!M499&lt;&gt;"Completed"),"Overdue","OK")</f>
        <v>OK</v>
      </c>
      <c r="H499" t="str">
        <f>IF(AND(Controls_Raw!Q499&lt;DATE(2026,9,30),Controls_Raw!R499&lt;&gt;"Completed",Controls_Raw!R499&lt;&gt;"Not Required"),"Overdue","OK")</f>
        <v>OK</v>
      </c>
      <c r="I499" t="str">
        <f t="shared" si="7"/>
        <v>Pass</v>
      </c>
    </row>
    <row r="500" spans="1:9" x14ac:dyDescent="0.2">
      <c r="A500" t="str">
        <f>Controls_Raw!A500</f>
        <v>CTRL-0496</v>
      </c>
      <c r="B500" t="str">
        <f>IF(COUNTIF(Controls_Raw!$A$5:$A$1504,A500)&gt;1,"Duplicate","OK")</f>
        <v>OK</v>
      </c>
      <c r="C500" t="str">
        <f>IF(LEN(TRIM(Controls_Raw!I500))=0,"Missing","OK")</f>
        <v>OK</v>
      </c>
      <c r="D500" t="str">
        <f>IF(LEN(TRIM(Controls_Raw!N500))=0,"Missing","OK")</f>
        <v>OK</v>
      </c>
      <c r="E500" t="str">
        <f>IF(OR(Controls_Raw!G500="USA",Controls_Raw!G500="UK"),"Standardize","OK")</f>
        <v>OK</v>
      </c>
      <c r="F500" t="str">
        <f>IF(Controls_Raw!E500&lt;&gt;TRIM(Controls_Raw!E500),"Trim","OK")</f>
        <v>OK</v>
      </c>
      <c r="G500" t="str">
        <f>IF(AND(Controls_Raw!L500&lt;DATE(2026,9,30),Controls_Raw!M500&lt;&gt;"Completed"),"Overdue","OK")</f>
        <v>Overdue</v>
      </c>
      <c r="H500" t="str">
        <f>IF(AND(Controls_Raw!Q500&lt;DATE(2026,9,30),Controls_Raw!R500&lt;&gt;"Completed",Controls_Raw!R500&lt;&gt;"Not Required"),"Overdue","OK")</f>
        <v>Overdue</v>
      </c>
      <c r="I500" t="str">
        <f t="shared" si="7"/>
        <v>Issue</v>
      </c>
    </row>
    <row r="501" spans="1:9" x14ac:dyDescent="0.2">
      <c r="A501" t="str">
        <f>Controls_Raw!A501</f>
        <v>CTRL-0497</v>
      </c>
      <c r="B501" t="str">
        <f>IF(COUNTIF(Controls_Raw!$A$5:$A$1504,A501)&gt;1,"Duplicate","OK")</f>
        <v>OK</v>
      </c>
      <c r="C501" t="str">
        <f>IF(LEN(TRIM(Controls_Raw!I501))=0,"Missing","OK")</f>
        <v>OK</v>
      </c>
      <c r="D501" t="str">
        <f>IF(LEN(TRIM(Controls_Raw!N501))=0,"Missing","OK")</f>
        <v>OK</v>
      </c>
      <c r="E501" t="str">
        <f>IF(OR(Controls_Raw!G501="USA",Controls_Raw!G501="UK"),"Standardize","OK")</f>
        <v>OK</v>
      </c>
      <c r="F501" t="str">
        <f>IF(Controls_Raw!E501&lt;&gt;TRIM(Controls_Raw!E501),"Trim","OK")</f>
        <v>OK</v>
      </c>
      <c r="G501" t="str">
        <f>IF(AND(Controls_Raw!L501&lt;DATE(2026,9,30),Controls_Raw!M501&lt;&gt;"Completed"),"Overdue","OK")</f>
        <v>OK</v>
      </c>
      <c r="H501" t="str">
        <f>IF(AND(Controls_Raw!Q501&lt;DATE(2026,9,30),Controls_Raw!R501&lt;&gt;"Completed",Controls_Raw!R501&lt;&gt;"Not Required"),"Overdue","OK")</f>
        <v>OK</v>
      </c>
      <c r="I501" t="str">
        <f t="shared" si="7"/>
        <v>Pass</v>
      </c>
    </row>
    <row r="502" spans="1:9" x14ac:dyDescent="0.2">
      <c r="A502" t="str">
        <f>Controls_Raw!A502</f>
        <v>CTRL-0498</v>
      </c>
      <c r="B502" t="str">
        <f>IF(COUNTIF(Controls_Raw!$A$5:$A$1504,A502)&gt;1,"Duplicate","OK")</f>
        <v>OK</v>
      </c>
      <c r="C502" t="str">
        <f>IF(LEN(TRIM(Controls_Raw!I502))=0,"Missing","OK")</f>
        <v>OK</v>
      </c>
      <c r="D502" t="str">
        <f>IF(LEN(TRIM(Controls_Raw!N502))=0,"Missing","OK")</f>
        <v>OK</v>
      </c>
      <c r="E502" t="str">
        <f>IF(OR(Controls_Raw!G502="USA",Controls_Raw!G502="UK"),"Standardize","OK")</f>
        <v>OK</v>
      </c>
      <c r="F502" t="str">
        <f>IF(Controls_Raw!E502&lt;&gt;TRIM(Controls_Raw!E502),"Trim","OK")</f>
        <v>OK</v>
      </c>
      <c r="G502" t="str">
        <f>IF(AND(Controls_Raw!L502&lt;DATE(2026,9,30),Controls_Raw!M502&lt;&gt;"Completed"),"Overdue","OK")</f>
        <v>OK</v>
      </c>
      <c r="H502" t="str">
        <f>IF(AND(Controls_Raw!Q502&lt;DATE(2026,9,30),Controls_Raw!R502&lt;&gt;"Completed",Controls_Raw!R502&lt;&gt;"Not Required"),"Overdue","OK")</f>
        <v>OK</v>
      </c>
      <c r="I502" t="str">
        <f t="shared" si="7"/>
        <v>Pass</v>
      </c>
    </row>
    <row r="503" spans="1:9" x14ac:dyDescent="0.2">
      <c r="A503" t="str">
        <f>Controls_Raw!A503</f>
        <v>CTRL-0499</v>
      </c>
      <c r="B503" t="str">
        <f>IF(COUNTIF(Controls_Raw!$A$5:$A$1504,A503)&gt;1,"Duplicate","OK")</f>
        <v>OK</v>
      </c>
      <c r="C503" t="str">
        <f>IF(LEN(TRIM(Controls_Raw!I503))=0,"Missing","OK")</f>
        <v>OK</v>
      </c>
      <c r="D503" t="str">
        <f>IF(LEN(TRIM(Controls_Raw!N503))=0,"Missing","OK")</f>
        <v>Missing</v>
      </c>
      <c r="E503" t="str">
        <f>IF(OR(Controls_Raw!G503="USA",Controls_Raw!G503="UK"),"Standardize","OK")</f>
        <v>OK</v>
      </c>
      <c r="F503" t="str">
        <f>IF(Controls_Raw!E503&lt;&gt;TRIM(Controls_Raw!E503),"Trim","OK")</f>
        <v>OK</v>
      </c>
      <c r="G503" t="str">
        <f>IF(AND(Controls_Raw!L503&lt;DATE(2026,9,30),Controls_Raw!M503&lt;&gt;"Completed"),"Overdue","OK")</f>
        <v>Overdue</v>
      </c>
      <c r="H503" t="str">
        <f>IF(AND(Controls_Raw!Q503&lt;DATE(2026,9,30),Controls_Raw!R503&lt;&gt;"Completed",Controls_Raw!R503&lt;&gt;"Not Required"),"Overdue","OK")</f>
        <v>OK</v>
      </c>
      <c r="I503" t="str">
        <f t="shared" si="7"/>
        <v>Issue</v>
      </c>
    </row>
    <row r="504" spans="1:9" x14ac:dyDescent="0.2">
      <c r="A504" t="str">
        <f>Controls_Raw!A504</f>
        <v>CTRL-0500</v>
      </c>
      <c r="B504" t="str">
        <f>IF(COUNTIF(Controls_Raw!$A$5:$A$1504,A504)&gt;1,"Duplicate","OK")</f>
        <v>OK</v>
      </c>
      <c r="C504" t="str">
        <f>IF(LEN(TRIM(Controls_Raw!I504))=0,"Missing","OK")</f>
        <v>OK</v>
      </c>
      <c r="D504" t="str">
        <f>IF(LEN(TRIM(Controls_Raw!N504))=0,"Missing","OK")</f>
        <v>OK</v>
      </c>
      <c r="E504" t="str">
        <f>IF(OR(Controls_Raw!G504="USA",Controls_Raw!G504="UK"),"Standardize","OK")</f>
        <v>OK</v>
      </c>
      <c r="F504" t="str">
        <f>IF(Controls_Raw!E504&lt;&gt;TRIM(Controls_Raw!E504),"Trim","OK")</f>
        <v>OK</v>
      </c>
      <c r="G504" t="str">
        <f>IF(AND(Controls_Raw!L504&lt;DATE(2026,9,30),Controls_Raw!M504&lt;&gt;"Completed"),"Overdue","OK")</f>
        <v>OK</v>
      </c>
      <c r="H504" t="str">
        <f>IF(AND(Controls_Raw!Q504&lt;DATE(2026,9,30),Controls_Raw!R504&lt;&gt;"Completed",Controls_Raw!R504&lt;&gt;"Not Required"),"Overdue","OK")</f>
        <v>Overdue</v>
      </c>
      <c r="I504" t="str">
        <f t="shared" si="7"/>
        <v>Issue</v>
      </c>
    </row>
    <row r="505" spans="1:9" x14ac:dyDescent="0.2">
      <c r="A505" t="str">
        <f>Controls_Raw!A505</f>
        <v>CTRL-0501</v>
      </c>
      <c r="B505" t="str">
        <f>IF(COUNTIF(Controls_Raw!$A$5:$A$1504,A505)&gt;1,"Duplicate","OK")</f>
        <v>OK</v>
      </c>
      <c r="C505" t="str">
        <f>IF(LEN(TRIM(Controls_Raw!I505))=0,"Missing","OK")</f>
        <v>OK</v>
      </c>
      <c r="D505" t="str">
        <f>IF(LEN(TRIM(Controls_Raw!N505))=0,"Missing","OK")</f>
        <v>OK</v>
      </c>
      <c r="E505" t="str">
        <f>IF(OR(Controls_Raw!G505="USA",Controls_Raw!G505="UK"),"Standardize","OK")</f>
        <v>OK</v>
      </c>
      <c r="F505" t="str">
        <f>IF(Controls_Raw!E505&lt;&gt;TRIM(Controls_Raw!E505),"Trim","OK")</f>
        <v>OK</v>
      </c>
      <c r="G505" t="str">
        <f>IF(AND(Controls_Raw!L505&lt;DATE(2026,9,30),Controls_Raw!M505&lt;&gt;"Completed"),"Overdue","OK")</f>
        <v>Overdue</v>
      </c>
      <c r="H505" t="str">
        <f>IF(AND(Controls_Raw!Q505&lt;DATE(2026,9,30),Controls_Raw!R505&lt;&gt;"Completed",Controls_Raw!R505&lt;&gt;"Not Required"),"Overdue","OK")</f>
        <v>Overdue</v>
      </c>
      <c r="I505" t="str">
        <f t="shared" si="7"/>
        <v>Issue</v>
      </c>
    </row>
    <row r="506" spans="1:9" x14ac:dyDescent="0.2">
      <c r="A506" t="str">
        <f>Controls_Raw!A506</f>
        <v>CTRL-0502</v>
      </c>
      <c r="B506" t="str">
        <f>IF(COUNTIF(Controls_Raw!$A$5:$A$1504,A506)&gt;1,"Duplicate","OK")</f>
        <v>OK</v>
      </c>
      <c r="C506" t="str">
        <f>IF(LEN(TRIM(Controls_Raw!I506))=0,"Missing","OK")</f>
        <v>OK</v>
      </c>
      <c r="D506" t="str">
        <f>IF(LEN(TRIM(Controls_Raw!N506))=0,"Missing","OK")</f>
        <v>OK</v>
      </c>
      <c r="E506" t="str">
        <f>IF(OR(Controls_Raw!G506="USA",Controls_Raw!G506="UK"),"Standardize","OK")</f>
        <v>OK</v>
      </c>
      <c r="F506" t="str">
        <f>IF(Controls_Raw!E506&lt;&gt;TRIM(Controls_Raw!E506),"Trim","OK")</f>
        <v>OK</v>
      </c>
      <c r="G506" t="str">
        <f>IF(AND(Controls_Raw!L506&lt;DATE(2026,9,30),Controls_Raw!M506&lt;&gt;"Completed"),"Overdue","OK")</f>
        <v>OK</v>
      </c>
      <c r="H506" t="str">
        <f>IF(AND(Controls_Raw!Q506&lt;DATE(2026,9,30),Controls_Raw!R506&lt;&gt;"Completed",Controls_Raw!R506&lt;&gt;"Not Required"),"Overdue","OK")</f>
        <v>OK</v>
      </c>
      <c r="I506" t="str">
        <f t="shared" si="7"/>
        <v>Pass</v>
      </c>
    </row>
    <row r="507" spans="1:9" x14ac:dyDescent="0.2">
      <c r="A507" t="str">
        <f>Controls_Raw!A507</f>
        <v>CTRL-0503</v>
      </c>
      <c r="B507" t="str">
        <f>IF(COUNTIF(Controls_Raw!$A$5:$A$1504,A507)&gt;1,"Duplicate","OK")</f>
        <v>OK</v>
      </c>
      <c r="C507" t="str">
        <f>IF(LEN(TRIM(Controls_Raw!I507))=0,"Missing","OK")</f>
        <v>OK</v>
      </c>
      <c r="D507" t="str">
        <f>IF(LEN(TRIM(Controls_Raw!N507))=0,"Missing","OK")</f>
        <v>OK</v>
      </c>
      <c r="E507" t="str">
        <f>IF(OR(Controls_Raw!G507="USA",Controls_Raw!G507="UK"),"Standardize","OK")</f>
        <v>OK</v>
      </c>
      <c r="F507" t="str">
        <f>IF(Controls_Raw!E507&lt;&gt;TRIM(Controls_Raw!E507),"Trim","OK")</f>
        <v>OK</v>
      </c>
      <c r="G507" t="str">
        <f>IF(AND(Controls_Raw!L507&lt;DATE(2026,9,30),Controls_Raw!M507&lt;&gt;"Completed"),"Overdue","OK")</f>
        <v>Overdue</v>
      </c>
      <c r="H507" t="str">
        <f>IF(AND(Controls_Raw!Q507&lt;DATE(2026,9,30),Controls_Raw!R507&lt;&gt;"Completed",Controls_Raw!R507&lt;&gt;"Not Required"),"Overdue","OK")</f>
        <v>OK</v>
      </c>
      <c r="I507" t="str">
        <f t="shared" si="7"/>
        <v>Issue</v>
      </c>
    </row>
    <row r="508" spans="1:9" x14ac:dyDescent="0.2">
      <c r="A508" t="str">
        <f>Controls_Raw!A508</f>
        <v>CTRL-0504</v>
      </c>
      <c r="B508" t="str">
        <f>IF(COUNTIF(Controls_Raw!$A$5:$A$1504,A508)&gt;1,"Duplicate","OK")</f>
        <v>OK</v>
      </c>
      <c r="C508" t="str">
        <f>IF(LEN(TRIM(Controls_Raw!I508))=0,"Missing","OK")</f>
        <v>OK</v>
      </c>
      <c r="D508" t="str">
        <f>IF(LEN(TRIM(Controls_Raw!N508))=0,"Missing","OK")</f>
        <v>OK</v>
      </c>
      <c r="E508" t="str">
        <f>IF(OR(Controls_Raw!G508="USA",Controls_Raw!G508="UK"),"Standardize","OK")</f>
        <v>OK</v>
      </c>
      <c r="F508" t="str">
        <f>IF(Controls_Raw!E508&lt;&gt;TRIM(Controls_Raw!E508),"Trim","OK")</f>
        <v>OK</v>
      </c>
      <c r="G508" t="str">
        <f>IF(AND(Controls_Raw!L508&lt;DATE(2026,9,30),Controls_Raw!M508&lt;&gt;"Completed"),"Overdue","OK")</f>
        <v>Overdue</v>
      </c>
      <c r="H508" t="str">
        <f>IF(AND(Controls_Raw!Q508&lt;DATE(2026,9,30),Controls_Raw!R508&lt;&gt;"Completed",Controls_Raw!R508&lt;&gt;"Not Required"),"Overdue","OK")</f>
        <v>OK</v>
      </c>
      <c r="I508" t="str">
        <f t="shared" si="7"/>
        <v>Issue</v>
      </c>
    </row>
    <row r="509" spans="1:9" x14ac:dyDescent="0.2">
      <c r="A509" t="str">
        <f>Controls_Raw!A509</f>
        <v>CTRL-0505</v>
      </c>
      <c r="B509" t="str">
        <f>IF(COUNTIF(Controls_Raw!$A$5:$A$1504,A509)&gt;1,"Duplicate","OK")</f>
        <v>OK</v>
      </c>
      <c r="C509" t="str">
        <f>IF(LEN(TRIM(Controls_Raw!I509))=0,"Missing","OK")</f>
        <v>OK</v>
      </c>
      <c r="D509" t="str">
        <f>IF(LEN(TRIM(Controls_Raw!N509))=0,"Missing","OK")</f>
        <v>OK</v>
      </c>
      <c r="E509" t="str">
        <f>IF(OR(Controls_Raw!G509="USA",Controls_Raw!G509="UK"),"Standardize","OK")</f>
        <v>OK</v>
      </c>
      <c r="F509" t="str">
        <f>IF(Controls_Raw!E509&lt;&gt;TRIM(Controls_Raw!E509),"Trim","OK")</f>
        <v>OK</v>
      </c>
      <c r="G509" t="str">
        <f>IF(AND(Controls_Raw!L509&lt;DATE(2026,9,30),Controls_Raw!M509&lt;&gt;"Completed"),"Overdue","OK")</f>
        <v>Overdue</v>
      </c>
      <c r="H509" t="str">
        <f>IF(AND(Controls_Raw!Q509&lt;DATE(2026,9,30),Controls_Raw!R509&lt;&gt;"Completed",Controls_Raw!R509&lt;&gt;"Not Required"),"Overdue","OK")</f>
        <v>OK</v>
      </c>
      <c r="I509" t="str">
        <f t="shared" si="7"/>
        <v>Issue</v>
      </c>
    </row>
    <row r="510" spans="1:9" x14ac:dyDescent="0.2">
      <c r="A510" t="str">
        <f>Controls_Raw!A510</f>
        <v>CTRL-0506</v>
      </c>
      <c r="B510" t="str">
        <f>IF(COUNTIF(Controls_Raw!$A$5:$A$1504,A510)&gt;1,"Duplicate","OK")</f>
        <v>OK</v>
      </c>
      <c r="C510" t="str">
        <f>IF(LEN(TRIM(Controls_Raw!I510))=0,"Missing","OK")</f>
        <v>OK</v>
      </c>
      <c r="D510" t="str">
        <f>IF(LEN(TRIM(Controls_Raw!N510))=0,"Missing","OK")</f>
        <v>OK</v>
      </c>
      <c r="E510" t="str">
        <f>IF(OR(Controls_Raw!G510="USA",Controls_Raw!G510="UK"),"Standardize","OK")</f>
        <v>OK</v>
      </c>
      <c r="F510" t="str">
        <f>IF(Controls_Raw!E510&lt;&gt;TRIM(Controls_Raw!E510),"Trim","OK")</f>
        <v>OK</v>
      </c>
      <c r="G510" t="str">
        <f>IF(AND(Controls_Raw!L510&lt;DATE(2026,9,30),Controls_Raw!M510&lt;&gt;"Completed"),"Overdue","OK")</f>
        <v>Overdue</v>
      </c>
      <c r="H510" t="str">
        <f>IF(AND(Controls_Raw!Q510&lt;DATE(2026,9,30),Controls_Raw!R510&lt;&gt;"Completed",Controls_Raw!R510&lt;&gt;"Not Required"),"Overdue","OK")</f>
        <v>OK</v>
      </c>
      <c r="I510" t="str">
        <f t="shared" si="7"/>
        <v>Issue</v>
      </c>
    </row>
    <row r="511" spans="1:9" x14ac:dyDescent="0.2">
      <c r="A511" t="str">
        <f>Controls_Raw!A511</f>
        <v>CTRL-0507</v>
      </c>
      <c r="B511" t="str">
        <f>IF(COUNTIF(Controls_Raw!$A$5:$A$1504,A511)&gt;1,"Duplicate","OK")</f>
        <v>OK</v>
      </c>
      <c r="C511" t="str">
        <f>IF(LEN(TRIM(Controls_Raw!I511))=0,"Missing","OK")</f>
        <v>OK</v>
      </c>
      <c r="D511" t="str">
        <f>IF(LEN(TRIM(Controls_Raw!N511))=0,"Missing","OK")</f>
        <v>OK</v>
      </c>
      <c r="E511" t="str">
        <f>IF(OR(Controls_Raw!G511="USA",Controls_Raw!G511="UK"),"Standardize","OK")</f>
        <v>OK</v>
      </c>
      <c r="F511" t="str">
        <f>IF(Controls_Raw!E511&lt;&gt;TRIM(Controls_Raw!E511),"Trim","OK")</f>
        <v>OK</v>
      </c>
      <c r="G511" t="str">
        <f>IF(AND(Controls_Raw!L511&lt;DATE(2026,9,30),Controls_Raw!M511&lt;&gt;"Completed"),"Overdue","OK")</f>
        <v>OK</v>
      </c>
      <c r="H511" t="str">
        <f>IF(AND(Controls_Raw!Q511&lt;DATE(2026,9,30),Controls_Raw!R511&lt;&gt;"Completed",Controls_Raw!R511&lt;&gt;"Not Required"),"Overdue","OK")</f>
        <v>OK</v>
      </c>
      <c r="I511" t="str">
        <f t="shared" si="7"/>
        <v>Pass</v>
      </c>
    </row>
    <row r="512" spans="1:9" x14ac:dyDescent="0.2">
      <c r="A512" t="str">
        <f>Controls_Raw!A512</f>
        <v>CTRL-0508</v>
      </c>
      <c r="B512" t="str">
        <f>IF(COUNTIF(Controls_Raw!$A$5:$A$1504,A512)&gt;1,"Duplicate","OK")</f>
        <v>OK</v>
      </c>
      <c r="C512" t="str">
        <f>IF(LEN(TRIM(Controls_Raw!I512))=0,"Missing","OK")</f>
        <v>OK</v>
      </c>
      <c r="D512" t="str">
        <f>IF(LEN(TRIM(Controls_Raw!N512))=0,"Missing","OK")</f>
        <v>OK</v>
      </c>
      <c r="E512" t="str">
        <f>IF(OR(Controls_Raw!G512="USA",Controls_Raw!G512="UK"),"Standardize","OK")</f>
        <v>OK</v>
      </c>
      <c r="F512" t="str">
        <f>IF(Controls_Raw!E512&lt;&gt;TRIM(Controls_Raw!E512),"Trim","OK")</f>
        <v>OK</v>
      </c>
      <c r="G512" t="str">
        <f>IF(AND(Controls_Raw!L512&lt;DATE(2026,9,30),Controls_Raw!M512&lt;&gt;"Completed"),"Overdue","OK")</f>
        <v>OK</v>
      </c>
      <c r="H512" t="str">
        <f>IF(AND(Controls_Raw!Q512&lt;DATE(2026,9,30),Controls_Raw!R512&lt;&gt;"Completed",Controls_Raw!R512&lt;&gt;"Not Required"),"Overdue","OK")</f>
        <v>OK</v>
      </c>
      <c r="I512" t="str">
        <f t="shared" si="7"/>
        <v>Pass</v>
      </c>
    </row>
    <row r="513" spans="1:9" x14ac:dyDescent="0.2">
      <c r="A513" t="str">
        <f>Controls_Raw!A513</f>
        <v>CTRL-0509</v>
      </c>
      <c r="B513" t="str">
        <f>IF(COUNTIF(Controls_Raw!$A$5:$A$1504,A513)&gt;1,"Duplicate","OK")</f>
        <v>OK</v>
      </c>
      <c r="C513" t="str">
        <f>IF(LEN(TRIM(Controls_Raw!I513))=0,"Missing","OK")</f>
        <v>OK</v>
      </c>
      <c r="D513" t="str">
        <f>IF(LEN(TRIM(Controls_Raw!N513))=0,"Missing","OK")</f>
        <v>OK</v>
      </c>
      <c r="E513" t="str">
        <f>IF(OR(Controls_Raw!G513="USA",Controls_Raw!G513="UK"),"Standardize","OK")</f>
        <v>OK</v>
      </c>
      <c r="F513" t="str">
        <f>IF(Controls_Raw!E513&lt;&gt;TRIM(Controls_Raw!E513),"Trim","OK")</f>
        <v>OK</v>
      </c>
      <c r="G513" t="str">
        <f>IF(AND(Controls_Raw!L513&lt;DATE(2026,9,30),Controls_Raw!M513&lt;&gt;"Completed"),"Overdue","OK")</f>
        <v>OK</v>
      </c>
      <c r="H513" t="str">
        <f>IF(AND(Controls_Raw!Q513&lt;DATE(2026,9,30),Controls_Raw!R513&lt;&gt;"Completed",Controls_Raw!R513&lt;&gt;"Not Required"),"Overdue","OK")</f>
        <v>OK</v>
      </c>
      <c r="I513" t="str">
        <f t="shared" si="7"/>
        <v>Pass</v>
      </c>
    </row>
    <row r="514" spans="1:9" x14ac:dyDescent="0.2">
      <c r="A514" t="str">
        <f>Controls_Raw!A514</f>
        <v>CTRL-0510</v>
      </c>
      <c r="B514" t="str">
        <f>IF(COUNTIF(Controls_Raw!$A$5:$A$1504,A514)&gt;1,"Duplicate","OK")</f>
        <v>OK</v>
      </c>
      <c r="C514" t="str">
        <f>IF(LEN(TRIM(Controls_Raw!I514))=0,"Missing","OK")</f>
        <v>OK</v>
      </c>
      <c r="D514" t="str">
        <f>IF(LEN(TRIM(Controls_Raw!N514))=0,"Missing","OK")</f>
        <v>OK</v>
      </c>
      <c r="E514" t="str">
        <f>IF(OR(Controls_Raw!G514="USA",Controls_Raw!G514="UK"),"Standardize","OK")</f>
        <v>OK</v>
      </c>
      <c r="F514" t="str">
        <f>IF(Controls_Raw!E514&lt;&gt;TRIM(Controls_Raw!E514),"Trim","OK")</f>
        <v>OK</v>
      </c>
      <c r="G514" t="str">
        <f>IF(AND(Controls_Raw!L514&lt;DATE(2026,9,30),Controls_Raw!M514&lt;&gt;"Completed"),"Overdue","OK")</f>
        <v>OK</v>
      </c>
      <c r="H514" t="str">
        <f>IF(AND(Controls_Raw!Q514&lt;DATE(2026,9,30),Controls_Raw!R514&lt;&gt;"Completed",Controls_Raw!R514&lt;&gt;"Not Required"),"Overdue","OK")</f>
        <v>OK</v>
      </c>
      <c r="I514" t="str">
        <f t="shared" si="7"/>
        <v>Pass</v>
      </c>
    </row>
    <row r="515" spans="1:9" x14ac:dyDescent="0.2">
      <c r="A515" t="str">
        <f>Controls_Raw!A515</f>
        <v>CTRL-0511</v>
      </c>
      <c r="B515" t="str">
        <f>IF(COUNTIF(Controls_Raw!$A$5:$A$1504,A515)&gt;1,"Duplicate","OK")</f>
        <v>OK</v>
      </c>
      <c r="C515" t="str">
        <f>IF(LEN(TRIM(Controls_Raw!I515))=0,"Missing","OK")</f>
        <v>OK</v>
      </c>
      <c r="D515" t="str">
        <f>IF(LEN(TRIM(Controls_Raw!N515))=0,"Missing","OK")</f>
        <v>OK</v>
      </c>
      <c r="E515" t="str">
        <f>IF(OR(Controls_Raw!G515="USA",Controls_Raw!G515="UK"),"Standardize","OK")</f>
        <v>OK</v>
      </c>
      <c r="F515" t="str">
        <f>IF(Controls_Raw!E515&lt;&gt;TRIM(Controls_Raw!E515),"Trim","OK")</f>
        <v>OK</v>
      </c>
      <c r="G515" t="str">
        <f>IF(AND(Controls_Raw!L515&lt;DATE(2026,9,30),Controls_Raw!M515&lt;&gt;"Completed"),"Overdue","OK")</f>
        <v>Overdue</v>
      </c>
      <c r="H515" t="str">
        <f>IF(AND(Controls_Raw!Q515&lt;DATE(2026,9,30),Controls_Raw!R515&lt;&gt;"Completed",Controls_Raw!R515&lt;&gt;"Not Required"),"Overdue","OK")</f>
        <v>Overdue</v>
      </c>
      <c r="I515" t="str">
        <f t="shared" si="7"/>
        <v>Issue</v>
      </c>
    </row>
    <row r="516" spans="1:9" x14ac:dyDescent="0.2">
      <c r="A516" t="str">
        <f>Controls_Raw!A516</f>
        <v>CTRL-0512</v>
      </c>
      <c r="B516" t="str">
        <f>IF(COUNTIF(Controls_Raw!$A$5:$A$1504,A516)&gt;1,"Duplicate","OK")</f>
        <v>OK</v>
      </c>
      <c r="C516" t="str">
        <f>IF(LEN(TRIM(Controls_Raw!I516))=0,"Missing","OK")</f>
        <v>OK</v>
      </c>
      <c r="D516" t="str">
        <f>IF(LEN(TRIM(Controls_Raw!N516))=0,"Missing","OK")</f>
        <v>OK</v>
      </c>
      <c r="E516" t="str">
        <f>IF(OR(Controls_Raw!G516="USA",Controls_Raw!G516="UK"),"Standardize","OK")</f>
        <v>OK</v>
      </c>
      <c r="F516" t="str">
        <f>IF(Controls_Raw!E516&lt;&gt;TRIM(Controls_Raw!E516),"Trim","OK")</f>
        <v>Trim</v>
      </c>
      <c r="G516" t="str">
        <f>IF(AND(Controls_Raw!L516&lt;DATE(2026,9,30),Controls_Raw!M516&lt;&gt;"Completed"),"Overdue","OK")</f>
        <v>Overdue</v>
      </c>
      <c r="H516" t="str">
        <f>IF(AND(Controls_Raw!Q516&lt;DATE(2026,9,30),Controls_Raw!R516&lt;&gt;"Completed",Controls_Raw!R516&lt;&gt;"Not Required"),"Overdue","OK")</f>
        <v>Overdue</v>
      </c>
      <c r="I516" t="str">
        <f t="shared" si="7"/>
        <v>Issue</v>
      </c>
    </row>
    <row r="517" spans="1:9" x14ac:dyDescent="0.2">
      <c r="A517" t="str">
        <f>Controls_Raw!A517</f>
        <v>CTRL-0513</v>
      </c>
      <c r="B517" t="str">
        <f>IF(COUNTIF(Controls_Raw!$A$5:$A$1504,A517)&gt;1,"Duplicate","OK")</f>
        <v>OK</v>
      </c>
      <c r="C517" t="str">
        <f>IF(LEN(TRIM(Controls_Raw!I517))=0,"Missing","OK")</f>
        <v>OK</v>
      </c>
      <c r="D517" t="str">
        <f>IF(LEN(TRIM(Controls_Raw!N517))=0,"Missing","OK")</f>
        <v>OK</v>
      </c>
      <c r="E517" t="str">
        <f>IF(OR(Controls_Raw!G517="USA",Controls_Raw!G517="UK"),"Standardize","OK")</f>
        <v>OK</v>
      </c>
      <c r="F517" t="str">
        <f>IF(Controls_Raw!E517&lt;&gt;TRIM(Controls_Raw!E517),"Trim","OK")</f>
        <v>OK</v>
      </c>
      <c r="G517" t="str">
        <f>IF(AND(Controls_Raw!L517&lt;DATE(2026,9,30),Controls_Raw!M517&lt;&gt;"Completed"),"Overdue","OK")</f>
        <v>Overdue</v>
      </c>
      <c r="H517" t="str">
        <f>IF(AND(Controls_Raw!Q517&lt;DATE(2026,9,30),Controls_Raw!R517&lt;&gt;"Completed",Controls_Raw!R517&lt;&gt;"Not Required"),"Overdue","OK")</f>
        <v>OK</v>
      </c>
      <c r="I517" t="str">
        <f t="shared" ref="I517:I580" si="8">IF(COUNTIF(B517:H517,"&lt;&gt;OK")&gt;0,"Issue","Pass")</f>
        <v>Issue</v>
      </c>
    </row>
    <row r="518" spans="1:9" x14ac:dyDescent="0.2">
      <c r="A518" t="str">
        <f>Controls_Raw!A518</f>
        <v>CTRL-0514</v>
      </c>
      <c r="B518" t="str">
        <f>IF(COUNTIF(Controls_Raw!$A$5:$A$1504,A518)&gt;1,"Duplicate","OK")</f>
        <v>OK</v>
      </c>
      <c r="C518" t="str">
        <f>IF(LEN(TRIM(Controls_Raw!I518))=0,"Missing","OK")</f>
        <v>OK</v>
      </c>
      <c r="D518" t="str">
        <f>IF(LEN(TRIM(Controls_Raw!N518))=0,"Missing","OK")</f>
        <v>OK</v>
      </c>
      <c r="E518" t="str">
        <f>IF(OR(Controls_Raw!G518="USA",Controls_Raw!G518="UK"),"Standardize","OK")</f>
        <v>OK</v>
      </c>
      <c r="F518" t="str">
        <f>IF(Controls_Raw!E518&lt;&gt;TRIM(Controls_Raw!E518),"Trim","OK")</f>
        <v>OK</v>
      </c>
      <c r="G518" t="str">
        <f>IF(AND(Controls_Raw!L518&lt;DATE(2026,9,30),Controls_Raw!M518&lt;&gt;"Completed"),"Overdue","OK")</f>
        <v>Overdue</v>
      </c>
      <c r="H518" t="str">
        <f>IF(AND(Controls_Raw!Q518&lt;DATE(2026,9,30),Controls_Raw!R518&lt;&gt;"Completed",Controls_Raw!R518&lt;&gt;"Not Required"),"Overdue","OK")</f>
        <v>OK</v>
      </c>
      <c r="I518" t="str">
        <f t="shared" si="8"/>
        <v>Issue</v>
      </c>
    </row>
    <row r="519" spans="1:9" x14ac:dyDescent="0.2">
      <c r="A519" t="str">
        <f>Controls_Raw!A519</f>
        <v>CTRL-0515</v>
      </c>
      <c r="B519" t="str">
        <f>IF(COUNTIF(Controls_Raw!$A$5:$A$1504,A519)&gt;1,"Duplicate","OK")</f>
        <v>OK</v>
      </c>
      <c r="C519" t="str">
        <f>IF(LEN(TRIM(Controls_Raw!I519))=0,"Missing","OK")</f>
        <v>OK</v>
      </c>
      <c r="D519" t="str">
        <f>IF(LEN(TRIM(Controls_Raw!N519))=0,"Missing","OK")</f>
        <v>OK</v>
      </c>
      <c r="E519" t="str">
        <f>IF(OR(Controls_Raw!G519="USA",Controls_Raw!G519="UK"),"Standardize","OK")</f>
        <v>OK</v>
      </c>
      <c r="F519" t="str">
        <f>IF(Controls_Raw!E519&lt;&gt;TRIM(Controls_Raw!E519),"Trim","OK")</f>
        <v>OK</v>
      </c>
      <c r="G519" t="str">
        <f>IF(AND(Controls_Raw!L519&lt;DATE(2026,9,30),Controls_Raw!M519&lt;&gt;"Completed"),"Overdue","OK")</f>
        <v>Overdue</v>
      </c>
      <c r="H519" t="str">
        <f>IF(AND(Controls_Raw!Q519&lt;DATE(2026,9,30),Controls_Raw!R519&lt;&gt;"Completed",Controls_Raw!R519&lt;&gt;"Not Required"),"Overdue","OK")</f>
        <v>OK</v>
      </c>
      <c r="I519" t="str">
        <f t="shared" si="8"/>
        <v>Issue</v>
      </c>
    </row>
    <row r="520" spans="1:9" x14ac:dyDescent="0.2">
      <c r="A520" t="str">
        <f>Controls_Raw!A520</f>
        <v>CTRL-0516</v>
      </c>
      <c r="B520" t="str">
        <f>IF(COUNTIF(Controls_Raw!$A$5:$A$1504,A520)&gt;1,"Duplicate","OK")</f>
        <v>OK</v>
      </c>
      <c r="C520" t="str">
        <f>IF(LEN(TRIM(Controls_Raw!I520))=0,"Missing","OK")</f>
        <v>OK</v>
      </c>
      <c r="D520" t="str">
        <f>IF(LEN(TRIM(Controls_Raw!N520))=0,"Missing","OK")</f>
        <v>OK</v>
      </c>
      <c r="E520" t="str">
        <f>IF(OR(Controls_Raw!G520="USA",Controls_Raw!G520="UK"),"Standardize","OK")</f>
        <v>OK</v>
      </c>
      <c r="F520" t="str">
        <f>IF(Controls_Raw!E520&lt;&gt;TRIM(Controls_Raw!E520),"Trim","OK")</f>
        <v>OK</v>
      </c>
      <c r="G520" t="str">
        <f>IF(AND(Controls_Raw!L520&lt;DATE(2026,9,30),Controls_Raw!M520&lt;&gt;"Completed"),"Overdue","OK")</f>
        <v>Overdue</v>
      </c>
      <c r="H520" t="str">
        <f>IF(AND(Controls_Raw!Q520&lt;DATE(2026,9,30),Controls_Raw!R520&lt;&gt;"Completed",Controls_Raw!R520&lt;&gt;"Not Required"),"Overdue","OK")</f>
        <v>OK</v>
      </c>
      <c r="I520" t="str">
        <f t="shared" si="8"/>
        <v>Issue</v>
      </c>
    </row>
    <row r="521" spans="1:9" x14ac:dyDescent="0.2">
      <c r="A521" t="str">
        <f>Controls_Raw!A521</f>
        <v>CTRL-0517</v>
      </c>
      <c r="B521" t="str">
        <f>IF(COUNTIF(Controls_Raw!$A$5:$A$1504,A521)&gt;1,"Duplicate","OK")</f>
        <v>OK</v>
      </c>
      <c r="C521" t="str">
        <f>IF(LEN(TRIM(Controls_Raw!I521))=0,"Missing","OK")</f>
        <v>OK</v>
      </c>
      <c r="D521" t="str">
        <f>IF(LEN(TRIM(Controls_Raw!N521))=0,"Missing","OK")</f>
        <v>OK</v>
      </c>
      <c r="E521" t="str">
        <f>IF(OR(Controls_Raw!G521="USA",Controls_Raw!G521="UK"),"Standardize","OK")</f>
        <v>OK</v>
      </c>
      <c r="F521" t="str">
        <f>IF(Controls_Raw!E521&lt;&gt;TRIM(Controls_Raw!E521),"Trim","OK")</f>
        <v>OK</v>
      </c>
      <c r="G521" t="str">
        <f>IF(AND(Controls_Raw!L521&lt;DATE(2026,9,30),Controls_Raw!M521&lt;&gt;"Completed"),"Overdue","OK")</f>
        <v>Overdue</v>
      </c>
      <c r="H521" t="str">
        <f>IF(AND(Controls_Raw!Q521&lt;DATE(2026,9,30),Controls_Raw!R521&lt;&gt;"Completed",Controls_Raw!R521&lt;&gt;"Not Required"),"Overdue","OK")</f>
        <v>Overdue</v>
      </c>
      <c r="I521" t="str">
        <f t="shared" si="8"/>
        <v>Issue</v>
      </c>
    </row>
    <row r="522" spans="1:9" x14ac:dyDescent="0.2">
      <c r="A522" t="str">
        <f>Controls_Raw!A522</f>
        <v>CTRL-0518</v>
      </c>
      <c r="B522" t="str">
        <f>IF(COUNTIF(Controls_Raw!$A$5:$A$1504,A522)&gt;1,"Duplicate","OK")</f>
        <v>OK</v>
      </c>
      <c r="C522" t="str">
        <f>IF(LEN(TRIM(Controls_Raw!I522))=0,"Missing","OK")</f>
        <v>Missing</v>
      </c>
      <c r="D522" t="str">
        <f>IF(LEN(TRIM(Controls_Raw!N522))=0,"Missing","OK")</f>
        <v>OK</v>
      </c>
      <c r="E522" t="str">
        <f>IF(OR(Controls_Raw!G522="USA",Controls_Raw!G522="UK"),"Standardize","OK")</f>
        <v>OK</v>
      </c>
      <c r="F522" t="str">
        <f>IF(Controls_Raw!E522&lt;&gt;TRIM(Controls_Raw!E522),"Trim","OK")</f>
        <v>OK</v>
      </c>
      <c r="G522" t="str">
        <f>IF(AND(Controls_Raw!L522&lt;DATE(2026,9,30),Controls_Raw!M522&lt;&gt;"Completed"),"Overdue","OK")</f>
        <v>Overdue</v>
      </c>
      <c r="H522" t="str">
        <f>IF(AND(Controls_Raw!Q522&lt;DATE(2026,9,30),Controls_Raw!R522&lt;&gt;"Completed",Controls_Raw!R522&lt;&gt;"Not Required"),"Overdue","OK")</f>
        <v>Overdue</v>
      </c>
      <c r="I522" t="str">
        <f t="shared" si="8"/>
        <v>Issue</v>
      </c>
    </row>
    <row r="523" spans="1:9" x14ac:dyDescent="0.2">
      <c r="A523" t="str">
        <f>Controls_Raw!A523</f>
        <v>CTRL-0519</v>
      </c>
      <c r="B523" t="str">
        <f>IF(COUNTIF(Controls_Raw!$A$5:$A$1504,A523)&gt;1,"Duplicate","OK")</f>
        <v>OK</v>
      </c>
      <c r="C523" t="str">
        <f>IF(LEN(TRIM(Controls_Raw!I523))=0,"Missing","OK")</f>
        <v>OK</v>
      </c>
      <c r="D523" t="str">
        <f>IF(LEN(TRIM(Controls_Raw!N523))=0,"Missing","OK")</f>
        <v>OK</v>
      </c>
      <c r="E523" t="str">
        <f>IF(OR(Controls_Raw!G523="USA",Controls_Raw!G523="UK"),"Standardize","OK")</f>
        <v>OK</v>
      </c>
      <c r="F523" t="str">
        <f>IF(Controls_Raw!E523&lt;&gt;TRIM(Controls_Raw!E523),"Trim","OK")</f>
        <v>OK</v>
      </c>
      <c r="G523" t="str">
        <f>IF(AND(Controls_Raw!L523&lt;DATE(2026,9,30),Controls_Raw!M523&lt;&gt;"Completed"),"Overdue","OK")</f>
        <v>Overdue</v>
      </c>
      <c r="H523" t="str">
        <f>IF(AND(Controls_Raw!Q523&lt;DATE(2026,9,30),Controls_Raw!R523&lt;&gt;"Completed",Controls_Raw!R523&lt;&gt;"Not Required"),"Overdue","OK")</f>
        <v>Overdue</v>
      </c>
      <c r="I523" t="str">
        <f t="shared" si="8"/>
        <v>Issue</v>
      </c>
    </row>
    <row r="524" spans="1:9" x14ac:dyDescent="0.2">
      <c r="A524" t="str">
        <f>Controls_Raw!A524</f>
        <v>CTRL-0520</v>
      </c>
      <c r="B524" t="str">
        <f>IF(COUNTIF(Controls_Raw!$A$5:$A$1504,A524)&gt;1,"Duplicate","OK")</f>
        <v>OK</v>
      </c>
      <c r="C524" t="str">
        <f>IF(LEN(TRIM(Controls_Raw!I524))=0,"Missing","OK")</f>
        <v>OK</v>
      </c>
      <c r="D524" t="str">
        <f>IF(LEN(TRIM(Controls_Raw!N524))=0,"Missing","OK")</f>
        <v>OK</v>
      </c>
      <c r="E524" t="str">
        <f>IF(OR(Controls_Raw!G524="USA",Controls_Raw!G524="UK"),"Standardize","OK")</f>
        <v>OK</v>
      </c>
      <c r="F524" t="str">
        <f>IF(Controls_Raw!E524&lt;&gt;TRIM(Controls_Raw!E524),"Trim","OK")</f>
        <v>OK</v>
      </c>
      <c r="G524" t="str">
        <f>IF(AND(Controls_Raw!L524&lt;DATE(2026,9,30),Controls_Raw!M524&lt;&gt;"Completed"),"Overdue","OK")</f>
        <v>Overdue</v>
      </c>
      <c r="H524" t="str">
        <f>IF(AND(Controls_Raw!Q524&lt;DATE(2026,9,30),Controls_Raw!R524&lt;&gt;"Completed",Controls_Raw!R524&lt;&gt;"Not Required"),"Overdue","OK")</f>
        <v>OK</v>
      </c>
      <c r="I524" t="str">
        <f t="shared" si="8"/>
        <v>Issue</v>
      </c>
    </row>
    <row r="525" spans="1:9" x14ac:dyDescent="0.2">
      <c r="A525" t="str">
        <f>Controls_Raw!A525</f>
        <v>CTRL-0521</v>
      </c>
      <c r="B525" t="str">
        <f>IF(COUNTIF(Controls_Raw!$A$5:$A$1504,A525)&gt;1,"Duplicate","OK")</f>
        <v>OK</v>
      </c>
      <c r="C525" t="str">
        <f>IF(LEN(TRIM(Controls_Raw!I525))=0,"Missing","OK")</f>
        <v>OK</v>
      </c>
      <c r="D525" t="str">
        <f>IF(LEN(TRIM(Controls_Raw!N525))=0,"Missing","OK")</f>
        <v>OK</v>
      </c>
      <c r="E525" t="str">
        <f>IF(OR(Controls_Raw!G525="USA",Controls_Raw!G525="UK"),"Standardize","OK")</f>
        <v>OK</v>
      </c>
      <c r="F525" t="str">
        <f>IF(Controls_Raw!E525&lt;&gt;TRIM(Controls_Raw!E525),"Trim","OK")</f>
        <v>OK</v>
      </c>
      <c r="G525" t="str">
        <f>IF(AND(Controls_Raw!L525&lt;DATE(2026,9,30),Controls_Raw!M525&lt;&gt;"Completed"),"Overdue","OK")</f>
        <v>OK</v>
      </c>
      <c r="H525" t="str">
        <f>IF(AND(Controls_Raw!Q525&lt;DATE(2026,9,30),Controls_Raw!R525&lt;&gt;"Completed",Controls_Raw!R525&lt;&gt;"Not Required"),"Overdue","OK")</f>
        <v>OK</v>
      </c>
      <c r="I525" t="str">
        <f t="shared" si="8"/>
        <v>Pass</v>
      </c>
    </row>
    <row r="526" spans="1:9" x14ac:dyDescent="0.2">
      <c r="A526" t="str">
        <f>Controls_Raw!A526</f>
        <v>CTRL-0522</v>
      </c>
      <c r="B526" t="str">
        <f>IF(COUNTIF(Controls_Raw!$A$5:$A$1504,A526)&gt;1,"Duplicate","OK")</f>
        <v>OK</v>
      </c>
      <c r="C526" t="str">
        <f>IF(LEN(TRIM(Controls_Raw!I526))=0,"Missing","OK")</f>
        <v>OK</v>
      </c>
      <c r="D526" t="str">
        <f>IF(LEN(TRIM(Controls_Raw!N526))=0,"Missing","OK")</f>
        <v>OK</v>
      </c>
      <c r="E526" t="str">
        <f>IF(OR(Controls_Raw!G526="USA",Controls_Raw!G526="UK"),"Standardize","OK")</f>
        <v>OK</v>
      </c>
      <c r="F526" t="str">
        <f>IF(Controls_Raw!E526&lt;&gt;TRIM(Controls_Raw!E526),"Trim","OK")</f>
        <v>OK</v>
      </c>
      <c r="G526" t="str">
        <f>IF(AND(Controls_Raw!L526&lt;DATE(2026,9,30),Controls_Raw!M526&lt;&gt;"Completed"),"Overdue","OK")</f>
        <v>OK</v>
      </c>
      <c r="H526" t="str">
        <f>IF(AND(Controls_Raw!Q526&lt;DATE(2026,9,30),Controls_Raw!R526&lt;&gt;"Completed",Controls_Raw!R526&lt;&gt;"Not Required"),"Overdue","OK")</f>
        <v>Overdue</v>
      </c>
      <c r="I526" t="str">
        <f t="shared" si="8"/>
        <v>Issue</v>
      </c>
    </row>
    <row r="527" spans="1:9" x14ac:dyDescent="0.2">
      <c r="A527" t="str">
        <f>Controls_Raw!A527</f>
        <v>CTRL-0523</v>
      </c>
      <c r="B527" t="str">
        <f>IF(COUNTIF(Controls_Raw!$A$5:$A$1504,A527)&gt;1,"Duplicate","OK")</f>
        <v>OK</v>
      </c>
      <c r="C527" t="str">
        <f>IF(LEN(TRIM(Controls_Raw!I527))=0,"Missing","OK")</f>
        <v>OK</v>
      </c>
      <c r="D527" t="str">
        <f>IF(LEN(TRIM(Controls_Raw!N527))=0,"Missing","OK")</f>
        <v>OK</v>
      </c>
      <c r="E527" t="str">
        <f>IF(OR(Controls_Raw!G527="USA",Controls_Raw!G527="UK"),"Standardize","OK")</f>
        <v>OK</v>
      </c>
      <c r="F527" t="str">
        <f>IF(Controls_Raw!E527&lt;&gt;TRIM(Controls_Raw!E527),"Trim","OK")</f>
        <v>OK</v>
      </c>
      <c r="G527" t="str">
        <f>IF(AND(Controls_Raw!L527&lt;DATE(2026,9,30),Controls_Raw!M527&lt;&gt;"Completed"),"Overdue","OK")</f>
        <v>Overdue</v>
      </c>
      <c r="H527" t="str">
        <f>IF(AND(Controls_Raw!Q527&lt;DATE(2026,9,30),Controls_Raw!R527&lt;&gt;"Completed",Controls_Raw!R527&lt;&gt;"Not Required"),"Overdue","OK")</f>
        <v>OK</v>
      </c>
      <c r="I527" t="str">
        <f t="shared" si="8"/>
        <v>Issue</v>
      </c>
    </row>
    <row r="528" spans="1:9" x14ac:dyDescent="0.2">
      <c r="A528" t="str">
        <f>Controls_Raw!A528</f>
        <v>CTRL-0524</v>
      </c>
      <c r="B528" t="str">
        <f>IF(COUNTIF(Controls_Raw!$A$5:$A$1504,A528)&gt;1,"Duplicate","OK")</f>
        <v>OK</v>
      </c>
      <c r="C528" t="str">
        <f>IF(LEN(TRIM(Controls_Raw!I528))=0,"Missing","OK")</f>
        <v>OK</v>
      </c>
      <c r="D528" t="str">
        <f>IF(LEN(TRIM(Controls_Raw!N528))=0,"Missing","OK")</f>
        <v>OK</v>
      </c>
      <c r="E528" t="str">
        <f>IF(OR(Controls_Raw!G528="USA",Controls_Raw!G528="UK"),"Standardize","OK")</f>
        <v>OK</v>
      </c>
      <c r="F528" t="str">
        <f>IF(Controls_Raw!E528&lt;&gt;TRIM(Controls_Raw!E528),"Trim","OK")</f>
        <v>OK</v>
      </c>
      <c r="G528" t="str">
        <f>IF(AND(Controls_Raw!L528&lt;DATE(2026,9,30),Controls_Raw!M528&lt;&gt;"Completed"),"Overdue","OK")</f>
        <v>OK</v>
      </c>
      <c r="H528" t="str">
        <f>IF(AND(Controls_Raw!Q528&lt;DATE(2026,9,30),Controls_Raw!R528&lt;&gt;"Completed",Controls_Raw!R528&lt;&gt;"Not Required"),"Overdue","OK")</f>
        <v>OK</v>
      </c>
      <c r="I528" t="str">
        <f t="shared" si="8"/>
        <v>Pass</v>
      </c>
    </row>
    <row r="529" spans="1:9" x14ac:dyDescent="0.2">
      <c r="A529" t="str">
        <f>Controls_Raw!A529</f>
        <v>CTRL-0525</v>
      </c>
      <c r="B529" t="str">
        <f>IF(COUNTIF(Controls_Raw!$A$5:$A$1504,A529)&gt;1,"Duplicate","OK")</f>
        <v>OK</v>
      </c>
      <c r="C529" t="str">
        <f>IF(LEN(TRIM(Controls_Raw!I529))=0,"Missing","OK")</f>
        <v>OK</v>
      </c>
      <c r="D529" t="str">
        <f>IF(LEN(TRIM(Controls_Raw!N529))=0,"Missing","OK")</f>
        <v>OK</v>
      </c>
      <c r="E529" t="str">
        <f>IF(OR(Controls_Raw!G529="USA",Controls_Raw!G529="UK"),"Standardize","OK")</f>
        <v>OK</v>
      </c>
      <c r="F529" t="str">
        <f>IF(Controls_Raw!E529&lt;&gt;TRIM(Controls_Raw!E529),"Trim","OK")</f>
        <v>OK</v>
      </c>
      <c r="G529" t="str">
        <f>IF(AND(Controls_Raw!L529&lt;DATE(2026,9,30),Controls_Raw!M529&lt;&gt;"Completed"),"Overdue","OK")</f>
        <v>Overdue</v>
      </c>
      <c r="H529" t="str">
        <f>IF(AND(Controls_Raw!Q529&lt;DATE(2026,9,30),Controls_Raw!R529&lt;&gt;"Completed",Controls_Raw!R529&lt;&gt;"Not Required"),"Overdue","OK")</f>
        <v>OK</v>
      </c>
      <c r="I529" t="str">
        <f t="shared" si="8"/>
        <v>Issue</v>
      </c>
    </row>
    <row r="530" spans="1:9" x14ac:dyDescent="0.2">
      <c r="A530" t="str">
        <f>Controls_Raw!A530</f>
        <v>CTRL-0526</v>
      </c>
      <c r="B530" t="str">
        <f>IF(COUNTIF(Controls_Raw!$A$5:$A$1504,A530)&gt;1,"Duplicate","OK")</f>
        <v>OK</v>
      </c>
      <c r="C530" t="str">
        <f>IF(LEN(TRIM(Controls_Raw!I530))=0,"Missing","OK")</f>
        <v>OK</v>
      </c>
      <c r="D530" t="str">
        <f>IF(LEN(TRIM(Controls_Raw!N530))=0,"Missing","OK")</f>
        <v>OK</v>
      </c>
      <c r="E530" t="str">
        <f>IF(OR(Controls_Raw!G530="USA",Controls_Raw!G530="UK"),"Standardize","OK")</f>
        <v>OK</v>
      </c>
      <c r="F530" t="str">
        <f>IF(Controls_Raw!E530&lt;&gt;TRIM(Controls_Raw!E530),"Trim","OK")</f>
        <v>OK</v>
      </c>
      <c r="G530" t="str">
        <f>IF(AND(Controls_Raw!L530&lt;DATE(2026,9,30),Controls_Raw!M530&lt;&gt;"Completed"),"Overdue","OK")</f>
        <v>Overdue</v>
      </c>
      <c r="H530" t="str">
        <f>IF(AND(Controls_Raw!Q530&lt;DATE(2026,9,30),Controls_Raw!R530&lt;&gt;"Completed",Controls_Raw!R530&lt;&gt;"Not Required"),"Overdue","OK")</f>
        <v>Overdue</v>
      </c>
      <c r="I530" t="str">
        <f t="shared" si="8"/>
        <v>Issue</v>
      </c>
    </row>
    <row r="531" spans="1:9" x14ac:dyDescent="0.2">
      <c r="A531" t="str">
        <f>Controls_Raw!A531</f>
        <v>CTRL-0527</v>
      </c>
      <c r="B531" t="str">
        <f>IF(COUNTIF(Controls_Raw!$A$5:$A$1504,A531)&gt;1,"Duplicate","OK")</f>
        <v>OK</v>
      </c>
      <c r="C531" t="str">
        <f>IF(LEN(TRIM(Controls_Raw!I531))=0,"Missing","OK")</f>
        <v>OK</v>
      </c>
      <c r="D531" t="str">
        <f>IF(LEN(TRIM(Controls_Raw!N531))=0,"Missing","OK")</f>
        <v>OK</v>
      </c>
      <c r="E531" t="str">
        <f>IF(OR(Controls_Raw!G531="USA",Controls_Raw!G531="UK"),"Standardize","OK")</f>
        <v>OK</v>
      </c>
      <c r="F531" t="str">
        <f>IF(Controls_Raw!E531&lt;&gt;TRIM(Controls_Raw!E531),"Trim","OK")</f>
        <v>OK</v>
      </c>
      <c r="G531" t="str">
        <f>IF(AND(Controls_Raw!L531&lt;DATE(2026,9,30),Controls_Raw!M531&lt;&gt;"Completed"),"Overdue","OK")</f>
        <v>OK</v>
      </c>
      <c r="H531" t="str">
        <f>IF(AND(Controls_Raw!Q531&lt;DATE(2026,9,30),Controls_Raw!R531&lt;&gt;"Completed",Controls_Raw!R531&lt;&gt;"Not Required"),"Overdue","OK")</f>
        <v>OK</v>
      </c>
      <c r="I531" t="str">
        <f t="shared" si="8"/>
        <v>Pass</v>
      </c>
    </row>
    <row r="532" spans="1:9" x14ac:dyDescent="0.2">
      <c r="A532" t="str">
        <f>Controls_Raw!A532</f>
        <v>CTRL-0528</v>
      </c>
      <c r="B532" t="str">
        <f>IF(COUNTIF(Controls_Raw!$A$5:$A$1504,A532)&gt;1,"Duplicate","OK")</f>
        <v>OK</v>
      </c>
      <c r="C532" t="str">
        <f>IF(LEN(TRIM(Controls_Raw!I532))=0,"Missing","OK")</f>
        <v>OK</v>
      </c>
      <c r="D532" t="str">
        <f>IF(LEN(TRIM(Controls_Raw!N532))=0,"Missing","OK")</f>
        <v>OK</v>
      </c>
      <c r="E532" t="str">
        <f>IF(OR(Controls_Raw!G532="USA",Controls_Raw!G532="UK"),"Standardize","OK")</f>
        <v>OK</v>
      </c>
      <c r="F532" t="str">
        <f>IF(Controls_Raw!E532&lt;&gt;TRIM(Controls_Raw!E532),"Trim","OK")</f>
        <v>OK</v>
      </c>
      <c r="G532" t="str">
        <f>IF(AND(Controls_Raw!L532&lt;DATE(2026,9,30),Controls_Raw!M532&lt;&gt;"Completed"),"Overdue","OK")</f>
        <v>OK</v>
      </c>
      <c r="H532" t="str">
        <f>IF(AND(Controls_Raw!Q532&lt;DATE(2026,9,30),Controls_Raw!R532&lt;&gt;"Completed",Controls_Raw!R532&lt;&gt;"Not Required"),"Overdue","OK")</f>
        <v>OK</v>
      </c>
      <c r="I532" t="str">
        <f t="shared" si="8"/>
        <v>Pass</v>
      </c>
    </row>
    <row r="533" spans="1:9" x14ac:dyDescent="0.2">
      <c r="A533" t="str">
        <f>Controls_Raw!A533</f>
        <v>CTRL-0529</v>
      </c>
      <c r="B533" t="str">
        <f>IF(COUNTIF(Controls_Raw!$A$5:$A$1504,A533)&gt;1,"Duplicate","OK")</f>
        <v>OK</v>
      </c>
      <c r="C533" t="str">
        <f>IF(LEN(TRIM(Controls_Raw!I533))=0,"Missing","OK")</f>
        <v>OK</v>
      </c>
      <c r="D533" t="str">
        <f>IF(LEN(TRIM(Controls_Raw!N533))=0,"Missing","OK")</f>
        <v>OK</v>
      </c>
      <c r="E533" t="str">
        <f>IF(OR(Controls_Raw!G533="USA",Controls_Raw!G533="UK"),"Standardize","OK")</f>
        <v>OK</v>
      </c>
      <c r="F533" t="str">
        <f>IF(Controls_Raw!E533&lt;&gt;TRIM(Controls_Raw!E533),"Trim","OK")</f>
        <v>OK</v>
      </c>
      <c r="G533" t="str">
        <f>IF(AND(Controls_Raw!L533&lt;DATE(2026,9,30),Controls_Raw!M533&lt;&gt;"Completed"),"Overdue","OK")</f>
        <v>OK</v>
      </c>
      <c r="H533" t="str">
        <f>IF(AND(Controls_Raw!Q533&lt;DATE(2026,9,30),Controls_Raw!R533&lt;&gt;"Completed",Controls_Raw!R533&lt;&gt;"Not Required"),"Overdue","OK")</f>
        <v>Overdue</v>
      </c>
      <c r="I533" t="str">
        <f t="shared" si="8"/>
        <v>Issue</v>
      </c>
    </row>
    <row r="534" spans="1:9" x14ac:dyDescent="0.2">
      <c r="A534" t="str">
        <f>Controls_Raw!A534</f>
        <v>CTRL-0530</v>
      </c>
      <c r="B534" t="str">
        <f>IF(COUNTIF(Controls_Raw!$A$5:$A$1504,A534)&gt;1,"Duplicate","OK")</f>
        <v>OK</v>
      </c>
      <c r="C534" t="str">
        <f>IF(LEN(TRIM(Controls_Raw!I534))=0,"Missing","OK")</f>
        <v>OK</v>
      </c>
      <c r="D534" t="str">
        <f>IF(LEN(TRIM(Controls_Raw!N534))=0,"Missing","OK")</f>
        <v>OK</v>
      </c>
      <c r="E534" t="str">
        <f>IF(OR(Controls_Raw!G534="USA",Controls_Raw!G534="UK"),"Standardize","OK")</f>
        <v>OK</v>
      </c>
      <c r="F534" t="str">
        <f>IF(Controls_Raw!E534&lt;&gt;TRIM(Controls_Raw!E534),"Trim","OK")</f>
        <v>OK</v>
      </c>
      <c r="G534" t="str">
        <f>IF(AND(Controls_Raw!L534&lt;DATE(2026,9,30),Controls_Raw!M534&lt;&gt;"Completed"),"Overdue","OK")</f>
        <v>Overdue</v>
      </c>
      <c r="H534" t="str">
        <f>IF(AND(Controls_Raw!Q534&lt;DATE(2026,9,30),Controls_Raw!R534&lt;&gt;"Completed",Controls_Raw!R534&lt;&gt;"Not Required"),"Overdue","OK")</f>
        <v>OK</v>
      </c>
      <c r="I534" t="str">
        <f t="shared" si="8"/>
        <v>Issue</v>
      </c>
    </row>
    <row r="535" spans="1:9" x14ac:dyDescent="0.2">
      <c r="A535" t="str">
        <f>Controls_Raw!A535</f>
        <v>CTRL-0531</v>
      </c>
      <c r="B535" t="str">
        <f>IF(COUNTIF(Controls_Raw!$A$5:$A$1504,A535)&gt;1,"Duplicate","OK")</f>
        <v>OK</v>
      </c>
      <c r="C535" t="str">
        <f>IF(LEN(TRIM(Controls_Raw!I535))=0,"Missing","OK")</f>
        <v>OK</v>
      </c>
      <c r="D535" t="str">
        <f>IF(LEN(TRIM(Controls_Raw!N535))=0,"Missing","OK")</f>
        <v>OK</v>
      </c>
      <c r="E535" t="str">
        <f>IF(OR(Controls_Raw!G535="USA",Controls_Raw!G535="UK"),"Standardize","OK")</f>
        <v>OK</v>
      </c>
      <c r="F535" t="str">
        <f>IF(Controls_Raw!E535&lt;&gt;TRIM(Controls_Raw!E535),"Trim","OK")</f>
        <v>OK</v>
      </c>
      <c r="G535" t="str">
        <f>IF(AND(Controls_Raw!L535&lt;DATE(2026,9,30),Controls_Raw!M535&lt;&gt;"Completed"),"Overdue","OK")</f>
        <v>OK</v>
      </c>
      <c r="H535" t="str">
        <f>IF(AND(Controls_Raw!Q535&lt;DATE(2026,9,30),Controls_Raw!R535&lt;&gt;"Completed",Controls_Raw!R535&lt;&gt;"Not Required"),"Overdue","OK")</f>
        <v>Overdue</v>
      </c>
      <c r="I535" t="str">
        <f t="shared" si="8"/>
        <v>Issue</v>
      </c>
    </row>
    <row r="536" spans="1:9" x14ac:dyDescent="0.2">
      <c r="A536" t="str">
        <f>Controls_Raw!A536</f>
        <v>CTRL-0532</v>
      </c>
      <c r="B536" t="str">
        <f>IF(COUNTIF(Controls_Raw!$A$5:$A$1504,A536)&gt;1,"Duplicate","OK")</f>
        <v>OK</v>
      </c>
      <c r="C536" t="str">
        <f>IF(LEN(TRIM(Controls_Raw!I536))=0,"Missing","OK")</f>
        <v>OK</v>
      </c>
      <c r="D536" t="str">
        <f>IF(LEN(TRIM(Controls_Raw!N536))=0,"Missing","OK")</f>
        <v>OK</v>
      </c>
      <c r="E536" t="str">
        <f>IF(OR(Controls_Raw!G536="USA",Controls_Raw!G536="UK"),"Standardize","OK")</f>
        <v>OK</v>
      </c>
      <c r="F536" t="str">
        <f>IF(Controls_Raw!E536&lt;&gt;TRIM(Controls_Raw!E536),"Trim","OK")</f>
        <v>OK</v>
      </c>
      <c r="G536" t="str">
        <f>IF(AND(Controls_Raw!L536&lt;DATE(2026,9,30),Controls_Raw!M536&lt;&gt;"Completed"),"Overdue","OK")</f>
        <v>OK</v>
      </c>
      <c r="H536" t="str">
        <f>IF(AND(Controls_Raw!Q536&lt;DATE(2026,9,30),Controls_Raw!R536&lt;&gt;"Completed",Controls_Raw!R536&lt;&gt;"Not Required"),"Overdue","OK")</f>
        <v>OK</v>
      </c>
      <c r="I536" t="str">
        <f t="shared" si="8"/>
        <v>Pass</v>
      </c>
    </row>
    <row r="537" spans="1:9" x14ac:dyDescent="0.2">
      <c r="A537" t="str">
        <f>Controls_Raw!A537</f>
        <v>CTRL-0533</v>
      </c>
      <c r="B537" t="str">
        <f>IF(COUNTIF(Controls_Raw!$A$5:$A$1504,A537)&gt;1,"Duplicate","OK")</f>
        <v>OK</v>
      </c>
      <c r="C537" t="str">
        <f>IF(LEN(TRIM(Controls_Raw!I537))=0,"Missing","OK")</f>
        <v>OK</v>
      </c>
      <c r="D537" t="str">
        <f>IF(LEN(TRIM(Controls_Raw!N537))=0,"Missing","OK")</f>
        <v>OK</v>
      </c>
      <c r="E537" t="str">
        <f>IF(OR(Controls_Raw!G537="USA",Controls_Raw!G537="UK"),"Standardize","OK")</f>
        <v>OK</v>
      </c>
      <c r="F537" t="str">
        <f>IF(Controls_Raw!E537&lt;&gt;TRIM(Controls_Raw!E537),"Trim","OK")</f>
        <v>OK</v>
      </c>
      <c r="G537" t="str">
        <f>IF(AND(Controls_Raw!L537&lt;DATE(2026,9,30),Controls_Raw!M537&lt;&gt;"Completed"),"Overdue","OK")</f>
        <v>Overdue</v>
      </c>
      <c r="H537" t="str">
        <f>IF(AND(Controls_Raw!Q537&lt;DATE(2026,9,30),Controls_Raw!R537&lt;&gt;"Completed",Controls_Raw!R537&lt;&gt;"Not Required"),"Overdue","OK")</f>
        <v>OK</v>
      </c>
      <c r="I537" t="str">
        <f t="shared" si="8"/>
        <v>Issue</v>
      </c>
    </row>
    <row r="538" spans="1:9" x14ac:dyDescent="0.2">
      <c r="A538" t="str">
        <f>Controls_Raw!A538</f>
        <v>CTRL-0534</v>
      </c>
      <c r="B538" t="str">
        <f>IF(COUNTIF(Controls_Raw!$A$5:$A$1504,A538)&gt;1,"Duplicate","OK")</f>
        <v>OK</v>
      </c>
      <c r="C538" t="str">
        <f>IF(LEN(TRIM(Controls_Raw!I538))=0,"Missing","OK")</f>
        <v>OK</v>
      </c>
      <c r="D538" t="str">
        <f>IF(LEN(TRIM(Controls_Raw!N538))=0,"Missing","OK")</f>
        <v>OK</v>
      </c>
      <c r="E538" t="str">
        <f>IF(OR(Controls_Raw!G538="USA",Controls_Raw!G538="UK"),"Standardize","OK")</f>
        <v>OK</v>
      </c>
      <c r="F538" t="str">
        <f>IF(Controls_Raw!E538&lt;&gt;TRIM(Controls_Raw!E538),"Trim","OK")</f>
        <v>OK</v>
      </c>
      <c r="G538" t="str">
        <f>IF(AND(Controls_Raw!L538&lt;DATE(2026,9,30),Controls_Raw!M538&lt;&gt;"Completed"),"Overdue","OK")</f>
        <v>OK</v>
      </c>
      <c r="H538" t="str">
        <f>IF(AND(Controls_Raw!Q538&lt;DATE(2026,9,30),Controls_Raw!R538&lt;&gt;"Completed",Controls_Raw!R538&lt;&gt;"Not Required"),"Overdue","OK")</f>
        <v>OK</v>
      </c>
      <c r="I538" t="str">
        <f t="shared" si="8"/>
        <v>Pass</v>
      </c>
    </row>
    <row r="539" spans="1:9" x14ac:dyDescent="0.2">
      <c r="A539" t="str">
        <f>Controls_Raw!A539</f>
        <v>CTRL-0535</v>
      </c>
      <c r="B539" t="str">
        <f>IF(COUNTIF(Controls_Raw!$A$5:$A$1504,A539)&gt;1,"Duplicate","OK")</f>
        <v>OK</v>
      </c>
      <c r="C539" t="str">
        <f>IF(LEN(TRIM(Controls_Raw!I539))=0,"Missing","OK")</f>
        <v>OK</v>
      </c>
      <c r="D539" t="str">
        <f>IF(LEN(TRIM(Controls_Raw!N539))=0,"Missing","OK")</f>
        <v>OK</v>
      </c>
      <c r="E539" t="str">
        <f>IF(OR(Controls_Raw!G539="USA",Controls_Raw!G539="UK"),"Standardize","OK")</f>
        <v>OK</v>
      </c>
      <c r="F539" t="str">
        <f>IF(Controls_Raw!E539&lt;&gt;TRIM(Controls_Raw!E539),"Trim","OK")</f>
        <v>OK</v>
      </c>
      <c r="G539" t="str">
        <f>IF(AND(Controls_Raw!L539&lt;DATE(2026,9,30),Controls_Raw!M539&lt;&gt;"Completed"),"Overdue","OK")</f>
        <v>OK</v>
      </c>
      <c r="H539" t="str">
        <f>IF(AND(Controls_Raw!Q539&lt;DATE(2026,9,30),Controls_Raw!R539&lt;&gt;"Completed",Controls_Raw!R539&lt;&gt;"Not Required"),"Overdue","OK")</f>
        <v>Overdue</v>
      </c>
      <c r="I539" t="str">
        <f t="shared" si="8"/>
        <v>Issue</v>
      </c>
    </row>
    <row r="540" spans="1:9" x14ac:dyDescent="0.2">
      <c r="A540" t="str">
        <f>Controls_Raw!A540</f>
        <v>CTRL-0536</v>
      </c>
      <c r="B540" t="str">
        <f>IF(COUNTIF(Controls_Raw!$A$5:$A$1504,A540)&gt;1,"Duplicate","OK")</f>
        <v>OK</v>
      </c>
      <c r="C540" t="str">
        <f>IF(LEN(TRIM(Controls_Raw!I540))=0,"Missing","OK")</f>
        <v>OK</v>
      </c>
      <c r="D540" t="str">
        <f>IF(LEN(TRIM(Controls_Raw!N540))=0,"Missing","OK")</f>
        <v>OK</v>
      </c>
      <c r="E540" t="str">
        <f>IF(OR(Controls_Raw!G540="USA",Controls_Raw!G540="UK"),"Standardize","OK")</f>
        <v>OK</v>
      </c>
      <c r="F540" t="str">
        <f>IF(Controls_Raw!E540&lt;&gt;TRIM(Controls_Raw!E540),"Trim","OK")</f>
        <v>OK</v>
      </c>
      <c r="G540" t="str">
        <f>IF(AND(Controls_Raw!L540&lt;DATE(2026,9,30),Controls_Raw!M540&lt;&gt;"Completed"),"Overdue","OK")</f>
        <v>Overdue</v>
      </c>
      <c r="H540" t="str">
        <f>IF(AND(Controls_Raw!Q540&lt;DATE(2026,9,30),Controls_Raw!R540&lt;&gt;"Completed",Controls_Raw!R540&lt;&gt;"Not Required"),"Overdue","OK")</f>
        <v>OK</v>
      </c>
      <c r="I540" t="str">
        <f t="shared" si="8"/>
        <v>Issue</v>
      </c>
    </row>
    <row r="541" spans="1:9" x14ac:dyDescent="0.2">
      <c r="A541" t="str">
        <f>Controls_Raw!A541</f>
        <v>CTRL-0537</v>
      </c>
      <c r="B541" t="str">
        <f>IF(COUNTIF(Controls_Raw!$A$5:$A$1504,A541)&gt;1,"Duplicate","OK")</f>
        <v>OK</v>
      </c>
      <c r="C541" t="str">
        <f>IF(LEN(TRIM(Controls_Raw!I541))=0,"Missing","OK")</f>
        <v>OK</v>
      </c>
      <c r="D541" t="str">
        <f>IF(LEN(TRIM(Controls_Raw!N541))=0,"Missing","OK")</f>
        <v>OK</v>
      </c>
      <c r="E541" t="str">
        <f>IF(OR(Controls_Raw!G541="USA",Controls_Raw!G541="UK"),"Standardize","OK")</f>
        <v>OK</v>
      </c>
      <c r="F541" t="str">
        <f>IF(Controls_Raw!E541&lt;&gt;TRIM(Controls_Raw!E541),"Trim","OK")</f>
        <v>OK</v>
      </c>
      <c r="G541" t="str">
        <f>IF(AND(Controls_Raw!L541&lt;DATE(2026,9,30),Controls_Raw!M541&lt;&gt;"Completed"),"Overdue","OK")</f>
        <v>Overdue</v>
      </c>
      <c r="H541" t="str">
        <f>IF(AND(Controls_Raw!Q541&lt;DATE(2026,9,30),Controls_Raw!R541&lt;&gt;"Completed",Controls_Raw!R541&lt;&gt;"Not Required"),"Overdue","OK")</f>
        <v>OK</v>
      </c>
      <c r="I541" t="str">
        <f t="shared" si="8"/>
        <v>Issue</v>
      </c>
    </row>
    <row r="542" spans="1:9" x14ac:dyDescent="0.2">
      <c r="A542" t="str">
        <f>Controls_Raw!A542</f>
        <v>CTRL-0538</v>
      </c>
      <c r="B542" t="str">
        <f>IF(COUNTIF(Controls_Raw!$A$5:$A$1504,A542)&gt;1,"Duplicate","OK")</f>
        <v>OK</v>
      </c>
      <c r="C542" t="str">
        <f>IF(LEN(TRIM(Controls_Raw!I542))=0,"Missing","OK")</f>
        <v>OK</v>
      </c>
      <c r="D542" t="str">
        <f>IF(LEN(TRIM(Controls_Raw!N542))=0,"Missing","OK")</f>
        <v>OK</v>
      </c>
      <c r="E542" t="str">
        <f>IF(OR(Controls_Raw!G542="USA",Controls_Raw!G542="UK"),"Standardize","OK")</f>
        <v>OK</v>
      </c>
      <c r="F542" t="str">
        <f>IF(Controls_Raw!E542&lt;&gt;TRIM(Controls_Raw!E542),"Trim","OK")</f>
        <v>OK</v>
      </c>
      <c r="G542" t="str">
        <f>IF(AND(Controls_Raw!L542&lt;DATE(2026,9,30),Controls_Raw!M542&lt;&gt;"Completed"),"Overdue","OK")</f>
        <v>Overdue</v>
      </c>
      <c r="H542" t="str">
        <f>IF(AND(Controls_Raw!Q542&lt;DATE(2026,9,30),Controls_Raw!R542&lt;&gt;"Completed",Controls_Raw!R542&lt;&gt;"Not Required"),"Overdue","OK")</f>
        <v>Overdue</v>
      </c>
      <c r="I542" t="str">
        <f t="shared" si="8"/>
        <v>Issue</v>
      </c>
    </row>
    <row r="543" spans="1:9" x14ac:dyDescent="0.2">
      <c r="A543" t="str">
        <f>Controls_Raw!A543</f>
        <v>CTRL-0539</v>
      </c>
      <c r="B543" t="str">
        <f>IF(COUNTIF(Controls_Raw!$A$5:$A$1504,A543)&gt;1,"Duplicate","OK")</f>
        <v>OK</v>
      </c>
      <c r="C543" t="str">
        <f>IF(LEN(TRIM(Controls_Raw!I543))=0,"Missing","OK")</f>
        <v>OK</v>
      </c>
      <c r="D543" t="str">
        <f>IF(LEN(TRIM(Controls_Raw!N543))=0,"Missing","OK")</f>
        <v>OK</v>
      </c>
      <c r="E543" t="str">
        <f>IF(OR(Controls_Raw!G543="USA",Controls_Raw!G543="UK"),"Standardize","OK")</f>
        <v>OK</v>
      </c>
      <c r="F543" t="str">
        <f>IF(Controls_Raw!E543&lt;&gt;TRIM(Controls_Raw!E543),"Trim","OK")</f>
        <v>OK</v>
      </c>
      <c r="G543" t="str">
        <f>IF(AND(Controls_Raw!L543&lt;DATE(2026,9,30),Controls_Raw!M543&lt;&gt;"Completed"),"Overdue","OK")</f>
        <v>OK</v>
      </c>
      <c r="H543" t="str">
        <f>IF(AND(Controls_Raw!Q543&lt;DATE(2026,9,30),Controls_Raw!R543&lt;&gt;"Completed",Controls_Raw!R543&lt;&gt;"Not Required"),"Overdue","OK")</f>
        <v>OK</v>
      </c>
      <c r="I543" t="str">
        <f t="shared" si="8"/>
        <v>Pass</v>
      </c>
    </row>
    <row r="544" spans="1:9" x14ac:dyDescent="0.2">
      <c r="A544" t="str">
        <f>Controls_Raw!A544</f>
        <v>CTRL-0540</v>
      </c>
      <c r="B544" t="str">
        <f>IF(COUNTIF(Controls_Raw!$A$5:$A$1504,A544)&gt;1,"Duplicate","OK")</f>
        <v>OK</v>
      </c>
      <c r="C544" t="str">
        <f>IF(LEN(TRIM(Controls_Raw!I544))=0,"Missing","OK")</f>
        <v>OK</v>
      </c>
      <c r="D544" t="str">
        <f>IF(LEN(TRIM(Controls_Raw!N544))=0,"Missing","OK")</f>
        <v>OK</v>
      </c>
      <c r="E544" t="str">
        <f>IF(OR(Controls_Raw!G544="USA",Controls_Raw!G544="UK"),"Standardize","OK")</f>
        <v>OK</v>
      </c>
      <c r="F544" t="str">
        <f>IF(Controls_Raw!E544&lt;&gt;TRIM(Controls_Raw!E544),"Trim","OK")</f>
        <v>OK</v>
      </c>
      <c r="G544" t="str">
        <f>IF(AND(Controls_Raw!L544&lt;DATE(2026,9,30),Controls_Raw!M544&lt;&gt;"Completed"),"Overdue","OK")</f>
        <v>OK</v>
      </c>
      <c r="H544" t="str">
        <f>IF(AND(Controls_Raw!Q544&lt;DATE(2026,9,30),Controls_Raw!R544&lt;&gt;"Completed",Controls_Raw!R544&lt;&gt;"Not Required"),"Overdue","OK")</f>
        <v>OK</v>
      </c>
      <c r="I544" t="str">
        <f t="shared" si="8"/>
        <v>Pass</v>
      </c>
    </row>
    <row r="545" spans="1:9" x14ac:dyDescent="0.2">
      <c r="A545" t="str">
        <f>Controls_Raw!A545</f>
        <v>CTRL-0541</v>
      </c>
      <c r="B545" t="str">
        <f>IF(COUNTIF(Controls_Raw!$A$5:$A$1504,A545)&gt;1,"Duplicate","OK")</f>
        <v>OK</v>
      </c>
      <c r="C545" t="str">
        <f>IF(LEN(TRIM(Controls_Raw!I545))=0,"Missing","OK")</f>
        <v>OK</v>
      </c>
      <c r="D545" t="str">
        <f>IF(LEN(TRIM(Controls_Raw!N545))=0,"Missing","OK")</f>
        <v>OK</v>
      </c>
      <c r="E545" t="str">
        <f>IF(OR(Controls_Raw!G545="USA",Controls_Raw!G545="UK"),"Standardize","OK")</f>
        <v>OK</v>
      </c>
      <c r="F545" t="str">
        <f>IF(Controls_Raw!E545&lt;&gt;TRIM(Controls_Raw!E545),"Trim","OK")</f>
        <v>OK</v>
      </c>
      <c r="G545" t="str">
        <f>IF(AND(Controls_Raw!L545&lt;DATE(2026,9,30),Controls_Raw!M545&lt;&gt;"Completed"),"Overdue","OK")</f>
        <v>OK</v>
      </c>
      <c r="H545" t="str">
        <f>IF(AND(Controls_Raw!Q545&lt;DATE(2026,9,30),Controls_Raw!R545&lt;&gt;"Completed",Controls_Raw!R545&lt;&gt;"Not Required"),"Overdue","OK")</f>
        <v>OK</v>
      </c>
      <c r="I545" t="str">
        <f t="shared" si="8"/>
        <v>Pass</v>
      </c>
    </row>
    <row r="546" spans="1:9" x14ac:dyDescent="0.2">
      <c r="A546" t="str">
        <f>Controls_Raw!A546</f>
        <v>CTRL-0542</v>
      </c>
      <c r="B546" t="str">
        <f>IF(COUNTIF(Controls_Raw!$A$5:$A$1504,A546)&gt;1,"Duplicate","OK")</f>
        <v>OK</v>
      </c>
      <c r="C546" t="str">
        <f>IF(LEN(TRIM(Controls_Raw!I546))=0,"Missing","OK")</f>
        <v>OK</v>
      </c>
      <c r="D546" t="str">
        <f>IF(LEN(TRIM(Controls_Raw!N546))=0,"Missing","OK")</f>
        <v>OK</v>
      </c>
      <c r="E546" t="str">
        <f>IF(OR(Controls_Raw!G546="USA",Controls_Raw!G546="UK"),"Standardize","OK")</f>
        <v>OK</v>
      </c>
      <c r="F546" t="str">
        <f>IF(Controls_Raw!E546&lt;&gt;TRIM(Controls_Raw!E546),"Trim","OK")</f>
        <v>OK</v>
      </c>
      <c r="G546" t="str">
        <f>IF(AND(Controls_Raw!L546&lt;DATE(2026,9,30),Controls_Raw!M546&lt;&gt;"Completed"),"Overdue","OK")</f>
        <v>OK</v>
      </c>
      <c r="H546" t="str">
        <f>IF(AND(Controls_Raw!Q546&lt;DATE(2026,9,30),Controls_Raw!R546&lt;&gt;"Completed",Controls_Raw!R546&lt;&gt;"Not Required"),"Overdue","OK")</f>
        <v>OK</v>
      </c>
      <c r="I546" t="str">
        <f t="shared" si="8"/>
        <v>Pass</v>
      </c>
    </row>
    <row r="547" spans="1:9" x14ac:dyDescent="0.2">
      <c r="A547" t="str">
        <f>Controls_Raw!A547</f>
        <v>CTRL-0543</v>
      </c>
      <c r="B547" t="str">
        <f>IF(COUNTIF(Controls_Raw!$A$5:$A$1504,A547)&gt;1,"Duplicate","OK")</f>
        <v>OK</v>
      </c>
      <c r="C547" t="str">
        <f>IF(LEN(TRIM(Controls_Raw!I547))=0,"Missing","OK")</f>
        <v>OK</v>
      </c>
      <c r="D547" t="str">
        <f>IF(LEN(TRIM(Controls_Raw!N547))=0,"Missing","OK")</f>
        <v>OK</v>
      </c>
      <c r="E547" t="str">
        <f>IF(OR(Controls_Raw!G547="USA",Controls_Raw!G547="UK"),"Standardize","OK")</f>
        <v>OK</v>
      </c>
      <c r="F547" t="str">
        <f>IF(Controls_Raw!E547&lt;&gt;TRIM(Controls_Raw!E547),"Trim","OK")</f>
        <v>OK</v>
      </c>
      <c r="G547" t="str">
        <f>IF(AND(Controls_Raw!L547&lt;DATE(2026,9,30),Controls_Raw!M547&lt;&gt;"Completed"),"Overdue","OK")</f>
        <v>OK</v>
      </c>
      <c r="H547" t="str">
        <f>IF(AND(Controls_Raw!Q547&lt;DATE(2026,9,30),Controls_Raw!R547&lt;&gt;"Completed",Controls_Raw!R547&lt;&gt;"Not Required"),"Overdue","OK")</f>
        <v>OK</v>
      </c>
      <c r="I547" t="str">
        <f t="shared" si="8"/>
        <v>Pass</v>
      </c>
    </row>
    <row r="548" spans="1:9" x14ac:dyDescent="0.2">
      <c r="A548" t="str">
        <f>Controls_Raw!A548</f>
        <v>CTRL-0544</v>
      </c>
      <c r="B548" t="str">
        <f>IF(COUNTIF(Controls_Raw!$A$5:$A$1504,A548)&gt;1,"Duplicate","OK")</f>
        <v>OK</v>
      </c>
      <c r="C548" t="str">
        <f>IF(LEN(TRIM(Controls_Raw!I548))=0,"Missing","OK")</f>
        <v>OK</v>
      </c>
      <c r="D548" t="str">
        <f>IF(LEN(TRIM(Controls_Raw!N548))=0,"Missing","OK")</f>
        <v>OK</v>
      </c>
      <c r="E548" t="str">
        <f>IF(OR(Controls_Raw!G548="USA",Controls_Raw!G548="UK"),"Standardize","OK")</f>
        <v>OK</v>
      </c>
      <c r="F548" t="str">
        <f>IF(Controls_Raw!E548&lt;&gt;TRIM(Controls_Raw!E548),"Trim","OK")</f>
        <v>OK</v>
      </c>
      <c r="G548" t="str">
        <f>IF(AND(Controls_Raw!L548&lt;DATE(2026,9,30),Controls_Raw!M548&lt;&gt;"Completed"),"Overdue","OK")</f>
        <v>Overdue</v>
      </c>
      <c r="H548" t="str">
        <f>IF(AND(Controls_Raw!Q548&lt;DATE(2026,9,30),Controls_Raw!R548&lt;&gt;"Completed",Controls_Raw!R548&lt;&gt;"Not Required"),"Overdue","OK")</f>
        <v>OK</v>
      </c>
      <c r="I548" t="str">
        <f t="shared" si="8"/>
        <v>Issue</v>
      </c>
    </row>
    <row r="549" spans="1:9" x14ac:dyDescent="0.2">
      <c r="A549" t="str">
        <f>Controls_Raw!A549</f>
        <v>CTRL-0545</v>
      </c>
      <c r="B549" t="str">
        <f>IF(COUNTIF(Controls_Raw!$A$5:$A$1504,A549)&gt;1,"Duplicate","OK")</f>
        <v>OK</v>
      </c>
      <c r="C549" t="str">
        <f>IF(LEN(TRIM(Controls_Raw!I549))=0,"Missing","OK")</f>
        <v>OK</v>
      </c>
      <c r="D549" t="str">
        <f>IF(LEN(TRIM(Controls_Raw!N549))=0,"Missing","OK")</f>
        <v>OK</v>
      </c>
      <c r="E549" t="str">
        <f>IF(OR(Controls_Raw!G549="USA",Controls_Raw!G549="UK"),"Standardize","OK")</f>
        <v>OK</v>
      </c>
      <c r="F549" t="str">
        <f>IF(Controls_Raw!E549&lt;&gt;TRIM(Controls_Raw!E549),"Trim","OK")</f>
        <v>OK</v>
      </c>
      <c r="G549" t="str">
        <f>IF(AND(Controls_Raw!L549&lt;DATE(2026,9,30),Controls_Raw!M549&lt;&gt;"Completed"),"Overdue","OK")</f>
        <v>Overdue</v>
      </c>
      <c r="H549" t="str">
        <f>IF(AND(Controls_Raw!Q549&lt;DATE(2026,9,30),Controls_Raw!R549&lt;&gt;"Completed",Controls_Raw!R549&lt;&gt;"Not Required"),"Overdue","OK")</f>
        <v>OK</v>
      </c>
      <c r="I549" t="str">
        <f t="shared" si="8"/>
        <v>Issue</v>
      </c>
    </row>
    <row r="550" spans="1:9" x14ac:dyDescent="0.2">
      <c r="A550" t="str">
        <f>Controls_Raw!A550</f>
        <v>CTRL-0546</v>
      </c>
      <c r="B550" t="str">
        <f>IF(COUNTIF(Controls_Raw!$A$5:$A$1504,A550)&gt;1,"Duplicate","OK")</f>
        <v>OK</v>
      </c>
      <c r="C550" t="str">
        <f>IF(LEN(TRIM(Controls_Raw!I550))=0,"Missing","OK")</f>
        <v>OK</v>
      </c>
      <c r="D550" t="str">
        <f>IF(LEN(TRIM(Controls_Raw!N550))=0,"Missing","OK")</f>
        <v>OK</v>
      </c>
      <c r="E550" t="str">
        <f>IF(OR(Controls_Raw!G550="USA",Controls_Raw!G550="UK"),"Standardize","OK")</f>
        <v>OK</v>
      </c>
      <c r="F550" t="str">
        <f>IF(Controls_Raw!E550&lt;&gt;TRIM(Controls_Raw!E550),"Trim","OK")</f>
        <v>OK</v>
      </c>
      <c r="G550" t="str">
        <f>IF(AND(Controls_Raw!L550&lt;DATE(2026,9,30),Controls_Raw!M550&lt;&gt;"Completed"),"Overdue","OK")</f>
        <v>Overdue</v>
      </c>
      <c r="H550" t="str">
        <f>IF(AND(Controls_Raw!Q550&lt;DATE(2026,9,30),Controls_Raw!R550&lt;&gt;"Completed",Controls_Raw!R550&lt;&gt;"Not Required"),"Overdue","OK")</f>
        <v>Overdue</v>
      </c>
      <c r="I550" t="str">
        <f t="shared" si="8"/>
        <v>Issue</v>
      </c>
    </row>
    <row r="551" spans="1:9" x14ac:dyDescent="0.2">
      <c r="A551" t="str">
        <f>Controls_Raw!A551</f>
        <v>CTRL-0547</v>
      </c>
      <c r="B551" t="str">
        <f>IF(COUNTIF(Controls_Raw!$A$5:$A$1504,A551)&gt;1,"Duplicate","OK")</f>
        <v>OK</v>
      </c>
      <c r="C551" t="str">
        <f>IF(LEN(TRIM(Controls_Raw!I551))=0,"Missing","OK")</f>
        <v>OK</v>
      </c>
      <c r="D551" t="str">
        <f>IF(LEN(TRIM(Controls_Raw!N551))=0,"Missing","OK")</f>
        <v>OK</v>
      </c>
      <c r="E551" t="str">
        <f>IF(OR(Controls_Raw!G551="USA",Controls_Raw!G551="UK"),"Standardize","OK")</f>
        <v>OK</v>
      </c>
      <c r="F551" t="str">
        <f>IF(Controls_Raw!E551&lt;&gt;TRIM(Controls_Raw!E551),"Trim","OK")</f>
        <v>OK</v>
      </c>
      <c r="G551" t="str">
        <f>IF(AND(Controls_Raw!L551&lt;DATE(2026,9,30),Controls_Raw!M551&lt;&gt;"Completed"),"Overdue","OK")</f>
        <v>OK</v>
      </c>
      <c r="H551" t="str">
        <f>IF(AND(Controls_Raw!Q551&lt;DATE(2026,9,30),Controls_Raw!R551&lt;&gt;"Completed",Controls_Raw!R551&lt;&gt;"Not Required"),"Overdue","OK")</f>
        <v>OK</v>
      </c>
      <c r="I551" t="str">
        <f t="shared" si="8"/>
        <v>Pass</v>
      </c>
    </row>
    <row r="552" spans="1:9" x14ac:dyDescent="0.2">
      <c r="A552" t="str">
        <f>Controls_Raw!A552</f>
        <v>CTRL-0548</v>
      </c>
      <c r="B552" t="str">
        <f>IF(COUNTIF(Controls_Raw!$A$5:$A$1504,A552)&gt;1,"Duplicate","OK")</f>
        <v>OK</v>
      </c>
      <c r="C552" t="str">
        <f>IF(LEN(TRIM(Controls_Raw!I552))=0,"Missing","OK")</f>
        <v>OK</v>
      </c>
      <c r="D552" t="str">
        <f>IF(LEN(TRIM(Controls_Raw!N552))=0,"Missing","OK")</f>
        <v>OK</v>
      </c>
      <c r="E552" t="str">
        <f>IF(OR(Controls_Raw!G552="USA",Controls_Raw!G552="UK"),"Standardize","OK")</f>
        <v>OK</v>
      </c>
      <c r="F552" t="str">
        <f>IF(Controls_Raw!E552&lt;&gt;TRIM(Controls_Raw!E552),"Trim","OK")</f>
        <v>OK</v>
      </c>
      <c r="G552" t="str">
        <f>IF(AND(Controls_Raw!L552&lt;DATE(2026,9,30),Controls_Raw!M552&lt;&gt;"Completed"),"Overdue","OK")</f>
        <v>Overdue</v>
      </c>
      <c r="H552" t="str">
        <f>IF(AND(Controls_Raw!Q552&lt;DATE(2026,9,30),Controls_Raw!R552&lt;&gt;"Completed",Controls_Raw!R552&lt;&gt;"Not Required"),"Overdue","OK")</f>
        <v>Overdue</v>
      </c>
      <c r="I552" t="str">
        <f t="shared" si="8"/>
        <v>Issue</v>
      </c>
    </row>
    <row r="553" spans="1:9" x14ac:dyDescent="0.2">
      <c r="A553" t="str">
        <f>Controls_Raw!A553</f>
        <v>CTRL-0549</v>
      </c>
      <c r="B553" t="str">
        <f>IF(COUNTIF(Controls_Raw!$A$5:$A$1504,A553)&gt;1,"Duplicate","OK")</f>
        <v>OK</v>
      </c>
      <c r="C553" t="str">
        <f>IF(LEN(TRIM(Controls_Raw!I553))=0,"Missing","OK")</f>
        <v>OK</v>
      </c>
      <c r="D553" t="str">
        <f>IF(LEN(TRIM(Controls_Raw!N553))=0,"Missing","OK")</f>
        <v>OK</v>
      </c>
      <c r="E553" t="str">
        <f>IF(OR(Controls_Raw!G553="USA",Controls_Raw!G553="UK"),"Standardize","OK")</f>
        <v>OK</v>
      </c>
      <c r="F553" t="str">
        <f>IF(Controls_Raw!E553&lt;&gt;TRIM(Controls_Raw!E553),"Trim","OK")</f>
        <v>OK</v>
      </c>
      <c r="G553" t="str">
        <f>IF(AND(Controls_Raw!L553&lt;DATE(2026,9,30),Controls_Raw!M553&lt;&gt;"Completed"),"Overdue","OK")</f>
        <v>Overdue</v>
      </c>
      <c r="H553" t="str">
        <f>IF(AND(Controls_Raw!Q553&lt;DATE(2026,9,30),Controls_Raw!R553&lt;&gt;"Completed",Controls_Raw!R553&lt;&gt;"Not Required"),"Overdue","OK")</f>
        <v>OK</v>
      </c>
      <c r="I553" t="str">
        <f t="shared" si="8"/>
        <v>Issue</v>
      </c>
    </row>
    <row r="554" spans="1:9" x14ac:dyDescent="0.2">
      <c r="A554" t="str">
        <f>Controls_Raw!A554</f>
        <v>CTRL-0550</v>
      </c>
      <c r="B554" t="str">
        <f>IF(COUNTIF(Controls_Raw!$A$5:$A$1504,A554)&gt;1,"Duplicate","OK")</f>
        <v>OK</v>
      </c>
      <c r="C554" t="str">
        <f>IF(LEN(TRIM(Controls_Raw!I554))=0,"Missing","OK")</f>
        <v>OK</v>
      </c>
      <c r="D554" t="str">
        <f>IF(LEN(TRIM(Controls_Raw!N554))=0,"Missing","OK")</f>
        <v>OK</v>
      </c>
      <c r="E554" t="str">
        <f>IF(OR(Controls_Raw!G554="USA",Controls_Raw!G554="UK"),"Standardize","OK")</f>
        <v>OK</v>
      </c>
      <c r="F554" t="str">
        <f>IF(Controls_Raw!E554&lt;&gt;TRIM(Controls_Raw!E554),"Trim","OK")</f>
        <v>OK</v>
      </c>
      <c r="G554" t="str">
        <f>IF(AND(Controls_Raw!L554&lt;DATE(2026,9,30),Controls_Raw!M554&lt;&gt;"Completed"),"Overdue","OK")</f>
        <v>Overdue</v>
      </c>
      <c r="H554" t="str">
        <f>IF(AND(Controls_Raw!Q554&lt;DATE(2026,9,30),Controls_Raw!R554&lt;&gt;"Completed",Controls_Raw!R554&lt;&gt;"Not Required"),"Overdue","OK")</f>
        <v>Overdue</v>
      </c>
      <c r="I554" t="str">
        <f t="shared" si="8"/>
        <v>Issue</v>
      </c>
    </row>
    <row r="555" spans="1:9" x14ac:dyDescent="0.2">
      <c r="A555" t="str">
        <f>Controls_Raw!A555</f>
        <v>CTRL-0551</v>
      </c>
      <c r="B555" t="str">
        <f>IF(COUNTIF(Controls_Raw!$A$5:$A$1504,A555)&gt;1,"Duplicate","OK")</f>
        <v>OK</v>
      </c>
      <c r="C555" t="str">
        <f>IF(LEN(TRIM(Controls_Raw!I555))=0,"Missing","OK")</f>
        <v>OK</v>
      </c>
      <c r="D555" t="str">
        <f>IF(LEN(TRIM(Controls_Raw!N555))=0,"Missing","OK")</f>
        <v>OK</v>
      </c>
      <c r="E555" t="str">
        <f>IF(OR(Controls_Raw!G555="USA",Controls_Raw!G555="UK"),"Standardize","OK")</f>
        <v>OK</v>
      </c>
      <c r="F555" t="str">
        <f>IF(Controls_Raw!E555&lt;&gt;TRIM(Controls_Raw!E555),"Trim","OK")</f>
        <v>OK</v>
      </c>
      <c r="G555" t="str">
        <f>IF(AND(Controls_Raw!L555&lt;DATE(2026,9,30),Controls_Raw!M555&lt;&gt;"Completed"),"Overdue","OK")</f>
        <v>Overdue</v>
      </c>
      <c r="H555" t="str">
        <f>IF(AND(Controls_Raw!Q555&lt;DATE(2026,9,30),Controls_Raw!R555&lt;&gt;"Completed",Controls_Raw!R555&lt;&gt;"Not Required"),"Overdue","OK")</f>
        <v>OK</v>
      </c>
      <c r="I555" t="str">
        <f t="shared" si="8"/>
        <v>Issue</v>
      </c>
    </row>
    <row r="556" spans="1:9" x14ac:dyDescent="0.2">
      <c r="A556" t="str">
        <f>Controls_Raw!A556</f>
        <v>CTRL-0552</v>
      </c>
      <c r="B556" t="str">
        <f>IF(COUNTIF(Controls_Raw!$A$5:$A$1504,A556)&gt;1,"Duplicate","OK")</f>
        <v>OK</v>
      </c>
      <c r="C556" t="str">
        <f>IF(LEN(TRIM(Controls_Raw!I556))=0,"Missing","OK")</f>
        <v>OK</v>
      </c>
      <c r="D556" t="str">
        <f>IF(LEN(TRIM(Controls_Raw!N556))=0,"Missing","OK")</f>
        <v>OK</v>
      </c>
      <c r="E556" t="str">
        <f>IF(OR(Controls_Raw!G556="USA",Controls_Raw!G556="UK"),"Standardize","OK")</f>
        <v>OK</v>
      </c>
      <c r="F556" t="str">
        <f>IF(Controls_Raw!E556&lt;&gt;TRIM(Controls_Raw!E556),"Trim","OK")</f>
        <v>OK</v>
      </c>
      <c r="G556" t="str">
        <f>IF(AND(Controls_Raw!L556&lt;DATE(2026,9,30),Controls_Raw!M556&lt;&gt;"Completed"),"Overdue","OK")</f>
        <v>Overdue</v>
      </c>
      <c r="H556" t="str">
        <f>IF(AND(Controls_Raw!Q556&lt;DATE(2026,9,30),Controls_Raw!R556&lt;&gt;"Completed",Controls_Raw!R556&lt;&gt;"Not Required"),"Overdue","OK")</f>
        <v>Overdue</v>
      </c>
      <c r="I556" t="str">
        <f t="shared" si="8"/>
        <v>Issue</v>
      </c>
    </row>
    <row r="557" spans="1:9" x14ac:dyDescent="0.2">
      <c r="A557" t="str">
        <f>Controls_Raw!A557</f>
        <v>CTRL-0553</v>
      </c>
      <c r="B557" t="str">
        <f>IF(COUNTIF(Controls_Raw!$A$5:$A$1504,A557)&gt;1,"Duplicate","OK")</f>
        <v>OK</v>
      </c>
      <c r="C557" t="str">
        <f>IF(LEN(TRIM(Controls_Raw!I557))=0,"Missing","OK")</f>
        <v>OK</v>
      </c>
      <c r="D557" t="str">
        <f>IF(LEN(TRIM(Controls_Raw!N557))=0,"Missing","OK")</f>
        <v>OK</v>
      </c>
      <c r="E557" t="str">
        <f>IF(OR(Controls_Raw!G557="USA",Controls_Raw!G557="UK"),"Standardize","OK")</f>
        <v>OK</v>
      </c>
      <c r="F557" t="str">
        <f>IF(Controls_Raw!E557&lt;&gt;TRIM(Controls_Raw!E557),"Trim","OK")</f>
        <v>OK</v>
      </c>
      <c r="G557" t="str">
        <f>IF(AND(Controls_Raw!L557&lt;DATE(2026,9,30),Controls_Raw!M557&lt;&gt;"Completed"),"Overdue","OK")</f>
        <v>Overdue</v>
      </c>
      <c r="H557" t="str">
        <f>IF(AND(Controls_Raw!Q557&lt;DATE(2026,9,30),Controls_Raw!R557&lt;&gt;"Completed",Controls_Raw!R557&lt;&gt;"Not Required"),"Overdue","OK")</f>
        <v>OK</v>
      </c>
      <c r="I557" t="str">
        <f t="shared" si="8"/>
        <v>Issue</v>
      </c>
    </row>
    <row r="558" spans="1:9" x14ac:dyDescent="0.2">
      <c r="A558" t="str">
        <f>Controls_Raw!A558</f>
        <v>CTRL-0554</v>
      </c>
      <c r="B558" t="str">
        <f>IF(COUNTIF(Controls_Raw!$A$5:$A$1504,A558)&gt;1,"Duplicate","OK")</f>
        <v>OK</v>
      </c>
      <c r="C558" t="str">
        <f>IF(LEN(TRIM(Controls_Raw!I558))=0,"Missing","OK")</f>
        <v>OK</v>
      </c>
      <c r="D558" t="str">
        <f>IF(LEN(TRIM(Controls_Raw!N558))=0,"Missing","OK")</f>
        <v>OK</v>
      </c>
      <c r="E558" t="str">
        <f>IF(OR(Controls_Raw!G558="USA",Controls_Raw!G558="UK"),"Standardize","OK")</f>
        <v>OK</v>
      </c>
      <c r="F558" t="str">
        <f>IF(Controls_Raw!E558&lt;&gt;TRIM(Controls_Raw!E558),"Trim","OK")</f>
        <v>OK</v>
      </c>
      <c r="G558" t="str">
        <f>IF(AND(Controls_Raw!L558&lt;DATE(2026,9,30),Controls_Raw!M558&lt;&gt;"Completed"),"Overdue","OK")</f>
        <v>Overdue</v>
      </c>
      <c r="H558" t="str">
        <f>IF(AND(Controls_Raw!Q558&lt;DATE(2026,9,30),Controls_Raw!R558&lt;&gt;"Completed",Controls_Raw!R558&lt;&gt;"Not Required"),"Overdue","OK")</f>
        <v>Overdue</v>
      </c>
      <c r="I558" t="str">
        <f t="shared" si="8"/>
        <v>Issue</v>
      </c>
    </row>
    <row r="559" spans="1:9" x14ac:dyDescent="0.2">
      <c r="A559" t="str">
        <f>Controls_Raw!A559</f>
        <v>CTRL-0555</v>
      </c>
      <c r="B559" t="str">
        <f>IF(COUNTIF(Controls_Raw!$A$5:$A$1504,A559)&gt;1,"Duplicate","OK")</f>
        <v>OK</v>
      </c>
      <c r="C559" t="str">
        <f>IF(LEN(TRIM(Controls_Raw!I559))=0,"Missing","OK")</f>
        <v>OK</v>
      </c>
      <c r="D559" t="str">
        <f>IF(LEN(TRIM(Controls_Raw!N559))=0,"Missing","OK")</f>
        <v>OK</v>
      </c>
      <c r="E559" t="str">
        <f>IF(OR(Controls_Raw!G559="USA",Controls_Raw!G559="UK"),"Standardize","OK")</f>
        <v>OK</v>
      </c>
      <c r="F559" t="str">
        <f>IF(Controls_Raw!E559&lt;&gt;TRIM(Controls_Raw!E559),"Trim","OK")</f>
        <v>OK</v>
      </c>
      <c r="G559" t="str">
        <f>IF(AND(Controls_Raw!L559&lt;DATE(2026,9,30),Controls_Raw!M559&lt;&gt;"Completed"),"Overdue","OK")</f>
        <v>Overdue</v>
      </c>
      <c r="H559" t="str">
        <f>IF(AND(Controls_Raw!Q559&lt;DATE(2026,9,30),Controls_Raw!R559&lt;&gt;"Completed",Controls_Raw!R559&lt;&gt;"Not Required"),"Overdue","OK")</f>
        <v>Overdue</v>
      </c>
      <c r="I559" t="str">
        <f t="shared" si="8"/>
        <v>Issue</v>
      </c>
    </row>
    <row r="560" spans="1:9" x14ac:dyDescent="0.2">
      <c r="A560" t="str">
        <f>Controls_Raw!A560</f>
        <v>CTRL-0556</v>
      </c>
      <c r="B560" t="str">
        <f>IF(COUNTIF(Controls_Raw!$A$5:$A$1504,A560)&gt;1,"Duplicate","OK")</f>
        <v>OK</v>
      </c>
      <c r="C560" t="str">
        <f>IF(LEN(TRIM(Controls_Raw!I560))=0,"Missing","OK")</f>
        <v>OK</v>
      </c>
      <c r="D560" t="str">
        <f>IF(LEN(TRIM(Controls_Raw!N560))=0,"Missing","OK")</f>
        <v>OK</v>
      </c>
      <c r="E560" t="str">
        <f>IF(OR(Controls_Raw!G560="USA",Controls_Raw!G560="UK"),"Standardize","OK")</f>
        <v>OK</v>
      </c>
      <c r="F560" t="str">
        <f>IF(Controls_Raw!E560&lt;&gt;TRIM(Controls_Raw!E560),"Trim","OK")</f>
        <v>OK</v>
      </c>
      <c r="G560" t="str">
        <f>IF(AND(Controls_Raw!L560&lt;DATE(2026,9,30),Controls_Raw!M560&lt;&gt;"Completed"),"Overdue","OK")</f>
        <v>Overdue</v>
      </c>
      <c r="H560" t="str">
        <f>IF(AND(Controls_Raw!Q560&lt;DATE(2026,9,30),Controls_Raw!R560&lt;&gt;"Completed",Controls_Raw!R560&lt;&gt;"Not Required"),"Overdue","OK")</f>
        <v>Overdue</v>
      </c>
      <c r="I560" t="str">
        <f t="shared" si="8"/>
        <v>Issue</v>
      </c>
    </row>
    <row r="561" spans="1:9" x14ac:dyDescent="0.2">
      <c r="A561" t="str">
        <f>Controls_Raw!A561</f>
        <v>CTRL-0557</v>
      </c>
      <c r="B561" t="str">
        <f>IF(COUNTIF(Controls_Raw!$A$5:$A$1504,A561)&gt;1,"Duplicate","OK")</f>
        <v>OK</v>
      </c>
      <c r="C561" t="str">
        <f>IF(LEN(TRIM(Controls_Raw!I561))=0,"Missing","OK")</f>
        <v>OK</v>
      </c>
      <c r="D561" t="str">
        <f>IF(LEN(TRIM(Controls_Raw!N561))=0,"Missing","OK")</f>
        <v>OK</v>
      </c>
      <c r="E561" t="str">
        <f>IF(OR(Controls_Raw!G561="USA",Controls_Raw!G561="UK"),"Standardize","OK")</f>
        <v>OK</v>
      </c>
      <c r="F561" t="str">
        <f>IF(Controls_Raw!E561&lt;&gt;TRIM(Controls_Raw!E561),"Trim","OK")</f>
        <v>OK</v>
      </c>
      <c r="G561" t="str">
        <f>IF(AND(Controls_Raw!L561&lt;DATE(2026,9,30),Controls_Raw!M561&lt;&gt;"Completed"),"Overdue","OK")</f>
        <v>Overdue</v>
      </c>
      <c r="H561" t="str">
        <f>IF(AND(Controls_Raw!Q561&lt;DATE(2026,9,30),Controls_Raw!R561&lt;&gt;"Completed",Controls_Raw!R561&lt;&gt;"Not Required"),"Overdue","OK")</f>
        <v>OK</v>
      </c>
      <c r="I561" t="str">
        <f t="shared" si="8"/>
        <v>Issue</v>
      </c>
    </row>
    <row r="562" spans="1:9" x14ac:dyDescent="0.2">
      <c r="A562" t="str">
        <f>Controls_Raw!A562</f>
        <v>CTRL-0558</v>
      </c>
      <c r="B562" t="str">
        <f>IF(COUNTIF(Controls_Raw!$A$5:$A$1504,A562)&gt;1,"Duplicate","OK")</f>
        <v>OK</v>
      </c>
      <c r="C562" t="str">
        <f>IF(LEN(TRIM(Controls_Raw!I562))=0,"Missing","OK")</f>
        <v>OK</v>
      </c>
      <c r="D562" t="str">
        <f>IF(LEN(TRIM(Controls_Raw!N562))=0,"Missing","OK")</f>
        <v>OK</v>
      </c>
      <c r="E562" t="str">
        <f>IF(OR(Controls_Raw!G562="USA",Controls_Raw!G562="UK"),"Standardize","OK")</f>
        <v>OK</v>
      </c>
      <c r="F562" t="str">
        <f>IF(Controls_Raw!E562&lt;&gt;TRIM(Controls_Raw!E562),"Trim","OK")</f>
        <v>OK</v>
      </c>
      <c r="G562" t="str">
        <f>IF(AND(Controls_Raw!L562&lt;DATE(2026,9,30),Controls_Raw!M562&lt;&gt;"Completed"),"Overdue","OK")</f>
        <v>Overdue</v>
      </c>
      <c r="H562" t="str">
        <f>IF(AND(Controls_Raw!Q562&lt;DATE(2026,9,30),Controls_Raw!R562&lt;&gt;"Completed",Controls_Raw!R562&lt;&gt;"Not Required"),"Overdue","OK")</f>
        <v>OK</v>
      </c>
      <c r="I562" t="str">
        <f t="shared" si="8"/>
        <v>Issue</v>
      </c>
    </row>
    <row r="563" spans="1:9" x14ac:dyDescent="0.2">
      <c r="A563" t="str">
        <f>Controls_Raw!A563</f>
        <v>CTRL-0559</v>
      </c>
      <c r="B563" t="str">
        <f>IF(COUNTIF(Controls_Raw!$A$5:$A$1504,A563)&gt;1,"Duplicate","OK")</f>
        <v>OK</v>
      </c>
      <c r="C563" t="str">
        <f>IF(LEN(TRIM(Controls_Raw!I563))=0,"Missing","OK")</f>
        <v>OK</v>
      </c>
      <c r="D563" t="str">
        <f>IF(LEN(TRIM(Controls_Raw!N563))=0,"Missing","OK")</f>
        <v>OK</v>
      </c>
      <c r="E563" t="str">
        <f>IF(OR(Controls_Raw!G563="USA",Controls_Raw!G563="UK"),"Standardize","OK")</f>
        <v>OK</v>
      </c>
      <c r="F563" t="str">
        <f>IF(Controls_Raw!E563&lt;&gt;TRIM(Controls_Raw!E563),"Trim","OK")</f>
        <v>OK</v>
      </c>
      <c r="G563" t="str">
        <f>IF(AND(Controls_Raw!L563&lt;DATE(2026,9,30),Controls_Raw!M563&lt;&gt;"Completed"),"Overdue","OK")</f>
        <v>OK</v>
      </c>
      <c r="H563" t="str">
        <f>IF(AND(Controls_Raw!Q563&lt;DATE(2026,9,30),Controls_Raw!R563&lt;&gt;"Completed",Controls_Raw!R563&lt;&gt;"Not Required"),"Overdue","OK")</f>
        <v>OK</v>
      </c>
      <c r="I563" t="str">
        <f t="shared" si="8"/>
        <v>Pass</v>
      </c>
    </row>
    <row r="564" spans="1:9" x14ac:dyDescent="0.2">
      <c r="A564" t="str">
        <f>Controls_Raw!A564</f>
        <v>CTRL-0560</v>
      </c>
      <c r="B564" t="str">
        <f>IF(COUNTIF(Controls_Raw!$A$5:$A$1504,A564)&gt;1,"Duplicate","OK")</f>
        <v>OK</v>
      </c>
      <c r="C564" t="str">
        <f>IF(LEN(TRIM(Controls_Raw!I564))=0,"Missing","OK")</f>
        <v>OK</v>
      </c>
      <c r="D564" t="str">
        <f>IF(LEN(TRIM(Controls_Raw!N564))=0,"Missing","OK")</f>
        <v>OK</v>
      </c>
      <c r="E564" t="str">
        <f>IF(OR(Controls_Raw!G564="USA",Controls_Raw!G564="UK"),"Standardize","OK")</f>
        <v>OK</v>
      </c>
      <c r="F564" t="str">
        <f>IF(Controls_Raw!E564&lt;&gt;TRIM(Controls_Raw!E564),"Trim","OK")</f>
        <v>OK</v>
      </c>
      <c r="G564" t="str">
        <f>IF(AND(Controls_Raw!L564&lt;DATE(2026,9,30),Controls_Raw!M564&lt;&gt;"Completed"),"Overdue","OK")</f>
        <v>OK</v>
      </c>
      <c r="H564" t="str">
        <f>IF(AND(Controls_Raw!Q564&lt;DATE(2026,9,30),Controls_Raw!R564&lt;&gt;"Completed",Controls_Raw!R564&lt;&gt;"Not Required"),"Overdue","OK")</f>
        <v>OK</v>
      </c>
      <c r="I564" t="str">
        <f t="shared" si="8"/>
        <v>Pass</v>
      </c>
    </row>
    <row r="565" spans="1:9" x14ac:dyDescent="0.2">
      <c r="A565" t="str">
        <f>Controls_Raw!A565</f>
        <v>CTRL-0561</v>
      </c>
      <c r="B565" t="str">
        <f>IF(COUNTIF(Controls_Raw!$A$5:$A$1504,A565)&gt;1,"Duplicate","OK")</f>
        <v>OK</v>
      </c>
      <c r="C565" t="str">
        <f>IF(LEN(TRIM(Controls_Raw!I565))=0,"Missing","OK")</f>
        <v>OK</v>
      </c>
      <c r="D565" t="str">
        <f>IF(LEN(TRIM(Controls_Raw!N565))=0,"Missing","OK")</f>
        <v>OK</v>
      </c>
      <c r="E565" t="str">
        <f>IF(OR(Controls_Raw!G565="USA",Controls_Raw!G565="UK"),"Standardize","OK")</f>
        <v>OK</v>
      </c>
      <c r="F565" t="str">
        <f>IF(Controls_Raw!E565&lt;&gt;TRIM(Controls_Raw!E565),"Trim","OK")</f>
        <v>OK</v>
      </c>
      <c r="G565" t="str">
        <f>IF(AND(Controls_Raw!L565&lt;DATE(2026,9,30),Controls_Raw!M565&lt;&gt;"Completed"),"Overdue","OK")</f>
        <v>Overdue</v>
      </c>
      <c r="H565" t="str">
        <f>IF(AND(Controls_Raw!Q565&lt;DATE(2026,9,30),Controls_Raw!R565&lt;&gt;"Completed",Controls_Raw!R565&lt;&gt;"Not Required"),"Overdue","OK")</f>
        <v>OK</v>
      </c>
      <c r="I565" t="str">
        <f t="shared" si="8"/>
        <v>Issue</v>
      </c>
    </row>
    <row r="566" spans="1:9" x14ac:dyDescent="0.2">
      <c r="A566" t="str">
        <f>Controls_Raw!A566</f>
        <v>CTRL-0562</v>
      </c>
      <c r="B566" t="str">
        <f>IF(COUNTIF(Controls_Raw!$A$5:$A$1504,A566)&gt;1,"Duplicate","OK")</f>
        <v>OK</v>
      </c>
      <c r="C566" t="str">
        <f>IF(LEN(TRIM(Controls_Raw!I566))=0,"Missing","OK")</f>
        <v>OK</v>
      </c>
      <c r="D566" t="str">
        <f>IF(LEN(TRIM(Controls_Raw!N566))=0,"Missing","OK")</f>
        <v>OK</v>
      </c>
      <c r="E566" t="str">
        <f>IF(OR(Controls_Raw!G566="USA",Controls_Raw!G566="UK"),"Standardize","OK")</f>
        <v>OK</v>
      </c>
      <c r="F566" t="str">
        <f>IF(Controls_Raw!E566&lt;&gt;TRIM(Controls_Raw!E566),"Trim","OK")</f>
        <v>OK</v>
      </c>
      <c r="G566" t="str">
        <f>IF(AND(Controls_Raw!L566&lt;DATE(2026,9,30),Controls_Raw!M566&lt;&gt;"Completed"),"Overdue","OK")</f>
        <v>Overdue</v>
      </c>
      <c r="H566" t="str">
        <f>IF(AND(Controls_Raw!Q566&lt;DATE(2026,9,30),Controls_Raw!R566&lt;&gt;"Completed",Controls_Raw!R566&lt;&gt;"Not Required"),"Overdue","OK")</f>
        <v>OK</v>
      </c>
      <c r="I566" t="str">
        <f t="shared" si="8"/>
        <v>Issue</v>
      </c>
    </row>
    <row r="567" spans="1:9" x14ac:dyDescent="0.2">
      <c r="A567" t="str">
        <f>Controls_Raw!A567</f>
        <v>CTRL-0563</v>
      </c>
      <c r="B567" t="str">
        <f>IF(COUNTIF(Controls_Raw!$A$5:$A$1504,A567)&gt;1,"Duplicate","OK")</f>
        <v>OK</v>
      </c>
      <c r="C567" t="str">
        <f>IF(LEN(TRIM(Controls_Raw!I567))=0,"Missing","OK")</f>
        <v>OK</v>
      </c>
      <c r="D567" t="str">
        <f>IF(LEN(TRIM(Controls_Raw!N567))=0,"Missing","OK")</f>
        <v>OK</v>
      </c>
      <c r="E567" t="str">
        <f>IF(OR(Controls_Raw!G567="USA",Controls_Raw!G567="UK"),"Standardize","OK")</f>
        <v>OK</v>
      </c>
      <c r="F567" t="str">
        <f>IF(Controls_Raw!E567&lt;&gt;TRIM(Controls_Raw!E567),"Trim","OK")</f>
        <v>OK</v>
      </c>
      <c r="G567" t="str">
        <f>IF(AND(Controls_Raw!L567&lt;DATE(2026,9,30),Controls_Raw!M567&lt;&gt;"Completed"),"Overdue","OK")</f>
        <v>OK</v>
      </c>
      <c r="H567" t="str">
        <f>IF(AND(Controls_Raw!Q567&lt;DATE(2026,9,30),Controls_Raw!R567&lt;&gt;"Completed",Controls_Raw!R567&lt;&gt;"Not Required"),"Overdue","OK")</f>
        <v>OK</v>
      </c>
      <c r="I567" t="str">
        <f t="shared" si="8"/>
        <v>Pass</v>
      </c>
    </row>
    <row r="568" spans="1:9" x14ac:dyDescent="0.2">
      <c r="A568" t="str">
        <f>Controls_Raw!A568</f>
        <v>CTRL-0564</v>
      </c>
      <c r="B568" t="str">
        <f>IF(COUNTIF(Controls_Raw!$A$5:$A$1504,A568)&gt;1,"Duplicate","OK")</f>
        <v>OK</v>
      </c>
      <c r="C568" t="str">
        <f>IF(LEN(TRIM(Controls_Raw!I568))=0,"Missing","OK")</f>
        <v>OK</v>
      </c>
      <c r="D568" t="str">
        <f>IF(LEN(TRIM(Controls_Raw!N568))=0,"Missing","OK")</f>
        <v>OK</v>
      </c>
      <c r="E568" t="str">
        <f>IF(OR(Controls_Raw!G568="USA",Controls_Raw!G568="UK"),"Standardize","OK")</f>
        <v>OK</v>
      </c>
      <c r="F568" t="str">
        <f>IF(Controls_Raw!E568&lt;&gt;TRIM(Controls_Raw!E568),"Trim","OK")</f>
        <v>OK</v>
      </c>
      <c r="G568" t="str">
        <f>IF(AND(Controls_Raw!L568&lt;DATE(2026,9,30),Controls_Raw!M568&lt;&gt;"Completed"),"Overdue","OK")</f>
        <v>OK</v>
      </c>
      <c r="H568" t="str">
        <f>IF(AND(Controls_Raw!Q568&lt;DATE(2026,9,30),Controls_Raw!R568&lt;&gt;"Completed",Controls_Raw!R568&lt;&gt;"Not Required"),"Overdue","OK")</f>
        <v>OK</v>
      </c>
      <c r="I568" t="str">
        <f t="shared" si="8"/>
        <v>Pass</v>
      </c>
    </row>
    <row r="569" spans="1:9" x14ac:dyDescent="0.2">
      <c r="A569" t="str">
        <f>Controls_Raw!A569</f>
        <v>CTRL-0565</v>
      </c>
      <c r="B569" t="str">
        <f>IF(COUNTIF(Controls_Raw!$A$5:$A$1504,A569)&gt;1,"Duplicate","OK")</f>
        <v>OK</v>
      </c>
      <c r="C569" t="str">
        <f>IF(LEN(TRIM(Controls_Raw!I569))=0,"Missing","OK")</f>
        <v>Missing</v>
      </c>
      <c r="D569" t="str">
        <f>IF(LEN(TRIM(Controls_Raw!N569))=0,"Missing","OK")</f>
        <v>OK</v>
      </c>
      <c r="E569" t="str">
        <f>IF(OR(Controls_Raw!G569="USA",Controls_Raw!G569="UK"),"Standardize","OK")</f>
        <v>OK</v>
      </c>
      <c r="F569" t="str">
        <f>IF(Controls_Raw!E569&lt;&gt;TRIM(Controls_Raw!E569),"Trim","OK")</f>
        <v>OK</v>
      </c>
      <c r="G569" t="str">
        <f>IF(AND(Controls_Raw!L569&lt;DATE(2026,9,30),Controls_Raw!M569&lt;&gt;"Completed"),"Overdue","OK")</f>
        <v>Overdue</v>
      </c>
      <c r="H569" t="str">
        <f>IF(AND(Controls_Raw!Q569&lt;DATE(2026,9,30),Controls_Raw!R569&lt;&gt;"Completed",Controls_Raw!R569&lt;&gt;"Not Required"),"Overdue","OK")</f>
        <v>Overdue</v>
      </c>
      <c r="I569" t="str">
        <f t="shared" si="8"/>
        <v>Issue</v>
      </c>
    </row>
    <row r="570" spans="1:9" x14ac:dyDescent="0.2">
      <c r="A570" t="str">
        <f>Controls_Raw!A570</f>
        <v>CTRL-0566</v>
      </c>
      <c r="B570" t="str">
        <f>IF(COUNTIF(Controls_Raw!$A$5:$A$1504,A570)&gt;1,"Duplicate","OK")</f>
        <v>OK</v>
      </c>
      <c r="C570" t="str">
        <f>IF(LEN(TRIM(Controls_Raw!I570))=0,"Missing","OK")</f>
        <v>OK</v>
      </c>
      <c r="D570" t="str">
        <f>IF(LEN(TRIM(Controls_Raw!N570))=0,"Missing","OK")</f>
        <v>OK</v>
      </c>
      <c r="E570" t="str">
        <f>IF(OR(Controls_Raw!G570="USA",Controls_Raw!G570="UK"),"Standardize","OK")</f>
        <v>OK</v>
      </c>
      <c r="F570" t="str">
        <f>IF(Controls_Raw!E570&lt;&gt;TRIM(Controls_Raw!E570),"Trim","OK")</f>
        <v>OK</v>
      </c>
      <c r="G570" t="str">
        <f>IF(AND(Controls_Raw!L570&lt;DATE(2026,9,30),Controls_Raw!M570&lt;&gt;"Completed"),"Overdue","OK")</f>
        <v>Overdue</v>
      </c>
      <c r="H570" t="str">
        <f>IF(AND(Controls_Raw!Q570&lt;DATE(2026,9,30),Controls_Raw!R570&lt;&gt;"Completed",Controls_Raw!R570&lt;&gt;"Not Required"),"Overdue","OK")</f>
        <v>Overdue</v>
      </c>
      <c r="I570" t="str">
        <f t="shared" si="8"/>
        <v>Issue</v>
      </c>
    </row>
    <row r="571" spans="1:9" x14ac:dyDescent="0.2">
      <c r="A571" t="str">
        <f>Controls_Raw!A571</f>
        <v>CTRL-0567</v>
      </c>
      <c r="B571" t="str">
        <f>IF(COUNTIF(Controls_Raw!$A$5:$A$1504,A571)&gt;1,"Duplicate","OK")</f>
        <v>OK</v>
      </c>
      <c r="C571" t="str">
        <f>IF(LEN(TRIM(Controls_Raw!I571))=0,"Missing","OK")</f>
        <v>OK</v>
      </c>
      <c r="D571" t="str">
        <f>IF(LEN(TRIM(Controls_Raw!N571))=0,"Missing","OK")</f>
        <v>OK</v>
      </c>
      <c r="E571" t="str">
        <f>IF(OR(Controls_Raw!G571="USA",Controls_Raw!G571="UK"),"Standardize","OK")</f>
        <v>OK</v>
      </c>
      <c r="F571" t="str">
        <f>IF(Controls_Raw!E571&lt;&gt;TRIM(Controls_Raw!E571),"Trim","OK")</f>
        <v>OK</v>
      </c>
      <c r="G571" t="str">
        <f>IF(AND(Controls_Raw!L571&lt;DATE(2026,9,30),Controls_Raw!M571&lt;&gt;"Completed"),"Overdue","OK")</f>
        <v>OK</v>
      </c>
      <c r="H571" t="str">
        <f>IF(AND(Controls_Raw!Q571&lt;DATE(2026,9,30),Controls_Raw!R571&lt;&gt;"Completed",Controls_Raw!R571&lt;&gt;"Not Required"),"Overdue","OK")</f>
        <v>OK</v>
      </c>
      <c r="I571" t="str">
        <f t="shared" si="8"/>
        <v>Pass</v>
      </c>
    </row>
    <row r="572" spans="1:9" x14ac:dyDescent="0.2">
      <c r="A572" t="str">
        <f>Controls_Raw!A572</f>
        <v>CTRL-0568</v>
      </c>
      <c r="B572" t="str">
        <f>IF(COUNTIF(Controls_Raw!$A$5:$A$1504,A572)&gt;1,"Duplicate","OK")</f>
        <v>OK</v>
      </c>
      <c r="C572" t="str">
        <f>IF(LEN(TRIM(Controls_Raw!I572))=0,"Missing","OK")</f>
        <v>OK</v>
      </c>
      <c r="D572" t="str">
        <f>IF(LEN(TRIM(Controls_Raw!N572))=0,"Missing","OK")</f>
        <v>OK</v>
      </c>
      <c r="E572" t="str">
        <f>IF(OR(Controls_Raw!G572="USA",Controls_Raw!G572="UK"),"Standardize","OK")</f>
        <v>OK</v>
      </c>
      <c r="F572" t="str">
        <f>IF(Controls_Raw!E572&lt;&gt;TRIM(Controls_Raw!E572),"Trim","OK")</f>
        <v>OK</v>
      </c>
      <c r="G572" t="str">
        <f>IF(AND(Controls_Raw!L572&lt;DATE(2026,9,30),Controls_Raw!M572&lt;&gt;"Completed"),"Overdue","OK")</f>
        <v>OK</v>
      </c>
      <c r="H572" t="str">
        <f>IF(AND(Controls_Raw!Q572&lt;DATE(2026,9,30),Controls_Raw!R572&lt;&gt;"Completed",Controls_Raw!R572&lt;&gt;"Not Required"),"Overdue","OK")</f>
        <v>OK</v>
      </c>
      <c r="I572" t="str">
        <f t="shared" si="8"/>
        <v>Pass</v>
      </c>
    </row>
    <row r="573" spans="1:9" x14ac:dyDescent="0.2">
      <c r="A573" t="str">
        <f>Controls_Raw!A573</f>
        <v>CTRL-0569</v>
      </c>
      <c r="B573" t="str">
        <f>IF(COUNTIF(Controls_Raw!$A$5:$A$1504,A573)&gt;1,"Duplicate","OK")</f>
        <v>OK</v>
      </c>
      <c r="C573" t="str">
        <f>IF(LEN(TRIM(Controls_Raw!I573))=0,"Missing","OK")</f>
        <v>OK</v>
      </c>
      <c r="D573" t="str">
        <f>IF(LEN(TRIM(Controls_Raw!N573))=0,"Missing","OK")</f>
        <v>OK</v>
      </c>
      <c r="E573" t="str">
        <f>IF(OR(Controls_Raw!G573="USA",Controls_Raw!G573="UK"),"Standardize","OK")</f>
        <v>OK</v>
      </c>
      <c r="F573" t="str">
        <f>IF(Controls_Raw!E573&lt;&gt;TRIM(Controls_Raw!E573),"Trim","OK")</f>
        <v>OK</v>
      </c>
      <c r="G573" t="str">
        <f>IF(AND(Controls_Raw!L573&lt;DATE(2026,9,30),Controls_Raw!M573&lt;&gt;"Completed"),"Overdue","OK")</f>
        <v>OK</v>
      </c>
      <c r="H573" t="str">
        <f>IF(AND(Controls_Raw!Q573&lt;DATE(2026,9,30),Controls_Raw!R573&lt;&gt;"Completed",Controls_Raw!R573&lt;&gt;"Not Required"),"Overdue","OK")</f>
        <v>OK</v>
      </c>
      <c r="I573" t="str">
        <f t="shared" si="8"/>
        <v>Pass</v>
      </c>
    </row>
    <row r="574" spans="1:9" x14ac:dyDescent="0.2">
      <c r="A574" t="str">
        <f>Controls_Raw!A574</f>
        <v>CTRL-0570</v>
      </c>
      <c r="B574" t="str">
        <f>IF(COUNTIF(Controls_Raw!$A$5:$A$1504,A574)&gt;1,"Duplicate","OK")</f>
        <v>OK</v>
      </c>
      <c r="C574" t="str">
        <f>IF(LEN(TRIM(Controls_Raw!I574))=0,"Missing","OK")</f>
        <v>OK</v>
      </c>
      <c r="D574" t="str">
        <f>IF(LEN(TRIM(Controls_Raw!N574))=0,"Missing","OK")</f>
        <v>OK</v>
      </c>
      <c r="E574" t="str">
        <f>IF(OR(Controls_Raw!G574="USA",Controls_Raw!G574="UK"),"Standardize","OK")</f>
        <v>OK</v>
      </c>
      <c r="F574" t="str">
        <f>IF(Controls_Raw!E574&lt;&gt;TRIM(Controls_Raw!E574),"Trim","OK")</f>
        <v>OK</v>
      </c>
      <c r="G574" t="str">
        <f>IF(AND(Controls_Raw!L574&lt;DATE(2026,9,30),Controls_Raw!M574&lt;&gt;"Completed"),"Overdue","OK")</f>
        <v>Overdue</v>
      </c>
      <c r="H574" t="str">
        <f>IF(AND(Controls_Raw!Q574&lt;DATE(2026,9,30),Controls_Raw!R574&lt;&gt;"Completed",Controls_Raw!R574&lt;&gt;"Not Required"),"Overdue","OK")</f>
        <v>OK</v>
      </c>
      <c r="I574" t="str">
        <f t="shared" si="8"/>
        <v>Issue</v>
      </c>
    </row>
    <row r="575" spans="1:9" x14ac:dyDescent="0.2">
      <c r="A575" t="str">
        <f>Controls_Raw!A575</f>
        <v>CTRL-0571</v>
      </c>
      <c r="B575" t="str">
        <f>IF(COUNTIF(Controls_Raw!$A$5:$A$1504,A575)&gt;1,"Duplicate","OK")</f>
        <v>OK</v>
      </c>
      <c r="C575" t="str">
        <f>IF(LEN(TRIM(Controls_Raw!I575))=0,"Missing","OK")</f>
        <v>OK</v>
      </c>
      <c r="D575" t="str">
        <f>IF(LEN(TRIM(Controls_Raw!N575))=0,"Missing","OK")</f>
        <v>OK</v>
      </c>
      <c r="E575" t="str">
        <f>IF(OR(Controls_Raw!G575="USA",Controls_Raw!G575="UK"),"Standardize","OK")</f>
        <v>OK</v>
      </c>
      <c r="F575" t="str">
        <f>IF(Controls_Raw!E575&lt;&gt;TRIM(Controls_Raw!E575),"Trim","OK")</f>
        <v>OK</v>
      </c>
      <c r="G575" t="str">
        <f>IF(AND(Controls_Raw!L575&lt;DATE(2026,9,30),Controls_Raw!M575&lt;&gt;"Completed"),"Overdue","OK")</f>
        <v>OK</v>
      </c>
      <c r="H575" t="str">
        <f>IF(AND(Controls_Raw!Q575&lt;DATE(2026,9,30),Controls_Raw!R575&lt;&gt;"Completed",Controls_Raw!R575&lt;&gt;"Not Required"),"Overdue","OK")</f>
        <v>OK</v>
      </c>
      <c r="I575" t="str">
        <f t="shared" si="8"/>
        <v>Pass</v>
      </c>
    </row>
    <row r="576" spans="1:9" x14ac:dyDescent="0.2">
      <c r="A576" t="str">
        <f>Controls_Raw!A576</f>
        <v>CTRL-0572</v>
      </c>
      <c r="B576" t="str">
        <f>IF(COUNTIF(Controls_Raw!$A$5:$A$1504,A576)&gt;1,"Duplicate","OK")</f>
        <v>OK</v>
      </c>
      <c r="C576" t="str">
        <f>IF(LEN(TRIM(Controls_Raw!I576))=0,"Missing","OK")</f>
        <v>OK</v>
      </c>
      <c r="D576" t="str">
        <f>IF(LEN(TRIM(Controls_Raw!N576))=0,"Missing","OK")</f>
        <v>OK</v>
      </c>
      <c r="E576" t="str">
        <f>IF(OR(Controls_Raw!G576="USA",Controls_Raw!G576="UK"),"Standardize","OK")</f>
        <v>OK</v>
      </c>
      <c r="F576" t="str">
        <f>IF(Controls_Raw!E576&lt;&gt;TRIM(Controls_Raw!E576),"Trim","OK")</f>
        <v>OK</v>
      </c>
      <c r="G576" t="str">
        <f>IF(AND(Controls_Raw!L576&lt;DATE(2026,9,30),Controls_Raw!M576&lt;&gt;"Completed"),"Overdue","OK")</f>
        <v>OK</v>
      </c>
      <c r="H576" t="str">
        <f>IF(AND(Controls_Raw!Q576&lt;DATE(2026,9,30),Controls_Raw!R576&lt;&gt;"Completed",Controls_Raw!R576&lt;&gt;"Not Required"),"Overdue","OK")</f>
        <v>OK</v>
      </c>
      <c r="I576" t="str">
        <f t="shared" si="8"/>
        <v>Pass</v>
      </c>
    </row>
    <row r="577" spans="1:9" x14ac:dyDescent="0.2">
      <c r="A577" t="str">
        <f>Controls_Raw!A577</f>
        <v>CTRL-0573</v>
      </c>
      <c r="B577" t="str">
        <f>IF(COUNTIF(Controls_Raw!$A$5:$A$1504,A577)&gt;1,"Duplicate","OK")</f>
        <v>OK</v>
      </c>
      <c r="C577" t="str">
        <f>IF(LEN(TRIM(Controls_Raw!I577))=0,"Missing","OK")</f>
        <v>OK</v>
      </c>
      <c r="D577" t="str">
        <f>IF(LEN(TRIM(Controls_Raw!N577))=0,"Missing","OK")</f>
        <v>OK</v>
      </c>
      <c r="E577" t="str">
        <f>IF(OR(Controls_Raw!G577="USA",Controls_Raw!G577="UK"),"Standardize","OK")</f>
        <v>OK</v>
      </c>
      <c r="F577" t="str">
        <f>IF(Controls_Raw!E577&lt;&gt;TRIM(Controls_Raw!E577),"Trim","OK")</f>
        <v>OK</v>
      </c>
      <c r="G577" t="str">
        <f>IF(AND(Controls_Raw!L577&lt;DATE(2026,9,30),Controls_Raw!M577&lt;&gt;"Completed"),"Overdue","OK")</f>
        <v>OK</v>
      </c>
      <c r="H577" t="str">
        <f>IF(AND(Controls_Raw!Q577&lt;DATE(2026,9,30),Controls_Raw!R577&lt;&gt;"Completed",Controls_Raw!R577&lt;&gt;"Not Required"),"Overdue","OK")</f>
        <v>OK</v>
      </c>
      <c r="I577" t="str">
        <f t="shared" si="8"/>
        <v>Pass</v>
      </c>
    </row>
    <row r="578" spans="1:9" x14ac:dyDescent="0.2">
      <c r="A578" t="str">
        <f>Controls_Raw!A578</f>
        <v>CTRL-0574</v>
      </c>
      <c r="B578" t="str">
        <f>IF(COUNTIF(Controls_Raw!$A$5:$A$1504,A578)&gt;1,"Duplicate","OK")</f>
        <v>OK</v>
      </c>
      <c r="C578" t="str">
        <f>IF(LEN(TRIM(Controls_Raw!I578))=0,"Missing","OK")</f>
        <v>OK</v>
      </c>
      <c r="D578" t="str">
        <f>IF(LEN(TRIM(Controls_Raw!N578))=0,"Missing","OK")</f>
        <v>OK</v>
      </c>
      <c r="E578" t="str">
        <f>IF(OR(Controls_Raw!G578="USA",Controls_Raw!G578="UK"),"Standardize","OK")</f>
        <v>OK</v>
      </c>
      <c r="F578" t="str">
        <f>IF(Controls_Raw!E578&lt;&gt;TRIM(Controls_Raw!E578),"Trim","OK")</f>
        <v>OK</v>
      </c>
      <c r="G578" t="str">
        <f>IF(AND(Controls_Raw!L578&lt;DATE(2026,9,30),Controls_Raw!M578&lt;&gt;"Completed"),"Overdue","OK")</f>
        <v>OK</v>
      </c>
      <c r="H578" t="str">
        <f>IF(AND(Controls_Raw!Q578&lt;DATE(2026,9,30),Controls_Raw!R578&lt;&gt;"Completed",Controls_Raw!R578&lt;&gt;"Not Required"),"Overdue","OK")</f>
        <v>Overdue</v>
      </c>
      <c r="I578" t="str">
        <f t="shared" si="8"/>
        <v>Issue</v>
      </c>
    </row>
    <row r="579" spans="1:9" x14ac:dyDescent="0.2">
      <c r="A579" t="str">
        <f>Controls_Raw!A579</f>
        <v>CTRL-0575</v>
      </c>
      <c r="B579" t="str">
        <f>IF(COUNTIF(Controls_Raw!$A$5:$A$1504,A579)&gt;1,"Duplicate","OK")</f>
        <v>OK</v>
      </c>
      <c r="C579" t="str">
        <f>IF(LEN(TRIM(Controls_Raw!I579))=0,"Missing","OK")</f>
        <v>OK</v>
      </c>
      <c r="D579" t="str">
        <f>IF(LEN(TRIM(Controls_Raw!N579))=0,"Missing","OK")</f>
        <v>OK</v>
      </c>
      <c r="E579" t="str">
        <f>IF(OR(Controls_Raw!G579="USA",Controls_Raw!G579="UK"),"Standardize","OK")</f>
        <v>Standardize</v>
      </c>
      <c r="F579" t="str">
        <f>IF(Controls_Raw!E579&lt;&gt;TRIM(Controls_Raw!E579),"Trim","OK")</f>
        <v>OK</v>
      </c>
      <c r="G579" t="str">
        <f>IF(AND(Controls_Raw!L579&lt;DATE(2026,9,30),Controls_Raw!M579&lt;&gt;"Completed"),"Overdue","OK")</f>
        <v>Overdue</v>
      </c>
      <c r="H579" t="str">
        <f>IF(AND(Controls_Raw!Q579&lt;DATE(2026,9,30),Controls_Raw!R579&lt;&gt;"Completed",Controls_Raw!R579&lt;&gt;"Not Required"),"Overdue","OK")</f>
        <v>OK</v>
      </c>
      <c r="I579" t="str">
        <f t="shared" si="8"/>
        <v>Issue</v>
      </c>
    </row>
    <row r="580" spans="1:9" x14ac:dyDescent="0.2">
      <c r="A580" t="str">
        <f>Controls_Raw!A580</f>
        <v>CTRL-0576</v>
      </c>
      <c r="B580" t="str">
        <f>IF(COUNTIF(Controls_Raw!$A$5:$A$1504,A580)&gt;1,"Duplicate","OK")</f>
        <v>OK</v>
      </c>
      <c r="C580" t="str">
        <f>IF(LEN(TRIM(Controls_Raw!I580))=0,"Missing","OK")</f>
        <v>OK</v>
      </c>
      <c r="D580" t="str">
        <f>IF(LEN(TRIM(Controls_Raw!N580))=0,"Missing","OK")</f>
        <v>OK</v>
      </c>
      <c r="E580" t="str">
        <f>IF(OR(Controls_Raw!G580="USA",Controls_Raw!G580="UK"),"Standardize","OK")</f>
        <v>OK</v>
      </c>
      <c r="F580" t="str">
        <f>IF(Controls_Raw!E580&lt;&gt;TRIM(Controls_Raw!E580),"Trim","OK")</f>
        <v>OK</v>
      </c>
      <c r="G580" t="str">
        <f>IF(AND(Controls_Raw!L580&lt;DATE(2026,9,30),Controls_Raw!M580&lt;&gt;"Completed"),"Overdue","OK")</f>
        <v>Overdue</v>
      </c>
      <c r="H580" t="str">
        <f>IF(AND(Controls_Raw!Q580&lt;DATE(2026,9,30),Controls_Raw!R580&lt;&gt;"Completed",Controls_Raw!R580&lt;&gt;"Not Required"),"Overdue","OK")</f>
        <v>OK</v>
      </c>
      <c r="I580" t="str">
        <f t="shared" si="8"/>
        <v>Issue</v>
      </c>
    </row>
    <row r="581" spans="1:9" x14ac:dyDescent="0.2">
      <c r="A581" t="str">
        <f>Controls_Raw!A581</f>
        <v>CTRL-0577</v>
      </c>
      <c r="B581" t="str">
        <f>IF(COUNTIF(Controls_Raw!$A$5:$A$1504,A581)&gt;1,"Duplicate","OK")</f>
        <v>OK</v>
      </c>
      <c r="C581" t="str">
        <f>IF(LEN(TRIM(Controls_Raw!I581))=0,"Missing","OK")</f>
        <v>OK</v>
      </c>
      <c r="D581" t="str">
        <f>IF(LEN(TRIM(Controls_Raw!N581))=0,"Missing","OK")</f>
        <v>OK</v>
      </c>
      <c r="E581" t="str">
        <f>IF(OR(Controls_Raw!G581="USA",Controls_Raw!G581="UK"),"Standardize","OK")</f>
        <v>OK</v>
      </c>
      <c r="F581" t="str">
        <f>IF(Controls_Raw!E581&lt;&gt;TRIM(Controls_Raw!E581),"Trim","OK")</f>
        <v>OK</v>
      </c>
      <c r="G581" t="str">
        <f>IF(AND(Controls_Raw!L581&lt;DATE(2026,9,30),Controls_Raw!M581&lt;&gt;"Completed"),"Overdue","OK")</f>
        <v>Overdue</v>
      </c>
      <c r="H581" t="str">
        <f>IF(AND(Controls_Raw!Q581&lt;DATE(2026,9,30),Controls_Raw!R581&lt;&gt;"Completed",Controls_Raw!R581&lt;&gt;"Not Required"),"Overdue","OK")</f>
        <v>OK</v>
      </c>
      <c r="I581" t="str">
        <f t="shared" ref="I581:I644" si="9">IF(COUNTIF(B581:H581,"&lt;&gt;OK")&gt;0,"Issue","Pass")</f>
        <v>Issue</v>
      </c>
    </row>
    <row r="582" spans="1:9" x14ac:dyDescent="0.2">
      <c r="A582" t="str">
        <f>Controls_Raw!A582</f>
        <v>CTRL-0578</v>
      </c>
      <c r="B582" t="str">
        <f>IF(COUNTIF(Controls_Raw!$A$5:$A$1504,A582)&gt;1,"Duplicate","OK")</f>
        <v>OK</v>
      </c>
      <c r="C582" t="str">
        <f>IF(LEN(TRIM(Controls_Raw!I582))=0,"Missing","OK")</f>
        <v>OK</v>
      </c>
      <c r="D582" t="str">
        <f>IF(LEN(TRIM(Controls_Raw!N582))=0,"Missing","OK")</f>
        <v>OK</v>
      </c>
      <c r="E582" t="str">
        <f>IF(OR(Controls_Raw!G582="USA",Controls_Raw!G582="UK"),"Standardize","OK")</f>
        <v>OK</v>
      </c>
      <c r="F582" t="str">
        <f>IF(Controls_Raw!E582&lt;&gt;TRIM(Controls_Raw!E582),"Trim","OK")</f>
        <v>OK</v>
      </c>
      <c r="G582" t="str">
        <f>IF(AND(Controls_Raw!L582&lt;DATE(2026,9,30),Controls_Raw!M582&lt;&gt;"Completed"),"Overdue","OK")</f>
        <v>Overdue</v>
      </c>
      <c r="H582" t="str">
        <f>IF(AND(Controls_Raw!Q582&lt;DATE(2026,9,30),Controls_Raw!R582&lt;&gt;"Completed",Controls_Raw!R582&lt;&gt;"Not Required"),"Overdue","OK")</f>
        <v>Overdue</v>
      </c>
      <c r="I582" t="str">
        <f t="shared" si="9"/>
        <v>Issue</v>
      </c>
    </row>
    <row r="583" spans="1:9" x14ac:dyDescent="0.2">
      <c r="A583" t="str">
        <f>Controls_Raw!A583</f>
        <v>CTRL-0579</v>
      </c>
      <c r="B583" t="str">
        <f>IF(COUNTIF(Controls_Raw!$A$5:$A$1504,A583)&gt;1,"Duplicate","OK")</f>
        <v>OK</v>
      </c>
      <c r="C583" t="str">
        <f>IF(LEN(TRIM(Controls_Raw!I583))=0,"Missing","OK")</f>
        <v>OK</v>
      </c>
      <c r="D583" t="str">
        <f>IF(LEN(TRIM(Controls_Raw!N583))=0,"Missing","OK")</f>
        <v>OK</v>
      </c>
      <c r="E583" t="str">
        <f>IF(OR(Controls_Raw!G583="USA",Controls_Raw!G583="UK"),"Standardize","OK")</f>
        <v>OK</v>
      </c>
      <c r="F583" t="str">
        <f>IF(Controls_Raw!E583&lt;&gt;TRIM(Controls_Raw!E583),"Trim","OK")</f>
        <v>OK</v>
      </c>
      <c r="G583" t="str">
        <f>IF(AND(Controls_Raw!L583&lt;DATE(2026,9,30),Controls_Raw!M583&lt;&gt;"Completed"),"Overdue","OK")</f>
        <v>Overdue</v>
      </c>
      <c r="H583" t="str">
        <f>IF(AND(Controls_Raw!Q583&lt;DATE(2026,9,30),Controls_Raw!R583&lt;&gt;"Completed",Controls_Raw!R583&lt;&gt;"Not Required"),"Overdue","OK")</f>
        <v>OK</v>
      </c>
      <c r="I583" t="str">
        <f t="shared" si="9"/>
        <v>Issue</v>
      </c>
    </row>
    <row r="584" spans="1:9" x14ac:dyDescent="0.2">
      <c r="A584" t="str">
        <f>Controls_Raw!A584</f>
        <v>CTRL-0580</v>
      </c>
      <c r="B584" t="str">
        <f>IF(COUNTIF(Controls_Raw!$A$5:$A$1504,A584)&gt;1,"Duplicate","OK")</f>
        <v>OK</v>
      </c>
      <c r="C584" t="str">
        <f>IF(LEN(TRIM(Controls_Raw!I584))=0,"Missing","OK")</f>
        <v>OK</v>
      </c>
      <c r="D584" t="str">
        <f>IF(LEN(TRIM(Controls_Raw!N584))=0,"Missing","OK")</f>
        <v>OK</v>
      </c>
      <c r="E584" t="str">
        <f>IF(OR(Controls_Raw!G584="USA",Controls_Raw!G584="UK"),"Standardize","OK")</f>
        <v>OK</v>
      </c>
      <c r="F584" t="str">
        <f>IF(Controls_Raw!E584&lt;&gt;TRIM(Controls_Raw!E584),"Trim","OK")</f>
        <v>OK</v>
      </c>
      <c r="G584" t="str">
        <f>IF(AND(Controls_Raw!L584&lt;DATE(2026,9,30),Controls_Raw!M584&lt;&gt;"Completed"),"Overdue","OK")</f>
        <v>Overdue</v>
      </c>
      <c r="H584" t="str">
        <f>IF(AND(Controls_Raw!Q584&lt;DATE(2026,9,30),Controls_Raw!R584&lt;&gt;"Completed",Controls_Raw!R584&lt;&gt;"Not Required"),"Overdue","OK")</f>
        <v>OK</v>
      </c>
      <c r="I584" t="str">
        <f t="shared" si="9"/>
        <v>Issue</v>
      </c>
    </row>
    <row r="585" spans="1:9" x14ac:dyDescent="0.2">
      <c r="A585" t="str">
        <f>Controls_Raw!A585</f>
        <v>CTRL-0581</v>
      </c>
      <c r="B585" t="str">
        <f>IF(COUNTIF(Controls_Raw!$A$5:$A$1504,A585)&gt;1,"Duplicate","OK")</f>
        <v>OK</v>
      </c>
      <c r="C585" t="str">
        <f>IF(LEN(TRIM(Controls_Raw!I585))=0,"Missing","OK")</f>
        <v>OK</v>
      </c>
      <c r="D585" t="str">
        <f>IF(LEN(TRIM(Controls_Raw!N585))=0,"Missing","OK")</f>
        <v>OK</v>
      </c>
      <c r="E585" t="str">
        <f>IF(OR(Controls_Raw!G585="USA",Controls_Raw!G585="UK"),"Standardize","OK")</f>
        <v>OK</v>
      </c>
      <c r="F585" t="str">
        <f>IF(Controls_Raw!E585&lt;&gt;TRIM(Controls_Raw!E585),"Trim","OK")</f>
        <v>OK</v>
      </c>
      <c r="G585" t="str">
        <f>IF(AND(Controls_Raw!L585&lt;DATE(2026,9,30),Controls_Raw!M585&lt;&gt;"Completed"),"Overdue","OK")</f>
        <v>OK</v>
      </c>
      <c r="H585" t="str">
        <f>IF(AND(Controls_Raw!Q585&lt;DATE(2026,9,30),Controls_Raw!R585&lt;&gt;"Completed",Controls_Raw!R585&lt;&gt;"Not Required"),"Overdue","OK")</f>
        <v>Overdue</v>
      </c>
      <c r="I585" t="str">
        <f t="shared" si="9"/>
        <v>Issue</v>
      </c>
    </row>
    <row r="586" spans="1:9" x14ac:dyDescent="0.2">
      <c r="A586" t="str">
        <f>Controls_Raw!A586</f>
        <v>CTRL-0582</v>
      </c>
      <c r="B586" t="str">
        <f>IF(COUNTIF(Controls_Raw!$A$5:$A$1504,A586)&gt;1,"Duplicate","OK")</f>
        <v>OK</v>
      </c>
      <c r="C586" t="str">
        <f>IF(LEN(TRIM(Controls_Raw!I586))=0,"Missing","OK")</f>
        <v>OK</v>
      </c>
      <c r="D586" t="str">
        <f>IF(LEN(TRIM(Controls_Raw!N586))=0,"Missing","OK")</f>
        <v>Missing</v>
      </c>
      <c r="E586" t="str">
        <f>IF(OR(Controls_Raw!G586="USA",Controls_Raw!G586="UK"),"Standardize","OK")</f>
        <v>OK</v>
      </c>
      <c r="F586" t="str">
        <f>IF(Controls_Raw!E586&lt;&gt;TRIM(Controls_Raw!E586),"Trim","OK")</f>
        <v>OK</v>
      </c>
      <c r="G586" t="str">
        <f>IF(AND(Controls_Raw!L586&lt;DATE(2026,9,30),Controls_Raw!M586&lt;&gt;"Completed"),"Overdue","OK")</f>
        <v>Overdue</v>
      </c>
      <c r="H586" t="str">
        <f>IF(AND(Controls_Raw!Q586&lt;DATE(2026,9,30),Controls_Raw!R586&lt;&gt;"Completed",Controls_Raw!R586&lt;&gt;"Not Required"),"Overdue","OK")</f>
        <v>Overdue</v>
      </c>
      <c r="I586" t="str">
        <f t="shared" si="9"/>
        <v>Issue</v>
      </c>
    </row>
    <row r="587" spans="1:9" x14ac:dyDescent="0.2">
      <c r="A587" t="str">
        <f>Controls_Raw!A587</f>
        <v>CTRL-0583</v>
      </c>
      <c r="B587" t="str">
        <f>IF(COUNTIF(Controls_Raw!$A$5:$A$1504,A587)&gt;1,"Duplicate","OK")</f>
        <v>OK</v>
      </c>
      <c r="C587" t="str">
        <f>IF(LEN(TRIM(Controls_Raw!I587))=0,"Missing","OK")</f>
        <v>OK</v>
      </c>
      <c r="D587" t="str">
        <f>IF(LEN(TRIM(Controls_Raw!N587))=0,"Missing","OK")</f>
        <v>OK</v>
      </c>
      <c r="E587" t="str">
        <f>IF(OR(Controls_Raw!G587="USA",Controls_Raw!G587="UK"),"Standardize","OK")</f>
        <v>OK</v>
      </c>
      <c r="F587" t="str">
        <f>IF(Controls_Raw!E587&lt;&gt;TRIM(Controls_Raw!E587),"Trim","OK")</f>
        <v>OK</v>
      </c>
      <c r="G587" t="str">
        <f>IF(AND(Controls_Raw!L587&lt;DATE(2026,9,30),Controls_Raw!M587&lt;&gt;"Completed"),"Overdue","OK")</f>
        <v>Overdue</v>
      </c>
      <c r="H587" t="str">
        <f>IF(AND(Controls_Raw!Q587&lt;DATE(2026,9,30),Controls_Raw!R587&lt;&gt;"Completed",Controls_Raw!R587&lt;&gt;"Not Required"),"Overdue","OK")</f>
        <v>OK</v>
      </c>
      <c r="I587" t="str">
        <f t="shared" si="9"/>
        <v>Issue</v>
      </c>
    </row>
    <row r="588" spans="1:9" x14ac:dyDescent="0.2">
      <c r="A588" t="str">
        <f>Controls_Raw!A588</f>
        <v>CTRL-0584</v>
      </c>
      <c r="B588" t="str">
        <f>IF(COUNTIF(Controls_Raw!$A$5:$A$1504,A588)&gt;1,"Duplicate","OK")</f>
        <v>OK</v>
      </c>
      <c r="C588" t="str">
        <f>IF(LEN(TRIM(Controls_Raw!I588))=0,"Missing","OK")</f>
        <v>OK</v>
      </c>
      <c r="D588" t="str">
        <f>IF(LEN(TRIM(Controls_Raw!N588))=0,"Missing","OK")</f>
        <v>OK</v>
      </c>
      <c r="E588" t="str">
        <f>IF(OR(Controls_Raw!G588="USA",Controls_Raw!G588="UK"),"Standardize","OK")</f>
        <v>Standardize</v>
      </c>
      <c r="F588" t="str">
        <f>IF(Controls_Raw!E588&lt;&gt;TRIM(Controls_Raw!E588),"Trim","OK")</f>
        <v>OK</v>
      </c>
      <c r="G588" t="str">
        <f>IF(AND(Controls_Raw!L588&lt;DATE(2026,9,30),Controls_Raw!M588&lt;&gt;"Completed"),"Overdue","OK")</f>
        <v>Overdue</v>
      </c>
      <c r="H588" t="str">
        <f>IF(AND(Controls_Raw!Q588&lt;DATE(2026,9,30),Controls_Raw!R588&lt;&gt;"Completed",Controls_Raw!R588&lt;&gt;"Not Required"),"Overdue","OK")</f>
        <v>OK</v>
      </c>
      <c r="I588" t="str">
        <f t="shared" si="9"/>
        <v>Issue</v>
      </c>
    </row>
    <row r="589" spans="1:9" x14ac:dyDescent="0.2">
      <c r="A589" t="str">
        <f>Controls_Raw!A589</f>
        <v>CTRL-0585</v>
      </c>
      <c r="B589" t="str">
        <f>IF(COUNTIF(Controls_Raw!$A$5:$A$1504,A589)&gt;1,"Duplicate","OK")</f>
        <v>OK</v>
      </c>
      <c r="C589" t="str">
        <f>IF(LEN(TRIM(Controls_Raw!I589))=0,"Missing","OK")</f>
        <v>OK</v>
      </c>
      <c r="D589" t="str">
        <f>IF(LEN(TRIM(Controls_Raw!N589))=0,"Missing","OK")</f>
        <v>OK</v>
      </c>
      <c r="E589" t="str">
        <f>IF(OR(Controls_Raw!G589="USA",Controls_Raw!G589="UK"),"Standardize","OK")</f>
        <v>OK</v>
      </c>
      <c r="F589" t="str">
        <f>IF(Controls_Raw!E589&lt;&gt;TRIM(Controls_Raw!E589),"Trim","OK")</f>
        <v>Trim</v>
      </c>
      <c r="G589" t="str">
        <f>IF(AND(Controls_Raw!L589&lt;DATE(2026,9,30),Controls_Raw!M589&lt;&gt;"Completed"),"Overdue","OK")</f>
        <v>Overdue</v>
      </c>
      <c r="H589" t="str">
        <f>IF(AND(Controls_Raw!Q589&lt;DATE(2026,9,30),Controls_Raw!R589&lt;&gt;"Completed",Controls_Raw!R589&lt;&gt;"Not Required"),"Overdue","OK")</f>
        <v>OK</v>
      </c>
      <c r="I589" t="str">
        <f t="shared" si="9"/>
        <v>Issue</v>
      </c>
    </row>
    <row r="590" spans="1:9" x14ac:dyDescent="0.2">
      <c r="A590" t="str">
        <f>Controls_Raw!A590</f>
        <v>CTRL-0586</v>
      </c>
      <c r="B590" t="str">
        <f>IF(COUNTIF(Controls_Raw!$A$5:$A$1504,A590)&gt;1,"Duplicate","OK")</f>
        <v>OK</v>
      </c>
      <c r="C590" t="str">
        <f>IF(LEN(TRIM(Controls_Raw!I590))=0,"Missing","OK")</f>
        <v>OK</v>
      </c>
      <c r="D590" t="str">
        <f>IF(LEN(TRIM(Controls_Raw!N590))=0,"Missing","OK")</f>
        <v>OK</v>
      </c>
      <c r="E590" t="str">
        <f>IF(OR(Controls_Raw!G590="USA",Controls_Raw!G590="UK"),"Standardize","OK")</f>
        <v>OK</v>
      </c>
      <c r="F590" t="str">
        <f>IF(Controls_Raw!E590&lt;&gt;TRIM(Controls_Raw!E590),"Trim","OK")</f>
        <v>OK</v>
      </c>
      <c r="G590" t="str">
        <f>IF(AND(Controls_Raw!L590&lt;DATE(2026,9,30),Controls_Raw!M590&lt;&gt;"Completed"),"Overdue","OK")</f>
        <v>Overdue</v>
      </c>
      <c r="H590" t="str">
        <f>IF(AND(Controls_Raw!Q590&lt;DATE(2026,9,30),Controls_Raw!R590&lt;&gt;"Completed",Controls_Raw!R590&lt;&gt;"Not Required"),"Overdue","OK")</f>
        <v>OK</v>
      </c>
      <c r="I590" t="str">
        <f t="shared" si="9"/>
        <v>Issue</v>
      </c>
    </row>
    <row r="591" spans="1:9" x14ac:dyDescent="0.2">
      <c r="A591" t="str">
        <f>Controls_Raw!A591</f>
        <v>CTRL-0587</v>
      </c>
      <c r="B591" t="str">
        <f>IF(COUNTIF(Controls_Raw!$A$5:$A$1504,A591)&gt;1,"Duplicate","OK")</f>
        <v>OK</v>
      </c>
      <c r="C591" t="str">
        <f>IF(LEN(TRIM(Controls_Raw!I591))=0,"Missing","OK")</f>
        <v>OK</v>
      </c>
      <c r="D591" t="str">
        <f>IF(LEN(TRIM(Controls_Raw!N591))=0,"Missing","OK")</f>
        <v>OK</v>
      </c>
      <c r="E591" t="str">
        <f>IF(OR(Controls_Raw!G591="USA",Controls_Raw!G591="UK"),"Standardize","OK")</f>
        <v>OK</v>
      </c>
      <c r="F591" t="str">
        <f>IF(Controls_Raw!E591&lt;&gt;TRIM(Controls_Raw!E591),"Trim","OK")</f>
        <v>OK</v>
      </c>
      <c r="G591" t="str">
        <f>IF(AND(Controls_Raw!L591&lt;DATE(2026,9,30),Controls_Raw!M591&lt;&gt;"Completed"),"Overdue","OK")</f>
        <v>OK</v>
      </c>
      <c r="H591" t="str">
        <f>IF(AND(Controls_Raw!Q591&lt;DATE(2026,9,30),Controls_Raw!R591&lt;&gt;"Completed",Controls_Raw!R591&lt;&gt;"Not Required"),"Overdue","OK")</f>
        <v>OK</v>
      </c>
      <c r="I591" t="str">
        <f t="shared" si="9"/>
        <v>Pass</v>
      </c>
    </row>
    <row r="592" spans="1:9" x14ac:dyDescent="0.2">
      <c r="A592" t="str">
        <f>Controls_Raw!A592</f>
        <v>CTRL-0588</v>
      </c>
      <c r="B592" t="str">
        <f>IF(COUNTIF(Controls_Raw!$A$5:$A$1504,A592)&gt;1,"Duplicate","OK")</f>
        <v>OK</v>
      </c>
      <c r="C592" t="str">
        <f>IF(LEN(TRIM(Controls_Raw!I592))=0,"Missing","OK")</f>
        <v>OK</v>
      </c>
      <c r="D592" t="str">
        <f>IF(LEN(TRIM(Controls_Raw!N592))=0,"Missing","OK")</f>
        <v>OK</v>
      </c>
      <c r="E592" t="str">
        <f>IF(OR(Controls_Raw!G592="USA",Controls_Raw!G592="UK"),"Standardize","OK")</f>
        <v>OK</v>
      </c>
      <c r="F592" t="str">
        <f>IF(Controls_Raw!E592&lt;&gt;TRIM(Controls_Raw!E592),"Trim","OK")</f>
        <v>OK</v>
      </c>
      <c r="G592" t="str">
        <f>IF(AND(Controls_Raw!L592&lt;DATE(2026,9,30),Controls_Raw!M592&lt;&gt;"Completed"),"Overdue","OK")</f>
        <v>Overdue</v>
      </c>
      <c r="H592" t="str">
        <f>IF(AND(Controls_Raw!Q592&lt;DATE(2026,9,30),Controls_Raw!R592&lt;&gt;"Completed",Controls_Raw!R592&lt;&gt;"Not Required"),"Overdue","OK")</f>
        <v>OK</v>
      </c>
      <c r="I592" t="str">
        <f t="shared" si="9"/>
        <v>Issue</v>
      </c>
    </row>
    <row r="593" spans="1:9" x14ac:dyDescent="0.2">
      <c r="A593" t="str">
        <f>Controls_Raw!A593</f>
        <v>CTRL-0589</v>
      </c>
      <c r="B593" t="str">
        <f>IF(COUNTIF(Controls_Raw!$A$5:$A$1504,A593)&gt;1,"Duplicate","OK")</f>
        <v>OK</v>
      </c>
      <c r="C593" t="str">
        <f>IF(LEN(TRIM(Controls_Raw!I593))=0,"Missing","OK")</f>
        <v>OK</v>
      </c>
      <c r="D593" t="str">
        <f>IF(LEN(TRIM(Controls_Raw!N593))=0,"Missing","OK")</f>
        <v>OK</v>
      </c>
      <c r="E593" t="str">
        <f>IF(OR(Controls_Raw!G593="USA",Controls_Raw!G593="UK"),"Standardize","OK")</f>
        <v>OK</v>
      </c>
      <c r="F593" t="str">
        <f>IF(Controls_Raw!E593&lt;&gt;TRIM(Controls_Raw!E593),"Trim","OK")</f>
        <v>OK</v>
      </c>
      <c r="G593" t="str">
        <f>IF(AND(Controls_Raw!L593&lt;DATE(2026,9,30),Controls_Raw!M593&lt;&gt;"Completed"),"Overdue","OK")</f>
        <v>Overdue</v>
      </c>
      <c r="H593" t="str">
        <f>IF(AND(Controls_Raw!Q593&lt;DATE(2026,9,30),Controls_Raw!R593&lt;&gt;"Completed",Controls_Raw!R593&lt;&gt;"Not Required"),"Overdue","OK")</f>
        <v>OK</v>
      </c>
      <c r="I593" t="str">
        <f t="shared" si="9"/>
        <v>Issue</v>
      </c>
    </row>
    <row r="594" spans="1:9" x14ac:dyDescent="0.2">
      <c r="A594" t="str">
        <f>Controls_Raw!A594</f>
        <v>CTRL-0590</v>
      </c>
      <c r="B594" t="str">
        <f>IF(COUNTIF(Controls_Raw!$A$5:$A$1504,A594)&gt;1,"Duplicate","OK")</f>
        <v>OK</v>
      </c>
      <c r="C594" t="str">
        <f>IF(LEN(TRIM(Controls_Raw!I594))=0,"Missing","OK")</f>
        <v>OK</v>
      </c>
      <c r="D594" t="str">
        <f>IF(LEN(TRIM(Controls_Raw!N594))=0,"Missing","OK")</f>
        <v>OK</v>
      </c>
      <c r="E594" t="str">
        <f>IF(OR(Controls_Raw!G594="USA",Controls_Raw!G594="UK"),"Standardize","OK")</f>
        <v>OK</v>
      </c>
      <c r="F594" t="str">
        <f>IF(Controls_Raw!E594&lt;&gt;TRIM(Controls_Raw!E594),"Trim","OK")</f>
        <v>OK</v>
      </c>
      <c r="G594" t="str">
        <f>IF(AND(Controls_Raw!L594&lt;DATE(2026,9,30),Controls_Raw!M594&lt;&gt;"Completed"),"Overdue","OK")</f>
        <v>OK</v>
      </c>
      <c r="H594" t="str">
        <f>IF(AND(Controls_Raw!Q594&lt;DATE(2026,9,30),Controls_Raw!R594&lt;&gt;"Completed",Controls_Raw!R594&lt;&gt;"Not Required"),"Overdue","OK")</f>
        <v>OK</v>
      </c>
      <c r="I594" t="str">
        <f t="shared" si="9"/>
        <v>Pass</v>
      </c>
    </row>
    <row r="595" spans="1:9" x14ac:dyDescent="0.2">
      <c r="A595" t="str">
        <f>Controls_Raw!A595</f>
        <v>CTRL-0591</v>
      </c>
      <c r="B595" t="str">
        <f>IF(COUNTIF(Controls_Raw!$A$5:$A$1504,A595)&gt;1,"Duplicate","OK")</f>
        <v>OK</v>
      </c>
      <c r="C595" t="str">
        <f>IF(LEN(TRIM(Controls_Raw!I595))=0,"Missing","OK")</f>
        <v>OK</v>
      </c>
      <c r="D595" t="str">
        <f>IF(LEN(TRIM(Controls_Raw!N595))=0,"Missing","OK")</f>
        <v>OK</v>
      </c>
      <c r="E595" t="str">
        <f>IF(OR(Controls_Raw!G595="USA",Controls_Raw!G595="UK"),"Standardize","OK")</f>
        <v>OK</v>
      </c>
      <c r="F595" t="str">
        <f>IF(Controls_Raw!E595&lt;&gt;TRIM(Controls_Raw!E595),"Trim","OK")</f>
        <v>OK</v>
      </c>
      <c r="G595" t="str">
        <f>IF(AND(Controls_Raw!L595&lt;DATE(2026,9,30),Controls_Raw!M595&lt;&gt;"Completed"),"Overdue","OK")</f>
        <v>OK</v>
      </c>
      <c r="H595" t="str">
        <f>IF(AND(Controls_Raw!Q595&lt;DATE(2026,9,30),Controls_Raw!R595&lt;&gt;"Completed",Controls_Raw!R595&lt;&gt;"Not Required"),"Overdue","OK")</f>
        <v>OK</v>
      </c>
      <c r="I595" t="str">
        <f t="shared" si="9"/>
        <v>Pass</v>
      </c>
    </row>
    <row r="596" spans="1:9" x14ac:dyDescent="0.2">
      <c r="A596" t="str">
        <f>Controls_Raw!A596</f>
        <v>CTRL-0592</v>
      </c>
      <c r="B596" t="str">
        <f>IF(COUNTIF(Controls_Raw!$A$5:$A$1504,A596)&gt;1,"Duplicate","OK")</f>
        <v>OK</v>
      </c>
      <c r="C596" t="str">
        <f>IF(LEN(TRIM(Controls_Raw!I596))=0,"Missing","OK")</f>
        <v>OK</v>
      </c>
      <c r="D596" t="str">
        <f>IF(LEN(TRIM(Controls_Raw!N596))=0,"Missing","OK")</f>
        <v>OK</v>
      </c>
      <c r="E596" t="str">
        <f>IF(OR(Controls_Raw!G596="USA",Controls_Raw!G596="UK"),"Standardize","OK")</f>
        <v>OK</v>
      </c>
      <c r="F596" t="str">
        <f>IF(Controls_Raw!E596&lt;&gt;TRIM(Controls_Raw!E596),"Trim","OK")</f>
        <v>OK</v>
      </c>
      <c r="G596" t="str">
        <f>IF(AND(Controls_Raw!L596&lt;DATE(2026,9,30),Controls_Raw!M596&lt;&gt;"Completed"),"Overdue","OK")</f>
        <v>OK</v>
      </c>
      <c r="H596" t="str">
        <f>IF(AND(Controls_Raw!Q596&lt;DATE(2026,9,30),Controls_Raw!R596&lt;&gt;"Completed",Controls_Raw!R596&lt;&gt;"Not Required"),"Overdue","OK")</f>
        <v>Overdue</v>
      </c>
      <c r="I596" t="str">
        <f t="shared" si="9"/>
        <v>Issue</v>
      </c>
    </row>
    <row r="597" spans="1:9" x14ac:dyDescent="0.2">
      <c r="A597" t="str">
        <f>Controls_Raw!A597</f>
        <v>CTRL-0593</v>
      </c>
      <c r="B597" t="str">
        <f>IF(COUNTIF(Controls_Raw!$A$5:$A$1504,A597)&gt;1,"Duplicate","OK")</f>
        <v>OK</v>
      </c>
      <c r="C597" t="str">
        <f>IF(LEN(TRIM(Controls_Raw!I597))=0,"Missing","OK")</f>
        <v>OK</v>
      </c>
      <c r="D597" t="str">
        <f>IF(LEN(TRIM(Controls_Raw!N597))=0,"Missing","OK")</f>
        <v>OK</v>
      </c>
      <c r="E597" t="str">
        <f>IF(OR(Controls_Raw!G597="USA",Controls_Raw!G597="UK"),"Standardize","OK")</f>
        <v>OK</v>
      </c>
      <c r="F597" t="str">
        <f>IF(Controls_Raw!E597&lt;&gt;TRIM(Controls_Raw!E597),"Trim","OK")</f>
        <v>OK</v>
      </c>
      <c r="G597" t="str">
        <f>IF(AND(Controls_Raw!L597&lt;DATE(2026,9,30),Controls_Raw!M597&lt;&gt;"Completed"),"Overdue","OK")</f>
        <v>OK</v>
      </c>
      <c r="H597" t="str">
        <f>IF(AND(Controls_Raw!Q597&lt;DATE(2026,9,30),Controls_Raw!R597&lt;&gt;"Completed",Controls_Raw!R597&lt;&gt;"Not Required"),"Overdue","OK")</f>
        <v>OK</v>
      </c>
      <c r="I597" t="str">
        <f t="shared" si="9"/>
        <v>Pass</v>
      </c>
    </row>
    <row r="598" spans="1:9" x14ac:dyDescent="0.2">
      <c r="A598" t="str">
        <f>Controls_Raw!A598</f>
        <v>CTRL-0594</v>
      </c>
      <c r="B598" t="str">
        <f>IF(COUNTIF(Controls_Raw!$A$5:$A$1504,A598)&gt;1,"Duplicate","OK")</f>
        <v>OK</v>
      </c>
      <c r="C598" t="str">
        <f>IF(LEN(TRIM(Controls_Raw!I598))=0,"Missing","OK")</f>
        <v>OK</v>
      </c>
      <c r="D598" t="str">
        <f>IF(LEN(TRIM(Controls_Raw!N598))=0,"Missing","OK")</f>
        <v>OK</v>
      </c>
      <c r="E598" t="str">
        <f>IF(OR(Controls_Raw!G598="USA",Controls_Raw!G598="UK"),"Standardize","OK")</f>
        <v>OK</v>
      </c>
      <c r="F598" t="str">
        <f>IF(Controls_Raw!E598&lt;&gt;TRIM(Controls_Raw!E598),"Trim","OK")</f>
        <v>OK</v>
      </c>
      <c r="G598" t="str">
        <f>IF(AND(Controls_Raw!L598&lt;DATE(2026,9,30),Controls_Raw!M598&lt;&gt;"Completed"),"Overdue","OK")</f>
        <v>OK</v>
      </c>
      <c r="H598" t="str">
        <f>IF(AND(Controls_Raw!Q598&lt;DATE(2026,9,30),Controls_Raw!R598&lt;&gt;"Completed",Controls_Raw!R598&lt;&gt;"Not Required"),"Overdue","OK")</f>
        <v>Overdue</v>
      </c>
      <c r="I598" t="str">
        <f t="shared" si="9"/>
        <v>Issue</v>
      </c>
    </row>
    <row r="599" spans="1:9" x14ac:dyDescent="0.2">
      <c r="A599" t="str">
        <f>Controls_Raw!A599</f>
        <v>CTRL-0595</v>
      </c>
      <c r="B599" t="str">
        <f>IF(COUNTIF(Controls_Raw!$A$5:$A$1504,A599)&gt;1,"Duplicate","OK")</f>
        <v>OK</v>
      </c>
      <c r="C599" t="str">
        <f>IF(LEN(TRIM(Controls_Raw!I599))=0,"Missing","OK")</f>
        <v>OK</v>
      </c>
      <c r="D599" t="str">
        <f>IF(LEN(TRIM(Controls_Raw!N599))=0,"Missing","OK")</f>
        <v>OK</v>
      </c>
      <c r="E599" t="str">
        <f>IF(OR(Controls_Raw!G599="USA",Controls_Raw!G599="UK"),"Standardize","OK")</f>
        <v>OK</v>
      </c>
      <c r="F599" t="str">
        <f>IF(Controls_Raw!E599&lt;&gt;TRIM(Controls_Raw!E599),"Trim","OK")</f>
        <v>OK</v>
      </c>
      <c r="G599" t="str">
        <f>IF(AND(Controls_Raw!L599&lt;DATE(2026,9,30),Controls_Raw!M599&lt;&gt;"Completed"),"Overdue","OK")</f>
        <v>Overdue</v>
      </c>
      <c r="H599" t="str">
        <f>IF(AND(Controls_Raw!Q599&lt;DATE(2026,9,30),Controls_Raw!R599&lt;&gt;"Completed",Controls_Raw!R599&lt;&gt;"Not Required"),"Overdue","OK")</f>
        <v>Overdue</v>
      </c>
      <c r="I599" t="str">
        <f t="shared" si="9"/>
        <v>Issue</v>
      </c>
    </row>
    <row r="600" spans="1:9" x14ac:dyDescent="0.2">
      <c r="A600" t="str">
        <f>Controls_Raw!A600</f>
        <v>CTRL-0596</v>
      </c>
      <c r="B600" t="str">
        <f>IF(COUNTIF(Controls_Raw!$A$5:$A$1504,A600)&gt;1,"Duplicate","OK")</f>
        <v>OK</v>
      </c>
      <c r="C600" t="str">
        <f>IF(LEN(TRIM(Controls_Raw!I600))=0,"Missing","OK")</f>
        <v>OK</v>
      </c>
      <c r="D600" t="str">
        <f>IF(LEN(TRIM(Controls_Raw!N600))=0,"Missing","OK")</f>
        <v>OK</v>
      </c>
      <c r="E600" t="str">
        <f>IF(OR(Controls_Raw!G600="USA",Controls_Raw!G600="UK"),"Standardize","OK")</f>
        <v>OK</v>
      </c>
      <c r="F600" t="str">
        <f>IF(Controls_Raw!E600&lt;&gt;TRIM(Controls_Raw!E600),"Trim","OK")</f>
        <v>OK</v>
      </c>
      <c r="G600" t="str">
        <f>IF(AND(Controls_Raw!L600&lt;DATE(2026,9,30),Controls_Raw!M600&lt;&gt;"Completed"),"Overdue","OK")</f>
        <v>Overdue</v>
      </c>
      <c r="H600" t="str">
        <f>IF(AND(Controls_Raw!Q600&lt;DATE(2026,9,30),Controls_Raw!R600&lt;&gt;"Completed",Controls_Raw!R600&lt;&gt;"Not Required"),"Overdue","OK")</f>
        <v>Overdue</v>
      </c>
      <c r="I600" t="str">
        <f t="shared" si="9"/>
        <v>Issue</v>
      </c>
    </row>
    <row r="601" spans="1:9" x14ac:dyDescent="0.2">
      <c r="A601" t="str">
        <f>Controls_Raw!A601</f>
        <v>CTRL-0597</v>
      </c>
      <c r="B601" t="str">
        <f>IF(COUNTIF(Controls_Raw!$A$5:$A$1504,A601)&gt;1,"Duplicate","OK")</f>
        <v>OK</v>
      </c>
      <c r="C601" t="str">
        <f>IF(LEN(TRIM(Controls_Raw!I601))=0,"Missing","OK")</f>
        <v>OK</v>
      </c>
      <c r="D601" t="str">
        <f>IF(LEN(TRIM(Controls_Raw!N601))=0,"Missing","OK")</f>
        <v>OK</v>
      </c>
      <c r="E601" t="str">
        <f>IF(OR(Controls_Raw!G601="USA",Controls_Raw!G601="UK"),"Standardize","OK")</f>
        <v>OK</v>
      </c>
      <c r="F601" t="str">
        <f>IF(Controls_Raw!E601&lt;&gt;TRIM(Controls_Raw!E601),"Trim","OK")</f>
        <v>OK</v>
      </c>
      <c r="G601" t="str">
        <f>IF(AND(Controls_Raw!L601&lt;DATE(2026,9,30),Controls_Raw!M601&lt;&gt;"Completed"),"Overdue","OK")</f>
        <v>Overdue</v>
      </c>
      <c r="H601" t="str">
        <f>IF(AND(Controls_Raw!Q601&lt;DATE(2026,9,30),Controls_Raw!R601&lt;&gt;"Completed",Controls_Raw!R601&lt;&gt;"Not Required"),"Overdue","OK")</f>
        <v>Overdue</v>
      </c>
      <c r="I601" t="str">
        <f t="shared" si="9"/>
        <v>Issue</v>
      </c>
    </row>
    <row r="602" spans="1:9" x14ac:dyDescent="0.2">
      <c r="A602" t="str">
        <f>Controls_Raw!A602</f>
        <v>CTRL-0598</v>
      </c>
      <c r="B602" t="str">
        <f>IF(COUNTIF(Controls_Raw!$A$5:$A$1504,A602)&gt;1,"Duplicate","OK")</f>
        <v>OK</v>
      </c>
      <c r="C602" t="str">
        <f>IF(LEN(TRIM(Controls_Raw!I602))=0,"Missing","OK")</f>
        <v>OK</v>
      </c>
      <c r="D602" t="str">
        <f>IF(LEN(TRIM(Controls_Raw!N602))=0,"Missing","OK")</f>
        <v>OK</v>
      </c>
      <c r="E602" t="str">
        <f>IF(OR(Controls_Raw!G602="USA",Controls_Raw!G602="UK"),"Standardize","OK")</f>
        <v>OK</v>
      </c>
      <c r="F602" t="str">
        <f>IF(Controls_Raw!E602&lt;&gt;TRIM(Controls_Raw!E602),"Trim","OK")</f>
        <v>OK</v>
      </c>
      <c r="G602" t="str">
        <f>IF(AND(Controls_Raw!L602&lt;DATE(2026,9,30),Controls_Raw!M602&lt;&gt;"Completed"),"Overdue","OK")</f>
        <v>Overdue</v>
      </c>
      <c r="H602" t="str">
        <f>IF(AND(Controls_Raw!Q602&lt;DATE(2026,9,30),Controls_Raw!R602&lt;&gt;"Completed",Controls_Raw!R602&lt;&gt;"Not Required"),"Overdue","OK")</f>
        <v>Overdue</v>
      </c>
      <c r="I602" t="str">
        <f t="shared" si="9"/>
        <v>Issue</v>
      </c>
    </row>
    <row r="603" spans="1:9" x14ac:dyDescent="0.2">
      <c r="A603" t="str">
        <f>Controls_Raw!A603</f>
        <v>CTRL-0599</v>
      </c>
      <c r="B603" t="str">
        <f>IF(COUNTIF(Controls_Raw!$A$5:$A$1504,A603)&gt;1,"Duplicate","OK")</f>
        <v>OK</v>
      </c>
      <c r="C603" t="str">
        <f>IF(LEN(TRIM(Controls_Raw!I603))=0,"Missing","OK")</f>
        <v>OK</v>
      </c>
      <c r="D603" t="str">
        <f>IF(LEN(TRIM(Controls_Raw!N603))=0,"Missing","OK")</f>
        <v>OK</v>
      </c>
      <c r="E603" t="str">
        <f>IF(OR(Controls_Raw!G603="USA",Controls_Raw!G603="UK"),"Standardize","OK")</f>
        <v>OK</v>
      </c>
      <c r="F603" t="str">
        <f>IF(Controls_Raw!E603&lt;&gt;TRIM(Controls_Raw!E603),"Trim","OK")</f>
        <v>OK</v>
      </c>
      <c r="G603" t="str">
        <f>IF(AND(Controls_Raw!L603&lt;DATE(2026,9,30),Controls_Raw!M603&lt;&gt;"Completed"),"Overdue","OK")</f>
        <v>OK</v>
      </c>
      <c r="H603" t="str">
        <f>IF(AND(Controls_Raw!Q603&lt;DATE(2026,9,30),Controls_Raw!R603&lt;&gt;"Completed",Controls_Raw!R603&lt;&gt;"Not Required"),"Overdue","OK")</f>
        <v>OK</v>
      </c>
      <c r="I603" t="str">
        <f t="shared" si="9"/>
        <v>Pass</v>
      </c>
    </row>
    <row r="604" spans="1:9" x14ac:dyDescent="0.2">
      <c r="A604" t="str">
        <f>Controls_Raw!A604</f>
        <v>CTRL-0600</v>
      </c>
      <c r="B604" t="str">
        <f>IF(COUNTIF(Controls_Raw!$A$5:$A$1504,A604)&gt;1,"Duplicate","OK")</f>
        <v>OK</v>
      </c>
      <c r="C604" t="str">
        <f>IF(LEN(TRIM(Controls_Raw!I604))=0,"Missing","OK")</f>
        <v>OK</v>
      </c>
      <c r="D604" t="str">
        <f>IF(LEN(TRIM(Controls_Raw!N604))=0,"Missing","OK")</f>
        <v>OK</v>
      </c>
      <c r="E604" t="str">
        <f>IF(OR(Controls_Raw!G604="USA",Controls_Raw!G604="UK"),"Standardize","OK")</f>
        <v>OK</v>
      </c>
      <c r="F604" t="str">
        <f>IF(Controls_Raw!E604&lt;&gt;TRIM(Controls_Raw!E604),"Trim","OK")</f>
        <v>OK</v>
      </c>
      <c r="G604" t="str">
        <f>IF(AND(Controls_Raw!L604&lt;DATE(2026,9,30),Controls_Raw!M604&lt;&gt;"Completed"),"Overdue","OK")</f>
        <v>Overdue</v>
      </c>
      <c r="H604" t="str">
        <f>IF(AND(Controls_Raw!Q604&lt;DATE(2026,9,30),Controls_Raw!R604&lt;&gt;"Completed",Controls_Raw!R604&lt;&gt;"Not Required"),"Overdue","OK")</f>
        <v>Overdue</v>
      </c>
      <c r="I604" t="str">
        <f t="shared" si="9"/>
        <v>Issue</v>
      </c>
    </row>
    <row r="605" spans="1:9" x14ac:dyDescent="0.2">
      <c r="A605" t="str">
        <f>Controls_Raw!A605</f>
        <v>CTRL-0601</v>
      </c>
      <c r="B605" t="str">
        <f>IF(COUNTIF(Controls_Raw!$A$5:$A$1504,A605)&gt;1,"Duplicate","OK")</f>
        <v>OK</v>
      </c>
      <c r="C605" t="str">
        <f>IF(LEN(TRIM(Controls_Raw!I605))=0,"Missing","OK")</f>
        <v>OK</v>
      </c>
      <c r="D605" t="str">
        <f>IF(LEN(TRIM(Controls_Raw!N605))=0,"Missing","OK")</f>
        <v>OK</v>
      </c>
      <c r="E605" t="str">
        <f>IF(OR(Controls_Raw!G605="USA",Controls_Raw!G605="UK"),"Standardize","OK")</f>
        <v>OK</v>
      </c>
      <c r="F605" t="str">
        <f>IF(Controls_Raw!E605&lt;&gt;TRIM(Controls_Raw!E605),"Trim","OK")</f>
        <v>OK</v>
      </c>
      <c r="G605" t="str">
        <f>IF(AND(Controls_Raw!L605&lt;DATE(2026,9,30),Controls_Raw!M605&lt;&gt;"Completed"),"Overdue","OK")</f>
        <v>OK</v>
      </c>
      <c r="H605" t="str">
        <f>IF(AND(Controls_Raw!Q605&lt;DATE(2026,9,30),Controls_Raw!R605&lt;&gt;"Completed",Controls_Raw!R605&lt;&gt;"Not Required"),"Overdue","OK")</f>
        <v>OK</v>
      </c>
      <c r="I605" t="str">
        <f t="shared" si="9"/>
        <v>Pass</v>
      </c>
    </row>
    <row r="606" spans="1:9" x14ac:dyDescent="0.2">
      <c r="A606" t="str">
        <f>Controls_Raw!A606</f>
        <v>CTRL-0602</v>
      </c>
      <c r="B606" t="str">
        <f>IF(COUNTIF(Controls_Raw!$A$5:$A$1504,A606)&gt;1,"Duplicate","OK")</f>
        <v>OK</v>
      </c>
      <c r="C606" t="str">
        <f>IF(LEN(TRIM(Controls_Raw!I606))=0,"Missing","OK")</f>
        <v>OK</v>
      </c>
      <c r="D606" t="str">
        <f>IF(LEN(TRIM(Controls_Raw!N606))=0,"Missing","OK")</f>
        <v>OK</v>
      </c>
      <c r="E606" t="str">
        <f>IF(OR(Controls_Raw!G606="USA",Controls_Raw!G606="UK"),"Standardize","OK")</f>
        <v>OK</v>
      </c>
      <c r="F606" t="str">
        <f>IF(Controls_Raw!E606&lt;&gt;TRIM(Controls_Raw!E606),"Trim","OK")</f>
        <v>OK</v>
      </c>
      <c r="G606" t="str">
        <f>IF(AND(Controls_Raw!L606&lt;DATE(2026,9,30),Controls_Raw!M606&lt;&gt;"Completed"),"Overdue","OK")</f>
        <v>OK</v>
      </c>
      <c r="H606" t="str">
        <f>IF(AND(Controls_Raw!Q606&lt;DATE(2026,9,30),Controls_Raw!R606&lt;&gt;"Completed",Controls_Raw!R606&lt;&gt;"Not Required"),"Overdue","OK")</f>
        <v>Overdue</v>
      </c>
      <c r="I606" t="str">
        <f t="shared" si="9"/>
        <v>Issue</v>
      </c>
    </row>
    <row r="607" spans="1:9" x14ac:dyDescent="0.2">
      <c r="A607" t="str">
        <f>Controls_Raw!A607</f>
        <v>CTRL-0603</v>
      </c>
      <c r="B607" t="str">
        <f>IF(COUNTIF(Controls_Raw!$A$5:$A$1504,A607)&gt;1,"Duplicate","OK")</f>
        <v>OK</v>
      </c>
      <c r="C607" t="str">
        <f>IF(LEN(TRIM(Controls_Raw!I607))=0,"Missing","OK")</f>
        <v>OK</v>
      </c>
      <c r="D607" t="str">
        <f>IF(LEN(TRIM(Controls_Raw!N607))=0,"Missing","OK")</f>
        <v>OK</v>
      </c>
      <c r="E607" t="str">
        <f>IF(OR(Controls_Raw!G607="USA",Controls_Raw!G607="UK"),"Standardize","OK")</f>
        <v>OK</v>
      </c>
      <c r="F607" t="str">
        <f>IF(Controls_Raw!E607&lt;&gt;TRIM(Controls_Raw!E607),"Trim","OK")</f>
        <v>OK</v>
      </c>
      <c r="G607" t="str">
        <f>IF(AND(Controls_Raw!L607&lt;DATE(2026,9,30),Controls_Raw!M607&lt;&gt;"Completed"),"Overdue","OK")</f>
        <v>OK</v>
      </c>
      <c r="H607" t="str">
        <f>IF(AND(Controls_Raw!Q607&lt;DATE(2026,9,30),Controls_Raw!R607&lt;&gt;"Completed",Controls_Raw!R607&lt;&gt;"Not Required"),"Overdue","OK")</f>
        <v>OK</v>
      </c>
      <c r="I607" t="str">
        <f t="shared" si="9"/>
        <v>Pass</v>
      </c>
    </row>
    <row r="608" spans="1:9" x14ac:dyDescent="0.2">
      <c r="A608" t="str">
        <f>Controls_Raw!A608</f>
        <v>CTRL-0604</v>
      </c>
      <c r="B608" t="str">
        <f>IF(COUNTIF(Controls_Raw!$A$5:$A$1504,A608)&gt;1,"Duplicate","OK")</f>
        <v>OK</v>
      </c>
      <c r="C608" t="str">
        <f>IF(LEN(TRIM(Controls_Raw!I608))=0,"Missing","OK")</f>
        <v>OK</v>
      </c>
      <c r="D608" t="str">
        <f>IF(LEN(TRIM(Controls_Raw!N608))=0,"Missing","OK")</f>
        <v>OK</v>
      </c>
      <c r="E608" t="str">
        <f>IF(OR(Controls_Raw!G608="USA",Controls_Raw!G608="UK"),"Standardize","OK")</f>
        <v>OK</v>
      </c>
      <c r="F608" t="str">
        <f>IF(Controls_Raw!E608&lt;&gt;TRIM(Controls_Raw!E608),"Trim","OK")</f>
        <v>OK</v>
      </c>
      <c r="G608" t="str">
        <f>IF(AND(Controls_Raw!L608&lt;DATE(2026,9,30),Controls_Raw!M608&lt;&gt;"Completed"),"Overdue","OK")</f>
        <v>Overdue</v>
      </c>
      <c r="H608" t="str">
        <f>IF(AND(Controls_Raw!Q608&lt;DATE(2026,9,30),Controls_Raw!R608&lt;&gt;"Completed",Controls_Raw!R608&lt;&gt;"Not Required"),"Overdue","OK")</f>
        <v>OK</v>
      </c>
      <c r="I608" t="str">
        <f t="shared" si="9"/>
        <v>Issue</v>
      </c>
    </row>
    <row r="609" spans="1:9" x14ac:dyDescent="0.2">
      <c r="A609" t="str">
        <f>Controls_Raw!A609</f>
        <v>CTRL-0605</v>
      </c>
      <c r="B609" t="str">
        <f>IF(COUNTIF(Controls_Raw!$A$5:$A$1504,A609)&gt;1,"Duplicate","OK")</f>
        <v>OK</v>
      </c>
      <c r="C609" t="str">
        <f>IF(LEN(TRIM(Controls_Raw!I609))=0,"Missing","OK")</f>
        <v>OK</v>
      </c>
      <c r="D609" t="str">
        <f>IF(LEN(TRIM(Controls_Raw!N609))=0,"Missing","OK")</f>
        <v>OK</v>
      </c>
      <c r="E609" t="str">
        <f>IF(OR(Controls_Raw!G609="USA",Controls_Raw!G609="UK"),"Standardize","OK")</f>
        <v>OK</v>
      </c>
      <c r="F609" t="str">
        <f>IF(Controls_Raw!E609&lt;&gt;TRIM(Controls_Raw!E609),"Trim","OK")</f>
        <v>OK</v>
      </c>
      <c r="G609" t="str">
        <f>IF(AND(Controls_Raw!L609&lt;DATE(2026,9,30),Controls_Raw!M609&lt;&gt;"Completed"),"Overdue","OK")</f>
        <v>Overdue</v>
      </c>
      <c r="H609" t="str">
        <f>IF(AND(Controls_Raw!Q609&lt;DATE(2026,9,30),Controls_Raw!R609&lt;&gt;"Completed",Controls_Raw!R609&lt;&gt;"Not Required"),"Overdue","OK")</f>
        <v>OK</v>
      </c>
      <c r="I609" t="str">
        <f t="shared" si="9"/>
        <v>Issue</v>
      </c>
    </row>
    <row r="610" spans="1:9" x14ac:dyDescent="0.2">
      <c r="A610" t="str">
        <f>Controls_Raw!A610</f>
        <v>CTRL-0606</v>
      </c>
      <c r="B610" t="str">
        <f>IF(COUNTIF(Controls_Raw!$A$5:$A$1504,A610)&gt;1,"Duplicate","OK")</f>
        <v>OK</v>
      </c>
      <c r="C610" t="str">
        <f>IF(LEN(TRIM(Controls_Raw!I610))=0,"Missing","OK")</f>
        <v>OK</v>
      </c>
      <c r="D610" t="str">
        <f>IF(LEN(TRIM(Controls_Raw!N610))=0,"Missing","OK")</f>
        <v>OK</v>
      </c>
      <c r="E610" t="str">
        <f>IF(OR(Controls_Raw!G610="USA",Controls_Raw!G610="UK"),"Standardize","OK")</f>
        <v>OK</v>
      </c>
      <c r="F610" t="str">
        <f>IF(Controls_Raw!E610&lt;&gt;TRIM(Controls_Raw!E610),"Trim","OK")</f>
        <v>OK</v>
      </c>
      <c r="G610" t="str">
        <f>IF(AND(Controls_Raw!L610&lt;DATE(2026,9,30),Controls_Raw!M610&lt;&gt;"Completed"),"Overdue","OK")</f>
        <v>OK</v>
      </c>
      <c r="H610" t="str">
        <f>IF(AND(Controls_Raw!Q610&lt;DATE(2026,9,30),Controls_Raw!R610&lt;&gt;"Completed",Controls_Raw!R610&lt;&gt;"Not Required"),"Overdue","OK")</f>
        <v>Overdue</v>
      </c>
      <c r="I610" t="str">
        <f t="shared" si="9"/>
        <v>Issue</v>
      </c>
    </row>
    <row r="611" spans="1:9" x14ac:dyDescent="0.2">
      <c r="A611" t="str">
        <f>Controls_Raw!A611</f>
        <v>CTRL-0607</v>
      </c>
      <c r="B611" t="str">
        <f>IF(COUNTIF(Controls_Raw!$A$5:$A$1504,A611)&gt;1,"Duplicate","OK")</f>
        <v>OK</v>
      </c>
      <c r="C611" t="str">
        <f>IF(LEN(TRIM(Controls_Raw!I611))=0,"Missing","OK")</f>
        <v>OK</v>
      </c>
      <c r="D611" t="str">
        <f>IF(LEN(TRIM(Controls_Raw!N611))=0,"Missing","OK")</f>
        <v>OK</v>
      </c>
      <c r="E611" t="str">
        <f>IF(OR(Controls_Raw!G611="USA",Controls_Raw!G611="UK"),"Standardize","OK")</f>
        <v>OK</v>
      </c>
      <c r="F611" t="str">
        <f>IF(Controls_Raw!E611&lt;&gt;TRIM(Controls_Raw!E611),"Trim","OK")</f>
        <v>OK</v>
      </c>
      <c r="G611" t="str">
        <f>IF(AND(Controls_Raw!L611&lt;DATE(2026,9,30),Controls_Raw!M611&lt;&gt;"Completed"),"Overdue","OK")</f>
        <v>Overdue</v>
      </c>
      <c r="H611" t="str">
        <f>IF(AND(Controls_Raw!Q611&lt;DATE(2026,9,30),Controls_Raw!R611&lt;&gt;"Completed",Controls_Raw!R611&lt;&gt;"Not Required"),"Overdue","OK")</f>
        <v>Overdue</v>
      </c>
      <c r="I611" t="str">
        <f t="shared" si="9"/>
        <v>Issue</v>
      </c>
    </row>
    <row r="612" spans="1:9" x14ac:dyDescent="0.2">
      <c r="A612" t="str">
        <f>Controls_Raw!A612</f>
        <v>CTRL-0608</v>
      </c>
      <c r="B612" t="str">
        <f>IF(COUNTIF(Controls_Raw!$A$5:$A$1504,A612)&gt;1,"Duplicate","OK")</f>
        <v>OK</v>
      </c>
      <c r="C612" t="str">
        <f>IF(LEN(TRIM(Controls_Raw!I612))=0,"Missing","OK")</f>
        <v>OK</v>
      </c>
      <c r="D612" t="str">
        <f>IF(LEN(TRIM(Controls_Raw!N612))=0,"Missing","OK")</f>
        <v>OK</v>
      </c>
      <c r="E612" t="str">
        <f>IF(OR(Controls_Raw!G612="USA",Controls_Raw!G612="UK"),"Standardize","OK")</f>
        <v>OK</v>
      </c>
      <c r="F612" t="str">
        <f>IF(Controls_Raw!E612&lt;&gt;TRIM(Controls_Raw!E612),"Trim","OK")</f>
        <v>OK</v>
      </c>
      <c r="G612" t="str">
        <f>IF(AND(Controls_Raw!L612&lt;DATE(2026,9,30),Controls_Raw!M612&lt;&gt;"Completed"),"Overdue","OK")</f>
        <v>OK</v>
      </c>
      <c r="H612" t="str">
        <f>IF(AND(Controls_Raw!Q612&lt;DATE(2026,9,30),Controls_Raw!R612&lt;&gt;"Completed",Controls_Raw!R612&lt;&gt;"Not Required"),"Overdue","OK")</f>
        <v>OK</v>
      </c>
      <c r="I612" t="str">
        <f t="shared" si="9"/>
        <v>Pass</v>
      </c>
    </row>
    <row r="613" spans="1:9" x14ac:dyDescent="0.2">
      <c r="A613" t="str">
        <f>Controls_Raw!A613</f>
        <v>CTRL-0609</v>
      </c>
      <c r="B613" t="str">
        <f>IF(COUNTIF(Controls_Raw!$A$5:$A$1504,A613)&gt;1,"Duplicate","OK")</f>
        <v>OK</v>
      </c>
      <c r="C613" t="str">
        <f>IF(LEN(TRIM(Controls_Raw!I613))=0,"Missing","OK")</f>
        <v>OK</v>
      </c>
      <c r="D613" t="str">
        <f>IF(LEN(TRIM(Controls_Raw!N613))=0,"Missing","OK")</f>
        <v>OK</v>
      </c>
      <c r="E613" t="str">
        <f>IF(OR(Controls_Raw!G613="USA",Controls_Raw!G613="UK"),"Standardize","OK")</f>
        <v>OK</v>
      </c>
      <c r="F613" t="str">
        <f>IF(Controls_Raw!E613&lt;&gt;TRIM(Controls_Raw!E613),"Trim","OK")</f>
        <v>OK</v>
      </c>
      <c r="G613" t="str">
        <f>IF(AND(Controls_Raw!L613&lt;DATE(2026,9,30),Controls_Raw!M613&lt;&gt;"Completed"),"Overdue","OK")</f>
        <v>Overdue</v>
      </c>
      <c r="H613" t="str">
        <f>IF(AND(Controls_Raw!Q613&lt;DATE(2026,9,30),Controls_Raw!R613&lt;&gt;"Completed",Controls_Raw!R613&lt;&gt;"Not Required"),"Overdue","OK")</f>
        <v>OK</v>
      </c>
      <c r="I613" t="str">
        <f t="shared" si="9"/>
        <v>Issue</v>
      </c>
    </row>
    <row r="614" spans="1:9" x14ac:dyDescent="0.2">
      <c r="A614" t="str">
        <f>Controls_Raw!A614</f>
        <v>CTRL-0610</v>
      </c>
      <c r="B614" t="str">
        <f>IF(COUNTIF(Controls_Raw!$A$5:$A$1504,A614)&gt;1,"Duplicate","OK")</f>
        <v>OK</v>
      </c>
      <c r="C614" t="str">
        <f>IF(LEN(TRIM(Controls_Raw!I614))=0,"Missing","OK")</f>
        <v>OK</v>
      </c>
      <c r="D614" t="str">
        <f>IF(LEN(TRIM(Controls_Raw!N614))=0,"Missing","OK")</f>
        <v>OK</v>
      </c>
      <c r="E614" t="str">
        <f>IF(OR(Controls_Raw!G614="USA",Controls_Raw!G614="UK"),"Standardize","OK")</f>
        <v>OK</v>
      </c>
      <c r="F614" t="str">
        <f>IF(Controls_Raw!E614&lt;&gt;TRIM(Controls_Raw!E614),"Trim","OK")</f>
        <v>OK</v>
      </c>
      <c r="G614" t="str">
        <f>IF(AND(Controls_Raw!L614&lt;DATE(2026,9,30),Controls_Raw!M614&lt;&gt;"Completed"),"Overdue","OK")</f>
        <v>OK</v>
      </c>
      <c r="H614" t="str">
        <f>IF(AND(Controls_Raw!Q614&lt;DATE(2026,9,30),Controls_Raw!R614&lt;&gt;"Completed",Controls_Raw!R614&lt;&gt;"Not Required"),"Overdue","OK")</f>
        <v>OK</v>
      </c>
      <c r="I614" t="str">
        <f t="shared" si="9"/>
        <v>Pass</v>
      </c>
    </row>
    <row r="615" spans="1:9" x14ac:dyDescent="0.2">
      <c r="A615" t="str">
        <f>Controls_Raw!A615</f>
        <v>CTRL-0611</v>
      </c>
      <c r="B615" t="str">
        <f>IF(COUNTIF(Controls_Raw!$A$5:$A$1504,A615)&gt;1,"Duplicate","OK")</f>
        <v>OK</v>
      </c>
      <c r="C615" t="str">
        <f>IF(LEN(TRIM(Controls_Raw!I615))=0,"Missing","OK")</f>
        <v>OK</v>
      </c>
      <c r="D615" t="str">
        <f>IF(LEN(TRIM(Controls_Raw!N615))=0,"Missing","OK")</f>
        <v>OK</v>
      </c>
      <c r="E615" t="str">
        <f>IF(OR(Controls_Raw!G615="USA",Controls_Raw!G615="UK"),"Standardize","OK")</f>
        <v>OK</v>
      </c>
      <c r="F615" t="str">
        <f>IF(Controls_Raw!E615&lt;&gt;TRIM(Controls_Raw!E615),"Trim","OK")</f>
        <v>OK</v>
      </c>
      <c r="G615" t="str">
        <f>IF(AND(Controls_Raw!L615&lt;DATE(2026,9,30),Controls_Raw!M615&lt;&gt;"Completed"),"Overdue","OK")</f>
        <v>OK</v>
      </c>
      <c r="H615" t="str">
        <f>IF(AND(Controls_Raw!Q615&lt;DATE(2026,9,30),Controls_Raw!R615&lt;&gt;"Completed",Controls_Raw!R615&lt;&gt;"Not Required"),"Overdue","OK")</f>
        <v>OK</v>
      </c>
      <c r="I615" t="str">
        <f t="shared" si="9"/>
        <v>Pass</v>
      </c>
    </row>
    <row r="616" spans="1:9" x14ac:dyDescent="0.2">
      <c r="A616" t="str">
        <f>Controls_Raw!A616</f>
        <v>CTRL-0612</v>
      </c>
      <c r="B616" t="str">
        <f>IF(COUNTIF(Controls_Raw!$A$5:$A$1504,A616)&gt;1,"Duplicate","OK")</f>
        <v>OK</v>
      </c>
      <c r="C616" t="str">
        <f>IF(LEN(TRIM(Controls_Raw!I616))=0,"Missing","OK")</f>
        <v>Missing</v>
      </c>
      <c r="D616" t="str">
        <f>IF(LEN(TRIM(Controls_Raw!N616))=0,"Missing","OK")</f>
        <v>OK</v>
      </c>
      <c r="E616" t="str">
        <f>IF(OR(Controls_Raw!G616="USA",Controls_Raw!G616="UK"),"Standardize","OK")</f>
        <v>OK</v>
      </c>
      <c r="F616" t="str">
        <f>IF(Controls_Raw!E616&lt;&gt;TRIM(Controls_Raw!E616),"Trim","OK")</f>
        <v>OK</v>
      </c>
      <c r="G616" t="str">
        <f>IF(AND(Controls_Raw!L616&lt;DATE(2026,9,30),Controls_Raw!M616&lt;&gt;"Completed"),"Overdue","OK")</f>
        <v>Overdue</v>
      </c>
      <c r="H616" t="str">
        <f>IF(AND(Controls_Raw!Q616&lt;DATE(2026,9,30),Controls_Raw!R616&lt;&gt;"Completed",Controls_Raw!R616&lt;&gt;"Not Required"),"Overdue","OK")</f>
        <v>Overdue</v>
      </c>
      <c r="I616" t="str">
        <f t="shared" si="9"/>
        <v>Issue</v>
      </c>
    </row>
    <row r="617" spans="1:9" x14ac:dyDescent="0.2">
      <c r="A617" t="str">
        <f>Controls_Raw!A617</f>
        <v>CTRL-0613</v>
      </c>
      <c r="B617" t="str">
        <f>IF(COUNTIF(Controls_Raw!$A$5:$A$1504,A617)&gt;1,"Duplicate","OK")</f>
        <v>OK</v>
      </c>
      <c r="C617" t="str">
        <f>IF(LEN(TRIM(Controls_Raw!I617))=0,"Missing","OK")</f>
        <v>OK</v>
      </c>
      <c r="D617" t="str">
        <f>IF(LEN(TRIM(Controls_Raw!N617))=0,"Missing","OK")</f>
        <v>OK</v>
      </c>
      <c r="E617" t="str">
        <f>IF(OR(Controls_Raw!G617="USA",Controls_Raw!G617="UK"),"Standardize","OK")</f>
        <v>OK</v>
      </c>
      <c r="F617" t="str">
        <f>IF(Controls_Raw!E617&lt;&gt;TRIM(Controls_Raw!E617),"Trim","OK")</f>
        <v>OK</v>
      </c>
      <c r="G617" t="str">
        <f>IF(AND(Controls_Raw!L617&lt;DATE(2026,9,30),Controls_Raw!M617&lt;&gt;"Completed"),"Overdue","OK")</f>
        <v>OK</v>
      </c>
      <c r="H617" t="str">
        <f>IF(AND(Controls_Raw!Q617&lt;DATE(2026,9,30),Controls_Raw!R617&lt;&gt;"Completed",Controls_Raw!R617&lt;&gt;"Not Required"),"Overdue","OK")</f>
        <v>OK</v>
      </c>
      <c r="I617" t="str">
        <f t="shared" si="9"/>
        <v>Pass</v>
      </c>
    </row>
    <row r="618" spans="1:9" x14ac:dyDescent="0.2">
      <c r="A618" t="str">
        <f>Controls_Raw!A618</f>
        <v>CTRL-0614</v>
      </c>
      <c r="B618" t="str">
        <f>IF(COUNTIF(Controls_Raw!$A$5:$A$1504,A618)&gt;1,"Duplicate","OK")</f>
        <v>OK</v>
      </c>
      <c r="C618" t="str">
        <f>IF(LEN(TRIM(Controls_Raw!I618))=0,"Missing","OK")</f>
        <v>OK</v>
      </c>
      <c r="D618" t="str">
        <f>IF(LEN(TRIM(Controls_Raw!N618))=0,"Missing","OK")</f>
        <v>OK</v>
      </c>
      <c r="E618" t="str">
        <f>IF(OR(Controls_Raw!G618="USA",Controls_Raw!G618="UK"),"Standardize","OK")</f>
        <v>OK</v>
      </c>
      <c r="F618" t="str">
        <f>IF(Controls_Raw!E618&lt;&gt;TRIM(Controls_Raw!E618),"Trim","OK")</f>
        <v>OK</v>
      </c>
      <c r="G618" t="str">
        <f>IF(AND(Controls_Raw!L618&lt;DATE(2026,9,30),Controls_Raw!M618&lt;&gt;"Completed"),"Overdue","OK")</f>
        <v>Overdue</v>
      </c>
      <c r="H618" t="str">
        <f>IF(AND(Controls_Raw!Q618&lt;DATE(2026,9,30),Controls_Raw!R618&lt;&gt;"Completed",Controls_Raw!R618&lt;&gt;"Not Required"),"Overdue","OK")</f>
        <v>Overdue</v>
      </c>
      <c r="I618" t="str">
        <f t="shared" si="9"/>
        <v>Issue</v>
      </c>
    </row>
    <row r="619" spans="1:9" x14ac:dyDescent="0.2">
      <c r="A619" t="str">
        <f>Controls_Raw!A619</f>
        <v>CTRL-0615</v>
      </c>
      <c r="B619" t="str">
        <f>IF(COUNTIF(Controls_Raw!$A$5:$A$1504,A619)&gt;1,"Duplicate","OK")</f>
        <v>OK</v>
      </c>
      <c r="C619" t="str">
        <f>IF(LEN(TRIM(Controls_Raw!I619))=0,"Missing","OK")</f>
        <v>OK</v>
      </c>
      <c r="D619" t="str">
        <f>IF(LEN(TRIM(Controls_Raw!N619))=0,"Missing","OK")</f>
        <v>OK</v>
      </c>
      <c r="E619" t="str">
        <f>IF(OR(Controls_Raw!G619="USA",Controls_Raw!G619="UK"),"Standardize","OK")</f>
        <v>OK</v>
      </c>
      <c r="F619" t="str">
        <f>IF(Controls_Raw!E619&lt;&gt;TRIM(Controls_Raw!E619),"Trim","OK")</f>
        <v>OK</v>
      </c>
      <c r="G619" t="str">
        <f>IF(AND(Controls_Raw!L619&lt;DATE(2026,9,30),Controls_Raw!M619&lt;&gt;"Completed"),"Overdue","OK")</f>
        <v>Overdue</v>
      </c>
      <c r="H619" t="str">
        <f>IF(AND(Controls_Raw!Q619&lt;DATE(2026,9,30),Controls_Raw!R619&lt;&gt;"Completed",Controls_Raw!R619&lt;&gt;"Not Required"),"Overdue","OK")</f>
        <v>Overdue</v>
      </c>
      <c r="I619" t="str">
        <f t="shared" si="9"/>
        <v>Issue</v>
      </c>
    </row>
    <row r="620" spans="1:9" x14ac:dyDescent="0.2">
      <c r="A620" t="str">
        <f>Controls_Raw!A620</f>
        <v>CTRL-0616</v>
      </c>
      <c r="B620" t="str">
        <f>IF(COUNTIF(Controls_Raw!$A$5:$A$1504,A620)&gt;1,"Duplicate","OK")</f>
        <v>OK</v>
      </c>
      <c r="C620" t="str">
        <f>IF(LEN(TRIM(Controls_Raw!I620))=0,"Missing","OK")</f>
        <v>OK</v>
      </c>
      <c r="D620" t="str">
        <f>IF(LEN(TRIM(Controls_Raw!N620))=0,"Missing","OK")</f>
        <v>OK</v>
      </c>
      <c r="E620" t="str">
        <f>IF(OR(Controls_Raw!G620="USA",Controls_Raw!G620="UK"),"Standardize","OK")</f>
        <v>OK</v>
      </c>
      <c r="F620" t="str">
        <f>IF(Controls_Raw!E620&lt;&gt;TRIM(Controls_Raw!E620),"Trim","OK")</f>
        <v>OK</v>
      </c>
      <c r="G620" t="str">
        <f>IF(AND(Controls_Raw!L620&lt;DATE(2026,9,30),Controls_Raw!M620&lt;&gt;"Completed"),"Overdue","OK")</f>
        <v>Overdue</v>
      </c>
      <c r="H620" t="str">
        <f>IF(AND(Controls_Raw!Q620&lt;DATE(2026,9,30),Controls_Raw!R620&lt;&gt;"Completed",Controls_Raw!R620&lt;&gt;"Not Required"),"Overdue","OK")</f>
        <v>Overdue</v>
      </c>
      <c r="I620" t="str">
        <f t="shared" si="9"/>
        <v>Issue</v>
      </c>
    </row>
    <row r="621" spans="1:9" x14ac:dyDescent="0.2">
      <c r="A621" t="str">
        <f>Controls_Raw!A621</f>
        <v>CTRL-0617</v>
      </c>
      <c r="B621" t="str">
        <f>IF(COUNTIF(Controls_Raw!$A$5:$A$1504,A621)&gt;1,"Duplicate","OK")</f>
        <v>OK</v>
      </c>
      <c r="C621" t="str">
        <f>IF(LEN(TRIM(Controls_Raw!I621))=0,"Missing","OK")</f>
        <v>OK</v>
      </c>
      <c r="D621" t="str">
        <f>IF(LEN(TRIM(Controls_Raw!N621))=0,"Missing","OK")</f>
        <v>OK</v>
      </c>
      <c r="E621" t="str">
        <f>IF(OR(Controls_Raw!G621="USA",Controls_Raw!G621="UK"),"Standardize","OK")</f>
        <v>OK</v>
      </c>
      <c r="F621" t="str">
        <f>IF(Controls_Raw!E621&lt;&gt;TRIM(Controls_Raw!E621),"Trim","OK")</f>
        <v>OK</v>
      </c>
      <c r="G621" t="str">
        <f>IF(AND(Controls_Raw!L621&lt;DATE(2026,9,30),Controls_Raw!M621&lt;&gt;"Completed"),"Overdue","OK")</f>
        <v>Overdue</v>
      </c>
      <c r="H621" t="str">
        <f>IF(AND(Controls_Raw!Q621&lt;DATE(2026,9,30),Controls_Raw!R621&lt;&gt;"Completed",Controls_Raw!R621&lt;&gt;"Not Required"),"Overdue","OK")</f>
        <v>Overdue</v>
      </c>
      <c r="I621" t="str">
        <f t="shared" si="9"/>
        <v>Issue</v>
      </c>
    </row>
    <row r="622" spans="1:9" x14ac:dyDescent="0.2">
      <c r="A622" t="str">
        <f>Controls_Raw!A622</f>
        <v>CTRL-0618</v>
      </c>
      <c r="B622" t="str">
        <f>IF(COUNTIF(Controls_Raw!$A$5:$A$1504,A622)&gt;1,"Duplicate","OK")</f>
        <v>OK</v>
      </c>
      <c r="C622" t="str">
        <f>IF(LEN(TRIM(Controls_Raw!I622))=0,"Missing","OK")</f>
        <v>OK</v>
      </c>
      <c r="D622" t="str">
        <f>IF(LEN(TRIM(Controls_Raw!N622))=0,"Missing","OK")</f>
        <v>OK</v>
      </c>
      <c r="E622" t="str">
        <f>IF(OR(Controls_Raw!G622="USA",Controls_Raw!G622="UK"),"Standardize","OK")</f>
        <v>OK</v>
      </c>
      <c r="F622" t="str">
        <f>IF(Controls_Raw!E622&lt;&gt;TRIM(Controls_Raw!E622),"Trim","OK")</f>
        <v>OK</v>
      </c>
      <c r="G622" t="str">
        <f>IF(AND(Controls_Raw!L622&lt;DATE(2026,9,30),Controls_Raw!M622&lt;&gt;"Completed"),"Overdue","OK")</f>
        <v>Overdue</v>
      </c>
      <c r="H622" t="str">
        <f>IF(AND(Controls_Raw!Q622&lt;DATE(2026,9,30),Controls_Raw!R622&lt;&gt;"Completed",Controls_Raw!R622&lt;&gt;"Not Required"),"Overdue","OK")</f>
        <v>OK</v>
      </c>
      <c r="I622" t="str">
        <f t="shared" si="9"/>
        <v>Issue</v>
      </c>
    </row>
    <row r="623" spans="1:9" x14ac:dyDescent="0.2">
      <c r="A623" t="str">
        <f>Controls_Raw!A623</f>
        <v>CTRL-0619</v>
      </c>
      <c r="B623" t="str">
        <f>IF(COUNTIF(Controls_Raw!$A$5:$A$1504,A623)&gt;1,"Duplicate","OK")</f>
        <v>OK</v>
      </c>
      <c r="C623" t="str">
        <f>IF(LEN(TRIM(Controls_Raw!I623))=0,"Missing","OK")</f>
        <v>OK</v>
      </c>
      <c r="D623" t="str">
        <f>IF(LEN(TRIM(Controls_Raw!N623))=0,"Missing","OK")</f>
        <v>OK</v>
      </c>
      <c r="E623" t="str">
        <f>IF(OR(Controls_Raw!G623="USA",Controls_Raw!G623="UK"),"Standardize","OK")</f>
        <v>OK</v>
      </c>
      <c r="F623" t="str">
        <f>IF(Controls_Raw!E623&lt;&gt;TRIM(Controls_Raw!E623),"Trim","OK")</f>
        <v>OK</v>
      </c>
      <c r="G623" t="str">
        <f>IF(AND(Controls_Raw!L623&lt;DATE(2026,9,30),Controls_Raw!M623&lt;&gt;"Completed"),"Overdue","OK")</f>
        <v>Overdue</v>
      </c>
      <c r="H623" t="str">
        <f>IF(AND(Controls_Raw!Q623&lt;DATE(2026,9,30),Controls_Raw!R623&lt;&gt;"Completed",Controls_Raw!R623&lt;&gt;"Not Required"),"Overdue","OK")</f>
        <v>OK</v>
      </c>
      <c r="I623" t="str">
        <f t="shared" si="9"/>
        <v>Issue</v>
      </c>
    </row>
    <row r="624" spans="1:9" x14ac:dyDescent="0.2">
      <c r="A624" t="str">
        <f>Controls_Raw!A624</f>
        <v>CTRL-0620</v>
      </c>
      <c r="B624" t="str">
        <f>IF(COUNTIF(Controls_Raw!$A$5:$A$1504,A624)&gt;1,"Duplicate","OK")</f>
        <v>OK</v>
      </c>
      <c r="C624" t="str">
        <f>IF(LEN(TRIM(Controls_Raw!I624))=0,"Missing","OK")</f>
        <v>OK</v>
      </c>
      <c r="D624" t="str">
        <f>IF(LEN(TRIM(Controls_Raw!N624))=0,"Missing","OK")</f>
        <v>OK</v>
      </c>
      <c r="E624" t="str">
        <f>IF(OR(Controls_Raw!G624="USA",Controls_Raw!G624="UK"),"Standardize","OK")</f>
        <v>OK</v>
      </c>
      <c r="F624" t="str">
        <f>IF(Controls_Raw!E624&lt;&gt;TRIM(Controls_Raw!E624),"Trim","OK")</f>
        <v>OK</v>
      </c>
      <c r="G624" t="str">
        <f>IF(AND(Controls_Raw!L624&lt;DATE(2026,9,30),Controls_Raw!M624&lt;&gt;"Completed"),"Overdue","OK")</f>
        <v>Overdue</v>
      </c>
      <c r="H624" t="str">
        <f>IF(AND(Controls_Raw!Q624&lt;DATE(2026,9,30),Controls_Raw!R624&lt;&gt;"Completed",Controls_Raw!R624&lt;&gt;"Not Required"),"Overdue","OK")</f>
        <v>OK</v>
      </c>
      <c r="I624" t="str">
        <f t="shared" si="9"/>
        <v>Issue</v>
      </c>
    </row>
    <row r="625" spans="1:9" x14ac:dyDescent="0.2">
      <c r="A625" t="str">
        <f>Controls_Raw!A625</f>
        <v>CTRL-0621</v>
      </c>
      <c r="B625" t="str">
        <f>IF(COUNTIF(Controls_Raw!$A$5:$A$1504,A625)&gt;1,"Duplicate","OK")</f>
        <v>OK</v>
      </c>
      <c r="C625" t="str">
        <f>IF(LEN(TRIM(Controls_Raw!I625))=0,"Missing","OK")</f>
        <v>OK</v>
      </c>
      <c r="D625" t="str">
        <f>IF(LEN(TRIM(Controls_Raw!N625))=0,"Missing","OK")</f>
        <v>OK</v>
      </c>
      <c r="E625" t="str">
        <f>IF(OR(Controls_Raw!G625="USA",Controls_Raw!G625="UK"),"Standardize","OK")</f>
        <v>OK</v>
      </c>
      <c r="F625" t="str">
        <f>IF(Controls_Raw!E625&lt;&gt;TRIM(Controls_Raw!E625),"Trim","OK")</f>
        <v>OK</v>
      </c>
      <c r="G625" t="str">
        <f>IF(AND(Controls_Raw!L625&lt;DATE(2026,9,30),Controls_Raw!M625&lt;&gt;"Completed"),"Overdue","OK")</f>
        <v>Overdue</v>
      </c>
      <c r="H625" t="str">
        <f>IF(AND(Controls_Raw!Q625&lt;DATE(2026,9,30),Controls_Raw!R625&lt;&gt;"Completed",Controls_Raw!R625&lt;&gt;"Not Required"),"Overdue","OK")</f>
        <v>OK</v>
      </c>
      <c r="I625" t="str">
        <f t="shared" si="9"/>
        <v>Issue</v>
      </c>
    </row>
    <row r="626" spans="1:9" x14ac:dyDescent="0.2">
      <c r="A626" t="str">
        <f>Controls_Raw!A626</f>
        <v>CTRL-0622</v>
      </c>
      <c r="B626" t="str">
        <f>IF(COUNTIF(Controls_Raw!$A$5:$A$1504,A626)&gt;1,"Duplicate","OK")</f>
        <v>OK</v>
      </c>
      <c r="C626" t="str">
        <f>IF(LEN(TRIM(Controls_Raw!I626))=0,"Missing","OK")</f>
        <v>OK</v>
      </c>
      <c r="D626" t="str">
        <f>IF(LEN(TRIM(Controls_Raw!N626))=0,"Missing","OK")</f>
        <v>OK</v>
      </c>
      <c r="E626" t="str">
        <f>IF(OR(Controls_Raw!G626="USA",Controls_Raw!G626="UK"),"Standardize","OK")</f>
        <v>OK</v>
      </c>
      <c r="F626" t="str">
        <f>IF(Controls_Raw!E626&lt;&gt;TRIM(Controls_Raw!E626),"Trim","OK")</f>
        <v>OK</v>
      </c>
      <c r="G626" t="str">
        <f>IF(AND(Controls_Raw!L626&lt;DATE(2026,9,30),Controls_Raw!M626&lt;&gt;"Completed"),"Overdue","OK")</f>
        <v>Overdue</v>
      </c>
      <c r="H626" t="str">
        <f>IF(AND(Controls_Raw!Q626&lt;DATE(2026,9,30),Controls_Raw!R626&lt;&gt;"Completed",Controls_Raw!R626&lt;&gt;"Not Required"),"Overdue","OK")</f>
        <v>OK</v>
      </c>
      <c r="I626" t="str">
        <f t="shared" si="9"/>
        <v>Issue</v>
      </c>
    </row>
    <row r="627" spans="1:9" x14ac:dyDescent="0.2">
      <c r="A627" t="str">
        <f>Controls_Raw!A627</f>
        <v>CTRL-0623</v>
      </c>
      <c r="B627" t="str">
        <f>IF(COUNTIF(Controls_Raw!$A$5:$A$1504,A627)&gt;1,"Duplicate","OK")</f>
        <v>OK</v>
      </c>
      <c r="C627" t="str">
        <f>IF(LEN(TRIM(Controls_Raw!I627))=0,"Missing","OK")</f>
        <v>OK</v>
      </c>
      <c r="D627" t="str">
        <f>IF(LEN(TRIM(Controls_Raw!N627))=0,"Missing","OK")</f>
        <v>OK</v>
      </c>
      <c r="E627" t="str">
        <f>IF(OR(Controls_Raw!G627="USA",Controls_Raw!G627="UK"),"Standardize","OK")</f>
        <v>OK</v>
      </c>
      <c r="F627" t="str">
        <f>IF(Controls_Raw!E627&lt;&gt;TRIM(Controls_Raw!E627),"Trim","OK")</f>
        <v>OK</v>
      </c>
      <c r="G627" t="str">
        <f>IF(AND(Controls_Raw!L627&lt;DATE(2026,9,30),Controls_Raw!M627&lt;&gt;"Completed"),"Overdue","OK")</f>
        <v>Overdue</v>
      </c>
      <c r="H627" t="str">
        <f>IF(AND(Controls_Raw!Q627&lt;DATE(2026,9,30),Controls_Raw!R627&lt;&gt;"Completed",Controls_Raw!R627&lt;&gt;"Not Required"),"Overdue","OK")</f>
        <v>OK</v>
      </c>
      <c r="I627" t="str">
        <f t="shared" si="9"/>
        <v>Issue</v>
      </c>
    </row>
    <row r="628" spans="1:9" x14ac:dyDescent="0.2">
      <c r="A628" t="str">
        <f>Controls_Raw!A628</f>
        <v>CTRL-0624</v>
      </c>
      <c r="B628" t="str">
        <f>IF(COUNTIF(Controls_Raw!$A$5:$A$1504,A628)&gt;1,"Duplicate","OK")</f>
        <v>OK</v>
      </c>
      <c r="C628" t="str">
        <f>IF(LEN(TRIM(Controls_Raw!I628))=0,"Missing","OK")</f>
        <v>OK</v>
      </c>
      <c r="D628" t="str">
        <f>IF(LEN(TRIM(Controls_Raw!N628))=0,"Missing","OK")</f>
        <v>OK</v>
      </c>
      <c r="E628" t="str">
        <f>IF(OR(Controls_Raw!G628="USA",Controls_Raw!G628="UK"),"Standardize","OK")</f>
        <v>OK</v>
      </c>
      <c r="F628" t="str">
        <f>IF(Controls_Raw!E628&lt;&gt;TRIM(Controls_Raw!E628),"Trim","OK")</f>
        <v>OK</v>
      </c>
      <c r="G628" t="str">
        <f>IF(AND(Controls_Raw!L628&lt;DATE(2026,9,30),Controls_Raw!M628&lt;&gt;"Completed"),"Overdue","OK")</f>
        <v>OK</v>
      </c>
      <c r="H628" t="str">
        <f>IF(AND(Controls_Raw!Q628&lt;DATE(2026,9,30),Controls_Raw!R628&lt;&gt;"Completed",Controls_Raw!R628&lt;&gt;"Not Required"),"Overdue","OK")</f>
        <v>OK</v>
      </c>
      <c r="I628" t="str">
        <f t="shared" si="9"/>
        <v>Pass</v>
      </c>
    </row>
    <row r="629" spans="1:9" x14ac:dyDescent="0.2">
      <c r="A629" t="str">
        <f>Controls_Raw!A629</f>
        <v>CTRL-0625</v>
      </c>
      <c r="B629" t="str">
        <f>IF(COUNTIF(Controls_Raw!$A$5:$A$1504,A629)&gt;1,"Duplicate","OK")</f>
        <v>OK</v>
      </c>
      <c r="C629" t="str">
        <f>IF(LEN(TRIM(Controls_Raw!I629))=0,"Missing","OK")</f>
        <v>OK</v>
      </c>
      <c r="D629" t="str">
        <f>IF(LEN(TRIM(Controls_Raw!N629))=0,"Missing","OK")</f>
        <v>OK</v>
      </c>
      <c r="E629" t="str">
        <f>IF(OR(Controls_Raw!G629="USA",Controls_Raw!G629="UK"),"Standardize","OK")</f>
        <v>OK</v>
      </c>
      <c r="F629" t="str">
        <f>IF(Controls_Raw!E629&lt;&gt;TRIM(Controls_Raw!E629),"Trim","OK")</f>
        <v>OK</v>
      </c>
      <c r="G629" t="str">
        <f>IF(AND(Controls_Raw!L629&lt;DATE(2026,9,30),Controls_Raw!M629&lt;&gt;"Completed"),"Overdue","OK")</f>
        <v>OK</v>
      </c>
      <c r="H629" t="str">
        <f>IF(AND(Controls_Raw!Q629&lt;DATE(2026,9,30),Controls_Raw!R629&lt;&gt;"Completed",Controls_Raw!R629&lt;&gt;"Not Required"),"Overdue","OK")</f>
        <v>OK</v>
      </c>
      <c r="I629" t="str">
        <f t="shared" si="9"/>
        <v>Pass</v>
      </c>
    </row>
    <row r="630" spans="1:9" x14ac:dyDescent="0.2">
      <c r="A630" t="str">
        <f>Controls_Raw!A630</f>
        <v>CTRL-0626</v>
      </c>
      <c r="B630" t="str">
        <f>IF(COUNTIF(Controls_Raw!$A$5:$A$1504,A630)&gt;1,"Duplicate","OK")</f>
        <v>OK</v>
      </c>
      <c r="C630" t="str">
        <f>IF(LEN(TRIM(Controls_Raw!I630))=0,"Missing","OK")</f>
        <v>OK</v>
      </c>
      <c r="D630" t="str">
        <f>IF(LEN(TRIM(Controls_Raw!N630))=0,"Missing","OK")</f>
        <v>OK</v>
      </c>
      <c r="E630" t="str">
        <f>IF(OR(Controls_Raw!G630="USA",Controls_Raw!G630="UK"),"Standardize","OK")</f>
        <v>OK</v>
      </c>
      <c r="F630" t="str">
        <f>IF(Controls_Raw!E630&lt;&gt;TRIM(Controls_Raw!E630),"Trim","OK")</f>
        <v>OK</v>
      </c>
      <c r="G630" t="str">
        <f>IF(AND(Controls_Raw!L630&lt;DATE(2026,9,30),Controls_Raw!M630&lt;&gt;"Completed"),"Overdue","OK")</f>
        <v>OK</v>
      </c>
      <c r="H630" t="str">
        <f>IF(AND(Controls_Raw!Q630&lt;DATE(2026,9,30),Controls_Raw!R630&lt;&gt;"Completed",Controls_Raw!R630&lt;&gt;"Not Required"),"Overdue","OK")</f>
        <v>OK</v>
      </c>
      <c r="I630" t="str">
        <f t="shared" si="9"/>
        <v>Pass</v>
      </c>
    </row>
    <row r="631" spans="1:9" x14ac:dyDescent="0.2">
      <c r="A631" t="str">
        <f>Controls_Raw!A631</f>
        <v>CTRL-0627</v>
      </c>
      <c r="B631" t="str">
        <f>IF(COUNTIF(Controls_Raw!$A$5:$A$1504,A631)&gt;1,"Duplicate","OK")</f>
        <v>OK</v>
      </c>
      <c r="C631" t="str">
        <f>IF(LEN(TRIM(Controls_Raw!I631))=0,"Missing","OK")</f>
        <v>OK</v>
      </c>
      <c r="D631" t="str">
        <f>IF(LEN(TRIM(Controls_Raw!N631))=0,"Missing","OK")</f>
        <v>OK</v>
      </c>
      <c r="E631" t="str">
        <f>IF(OR(Controls_Raw!G631="USA",Controls_Raw!G631="UK"),"Standardize","OK")</f>
        <v>OK</v>
      </c>
      <c r="F631" t="str">
        <f>IF(Controls_Raw!E631&lt;&gt;TRIM(Controls_Raw!E631),"Trim","OK")</f>
        <v>OK</v>
      </c>
      <c r="G631" t="str">
        <f>IF(AND(Controls_Raw!L631&lt;DATE(2026,9,30),Controls_Raw!M631&lt;&gt;"Completed"),"Overdue","OK")</f>
        <v>Overdue</v>
      </c>
      <c r="H631" t="str">
        <f>IF(AND(Controls_Raw!Q631&lt;DATE(2026,9,30),Controls_Raw!R631&lt;&gt;"Completed",Controls_Raw!R631&lt;&gt;"Not Required"),"Overdue","OK")</f>
        <v>OK</v>
      </c>
      <c r="I631" t="str">
        <f t="shared" si="9"/>
        <v>Issue</v>
      </c>
    </row>
    <row r="632" spans="1:9" x14ac:dyDescent="0.2">
      <c r="A632" t="str">
        <f>Controls_Raw!A632</f>
        <v>CTRL-0628</v>
      </c>
      <c r="B632" t="str">
        <f>IF(COUNTIF(Controls_Raw!$A$5:$A$1504,A632)&gt;1,"Duplicate","OK")</f>
        <v>OK</v>
      </c>
      <c r="C632" t="str">
        <f>IF(LEN(TRIM(Controls_Raw!I632))=0,"Missing","OK")</f>
        <v>OK</v>
      </c>
      <c r="D632" t="str">
        <f>IF(LEN(TRIM(Controls_Raw!N632))=0,"Missing","OK")</f>
        <v>OK</v>
      </c>
      <c r="E632" t="str">
        <f>IF(OR(Controls_Raw!G632="USA",Controls_Raw!G632="UK"),"Standardize","OK")</f>
        <v>OK</v>
      </c>
      <c r="F632" t="str">
        <f>IF(Controls_Raw!E632&lt;&gt;TRIM(Controls_Raw!E632),"Trim","OK")</f>
        <v>OK</v>
      </c>
      <c r="G632" t="str">
        <f>IF(AND(Controls_Raw!L632&lt;DATE(2026,9,30),Controls_Raw!M632&lt;&gt;"Completed"),"Overdue","OK")</f>
        <v>Overdue</v>
      </c>
      <c r="H632" t="str">
        <f>IF(AND(Controls_Raw!Q632&lt;DATE(2026,9,30),Controls_Raw!R632&lt;&gt;"Completed",Controls_Raw!R632&lt;&gt;"Not Required"),"Overdue","OK")</f>
        <v>Overdue</v>
      </c>
      <c r="I632" t="str">
        <f t="shared" si="9"/>
        <v>Issue</v>
      </c>
    </row>
    <row r="633" spans="1:9" x14ac:dyDescent="0.2">
      <c r="A633" t="str">
        <f>Controls_Raw!A633</f>
        <v>CTRL-0629</v>
      </c>
      <c r="B633" t="str">
        <f>IF(COUNTIF(Controls_Raw!$A$5:$A$1504,A633)&gt;1,"Duplicate","OK")</f>
        <v>OK</v>
      </c>
      <c r="C633" t="str">
        <f>IF(LEN(TRIM(Controls_Raw!I633))=0,"Missing","OK")</f>
        <v>OK</v>
      </c>
      <c r="D633" t="str">
        <f>IF(LEN(TRIM(Controls_Raw!N633))=0,"Missing","OK")</f>
        <v>OK</v>
      </c>
      <c r="E633" t="str">
        <f>IF(OR(Controls_Raw!G633="USA",Controls_Raw!G633="UK"),"Standardize","OK")</f>
        <v>OK</v>
      </c>
      <c r="F633" t="str">
        <f>IF(Controls_Raw!E633&lt;&gt;TRIM(Controls_Raw!E633),"Trim","OK")</f>
        <v>OK</v>
      </c>
      <c r="G633" t="str">
        <f>IF(AND(Controls_Raw!L633&lt;DATE(2026,9,30),Controls_Raw!M633&lt;&gt;"Completed"),"Overdue","OK")</f>
        <v>OK</v>
      </c>
      <c r="H633" t="str">
        <f>IF(AND(Controls_Raw!Q633&lt;DATE(2026,9,30),Controls_Raw!R633&lt;&gt;"Completed",Controls_Raw!R633&lt;&gt;"Not Required"),"Overdue","OK")</f>
        <v>Overdue</v>
      </c>
      <c r="I633" t="str">
        <f t="shared" si="9"/>
        <v>Issue</v>
      </c>
    </row>
    <row r="634" spans="1:9" x14ac:dyDescent="0.2">
      <c r="A634" t="str">
        <f>Controls_Raw!A634</f>
        <v>CTRL-0630</v>
      </c>
      <c r="B634" t="str">
        <f>IF(COUNTIF(Controls_Raw!$A$5:$A$1504,A634)&gt;1,"Duplicate","OK")</f>
        <v>OK</v>
      </c>
      <c r="C634" t="str">
        <f>IF(LEN(TRIM(Controls_Raw!I634))=0,"Missing","OK")</f>
        <v>OK</v>
      </c>
      <c r="D634" t="str">
        <f>IF(LEN(TRIM(Controls_Raw!N634))=0,"Missing","OK")</f>
        <v>OK</v>
      </c>
      <c r="E634" t="str">
        <f>IF(OR(Controls_Raw!G634="USA",Controls_Raw!G634="UK"),"Standardize","OK")</f>
        <v>OK</v>
      </c>
      <c r="F634" t="str">
        <f>IF(Controls_Raw!E634&lt;&gt;TRIM(Controls_Raw!E634),"Trim","OK")</f>
        <v>OK</v>
      </c>
      <c r="G634" t="str">
        <f>IF(AND(Controls_Raw!L634&lt;DATE(2026,9,30),Controls_Raw!M634&lt;&gt;"Completed"),"Overdue","OK")</f>
        <v>OK</v>
      </c>
      <c r="H634" t="str">
        <f>IF(AND(Controls_Raw!Q634&lt;DATE(2026,9,30),Controls_Raw!R634&lt;&gt;"Completed",Controls_Raw!R634&lt;&gt;"Not Required"),"Overdue","OK")</f>
        <v>Overdue</v>
      </c>
      <c r="I634" t="str">
        <f t="shared" si="9"/>
        <v>Issue</v>
      </c>
    </row>
    <row r="635" spans="1:9" x14ac:dyDescent="0.2">
      <c r="A635" t="str">
        <f>Controls_Raw!A635</f>
        <v>CTRL-0631</v>
      </c>
      <c r="B635" t="str">
        <f>IF(COUNTIF(Controls_Raw!$A$5:$A$1504,A635)&gt;1,"Duplicate","OK")</f>
        <v>OK</v>
      </c>
      <c r="C635" t="str">
        <f>IF(LEN(TRIM(Controls_Raw!I635))=0,"Missing","OK")</f>
        <v>OK</v>
      </c>
      <c r="D635" t="str">
        <f>IF(LEN(TRIM(Controls_Raw!N635))=0,"Missing","OK")</f>
        <v>OK</v>
      </c>
      <c r="E635" t="str">
        <f>IF(OR(Controls_Raw!G635="USA",Controls_Raw!G635="UK"),"Standardize","OK")</f>
        <v>OK</v>
      </c>
      <c r="F635" t="str">
        <f>IF(Controls_Raw!E635&lt;&gt;TRIM(Controls_Raw!E635),"Trim","OK")</f>
        <v>OK</v>
      </c>
      <c r="G635" t="str">
        <f>IF(AND(Controls_Raw!L635&lt;DATE(2026,9,30),Controls_Raw!M635&lt;&gt;"Completed"),"Overdue","OK")</f>
        <v>Overdue</v>
      </c>
      <c r="H635" t="str">
        <f>IF(AND(Controls_Raw!Q635&lt;DATE(2026,9,30),Controls_Raw!R635&lt;&gt;"Completed",Controls_Raw!R635&lt;&gt;"Not Required"),"Overdue","OK")</f>
        <v>OK</v>
      </c>
      <c r="I635" t="str">
        <f t="shared" si="9"/>
        <v>Issue</v>
      </c>
    </row>
    <row r="636" spans="1:9" x14ac:dyDescent="0.2">
      <c r="A636" t="str">
        <f>Controls_Raw!A636</f>
        <v>CTRL-0632</v>
      </c>
      <c r="B636" t="str">
        <f>IF(COUNTIF(Controls_Raw!$A$5:$A$1504,A636)&gt;1,"Duplicate","OK")</f>
        <v>OK</v>
      </c>
      <c r="C636" t="str">
        <f>IF(LEN(TRIM(Controls_Raw!I636))=0,"Missing","OK")</f>
        <v>OK</v>
      </c>
      <c r="D636" t="str">
        <f>IF(LEN(TRIM(Controls_Raw!N636))=0,"Missing","OK")</f>
        <v>OK</v>
      </c>
      <c r="E636" t="str">
        <f>IF(OR(Controls_Raw!G636="USA",Controls_Raw!G636="UK"),"Standardize","OK")</f>
        <v>OK</v>
      </c>
      <c r="F636" t="str">
        <f>IF(Controls_Raw!E636&lt;&gt;TRIM(Controls_Raw!E636),"Trim","OK")</f>
        <v>OK</v>
      </c>
      <c r="G636" t="str">
        <f>IF(AND(Controls_Raw!L636&lt;DATE(2026,9,30),Controls_Raw!M636&lt;&gt;"Completed"),"Overdue","OK")</f>
        <v>Overdue</v>
      </c>
      <c r="H636" t="str">
        <f>IF(AND(Controls_Raw!Q636&lt;DATE(2026,9,30),Controls_Raw!R636&lt;&gt;"Completed",Controls_Raw!R636&lt;&gt;"Not Required"),"Overdue","OK")</f>
        <v>Overdue</v>
      </c>
      <c r="I636" t="str">
        <f t="shared" si="9"/>
        <v>Issue</v>
      </c>
    </row>
    <row r="637" spans="1:9" x14ac:dyDescent="0.2">
      <c r="A637" t="str">
        <f>Controls_Raw!A637</f>
        <v>CTRL-0633</v>
      </c>
      <c r="B637" t="str">
        <f>IF(COUNTIF(Controls_Raw!$A$5:$A$1504,A637)&gt;1,"Duplicate","OK")</f>
        <v>OK</v>
      </c>
      <c r="C637" t="str">
        <f>IF(LEN(TRIM(Controls_Raw!I637))=0,"Missing","OK")</f>
        <v>OK</v>
      </c>
      <c r="D637" t="str">
        <f>IF(LEN(TRIM(Controls_Raw!N637))=0,"Missing","OK")</f>
        <v>OK</v>
      </c>
      <c r="E637" t="str">
        <f>IF(OR(Controls_Raw!G637="USA",Controls_Raw!G637="UK"),"Standardize","OK")</f>
        <v>OK</v>
      </c>
      <c r="F637" t="str">
        <f>IF(Controls_Raw!E637&lt;&gt;TRIM(Controls_Raw!E637),"Trim","OK")</f>
        <v>OK</v>
      </c>
      <c r="G637" t="str">
        <f>IF(AND(Controls_Raw!L637&lt;DATE(2026,9,30),Controls_Raw!M637&lt;&gt;"Completed"),"Overdue","OK")</f>
        <v>OK</v>
      </c>
      <c r="H637" t="str">
        <f>IF(AND(Controls_Raw!Q637&lt;DATE(2026,9,30),Controls_Raw!R637&lt;&gt;"Completed",Controls_Raw!R637&lt;&gt;"Not Required"),"Overdue","OK")</f>
        <v>OK</v>
      </c>
      <c r="I637" t="str">
        <f t="shared" si="9"/>
        <v>Pass</v>
      </c>
    </row>
    <row r="638" spans="1:9" x14ac:dyDescent="0.2">
      <c r="A638" t="str">
        <f>Controls_Raw!A638</f>
        <v>CTRL-0634</v>
      </c>
      <c r="B638" t="str">
        <f>IF(COUNTIF(Controls_Raw!$A$5:$A$1504,A638)&gt;1,"Duplicate","OK")</f>
        <v>OK</v>
      </c>
      <c r="C638" t="str">
        <f>IF(LEN(TRIM(Controls_Raw!I638))=0,"Missing","OK")</f>
        <v>OK</v>
      </c>
      <c r="D638" t="str">
        <f>IF(LEN(TRIM(Controls_Raw!N638))=0,"Missing","OK")</f>
        <v>OK</v>
      </c>
      <c r="E638" t="str">
        <f>IF(OR(Controls_Raw!G638="USA",Controls_Raw!G638="UK"),"Standardize","OK")</f>
        <v>OK</v>
      </c>
      <c r="F638" t="str">
        <f>IF(Controls_Raw!E638&lt;&gt;TRIM(Controls_Raw!E638),"Trim","OK")</f>
        <v>OK</v>
      </c>
      <c r="G638" t="str">
        <f>IF(AND(Controls_Raw!L638&lt;DATE(2026,9,30),Controls_Raw!M638&lt;&gt;"Completed"),"Overdue","OK")</f>
        <v>OK</v>
      </c>
      <c r="H638" t="str">
        <f>IF(AND(Controls_Raw!Q638&lt;DATE(2026,9,30),Controls_Raw!R638&lt;&gt;"Completed",Controls_Raw!R638&lt;&gt;"Not Required"),"Overdue","OK")</f>
        <v>Overdue</v>
      </c>
      <c r="I638" t="str">
        <f t="shared" si="9"/>
        <v>Issue</v>
      </c>
    </row>
    <row r="639" spans="1:9" x14ac:dyDescent="0.2">
      <c r="A639" t="str">
        <f>Controls_Raw!A639</f>
        <v>CTRL-0635</v>
      </c>
      <c r="B639" t="str">
        <f>IF(COUNTIF(Controls_Raw!$A$5:$A$1504,A639)&gt;1,"Duplicate","OK")</f>
        <v>OK</v>
      </c>
      <c r="C639" t="str">
        <f>IF(LEN(TRIM(Controls_Raw!I639))=0,"Missing","OK")</f>
        <v>OK</v>
      </c>
      <c r="D639" t="str">
        <f>IF(LEN(TRIM(Controls_Raw!N639))=0,"Missing","OK")</f>
        <v>OK</v>
      </c>
      <c r="E639" t="str">
        <f>IF(OR(Controls_Raw!G639="USA",Controls_Raw!G639="UK"),"Standardize","OK")</f>
        <v>OK</v>
      </c>
      <c r="F639" t="str">
        <f>IF(Controls_Raw!E639&lt;&gt;TRIM(Controls_Raw!E639),"Trim","OK")</f>
        <v>OK</v>
      </c>
      <c r="G639" t="str">
        <f>IF(AND(Controls_Raw!L639&lt;DATE(2026,9,30),Controls_Raw!M639&lt;&gt;"Completed"),"Overdue","OK")</f>
        <v>Overdue</v>
      </c>
      <c r="H639" t="str">
        <f>IF(AND(Controls_Raw!Q639&lt;DATE(2026,9,30),Controls_Raw!R639&lt;&gt;"Completed",Controls_Raw!R639&lt;&gt;"Not Required"),"Overdue","OK")</f>
        <v>Overdue</v>
      </c>
      <c r="I639" t="str">
        <f t="shared" si="9"/>
        <v>Issue</v>
      </c>
    </row>
    <row r="640" spans="1:9" x14ac:dyDescent="0.2">
      <c r="A640" t="str">
        <f>Controls_Raw!A640</f>
        <v>CTRL-0636</v>
      </c>
      <c r="B640" t="str">
        <f>IF(COUNTIF(Controls_Raw!$A$5:$A$1504,A640)&gt;1,"Duplicate","OK")</f>
        <v>OK</v>
      </c>
      <c r="C640" t="str">
        <f>IF(LEN(TRIM(Controls_Raw!I640))=0,"Missing","OK")</f>
        <v>OK</v>
      </c>
      <c r="D640" t="str">
        <f>IF(LEN(TRIM(Controls_Raw!N640))=0,"Missing","OK")</f>
        <v>OK</v>
      </c>
      <c r="E640" t="str">
        <f>IF(OR(Controls_Raw!G640="USA",Controls_Raw!G640="UK"),"Standardize","OK")</f>
        <v>OK</v>
      </c>
      <c r="F640" t="str">
        <f>IF(Controls_Raw!E640&lt;&gt;TRIM(Controls_Raw!E640),"Trim","OK")</f>
        <v>OK</v>
      </c>
      <c r="G640" t="str">
        <f>IF(AND(Controls_Raw!L640&lt;DATE(2026,9,30),Controls_Raw!M640&lt;&gt;"Completed"),"Overdue","OK")</f>
        <v>Overdue</v>
      </c>
      <c r="H640" t="str">
        <f>IF(AND(Controls_Raw!Q640&lt;DATE(2026,9,30),Controls_Raw!R640&lt;&gt;"Completed",Controls_Raw!R640&lt;&gt;"Not Required"),"Overdue","OK")</f>
        <v>OK</v>
      </c>
      <c r="I640" t="str">
        <f t="shared" si="9"/>
        <v>Issue</v>
      </c>
    </row>
    <row r="641" spans="1:9" x14ac:dyDescent="0.2">
      <c r="A641" t="str">
        <f>Controls_Raw!A641</f>
        <v>CTRL-0637</v>
      </c>
      <c r="B641" t="str">
        <f>IF(COUNTIF(Controls_Raw!$A$5:$A$1504,A641)&gt;1,"Duplicate","OK")</f>
        <v>OK</v>
      </c>
      <c r="C641" t="str">
        <f>IF(LEN(TRIM(Controls_Raw!I641))=0,"Missing","OK")</f>
        <v>OK</v>
      </c>
      <c r="D641" t="str">
        <f>IF(LEN(TRIM(Controls_Raw!N641))=0,"Missing","OK")</f>
        <v>OK</v>
      </c>
      <c r="E641" t="str">
        <f>IF(OR(Controls_Raw!G641="USA",Controls_Raw!G641="UK"),"Standardize","OK")</f>
        <v>Standardize</v>
      </c>
      <c r="F641" t="str">
        <f>IF(Controls_Raw!E641&lt;&gt;TRIM(Controls_Raw!E641),"Trim","OK")</f>
        <v>OK</v>
      </c>
      <c r="G641" t="str">
        <f>IF(AND(Controls_Raw!L641&lt;DATE(2026,9,30),Controls_Raw!M641&lt;&gt;"Completed"),"Overdue","OK")</f>
        <v>OK</v>
      </c>
      <c r="H641" t="str">
        <f>IF(AND(Controls_Raw!Q641&lt;DATE(2026,9,30),Controls_Raw!R641&lt;&gt;"Completed",Controls_Raw!R641&lt;&gt;"Not Required"),"Overdue","OK")</f>
        <v>OK</v>
      </c>
      <c r="I641" t="str">
        <f t="shared" si="9"/>
        <v>Issue</v>
      </c>
    </row>
    <row r="642" spans="1:9" x14ac:dyDescent="0.2">
      <c r="A642" t="str">
        <f>Controls_Raw!A642</f>
        <v>CTRL-0638</v>
      </c>
      <c r="B642" t="str">
        <f>IF(COUNTIF(Controls_Raw!$A$5:$A$1504,A642)&gt;1,"Duplicate","OK")</f>
        <v>OK</v>
      </c>
      <c r="C642" t="str">
        <f>IF(LEN(TRIM(Controls_Raw!I642))=0,"Missing","OK")</f>
        <v>OK</v>
      </c>
      <c r="D642" t="str">
        <f>IF(LEN(TRIM(Controls_Raw!N642))=0,"Missing","OK")</f>
        <v>OK</v>
      </c>
      <c r="E642" t="str">
        <f>IF(OR(Controls_Raw!G642="USA",Controls_Raw!G642="UK"),"Standardize","OK")</f>
        <v>OK</v>
      </c>
      <c r="F642" t="str">
        <f>IF(Controls_Raw!E642&lt;&gt;TRIM(Controls_Raw!E642),"Trim","OK")</f>
        <v>OK</v>
      </c>
      <c r="G642" t="str">
        <f>IF(AND(Controls_Raw!L642&lt;DATE(2026,9,30),Controls_Raw!M642&lt;&gt;"Completed"),"Overdue","OK")</f>
        <v>Overdue</v>
      </c>
      <c r="H642" t="str">
        <f>IF(AND(Controls_Raw!Q642&lt;DATE(2026,9,30),Controls_Raw!R642&lt;&gt;"Completed",Controls_Raw!R642&lt;&gt;"Not Required"),"Overdue","OK")</f>
        <v>OK</v>
      </c>
      <c r="I642" t="str">
        <f t="shared" si="9"/>
        <v>Issue</v>
      </c>
    </row>
    <row r="643" spans="1:9" x14ac:dyDescent="0.2">
      <c r="A643" t="str">
        <f>Controls_Raw!A643</f>
        <v>CTRL-0639</v>
      </c>
      <c r="B643" t="str">
        <f>IF(COUNTIF(Controls_Raw!$A$5:$A$1504,A643)&gt;1,"Duplicate","OK")</f>
        <v>OK</v>
      </c>
      <c r="C643" t="str">
        <f>IF(LEN(TRIM(Controls_Raw!I643))=0,"Missing","OK")</f>
        <v>OK</v>
      </c>
      <c r="D643" t="str">
        <f>IF(LEN(TRIM(Controls_Raw!N643))=0,"Missing","OK")</f>
        <v>OK</v>
      </c>
      <c r="E643" t="str">
        <f>IF(OR(Controls_Raw!G643="USA",Controls_Raw!G643="UK"),"Standardize","OK")</f>
        <v>OK</v>
      </c>
      <c r="F643" t="str">
        <f>IF(Controls_Raw!E643&lt;&gt;TRIM(Controls_Raw!E643),"Trim","OK")</f>
        <v>OK</v>
      </c>
      <c r="G643" t="str">
        <f>IF(AND(Controls_Raw!L643&lt;DATE(2026,9,30),Controls_Raw!M643&lt;&gt;"Completed"),"Overdue","OK")</f>
        <v>Overdue</v>
      </c>
      <c r="H643" t="str">
        <f>IF(AND(Controls_Raw!Q643&lt;DATE(2026,9,30),Controls_Raw!R643&lt;&gt;"Completed",Controls_Raw!R643&lt;&gt;"Not Required"),"Overdue","OK")</f>
        <v>OK</v>
      </c>
      <c r="I643" t="str">
        <f t="shared" si="9"/>
        <v>Issue</v>
      </c>
    </row>
    <row r="644" spans="1:9" x14ac:dyDescent="0.2">
      <c r="A644" t="str">
        <f>Controls_Raw!A644</f>
        <v>CTRL-0640</v>
      </c>
      <c r="B644" t="str">
        <f>IF(COUNTIF(Controls_Raw!$A$5:$A$1504,A644)&gt;1,"Duplicate","OK")</f>
        <v>OK</v>
      </c>
      <c r="C644" t="str">
        <f>IF(LEN(TRIM(Controls_Raw!I644))=0,"Missing","OK")</f>
        <v>OK</v>
      </c>
      <c r="D644" t="str">
        <f>IF(LEN(TRIM(Controls_Raw!N644))=0,"Missing","OK")</f>
        <v>OK</v>
      </c>
      <c r="E644" t="str">
        <f>IF(OR(Controls_Raw!G644="USA",Controls_Raw!G644="UK"),"Standardize","OK")</f>
        <v>OK</v>
      </c>
      <c r="F644" t="str">
        <f>IF(Controls_Raw!E644&lt;&gt;TRIM(Controls_Raw!E644),"Trim","OK")</f>
        <v>OK</v>
      </c>
      <c r="G644" t="str">
        <f>IF(AND(Controls_Raw!L644&lt;DATE(2026,9,30),Controls_Raw!M644&lt;&gt;"Completed"),"Overdue","OK")</f>
        <v>Overdue</v>
      </c>
      <c r="H644" t="str">
        <f>IF(AND(Controls_Raw!Q644&lt;DATE(2026,9,30),Controls_Raw!R644&lt;&gt;"Completed",Controls_Raw!R644&lt;&gt;"Not Required"),"Overdue","OK")</f>
        <v>Overdue</v>
      </c>
      <c r="I644" t="str">
        <f t="shared" si="9"/>
        <v>Issue</v>
      </c>
    </row>
    <row r="645" spans="1:9" x14ac:dyDescent="0.2">
      <c r="A645" t="str">
        <f>Controls_Raw!A645</f>
        <v>CTRL-0641</v>
      </c>
      <c r="B645" t="str">
        <f>IF(COUNTIF(Controls_Raw!$A$5:$A$1504,A645)&gt;1,"Duplicate","OK")</f>
        <v>OK</v>
      </c>
      <c r="C645" t="str">
        <f>IF(LEN(TRIM(Controls_Raw!I645))=0,"Missing","OK")</f>
        <v>OK</v>
      </c>
      <c r="D645" t="str">
        <f>IF(LEN(TRIM(Controls_Raw!N645))=0,"Missing","OK")</f>
        <v>OK</v>
      </c>
      <c r="E645" t="str">
        <f>IF(OR(Controls_Raw!G645="USA",Controls_Raw!G645="UK"),"Standardize","OK")</f>
        <v>OK</v>
      </c>
      <c r="F645" t="str">
        <f>IF(Controls_Raw!E645&lt;&gt;TRIM(Controls_Raw!E645),"Trim","OK")</f>
        <v>OK</v>
      </c>
      <c r="G645" t="str">
        <f>IF(AND(Controls_Raw!L645&lt;DATE(2026,9,30),Controls_Raw!M645&lt;&gt;"Completed"),"Overdue","OK")</f>
        <v>OK</v>
      </c>
      <c r="H645" t="str">
        <f>IF(AND(Controls_Raw!Q645&lt;DATE(2026,9,30),Controls_Raw!R645&lt;&gt;"Completed",Controls_Raw!R645&lt;&gt;"Not Required"),"Overdue","OK")</f>
        <v>Overdue</v>
      </c>
      <c r="I645" t="str">
        <f t="shared" ref="I645:I708" si="10">IF(COUNTIF(B645:H645,"&lt;&gt;OK")&gt;0,"Issue","Pass")</f>
        <v>Issue</v>
      </c>
    </row>
    <row r="646" spans="1:9" x14ac:dyDescent="0.2">
      <c r="A646" t="str">
        <f>Controls_Raw!A646</f>
        <v>CTRL-0642</v>
      </c>
      <c r="B646" t="str">
        <f>IF(COUNTIF(Controls_Raw!$A$5:$A$1504,A646)&gt;1,"Duplicate","OK")</f>
        <v>OK</v>
      </c>
      <c r="C646" t="str">
        <f>IF(LEN(TRIM(Controls_Raw!I646))=0,"Missing","OK")</f>
        <v>OK</v>
      </c>
      <c r="D646" t="str">
        <f>IF(LEN(TRIM(Controls_Raw!N646))=0,"Missing","OK")</f>
        <v>OK</v>
      </c>
      <c r="E646" t="str">
        <f>IF(OR(Controls_Raw!G646="USA",Controls_Raw!G646="UK"),"Standardize","OK")</f>
        <v>OK</v>
      </c>
      <c r="F646" t="str">
        <f>IF(Controls_Raw!E646&lt;&gt;TRIM(Controls_Raw!E646),"Trim","OK")</f>
        <v>OK</v>
      </c>
      <c r="G646" t="str">
        <f>IF(AND(Controls_Raw!L646&lt;DATE(2026,9,30),Controls_Raw!M646&lt;&gt;"Completed"),"Overdue","OK")</f>
        <v>OK</v>
      </c>
      <c r="H646" t="str">
        <f>IF(AND(Controls_Raw!Q646&lt;DATE(2026,9,30),Controls_Raw!R646&lt;&gt;"Completed",Controls_Raw!R646&lt;&gt;"Not Required"),"Overdue","OK")</f>
        <v>OK</v>
      </c>
      <c r="I646" t="str">
        <f t="shared" si="10"/>
        <v>Pass</v>
      </c>
    </row>
    <row r="647" spans="1:9" x14ac:dyDescent="0.2">
      <c r="A647" t="str">
        <f>Controls_Raw!A647</f>
        <v>CTRL-0643</v>
      </c>
      <c r="B647" t="str">
        <f>IF(COUNTIF(Controls_Raw!$A$5:$A$1504,A647)&gt;1,"Duplicate","OK")</f>
        <v>OK</v>
      </c>
      <c r="C647" t="str">
        <f>IF(LEN(TRIM(Controls_Raw!I647))=0,"Missing","OK")</f>
        <v>OK</v>
      </c>
      <c r="D647" t="str">
        <f>IF(LEN(TRIM(Controls_Raw!N647))=0,"Missing","OK")</f>
        <v>OK</v>
      </c>
      <c r="E647" t="str">
        <f>IF(OR(Controls_Raw!G647="USA",Controls_Raw!G647="UK"),"Standardize","OK")</f>
        <v>OK</v>
      </c>
      <c r="F647" t="str">
        <f>IF(Controls_Raw!E647&lt;&gt;TRIM(Controls_Raw!E647),"Trim","OK")</f>
        <v>OK</v>
      </c>
      <c r="G647" t="str">
        <f>IF(AND(Controls_Raw!L647&lt;DATE(2026,9,30),Controls_Raw!M647&lt;&gt;"Completed"),"Overdue","OK")</f>
        <v>OK</v>
      </c>
      <c r="H647" t="str">
        <f>IF(AND(Controls_Raw!Q647&lt;DATE(2026,9,30),Controls_Raw!R647&lt;&gt;"Completed",Controls_Raw!R647&lt;&gt;"Not Required"),"Overdue","OK")</f>
        <v>OK</v>
      </c>
      <c r="I647" t="str">
        <f t="shared" si="10"/>
        <v>Pass</v>
      </c>
    </row>
    <row r="648" spans="1:9" x14ac:dyDescent="0.2">
      <c r="A648" t="str">
        <f>Controls_Raw!A648</f>
        <v>CTRL-0644</v>
      </c>
      <c r="B648" t="str">
        <f>IF(COUNTIF(Controls_Raw!$A$5:$A$1504,A648)&gt;1,"Duplicate","OK")</f>
        <v>OK</v>
      </c>
      <c r="C648" t="str">
        <f>IF(LEN(TRIM(Controls_Raw!I648))=0,"Missing","OK")</f>
        <v>OK</v>
      </c>
      <c r="D648" t="str">
        <f>IF(LEN(TRIM(Controls_Raw!N648))=0,"Missing","OK")</f>
        <v>OK</v>
      </c>
      <c r="E648" t="str">
        <f>IF(OR(Controls_Raw!G648="USA",Controls_Raw!G648="UK"),"Standardize","OK")</f>
        <v>OK</v>
      </c>
      <c r="F648" t="str">
        <f>IF(Controls_Raw!E648&lt;&gt;TRIM(Controls_Raw!E648),"Trim","OK")</f>
        <v>OK</v>
      </c>
      <c r="G648" t="str">
        <f>IF(AND(Controls_Raw!L648&lt;DATE(2026,9,30),Controls_Raw!M648&lt;&gt;"Completed"),"Overdue","OK")</f>
        <v>OK</v>
      </c>
      <c r="H648" t="str">
        <f>IF(AND(Controls_Raw!Q648&lt;DATE(2026,9,30),Controls_Raw!R648&lt;&gt;"Completed",Controls_Raw!R648&lt;&gt;"Not Required"),"Overdue","OK")</f>
        <v>Overdue</v>
      </c>
      <c r="I648" t="str">
        <f t="shared" si="10"/>
        <v>Issue</v>
      </c>
    </row>
    <row r="649" spans="1:9" x14ac:dyDescent="0.2">
      <c r="A649" t="str">
        <f>Controls_Raw!A649</f>
        <v>CTRL-0645</v>
      </c>
      <c r="B649" t="str">
        <f>IF(COUNTIF(Controls_Raw!$A$5:$A$1504,A649)&gt;1,"Duplicate","OK")</f>
        <v>OK</v>
      </c>
      <c r="C649" t="str">
        <f>IF(LEN(TRIM(Controls_Raw!I649))=0,"Missing","OK")</f>
        <v>OK</v>
      </c>
      <c r="D649" t="str">
        <f>IF(LEN(TRIM(Controls_Raw!N649))=0,"Missing","OK")</f>
        <v>OK</v>
      </c>
      <c r="E649" t="str">
        <f>IF(OR(Controls_Raw!G649="USA",Controls_Raw!G649="UK"),"Standardize","OK")</f>
        <v>OK</v>
      </c>
      <c r="F649" t="str">
        <f>IF(Controls_Raw!E649&lt;&gt;TRIM(Controls_Raw!E649),"Trim","OK")</f>
        <v>OK</v>
      </c>
      <c r="G649" t="str">
        <f>IF(AND(Controls_Raw!L649&lt;DATE(2026,9,30),Controls_Raw!M649&lt;&gt;"Completed"),"Overdue","OK")</f>
        <v>Overdue</v>
      </c>
      <c r="H649" t="str">
        <f>IF(AND(Controls_Raw!Q649&lt;DATE(2026,9,30),Controls_Raw!R649&lt;&gt;"Completed",Controls_Raw!R649&lt;&gt;"Not Required"),"Overdue","OK")</f>
        <v>Overdue</v>
      </c>
      <c r="I649" t="str">
        <f t="shared" si="10"/>
        <v>Issue</v>
      </c>
    </row>
    <row r="650" spans="1:9" x14ac:dyDescent="0.2">
      <c r="A650" t="str">
        <f>Controls_Raw!A650</f>
        <v>CTRL-0646</v>
      </c>
      <c r="B650" t="str">
        <f>IF(COUNTIF(Controls_Raw!$A$5:$A$1504,A650)&gt;1,"Duplicate","OK")</f>
        <v>OK</v>
      </c>
      <c r="C650" t="str">
        <f>IF(LEN(TRIM(Controls_Raw!I650))=0,"Missing","OK")</f>
        <v>OK</v>
      </c>
      <c r="D650" t="str">
        <f>IF(LEN(TRIM(Controls_Raw!N650))=0,"Missing","OK")</f>
        <v>OK</v>
      </c>
      <c r="E650" t="str">
        <f>IF(OR(Controls_Raw!G650="USA",Controls_Raw!G650="UK"),"Standardize","OK")</f>
        <v>OK</v>
      </c>
      <c r="F650" t="str">
        <f>IF(Controls_Raw!E650&lt;&gt;TRIM(Controls_Raw!E650),"Trim","OK")</f>
        <v>OK</v>
      </c>
      <c r="G650" t="str">
        <f>IF(AND(Controls_Raw!L650&lt;DATE(2026,9,30),Controls_Raw!M650&lt;&gt;"Completed"),"Overdue","OK")</f>
        <v>Overdue</v>
      </c>
      <c r="H650" t="str">
        <f>IF(AND(Controls_Raw!Q650&lt;DATE(2026,9,30),Controls_Raw!R650&lt;&gt;"Completed",Controls_Raw!R650&lt;&gt;"Not Required"),"Overdue","OK")</f>
        <v>Overdue</v>
      </c>
      <c r="I650" t="str">
        <f t="shared" si="10"/>
        <v>Issue</v>
      </c>
    </row>
    <row r="651" spans="1:9" x14ac:dyDescent="0.2">
      <c r="A651" t="str">
        <f>Controls_Raw!A651</f>
        <v>CTRL-0647</v>
      </c>
      <c r="B651" t="str">
        <f>IF(COUNTIF(Controls_Raw!$A$5:$A$1504,A651)&gt;1,"Duplicate","OK")</f>
        <v>OK</v>
      </c>
      <c r="C651" t="str">
        <f>IF(LEN(TRIM(Controls_Raw!I651))=0,"Missing","OK")</f>
        <v>OK</v>
      </c>
      <c r="D651" t="str">
        <f>IF(LEN(TRIM(Controls_Raw!N651))=0,"Missing","OK")</f>
        <v>OK</v>
      </c>
      <c r="E651" t="str">
        <f>IF(OR(Controls_Raw!G651="USA",Controls_Raw!G651="UK"),"Standardize","OK")</f>
        <v>OK</v>
      </c>
      <c r="F651" t="str">
        <f>IF(Controls_Raw!E651&lt;&gt;TRIM(Controls_Raw!E651),"Trim","OK")</f>
        <v>OK</v>
      </c>
      <c r="G651" t="str">
        <f>IF(AND(Controls_Raw!L651&lt;DATE(2026,9,30),Controls_Raw!M651&lt;&gt;"Completed"),"Overdue","OK")</f>
        <v>OK</v>
      </c>
      <c r="H651" t="str">
        <f>IF(AND(Controls_Raw!Q651&lt;DATE(2026,9,30),Controls_Raw!R651&lt;&gt;"Completed",Controls_Raw!R651&lt;&gt;"Not Required"),"Overdue","OK")</f>
        <v>Overdue</v>
      </c>
      <c r="I651" t="str">
        <f t="shared" si="10"/>
        <v>Issue</v>
      </c>
    </row>
    <row r="652" spans="1:9" x14ac:dyDescent="0.2">
      <c r="A652" t="str">
        <f>Controls_Raw!A652</f>
        <v>CTRL-0648</v>
      </c>
      <c r="B652" t="str">
        <f>IF(COUNTIF(Controls_Raw!$A$5:$A$1504,A652)&gt;1,"Duplicate","OK")</f>
        <v>OK</v>
      </c>
      <c r="C652" t="str">
        <f>IF(LEN(TRIM(Controls_Raw!I652))=0,"Missing","OK")</f>
        <v>OK</v>
      </c>
      <c r="D652" t="str">
        <f>IF(LEN(TRIM(Controls_Raw!N652))=0,"Missing","OK")</f>
        <v>OK</v>
      </c>
      <c r="E652" t="str">
        <f>IF(OR(Controls_Raw!G652="USA",Controls_Raw!G652="UK"),"Standardize","OK")</f>
        <v>OK</v>
      </c>
      <c r="F652" t="str">
        <f>IF(Controls_Raw!E652&lt;&gt;TRIM(Controls_Raw!E652),"Trim","OK")</f>
        <v>OK</v>
      </c>
      <c r="G652" t="str">
        <f>IF(AND(Controls_Raw!L652&lt;DATE(2026,9,30),Controls_Raw!M652&lt;&gt;"Completed"),"Overdue","OK")</f>
        <v>Overdue</v>
      </c>
      <c r="H652" t="str">
        <f>IF(AND(Controls_Raw!Q652&lt;DATE(2026,9,30),Controls_Raw!R652&lt;&gt;"Completed",Controls_Raw!R652&lt;&gt;"Not Required"),"Overdue","OK")</f>
        <v>Overdue</v>
      </c>
      <c r="I652" t="str">
        <f t="shared" si="10"/>
        <v>Issue</v>
      </c>
    </row>
    <row r="653" spans="1:9" x14ac:dyDescent="0.2">
      <c r="A653" t="str">
        <f>Controls_Raw!A653</f>
        <v>CTRL-0649</v>
      </c>
      <c r="B653" t="str">
        <f>IF(COUNTIF(Controls_Raw!$A$5:$A$1504,A653)&gt;1,"Duplicate","OK")</f>
        <v>OK</v>
      </c>
      <c r="C653" t="str">
        <f>IF(LEN(TRIM(Controls_Raw!I653))=0,"Missing","OK")</f>
        <v>OK</v>
      </c>
      <c r="D653" t="str">
        <f>IF(LEN(TRIM(Controls_Raw!N653))=0,"Missing","OK")</f>
        <v>OK</v>
      </c>
      <c r="E653" t="str">
        <f>IF(OR(Controls_Raw!G653="USA",Controls_Raw!G653="UK"),"Standardize","OK")</f>
        <v>OK</v>
      </c>
      <c r="F653" t="str">
        <f>IF(Controls_Raw!E653&lt;&gt;TRIM(Controls_Raw!E653),"Trim","OK")</f>
        <v>OK</v>
      </c>
      <c r="G653" t="str">
        <f>IF(AND(Controls_Raw!L653&lt;DATE(2026,9,30),Controls_Raw!M653&lt;&gt;"Completed"),"Overdue","OK")</f>
        <v>OK</v>
      </c>
      <c r="H653" t="str">
        <f>IF(AND(Controls_Raw!Q653&lt;DATE(2026,9,30),Controls_Raw!R653&lt;&gt;"Completed",Controls_Raw!R653&lt;&gt;"Not Required"),"Overdue","OK")</f>
        <v>OK</v>
      </c>
      <c r="I653" t="str">
        <f t="shared" si="10"/>
        <v>Pass</v>
      </c>
    </row>
    <row r="654" spans="1:9" x14ac:dyDescent="0.2">
      <c r="A654" t="str">
        <f>Controls_Raw!A654</f>
        <v>CTRL-0650</v>
      </c>
      <c r="B654" t="str">
        <f>IF(COUNTIF(Controls_Raw!$A$5:$A$1504,A654)&gt;1,"Duplicate","OK")</f>
        <v>OK</v>
      </c>
      <c r="C654" t="str">
        <f>IF(LEN(TRIM(Controls_Raw!I654))=0,"Missing","OK")</f>
        <v>OK</v>
      </c>
      <c r="D654" t="str">
        <f>IF(LEN(TRIM(Controls_Raw!N654))=0,"Missing","OK")</f>
        <v>OK</v>
      </c>
      <c r="E654" t="str">
        <f>IF(OR(Controls_Raw!G654="USA",Controls_Raw!G654="UK"),"Standardize","OK")</f>
        <v>OK</v>
      </c>
      <c r="F654" t="str">
        <f>IF(Controls_Raw!E654&lt;&gt;TRIM(Controls_Raw!E654),"Trim","OK")</f>
        <v>OK</v>
      </c>
      <c r="G654" t="str">
        <f>IF(AND(Controls_Raw!L654&lt;DATE(2026,9,30),Controls_Raw!M654&lt;&gt;"Completed"),"Overdue","OK")</f>
        <v>OK</v>
      </c>
      <c r="H654" t="str">
        <f>IF(AND(Controls_Raw!Q654&lt;DATE(2026,9,30),Controls_Raw!R654&lt;&gt;"Completed",Controls_Raw!R654&lt;&gt;"Not Required"),"Overdue","OK")</f>
        <v>OK</v>
      </c>
      <c r="I654" t="str">
        <f t="shared" si="10"/>
        <v>Pass</v>
      </c>
    </row>
    <row r="655" spans="1:9" x14ac:dyDescent="0.2">
      <c r="A655" t="str">
        <f>Controls_Raw!A655</f>
        <v>CTRL-0651</v>
      </c>
      <c r="B655" t="str">
        <f>IF(COUNTIF(Controls_Raw!$A$5:$A$1504,A655)&gt;1,"Duplicate","OK")</f>
        <v>OK</v>
      </c>
      <c r="C655" t="str">
        <f>IF(LEN(TRIM(Controls_Raw!I655))=0,"Missing","OK")</f>
        <v>OK</v>
      </c>
      <c r="D655" t="str">
        <f>IF(LEN(TRIM(Controls_Raw!N655))=0,"Missing","OK")</f>
        <v>OK</v>
      </c>
      <c r="E655" t="str">
        <f>IF(OR(Controls_Raw!G655="USA",Controls_Raw!G655="UK"),"Standardize","OK")</f>
        <v>OK</v>
      </c>
      <c r="F655" t="str">
        <f>IF(Controls_Raw!E655&lt;&gt;TRIM(Controls_Raw!E655),"Trim","OK")</f>
        <v>OK</v>
      </c>
      <c r="G655" t="str">
        <f>IF(AND(Controls_Raw!L655&lt;DATE(2026,9,30),Controls_Raw!M655&lt;&gt;"Completed"),"Overdue","OK")</f>
        <v>OK</v>
      </c>
      <c r="H655" t="str">
        <f>IF(AND(Controls_Raw!Q655&lt;DATE(2026,9,30),Controls_Raw!R655&lt;&gt;"Completed",Controls_Raw!R655&lt;&gt;"Not Required"),"Overdue","OK")</f>
        <v>Overdue</v>
      </c>
      <c r="I655" t="str">
        <f t="shared" si="10"/>
        <v>Issue</v>
      </c>
    </row>
    <row r="656" spans="1:9" x14ac:dyDescent="0.2">
      <c r="A656" t="str">
        <f>Controls_Raw!A656</f>
        <v>CTRL-0652</v>
      </c>
      <c r="B656" t="str">
        <f>IF(COUNTIF(Controls_Raw!$A$5:$A$1504,A656)&gt;1,"Duplicate","OK")</f>
        <v>OK</v>
      </c>
      <c r="C656" t="str">
        <f>IF(LEN(TRIM(Controls_Raw!I656))=0,"Missing","OK")</f>
        <v>OK</v>
      </c>
      <c r="D656" t="str">
        <f>IF(LEN(TRIM(Controls_Raw!N656))=0,"Missing","OK")</f>
        <v>OK</v>
      </c>
      <c r="E656" t="str">
        <f>IF(OR(Controls_Raw!G656="USA",Controls_Raw!G656="UK"),"Standardize","OK")</f>
        <v>OK</v>
      </c>
      <c r="F656" t="str">
        <f>IF(Controls_Raw!E656&lt;&gt;TRIM(Controls_Raw!E656),"Trim","OK")</f>
        <v>OK</v>
      </c>
      <c r="G656" t="str">
        <f>IF(AND(Controls_Raw!L656&lt;DATE(2026,9,30),Controls_Raw!M656&lt;&gt;"Completed"),"Overdue","OK")</f>
        <v>OK</v>
      </c>
      <c r="H656" t="str">
        <f>IF(AND(Controls_Raw!Q656&lt;DATE(2026,9,30),Controls_Raw!R656&lt;&gt;"Completed",Controls_Raw!R656&lt;&gt;"Not Required"),"Overdue","OK")</f>
        <v>Overdue</v>
      </c>
      <c r="I656" t="str">
        <f t="shared" si="10"/>
        <v>Issue</v>
      </c>
    </row>
    <row r="657" spans="1:9" x14ac:dyDescent="0.2">
      <c r="A657" t="str">
        <f>Controls_Raw!A657</f>
        <v>CTRL-0653</v>
      </c>
      <c r="B657" t="str">
        <f>IF(COUNTIF(Controls_Raw!$A$5:$A$1504,A657)&gt;1,"Duplicate","OK")</f>
        <v>OK</v>
      </c>
      <c r="C657" t="str">
        <f>IF(LEN(TRIM(Controls_Raw!I657))=0,"Missing","OK")</f>
        <v>OK</v>
      </c>
      <c r="D657" t="str">
        <f>IF(LEN(TRIM(Controls_Raw!N657))=0,"Missing","OK")</f>
        <v>OK</v>
      </c>
      <c r="E657" t="str">
        <f>IF(OR(Controls_Raw!G657="USA",Controls_Raw!G657="UK"),"Standardize","OK")</f>
        <v>OK</v>
      </c>
      <c r="F657" t="str">
        <f>IF(Controls_Raw!E657&lt;&gt;TRIM(Controls_Raw!E657),"Trim","OK")</f>
        <v>OK</v>
      </c>
      <c r="G657" t="str">
        <f>IF(AND(Controls_Raw!L657&lt;DATE(2026,9,30),Controls_Raw!M657&lt;&gt;"Completed"),"Overdue","OK")</f>
        <v>OK</v>
      </c>
      <c r="H657" t="str">
        <f>IF(AND(Controls_Raw!Q657&lt;DATE(2026,9,30),Controls_Raw!R657&lt;&gt;"Completed",Controls_Raw!R657&lt;&gt;"Not Required"),"Overdue","OK")</f>
        <v>Overdue</v>
      </c>
      <c r="I657" t="str">
        <f t="shared" si="10"/>
        <v>Issue</v>
      </c>
    </row>
    <row r="658" spans="1:9" x14ac:dyDescent="0.2">
      <c r="A658" t="str">
        <f>Controls_Raw!A658</f>
        <v>CTRL-0654</v>
      </c>
      <c r="B658" t="str">
        <f>IF(COUNTIF(Controls_Raw!$A$5:$A$1504,A658)&gt;1,"Duplicate","OK")</f>
        <v>OK</v>
      </c>
      <c r="C658" t="str">
        <f>IF(LEN(TRIM(Controls_Raw!I658))=0,"Missing","OK")</f>
        <v>OK</v>
      </c>
      <c r="D658" t="str">
        <f>IF(LEN(TRIM(Controls_Raw!N658))=0,"Missing","OK")</f>
        <v>OK</v>
      </c>
      <c r="E658" t="str">
        <f>IF(OR(Controls_Raw!G658="USA",Controls_Raw!G658="UK"),"Standardize","OK")</f>
        <v>OK</v>
      </c>
      <c r="F658" t="str">
        <f>IF(Controls_Raw!E658&lt;&gt;TRIM(Controls_Raw!E658),"Trim","OK")</f>
        <v>OK</v>
      </c>
      <c r="G658" t="str">
        <f>IF(AND(Controls_Raw!L658&lt;DATE(2026,9,30),Controls_Raw!M658&lt;&gt;"Completed"),"Overdue","OK")</f>
        <v>OK</v>
      </c>
      <c r="H658" t="str">
        <f>IF(AND(Controls_Raw!Q658&lt;DATE(2026,9,30),Controls_Raw!R658&lt;&gt;"Completed",Controls_Raw!R658&lt;&gt;"Not Required"),"Overdue","OK")</f>
        <v>OK</v>
      </c>
      <c r="I658" t="str">
        <f t="shared" si="10"/>
        <v>Pass</v>
      </c>
    </row>
    <row r="659" spans="1:9" x14ac:dyDescent="0.2">
      <c r="A659" t="str">
        <f>Controls_Raw!A659</f>
        <v>CTRL-0655</v>
      </c>
      <c r="B659" t="str">
        <f>IF(COUNTIF(Controls_Raw!$A$5:$A$1504,A659)&gt;1,"Duplicate","OK")</f>
        <v>OK</v>
      </c>
      <c r="C659" t="str">
        <f>IF(LEN(TRIM(Controls_Raw!I659))=0,"Missing","OK")</f>
        <v>OK</v>
      </c>
      <c r="D659" t="str">
        <f>IF(LEN(TRIM(Controls_Raw!N659))=0,"Missing","OK")</f>
        <v>OK</v>
      </c>
      <c r="E659" t="str">
        <f>IF(OR(Controls_Raw!G659="USA",Controls_Raw!G659="UK"),"Standardize","OK")</f>
        <v>OK</v>
      </c>
      <c r="F659" t="str">
        <f>IF(Controls_Raw!E659&lt;&gt;TRIM(Controls_Raw!E659),"Trim","OK")</f>
        <v>OK</v>
      </c>
      <c r="G659" t="str">
        <f>IF(AND(Controls_Raw!L659&lt;DATE(2026,9,30),Controls_Raw!M659&lt;&gt;"Completed"),"Overdue","OK")</f>
        <v>OK</v>
      </c>
      <c r="H659" t="str">
        <f>IF(AND(Controls_Raw!Q659&lt;DATE(2026,9,30),Controls_Raw!R659&lt;&gt;"Completed",Controls_Raw!R659&lt;&gt;"Not Required"),"Overdue","OK")</f>
        <v>OK</v>
      </c>
      <c r="I659" t="str">
        <f t="shared" si="10"/>
        <v>Pass</v>
      </c>
    </row>
    <row r="660" spans="1:9" x14ac:dyDescent="0.2">
      <c r="A660" t="str">
        <f>Controls_Raw!A660</f>
        <v>CTRL-0656</v>
      </c>
      <c r="B660" t="str">
        <f>IF(COUNTIF(Controls_Raw!$A$5:$A$1504,A660)&gt;1,"Duplicate","OK")</f>
        <v>OK</v>
      </c>
      <c r="C660" t="str">
        <f>IF(LEN(TRIM(Controls_Raw!I660))=0,"Missing","OK")</f>
        <v>OK</v>
      </c>
      <c r="D660" t="str">
        <f>IF(LEN(TRIM(Controls_Raw!N660))=0,"Missing","OK")</f>
        <v>OK</v>
      </c>
      <c r="E660" t="str">
        <f>IF(OR(Controls_Raw!G660="USA",Controls_Raw!G660="UK"),"Standardize","OK")</f>
        <v>OK</v>
      </c>
      <c r="F660" t="str">
        <f>IF(Controls_Raw!E660&lt;&gt;TRIM(Controls_Raw!E660),"Trim","OK")</f>
        <v>OK</v>
      </c>
      <c r="G660" t="str">
        <f>IF(AND(Controls_Raw!L660&lt;DATE(2026,9,30),Controls_Raw!M660&lt;&gt;"Completed"),"Overdue","OK")</f>
        <v>OK</v>
      </c>
      <c r="H660" t="str">
        <f>IF(AND(Controls_Raw!Q660&lt;DATE(2026,9,30),Controls_Raw!R660&lt;&gt;"Completed",Controls_Raw!R660&lt;&gt;"Not Required"),"Overdue","OK")</f>
        <v>OK</v>
      </c>
      <c r="I660" t="str">
        <f t="shared" si="10"/>
        <v>Pass</v>
      </c>
    </row>
    <row r="661" spans="1:9" x14ac:dyDescent="0.2">
      <c r="A661" t="str">
        <f>Controls_Raw!A661</f>
        <v>CTRL-0657</v>
      </c>
      <c r="B661" t="str">
        <f>IF(COUNTIF(Controls_Raw!$A$5:$A$1504,A661)&gt;1,"Duplicate","OK")</f>
        <v>OK</v>
      </c>
      <c r="C661" t="str">
        <f>IF(LEN(TRIM(Controls_Raw!I661))=0,"Missing","OK")</f>
        <v>OK</v>
      </c>
      <c r="D661" t="str">
        <f>IF(LEN(TRIM(Controls_Raw!N661))=0,"Missing","OK")</f>
        <v>OK</v>
      </c>
      <c r="E661" t="str">
        <f>IF(OR(Controls_Raw!G661="USA",Controls_Raw!G661="UK"),"Standardize","OK")</f>
        <v>OK</v>
      </c>
      <c r="F661" t="str">
        <f>IF(Controls_Raw!E661&lt;&gt;TRIM(Controls_Raw!E661),"Trim","OK")</f>
        <v>OK</v>
      </c>
      <c r="G661" t="str">
        <f>IF(AND(Controls_Raw!L661&lt;DATE(2026,9,30),Controls_Raw!M661&lt;&gt;"Completed"),"Overdue","OK")</f>
        <v>Overdue</v>
      </c>
      <c r="H661" t="str">
        <f>IF(AND(Controls_Raw!Q661&lt;DATE(2026,9,30),Controls_Raw!R661&lt;&gt;"Completed",Controls_Raw!R661&lt;&gt;"Not Required"),"Overdue","OK")</f>
        <v>OK</v>
      </c>
      <c r="I661" t="str">
        <f t="shared" si="10"/>
        <v>Issue</v>
      </c>
    </row>
    <row r="662" spans="1:9" x14ac:dyDescent="0.2">
      <c r="A662" t="str">
        <f>Controls_Raw!A662</f>
        <v>CTRL-0658</v>
      </c>
      <c r="B662" t="str">
        <f>IF(COUNTIF(Controls_Raw!$A$5:$A$1504,A662)&gt;1,"Duplicate","OK")</f>
        <v>OK</v>
      </c>
      <c r="C662" t="str">
        <f>IF(LEN(TRIM(Controls_Raw!I662))=0,"Missing","OK")</f>
        <v>OK</v>
      </c>
      <c r="D662" t="str">
        <f>IF(LEN(TRIM(Controls_Raw!N662))=0,"Missing","OK")</f>
        <v>OK</v>
      </c>
      <c r="E662" t="str">
        <f>IF(OR(Controls_Raw!G662="USA",Controls_Raw!G662="UK"),"Standardize","OK")</f>
        <v>OK</v>
      </c>
      <c r="F662" t="str">
        <f>IF(Controls_Raw!E662&lt;&gt;TRIM(Controls_Raw!E662),"Trim","OK")</f>
        <v>Trim</v>
      </c>
      <c r="G662" t="str">
        <f>IF(AND(Controls_Raw!L662&lt;DATE(2026,9,30),Controls_Raw!M662&lt;&gt;"Completed"),"Overdue","OK")</f>
        <v>OK</v>
      </c>
      <c r="H662" t="str">
        <f>IF(AND(Controls_Raw!Q662&lt;DATE(2026,9,30),Controls_Raw!R662&lt;&gt;"Completed",Controls_Raw!R662&lt;&gt;"Not Required"),"Overdue","OK")</f>
        <v>OK</v>
      </c>
      <c r="I662" t="str">
        <f t="shared" si="10"/>
        <v>Issue</v>
      </c>
    </row>
    <row r="663" spans="1:9" x14ac:dyDescent="0.2">
      <c r="A663" t="str">
        <f>Controls_Raw!A663</f>
        <v>CTRL-0659</v>
      </c>
      <c r="B663" t="str">
        <f>IF(COUNTIF(Controls_Raw!$A$5:$A$1504,A663)&gt;1,"Duplicate","OK")</f>
        <v>OK</v>
      </c>
      <c r="C663" t="str">
        <f>IF(LEN(TRIM(Controls_Raw!I663))=0,"Missing","OK")</f>
        <v>Missing</v>
      </c>
      <c r="D663" t="str">
        <f>IF(LEN(TRIM(Controls_Raw!N663))=0,"Missing","OK")</f>
        <v>OK</v>
      </c>
      <c r="E663" t="str">
        <f>IF(OR(Controls_Raw!G663="USA",Controls_Raw!G663="UK"),"Standardize","OK")</f>
        <v>OK</v>
      </c>
      <c r="F663" t="str">
        <f>IF(Controls_Raw!E663&lt;&gt;TRIM(Controls_Raw!E663),"Trim","OK")</f>
        <v>OK</v>
      </c>
      <c r="G663" t="str">
        <f>IF(AND(Controls_Raw!L663&lt;DATE(2026,9,30),Controls_Raw!M663&lt;&gt;"Completed"),"Overdue","OK")</f>
        <v>OK</v>
      </c>
      <c r="H663" t="str">
        <f>IF(AND(Controls_Raw!Q663&lt;DATE(2026,9,30),Controls_Raw!R663&lt;&gt;"Completed",Controls_Raw!R663&lt;&gt;"Not Required"),"Overdue","OK")</f>
        <v>Overdue</v>
      </c>
      <c r="I663" t="str">
        <f t="shared" si="10"/>
        <v>Issue</v>
      </c>
    </row>
    <row r="664" spans="1:9" x14ac:dyDescent="0.2">
      <c r="A664" t="str">
        <f>Controls_Raw!A664</f>
        <v>CTRL-0660</v>
      </c>
      <c r="B664" t="str">
        <f>IF(COUNTIF(Controls_Raw!$A$5:$A$1504,A664)&gt;1,"Duplicate","OK")</f>
        <v>OK</v>
      </c>
      <c r="C664" t="str">
        <f>IF(LEN(TRIM(Controls_Raw!I664))=0,"Missing","OK")</f>
        <v>OK</v>
      </c>
      <c r="D664" t="str">
        <f>IF(LEN(TRIM(Controls_Raw!N664))=0,"Missing","OK")</f>
        <v>OK</v>
      </c>
      <c r="E664" t="str">
        <f>IF(OR(Controls_Raw!G664="USA",Controls_Raw!G664="UK"),"Standardize","OK")</f>
        <v>OK</v>
      </c>
      <c r="F664" t="str">
        <f>IF(Controls_Raw!E664&lt;&gt;TRIM(Controls_Raw!E664),"Trim","OK")</f>
        <v>OK</v>
      </c>
      <c r="G664" t="str">
        <f>IF(AND(Controls_Raw!L664&lt;DATE(2026,9,30),Controls_Raw!M664&lt;&gt;"Completed"),"Overdue","OK")</f>
        <v>Overdue</v>
      </c>
      <c r="H664" t="str">
        <f>IF(AND(Controls_Raw!Q664&lt;DATE(2026,9,30),Controls_Raw!R664&lt;&gt;"Completed",Controls_Raw!R664&lt;&gt;"Not Required"),"Overdue","OK")</f>
        <v>Overdue</v>
      </c>
      <c r="I664" t="str">
        <f t="shared" si="10"/>
        <v>Issue</v>
      </c>
    </row>
    <row r="665" spans="1:9" x14ac:dyDescent="0.2">
      <c r="A665" t="str">
        <f>Controls_Raw!A665</f>
        <v>CTRL-0661</v>
      </c>
      <c r="B665" t="str">
        <f>IF(COUNTIF(Controls_Raw!$A$5:$A$1504,A665)&gt;1,"Duplicate","OK")</f>
        <v>OK</v>
      </c>
      <c r="C665" t="str">
        <f>IF(LEN(TRIM(Controls_Raw!I665))=0,"Missing","OK")</f>
        <v>OK</v>
      </c>
      <c r="D665" t="str">
        <f>IF(LEN(TRIM(Controls_Raw!N665))=0,"Missing","OK")</f>
        <v>OK</v>
      </c>
      <c r="E665" t="str">
        <f>IF(OR(Controls_Raw!G665="USA",Controls_Raw!G665="UK"),"Standardize","OK")</f>
        <v>OK</v>
      </c>
      <c r="F665" t="str">
        <f>IF(Controls_Raw!E665&lt;&gt;TRIM(Controls_Raw!E665),"Trim","OK")</f>
        <v>OK</v>
      </c>
      <c r="G665" t="str">
        <f>IF(AND(Controls_Raw!L665&lt;DATE(2026,9,30),Controls_Raw!M665&lt;&gt;"Completed"),"Overdue","OK")</f>
        <v>Overdue</v>
      </c>
      <c r="H665" t="str">
        <f>IF(AND(Controls_Raw!Q665&lt;DATE(2026,9,30),Controls_Raw!R665&lt;&gt;"Completed",Controls_Raw!R665&lt;&gt;"Not Required"),"Overdue","OK")</f>
        <v>OK</v>
      </c>
      <c r="I665" t="str">
        <f t="shared" si="10"/>
        <v>Issue</v>
      </c>
    </row>
    <row r="666" spans="1:9" x14ac:dyDescent="0.2">
      <c r="A666" t="str">
        <f>Controls_Raw!A666</f>
        <v>CTRL-0662</v>
      </c>
      <c r="B666" t="str">
        <f>IF(COUNTIF(Controls_Raw!$A$5:$A$1504,A666)&gt;1,"Duplicate","OK")</f>
        <v>OK</v>
      </c>
      <c r="C666" t="str">
        <f>IF(LEN(TRIM(Controls_Raw!I666))=0,"Missing","OK")</f>
        <v>OK</v>
      </c>
      <c r="D666" t="str">
        <f>IF(LEN(TRIM(Controls_Raw!N666))=0,"Missing","OK")</f>
        <v>OK</v>
      </c>
      <c r="E666" t="str">
        <f>IF(OR(Controls_Raw!G666="USA",Controls_Raw!G666="UK"),"Standardize","OK")</f>
        <v>OK</v>
      </c>
      <c r="F666" t="str">
        <f>IF(Controls_Raw!E666&lt;&gt;TRIM(Controls_Raw!E666),"Trim","OK")</f>
        <v>OK</v>
      </c>
      <c r="G666" t="str">
        <f>IF(AND(Controls_Raw!L666&lt;DATE(2026,9,30),Controls_Raw!M666&lt;&gt;"Completed"),"Overdue","OK")</f>
        <v>Overdue</v>
      </c>
      <c r="H666" t="str">
        <f>IF(AND(Controls_Raw!Q666&lt;DATE(2026,9,30),Controls_Raw!R666&lt;&gt;"Completed",Controls_Raw!R666&lt;&gt;"Not Required"),"Overdue","OK")</f>
        <v>OK</v>
      </c>
      <c r="I666" t="str">
        <f t="shared" si="10"/>
        <v>Issue</v>
      </c>
    </row>
    <row r="667" spans="1:9" x14ac:dyDescent="0.2">
      <c r="A667" t="str">
        <f>Controls_Raw!A667</f>
        <v>CTRL-0663</v>
      </c>
      <c r="B667" t="str">
        <f>IF(COUNTIF(Controls_Raw!$A$5:$A$1504,A667)&gt;1,"Duplicate","OK")</f>
        <v>OK</v>
      </c>
      <c r="C667" t="str">
        <f>IF(LEN(TRIM(Controls_Raw!I667))=0,"Missing","OK")</f>
        <v>OK</v>
      </c>
      <c r="D667" t="str">
        <f>IF(LEN(TRIM(Controls_Raw!N667))=0,"Missing","OK")</f>
        <v>OK</v>
      </c>
      <c r="E667" t="str">
        <f>IF(OR(Controls_Raw!G667="USA",Controls_Raw!G667="UK"),"Standardize","OK")</f>
        <v>OK</v>
      </c>
      <c r="F667" t="str">
        <f>IF(Controls_Raw!E667&lt;&gt;TRIM(Controls_Raw!E667),"Trim","OK")</f>
        <v>OK</v>
      </c>
      <c r="G667" t="str">
        <f>IF(AND(Controls_Raw!L667&lt;DATE(2026,9,30),Controls_Raw!M667&lt;&gt;"Completed"),"Overdue","OK")</f>
        <v>OK</v>
      </c>
      <c r="H667" t="str">
        <f>IF(AND(Controls_Raw!Q667&lt;DATE(2026,9,30),Controls_Raw!R667&lt;&gt;"Completed",Controls_Raw!R667&lt;&gt;"Not Required"),"Overdue","OK")</f>
        <v>OK</v>
      </c>
      <c r="I667" t="str">
        <f t="shared" si="10"/>
        <v>Pass</v>
      </c>
    </row>
    <row r="668" spans="1:9" x14ac:dyDescent="0.2">
      <c r="A668" t="str">
        <f>Controls_Raw!A668</f>
        <v>CTRL-0664</v>
      </c>
      <c r="B668" t="str">
        <f>IF(COUNTIF(Controls_Raw!$A$5:$A$1504,A668)&gt;1,"Duplicate","OK")</f>
        <v>OK</v>
      </c>
      <c r="C668" t="str">
        <f>IF(LEN(TRIM(Controls_Raw!I668))=0,"Missing","OK")</f>
        <v>OK</v>
      </c>
      <c r="D668" t="str">
        <f>IF(LEN(TRIM(Controls_Raw!N668))=0,"Missing","OK")</f>
        <v>OK</v>
      </c>
      <c r="E668" t="str">
        <f>IF(OR(Controls_Raw!G668="USA",Controls_Raw!G668="UK"),"Standardize","OK")</f>
        <v>OK</v>
      </c>
      <c r="F668" t="str">
        <f>IF(Controls_Raw!E668&lt;&gt;TRIM(Controls_Raw!E668),"Trim","OK")</f>
        <v>OK</v>
      </c>
      <c r="G668" t="str">
        <f>IF(AND(Controls_Raw!L668&lt;DATE(2026,9,30),Controls_Raw!M668&lt;&gt;"Completed"),"Overdue","OK")</f>
        <v>Overdue</v>
      </c>
      <c r="H668" t="str">
        <f>IF(AND(Controls_Raw!Q668&lt;DATE(2026,9,30),Controls_Raw!R668&lt;&gt;"Completed",Controls_Raw!R668&lt;&gt;"Not Required"),"Overdue","OK")</f>
        <v>Overdue</v>
      </c>
      <c r="I668" t="str">
        <f t="shared" si="10"/>
        <v>Issue</v>
      </c>
    </row>
    <row r="669" spans="1:9" x14ac:dyDescent="0.2">
      <c r="A669" t="str">
        <f>Controls_Raw!A669</f>
        <v>CTRL-0665</v>
      </c>
      <c r="B669" t="str">
        <f>IF(COUNTIF(Controls_Raw!$A$5:$A$1504,A669)&gt;1,"Duplicate","OK")</f>
        <v>OK</v>
      </c>
      <c r="C669" t="str">
        <f>IF(LEN(TRIM(Controls_Raw!I669))=0,"Missing","OK")</f>
        <v>OK</v>
      </c>
      <c r="D669" t="str">
        <f>IF(LEN(TRIM(Controls_Raw!N669))=0,"Missing","OK")</f>
        <v>Missing</v>
      </c>
      <c r="E669" t="str">
        <f>IF(OR(Controls_Raw!G669="USA",Controls_Raw!G669="UK"),"Standardize","OK")</f>
        <v>OK</v>
      </c>
      <c r="F669" t="str">
        <f>IF(Controls_Raw!E669&lt;&gt;TRIM(Controls_Raw!E669),"Trim","OK")</f>
        <v>OK</v>
      </c>
      <c r="G669" t="str">
        <f>IF(AND(Controls_Raw!L669&lt;DATE(2026,9,30),Controls_Raw!M669&lt;&gt;"Completed"),"Overdue","OK")</f>
        <v>OK</v>
      </c>
      <c r="H669" t="str">
        <f>IF(AND(Controls_Raw!Q669&lt;DATE(2026,9,30),Controls_Raw!R669&lt;&gt;"Completed",Controls_Raw!R669&lt;&gt;"Not Required"),"Overdue","OK")</f>
        <v>Overdue</v>
      </c>
      <c r="I669" t="str">
        <f t="shared" si="10"/>
        <v>Issue</v>
      </c>
    </row>
    <row r="670" spans="1:9" x14ac:dyDescent="0.2">
      <c r="A670" t="str">
        <f>Controls_Raw!A670</f>
        <v>CTRL-0666</v>
      </c>
      <c r="B670" t="str">
        <f>IF(COUNTIF(Controls_Raw!$A$5:$A$1504,A670)&gt;1,"Duplicate","OK")</f>
        <v>OK</v>
      </c>
      <c r="C670" t="str">
        <f>IF(LEN(TRIM(Controls_Raw!I670))=0,"Missing","OK")</f>
        <v>OK</v>
      </c>
      <c r="D670" t="str">
        <f>IF(LEN(TRIM(Controls_Raw!N670))=0,"Missing","OK")</f>
        <v>OK</v>
      </c>
      <c r="E670" t="str">
        <f>IF(OR(Controls_Raw!G670="USA",Controls_Raw!G670="UK"),"Standardize","OK")</f>
        <v>OK</v>
      </c>
      <c r="F670" t="str">
        <f>IF(Controls_Raw!E670&lt;&gt;TRIM(Controls_Raw!E670),"Trim","OK")</f>
        <v>OK</v>
      </c>
      <c r="G670" t="str">
        <f>IF(AND(Controls_Raw!L670&lt;DATE(2026,9,30),Controls_Raw!M670&lt;&gt;"Completed"),"Overdue","OK")</f>
        <v>OK</v>
      </c>
      <c r="H670" t="str">
        <f>IF(AND(Controls_Raw!Q670&lt;DATE(2026,9,30),Controls_Raw!R670&lt;&gt;"Completed",Controls_Raw!R670&lt;&gt;"Not Required"),"Overdue","OK")</f>
        <v>OK</v>
      </c>
      <c r="I670" t="str">
        <f t="shared" si="10"/>
        <v>Pass</v>
      </c>
    </row>
    <row r="671" spans="1:9" x14ac:dyDescent="0.2">
      <c r="A671" t="str">
        <f>Controls_Raw!A671</f>
        <v>CTRL-0667</v>
      </c>
      <c r="B671" t="str">
        <f>IF(COUNTIF(Controls_Raw!$A$5:$A$1504,A671)&gt;1,"Duplicate","OK")</f>
        <v>OK</v>
      </c>
      <c r="C671" t="str">
        <f>IF(LEN(TRIM(Controls_Raw!I671))=0,"Missing","OK")</f>
        <v>OK</v>
      </c>
      <c r="D671" t="str">
        <f>IF(LEN(TRIM(Controls_Raw!N671))=0,"Missing","OK")</f>
        <v>OK</v>
      </c>
      <c r="E671" t="str">
        <f>IF(OR(Controls_Raw!G671="USA",Controls_Raw!G671="UK"),"Standardize","OK")</f>
        <v>OK</v>
      </c>
      <c r="F671" t="str">
        <f>IF(Controls_Raw!E671&lt;&gt;TRIM(Controls_Raw!E671),"Trim","OK")</f>
        <v>OK</v>
      </c>
      <c r="G671" t="str">
        <f>IF(AND(Controls_Raw!L671&lt;DATE(2026,9,30),Controls_Raw!M671&lt;&gt;"Completed"),"Overdue","OK")</f>
        <v>Overdue</v>
      </c>
      <c r="H671" t="str">
        <f>IF(AND(Controls_Raw!Q671&lt;DATE(2026,9,30),Controls_Raw!R671&lt;&gt;"Completed",Controls_Raw!R671&lt;&gt;"Not Required"),"Overdue","OK")</f>
        <v>OK</v>
      </c>
      <c r="I671" t="str">
        <f t="shared" si="10"/>
        <v>Issue</v>
      </c>
    </row>
    <row r="672" spans="1:9" x14ac:dyDescent="0.2">
      <c r="A672" t="str">
        <f>Controls_Raw!A672</f>
        <v>CTRL-0668</v>
      </c>
      <c r="B672" t="str">
        <f>IF(COUNTIF(Controls_Raw!$A$5:$A$1504,A672)&gt;1,"Duplicate","OK")</f>
        <v>OK</v>
      </c>
      <c r="C672" t="str">
        <f>IF(LEN(TRIM(Controls_Raw!I672))=0,"Missing","OK")</f>
        <v>OK</v>
      </c>
      <c r="D672" t="str">
        <f>IF(LEN(TRIM(Controls_Raw!N672))=0,"Missing","OK")</f>
        <v>OK</v>
      </c>
      <c r="E672" t="str">
        <f>IF(OR(Controls_Raw!G672="USA",Controls_Raw!G672="UK"),"Standardize","OK")</f>
        <v>OK</v>
      </c>
      <c r="F672" t="str">
        <f>IF(Controls_Raw!E672&lt;&gt;TRIM(Controls_Raw!E672),"Trim","OK")</f>
        <v>OK</v>
      </c>
      <c r="G672" t="str">
        <f>IF(AND(Controls_Raw!L672&lt;DATE(2026,9,30),Controls_Raw!M672&lt;&gt;"Completed"),"Overdue","OK")</f>
        <v>OK</v>
      </c>
      <c r="H672" t="str">
        <f>IF(AND(Controls_Raw!Q672&lt;DATE(2026,9,30),Controls_Raw!R672&lt;&gt;"Completed",Controls_Raw!R672&lt;&gt;"Not Required"),"Overdue","OK")</f>
        <v>OK</v>
      </c>
      <c r="I672" t="str">
        <f t="shared" si="10"/>
        <v>Pass</v>
      </c>
    </row>
    <row r="673" spans="1:9" x14ac:dyDescent="0.2">
      <c r="A673" t="str">
        <f>Controls_Raw!A673</f>
        <v>CTRL-0669</v>
      </c>
      <c r="B673" t="str">
        <f>IF(COUNTIF(Controls_Raw!$A$5:$A$1504,A673)&gt;1,"Duplicate","OK")</f>
        <v>OK</v>
      </c>
      <c r="C673" t="str">
        <f>IF(LEN(TRIM(Controls_Raw!I673))=0,"Missing","OK")</f>
        <v>OK</v>
      </c>
      <c r="D673" t="str">
        <f>IF(LEN(TRIM(Controls_Raw!N673))=0,"Missing","OK")</f>
        <v>OK</v>
      </c>
      <c r="E673" t="str">
        <f>IF(OR(Controls_Raw!G673="USA",Controls_Raw!G673="UK"),"Standardize","OK")</f>
        <v>OK</v>
      </c>
      <c r="F673" t="str">
        <f>IF(Controls_Raw!E673&lt;&gt;TRIM(Controls_Raw!E673),"Trim","OK")</f>
        <v>OK</v>
      </c>
      <c r="G673" t="str">
        <f>IF(AND(Controls_Raw!L673&lt;DATE(2026,9,30),Controls_Raw!M673&lt;&gt;"Completed"),"Overdue","OK")</f>
        <v>OK</v>
      </c>
      <c r="H673" t="str">
        <f>IF(AND(Controls_Raw!Q673&lt;DATE(2026,9,30),Controls_Raw!R673&lt;&gt;"Completed",Controls_Raw!R673&lt;&gt;"Not Required"),"Overdue","OK")</f>
        <v>OK</v>
      </c>
      <c r="I673" t="str">
        <f t="shared" si="10"/>
        <v>Pass</v>
      </c>
    </row>
    <row r="674" spans="1:9" x14ac:dyDescent="0.2">
      <c r="A674" t="str">
        <f>Controls_Raw!A674</f>
        <v>CTRL-0670</v>
      </c>
      <c r="B674" t="str">
        <f>IF(COUNTIF(Controls_Raw!$A$5:$A$1504,A674)&gt;1,"Duplicate","OK")</f>
        <v>OK</v>
      </c>
      <c r="C674" t="str">
        <f>IF(LEN(TRIM(Controls_Raw!I674))=0,"Missing","OK")</f>
        <v>OK</v>
      </c>
      <c r="D674" t="str">
        <f>IF(LEN(TRIM(Controls_Raw!N674))=0,"Missing","OK")</f>
        <v>OK</v>
      </c>
      <c r="E674" t="str">
        <f>IF(OR(Controls_Raw!G674="USA",Controls_Raw!G674="UK"),"Standardize","OK")</f>
        <v>OK</v>
      </c>
      <c r="F674" t="str">
        <f>IF(Controls_Raw!E674&lt;&gt;TRIM(Controls_Raw!E674),"Trim","OK")</f>
        <v>OK</v>
      </c>
      <c r="G674" t="str">
        <f>IF(AND(Controls_Raw!L674&lt;DATE(2026,9,30),Controls_Raw!M674&lt;&gt;"Completed"),"Overdue","OK")</f>
        <v>Overdue</v>
      </c>
      <c r="H674" t="str">
        <f>IF(AND(Controls_Raw!Q674&lt;DATE(2026,9,30),Controls_Raw!R674&lt;&gt;"Completed",Controls_Raw!R674&lt;&gt;"Not Required"),"Overdue","OK")</f>
        <v>OK</v>
      </c>
      <c r="I674" t="str">
        <f t="shared" si="10"/>
        <v>Issue</v>
      </c>
    </row>
    <row r="675" spans="1:9" x14ac:dyDescent="0.2">
      <c r="A675" t="str">
        <f>Controls_Raw!A675</f>
        <v>CTRL-0671</v>
      </c>
      <c r="B675" t="str">
        <f>IF(COUNTIF(Controls_Raw!$A$5:$A$1504,A675)&gt;1,"Duplicate","OK")</f>
        <v>OK</v>
      </c>
      <c r="C675" t="str">
        <f>IF(LEN(TRIM(Controls_Raw!I675))=0,"Missing","OK")</f>
        <v>OK</v>
      </c>
      <c r="D675" t="str">
        <f>IF(LEN(TRIM(Controls_Raw!N675))=0,"Missing","OK")</f>
        <v>OK</v>
      </c>
      <c r="E675" t="str">
        <f>IF(OR(Controls_Raw!G675="USA",Controls_Raw!G675="UK"),"Standardize","OK")</f>
        <v>OK</v>
      </c>
      <c r="F675" t="str">
        <f>IF(Controls_Raw!E675&lt;&gt;TRIM(Controls_Raw!E675),"Trim","OK")</f>
        <v>OK</v>
      </c>
      <c r="G675" t="str">
        <f>IF(AND(Controls_Raw!L675&lt;DATE(2026,9,30),Controls_Raw!M675&lt;&gt;"Completed"),"Overdue","OK")</f>
        <v>OK</v>
      </c>
      <c r="H675" t="str">
        <f>IF(AND(Controls_Raw!Q675&lt;DATE(2026,9,30),Controls_Raw!R675&lt;&gt;"Completed",Controls_Raw!R675&lt;&gt;"Not Required"),"Overdue","OK")</f>
        <v>Overdue</v>
      </c>
      <c r="I675" t="str">
        <f t="shared" si="10"/>
        <v>Issue</v>
      </c>
    </row>
    <row r="676" spans="1:9" x14ac:dyDescent="0.2">
      <c r="A676" t="str">
        <f>Controls_Raw!A676</f>
        <v>CTRL-0672</v>
      </c>
      <c r="B676" t="str">
        <f>IF(COUNTIF(Controls_Raw!$A$5:$A$1504,A676)&gt;1,"Duplicate","OK")</f>
        <v>OK</v>
      </c>
      <c r="C676" t="str">
        <f>IF(LEN(TRIM(Controls_Raw!I676))=0,"Missing","OK")</f>
        <v>OK</v>
      </c>
      <c r="D676" t="str">
        <f>IF(LEN(TRIM(Controls_Raw!N676))=0,"Missing","OK")</f>
        <v>OK</v>
      </c>
      <c r="E676" t="str">
        <f>IF(OR(Controls_Raw!G676="USA",Controls_Raw!G676="UK"),"Standardize","OK")</f>
        <v>OK</v>
      </c>
      <c r="F676" t="str">
        <f>IF(Controls_Raw!E676&lt;&gt;TRIM(Controls_Raw!E676),"Trim","OK")</f>
        <v>OK</v>
      </c>
      <c r="G676" t="str">
        <f>IF(AND(Controls_Raw!L676&lt;DATE(2026,9,30),Controls_Raw!M676&lt;&gt;"Completed"),"Overdue","OK")</f>
        <v>OK</v>
      </c>
      <c r="H676" t="str">
        <f>IF(AND(Controls_Raw!Q676&lt;DATE(2026,9,30),Controls_Raw!R676&lt;&gt;"Completed",Controls_Raw!R676&lt;&gt;"Not Required"),"Overdue","OK")</f>
        <v>OK</v>
      </c>
      <c r="I676" t="str">
        <f t="shared" si="10"/>
        <v>Pass</v>
      </c>
    </row>
    <row r="677" spans="1:9" x14ac:dyDescent="0.2">
      <c r="A677" t="str">
        <f>Controls_Raw!A677</f>
        <v>CTRL-0673</v>
      </c>
      <c r="B677" t="str">
        <f>IF(COUNTIF(Controls_Raw!$A$5:$A$1504,A677)&gt;1,"Duplicate","OK")</f>
        <v>OK</v>
      </c>
      <c r="C677" t="str">
        <f>IF(LEN(TRIM(Controls_Raw!I677))=0,"Missing","OK")</f>
        <v>OK</v>
      </c>
      <c r="D677" t="str">
        <f>IF(LEN(TRIM(Controls_Raw!N677))=0,"Missing","OK")</f>
        <v>OK</v>
      </c>
      <c r="E677" t="str">
        <f>IF(OR(Controls_Raw!G677="USA",Controls_Raw!G677="UK"),"Standardize","OK")</f>
        <v>OK</v>
      </c>
      <c r="F677" t="str">
        <f>IF(Controls_Raw!E677&lt;&gt;TRIM(Controls_Raw!E677),"Trim","OK")</f>
        <v>OK</v>
      </c>
      <c r="G677" t="str">
        <f>IF(AND(Controls_Raw!L677&lt;DATE(2026,9,30),Controls_Raw!M677&lt;&gt;"Completed"),"Overdue","OK")</f>
        <v>Overdue</v>
      </c>
      <c r="H677" t="str">
        <f>IF(AND(Controls_Raw!Q677&lt;DATE(2026,9,30),Controls_Raw!R677&lt;&gt;"Completed",Controls_Raw!R677&lt;&gt;"Not Required"),"Overdue","OK")</f>
        <v>Overdue</v>
      </c>
      <c r="I677" t="str">
        <f t="shared" si="10"/>
        <v>Issue</v>
      </c>
    </row>
    <row r="678" spans="1:9" x14ac:dyDescent="0.2">
      <c r="A678" t="str">
        <f>Controls_Raw!A678</f>
        <v>CTRL-0674</v>
      </c>
      <c r="B678" t="str">
        <f>IF(COUNTIF(Controls_Raw!$A$5:$A$1504,A678)&gt;1,"Duplicate","OK")</f>
        <v>OK</v>
      </c>
      <c r="C678" t="str">
        <f>IF(LEN(TRIM(Controls_Raw!I678))=0,"Missing","OK")</f>
        <v>OK</v>
      </c>
      <c r="D678" t="str">
        <f>IF(LEN(TRIM(Controls_Raw!N678))=0,"Missing","OK")</f>
        <v>OK</v>
      </c>
      <c r="E678" t="str">
        <f>IF(OR(Controls_Raw!G678="USA",Controls_Raw!G678="UK"),"Standardize","OK")</f>
        <v>OK</v>
      </c>
      <c r="F678" t="str">
        <f>IF(Controls_Raw!E678&lt;&gt;TRIM(Controls_Raw!E678),"Trim","OK")</f>
        <v>OK</v>
      </c>
      <c r="G678" t="str">
        <f>IF(AND(Controls_Raw!L678&lt;DATE(2026,9,30),Controls_Raw!M678&lt;&gt;"Completed"),"Overdue","OK")</f>
        <v>Overdue</v>
      </c>
      <c r="H678" t="str">
        <f>IF(AND(Controls_Raw!Q678&lt;DATE(2026,9,30),Controls_Raw!R678&lt;&gt;"Completed",Controls_Raw!R678&lt;&gt;"Not Required"),"Overdue","OK")</f>
        <v>OK</v>
      </c>
      <c r="I678" t="str">
        <f t="shared" si="10"/>
        <v>Issue</v>
      </c>
    </row>
    <row r="679" spans="1:9" x14ac:dyDescent="0.2">
      <c r="A679" t="str">
        <f>Controls_Raw!A679</f>
        <v>CTRL-0675</v>
      </c>
      <c r="B679" t="str">
        <f>IF(COUNTIF(Controls_Raw!$A$5:$A$1504,A679)&gt;1,"Duplicate","OK")</f>
        <v>OK</v>
      </c>
      <c r="C679" t="str">
        <f>IF(LEN(TRIM(Controls_Raw!I679))=0,"Missing","OK")</f>
        <v>OK</v>
      </c>
      <c r="D679" t="str">
        <f>IF(LEN(TRIM(Controls_Raw!N679))=0,"Missing","OK")</f>
        <v>OK</v>
      </c>
      <c r="E679" t="str">
        <f>IF(OR(Controls_Raw!G679="USA",Controls_Raw!G679="UK"),"Standardize","OK")</f>
        <v>OK</v>
      </c>
      <c r="F679" t="str">
        <f>IF(Controls_Raw!E679&lt;&gt;TRIM(Controls_Raw!E679),"Trim","OK")</f>
        <v>OK</v>
      </c>
      <c r="G679" t="str">
        <f>IF(AND(Controls_Raw!L679&lt;DATE(2026,9,30),Controls_Raw!M679&lt;&gt;"Completed"),"Overdue","OK")</f>
        <v>Overdue</v>
      </c>
      <c r="H679" t="str">
        <f>IF(AND(Controls_Raw!Q679&lt;DATE(2026,9,30),Controls_Raw!R679&lt;&gt;"Completed",Controls_Raw!R679&lt;&gt;"Not Required"),"Overdue","OK")</f>
        <v>Overdue</v>
      </c>
      <c r="I679" t="str">
        <f t="shared" si="10"/>
        <v>Issue</v>
      </c>
    </row>
    <row r="680" spans="1:9" x14ac:dyDescent="0.2">
      <c r="A680" t="str">
        <f>Controls_Raw!A680</f>
        <v>CTRL-0676</v>
      </c>
      <c r="B680" t="str">
        <f>IF(COUNTIF(Controls_Raw!$A$5:$A$1504,A680)&gt;1,"Duplicate","OK")</f>
        <v>OK</v>
      </c>
      <c r="C680" t="str">
        <f>IF(LEN(TRIM(Controls_Raw!I680))=0,"Missing","OK")</f>
        <v>OK</v>
      </c>
      <c r="D680" t="str">
        <f>IF(LEN(TRIM(Controls_Raw!N680))=0,"Missing","OK")</f>
        <v>OK</v>
      </c>
      <c r="E680" t="str">
        <f>IF(OR(Controls_Raw!G680="USA",Controls_Raw!G680="UK"),"Standardize","OK")</f>
        <v>OK</v>
      </c>
      <c r="F680" t="str">
        <f>IF(Controls_Raw!E680&lt;&gt;TRIM(Controls_Raw!E680),"Trim","OK")</f>
        <v>OK</v>
      </c>
      <c r="G680" t="str">
        <f>IF(AND(Controls_Raw!L680&lt;DATE(2026,9,30),Controls_Raw!M680&lt;&gt;"Completed"),"Overdue","OK")</f>
        <v>Overdue</v>
      </c>
      <c r="H680" t="str">
        <f>IF(AND(Controls_Raw!Q680&lt;DATE(2026,9,30),Controls_Raw!R680&lt;&gt;"Completed",Controls_Raw!R680&lt;&gt;"Not Required"),"Overdue","OK")</f>
        <v>Overdue</v>
      </c>
      <c r="I680" t="str">
        <f t="shared" si="10"/>
        <v>Issue</v>
      </c>
    </row>
    <row r="681" spans="1:9" x14ac:dyDescent="0.2">
      <c r="A681" t="str">
        <f>Controls_Raw!A681</f>
        <v>CTRL-0677</v>
      </c>
      <c r="B681" t="str">
        <f>IF(COUNTIF(Controls_Raw!$A$5:$A$1504,A681)&gt;1,"Duplicate","OK")</f>
        <v>OK</v>
      </c>
      <c r="C681" t="str">
        <f>IF(LEN(TRIM(Controls_Raw!I681))=0,"Missing","OK")</f>
        <v>OK</v>
      </c>
      <c r="D681" t="str">
        <f>IF(LEN(TRIM(Controls_Raw!N681))=0,"Missing","OK")</f>
        <v>OK</v>
      </c>
      <c r="E681" t="str">
        <f>IF(OR(Controls_Raw!G681="USA",Controls_Raw!G681="UK"),"Standardize","OK")</f>
        <v>OK</v>
      </c>
      <c r="F681" t="str">
        <f>IF(Controls_Raw!E681&lt;&gt;TRIM(Controls_Raw!E681),"Trim","OK")</f>
        <v>OK</v>
      </c>
      <c r="G681" t="str">
        <f>IF(AND(Controls_Raw!L681&lt;DATE(2026,9,30),Controls_Raw!M681&lt;&gt;"Completed"),"Overdue","OK")</f>
        <v>Overdue</v>
      </c>
      <c r="H681" t="str">
        <f>IF(AND(Controls_Raw!Q681&lt;DATE(2026,9,30),Controls_Raw!R681&lt;&gt;"Completed",Controls_Raw!R681&lt;&gt;"Not Required"),"Overdue","OK")</f>
        <v>OK</v>
      </c>
      <c r="I681" t="str">
        <f t="shared" si="10"/>
        <v>Issue</v>
      </c>
    </row>
    <row r="682" spans="1:9" x14ac:dyDescent="0.2">
      <c r="A682" t="str">
        <f>Controls_Raw!A682</f>
        <v>CTRL-0678</v>
      </c>
      <c r="B682" t="str">
        <f>IF(COUNTIF(Controls_Raw!$A$5:$A$1504,A682)&gt;1,"Duplicate","OK")</f>
        <v>OK</v>
      </c>
      <c r="C682" t="str">
        <f>IF(LEN(TRIM(Controls_Raw!I682))=0,"Missing","OK")</f>
        <v>OK</v>
      </c>
      <c r="D682" t="str">
        <f>IF(LEN(TRIM(Controls_Raw!N682))=0,"Missing","OK")</f>
        <v>OK</v>
      </c>
      <c r="E682" t="str">
        <f>IF(OR(Controls_Raw!G682="USA",Controls_Raw!G682="UK"),"Standardize","OK")</f>
        <v>OK</v>
      </c>
      <c r="F682" t="str">
        <f>IF(Controls_Raw!E682&lt;&gt;TRIM(Controls_Raw!E682),"Trim","OK")</f>
        <v>OK</v>
      </c>
      <c r="G682" t="str">
        <f>IF(AND(Controls_Raw!L682&lt;DATE(2026,9,30),Controls_Raw!M682&lt;&gt;"Completed"),"Overdue","OK")</f>
        <v>OK</v>
      </c>
      <c r="H682" t="str">
        <f>IF(AND(Controls_Raw!Q682&lt;DATE(2026,9,30),Controls_Raw!R682&lt;&gt;"Completed",Controls_Raw!R682&lt;&gt;"Not Required"),"Overdue","OK")</f>
        <v>OK</v>
      </c>
      <c r="I682" t="str">
        <f t="shared" si="10"/>
        <v>Pass</v>
      </c>
    </row>
    <row r="683" spans="1:9" x14ac:dyDescent="0.2">
      <c r="A683" t="str">
        <f>Controls_Raw!A683</f>
        <v>CTRL-0679</v>
      </c>
      <c r="B683" t="str">
        <f>IF(COUNTIF(Controls_Raw!$A$5:$A$1504,A683)&gt;1,"Duplicate","OK")</f>
        <v>OK</v>
      </c>
      <c r="C683" t="str">
        <f>IF(LEN(TRIM(Controls_Raw!I683))=0,"Missing","OK")</f>
        <v>OK</v>
      </c>
      <c r="D683" t="str">
        <f>IF(LEN(TRIM(Controls_Raw!N683))=0,"Missing","OK")</f>
        <v>OK</v>
      </c>
      <c r="E683" t="str">
        <f>IF(OR(Controls_Raw!G683="USA",Controls_Raw!G683="UK"),"Standardize","OK")</f>
        <v>OK</v>
      </c>
      <c r="F683" t="str">
        <f>IF(Controls_Raw!E683&lt;&gt;TRIM(Controls_Raw!E683),"Trim","OK")</f>
        <v>OK</v>
      </c>
      <c r="G683" t="str">
        <f>IF(AND(Controls_Raw!L683&lt;DATE(2026,9,30),Controls_Raw!M683&lt;&gt;"Completed"),"Overdue","OK")</f>
        <v>OK</v>
      </c>
      <c r="H683" t="str">
        <f>IF(AND(Controls_Raw!Q683&lt;DATE(2026,9,30),Controls_Raw!R683&lt;&gt;"Completed",Controls_Raw!R683&lt;&gt;"Not Required"),"Overdue","OK")</f>
        <v>OK</v>
      </c>
      <c r="I683" t="str">
        <f t="shared" si="10"/>
        <v>Pass</v>
      </c>
    </row>
    <row r="684" spans="1:9" x14ac:dyDescent="0.2">
      <c r="A684" t="str">
        <f>Controls_Raw!A684</f>
        <v>CTRL-0680</v>
      </c>
      <c r="B684" t="str">
        <f>IF(COUNTIF(Controls_Raw!$A$5:$A$1504,A684)&gt;1,"Duplicate","OK")</f>
        <v>OK</v>
      </c>
      <c r="C684" t="str">
        <f>IF(LEN(TRIM(Controls_Raw!I684))=0,"Missing","OK")</f>
        <v>OK</v>
      </c>
      <c r="D684" t="str">
        <f>IF(LEN(TRIM(Controls_Raw!N684))=0,"Missing","OK")</f>
        <v>OK</v>
      </c>
      <c r="E684" t="str">
        <f>IF(OR(Controls_Raw!G684="USA",Controls_Raw!G684="UK"),"Standardize","OK")</f>
        <v>OK</v>
      </c>
      <c r="F684" t="str">
        <f>IF(Controls_Raw!E684&lt;&gt;TRIM(Controls_Raw!E684),"Trim","OK")</f>
        <v>OK</v>
      </c>
      <c r="G684" t="str">
        <f>IF(AND(Controls_Raw!L684&lt;DATE(2026,9,30),Controls_Raw!M684&lt;&gt;"Completed"),"Overdue","OK")</f>
        <v>OK</v>
      </c>
      <c r="H684" t="str">
        <f>IF(AND(Controls_Raw!Q684&lt;DATE(2026,9,30),Controls_Raw!R684&lt;&gt;"Completed",Controls_Raw!R684&lt;&gt;"Not Required"),"Overdue","OK")</f>
        <v>OK</v>
      </c>
      <c r="I684" t="str">
        <f t="shared" si="10"/>
        <v>Pass</v>
      </c>
    </row>
    <row r="685" spans="1:9" x14ac:dyDescent="0.2">
      <c r="A685" t="str">
        <f>Controls_Raw!A685</f>
        <v>CTRL-0681</v>
      </c>
      <c r="B685" t="str">
        <f>IF(COUNTIF(Controls_Raw!$A$5:$A$1504,A685)&gt;1,"Duplicate","OK")</f>
        <v>OK</v>
      </c>
      <c r="C685" t="str">
        <f>IF(LEN(TRIM(Controls_Raw!I685))=0,"Missing","OK")</f>
        <v>OK</v>
      </c>
      <c r="D685" t="str">
        <f>IF(LEN(TRIM(Controls_Raw!N685))=0,"Missing","OK")</f>
        <v>OK</v>
      </c>
      <c r="E685" t="str">
        <f>IF(OR(Controls_Raw!G685="USA",Controls_Raw!G685="UK"),"Standardize","OK")</f>
        <v>OK</v>
      </c>
      <c r="F685" t="str">
        <f>IF(Controls_Raw!E685&lt;&gt;TRIM(Controls_Raw!E685),"Trim","OK")</f>
        <v>OK</v>
      </c>
      <c r="G685" t="str">
        <f>IF(AND(Controls_Raw!L685&lt;DATE(2026,9,30),Controls_Raw!M685&lt;&gt;"Completed"),"Overdue","OK")</f>
        <v>OK</v>
      </c>
      <c r="H685" t="str">
        <f>IF(AND(Controls_Raw!Q685&lt;DATE(2026,9,30),Controls_Raw!R685&lt;&gt;"Completed",Controls_Raw!R685&lt;&gt;"Not Required"),"Overdue","OK")</f>
        <v>Overdue</v>
      </c>
      <c r="I685" t="str">
        <f t="shared" si="10"/>
        <v>Issue</v>
      </c>
    </row>
    <row r="686" spans="1:9" x14ac:dyDescent="0.2">
      <c r="A686" t="str">
        <f>Controls_Raw!A686</f>
        <v>CTRL-0682</v>
      </c>
      <c r="B686" t="str">
        <f>IF(COUNTIF(Controls_Raw!$A$5:$A$1504,A686)&gt;1,"Duplicate","OK")</f>
        <v>OK</v>
      </c>
      <c r="C686" t="str">
        <f>IF(LEN(TRIM(Controls_Raw!I686))=0,"Missing","OK")</f>
        <v>OK</v>
      </c>
      <c r="D686" t="str">
        <f>IF(LEN(TRIM(Controls_Raw!N686))=0,"Missing","OK")</f>
        <v>OK</v>
      </c>
      <c r="E686" t="str">
        <f>IF(OR(Controls_Raw!G686="USA",Controls_Raw!G686="UK"),"Standardize","OK")</f>
        <v>OK</v>
      </c>
      <c r="F686" t="str">
        <f>IF(Controls_Raw!E686&lt;&gt;TRIM(Controls_Raw!E686),"Trim","OK")</f>
        <v>OK</v>
      </c>
      <c r="G686" t="str">
        <f>IF(AND(Controls_Raw!L686&lt;DATE(2026,9,30),Controls_Raw!M686&lt;&gt;"Completed"),"Overdue","OK")</f>
        <v>Overdue</v>
      </c>
      <c r="H686" t="str">
        <f>IF(AND(Controls_Raw!Q686&lt;DATE(2026,9,30),Controls_Raw!R686&lt;&gt;"Completed",Controls_Raw!R686&lt;&gt;"Not Required"),"Overdue","OK")</f>
        <v>OK</v>
      </c>
      <c r="I686" t="str">
        <f t="shared" si="10"/>
        <v>Issue</v>
      </c>
    </row>
    <row r="687" spans="1:9" x14ac:dyDescent="0.2">
      <c r="A687" t="str">
        <f>Controls_Raw!A687</f>
        <v>CTRL-0683</v>
      </c>
      <c r="B687" t="str">
        <f>IF(COUNTIF(Controls_Raw!$A$5:$A$1504,A687)&gt;1,"Duplicate","OK")</f>
        <v>OK</v>
      </c>
      <c r="C687" t="str">
        <f>IF(LEN(TRIM(Controls_Raw!I687))=0,"Missing","OK")</f>
        <v>OK</v>
      </c>
      <c r="D687" t="str">
        <f>IF(LEN(TRIM(Controls_Raw!N687))=0,"Missing","OK")</f>
        <v>OK</v>
      </c>
      <c r="E687" t="str">
        <f>IF(OR(Controls_Raw!G687="USA",Controls_Raw!G687="UK"),"Standardize","OK")</f>
        <v>OK</v>
      </c>
      <c r="F687" t="str">
        <f>IF(Controls_Raw!E687&lt;&gt;TRIM(Controls_Raw!E687),"Trim","OK")</f>
        <v>OK</v>
      </c>
      <c r="G687" t="str">
        <f>IF(AND(Controls_Raw!L687&lt;DATE(2026,9,30),Controls_Raw!M687&lt;&gt;"Completed"),"Overdue","OK")</f>
        <v>OK</v>
      </c>
      <c r="H687" t="str">
        <f>IF(AND(Controls_Raw!Q687&lt;DATE(2026,9,30),Controls_Raw!R687&lt;&gt;"Completed",Controls_Raw!R687&lt;&gt;"Not Required"),"Overdue","OK")</f>
        <v>OK</v>
      </c>
      <c r="I687" t="str">
        <f t="shared" si="10"/>
        <v>Pass</v>
      </c>
    </row>
    <row r="688" spans="1:9" x14ac:dyDescent="0.2">
      <c r="A688" t="str">
        <f>Controls_Raw!A688</f>
        <v>CTRL-0684</v>
      </c>
      <c r="B688" t="str">
        <f>IF(COUNTIF(Controls_Raw!$A$5:$A$1504,A688)&gt;1,"Duplicate","OK")</f>
        <v>OK</v>
      </c>
      <c r="C688" t="str">
        <f>IF(LEN(TRIM(Controls_Raw!I688))=0,"Missing","OK")</f>
        <v>OK</v>
      </c>
      <c r="D688" t="str">
        <f>IF(LEN(TRIM(Controls_Raw!N688))=0,"Missing","OK")</f>
        <v>OK</v>
      </c>
      <c r="E688" t="str">
        <f>IF(OR(Controls_Raw!G688="USA",Controls_Raw!G688="UK"),"Standardize","OK")</f>
        <v>OK</v>
      </c>
      <c r="F688" t="str">
        <f>IF(Controls_Raw!E688&lt;&gt;TRIM(Controls_Raw!E688),"Trim","OK")</f>
        <v>OK</v>
      </c>
      <c r="G688" t="str">
        <f>IF(AND(Controls_Raw!L688&lt;DATE(2026,9,30),Controls_Raw!M688&lt;&gt;"Completed"),"Overdue","OK")</f>
        <v>Overdue</v>
      </c>
      <c r="H688" t="str">
        <f>IF(AND(Controls_Raw!Q688&lt;DATE(2026,9,30),Controls_Raw!R688&lt;&gt;"Completed",Controls_Raw!R688&lt;&gt;"Not Required"),"Overdue","OK")</f>
        <v>OK</v>
      </c>
      <c r="I688" t="str">
        <f t="shared" si="10"/>
        <v>Issue</v>
      </c>
    </row>
    <row r="689" spans="1:9" x14ac:dyDescent="0.2">
      <c r="A689" t="str">
        <f>Controls_Raw!A689</f>
        <v>CTRL-0685</v>
      </c>
      <c r="B689" t="str">
        <f>IF(COUNTIF(Controls_Raw!$A$5:$A$1504,A689)&gt;1,"Duplicate","OK")</f>
        <v>OK</v>
      </c>
      <c r="C689" t="str">
        <f>IF(LEN(TRIM(Controls_Raw!I689))=0,"Missing","OK")</f>
        <v>OK</v>
      </c>
      <c r="D689" t="str">
        <f>IF(LEN(TRIM(Controls_Raw!N689))=0,"Missing","OK")</f>
        <v>OK</v>
      </c>
      <c r="E689" t="str">
        <f>IF(OR(Controls_Raw!G689="USA",Controls_Raw!G689="UK"),"Standardize","OK")</f>
        <v>OK</v>
      </c>
      <c r="F689" t="str">
        <f>IF(Controls_Raw!E689&lt;&gt;TRIM(Controls_Raw!E689),"Trim","OK")</f>
        <v>OK</v>
      </c>
      <c r="G689" t="str">
        <f>IF(AND(Controls_Raw!L689&lt;DATE(2026,9,30),Controls_Raw!M689&lt;&gt;"Completed"),"Overdue","OK")</f>
        <v>OK</v>
      </c>
      <c r="H689" t="str">
        <f>IF(AND(Controls_Raw!Q689&lt;DATE(2026,9,30),Controls_Raw!R689&lt;&gt;"Completed",Controls_Raw!R689&lt;&gt;"Not Required"),"Overdue","OK")</f>
        <v>OK</v>
      </c>
      <c r="I689" t="str">
        <f t="shared" si="10"/>
        <v>Pass</v>
      </c>
    </row>
    <row r="690" spans="1:9" x14ac:dyDescent="0.2">
      <c r="A690" t="str">
        <f>Controls_Raw!A690</f>
        <v>CTRL-0686</v>
      </c>
      <c r="B690" t="str">
        <f>IF(COUNTIF(Controls_Raw!$A$5:$A$1504,A690)&gt;1,"Duplicate","OK")</f>
        <v>OK</v>
      </c>
      <c r="C690" t="str">
        <f>IF(LEN(TRIM(Controls_Raw!I690))=0,"Missing","OK")</f>
        <v>OK</v>
      </c>
      <c r="D690" t="str">
        <f>IF(LEN(TRIM(Controls_Raw!N690))=0,"Missing","OK")</f>
        <v>OK</v>
      </c>
      <c r="E690" t="str">
        <f>IF(OR(Controls_Raw!G690="USA",Controls_Raw!G690="UK"),"Standardize","OK")</f>
        <v>OK</v>
      </c>
      <c r="F690" t="str">
        <f>IF(Controls_Raw!E690&lt;&gt;TRIM(Controls_Raw!E690),"Trim","OK")</f>
        <v>OK</v>
      </c>
      <c r="G690" t="str">
        <f>IF(AND(Controls_Raw!L690&lt;DATE(2026,9,30),Controls_Raw!M690&lt;&gt;"Completed"),"Overdue","OK")</f>
        <v>Overdue</v>
      </c>
      <c r="H690" t="str">
        <f>IF(AND(Controls_Raw!Q690&lt;DATE(2026,9,30),Controls_Raw!R690&lt;&gt;"Completed",Controls_Raw!R690&lt;&gt;"Not Required"),"Overdue","OK")</f>
        <v>OK</v>
      </c>
      <c r="I690" t="str">
        <f t="shared" si="10"/>
        <v>Issue</v>
      </c>
    </row>
    <row r="691" spans="1:9" x14ac:dyDescent="0.2">
      <c r="A691" t="str">
        <f>Controls_Raw!A691</f>
        <v>CTRL-0687</v>
      </c>
      <c r="B691" t="str">
        <f>IF(COUNTIF(Controls_Raw!$A$5:$A$1504,A691)&gt;1,"Duplicate","OK")</f>
        <v>OK</v>
      </c>
      <c r="C691" t="str">
        <f>IF(LEN(TRIM(Controls_Raw!I691))=0,"Missing","OK")</f>
        <v>OK</v>
      </c>
      <c r="D691" t="str">
        <f>IF(LEN(TRIM(Controls_Raw!N691))=0,"Missing","OK")</f>
        <v>OK</v>
      </c>
      <c r="E691" t="str">
        <f>IF(OR(Controls_Raw!G691="USA",Controls_Raw!G691="UK"),"Standardize","OK")</f>
        <v>OK</v>
      </c>
      <c r="F691" t="str">
        <f>IF(Controls_Raw!E691&lt;&gt;TRIM(Controls_Raw!E691),"Trim","OK")</f>
        <v>OK</v>
      </c>
      <c r="G691" t="str">
        <f>IF(AND(Controls_Raw!L691&lt;DATE(2026,9,30),Controls_Raw!M691&lt;&gt;"Completed"),"Overdue","OK")</f>
        <v>Overdue</v>
      </c>
      <c r="H691" t="str">
        <f>IF(AND(Controls_Raw!Q691&lt;DATE(2026,9,30),Controls_Raw!R691&lt;&gt;"Completed",Controls_Raw!R691&lt;&gt;"Not Required"),"Overdue","OK")</f>
        <v>OK</v>
      </c>
      <c r="I691" t="str">
        <f t="shared" si="10"/>
        <v>Issue</v>
      </c>
    </row>
    <row r="692" spans="1:9" x14ac:dyDescent="0.2">
      <c r="A692" t="str">
        <f>Controls_Raw!A692</f>
        <v>CTRL-0688</v>
      </c>
      <c r="B692" t="str">
        <f>IF(COUNTIF(Controls_Raw!$A$5:$A$1504,A692)&gt;1,"Duplicate","OK")</f>
        <v>OK</v>
      </c>
      <c r="C692" t="str">
        <f>IF(LEN(TRIM(Controls_Raw!I692))=0,"Missing","OK")</f>
        <v>OK</v>
      </c>
      <c r="D692" t="str">
        <f>IF(LEN(TRIM(Controls_Raw!N692))=0,"Missing","OK")</f>
        <v>OK</v>
      </c>
      <c r="E692" t="str">
        <f>IF(OR(Controls_Raw!G692="USA",Controls_Raw!G692="UK"),"Standardize","OK")</f>
        <v>OK</v>
      </c>
      <c r="F692" t="str">
        <f>IF(Controls_Raw!E692&lt;&gt;TRIM(Controls_Raw!E692),"Trim","OK")</f>
        <v>OK</v>
      </c>
      <c r="G692" t="str">
        <f>IF(AND(Controls_Raw!L692&lt;DATE(2026,9,30),Controls_Raw!M692&lt;&gt;"Completed"),"Overdue","OK")</f>
        <v>OK</v>
      </c>
      <c r="H692" t="str">
        <f>IF(AND(Controls_Raw!Q692&lt;DATE(2026,9,30),Controls_Raw!R692&lt;&gt;"Completed",Controls_Raw!R692&lt;&gt;"Not Required"),"Overdue","OK")</f>
        <v>Overdue</v>
      </c>
      <c r="I692" t="str">
        <f t="shared" si="10"/>
        <v>Issue</v>
      </c>
    </row>
    <row r="693" spans="1:9" x14ac:dyDescent="0.2">
      <c r="A693" t="str">
        <f>Controls_Raw!A693</f>
        <v>CTRL-0689</v>
      </c>
      <c r="B693" t="str">
        <f>IF(COUNTIF(Controls_Raw!$A$5:$A$1504,A693)&gt;1,"Duplicate","OK")</f>
        <v>OK</v>
      </c>
      <c r="C693" t="str">
        <f>IF(LEN(TRIM(Controls_Raw!I693))=0,"Missing","OK")</f>
        <v>OK</v>
      </c>
      <c r="D693" t="str">
        <f>IF(LEN(TRIM(Controls_Raw!N693))=0,"Missing","OK")</f>
        <v>OK</v>
      </c>
      <c r="E693" t="str">
        <f>IF(OR(Controls_Raw!G693="USA",Controls_Raw!G693="UK"),"Standardize","OK")</f>
        <v>OK</v>
      </c>
      <c r="F693" t="str">
        <f>IF(Controls_Raw!E693&lt;&gt;TRIM(Controls_Raw!E693),"Trim","OK")</f>
        <v>OK</v>
      </c>
      <c r="G693" t="str">
        <f>IF(AND(Controls_Raw!L693&lt;DATE(2026,9,30),Controls_Raw!M693&lt;&gt;"Completed"),"Overdue","OK")</f>
        <v>OK</v>
      </c>
      <c r="H693" t="str">
        <f>IF(AND(Controls_Raw!Q693&lt;DATE(2026,9,30),Controls_Raw!R693&lt;&gt;"Completed",Controls_Raw!R693&lt;&gt;"Not Required"),"Overdue","OK")</f>
        <v>Overdue</v>
      </c>
      <c r="I693" t="str">
        <f t="shared" si="10"/>
        <v>Issue</v>
      </c>
    </row>
    <row r="694" spans="1:9" x14ac:dyDescent="0.2">
      <c r="A694" t="str">
        <f>Controls_Raw!A694</f>
        <v>CTRL-0690</v>
      </c>
      <c r="B694" t="str">
        <f>IF(COUNTIF(Controls_Raw!$A$5:$A$1504,A694)&gt;1,"Duplicate","OK")</f>
        <v>OK</v>
      </c>
      <c r="C694" t="str">
        <f>IF(LEN(TRIM(Controls_Raw!I694))=0,"Missing","OK")</f>
        <v>OK</v>
      </c>
      <c r="D694" t="str">
        <f>IF(LEN(TRIM(Controls_Raw!N694))=0,"Missing","OK")</f>
        <v>OK</v>
      </c>
      <c r="E694" t="str">
        <f>IF(OR(Controls_Raw!G694="USA",Controls_Raw!G694="UK"),"Standardize","OK")</f>
        <v>OK</v>
      </c>
      <c r="F694" t="str">
        <f>IF(Controls_Raw!E694&lt;&gt;TRIM(Controls_Raw!E694),"Trim","OK")</f>
        <v>OK</v>
      </c>
      <c r="G694" t="str">
        <f>IF(AND(Controls_Raw!L694&lt;DATE(2026,9,30),Controls_Raw!M694&lt;&gt;"Completed"),"Overdue","OK")</f>
        <v>OK</v>
      </c>
      <c r="H694" t="str">
        <f>IF(AND(Controls_Raw!Q694&lt;DATE(2026,9,30),Controls_Raw!R694&lt;&gt;"Completed",Controls_Raw!R694&lt;&gt;"Not Required"),"Overdue","OK")</f>
        <v>OK</v>
      </c>
      <c r="I694" t="str">
        <f t="shared" si="10"/>
        <v>Pass</v>
      </c>
    </row>
    <row r="695" spans="1:9" x14ac:dyDescent="0.2">
      <c r="A695" t="str">
        <f>Controls_Raw!A695</f>
        <v>CTRL-0691</v>
      </c>
      <c r="B695" t="str">
        <f>IF(COUNTIF(Controls_Raw!$A$5:$A$1504,A695)&gt;1,"Duplicate","OK")</f>
        <v>OK</v>
      </c>
      <c r="C695" t="str">
        <f>IF(LEN(TRIM(Controls_Raw!I695))=0,"Missing","OK")</f>
        <v>OK</v>
      </c>
      <c r="D695" t="str">
        <f>IF(LEN(TRIM(Controls_Raw!N695))=0,"Missing","OK")</f>
        <v>OK</v>
      </c>
      <c r="E695" t="str">
        <f>IF(OR(Controls_Raw!G695="USA",Controls_Raw!G695="UK"),"Standardize","OK")</f>
        <v>OK</v>
      </c>
      <c r="F695" t="str">
        <f>IF(Controls_Raw!E695&lt;&gt;TRIM(Controls_Raw!E695),"Trim","OK")</f>
        <v>OK</v>
      </c>
      <c r="G695" t="str">
        <f>IF(AND(Controls_Raw!L695&lt;DATE(2026,9,30),Controls_Raw!M695&lt;&gt;"Completed"),"Overdue","OK")</f>
        <v>Overdue</v>
      </c>
      <c r="H695" t="str">
        <f>IF(AND(Controls_Raw!Q695&lt;DATE(2026,9,30),Controls_Raw!R695&lt;&gt;"Completed",Controls_Raw!R695&lt;&gt;"Not Required"),"Overdue","OK")</f>
        <v>OK</v>
      </c>
      <c r="I695" t="str">
        <f t="shared" si="10"/>
        <v>Issue</v>
      </c>
    </row>
    <row r="696" spans="1:9" x14ac:dyDescent="0.2">
      <c r="A696" t="str">
        <f>Controls_Raw!A696</f>
        <v>CTRL-0692</v>
      </c>
      <c r="B696" t="str">
        <f>IF(COUNTIF(Controls_Raw!$A$5:$A$1504,A696)&gt;1,"Duplicate","OK")</f>
        <v>OK</v>
      </c>
      <c r="C696" t="str">
        <f>IF(LEN(TRIM(Controls_Raw!I696))=0,"Missing","OK")</f>
        <v>OK</v>
      </c>
      <c r="D696" t="str">
        <f>IF(LEN(TRIM(Controls_Raw!N696))=0,"Missing","OK")</f>
        <v>OK</v>
      </c>
      <c r="E696" t="str">
        <f>IF(OR(Controls_Raw!G696="USA",Controls_Raw!G696="UK"),"Standardize","OK")</f>
        <v>OK</v>
      </c>
      <c r="F696" t="str">
        <f>IF(Controls_Raw!E696&lt;&gt;TRIM(Controls_Raw!E696),"Trim","OK")</f>
        <v>OK</v>
      </c>
      <c r="G696" t="str">
        <f>IF(AND(Controls_Raw!L696&lt;DATE(2026,9,30),Controls_Raw!M696&lt;&gt;"Completed"),"Overdue","OK")</f>
        <v>Overdue</v>
      </c>
      <c r="H696" t="str">
        <f>IF(AND(Controls_Raw!Q696&lt;DATE(2026,9,30),Controls_Raw!R696&lt;&gt;"Completed",Controls_Raw!R696&lt;&gt;"Not Required"),"Overdue","OK")</f>
        <v>Overdue</v>
      </c>
      <c r="I696" t="str">
        <f t="shared" si="10"/>
        <v>Issue</v>
      </c>
    </row>
    <row r="697" spans="1:9" x14ac:dyDescent="0.2">
      <c r="A697" t="str">
        <f>Controls_Raw!A697</f>
        <v>CTRL-0693</v>
      </c>
      <c r="B697" t="str">
        <f>IF(COUNTIF(Controls_Raw!$A$5:$A$1504,A697)&gt;1,"Duplicate","OK")</f>
        <v>OK</v>
      </c>
      <c r="C697" t="str">
        <f>IF(LEN(TRIM(Controls_Raw!I697))=0,"Missing","OK")</f>
        <v>OK</v>
      </c>
      <c r="D697" t="str">
        <f>IF(LEN(TRIM(Controls_Raw!N697))=0,"Missing","OK")</f>
        <v>OK</v>
      </c>
      <c r="E697" t="str">
        <f>IF(OR(Controls_Raw!G697="USA",Controls_Raw!G697="UK"),"Standardize","OK")</f>
        <v>OK</v>
      </c>
      <c r="F697" t="str">
        <f>IF(Controls_Raw!E697&lt;&gt;TRIM(Controls_Raw!E697),"Trim","OK")</f>
        <v>OK</v>
      </c>
      <c r="G697" t="str">
        <f>IF(AND(Controls_Raw!L697&lt;DATE(2026,9,30),Controls_Raw!M697&lt;&gt;"Completed"),"Overdue","OK")</f>
        <v>Overdue</v>
      </c>
      <c r="H697" t="str">
        <f>IF(AND(Controls_Raw!Q697&lt;DATE(2026,9,30),Controls_Raw!R697&lt;&gt;"Completed",Controls_Raw!R697&lt;&gt;"Not Required"),"Overdue","OK")</f>
        <v>OK</v>
      </c>
      <c r="I697" t="str">
        <f t="shared" si="10"/>
        <v>Issue</v>
      </c>
    </row>
    <row r="698" spans="1:9" x14ac:dyDescent="0.2">
      <c r="A698" t="str">
        <f>Controls_Raw!A698</f>
        <v>CTRL-0694</v>
      </c>
      <c r="B698" t="str">
        <f>IF(COUNTIF(Controls_Raw!$A$5:$A$1504,A698)&gt;1,"Duplicate","OK")</f>
        <v>OK</v>
      </c>
      <c r="C698" t="str">
        <f>IF(LEN(TRIM(Controls_Raw!I698))=0,"Missing","OK")</f>
        <v>OK</v>
      </c>
      <c r="D698" t="str">
        <f>IF(LEN(TRIM(Controls_Raw!N698))=0,"Missing","OK")</f>
        <v>OK</v>
      </c>
      <c r="E698" t="str">
        <f>IF(OR(Controls_Raw!G698="USA",Controls_Raw!G698="UK"),"Standardize","OK")</f>
        <v>OK</v>
      </c>
      <c r="F698" t="str">
        <f>IF(Controls_Raw!E698&lt;&gt;TRIM(Controls_Raw!E698),"Trim","OK")</f>
        <v>OK</v>
      </c>
      <c r="G698" t="str">
        <f>IF(AND(Controls_Raw!L698&lt;DATE(2026,9,30),Controls_Raw!M698&lt;&gt;"Completed"),"Overdue","OK")</f>
        <v>Overdue</v>
      </c>
      <c r="H698" t="str">
        <f>IF(AND(Controls_Raw!Q698&lt;DATE(2026,9,30),Controls_Raw!R698&lt;&gt;"Completed",Controls_Raw!R698&lt;&gt;"Not Required"),"Overdue","OK")</f>
        <v>OK</v>
      </c>
      <c r="I698" t="str">
        <f t="shared" si="10"/>
        <v>Issue</v>
      </c>
    </row>
    <row r="699" spans="1:9" x14ac:dyDescent="0.2">
      <c r="A699" t="str">
        <f>Controls_Raw!A699</f>
        <v>CTRL-0695</v>
      </c>
      <c r="B699" t="str">
        <f>IF(COUNTIF(Controls_Raw!$A$5:$A$1504,A699)&gt;1,"Duplicate","OK")</f>
        <v>OK</v>
      </c>
      <c r="C699" t="str">
        <f>IF(LEN(TRIM(Controls_Raw!I699))=0,"Missing","OK")</f>
        <v>OK</v>
      </c>
      <c r="D699" t="str">
        <f>IF(LEN(TRIM(Controls_Raw!N699))=0,"Missing","OK")</f>
        <v>OK</v>
      </c>
      <c r="E699" t="str">
        <f>IF(OR(Controls_Raw!G699="USA",Controls_Raw!G699="UK"),"Standardize","OK")</f>
        <v>OK</v>
      </c>
      <c r="F699" t="str">
        <f>IF(Controls_Raw!E699&lt;&gt;TRIM(Controls_Raw!E699),"Trim","OK")</f>
        <v>OK</v>
      </c>
      <c r="G699" t="str">
        <f>IF(AND(Controls_Raw!L699&lt;DATE(2026,9,30),Controls_Raw!M699&lt;&gt;"Completed"),"Overdue","OK")</f>
        <v>Overdue</v>
      </c>
      <c r="H699" t="str">
        <f>IF(AND(Controls_Raw!Q699&lt;DATE(2026,9,30),Controls_Raw!R699&lt;&gt;"Completed",Controls_Raw!R699&lt;&gt;"Not Required"),"Overdue","OK")</f>
        <v>OK</v>
      </c>
      <c r="I699" t="str">
        <f t="shared" si="10"/>
        <v>Issue</v>
      </c>
    </row>
    <row r="700" spans="1:9" x14ac:dyDescent="0.2">
      <c r="A700" t="str">
        <f>Controls_Raw!A700</f>
        <v>CTRL-0696</v>
      </c>
      <c r="B700" t="str">
        <f>IF(COUNTIF(Controls_Raw!$A$5:$A$1504,A700)&gt;1,"Duplicate","OK")</f>
        <v>OK</v>
      </c>
      <c r="C700" t="str">
        <f>IF(LEN(TRIM(Controls_Raw!I700))=0,"Missing","OK")</f>
        <v>OK</v>
      </c>
      <c r="D700" t="str">
        <f>IF(LEN(TRIM(Controls_Raw!N700))=0,"Missing","OK")</f>
        <v>OK</v>
      </c>
      <c r="E700" t="str">
        <f>IF(OR(Controls_Raw!G700="USA",Controls_Raw!G700="UK"),"Standardize","OK")</f>
        <v>OK</v>
      </c>
      <c r="F700" t="str">
        <f>IF(Controls_Raw!E700&lt;&gt;TRIM(Controls_Raw!E700),"Trim","OK")</f>
        <v>OK</v>
      </c>
      <c r="G700" t="str">
        <f>IF(AND(Controls_Raw!L700&lt;DATE(2026,9,30),Controls_Raw!M700&lt;&gt;"Completed"),"Overdue","OK")</f>
        <v>Overdue</v>
      </c>
      <c r="H700" t="str">
        <f>IF(AND(Controls_Raw!Q700&lt;DATE(2026,9,30),Controls_Raw!R700&lt;&gt;"Completed",Controls_Raw!R700&lt;&gt;"Not Required"),"Overdue","OK")</f>
        <v>OK</v>
      </c>
      <c r="I700" t="str">
        <f t="shared" si="10"/>
        <v>Issue</v>
      </c>
    </row>
    <row r="701" spans="1:9" x14ac:dyDescent="0.2">
      <c r="A701" t="str">
        <f>Controls_Raw!A701</f>
        <v>CTRL-0697</v>
      </c>
      <c r="B701" t="str">
        <f>IF(COUNTIF(Controls_Raw!$A$5:$A$1504,A701)&gt;1,"Duplicate","OK")</f>
        <v>OK</v>
      </c>
      <c r="C701" t="str">
        <f>IF(LEN(TRIM(Controls_Raw!I701))=0,"Missing","OK")</f>
        <v>OK</v>
      </c>
      <c r="D701" t="str">
        <f>IF(LEN(TRIM(Controls_Raw!N701))=0,"Missing","OK")</f>
        <v>OK</v>
      </c>
      <c r="E701" t="str">
        <f>IF(OR(Controls_Raw!G701="USA",Controls_Raw!G701="UK"),"Standardize","OK")</f>
        <v>OK</v>
      </c>
      <c r="F701" t="str">
        <f>IF(Controls_Raw!E701&lt;&gt;TRIM(Controls_Raw!E701),"Trim","OK")</f>
        <v>OK</v>
      </c>
      <c r="G701" t="str">
        <f>IF(AND(Controls_Raw!L701&lt;DATE(2026,9,30),Controls_Raw!M701&lt;&gt;"Completed"),"Overdue","OK")</f>
        <v>OK</v>
      </c>
      <c r="H701" t="str">
        <f>IF(AND(Controls_Raw!Q701&lt;DATE(2026,9,30),Controls_Raw!R701&lt;&gt;"Completed",Controls_Raw!R701&lt;&gt;"Not Required"),"Overdue","OK")</f>
        <v>Overdue</v>
      </c>
      <c r="I701" t="str">
        <f t="shared" si="10"/>
        <v>Issue</v>
      </c>
    </row>
    <row r="702" spans="1:9" x14ac:dyDescent="0.2">
      <c r="A702" t="str">
        <f>Controls_Raw!A702</f>
        <v>CTRL-0698</v>
      </c>
      <c r="B702" t="str">
        <f>IF(COUNTIF(Controls_Raw!$A$5:$A$1504,A702)&gt;1,"Duplicate","OK")</f>
        <v>OK</v>
      </c>
      <c r="C702" t="str">
        <f>IF(LEN(TRIM(Controls_Raw!I702))=0,"Missing","OK")</f>
        <v>OK</v>
      </c>
      <c r="D702" t="str">
        <f>IF(LEN(TRIM(Controls_Raw!N702))=0,"Missing","OK")</f>
        <v>OK</v>
      </c>
      <c r="E702" t="str">
        <f>IF(OR(Controls_Raw!G702="USA",Controls_Raw!G702="UK"),"Standardize","OK")</f>
        <v>OK</v>
      </c>
      <c r="F702" t="str">
        <f>IF(Controls_Raw!E702&lt;&gt;TRIM(Controls_Raw!E702),"Trim","OK")</f>
        <v>OK</v>
      </c>
      <c r="G702" t="str">
        <f>IF(AND(Controls_Raw!L702&lt;DATE(2026,9,30),Controls_Raw!M702&lt;&gt;"Completed"),"Overdue","OK")</f>
        <v>OK</v>
      </c>
      <c r="H702" t="str">
        <f>IF(AND(Controls_Raw!Q702&lt;DATE(2026,9,30),Controls_Raw!R702&lt;&gt;"Completed",Controls_Raw!R702&lt;&gt;"Not Required"),"Overdue","OK")</f>
        <v>OK</v>
      </c>
      <c r="I702" t="str">
        <f t="shared" si="10"/>
        <v>Pass</v>
      </c>
    </row>
    <row r="703" spans="1:9" x14ac:dyDescent="0.2">
      <c r="A703" t="str">
        <f>Controls_Raw!A703</f>
        <v>CTRL-0699</v>
      </c>
      <c r="B703" t="str">
        <f>IF(COUNTIF(Controls_Raw!$A$5:$A$1504,A703)&gt;1,"Duplicate","OK")</f>
        <v>OK</v>
      </c>
      <c r="C703" t="str">
        <f>IF(LEN(TRIM(Controls_Raw!I703))=0,"Missing","OK")</f>
        <v>OK</v>
      </c>
      <c r="D703" t="str">
        <f>IF(LEN(TRIM(Controls_Raw!N703))=0,"Missing","OK")</f>
        <v>OK</v>
      </c>
      <c r="E703" t="str">
        <f>IF(OR(Controls_Raw!G703="USA",Controls_Raw!G703="UK"),"Standardize","OK")</f>
        <v>OK</v>
      </c>
      <c r="F703" t="str">
        <f>IF(Controls_Raw!E703&lt;&gt;TRIM(Controls_Raw!E703),"Trim","OK")</f>
        <v>OK</v>
      </c>
      <c r="G703" t="str">
        <f>IF(AND(Controls_Raw!L703&lt;DATE(2026,9,30),Controls_Raw!M703&lt;&gt;"Completed"),"Overdue","OK")</f>
        <v>Overdue</v>
      </c>
      <c r="H703" t="str">
        <f>IF(AND(Controls_Raw!Q703&lt;DATE(2026,9,30),Controls_Raw!R703&lt;&gt;"Completed",Controls_Raw!R703&lt;&gt;"Not Required"),"Overdue","OK")</f>
        <v>Overdue</v>
      </c>
      <c r="I703" t="str">
        <f t="shared" si="10"/>
        <v>Issue</v>
      </c>
    </row>
    <row r="704" spans="1:9" x14ac:dyDescent="0.2">
      <c r="A704" t="str">
        <f>Controls_Raw!A704</f>
        <v>CTRL-0700</v>
      </c>
      <c r="B704" t="str">
        <f>IF(COUNTIF(Controls_Raw!$A$5:$A$1504,A704)&gt;1,"Duplicate","OK")</f>
        <v>OK</v>
      </c>
      <c r="C704" t="str">
        <f>IF(LEN(TRIM(Controls_Raw!I704))=0,"Missing","OK")</f>
        <v>OK</v>
      </c>
      <c r="D704" t="str">
        <f>IF(LEN(TRIM(Controls_Raw!N704))=0,"Missing","OK")</f>
        <v>OK</v>
      </c>
      <c r="E704" t="str">
        <f>IF(OR(Controls_Raw!G704="USA",Controls_Raw!G704="UK"),"Standardize","OK")</f>
        <v>OK</v>
      </c>
      <c r="F704" t="str">
        <f>IF(Controls_Raw!E704&lt;&gt;TRIM(Controls_Raw!E704),"Trim","OK")</f>
        <v>OK</v>
      </c>
      <c r="G704" t="str">
        <f>IF(AND(Controls_Raw!L704&lt;DATE(2026,9,30),Controls_Raw!M704&lt;&gt;"Completed"),"Overdue","OK")</f>
        <v>Overdue</v>
      </c>
      <c r="H704" t="str">
        <f>IF(AND(Controls_Raw!Q704&lt;DATE(2026,9,30),Controls_Raw!R704&lt;&gt;"Completed",Controls_Raw!R704&lt;&gt;"Not Required"),"Overdue","OK")</f>
        <v>Overdue</v>
      </c>
      <c r="I704" t="str">
        <f t="shared" si="10"/>
        <v>Issue</v>
      </c>
    </row>
    <row r="705" spans="1:9" x14ac:dyDescent="0.2">
      <c r="A705" t="str">
        <f>Controls_Raw!A705</f>
        <v>CTRL-0701</v>
      </c>
      <c r="B705" t="str">
        <f>IF(COUNTIF(Controls_Raw!$A$5:$A$1504,A705)&gt;1,"Duplicate","OK")</f>
        <v>OK</v>
      </c>
      <c r="C705" t="str">
        <f>IF(LEN(TRIM(Controls_Raw!I705))=0,"Missing","OK")</f>
        <v>OK</v>
      </c>
      <c r="D705" t="str">
        <f>IF(LEN(TRIM(Controls_Raw!N705))=0,"Missing","OK")</f>
        <v>OK</v>
      </c>
      <c r="E705" t="str">
        <f>IF(OR(Controls_Raw!G705="USA",Controls_Raw!G705="UK"),"Standardize","OK")</f>
        <v>OK</v>
      </c>
      <c r="F705" t="str">
        <f>IF(Controls_Raw!E705&lt;&gt;TRIM(Controls_Raw!E705),"Trim","OK")</f>
        <v>OK</v>
      </c>
      <c r="G705" t="str">
        <f>IF(AND(Controls_Raw!L705&lt;DATE(2026,9,30),Controls_Raw!M705&lt;&gt;"Completed"),"Overdue","OK")</f>
        <v>OK</v>
      </c>
      <c r="H705" t="str">
        <f>IF(AND(Controls_Raw!Q705&lt;DATE(2026,9,30),Controls_Raw!R705&lt;&gt;"Completed",Controls_Raw!R705&lt;&gt;"Not Required"),"Overdue","OK")</f>
        <v>OK</v>
      </c>
      <c r="I705" t="str">
        <f t="shared" si="10"/>
        <v>Pass</v>
      </c>
    </row>
    <row r="706" spans="1:9" x14ac:dyDescent="0.2">
      <c r="A706" t="str">
        <f>Controls_Raw!A706</f>
        <v>CTRL-0702</v>
      </c>
      <c r="B706" t="str">
        <f>IF(COUNTIF(Controls_Raw!$A$5:$A$1504,A706)&gt;1,"Duplicate","OK")</f>
        <v>OK</v>
      </c>
      <c r="C706" t="str">
        <f>IF(LEN(TRIM(Controls_Raw!I706))=0,"Missing","OK")</f>
        <v>OK</v>
      </c>
      <c r="D706" t="str">
        <f>IF(LEN(TRIM(Controls_Raw!N706))=0,"Missing","OK")</f>
        <v>OK</v>
      </c>
      <c r="E706" t="str">
        <f>IF(OR(Controls_Raw!G706="USA",Controls_Raw!G706="UK"),"Standardize","OK")</f>
        <v>OK</v>
      </c>
      <c r="F706" t="str">
        <f>IF(Controls_Raw!E706&lt;&gt;TRIM(Controls_Raw!E706),"Trim","OK")</f>
        <v>OK</v>
      </c>
      <c r="G706" t="str">
        <f>IF(AND(Controls_Raw!L706&lt;DATE(2026,9,30),Controls_Raw!M706&lt;&gt;"Completed"),"Overdue","OK")</f>
        <v>Overdue</v>
      </c>
      <c r="H706" t="str">
        <f>IF(AND(Controls_Raw!Q706&lt;DATE(2026,9,30),Controls_Raw!R706&lt;&gt;"Completed",Controls_Raw!R706&lt;&gt;"Not Required"),"Overdue","OK")</f>
        <v>Overdue</v>
      </c>
      <c r="I706" t="str">
        <f t="shared" si="10"/>
        <v>Issue</v>
      </c>
    </row>
    <row r="707" spans="1:9" x14ac:dyDescent="0.2">
      <c r="A707" t="str">
        <f>Controls_Raw!A707</f>
        <v>CTRL-0703</v>
      </c>
      <c r="B707" t="str">
        <f>IF(COUNTIF(Controls_Raw!$A$5:$A$1504,A707)&gt;1,"Duplicate","OK")</f>
        <v>OK</v>
      </c>
      <c r="C707" t="str">
        <f>IF(LEN(TRIM(Controls_Raw!I707))=0,"Missing","OK")</f>
        <v>OK</v>
      </c>
      <c r="D707" t="str">
        <f>IF(LEN(TRIM(Controls_Raw!N707))=0,"Missing","OK")</f>
        <v>OK</v>
      </c>
      <c r="E707" t="str">
        <f>IF(OR(Controls_Raw!G707="USA",Controls_Raw!G707="UK"),"Standardize","OK")</f>
        <v>OK</v>
      </c>
      <c r="F707" t="str">
        <f>IF(Controls_Raw!E707&lt;&gt;TRIM(Controls_Raw!E707),"Trim","OK")</f>
        <v>OK</v>
      </c>
      <c r="G707" t="str">
        <f>IF(AND(Controls_Raw!L707&lt;DATE(2026,9,30),Controls_Raw!M707&lt;&gt;"Completed"),"Overdue","OK")</f>
        <v>Overdue</v>
      </c>
      <c r="H707" t="str">
        <f>IF(AND(Controls_Raw!Q707&lt;DATE(2026,9,30),Controls_Raw!R707&lt;&gt;"Completed",Controls_Raw!R707&lt;&gt;"Not Required"),"Overdue","OK")</f>
        <v>Overdue</v>
      </c>
      <c r="I707" t="str">
        <f t="shared" si="10"/>
        <v>Issue</v>
      </c>
    </row>
    <row r="708" spans="1:9" x14ac:dyDescent="0.2">
      <c r="A708" t="str">
        <f>Controls_Raw!A708</f>
        <v>CTRL-0704</v>
      </c>
      <c r="B708" t="str">
        <f>IF(COUNTIF(Controls_Raw!$A$5:$A$1504,A708)&gt;1,"Duplicate","OK")</f>
        <v>OK</v>
      </c>
      <c r="C708" t="str">
        <f>IF(LEN(TRIM(Controls_Raw!I708))=0,"Missing","OK")</f>
        <v>OK</v>
      </c>
      <c r="D708" t="str">
        <f>IF(LEN(TRIM(Controls_Raw!N708))=0,"Missing","OK")</f>
        <v>OK</v>
      </c>
      <c r="E708" t="str">
        <f>IF(OR(Controls_Raw!G708="USA",Controls_Raw!G708="UK"),"Standardize","OK")</f>
        <v>OK</v>
      </c>
      <c r="F708" t="str">
        <f>IF(Controls_Raw!E708&lt;&gt;TRIM(Controls_Raw!E708),"Trim","OK")</f>
        <v>OK</v>
      </c>
      <c r="G708" t="str">
        <f>IF(AND(Controls_Raw!L708&lt;DATE(2026,9,30),Controls_Raw!M708&lt;&gt;"Completed"),"Overdue","OK")</f>
        <v>Overdue</v>
      </c>
      <c r="H708" t="str">
        <f>IF(AND(Controls_Raw!Q708&lt;DATE(2026,9,30),Controls_Raw!R708&lt;&gt;"Completed",Controls_Raw!R708&lt;&gt;"Not Required"),"Overdue","OK")</f>
        <v>OK</v>
      </c>
      <c r="I708" t="str">
        <f t="shared" si="10"/>
        <v>Issue</v>
      </c>
    </row>
    <row r="709" spans="1:9" x14ac:dyDescent="0.2">
      <c r="A709" t="str">
        <f>Controls_Raw!A709</f>
        <v>CTRL-0705</v>
      </c>
      <c r="B709" t="str">
        <f>IF(COUNTIF(Controls_Raw!$A$5:$A$1504,A709)&gt;1,"Duplicate","OK")</f>
        <v>OK</v>
      </c>
      <c r="C709" t="str">
        <f>IF(LEN(TRIM(Controls_Raw!I709))=0,"Missing","OK")</f>
        <v>OK</v>
      </c>
      <c r="D709" t="str">
        <f>IF(LEN(TRIM(Controls_Raw!N709))=0,"Missing","OK")</f>
        <v>OK</v>
      </c>
      <c r="E709" t="str">
        <f>IF(OR(Controls_Raw!G709="USA",Controls_Raw!G709="UK"),"Standardize","OK")</f>
        <v>OK</v>
      </c>
      <c r="F709" t="str">
        <f>IF(Controls_Raw!E709&lt;&gt;TRIM(Controls_Raw!E709),"Trim","OK")</f>
        <v>OK</v>
      </c>
      <c r="G709" t="str">
        <f>IF(AND(Controls_Raw!L709&lt;DATE(2026,9,30),Controls_Raw!M709&lt;&gt;"Completed"),"Overdue","OK")</f>
        <v>Overdue</v>
      </c>
      <c r="H709" t="str">
        <f>IF(AND(Controls_Raw!Q709&lt;DATE(2026,9,30),Controls_Raw!R709&lt;&gt;"Completed",Controls_Raw!R709&lt;&gt;"Not Required"),"Overdue","OK")</f>
        <v>Overdue</v>
      </c>
      <c r="I709" t="str">
        <f t="shared" ref="I709:I772" si="11">IF(COUNTIF(B709:H709,"&lt;&gt;OK")&gt;0,"Issue","Pass")</f>
        <v>Issue</v>
      </c>
    </row>
    <row r="710" spans="1:9" x14ac:dyDescent="0.2">
      <c r="A710" t="str">
        <f>Controls_Raw!A710</f>
        <v>CTRL-0706</v>
      </c>
      <c r="B710" t="str">
        <f>IF(COUNTIF(Controls_Raw!$A$5:$A$1504,A710)&gt;1,"Duplicate","OK")</f>
        <v>OK</v>
      </c>
      <c r="C710" t="str">
        <f>IF(LEN(TRIM(Controls_Raw!I710))=0,"Missing","OK")</f>
        <v>Missing</v>
      </c>
      <c r="D710" t="str">
        <f>IF(LEN(TRIM(Controls_Raw!N710))=0,"Missing","OK")</f>
        <v>OK</v>
      </c>
      <c r="E710" t="str">
        <f>IF(OR(Controls_Raw!G710="USA",Controls_Raw!G710="UK"),"Standardize","OK")</f>
        <v>OK</v>
      </c>
      <c r="F710" t="str">
        <f>IF(Controls_Raw!E710&lt;&gt;TRIM(Controls_Raw!E710),"Trim","OK")</f>
        <v>OK</v>
      </c>
      <c r="G710" t="str">
        <f>IF(AND(Controls_Raw!L710&lt;DATE(2026,9,30),Controls_Raw!M710&lt;&gt;"Completed"),"Overdue","OK")</f>
        <v>OK</v>
      </c>
      <c r="H710" t="str">
        <f>IF(AND(Controls_Raw!Q710&lt;DATE(2026,9,30),Controls_Raw!R710&lt;&gt;"Completed",Controls_Raw!R710&lt;&gt;"Not Required"),"Overdue","OK")</f>
        <v>Overdue</v>
      </c>
      <c r="I710" t="str">
        <f t="shared" si="11"/>
        <v>Issue</v>
      </c>
    </row>
    <row r="711" spans="1:9" x14ac:dyDescent="0.2">
      <c r="A711" t="str">
        <f>Controls_Raw!A711</f>
        <v>CTRL-0707</v>
      </c>
      <c r="B711" t="str">
        <f>IF(COUNTIF(Controls_Raw!$A$5:$A$1504,A711)&gt;1,"Duplicate","OK")</f>
        <v>OK</v>
      </c>
      <c r="C711" t="str">
        <f>IF(LEN(TRIM(Controls_Raw!I711))=0,"Missing","OK")</f>
        <v>OK</v>
      </c>
      <c r="D711" t="str">
        <f>IF(LEN(TRIM(Controls_Raw!N711))=0,"Missing","OK")</f>
        <v>OK</v>
      </c>
      <c r="E711" t="str">
        <f>IF(OR(Controls_Raw!G711="USA",Controls_Raw!G711="UK"),"Standardize","OK")</f>
        <v>OK</v>
      </c>
      <c r="F711" t="str">
        <f>IF(Controls_Raw!E711&lt;&gt;TRIM(Controls_Raw!E711),"Trim","OK")</f>
        <v>OK</v>
      </c>
      <c r="G711" t="str">
        <f>IF(AND(Controls_Raw!L711&lt;DATE(2026,9,30),Controls_Raw!M711&lt;&gt;"Completed"),"Overdue","OK")</f>
        <v>OK</v>
      </c>
      <c r="H711" t="str">
        <f>IF(AND(Controls_Raw!Q711&lt;DATE(2026,9,30),Controls_Raw!R711&lt;&gt;"Completed",Controls_Raw!R711&lt;&gt;"Not Required"),"Overdue","OK")</f>
        <v>OK</v>
      </c>
      <c r="I711" t="str">
        <f t="shared" si="11"/>
        <v>Pass</v>
      </c>
    </row>
    <row r="712" spans="1:9" x14ac:dyDescent="0.2">
      <c r="A712" t="str">
        <f>Controls_Raw!A712</f>
        <v>CTRL-0708</v>
      </c>
      <c r="B712" t="str">
        <f>IF(COUNTIF(Controls_Raw!$A$5:$A$1504,A712)&gt;1,"Duplicate","OK")</f>
        <v>OK</v>
      </c>
      <c r="C712" t="str">
        <f>IF(LEN(TRIM(Controls_Raw!I712))=0,"Missing","OK")</f>
        <v>OK</v>
      </c>
      <c r="D712" t="str">
        <f>IF(LEN(TRIM(Controls_Raw!N712))=0,"Missing","OK")</f>
        <v>OK</v>
      </c>
      <c r="E712" t="str">
        <f>IF(OR(Controls_Raw!G712="USA",Controls_Raw!G712="UK"),"Standardize","OK")</f>
        <v>OK</v>
      </c>
      <c r="F712" t="str">
        <f>IF(Controls_Raw!E712&lt;&gt;TRIM(Controls_Raw!E712),"Trim","OK")</f>
        <v>OK</v>
      </c>
      <c r="G712" t="str">
        <f>IF(AND(Controls_Raw!L712&lt;DATE(2026,9,30),Controls_Raw!M712&lt;&gt;"Completed"),"Overdue","OK")</f>
        <v>Overdue</v>
      </c>
      <c r="H712" t="str">
        <f>IF(AND(Controls_Raw!Q712&lt;DATE(2026,9,30),Controls_Raw!R712&lt;&gt;"Completed",Controls_Raw!R712&lt;&gt;"Not Required"),"Overdue","OK")</f>
        <v>Overdue</v>
      </c>
      <c r="I712" t="str">
        <f t="shared" si="11"/>
        <v>Issue</v>
      </c>
    </row>
    <row r="713" spans="1:9" x14ac:dyDescent="0.2">
      <c r="A713" t="str">
        <f>Controls_Raw!A713</f>
        <v>CTRL-0709</v>
      </c>
      <c r="B713" t="str">
        <f>IF(COUNTIF(Controls_Raw!$A$5:$A$1504,A713)&gt;1,"Duplicate","OK")</f>
        <v>OK</v>
      </c>
      <c r="C713" t="str">
        <f>IF(LEN(TRIM(Controls_Raw!I713))=0,"Missing","OK")</f>
        <v>OK</v>
      </c>
      <c r="D713" t="str">
        <f>IF(LEN(TRIM(Controls_Raw!N713))=0,"Missing","OK")</f>
        <v>OK</v>
      </c>
      <c r="E713" t="str">
        <f>IF(OR(Controls_Raw!G713="USA",Controls_Raw!G713="UK"),"Standardize","OK")</f>
        <v>OK</v>
      </c>
      <c r="F713" t="str">
        <f>IF(Controls_Raw!E713&lt;&gt;TRIM(Controls_Raw!E713),"Trim","OK")</f>
        <v>OK</v>
      </c>
      <c r="G713" t="str">
        <f>IF(AND(Controls_Raw!L713&lt;DATE(2026,9,30),Controls_Raw!M713&lt;&gt;"Completed"),"Overdue","OK")</f>
        <v>Overdue</v>
      </c>
      <c r="H713" t="str">
        <f>IF(AND(Controls_Raw!Q713&lt;DATE(2026,9,30),Controls_Raw!R713&lt;&gt;"Completed",Controls_Raw!R713&lt;&gt;"Not Required"),"Overdue","OK")</f>
        <v>OK</v>
      </c>
      <c r="I713" t="str">
        <f t="shared" si="11"/>
        <v>Issue</v>
      </c>
    </row>
    <row r="714" spans="1:9" x14ac:dyDescent="0.2">
      <c r="A714" t="str">
        <f>Controls_Raw!A714</f>
        <v>CTRL-0710</v>
      </c>
      <c r="B714" t="str">
        <f>IF(COUNTIF(Controls_Raw!$A$5:$A$1504,A714)&gt;1,"Duplicate","OK")</f>
        <v>OK</v>
      </c>
      <c r="C714" t="str">
        <f>IF(LEN(TRIM(Controls_Raw!I714))=0,"Missing","OK")</f>
        <v>OK</v>
      </c>
      <c r="D714" t="str">
        <f>IF(LEN(TRIM(Controls_Raw!N714))=0,"Missing","OK")</f>
        <v>OK</v>
      </c>
      <c r="E714" t="str">
        <f>IF(OR(Controls_Raw!G714="USA",Controls_Raw!G714="UK"),"Standardize","OK")</f>
        <v>OK</v>
      </c>
      <c r="F714" t="str">
        <f>IF(Controls_Raw!E714&lt;&gt;TRIM(Controls_Raw!E714),"Trim","OK")</f>
        <v>OK</v>
      </c>
      <c r="G714" t="str">
        <f>IF(AND(Controls_Raw!L714&lt;DATE(2026,9,30),Controls_Raw!M714&lt;&gt;"Completed"),"Overdue","OK")</f>
        <v>OK</v>
      </c>
      <c r="H714" t="str">
        <f>IF(AND(Controls_Raw!Q714&lt;DATE(2026,9,30),Controls_Raw!R714&lt;&gt;"Completed",Controls_Raw!R714&lt;&gt;"Not Required"),"Overdue","OK")</f>
        <v>OK</v>
      </c>
      <c r="I714" t="str">
        <f t="shared" si="11"/>
        <v>Pass</v>
      </c>
    </row>
    <row r="715" spans="1:9" x14ac:dyDescent="0.2">
      <c r="A715" t="str">
        <f>Controls_Raw!A715</f>
        <v>CTRL-0711</v>
      </c>
      <c r="B715" t="str">
        <f>IF(COUNTIF(Controls_Raw!$A$5:$A$1504,A715)&gt;1,"Duplicate","OK")</f>
        <v>OK</v>
      </c>
      <c r="C715" t="str">
        <f>IF(LEN(TRIM(Controls_Raw!I715))=0,"Missing","OK")</f>
        <v>OK</v>
      </c>
      <c r="D715" t="str">
        <f>IF(LEN(TRIM(Controls_Raw!N715))=0,"Missing","OK")</f>
        <v>OK</v>
      </c>
      <c r="E715" t="str">
        <f>IF(OR(Controls_Raw!G715="USA",Controls_Raw!G715="UK"),"Standardize","OK")</f>
        <v>OK</v>
      </c>
      <c r="F715" t="str">
        <f>IF(Controls_Raw!E715&lt;&gt;TRIM(Controls_Raw!E715),"Trim","OK")</f>
        <v>OK</v>
      </c>
      <c r="G715" t="str">
        <f>IF(AND(Controls_Raw!L715&lt;DATE(2026,9,30),Controls_Raw!M715&lt;&gt;"Completed"),"Overdue","OK")</f>
        <v>Overdue</v>
      </c>
      <c r="H715" t="str">
        <f>IF(AND(Controls_Raw!Q715&lt;DATE(2026,9,30),Controls_Raw!R715&lt;&gt;"Completed",Controls_Raw!R715&lt;&gt;"Not Required"),"Overdue","OK")</f>
        <v>OK</v>
      </c>
      <c r="I715" t="str">
        <f t="shared" si="11"/>
        <v>Issue</v>
      </c>
    </row>
    <row r="716" spans="1:9" x14ac:dyDescent="0.2">
      <c r="A716" t="str">
        <f>Controls_Raw!A716</f>
        <v>CTRL-0712</v>
      </c>
      <c r="B716" t="str">
        <f>IF(COUNTIF(Controls_Raw!$A$5:$A$1504,A716)&gt;1,"Duplicate","OK")</f>
        <v>OK</v>
      </c>
      <c r="C716" t="str">
        <f>IF(LEN(TRIM(Controls_Raw!I716))=0,"Missing","OK")</f>
        <v>OK</v>
      </c>
      <c r="D716" t="str">
        <f>IF(LEN(TRIM(Controls_Raw!N716))=0,"Missing","OK")</f>
        <v>OK</v>
      </c>
      <c r="E716" t="str">
        <f>IF(OR(Controls_Raw!G716="USA",Controls_Raw!G716="UK"),"Standardize","OK")</f>
        <v>OK</v>
      </c>
      <c r="F716" t="str">
        <f>IF(Controls_Raw!E716&lt;&gt;TRIM(Controls_Raw!E716),"Trim","OK")</f>
        <v>OK</v>
      </c>
      <c r="G716" t="str">
        <f>IF(AND(Controls_Raw!L716&lt;DATE(2026,9,30),Controls_Raw!M716&lt;&gt;"Completed"),"Overdue","OK")</f>
        <v>Overdue</v>
      </c>
      <c r="H716" t="str">
        <f>IF(AND(Controls_Raw!Q716&lt;DATE(2026,9,30),Controls_Raw!R716&lt;&gt;"Completed",Controls_Raw!R716&lt;&gt;"Not Required"),"Overdue","OK")</f>
        <v>OK</v>
      </c>
      <c r="I716" t="str">
        <f t="shared" si="11"/>
        <v>Issue</v>
      </c>
    </row>
    <row r="717" spans="1:9" x14ac:dyDescent="0.2">
      <c r="A717" t="str">
        <f>Controls_Raw!A717</f>
        <v>CTRL-0713</v>
      </c>
      <c r="B717" t="str">
        <f>IF(COUNTIF(Controls_Raw!$A$5:$A$1504,A717)&gt;1,"Duplicate","OK")</f>
        <v>OK</v>
      </c>
      <c r="C717" t="str">
        <f>IF(LEN(TRIM(Controls_Raw!I717))=0,"Missing","OK")</f>
        <v>OK</v>
      </c>
      <c r="D717" t="str">
        <f>IF(LEN(TRIM(Controls_Raw!N717))=0,"Missing","OK")</f>
        <v>OK</v>
      </c>
      <c r="E717" t="str">
        <f>IF(OR(Controls_Raw!G717="USA",Controls_Raw!G717="UK"),"Standardize","OK")</f>
        <v>OK</v>
      </c>
      <c r="F717" t="str">
        <f>IF(Controls_Raw!E717&lt;&gt;TRIM(Controls_Raw!E717),"Trim","OK")</f>
        <v>OK</v>
      </c>
      <c r="G717" t="str">
        <f>IF(AND(Controls_Raw!L717&lt;DATE(2026,9,30),Controls_Raw!M717&lt;&gt;"Completed"),"Overdue","OK")</f>
        <v>Overdue</v>
      </c>
      <c r="H717" t="str">
        <f>IF(AND(Controls_Raw!Q717&lt;DATE(2026,9,30),Controls_Raw!R717&lt;&gt;"Completed",Controls_Raw!R717&lt;&gt;"Not Required"),"Overdue","OK")</f>
        <v>OK</v>
      </c>
      <c r="I717" t="str">
        <f t="shared" si="11"/>
        <v>Issue</v>
      </c>
    </row>
    <row r="718" spans="1:9" x14ac:dyDescent="0.2">
      <c r="A718" t="str">
        <f>Controls_Raw!A718</f>
        <v>CTRL-0714</v>
      </c>
      <c r="B718" t="str">
        <f>IF(COUNTIF(Controls_Raw!$A$5:$A$1504,A718)&gt;1,"Duplicate","OK")</f>
        <v>OK</v>
      </c>
      <c r="C718" t="str">
        <f>IF(LEN(TRIM(Controls_Raw!I718))=0,"Missing","OK")</f>
        <v>OK</v>
      </c>
      <c r="D718" t="str">
        <f>IF(LEN(TRIM(Controls_Raw!N718))=0,"Missing","OK")</f>
        <v>OK</v>
      </c>
      <c r="E718" t="str">
        <f>IF(OR(Controls_Raw!G718="USA",Controls_Raw!G718="UK"),"Standardize","OK")</f>
        <v>OK</v>
      </c>
      <c r="F718" t="str">
        <f>IF(Controls_Raw!E718&lt;&gt;TRIM(Controls_Raw!E718),"Trim","OK")</f>
        <v>OK</v>
      </c>
      <c r="G718" t="str">
        <f>IF(AND(Controls_Raw!L718&lt;DATE(2026,9,30),Controls_Raw!M718&lt;&gt;"Completed"),"Overdue","OK")</f>
        <v>Overdue</v>
      </c>
      <c r="H718" t="str">
        <f>IF(AND(Controls_Raw!Q718&lt;DATE(2026,9,30),Controls_Raw!R718&lt;&gt;"Completed",Controls_Raw!R718&lt;&gt;"Not Required"),"Overdue","OK")</f>
        <v>Overdue</v>
      </c>
      <c r="I718" t="str">
        <f t="shared" si="11"/>
        <v>Issue</v>
      </c>
    </row>
    <row r="719" spans="1:9" x14ac:dyDescent="0.2">
      <c r="A719" t="str">
        <f>Controls_Raw!A719</f>
        <v>CTRL-0715</v>
      </c>
      <c r="B719" t="str">
        <f>IF(COUNTIF(Controls_Raw!$A$5:$A$1504,A719)&gt;1,"Duplicate","OK")</f>
        <v>OK</v>
      </c>
      <c r="C719" t="str">
        <f>IF(LEN(TRIM(Controls_Raw!I719))=0,"Missing","OK")</f>
        <v>OK</v>
      </c>
      <c r="D719" t="str">
        <f>IF(LEN(TRIM(Controls_Raw!N719))=0,"Missing","OK")</f>
        <v>OK</v>
      </c>
      <c r="E719" t="str">
        <f>IF(OR(Controls_Raw!G719="USA",Controls_Raw!G719="UK"),"Standardize","OK")</f>
        <v>OK</v>
      </c>
      <c r="F719" t="str">
        <f>IF(Controls_Raw!E719&lt;&gt;TRIM(Controls_Raw!E719),"Trim","OK")</f>
        <v>OK</v>
      </c>
      <c r="G719" t="str">
        <f>IF(AND(Controls_Raw!L719&lt;DATE(2026,9,30),Controls_Raw!M719&lt;&gt;"Completed"),"Overdue","OK")</f>
        <v>OK</v>
      </c>
      <c r="H719" t="str">
        <f>IF(AND(Controls_Raw!Q719&lt;DATE(2026,9,30),Controls_Raw!R719&lt;&gt;"Completed",Controls_Raw!R719&lt;&gt;"Not Required"),"Overdue","OK")</f>
        <v>OK</v>
      </c>
      <c r="I719" t="str">
        <f t="shared" si="11"/>
        <v>Pass</v>
      </c>
    </row>
    <row r="720" spans="1:9" x14ac:dyDescent="0.2">
      <c r="A720" t="str">
        <f>Controls_Raw!A720</f>
        <v>CTRL-0716</v>
      </c>
      <c r="B720" t="str">
        <f>IF(COUNTIF(Controls_Raw!$A$5:$A$1504,A720)&gt;1,"Duplicate","OK")</f>
        <v>OK</v>
      </c>
      <c r="C720" t="str">
        <f>IF(LEN(TRIM(Controls_Raw!I720))=0,"Missing","OK")</f>
        <v>OK</v>
      </c>
      <c r="D720" t="str">
        <f>IF(LEN(TRIM(Controls_Raw!N720))=0,"Missing","OK")</f>
        <v>OK</v>
      </c>
      <c r="E720" t="str">
        <f>IF(OR(Controls_Raw!G720="USA",Controls_Raw!G720="UK"),"Standardize","OK")</f>
        <v>OK</v>
      </c>
      <c r="F720" t="str">
        <f>IF(Controls_Raw!E720&lt;&gt;TRIM(Controls_Raw!E720),"Trim","OK")</f>
        <v>OK</v>
      </c>
      <c r="G720" t="str">
        <f>IF(AND(Controls_Raw!L720&lt;DATE(2026,9,30),Controls_Raw!M720&lt;&gt;"Completed"),"Overdue","OK")</f>
        <v>Overdue</v>
      </c>
      <c r="H720" t="str">
        <f>IF(AND(Controls_Raw!Q720&lt;DATE(2026,9,30),Controls_Raw!R720&lt;&gt;"Completed",Controls_Raw!R720&lt;&gt;"Not Required"),"Overdue","OK")</f>
        <v>Overdue</v>
      </c>
      <c r="I720" t="str">
        <f t="shared" si="11"/>
        <v>Issue</v>
      </c>
    </row>
    <row r="721" spans="1:9" x14ac:dyDescent="0.2">
      <c r="A721" t="str">
        <f>Controls_Raw!A721</f>
        <v>CTRL-0717</v>
      </c>
      <c r="B721" t="str">
        <f>IF(COUNTIF(Controls_Raw!$A$5:$A$1504,A721)&gt;1,"Duplicate","OK")</f>
        <v>OK</v>
      </c>
      <c r="C721" t="str">
        <f>IF(LEN(TRIM(Controls_Raw!I721))=0,"Missing","OK")</f>
        <v>OK</v>
      </c>
      <c r="D721" t="str">
        <f>IF(LEN(TRIM(Controls_Raw!N721))=0,"Missing","OK")</f>
        <v>OK</v>
      </c>
      <c r="E721" t="str">
        <f>IF(OR(Controls_Raw!G721="USA",Controls_Raw!G721="UK"),"Standardize","OK")</f>
        <v>OK</v>
      </c>
      <c r="F721" t="str">
        <f>IF(Controls_Raw!E721&lt;&gt;TRIM(Controls_Raw!E721),"Trim","OK")</f>
        <v>OK</v>
      </c>
      <c r="G721" t="str">
        <f>IF(AND(Controls_Raw!L721&lt;DATE(2026,9,30),Controls_Raw!M721&lt;&gt;"Completed"),"Overdue","OK")</f>
        <v>Overdue</v>
      </c>
      <c r="H721" t="str">
        <f>IF(AND(Controls_Raw!Q721&lt;DATE(2026,9,30),Controls_Raw!R721&lt;&gt;"Completed",Controls_Raw!R721&lt;&gt;"Not Required"),"Overdue","OK")</f>
        <v>OK</v>
      </c>
      <c r="I721" t="str">
        <f t="shared" si="11"/>
        <v>Issue</v>
      </c>
    </row>
    <row r="722" spans="1:9" x14ac:dyDescent="0.2">
      <c r="A722" t="str">
        <f>Controls_Raw!A722</f>
        <v>CTRL-0718</v>
      </c>
      <c r="B722" t="str">
        <f>IF(COUNTIF(Controls_Raw!$A$5:$A$1504,A722)&gt;1,"Duplicate","OK")</f>
        <v>OK</v>
      </c>
      <c r="C722" t="str">
        <f>IF(LEN(TRIM(Controls_Raw!I722))=0,"Missing","OK")</f>
        <v>OK</v>
      </c>
      <c r="D722" t="str">
        <f>IF(LEN(TRIM(Controls_Raw!N722))=0,"Missing","OK")</f>
        <v>OK</v>
      </c>
      <c r="E722" t="str">
        <f>IF(OR(Controls_Raw!G722="USA",Controls_Raw!G722="UK"),"Standardize","OK")</f>
        <v>OK</v>
      </c>
      <c r="F722" t="str">
        <f>IF(Controls_Raw!E722&lt;&gt;TRIM(Controls_Raw!E722),"Trim","OK")</f>
        <v>OK</v>
      </c>
      <c r="G722" t="str">
        <f>IF(AND(Controls_Raw!L722&lt;DATE(2026,9,30),Controls_Raw!M722&lt;&gt;"Completed"),"Overdue","OK")</f>
        <v>Overdue</v>
      </c>
      <c r="H722" t="str">
        <f>IF(AND(Controls_Raw!Q722&lt;DATE(2026,9,30),Controls_Raw!R722&lt;&gt;"Completed",Controls_Raw!R722&lt;&gt;"Not Required"),"Overdue","OK")</f>
        <v>OK</v>
      </c>
      <c r="I722" t="str">
        <f t="shared" si="11"/>
        <v>Issue</v>
      </c>
    </row>
    <row r="723" spans="1:9" x14ac:dyDescent="0.2">
      <c r="A723" t="str">
        <f>Controls_Raw!A723</f>
        <v>CTRL-0719</v>
      </c>
      <c r="B723" t="str">
        <f>IF(COUNTIF(Controls_Raw!$A$5:$A$1504,A723)&gt;1,"Duplicate","OK")</f>
        <v>OK</v>
      </c>
      <c r="C723" t="str">
        <f>IF(LEN(TRIM(Controls_Raw!I723))=0,"Missing","OK")</f>
        <v>OK</v>
      </c>
      <c r="D723" t="str">
        <f>IF(LEN(TRIM(Controls_Raw!N723))=0,"Missing","OK")</f>
        <v>OK</v>
      </c>
      <c r="E723" t="str">
        <f>IF(OR(Controls_Raw!G723="USA",Controls_Raw!G723="UK"),"Standardize","OK")</f>
        <v>OK</v>
      </c>
      <c r="F723" t="str">
        <f>IF(Controls_Raw!E723&lt;&gt;TRIM(Controls_Raw!E723),"Trim","OK")</f>
        <v>OK</v>
      </c>
      <c r="G723" t="str">
        <f>IF(AND(Controls_Raw!L723&lt;DATE(2026,9,30),Controls_Raw!M723&lt;&gt;"Completed"),"Overdue","OK")</f>
        <v>Overdue</v>
      </c>
      <c r="H723" t="str">
        <f>IF(AND(Controls_Raw!Q723&lt;DATE(2026,9,30),Controls_Raw!R723&lt;&gt;"Completed",Controls_Raw!R723&lt;&gt;"Not Required"),"Overdue","OK")</f>
        <v>Overdue</v>
      </c>
      <c r="I723" t="str">
        <f t="shared" si="11"/>
        <v>Issue</v>
      </c>
    </row>
    <row r="724" spans="1:9" x14ac:dyDescent="0.2">
      <c r="A724" t="str">
        <f>Controls_Raw!A724</f>
        <v>CTRL-0720</v>
      </c>
      <c r="B724" t="str">
        <f>IF(COUNTIF(Controls_Raw!$A$5:$A$1504,A724)&gt;1,"Duplicate","OK")</f>
        <v>OK</v>
      </c>
      <c r="C724" t="str">
        <f>IF(LEN(TRIM(Controls_Raw!I724))=0,"Missing","OK")</f>
        <v>OK</v>
      </c>
      <c r="D724" t="str">
        <f>IF(LEN(TRIM(Controls_Raw!N724))=0,"Missing","OK")</f>
        <v>OK</v>
      </c>
      <c r="E724" t="str">
        <f>IF(OR(Controls_Raw!G724="USA",Controls_Raw!G724="UK"),"Standardize","OK")</f>
        <v>OK</v>
      </c>
      <c r="F724" t="str">
        <f>IF(Controls_Raw!E724&lt;&gt;TRIM(Controls_Raw!E724),"Trim","OK")</f>
        <v>OK</v>
      </c>
      <c r="G724" t="str">
        <f>IF(AND(Controls_Raw!L724&lt;DATE(2026,9,30),Controls_Raw!M724&lt;&gt;"Completed"),"Overdue","OK")</f>
        <v>OK</v>
      </c>
      <c r="H724" t="str">
        <f>IF(AND(Controls_Raw!Q724&lt;DATE(2026,9,30),Controls_Raw!R724&lt;&gt;"Completed",Controls_Raw!R724&lt;&gt;"Not Required"),"Overdue","OK")</f>
        <v>Overdue</v>
      </c>
      <c r="I724" t="str">
        <f t="shared" si="11"/>
        <v>Issue</v>
      </c>
    </row>
    <row r="725" spans="1:9" x14ac:dyDescent="0.2">
      <c r="A725" t="str">
        <f>Controls_Raw!A725</f>
        <v>CTRL-0721</v>
      </c>
      <c r="B725" t="str">
        <f>IF(COUNTIF(Controls_Raw!$A$5:$A$1504,A725)&gt;1,"Duplicate","OK")</f>
        <v>OK</v>
      </c>
      <c r="C725" t="str">
        <f>IF(LEN(TRIM(Controls_Raw!I725))=0,"Missing","OK")</f>
        <v>OK</v>
      </c>
      <c r="D725" t="str">
        <f>IF(LEN(TRIM(Controls_Raw!N725))=0,"Missing","OK")</f>
        <v>OK</v>
      </c>
      <c r="E725" t="str">
        <f>IF(OR(Controls_Raw!G725="USA",Controls_Raw!G725="UK"),"Standardize","OK")</f>
        <v>OK</v>
      </c>
      <c r="F725" t="str">
        <f>IF(Controls_Raw!E725&lt;&gt;TRIM(Controls_Raw!E725),"Trim","OK")</f>
        <v>OK</v>
      </c>
      <c r="G725" t="str">
        <f>IF(AND(Controls_Raw!L725&lt;DATE(2026,9,30),Controls_Raw!M725&lt;&gt;"Completed"),"Overdue","OK")</f>
        <v>OK</v>
      </c>
      <c r="H725" t="str">
        <f>IF(AND(Controls_Raw!Q725&lt;DATE(2026,9,30),Controls_Raw!R725&lt;&gt;"Completed",Controls_Raw!R725&lt;&gt;"Not Required"),"Overdue","OK")</f>
        <v>OK</v>
      </c>
      <c r="I725" t="str">
        <f t="shared" si="11"/>
        <v>Pass</v>
      </c>
    </row>
    <row r="726" spans="1:9" x14ac:dyDescent="0.2">
      <c r="A726" t="str">
        <f>Controls_Raw!A726</f>
        <v>CTRL-0722</v>
      </c>
      <c r="B726" t="str">
        <f>IF(COUNTIF(Controls_Raw!$A$5:$A$1504,A726)&gt;1,"Duplicate","OK")</f>
        <v>OK</v>
      </c>
      <c r="C726" t="str">
        <f>IF(LEN(TRIM(Controls_Raw!I726))=0,"Missing","OK")</f>
        <v>OK</v>
      </c>
      <c r="D726" t="str">
        <f>IF(LEN(TRIM(Controls_Raw!N726))=0,"Missing","OK")</f>
        <v>OK</v>
      </c>
      <c r="E726" t="str">
        <f>IF(OR(Controls_Raw!G726="USA",Controls_Raw!G726="UK"),"Standardize","OK")</f>
        <v>OK</v>
      </c>
      <c r="F726" t="str">
        <f>IF(Controls_Raw!E726&lt;&gt;TRIM(Controls_Raw!E726),"Trim","OK")</f>
        <v>OK</v>
      </c>
      <c r="G726" t="str">
        <f>IF(AND(Controls_Raw!L726&lt;DATE(2026,9,30),Controls_Raw!M726&lt;&gt;"Completed"),"Overdue","OK")</f>
        <v>OK</v>
      </c>
      <c r="H726" t="str">
        <f>IF(AND(Controls_Raw!Q726&lt;DATE(2026,9,30),Controls_Raw!R726&lt;&gt;"Completed",Controls_Raw!R726&lt;&gt;"Not Required"),"Overdue","OK")</f>
        <v>OK</v>
      </c>
      <c r="I726" t="str">
        <f t="shared" si="11"/>
        <v>Pass</v>
      </c>
    </row>
    <row r="727" spans="1:9" x14ac:dyDescent="0.2">
      <c r="A727" t="str">
        <f>Controls_Raw!A727</f>
        <v>CTRL-0723</v>
      </c>
      <c r="B727" t="str">
        <f>IF(COUNTIF(Controls_Raw!$A$5:$A$1504,A727)&gt;1,"Duplicate","OK")</f>
        <v>OK</v>
      </c>
      <c r="C727" t="str">
        <f>IF(LEN(TRIM(Controls_Raw!I727))=0,"Missing","OK")</f>
        <v>OK</v>
      </c>
      <c r="D727" t="str">
        <f>IF(LEN(TRIM(Controls_Raw!N727))=0,"Missing","OK")</f>
        <v>OK</v>
      </c>
      <c r="E727" t="str">
        <f>IF(OR(Controls_Raw!G727="USA",Controls_Raw!G727="UK"),"Standardize","OK")</f>
        <v>OK</v>
      </c>
      <c r="F727" t="str">
        <f>IF(Controls_Raw!E727&lt;&gt;TRIM(Controls_Raw!E727),"Trim","OK")</f>
        <v>OK</v>
      </c>
      <c r="G727" t="str">
        <f>IF(AND(Controls_Raw!L727&lt;DATE(2026,9,30),Controls_Raw!M727&lt;&gt;"Completed"),"Overdue","OK")</f>
        <v>OK</v>
      </c>
      <c r="H727" t="str">
        <f>IF(AND(Controls_Raw!Q727&lt;DATE(2026,9,30),Controls_Raw!R727&lt;&gt;"Completed",Controls_Raw!R727&lt;&gt;"Not Required"),"Overdue","OK")</f>
        <v>OK</v>
      </c>
      <c r="I727" t="str">
        <f t="shared" si="11"/>
        <v>Pass</v>
      </c>
    </row>
    <row r="728" spans="1:9" x14ac:dyDescent="0.2">
      <c r="A728" t="str">
        <f>Controls_Raw!A728</f>
        <v>CTRL-0724</v>
      </c>
      <c r="B728" t="str">
        <f>IF(COUNTIF(Controls_Raw!$A$5:$A$1504,A728)&gt;1,"Duplicate","OK")</f>
        <v>OK</v>
      </c>
      <c r="C728" t="str">
        <f>IF(LEN(TRIM(Controls_Raw!I728))=0,"Missing","OK")</f>
        <v>OK</v>
      </c>
      <c r="D728" t="str">
        <f>IF(LEN(TRIM(Controls_Raw!N728))=0,"Missing","OK")</f>
        <v>OK</v>
      </c>
      <c r="E728" t="str">
        <f>IF(OR(Controls_Raw!G728="USA",Controls_Raw!G728="UK"),"Standardize","OK")</f>
        <v>OK</v>
      </c>
      <c r="F728" t="str">
        <f>IF(Controls_Raw!E728&lt;&gt;TRIM(Controls_Raw!E728),"Trim","OK")</f>
        <v>OK</v>
      </c>
      <c r="G728" t="str">
        <f>IF(AND(Controls_Raw!L728&lt;DATE(2026,9,30),Controls_Raw!M728&lt;&gt;"Completed"),"Overdue","OK")</f>
        <v>OK</v>
      </c>
      <c r="H728" t="str">
        <f>IF(AND(Controls_Raw!Q728&lt;DATE(2026,9,30),Controls_Raw!R728&lt;&gt;"Completed",Controls_Raw!R728&lt;&gt;"Not Required"),"Overdue","OK")</f>
        <v>OK</v>
      </c>
      <c r="I728" t="str">
        <f t="shared" si="11"/>
        <v>Pass</v>
      </c>
    </row>
    <row r="729" spans="1:9" x14ac:dyDescent="0.2">
      <c r="A729" t="str">
        <f>Controls_Raw!A729</f>
        <v>CTRL-0725</v>
      </c>
      <c r="B729" t="str">
        <f>IF(COUNTIF(Controls_Raw!$A$5:$A$1504,A729)&gt;1,"Duplicate","OK")</f>
        <v>OK</v>
      </c>
      <c r="C729" t="str">
        <f>IF(LEN(TRIM(Controls_Raw!I729))=0,"Missing","OK")</f>
        <v>OK</v>
      </c>
      <c r="D729" t="str">
        <f>IF(LEN(TRIM(Controls_Raw!N729))=0,"Missing","OK")</f>
        <v>OK</v>
      </c>
      <c r="E729" t="str">
        <f>IF(OR(Controls_Raw!G729="USA",Controls_Raw!G729="UK"),"Standardize","OK")</f>
        <v>OK</v>
      </c>
      <c r="F729" t="str">
        <f>IF(Controls_Raw!E729&lt;&gt;TRIM(Controls_Raw!E729),"Trim","OK")</f>
        <v>OK</v>
      </c>
      <c r="G729" t="str">
        <f>IF(AND(Controls_Raw!L729&lt;DATE(2026,9,30),Controls_Raw!M729&lt;&gt;"Completed"),"Overdue","OK")</f>
        <v>Overdue</v>
      </c>
      <c r="H729" t="str">
        <f>IF(AND(Controls_Raw!Q729&lt;DATE(2026,9,30),Controls_Raw!R729&lt;&gt;"Completed",Controls_Raw!R729&lt;&gt;"Not Required"),"Overdue","OK")</f>
        <v>Overdue</v>
      </c>
      <c r="I729" t="str">
        <f t="shared" si="11"/>
        <v>Issue</v>
      </c>
    </row>
    <row r="730" spans="1:9" x14ac:dyDescent="0.2">
      <c r="A730" t="str">
        <f>Controls_Raw!A730</f>
        <v>CTRL-0726</v>
      </c>
      <c r="B730" t="str">
        <f>IF(COUNTIF(Controls_Raw!$A$5:$A$1504,A730)&gt;1,"Duplicate","OK")</f>
        <v>OK</v>
      </c>
      <c r="C730" t="str">
        <f>IF(LEN(TRIM(Controls_Raw!I730))=0,"Missing","OK")</f>
        <v>OK</v>
      </c>
      <c r="D730" t="str">
        <f>IF(LEN(TRIM(Controls_Raw!N730))=0,"Missing","OK")</f>
        <v>OK</v>
      </c>
      <c r="E730" t="str">
        <f>IF(OR(Controls_Raw!G730="USA",Controls_Raw!G730="UK"),"Standardize","OK")</f>
        <v>OK</v>
      </c>
      <c r="F730" t="str">
        <f>IF(Controls_Raw!E730&lt;&gt;TRIM(Controls_Raw!E730),"Trim","OK")</f>
        <v>OK</v>
      </c>
      <c r="G730" t="str">
        <f>IF(AND(Controls_Raw!L730&lt;DATE(2026,9,30),Controls_Raw!M730&lt;&gt;"Completed"),"Overdue","OK")</f>
        <v>Overdue</v>
      </c>
      <c r="H730" t="str">
        <f>IF(AND(Controls_Raw!Q730&lt;DATE(2026,9,30),Controls_Raw!R730&lt;&gt;"Completed",Controls_Raw!R730&lt;&gt;"Not Required"),"Overdue","OK")</f>
        <v>Overdue</v>
      </c>
      <c r="I730" t="str">
        <f t="shared" si="11"/>
        <v>Issue</v>
      </c>
    </row>
    <row r="731" spans="1:9" x14ac:dyDescent="0.2">
      <c r="A731" t="str">
        <f>Controls_Raw!A731</f>
        <v>CTRL-0727</v>
      </c>
      <c r="B731" t="str">
        <f>IF(COUNTIF(Controls_Raw!$A$5:$A$1504,A731)&gt;1,"Duplicate","OK")</f>
        <v>OK</v>
      </c>
      <c r="C731" t="str">
        <f>IF(LEN(TRIM(Controls_Raw!I731))=0,"Missing","OK")</f>
        <v>OK</v>
      </c>
      <c r="D731" t="str">
        <f>IF(LEN(TRIM(Controls_Raw!N731))=0,"Missing","OK")</f>
        <v>OK</v>
      </c>
      <c r="E731" t="str">
        <f>IF(OR(Controls_Raw!G731="USA",Controls_Raw!G731="UK"),"Standardize","OK")</f>
        <v>OK</v>
      </c>
      <c r="F731" t="str">
        <f>IF(Controls_Raw!E731&lt;&gt;TRIM(Controls_Raw!E731),"Trim","OK")</f>
        <v>OK</v>
      </c>
      <c r="G731" t="str">
        <f>IF(AND(Controls_Raw!L731&lt;DATE(2026,9,30),Controls_Raw!M731&lt;&gt;"Completed"),"Overdue","OK")</f>
        <v>Overdue</v>
      </c>
      <c r="H731" t="str">
        <f>IF(AND(Controls_Raw!Q731&lt;DATE(2026,9,30),Controls_Raw!R731&lt;&gt;"Completed",Controls_Raw!R731&lt;&gt;"Not Required"),"Overdue","OK")</f>
        <v>Overdue</v>
      </c>
      <c r="I731" t="str">
        <f t="shared" si="11"/>
        <v>Issue</v>
      </c>
    </row>
    <row r="732" spans="1:9" x14ac:dyDescent="0.2">
      <c r="A732" t="str">
        <f>Controls_Raw!A732</f>
        <v>CTRL-0728</v>
      </c>
      <c r="B732" t="str">
        <f>IF(COUNTIF(Controls_Raw!$A$5:$A$1504,A732)&gt;1,"Duplicate","OK")</f>
        <v>OK</v>
      </c>
      <c r="C732" t="str">
        <f>IF(LEN(TRIM(Controls_Raw!I732))=0,"Missing","OK")</f>
        <v>OK</v>
      </c>
      <c r="D732" t="str">
        <f>IF(LEN(TRIM(Controls_Raw!N732))=0,"Missing","OK")</f>
        <v>OK</v>
      </c>
      <c r="E732" t="str">
        <f>IF(OR(Controls_Raw!G732="USA",Controls_Raw!G732="UK"),"Standardize","OK")</f>
        <v>OK</v>
      </c>
      <c r="F732" t="str">
        <f>IF(Controls_Raw!E732&lt;&gt;TRIM(Controls_Raw!E732),"Trim","OK")</f>
        <v>OK</v>
      </c>
      <c r="G732" t="str">
        <f>IF(AND(Controls_Raw!L732&lt;DATE(2026,9,30),Controls_Raw!M732&lt;&gt;"Completed"),"Overdue","OK")</f>
        <v>Overdue</v>
      </c>
      <c r="H732" t="str">
        <f>IF(AND(Controls_Raw!Q732&lt;DATE(2026,9,30),Controls_Raw!R732&lt;&gt;"Completed",Controls_Raw!R732&lt;&gt;"Not Required"),"Overdue","OK")</f>
        <v>OK</v>
      </c>
      <c r="I732" t="str">
        <f t="shared" si="11"/>
        <v>Issue</v>
      </c>
    </row>
    <row r="733" spans="1:9" x14ac:dyDescent="0.2">
      <c r="A733" t="str">
        <f>Controls_Raw!A733</f>
        <v>CTRL-0729</v>
      </c>
      <c r="B733" t="str">
        <f>IF(COUNTIF(Controls_Raw!$A$5:$A$1504,A733)&gt;1,"Duplicate","OK")</f>
        <v>OK</v>
      </c>
      <c r="C733" t="str">
        <f>IF(LEN(TRIM(Controls_Raw!I733))=0,"Missing","OK")</f>
        <v>OK</v>
      </c>
      <c r="D733" t="str">
        <f>IF(LEN(TRIM(Controls_Raw!N733))=0,"Missing","OK")</f>
        <v>OK</v>
      </c>
      <c r="E733" t="str">
        <f>IF(OR(Controls_Raw!G733="USA",Controls_Raw!G733="UK"),"Standardize","OK")</f>
        <v>OK</v>
      </c>
      <c r="F733" t="str">
        <f>IF(Controls_Raw!E733&lt;&gt;TRIM(Controls_Raw!E733),"Trim","OK")</f>
        <v>OK</v>
      </c>
      <c r="G733" t="str">
        <f>IF(AND(Controls_Raw!L733&lt;DATE(2026,9,30),Controls_Raw!M733&lt;&gt;"Completed"),"Overdue","OK")</f>
        <v>Overdue</v>
      </c>
      <c r="H733" t="str">
        <f>IF(AND(Controls_Raw!Q733&lt;DATE(2026,9,30),Controls_Raw!R733&lt;&gt;"Completed",Controls_Raw!R733&lt;&gt;"Not Required"),"Overdue","OK")</f>
        <v>OK</v>
      </c>
      <c r="I733" t="str">
        <f t="shared" si="11"/>
        <v>Issue</v>
      </c>
    </row>
    <row r="734" spans="1:9" x14ac:dyDescent="0.2">
      <c r="A734" t="str">
        <f>Controls_Raw!A734</f>
        <v>CTRL-0730</v>
      </c>
      <c r="B734" t="str">
        <f>IF(COUNTIF(Controls_Raw!$A$5:$A$1504,A734)&gt;1,"Duplicate","OK")</f>
        <v>OK</v>
      </c>
      <c r="C734" t="str">
        <f>IF(LEN(TRIM(Controls_Raw!I734))=0,"Missing","OK")</f>
        <v>OK</v>
      </c>
      <c r="D734" t="str">
        <f>IF(LEN(TRIM(Controls_Raw!N734))=0,"Missing","OK")</f>
        <v>OK</v>
      </c>
      <c r="E734" t="str">
        <f>IF(OR(Controls_Raw!G734="USA",Controls_Raw!G734="UK"),"Standardize","OK")</f>
        <v>OK</v>
      </c>
      <c r="F734" t="str">
        <f>IF(Controls_Raw!E734&lt;&gt;TRIM(Controls_Raw!E734),"Trim","OK")</f>
        <v>OK</v>
      </c>
      <c r="G734" t="str">
        <f>IF(AND(Controls_Raw!L734&lt;DATE(2026,9,30),Controls_Raw!M734&lt;&gt;"Completed"),"Overdue","OK")</f>
        <v>OK</v>
      </c>
      <c r="H734" t="str">
        <f>IF(AND(Controls_Raw!Q734&lt;DATE(2026,9,30),Controls_Raw!R734&lt;&gt;"Completed",Controls_Raw!R734&lt;&gt;"Not Required"),"Overdue","OK")</f>
        <v>Overdue</v>
      </c>
      <c r="I734" t="str">
        <f t="shared" si="11"/>
        <v>Issue</v>
      </c>
    </row>
    <row r="735" spans="1:9" x14ac:dyDescent="0.2">
      <c r="A735" t="str">
        <f>Controls_Raw!A735</f>
        <v>CTRL-0731</v>
      </c>
      <c r="B735" t="str">
        <f>IF(COUNTIF(Controls_Raw!$A$5:$A$1504,A735)&gt;1,"Duplicate","OK")</f>
        <v>OK</v>
      </c>
      <c r="C735" t="str">
        <f>IF(LEN(TRIM(Controls_Raw!I735))=0,"Missing","OK")</f>
        <v>OK</v>
      </c>
      <c r="D735" t="str">
        <f>IF(LEN(TRIM(Controls_Raw!N735))=0,"Missing","OK")</f>
        <v>OK</v>
      </c>
      <c r="E735" t="str">
        <f>IF(OR(Controls_Raw!G735="USA",Controls_Raw!G735="UK"),"Standardize","OK")</f>
        <v>OK</v>
      </c>
      <c r="F735" t="str">
        <f>IF(Controls_Raw!E735&lt;&gt;TRIM(Controls_Raw!E735),"Trim","OK")</f>
        <v>Trim</v>
      </c>
      <c r="G735" t="str">
        <f>IF(AND(Controls_Raw!L735&lt;DATE(2026,9,30),Controls_Raw!M735&lt;&gt;"Completed"),"Overdue","OK")</f>
        <v>OK</v>
      </c>
      <c r="H735" t="str">
        <f>IF(AND(Controls_Raw!Q735&lt;DATE(2026,9,30),Controls_Raw!R735&lt;&gt;"Completed",Controls_Raw!R735&lt;&gt;"Not Required"),"Overdue","OK")</f>
        <v>OK</v>
      </c>
      <c r="I735" t="str">
        <f t="shared" si="11"/>
        <v>Issue</v>
      </c>
    </row>
    <row r="736" spans="1:9" x14ac:dyDescent="0.2">
      <c r="A736" t="str">
        <f>Controls_Raw!A736</f>
        <v>CTRL-0732</v>
      </c>
      <c r="B736" t="str">
        <f>IF(COUNTIF(Controls_Raw!$A$5:$A$1504,A736)&gt;1,"Duplicate","OK")</f>
        <v>OK</v>
      </c>
      <c r="C736" t="str">
        <f>IF(LEN(TRIM(Controls_Raw!I736))=0,"Missing","OK")</f>
        <v>OK</v>
      </c>
      <c r="D736" t="str">
        <f>IF(LEN(TRIM(Controls_Raw!N736))=0,"Missing","OK")</f>
        <v>OK</v>
      </c>
      <c r="E736" t="str">
        <f>IF(OR(Controls_Raw!G736="USA",Controls_Raw!G736="UK"),"Standardize","OK")</f>
        <v>OK</v>
      </c>
      <c r="F736" t="str">
        <f>IF(Controls_Raw!E736&lt;&gt;TRIM(Controls_Raw!E736),"Trim","OK")</f>
        <v>OK</v>
      </c>
      <c r="G736" t="str">
        <f>IF(AND(Controls_Raw!L736&lt;DATE(2026,9,30),Controls_Raw!M736&lt;&gt;"Completed"),"Overdue","OK")</f>
        <v>Overdue</v>
      </c>
      <c r="H736" t="str">
        <f>IF(AND(Controls_Raw!Q736&lt;DATE(2026,9,30),Controls_Raw!R736&lt;&gt;"Completed",Controls_Raw!R736&lt;&gt;"Not Required"),"Overdue","OK")</f>
        <v>OK</v>
      </c>
      <c r="I736" t="str">
        <f t="shared" si="11"/>
        <v>Issue</v>
      </c>
    </row>
    <row r="737" spans="1:9" x14ac:dyDescent="0.2">
      <c r="A737" t="str">
        <f>Controls_Raw!A737</f>
        <v>CTRL-0733</v>
      </c>
      <c r="B737" t="str">
        <f>IF(COUNTIF(Controls_Raw!$A$5:$A$1504,A737)&gt;1,"Duplicate","OK")</f>
        <v>OK</v>
      </c>
      <c r="C737" t="str">
        <f>IF(LEN(TRIM(Controls_Raw!I737))=0,"Missing","OK")</f>
        <v>OK</v>
      </c>
      <c r="D737" t="str">
        <f>IF(LEN(TRIM(Controls_Raw!N737))=0,"Missing","OK")</f>
        <v>OK</v>
      </c>
      <c r="E737" t="str">
        <f>IF(OR(Controls_Raw!G737="USA",Controls_Raw!G737="UK"),"Standardize","OK")</f>
        <v>OK</v>
      </c>
      <c r="F737" t="str">
        <f>IF(Controls_Raw!E737&lt;&gt;TRIM(Controls_Raw!E737),"Trim","OK")</f>
        <v>OK</v>
      </c>
      <c r="G737" t="str">
        <f>IF(AND(Controls_Raw!L737&lt;DATE(2026,9,30),Controls_Raw!M737&lt;&gt;"Completed"),"Overdue","OK")</f>
        <v>Overdue</v>
      </c>
      <c r="H737" t="str">
        <f>IF(AND(Controls_Raw!Q737&lt;DATE(2026,9,30),Controls_Raw!R737&lt;&gt;"Completed",Controls_Raw!R737&lt;&gt;"Not Required"),"Overdue","OK")</f>
        <v>Overdue</v>
      </c>
      <c r="I737" t="str">
        <f t="shared" si="11"/>
        <v>Issue</v>
      </c>
    </row>
    <row r="738" spans="1:9" x14ac:dyDescent="0.2">
      <c r="A738" t="str">
        <f>Controls_Raw!A738</f>
        <v>CTRL-0734</v>
      </c>
      <c r="B738" t="str">
        <f>IF(COUNTIF(Controls_Raw!$A$5:$A$1504,A738)&gt;1,"Duplicate","OK")</f>
        <v>OK</v>
      </c>
      <c r="C738" t="str">
        <f>IF(LEN(TRIM(Controls_Raw!I738))=0,"Missing","OK")</f>
        <v>OK</v>
      </c>
      <c r="D738" t="str">
        <f>IF(LEN(TRIM(Controls_Raw!N738))=0,"Missing","OK")</f>
        <v>OK</v>
      </c>
      <c r="E738" t="str">
        <f>IF(OR(Controls_Raw!G738="USA",Controls_Raw!G738="UK"),"Standardize","OK")</f>
        <v>OK</v>
      </c>
      <c r="F738" t="str">
        <f>IF(Controls_Raw!E738&lt;&gt;TRIM(Controls_Raw!E738),"Trim","OK")</f>
        <v>OK</v>
      </c>
      <c r="G738" t="str">
        <f>IF(AND(Controls_Raw!L738&lt;DATE(2026,9,30),Controls_Raw!M738&lt;&gt;"Completed"),"Overdue","OK")</f>
        <v>OK</v>
      </c>
      <c r="H738" t="str">
        <f>IF(AND(Controls_Raw!Q738&lt;DATE(2026,9,30),Controls_Raw!R738&lt;&gt;"Completed",Controls_Raw!R738&lt;&gt;"Not Required"),"Overdue","OK")</f>
        <v>Overdue</v>
      </c>
      <c r="I738" t="str">
        <f t="shared" si="11"/>
        <v>Issue</v>
      </c>
    </row>
    <row r="739" spans="1:9" x14ac:dyDescent="0.2">
      <c r="A739" t="str">
        <f>Controls_Raw!A739</f>
        <v>CTRL-0735</v>
      </c>
      <c r="B739" t="str">
        <f>IF(COUNTIF(Controls_Raw!$A$5:$A$1504,A739)&gt;1,"Duplicate","OK")</f>
        <v>OK</v>
      </c>
      <c r="C739" t="str">
        <f>IF(LEN(TRIM(Controls_Raw!I739))=0,"Missing","OK")</f>
        <v>OK</v>
      </c>
      <c r="D739" t="str">
        <f>IF(LEN(TRIM(Controls_Raw!N739))=0,"Missing","OK")</f>
        <v>OK</v>
      </c>
      <c r="E739" t="str">
        <f>IF(OR(Controls_Raw!G739="USA",Controls_Raw!G739="UK"),"Standardize","OK")</f>
        <v>OK</v>
      </c>
      <c r="F739" t="str">
        <f>IF(Controls_Raw!E739&lt;&gt;TRIM(Controls_Raw!E739),"Trim","OK")</f>
        <v>OK</v>
      </c>
      <c r="G739" t="str">
        <f>IF(AND(Controls_Raw!L739&lt;DATE(2026,9,30),Controls_Raw!M739&lt;&gt;"Completed"),"Overdue","OK")</f>
        <v>Overdue</v>
      </c>
      <c r="H739" t="str">
        <f>IF(AND(Controls_Raw!Q739&lt;DATE(2026,9,30),Controls_Raw!R739&lt;&gt;"Completed",Controls_Raw!R739&lt;&gt;"Not Required"),"Overdue","OK")</f>
        <v>OK</v>
      </c>
      <c r="I739" t="str">
        <f t="shared" si="11"/>
        <v>Issue</v>
      </c>
    </row>
    <row r="740" spans="1:9" x14ac:dyDescent="0.2">
      <c r="A740" t="str">
        <f>Controls_Raw!A740</f>
        <v>CTRL-0736</v>
      </c>
      <c r="B740" t="str">
        <f>IF(COUNTIF(Controls_Raw!$A$5:$A$1504,A740)&gt;1,"Duplicate","OK")</f>
        <v>OK</v>
      </c>
      <c r="C740" t="str">
        <f>IF(LEN(TRIM(Controls_Raw!I740))=0,"Missing","OK")</f>
        <v>OK</v>
      </c>
      <c r="D740" t="str">
        <f>IF(LEN(TRIM(Controls_Raw!N740))=0,"Missing","OK")</f>
        <v>OK</v>
      </c>
      <c r="E740" t="str">
        <f>IF(OR(Controls_Raw!G740="USA",Controls_Raw!G740="UK"),"Standardize","OK")</f>
        <v>OK</v>
      </c>
      <c r="F740" t="str">
        <f>IF(Controls_Raw!E740&lt;&gt;TRIM(Controls_Raw!E740),"Trim","OK")</f>
        <v>OK</v>
      </c>
      <c r="G740" t="str">
        <f>IF(AND(Controls_Raw!L740&lt;DATE(2026,9,30),Controls_Raw!M740&lt;&gt;"Completed"),"Overdue","OK")</f>
        <v>Overdue</v>
      </c>
      <c r="H740" t="str">
        <f>IF(AND(Controls_Raw!Q740&lt;DATE(2026,9,30),Controls_Raw!R740&lt;&gt;"Completed",Controls_Raw!R740&lt;&gt;"Not Required"),"Overdue","OK")</f>
        <v>OK</v>
      </c>
      <c r="I740" t="str">
        <f t="shared" si="11"/>
        <v>Issue</v>
      </c>
    </row>
    <row r="741" spans="1:9" x14ac:dyDescent="0.2">
      <c r="A741" t="str">
        <f>Controls_Raw!A741</f>
        <v>CTRL-0737</v>
      </c>
      <c r="B741" t="str">
        <f>IF(COUNTIF(Controls_Raw!$A$5:$A$1504,A741)&gt;1,"Duplicate","OK")</f>
        <v>OK</v>
      </c>
      <c r="C741" t="str">
        <f>IF(LEN(TRIM(Controls_Raw!I741))=0,"Missing","OK")</f>
        <v>OK</v>
      </c>
      <c r="D741" t="str">
        <f>IF(LEN(TRIM(Controls_Raw!N741))=0,"Missing","OK")</f>
        <v>OK</v>
      </c>
      <c r="E741" t="str">
        <f>IF(OR(Controls_Raw!G741="USA",Controls_Raw!G741="UK"),"Standardize","OK")</f>
        <v>OK</v>
      </c>
      <c r="F741" t="str">
        <f>IF(Controls_Raw!E741&lt;&gt;TRIM(Controls_Raw!E741),"Trim","OK")</f>
        <v>OK</v>
      </c>
      <c r="G741" t="str">
        <f>IF(AND(Controls_Raw!L741&lt;DATE(2026,9,30),Controls_Raw!M741&lt;&gt;"Completed"),"Overdue","OK")</f>
        <v>Overdue</v>
      </c>
      <c r="H741" t="str">
        <f>IF(AND(Controls_Raw!Q741&lt;DATE(2026,9,30),Controls_Raw!R741&lt;&gt;"Completed",Controls_Raw!R741&lt;&gt;"Not Required"),"Overdue","OK")</f>
        <v>OK</v>
      </c>
      <c r="I741" t="str">
        <f t="shared" si="11"/>
        <v>Issue</v>
      </c>
    </row>
    <row r="742" spans="1:9" x14ac:dyDescent="0.2">
      <c r="A742" t="str">
        <f>Controls_Raw!A742</f>
        <v>CTRL-0738</v>
      </c>
      <c r="B742" t="str">
        <f>IF(COUNTIF(Controls_Raw!$A$5:$A$1504,A742)&gt;1,"Duplicate","OK")</f>
        <v>OK</v>
      </c>
      <c r="C742" t="str">
        <f>IF(LEN(TRIM(Controls_Raw!I742))=0,"Missing","OK")</f>
        <v>OK</v>
      </c>
      <c r="D742" t="str">
        <f>IF(LEN(TRIM(Controls_Raw!N742))=0,"Missing","OK")</f>
        <v>OK</v>
      </c>
      <c r="E742" t="str">
        <f>IF(OR(Controls_Raw!G742="USA",Controls_Raw!G742="UK"),"Standardize","OK")</f>
        <v>OK</v>
      </c>
      <c r="F742" t="str">
        <f>IF(Controls_Raw!E742&lt;&gt;TRIM(Controls_Raw!E742),"Trim","OK")</f>
        <v>OK</v>
      </c>
      <c r="G742" t="str">
        <f>IF(AND(Controls_Raw!L742&lt;DATE(2026,9,30),Controls_Raw!M742&lt;&gt;"Completed"),"Overdue","OK")</f>
        <v>OK</v>
      </c>
      <c r="H742" t="str">
        <f>IF(AND(Controls_Raw!Q742&lt;DATE(2026,9,30),Controls_Raw!R742&lt;&gt;"Completed",Controls_Raw!R742&lt;&gt;"Not Required"),"Overdue","OK")</f>
        <v>OK</v>
      </c>
      <c r="I742" t="str">
        <f t="shared" si="11"/>
        <v>Pass</v>
      </c>
    </row>
    <row r="743" spans="1:9" x14ac:dyDescent="0.2">
      <c r="A743" t="str">
        <f>Controls_Raw!A743</f>
        <v>CTRL-0739</v>
      </c>
      <c r="B743" t="str">
        <f>IF(COUNTIF(Controls_Raw!$A$5:$A$1504,A743)&gt;1,"Duplicate","OK")</f>
        <v>OK</v>
      </c>
      <c r="C743" t="str">
        <f>IF(LEN(TRIM(Controls_Raw!I743))=0,"Missing","OK")</f>
        <v>OK</v>
      </c>
      <c r="D743" t="str">
        <f>IF(LEN(TRIM(Controls_Raw!N743))=0,"Missing","OK")</f>
        <v>OK</v>
      </c>
      <c r="E743" t="str">
        <f>IF(OR(Controls_Raw!G743="USA",Controls_Raw!G743="UK"),"Standardize","OK")</f>
        <v>OK</v>
      </c>
      <c r="F743" t="str">
        <f>IF(Controls_Raw!E743&lt;&gt;TRIM(Controls_Raw!E743),"Trim","OK")</f>
        <v>OK</v>
      </c>
      <c r="G743" t="str">
        <f>IF(AND(Controls_Raw!L743&lt;DATE(2026,9,30),Controls_Raw!M743&lt;&gt;"Completed"),"Overdue","OK")</f>
        <v>Overdue</v>
      </c>
      <c r="H743" t="str">
        <f>IF(AND(Controls_Raw!Q743&lt;DATE(2026,9,30),Controls_Raw!R743&lt;&gt;"Completed",Controls_Raw!R743&lt;&gt;"Not Required"),"Overdue","OK")</f>
        <v>OK</v>
      </c>
      <c r="I743" t="str">
        <f t="shared" si="11"/>
        <v>Issue</v>
      </c>
    </row>
    <row r="744" spans="1:9" x14ac:dyDescent="0.2">
      <c r="A744" t="str">
        <f>Controls_Raw!A744</f>
        <v>CTRL-0740</v>
      </c>
      <c r="B744" t="str">
        <f>IF(COUNTIF(Controls_Raw!$A$5:$A$1504,A744)&gt;1,"Duplicate","OK")</f>
        <v>OK</v>
      </c>
      <c r="C744" t="str">
        <f>IF(LEN(TRIM(Controls_Raw!I744))=0,"Missing","OK")</f>
        <v>OK</v>
      </c>
      <c r="D744" t="str">
        <f>IF(LEN(TRIM(Controls_Raw!N744))=0,"Missing","OK")</f>
        <v>OK</v>
      </c>
      <c r="E744" t="str">
        <f>IF(OR(Controls_Raw!G744="USA",Controls_Raw!G744="UK"),"Standardize","OK")</f>
        <v>OK</v>
      </c>
      <c r="F744" t="str">
        <f>IF(Controls_Raw!E744&lt;&gt;TRIM(Controls_Raw!E744),"Trim","OK")</f>
        <v>OK</v>
      </c>
      <c r="G744" t="str">
        <f>IF(AND(Controls_Raw!L744&lt;DATE(2026,9,30),Controls_Raw!M744&lt;&gt;"Completed"),"Overdue","OK")</f>
        <v>Overdue</v>
      </c>
      <c r="H744" t="str">
        <f>IF(AND(Controls_Raw!Q744&lt;DATE(2026,9,30),Controls_Raw!R744&lt;&gt;"Completed",Controls_Raw!R744&lt;&gt;"Not Required"),"Overdue","OK")</f>
        <v>OK</v>
      </c>
      <c r="I744" t="str">
        <f t="shared" si="11"/>
        <v>Issue</v>
      </c>
    </row>
    <row r="745" spans="1:9" x14ac:dyDescent="0.2">
      <c r="A745" t="str">
        <f>Controls_Raw!A745</f>
        <v>CTRL-0741</v>
      </c>
      <c r="B745" t="str">
        <f>IF(COUNTIF(Controls_Raw!$A$5:$A$1504,A745)&gt;1,"Duplicate","OK")</f>
        <v>OK</v>
      </c>
      <c r="C745" t="str">
        <f>IF(LEN(TRIM(Controls_Raw!I745))=0,"Missing","OK")</f>
        <v>OK</v>
      </c>
      <c r="D745" t="str">
        <f>IF(LEN(TRIM(Controls_Raw!N745))=0,"Missing","OK")</f>
        <v>OK</v>
      </c>
      <c r="E745" t="str">
        <f>IF(OR(Controls_Raw!G745="USA",Controls_Raw!G745="UK"),"Standardize","OK")</f>
        <v>OK</v>
      </c>
      <c r="F745" t="str">
        <f>IF(Controls_Raw!E745&lt;&gt;TRIM(Controls_Raw!E745),"Trim","OK")</f>
        <v>OK</v>
      </c>
      <c r="G745" t="str">
        <f>IF(AND(Controls_Raw!L745&lt;DATE(2026,9,30),Controls_Raw!M745&lt;&gt;"Completed"),"Overdue","OK")</f>
        <v>Overdue</v>
      </c>
      <c r="H745" t="str">
        <f>IF(AND(Controls_Raw!Q745&lt;DATE(2026,9,30),Controls_Raw!R745&lt;&gt;"Completed",Controls_Raw!R745&lt;&gt;"Not Required"),"Overdue","OK")</f>
        <v>OK</v>
      </c>
      <c r="I745" t="str">
        <f t="shared" si="11"/>
        <v>Issue</v>
      </c>
    </row>
    <row r="746" spans="1:9" x14ac:dyDescent="0.2">
      <c r="A746" t="str">
        <f>Controls_Raw!A746</f>
        <v>CTRL-0742</v>
      </c>
      <c r="B746" t="str">
        <f>IF(COUNTIF(Controls_Raw!$A$5:$A$1504,A746)&gt;1,"Duplicate","OK")</f>
        <v>OK</v>
      </c>
      <c r="C746" t="str">
        <f>IF(LEN(TRIM(Controls_Raw!I746))=0,"Missing","OK")</f>
        <v>OK</v>
      </c>
      <c r="D746" t="str">
        <f>IF(LEN(TRIM(Controls_Raw!N746))=0,"Missing","OK")</f>
        <v>OK</v>
      </c>
      <c r="E746" t="str">
        <f>IF(OR(Controls_Raw!G746="USA",Controls_Raw!G746="UK"),"Standardize","OK")</f>
        <v>OK</v>
      </c>
      <c r="F746" t="str">
        <f>IF(Controls_Raw!E746&lt;&gt;TRIM(Controls_Raw!E746),"Trim","OK")</f>
        <v>OK</v>
      </c>
      <c r="G746" t="str">
        <f>IF(AND(Controls_Raw!L746&lt;DATE(2026,9,30),Controls_Raw!M746&lt;&gt;"Completed"),"Overdue","OK")</f>
        <v>OK</v>
      </c>
      <c r="H746" t="str">
        <f>IF(AND(Controls_Raw!Q746&lt;DATE(2026,9,30),Controls_Raw!R746&lt;&gt;"Completed",Controls_Raw!R746&lt;&gt;"Not Required"),"Overdue","OK")</f>
        <v>OK</v>
      </c>
      <c r="I746" t="str">
        <f t="shared" si="11"/>
        <v>Pass</v>
      </c>
    </row>
    <row r="747" spans="1:9" x14ac:dyDescent="0.2">
      <c r="A747" t="str">
        <f>Controls_Raw!A747</f>
        <v>CTRL-0743</v>
      </c>
      <c r="B747" t="str">
        <f>IF(COUNTIF(Controls_Raw!$A$5:$A$1504,A747)&gt;1,"Duplicate","OK")</f>
        <v>OK</v>
      </c>
      <c r="C747" t="str">
        <f>IF(LEN(TRIM(Controls_Raw!I747))=0,"Missing","OK")</f>
        <v>OK</v>
      </c>
      <c r="D747" t="str">
        <f>IF(LEN(TRIM(Controls_Raw!N747))=0,"Missing","OK")</f>
        <v>OK</v>
      </c>
      <c r="E747" t="str">
        <f>IF(OR(Controls_Raw!G747="USA",Controls_Raw!G747="UK"),"Standardize","OK")</f>
        <v>Standardize</v>
      </c>
      <c r="F747" t="str">
        <f>IF(Controls_Raw!E747&lt;&gt;TRIM(Controls_Raw!E747),"Trim","OK")</f>
        <v>OK</v>
      </c>
      <c r="G747" t="str">
        <f>IF(AND(Controls_Raw!L747&lt;DATE(2026,9,30),Controls_Raw!M747&lt;&gt;"Completed"),"Overdue","OK")</f>
        <v>OK</v>
      </c>
      <c r="H747" t="str">
        <f>IF(AND(Controls_Raw!Q747&lt;DATE(2026,9,30),Controls_Raw!R747&lt;&gt;"Completed",Controls_Raw!R747&lt;&gt;"Not Required"),"Overdue","OK")</f>
        <v>OK</v>
      </c>
      <c r="I747" t="str">
        <f t="shared" si="11"/>
        <v>Issue</v>
      </c>
    </row>
    <row r="748" spans="1:9" x14ac:dyDescent="0.2">
      <c r="A748" t="str">
        <f>Controls_Raw!A748</f>
        <v>CTRL-0744</v>
      </c>
      <c r="B748" t="str">
        <f>IF(COUNTIF(Controls_Raw!$A$5:$A$1504,A748)&gt;1,"Duplicate","OK")</f>
        <v>OK</v>
      </c>
      <c r="C748" t="str">
        <f>IF(LEN(TRIM(Controls_Raw!I748))=0,"Missing","OK")</f>
        <v>OK</v>
      </c>
      <c r="D748" t="str">
        <f>IF(LEN(TRIM(Controls_Raw!N748))=0,"Missing","OK")</f>
        <v>OK</v>
      </c>
      <c r="E748" t="str">
        <f>IF(OR(Controls_Raw!G748="USA",Controls_Raw!G748="UK"),"Standardize","OK")</f>
        <v>OK</v>
      </c>
      <c r="F748" t="str">
        <f>IF(Controls_Raw!E748&lt;&gt;TRIM(Controls_Raw!E748),"Trim","OK")</f>
        <v>OK</v>
      </c>
      <c r="G748" t="str">
        <f>IF(AND(Controls_Raw!L748&lt;DATE(2026,9,30),Controls_Raw!M748&lt;&gt;"Completed"),"Overdue","OK")</f>
        <v>OK</v>
      </c>
      <c r="H748" t="str">
        <f>IF(AND(Controls_Raw!Q748&lt;DATE(2026,9,30),Controls_Raw!R748&lt;&gt;"Completed",Controls_Raw!R748&lt;&gt;"Not Required"),"Overdue","OK")</f>
        <v>OK</v>
      </c>
      <c r="I748" t="str">
        <f t="shared" si="11"/>
        <v>Pass</v>
      </c>
    </row>
    <row r="749" spans="1:9" x14ac:dyDescent="0.2">
      <c r="A749" t="str">
        <f>Controls_Raw!A749</f>
        <v>CTRL-0745</v>
      </c>
      <c r="B749" t="str">
        <f>IF(COUNTIF(Controls_Raw!$A$5:$A$1504,A749)&gt;1,"Duplicate","OK")</f>
        <v>OK</v>
      </c>
      <c r="C749" t="str">
        <f>IF(LEN(TRIM(Controls_Raw!I749))=0,"Missing","OK")</f>
        <v>OK</v>
      </c>
      <c r="D749" t="str">
        <f>IF(LEN(TRIM(Controls_Raw!N749))=0,"Missing","OK")</f>
        <v>OK</v>
      </c>
      <c r="E749" t="str">
        <f>IF(OR(Controls_Raw!G749="USA",Controls_Raw!G749="UK"),"Standardize","OK")</f>
        <v>OK</v>
      </c>
      <c r="F749" t="str">
        <f>IF(Controls_Raw!E749&lt;&gt;TRIM(Controls_Raw!E749),"Trim","OK")</f>
        <v>OK</v>
      </c>
      <c r="G749" t="str">
        <f>IF(AND(Controls_Raw!L749&lt;DATE(2026,9,30),Controls_Raw!M749&lt;&gt;"Completed"),"Overdue","OK")</f>
        <v>OK</v>
      </c>
      <c r="H749" t="str">
        <f>IF(AND(Controls_Raw!Q749&lt;DATE(2026,9,30),Controls_Raw!R749&lt;&gt;"Completed",Controls_Raw!R749&lt;&gt;"Not Required"),"Overdue","OK")</f>
        <v>OK</v>
      </c>
      <c r="I749" t="str">
        <f t="shared" si="11"/>
        <v>Pass</v>
      </c>
    </row>
    <row r="750" spans="1:9" x14ac:dyDescent="0.2">
      <c r="A750" t="str">
        <f>Controls_Raw!A750</f>
        <v>CTRL-0746</v>
      </c>
      <c r="B750" t="str">
        <f>IF(COUNTIF(Controls_Raw!$A$5:$A$1504,A750)&gt;1,"Duplicate","OK")</f>
        <v>OK</v>
      </c>
      <c r="C750" t="str">
        <f>IF(LEN(TRIM(Controls_Raw!I750))=0,"Missing","OK")</f>
        <v>OK</v>
      </c>
      <c r="D750" t="str">
        <f>IF(LEN(TRIM(Controls_Raw!N750))=0,"Missing","OK")</f>
        <v>OK</v>
      </c>
      <c r="E750" t="str">
        <f>IF(OR(Controls_Raw!G750="USA",Controls_Raw!G750="UK"),"Standardize","OK")</f>
        <v>OK</v>
      </c>
      <c r="F750" t="str">
        <f>IF(Controls_Raw!E750&lt;&gt;TRIM(Controls_Raw!E750),"Trim","OK")</f>
        <v>OK</v>
      </c>
      <c r="G750" t="str">
        <f>IF(AND(Controls_Raw!L750&lt;DATE(2026,9,30),Controls_Raw!M750&lt;&gt;"Completed"),"Overdue","OK")</f>
        <v>OK</v>
      </c>
      <c r="H750" t="str">
        <f>IF(AND(Controls_Raw!Q750&lt;DATE(2026,9,30),Controls_Raw!R750&lt;&gt;"Completed",Controls_Raw!R750&lt;&gt;"Not Required"),"Overdue","OK")</f>
        <v>OK</v>
      </c>
      <c r="I750" t="str">
        <f t="shared" si="11"/>
        <v>Pass</v>
      </c>
    </row>
    <row r="751" spans="1:9" x14ac:dyDescent="0.2">
      <c r="A751" t="str">
        <f>Controls_Raw!A751</f>
        <v>CTRL-0747</v>
      </c>
      <c r="B751" t="str">
        <f>IF(COUNTIF(Controls_Raw!$A$5:$A$1504,A751)&gt;1,"Duplicate","OK")</f>
        <v>OK</v>
      </c>
      <c r="C751" t="str">
        <f>IF(LEN(TRIM(Controls_Raw!I751))=0,"Missing","OK")</f>
        <v>OK</v>
      </c>
      <c r="D751" t="str">
        <f>IF(LEN(TRIM(Controls_Raw!N751))=0,"Missing","OK")</f>
        <v>OK</v>
      </c>
      <c r="E751" t="str">
        <f>IF(OR(Controls_Raw!G751="USA",Controls_Raw!G751="UK"),"Standardize","OK")</f>
        <v>OK</v>
      </c>
      <c r="F751" t="str">
        <f>IF(Controls_Raw!E751&lt;&gt;TRIM(Controls_Raw!E751),"Trim","OK")</f>
        <v>OK</v>
      </c>
      <c r="G751" t="str">
        <f>IF(AND(Controls_Raw!L751&lt;DATE(2026,9,30),Controls_Raw!M751&lt;&gt;"Completed"),"Overdue","OK")</f>
        <v>Overdue</v>
      </c>
      <c r="H751" t="str">
        <f>IF(AND(Controls_Raw!Q751&lt;DATE(2026,9,30),Controls_Raw!R751&lt;&gt;"Completed",Controls_Raw!R751&lt;&gt;"Not Required"),"Overdue","OK")</f>
        <v>OK</v>
      </c>
      <c r="I751" t="str">
        <f t="shared" si="11"/>
        <v>Issue</v>
      </c>
    </row>
    <row r="752" spans="1:9" x14ac:dyDescent="0.2">
      <c r="A752" t="str">
        <f>Controls_Raw!A752</f>
        <v>CTRL-0748</v>
      </c>
      <c r="B752" t="str">
        <f>IF(COUNTIF(Controls_Raw!$A$5:$A$1504,A752)&gt;1,"Duplicate","OK")</f>
        <v>OK</v>
      </c>
      <c r="C752" t="str">
        <f>IF(LEN(TRIM(Controls_Raw!I752))=0,"Missing","OK")</f>
        <v>OK</v>
      </c>
      <c r="D752" t="str">
        <f>IF(LEN(TRIM(Controls_Raw!N752))=0,"Missing","OK")</f>
        <v>Missing</v>
      </c>
      <c r="E752" t="str">
        <f>IF(OR(Controls_Raw!G752="USA",Controls_Raw!G752="UK"),"Standardize","OK")</f>
        <v>OK</v>
      </c>
      <c r="F752" t="str">
        <f>IF(Controls_Raw!E752&lt;&gt;TRIM(Controls_Raw!E752),"Trim","OK")</f>
        <v>OK</v>
      </c>
      <c r="G752" t="str">
        <f>IF(AND(Controls_Raw!L752&lt;DATE(2026,9,30),Controls_Raw!M752&lt;&gt;"Completed"),"Overdue","OK")</f>
        <v>Overdue</v>
      </c>
      <c r="H752" t="str">
        <f>IF(AND(Controls_Raw!Q752&lt;DATE(2026,9,30),Controls_Raw!R752&lt;&gt;"Completed",Controls_Raw!R752&lt;&gt;"Not Required"),"Overdue","OK")</f>
        <v>Overdue</v>
      </c>
      <c r="I752" t="str">
        <f t="shared" si="11"/>
        <v>Issue</v>
      </c>
    </row>
    <row r="753" spans="1:9" x14ac:dyDescent="0.2">
      <c r="A753" t="str">
        <f>Controls_Raw!A753</f>
        <v>CTRL-0749</v>
      </c>
      <c r="B753" t="str">
        <f>IF(COUNTIF(Controls_Raw!$A$5:$A$1504,A753)&gt;1,"Duplicate","OK")</f>
        <v>OK</v>
      </c>
      <c r="C753" t="str">
        <f>IF(LEN(TRIM(Controls_Raw!I753))=0,"Missing","OK")</f>
        <v>OK</v>
      </c>
      <c r="D753" t="str">
        <f>IF(LEN(TRIM(Controls_Raw!N753))=0,"Missing","OK")</f>
        <v>OK</v>
      </c>
      <c r="E753" t="str">
        <f>IF(OR(Controls_Raw!G753="USA",Controls_Raw!G753="UK"),"Standardize","OK")</f>
        <v>OK</v>
      </c>
      <c r="F753" t="str">
        <f>IF(Controls_Raw!E753&lt;&gt;TRIM(Controls_Raw!E753),"Trim","OK")</f>
        <v>OK</v>
      </c>
      <c r="G753" t="str">
        <f>IF(AND(Controls_Raw!L753&lt;DATE(2026,9,30),Controls_Raw!M753&lt;&gt;"Completed"),"Overdue","OK")</f>
        <v>Overdue</v>
      </c>
      <c r="H753" t="str">
        <f>IF(AND(Controls_Raw!Q753&lt;DATE(2026,9,30),Controls_Raw!R753&lt;&gt;"Completed",Controls_Raw!R753&lt;&gt;"Not Required"),"Overdue","OK")</f>
        <v>OK</v>
      </c>
      <c r="I753" t="str">
        <f t="shared" si="11"/>
        <v>Issue</v>
      </c>
    </row>
    <row r="754" spans="1:9" x14ac:dyDescent="0.2">
      <c r="A754" t="str">
        <f>Controls_Raw!A754</f>
        <v>CTRL-0750</v>
      </c>
      <c r="B754" t="str">
        <f>IF(COUNTIF(Controls_Raw!$A$5:$A$1504,A754)&gt;1,"Duplicate","OK")</f>
        <v>OK</v>
      </c>
      <c r="C754" t="str">
        <f>IF(LEN(TRIM(Controls_Raw!I754))=0,"Missing","OK")</f>
        <v>OK</v>
      </c>
      <c r="D754" t="str">
        <f>IF(LEN(TRIM(Controls_Raw!N754))=0,"Missing","OK")</f>
        <v>OK</v>
      </c>
      <c r="E754" t="str">
        <f>IF(OR(Controls_Raw!G754="USA",Controls_Raw!G754="UK"),"Standardize","OK")</f>
        <v>OK</v>
      </c>
      <c r="F754" t="str">
        <f>IF(Controls_Raw!E754&lt;&gt;TRIM(Controls_Raw!E754),"Trim","OK")</f>
        <v>OK</v>
      </c>
      <c r="G754" t="str">
        <f>IF(AND(Controls_Raw!L754&lt;DATE(2026,9,30),Controls_Raw!M754&lt;&gt;"Completed"),"Overdue","OK")</f>
        <v>Overdue</v>
      </c>
      <c r="H754" t="str">
        <f>IF(AND(Controls_Raw!Q754&lt;DATE(2026,9,30),Controls_Raw!R754&lt;&gt;"Completed",Controls_Raw!R754&lt;&gt;"Not Required"),"Overdue","OK")</f>
        <v>OK</v>
      </c>
      <c r="I754" t="str">
        <f t="shared" si="11"/>
        <v>Issue</v>
      </c>
    </row>
    <row r="755" spans="1:9" x14ac:dyDescent="0.2">
      <c r="A755" t="str">
        <f>Controls_Raw!A755</f>
        <v>CTRL-0751</v>
      </c>
      <c r="B755" t="str">
        <f>IF(COUNTIF(Controls_Raw!$A$5:$A$1504,A755)&gt;1,"Duplicate","OK")</f>
        <v>OK</v>
      </c>
      <c r="C755" t="str">
        <f>IF(LEN(TRIM(Controls_Raw!I755))=0,"Missing","OK")</f>
        <v>OK</v>
      </c>
      <c r="D755" t="str">
        <f>IF(LEN(TRIM(Controls_Raw!N755))=0,"Missing","OK")</f>
        <v>OK</v>
      </c>
      <c r="E755" t="str">
        <f>IF(OR(Controls_Raw!G755="USA",Controls_Raw!G755="UK"),"Standardize","OK")</f>
        <v>OK</v>
      </c>
      <c r="F755" t="str">
        <f>IF(Controls_Raw!E755&lt;&gt;TRIM(Controls_Raw!E755),"Trim","OK")</f>
        <v>OK</v>
      </c>
      <c r="G755" t="str">
        <f>IF(AND(Controls_Raw!L755&lt;DATE(2026,9,30),Controls_Raw!M755&lt;&gt;"Completed"),"Overdue","OK")</f>
        <v>Overdue</v>
      </c>
      <c r="H755" t="str">
        <f>IF(AND(Controls_Raw!Q755&lt;DATE(2026,9,30),Controls_Raw!R755&lt;&gt;"Completed",Controls_Raw!R755&lt;&gt;"Not Required"),"Overdue","OK")</f>
        <v>OK</v>
      </c>
      <c r="I755" t="str">
        <f t="shared" si="11"/>
        <v>Issue</v>
      </c>
    </row>
    <row r="756" spans="1:9" x14ac:dyDescent="0.2">
      <c r="A756" t="str">
        <f>Controls_Raw!A756</f>
        <v>CTRL-0752</v>
      </c>
      <c r="B756" t="str">
        <f>IF(COUNTIF(Controls_Raw!$A$5:$A$1504,A756)&gt;1,"Duplicate","OK")</f>
        <v>OK</v>
      </c>
      <c r="C756" t="str">
        <f>IF(LEN(TRIM(Controls_Raw!I756))=0,"Missing","OK")</f>
        <v>OK</v>
      </c>
      <c r="D756" t="str">
        <f>IF(LEN(TRIM(Controls_Raw!N756))=0,"Missing","OK")</f>
        <v>OK</v>
      </c>
      <c r="E756" t="str">
        <f>IF(OR(Controls_Raw!G756="USA",Controls_Raw!G756="UK"),"Standardize","OK")</f>
        <v>OK</v>
      </c>
      <c r="F756" t="str">
        <f>IF(Controls_Raw!E756&lt;&gt;TRIM(Controls_Raw!E756),"Trim","OK")</f>
        <v>OK</v>
      </c>
      <c r="G756" t="str">
        <f>IF(AND(Controls_Raw!L756&lt;DATE(2026,9,30),Controls_Raw!M756&lt;&gt;"Completed"),"Overdue","OK")</f>
        <v>Overdue</v>
      </c>
      <c r="H756" t="str">
        <f>IF(AND(Controls_Raw!Q756&lt;DATE(2026,9,30),Controls_Raw!R756&lt;&gt;"Completed",Controls_Raw!R756&lt;&gt;"Not Required"),"Overdue","OK")</f>
        <v>OK</v>
      </c>
      <c r="I756" t="str">
        <f t="shared" si="11"/>
        <v>Issue</v>
      </c>
    </row>
    <row r="757" spans="1:9" x14ac:dyDescent="0.2">
      <c r="A757" t="str">
        <f>Controls_Raw!A757</f>
        <v>CTRL-0753</v>
      </c>
      <c r="B757" t="str">
        <f>IF(COUNTIF(Controls_Raw!$A$5:$A$1504,A757)&gt;1,"Duplicate","OK")</f>
        <v>OK</v>
      </c>
      <c r="C757" t="str">
        <f>IF(LEN(TRIM(Controls_Raw!I757))=0,"Missing","OK")</f>
        <v>Missing</v>
      </c>
      <c r="D757" t="str">
        <f>IF(LEN(TRIM(Controls_Raw!N757))=0,"Missing","OK")</f>
        <v>OK</v>
      </c>
      <c r="E757" t="str">
        <f>IF(OR(Controls_Raw!G757="USA",Controls_Raw!G757="UK"),"Standardize","OK")</f>
        <v>OK</v>
      </c>
      <c r="F757" t="str">
        <f>IF(Controls_Raw!E757&lt;&gt;TRIM(Controls_Raw!E757),"Trim","OK")</f>
        <v>OK</v>
      </c>
      <c r="G757" t="str">
        <f>IF(AND(Controls_Raw!L757&lt;DATE(2026,9,30),Controls_Raw!M757&lt;&gt;"Completed"),"Overdue","OK")</f>
        <v>Overdue</v>
      </c>
      <c r="H757" t="str">
        <f>IF(AND(Controls_Raw!Q757&lt;DATE(2026,9,30),Controls_Raw!R757&lt;&gt;"Completed",Controls_Raw!R757&lt;&gt;"Not Required"),"Overdue","OK")</f>
        <v>OK</v>
      </c>
      <c r="I757" t="str">
        <f t="shared" si="11"/>
        <v>Issue</v>
      </c>
    </row>
    <row r="758" spans="1:9" x14ac:dyDescent="0.2">
      <c r="A758" t="str">
        <f>Controls_Raw!A758</f>
        <v>CTRL-0754</v>
      </c>
      <c r="B758" t="str">
        <f>IF(COUNTIF(Controls_Raw!$A$5:$A$1504,A758)&gt;1,"Duplicate","OK")</f>
        <v>OK</v>
      </c>
      <c r="C758" t="str">
        <f>IF(LEN(TRIM(Controls_Raw!I758))=0,"Missing","OK")</f>
        <v>OK</v>
      </c>
      <c r="D758" t="str">
        <f>IF(LEN(TRIM(Controls_Raw!N758))=0,"Missing","OK")</f>
        <v>OK</v>
      </c>
      <c r="E758" t="str">
        <f>IF(OR(Controls_Raw!G758="USA",Controls_Raw!G758="UK"),"Standardize","OK")</f>
        <v>OK</v>
      </c>
      <c r="F758" t="str">
        <f>IF(Controls_Raw!E758&lt;&gt;TRIM(Controls_Raw!E758),"Trim","OK")</f>
        <v>OK</v>
      </c>
      <c r="G758" t="str">
        <f>IF(AND(Controls_Raw!L758&lt;DATE(2026,9,30),Controls_Raw!M758&lt;&gt;"Completed"),"Overdue","OK")</f>
        <v>Overdue</v>
      </c>
      <c r="H758" t="str">
        <f>IF(AND(Controls_Raw!Q758&lt;DATE(2026,9,30),Controls_Raw!R758&lt;&gt;"Completed",Controls_Raw!R758&lt;&gt;"Not Required"),"Overdue","OK")</f>
        <v>Overdue</v>
      </c>
      <c r="I758" t="str">
        <f t="shared" si="11"/>
        <v>Issue</v>
      </c>
    </row>
    <row r="759" spans="1:9" x14ac:dyDescent="0.2">
      <c r="A759" t="str">
        <f>Controls_Raw!A759</f>
        <v>CTRL-0755</v>
      </c>
      <c r="B759" t="str">
        <f>IF(COUNTIF(Controls_Raw!$A$5:$A$1504,A759)&gt;1,"Duplicate","OK")</f>
        <v>OK</v>
      </c>
      <c r="C759" t="str">
        <f>IF(LEN(TRIM(Controls_Raw!I759))=0,"Missing","OK")</f>
        <v>OK</v>
      </c>
      <c r="D759" t="str">
        <f>IF(LEN(TRIM(Controls_Raw!N759))=0,"Missing","OK")</f>
        <v>OK</v>
      </c>
      <c r="E759" t="str">
        <f>IF(OR(Controls_Raw!G759="USA",Controls_Raw!G759="UK"),"Standardize","OK")</f>
        <v>OK</v>
      </c>
      <c r="F759" t="str">
        <f>IF(Controls_Raw!E759&lt;&gt;TRIM(Controls_Raw!E759),"Trim","OK")</f>
        <v>OK</v>
      </c>
      <c r="G759" t="str">
        <f>IF(AND(Controls_Raw!L759&lt;DATE(2026,9,30),Controls_Raw!M759&lt;&gt;"Completed"),"Overdue","OK")</f>
        <v>Overdue</v>
      </c>
      <c r="H759" t="str">
        <f>IF(AND(Controls_Raw!Q759&lt;DATE(2026,9,30),Controls_Raw!R759&lt;&gt;"Completed",Controls_Raw!R759&lt;&gt;"Not Required"),"Overdue","OK")</f>
        <v>OK</v>
      </c>
      <c r="I759" t="str">
        <f t="shared" si="11"/>
        <v>Issue</v>
      </c>
    </row>
    <row r="760" spans="1:9" x14ac:dyDescent="0.2">
      <c r="A760" t="str">
        <f>Controls_Raw!A760</f>
        <v>CTRL-0756</v>
      </c>
      <c r="B760" t="str">
        <f>IF(COUNTIF(Controls_Raw!$A$5:$A$1504,A760)&gt;1,"Duplicate","OK")</f>
        <v>OK</v>
      </c>
      <c r="C760" t="str">
        <f>IF(LEN(TRIM(Controls_Raw!I760))=0,"Missing","OK")</f>
        <v>OK</v>
      </c>
      <c r="D760" t="str">
        <f>IF(LEN(TRIM(Controls_Raw!N760))=0,"Missing","OK")</f>
        <v>OK</v>
      </c>
      <c r="E760" t="str">
        <f>IF(OR(Controls_Raw!G760="USA",Controls_Raw!G760="UK"),"Standardize","OK")</f>
        <v>OK</v>
      </c>
      <c r="F760" t="str">
        <f>IF(Controls_Raw!E760&lt;&gt;TRIM(Controls_Raw!E760),"Trim","OK")</f>
        <v>OK</v>
      </c>
      <c r="G760" t="str">
        <f>IF(AND(Controls_Raw!L760&lt;DATE(2026,9,30),Controls_Raw!M760&lt;&gt;"Completed"),"Overdue","OK")</f>
        <v>Overdue</v>
      </c>
      <c r="H760" t="str">
        <f>IF(AND(Controls_Raw!Q760&lt;DATE(2026,9,30),Controls_Raw!R760&lt;&gt;"Completed",Controls_Raw!R760&lt;&gt;"Not Required"),"Overdue","OK")</f>
        <v>OK</v>
      </c>
      <c r="I760" t="str">
        <f t="shared" si="11"/>
        <v>Issue</v>
      </c>
    </row>
    <row r="761" spans="1:9" x14ac:dyDescent="0.2">
      <c r="A761" t="str">
        <f>Controls_Raw!A761</f>
        <v>CTRL-0757</v>
      </c>
      <c r="B761" t="str">
        <f>IF(COUNTIF(Controls_Raw!$A$5:$A$1504,A761)&gt;1,"Duplicate","OK")</f>
        <v>OK</v>
      </c>
      <c r="C761" t="str">
        <f>IF(LEN(TRIM(Controls_Raw!I761))=0,"Missing","OK")</f>
        <v>OK</v>
      </c>
      <c r="D761" t="str">
        <f>IF(LEN(TRIM(Controls_Raw!N761))=0,"Missing","OK")</f>
        <v>OK</v>
      </c>
      <c r="E761" t="str">
        <f>IF(OR(Controls_Raw!G761="USA",Controls_Raw!G761="UK"),"Standardize","OK")</f>
        <v>OK</v>
      </c>
      <c r="F761" t="str">
        <f>IF(Controls_Raw!E761&lt;&gt;TRIM(Controls_Raw!E761),"Trim","OK")</f>
        <v>OK</v>
      </c>
      <c r="G761" t="str">
        <f>IF(AND(Controls_Raw!L761&lt;DATE(2026,9,30),Controls_Raw!M761&lt;&gt;"Completed"),"Overdue","OK")</f>
        <v>OK</v>
      </c>
      <c r="H761" t="str">
        <f>IF(AND(Controls_Raw!Q761&lt;DATE(2026,9,30),Controls_Raw!R761&lt;&gt;"Completed",Controls_Raw!R761&lt;&gt;"Not Required"),"Overdue","OK")</f>
        <v>Overdue</v>
      </c>
      <c r="I761" t="str">
        <f t="shared" si="11"/>
        <v>Issue</v>
      </c>
    </row>
    <row r="762" spans="1:9" x14ac:dyDescent="0.2">
      <c r="A762" t="str">
        <f>Controls_Raw!A762</f>
        <v>CTRL-0758</v>
      </c>
      <c r="B762" t="str">
        <f>IF(COUNTIF(Controls_Raw!$A$5:$A$1504,A762)&gt;1,"Duplicate","OK")</f>
        <v>OK</v>
      </c>
      <c r="C762" t="str">
        <f>IF(LEN(TRIM(Controls_Raw!I762))=0,"Missing","OK")</f>
        <v>OK</v>
      </c>
      <c r="D762" t="str">
        <f>IF(LEN(TRIM(Controls_Raw!N762))=0,"Missing","OK")</f>
        <v>OK</v>
      </c>
      <c r="E762" t="str">
        <f>IF(OR(Controls_Raw!G762="USA",Controls_Raw!G762="UK"),"Standardize","OK")</f>
        <v>OK</v>
      </c>
      <c r="F762" t="str">
        <f>IF(Controls_Raw!E762&lt;&gt;TRIM(Controls_Raw!E762),"Trim","OK")</f>
        <v>OK</v>
      </c>
      <c r="G762" t="str">
        <f>IF(AND(Controls_Raw!L762&lt;DATE(2026,9,30),Controls_Raw!M762&lt;&gt;"Completed"),"Overdue","OK")</f>
        <v>OK</v>
      </c>
      <c r="H762" t="str">
        <f>IF(AND(Controls_Raw!Q762&lt;DATE(2026,9,30),Controls_Raw!R762&lt;&gt;"Completed",Controls_Raw!R762&lt;&gt;"Not Required"),"Overdue","OK")</f>
        <v>OK</v>
      </c>
      <c r="I762" t="str">
        <f t="shared" si="11"/>
        <v>Pass</v>
      </c>
    </row>
    <row r="763" spans="1:9" x14ac:dyDescent="0.2">
      <c r="A763" t="str">
        <f>Controls_Raw!A763</f>
        <v>CTRL-0759</v>
      </c>
      <c r="B763" t="str">
        <f>IF(COUNTIF(Controls_Raw!$A$5:$A$1504,A763)&gt;1,"Duplicate","OK")</f>
        <v>OK</v>
      </c>
      <c r="C763" t="str">
        <f>IF(LEN(TRIM(Controls_Raw!I763))=0,"Missing","OK")</f>
        <v>OK</v>
      </c>
      <c r="D763" t="str">
        <f>IF(LEN(TRIM(Controls_Raw!N763))=0,"Missing","OK")</f>
        <v>OK</v>
      </c>
      <c r="E763" t="str">
        <f>IF(OR(Controls_Raw!G763="USA",Controls_Raw!G763="UK"),"Standardize","OK")</f>
        <v>OK</v>
      </c>
      <c r="F763" t="str">
        <f>IF(Controls_Raw!E763&lt;&gt;TRIM(Controls_Raw!E763),"Trim","OK")</f>
        <v>OK</v>
      </c>
      <c r="G763" t="str">
        <f>IF(AND(Controls_Raw!L763&lt;DATE(2026,9,30),Controls_Raw!M763&lt;&gt;"Completed"),"Overdue","OK")</f>
        <v>OK</v>
      </c>
      <c r="H763" t="str">
        <f>IF(AND(Controls_Raw!Q763&lt;DATE(2026,9,30),Controls_Raw!R763&lt;&gt;"Completed",Controls_Raw!R763&lt;&gt;"Not Required"),"Overdue","OK")</f>
        <v>OK</v>
      </c>
      <c r="I763" t="str">
        <f t="shared" si="11"/>
        <v>Pass</v>
      </c>
    </row>
    <row r="764" spans="1:9" x14ac:dyDescent="0.2">
      <c r="A764" t="str">
        <f>Controls_Raw!A764</f>
        <v>CTRL-0760</v>
      </c>
      <c r="B764" t="str">
        <f>IF(COUNTIF(Controls_Raw!$A$5:$A$1504,A764)&gt;1,"Duplicate","OK")</f>
        <v>OK</v>
      </c>
      <c r="C764" t="str">
        <f>IF(LEN(TRIM(Controls_Raw!I764))=0,"Missing","OK")</f>
        <v>OK</v>
      </c>
      <c r="D764" t="str">
        <f>IF(LEN(TRIM(Controls_Raw!N764))=0,"Missing","OK")</f>
        <v>OK</v>
      </c>
      <c r="E764" t="str">
        <f>IF(OR(Controls_Raw!G764="USA",Controls_Raw!G764="UK"),"Standardize","OK")</f>
        <v>OK</v>
      </c>
      <c r="F764" t="str">
        <f>IF(Controls_Raw!E764&lt;&gt;TRIM(Controls_Raw!E764),"Trim","OK")</f>
        <v>OK</v>
      </c>
      <c r="G764" t="str">
        <f>IF(AND(Controls_Raw!L764&lt;DATE(2026,9,30),Controls_Raw!M764&lt;&gt;"Completed"),"Overdue","OK")</f>
        <v>Overdue</v>
      </c>
      <c r="H764" t="str">
        <f>IF(AND(Controls_Raw!Q764&lt;DATE(2026,9,30),Controls_Raw!R764&lt;&gt;"Completed",Controls_Raw!R764&lt;&gt;"Not Required"),"Overdue","OK")</f>
        <v>OK</v>
      </c>
      <c r="I764" t="str">
        <f t="shared" si="11"/>
        <v>Issue</v>
      </c>
    </row>
    <row r="765" spans="1:9" x14ac:dyDescent="0.2">
      <c r="A765" t="str">
        <f>Controls_Raw!A765</f>
        <v>CTRL-0761</v>
      </c>
      <c r="B765" t="str">
        <f>IF(COUNTIF(Controls_Raw!$A$5:$A$1504,A765)&gt;1,"Duplicate","OK")</f>
        <v>OK</v>
      </c>
      <c r="C765" t="str">
        <f>IF(LEN(TRIM(Controls_Raw!I765))=0,"Missing","OK")</f>
        <v>OK</v>
      </c>
      <c r="D765" t="str">
        <f>IF(LEN(TRIM(Controls_Raw!N765))=0,"Missing","OK")</f>
        <v>OK</v>
      </c>
      <c r="E765" t="str">
        <f>IF(OR(Controls_Raw!G765="USA",Controls_Raw!G765="UK"),"Standardize","OK")</f>
        <v>OK</v>
      </c>
      <c r="F765" t="str">
        <f>IF(Controls_Raw!E765&lt;&gt;TRIM(Controls_Raw!E765),"Trim","OK")</f>
        <v>OK</v>
      </c>
      <c r="G765" t="str">
        <f>IF(AND(Controls_Raw!L765&lt;DATE(2026,9,30),Controls_Raw!M765&lt;&gt;"Completed"),"Overdue","OK")</f>
        <v>OK</v>
      </c>
      <c r="H765" t="str">
        <f>IF(AND(Controls_Raw!Q765&lt;DATE(2026,9,30),Controls_Raw!R765&lt;&gt;"Completed",Controls_Raw!R765&lt;&gt;"Not Required"),"Overdue","OK")</f>
        <v>OK</v>
      </c>
      <c r="I765" t="str">
        <f t="shared" si="11"/>
        <v>Pass</v>
      </c>
    </row>
    <row r="766" spans="1:9" x14ac:dyDescent="0.2">
      <c r="A766" t="str">
        <f>Controls_Raw!A766</f>
        <v>CTRL-0762</v>
      </c>
      <c r="B766" t="str">
        <f>IF(COUNTIF(Controls_Raw!$A$5:$A$1504,A766)&gt;1,"Duplicate","OK")</f>
        <v>OK</v>
      </c>
      <c r="C766" t="str">
        <f>IF(LEN(TRIM(Controls_Raw!I766))=0,"Missing","OK")</f>
        <v>OK</v>
      </c>
      <c r="D766" t="str">
        <f>IF(LEN(TRIM(Controls_Raw!N766))=0,"Missing","OK")</f>
        <v>OK</v>
      </c>
      <c r="E766" t="str">
        <f>IF(OR(Controls_Raw!G766="USA",Controls_Raw!G766="UK"),"Standardize","OK")</f>
        <v>OK</v>
      </c>
      <c r="F766" t="str">
        <f>IF(Controls_Raw!E766&lt;&gt;TRIM(Controls_Raw!E766),"Trim","OK")</f>
        <v>OK</v>
      </c>
      <c r="G766" t="str">
        <f>IF(AND(Controls_Raw!L766&lt;DATE(2026,9,30),Controls_Raw!M766&lt;&gt;"Completed"),"Overdue","OK")</f>
        <v>Overdue</v>
      </c>
      <c r="H766" t="str">
        <f>IF(AND(Controls_Raw!Q766&lt;DATE(2026,9,30),Controls_Raw!R766&lt;&gt;"Completed",Controls_Raw!R766&lt;&gt;"Not Required"),"Overdue","OK")</f>
        <v>OK</v>
      </c>
      <c r="I766" t="str">
        <f t="shared" si="11"/>
        <v>Issue</v>
      </c>
    </row>
    <row r="767" spans="1:9" x14ac:dyDescent="0.2">
      <c r="A767" t="str">
        <f>Controls_Raw!A767</f>
        <v>CTRL-0763</v>
      </c>
      <c r="B767" t="str">
        <f>IF(COUNTIF(Controls_Raw!$A$5:$A$1504,A767)&gt;1,"Duplicate","OK")</f>
        <v>OK</v>
      </c>
      <c r="C767" t="str">
        <f>IF(LEN(TRIM(Controls_Raw!I767))=0,"Missing","OK")</f>
        <v>OK</v>
      </c>
      <c r="D767" t="str">
        <f>IF(LEN(TRIM(Controls_Raw!N767))=0,"Missing","OK")</f>
        <v>OK</v>
      </c>
      <c r="E767" t="str">
        <f>IF(OR(Controls_Raw!G767="USA",Controls_Raw!G767="UK"),"Standardize","OK")</f>
        <v>OK</v>
      </c>
      <c r="F767" t="str">
        <f>IF(Controls_Raw!E767&lt;&gt;TRIM(Controls_Raw!E767),"Trim","OK")</f>
        <v>OK</v>
      </c>
      <c r="G767" t="str">
        <f>IF(AND(Controls_Raw!L767&lt;DATE(2026,9,30),Controls_Raw!M767&lt;&gt;"Completed"),"Overdue","OK")</f>
        <v>Overdue</v>
      </c>
      <c r="H767" t="str">
        <f>IF(AND(Controls_Raw!Q767&lt;DATE(2026,9,30),Controls_Raw!R767&lt;&gt;"Completed",Controls_Raw!R767&lt;&gt;"Not Required"),"Overdue","OK")</f>
        <v>OK</v>
      </c>
      <c r="I767" t="str">
        <f t="shared" si="11"/>
        <v>Issue</v>
      </c>
    </row>
    <row r="768" spans="1:9" x14ac:dyDescent="0.2">
      <c r="A768" t="str">
        <f>Controls_Raw!A768</f>
        <v>CTRL-0764</v>
      </c>
      <c r="B768" t="str">
        <f>IF(COUNTIF(Controls_Raw!$A$5:$A$1504,A768)&gt;1,"Duplicate","OK")</f>
        <v>OK</v>
      </c>
      <c r="C768" t="str">
        <f>IF(LEN(TRIM(Controls_Raw!I768))=0,"Missing","OK")</f>
        <v>OK</v>
      </c>
      <c r="D768" t="str">
        <f>IF(LEN(TRIM(Controls_Raw!N768))=0,"Missing","OK")</f>
        <v>OK</v>
      </c>
      <c r="E768" t="str">
        <f>IF(OR(Controls_Raw!G768="USA",Controls_Raw!G768="UK"),"Standardize","OK")</f>
        <v>OK</v>
      </c>
      <c r="F768" t="str">
        <f>IF(Controls_Raw!E768&lt;&gt;TRIM(Controls_Raw!E768),"Trim","OK")</f>
        <v>OK</v>
      </c>
      <c r="G768" t="str">
        <f>IF(AND(Controls_Raw!L768&lt;DATE(2026,9,30),Controls_Raw!M768&lt;&gt;"Completed"),"Overdue","OK")</f>
        <v>OK</v>
      </c>
      <c r="H768" t="str">
        <f>IF(AND(Controls_Raw!Q768&lt;DATE(2026,9,30),Controls_Raw!R768&lt;&gt;"Completed",Controls_Raw!R768&lt;&gt;"Not Required"),"Overdue","OK")</f>
        <v>OK</v>
      </c>
      <c r="I768" t="str">
        <f t="shared" si="11"/>
        <v>Pass</v>
      </c>
    </row>
    <row r="769" spans="1:9" x14ac:dyDescent="0.2">
      <c r="A769" t="str">
        <f>Controls_Raw!A769</f>
        <v>CTRL-0765</v>
      </c>
      <c r="B769" t="str">
        <f>IF(COUNTIF(Controls_Raw!$A$5:$A$1504,A769)&gt;1,"Duplicate","OK")</f>
        <v>OK</v>
      </c>
      <c r="C769" t="str">
        <f>IF(LEN(TRIM(Controls_Raw!I769))=0,"Missing","OK")</f>
        <v>OK</v>
      </c>
      <c r="D769" t="str">
        <f>IF(LEN(TRIM(Controls_Raw!N769))=0,"Missing","OK")</f>
        <v>OK</v>
      </c>
      <c r="E769" t="str">
        <f>IF(OR(Controls_Raw!G769="USA",Controls_Raw!G769="UK"),"Standardize","OK")</f>
        <v>OK</v>
      </c>
      <c r="F769" t="str">
        <f>IF(Controls_Raw!E769&lt;&gt;TRIM(Controls_Raw!E769),"Trim","OK")</f>
        <v>OK</v>
      </c>
      <c r="G769" t="str">
        <f>IF(AND(Controls_Raw!L769&lt;DATE(2026,9,30),Controls_Raw!M769&lt;&gt;"Completed"),"Overdue","OK")</f>
        <v>Overdue</v>
      </c>
      <c r="H769" t="str">
        <f>IF(AND(Controls_Raw!Q769&lt;DATE(2026,9,30),Controls_Raw!R769&lt;&gt;"Completed",Controls_Raw!R769&lt;&gt;"Not Required"),"Overdue","OK")</f>
        <v>OK</v>
      </c>
      <c r="I769" t="str">
        <f t="shared" si="11"/>
        <v>Issue</v>
      </c>
    </row>
    <row r="770" spans="1:9" x14ac:dyDescent="0.2">
      <c r="A770" t="str">
        <f>Controls_Raw!A770</f>
        <v>CTRL-0766</v>
      </c>
      <c r="B770" t="str">
        <f>IF(COUNTIF(Controls_Raw!$A$5:$A$1504,A770)&gt;1,"Duplicate","OK")</f>
        <v>OK</v>
      </c>
      <c r="C770" t="str">
        <f>IF(LEN(TRIM(Controls_Raw!I770))=0,"Missing","OK")</f>
        <v>OK</v>
      </c>
      <c r="D770" t="str">
        <f>IF(LEN(TRIM(Controls_Raw!N770))=0,"Missing","OK")</f>
        <v>OK</v>
      </c>
      <c r="E770" t="str">
        <f>IF(OR(Controls_Raw!G770="USA",Controls_Raw!G770="UK"),"Standardize","OK")</f>
        <v>OK</v>
      </c>
      <c r="F770" t="str">
        <f>IF(Controls_Raw!E770&lt;&gt;TRIM(Controls_Raw!E770),"Trim","OK")</f>
        <v>OK</v>
      </c>
      <c r="G770" t="str">
        <f>IF(AND(Controls_Raw!L770&lt;DATE(2026,9,30),Controls_Raw!M770&lt;&gt;"Completed"),"Overdue","OK")</f>
        <v>Overdue</v>
      </c>
      <c r="H770" t="str">
        <f>IF(AND(Controls_Raw!Q770&lt;DATE(2026,9,30),Controls_Raw!R770&lt;&gt;"Completed",Controls_Raw!R770&lt;&gt;"Not Required"),"Overdue","OK")</f>
        <v>Overdue</v>
      </c>
      <c r="I770" t="str">
        <f t="shared" si="11"/>
        <v>Issue</v>
      </c>
    </row>
    <row r="771" spans="1:9" x14ac:dyDescent="0.2">
      <c r="A771" t="str">
        <f>Controls_Raw!A771</f>
        <v>CTRL-0767</v>
      </c>
      <c r="B771" t="str">
        <f>IF(COUNTIF(Controls_Raw!$A$5:$A$1504,A771)&gt;1,"Duplicate","OK")</f>
        <v>OK</v>
      </c>
      <c r="C771" t="str">
        <f>IF(LEN(TRIM(Controls_Raw!I771))=0,"Missing","OK")</f>
        <v>OK</v>
      </c>
      <c r="D771" t="str">
        <f>IF(LEN(TRIM(Controls_Raw!N771))=0,"Missing","OK")</f>
        <v>OK</v>
      </c>
      <c r="E771" t="str">
        <f>IF(OR(Controls_Raw!G771="USA",Controls_Raw!G771="UK"),"Standardize","OK")</f>
        <v>OK</v>
      </c>
      <c r="F771" t="str">
        <f>IF(Controls_Raw!E771&lt;&gt;TRIM(Controls_Raw!E771),"Trim","OK")</f>
        <v>OK</v>
      </c>
      <c r="G771" t="str">
        <f>IF(AND(Controls_Raw!L771&lt;DATE(2026,9,30),Controls_Raw!M771&lt;&gt;"Completed"),"Overdue","OK")</f>
        <v>OK</v>
      </c>
      <c r="H771" t="str">
        <f>IF(AND(Controls_Raw!Q771&lt;DATE(2026,9,30),Controls_Raw!R771&lt;&gt;"Completed",Controls_Raw!R771&lt;&gt;"Not Required"),"Overdue","OK")</f>
        <v>OK</v>
      </c>
      <c r="I771" t="str">
        <f t="shared" si="11"/>
        <v>Pass</v>
      </c>
    </row>
    <row r="772" spans="1:9" x14ac:dyDescent="0.2">
      <c r="A772" t="str">
        <f>Controls_Raw!A772</f>
        <v>CTRL-0768</v>
      </c>
      <c r="B772" t="str">
        <f>IF(COUNTIF(Controls_Raw!$A$5:$A$1504,A772)&gt;1,"Duplicate","OK")</f>
        <v>OK</v>
      </c>
      <c r="C772" t="str">
        <f>IF(LEN(TRIM(Controls_Raw!I772))=0,"Missing","OK")</f>
        <v>OK</v>
      </c>
      <c r="D772" t="str">
        <f>IF(LEN(TRIM(Controls_Raw!N772))=0,"Missing","OK")</f>
        <v>OK</v>
      </c>
      <c r="E772" t="str">
        <f>IF(OR(Controls_Raw!G772="USA",Controls_Raw!G772="UK"),"Standardize","OK")</f>
        <v>OK</v>
      </c>
      <c r="F772" t="str">
        <f>IF(Controls_Raw!E772&lt;&gt;TRIM(Controls_Raw!E772),"Trim","OK")</f>
        <v>OK</v>
      </c>
      <c r="G772" t="str">
        <f>IF(AND(Controls_Raw!L772&lt;DATE(2026,9,30),Controls_Raw!M772&lt;&gt;"Completed"),"Overdue","OK")</f>
        <v>OK</v>
      </c>
      <c r="H772" t="str">
        <f>IF(AND(Controls_Raw!Q772&lt;DATE(2026,9,30),Controls_Raw!R772&lt;&gt;"Completed",Controls_Raw!R772&lt;&gt;"Not Required"),"Overdue","OK")</f>
        <v>OK</v>
      </c>
      <c r="I772" t="str">
        <f t="shared" si="11"/>
        <v>Pass</v>
      </c>
    </row>
    <row r="773" spans="1:9" x14ac:dyDescent="0.2">
      <c r="A773" t="str">
        <f>Controls_Raw!A773</f>
        <v>CTRL-0769</v>
      </c>
      <c r="B773" t="str">
        <f>IF(COUNTIF(Controls_Raw!$A$5:$A$1504,A773)&gt;1,"Duplicate","OK")</f>
        <v>OK</v>
      </c>
      <c r="C773" t="str">
        <f>IF(LEN(TRIM(Controls_Raw!I773))=0,"Missing","OK")</f>
        <v>OK</v>
      </c>
      <c r="D773" t="str">
        <f>IF(LEN(TRIM(Controls_Raw!N773))=0,"Missing","OK")</f>
        <v>OK</v>
      </c>
      <c r="E773" t="str">
        <f>IF(OR(Controls_Raw!G773="USA",Controls_Raw!G773="UK"),"Standardize","OK")</f>
        <v>OK</v>
      </c>
      <c r="F773" t="str">
        <f>IF(Controls_Raw!E773&lt;&gt;TRIM(Controls_Raw!E773),"Trim","OK")</f>
        <v>OK</v>
      </c>
      <c r="G773" t="str">
        <f>IF(AND(Controls_Raw!L773&lt;DATE(2026,9,30),Controls_Raw!M773&lt;&gt;"Completed"),"Overdue","OK")</f>
        <v>Overdue</v>
      </c>
      <c r="H773" t="str">
        <f>IF(AND(Controls_Raw!Q773&lt;DATE(2026,9,30),Controls_Raw!R773&lt;&gt;"Completed",Controls_Raw!R773&lt;&gt;"Not Required"),"Overdue","OK")</f>
        <v>Overdue</v>
      </c>
      <c r="I773" t="str">
        <f t="shared" ref="I773:I836" si="12">IF(COUNTIF(B773:H773,"&lt;&gt;OK")&gt;0,"Issue","Pass")</f>
        <v>Issue</v>
      </c>
    </row>
    <row r="774" spans="1:9" x14ac:dyDescent="0.2">
      <c r="A774" t="str">
        <f>Controls_Raw!A774</f>
        <v>CTRL-0770</v>
      </c>
      <c r="B774" t="str">
        <f>IF(COUNTIF(Controls_Raw!$A$5:$A$1504,A774)&gt;1,"Duplicate","OK")</f>
        <v>OK</v>
      </c>
      <c r="C774" t="str">
        <f>IF(LEN(TRIM(Controls_Raw!I774))=0,"Missing","OK")</f>
        <v>OK</v>
      </c>
      <c r="D774" t="str">
        <f>IF(LEN(TRIM(Controls_Raw!N774))=0,"Missing","OK")</f>
        <v>OK</v>
      </c>
      <c r="E774" t="str">
        <f>IF(OR(Controls_Raw!G774="USA",Controls_Raw!G774="UK"),"Standardize","OK")</f>
        <v>OK</v>
      </c>
      <c r="F774" t="str">
        <f>IF(Controls_Raw!E774&lt;&gt;TRIM(Controls_Raw!E774),"Trim","OK")</f>
        <v>OK</v>
      </c>
      <c r="G774" t="str">
        <f>IF(AND(Controls_Raw!L774&lt;DATE(2026,9,30),Controls_Raw!M774&lt;&gt;"Completed"),"Overdue","OK")</f>
        <v>Overdue</v>
      </c>
      <c r="H774" t="str">
        <f>IF(AND(Controls_Raw!Q774&lt;DATE(2026,9,30),Controls_Raw!R774&lt;&gt;"Completed",Controls_Raw!R774&lt;&gt;"Not Required"),"Overdue","OK")</f>
        <v>OK</v>
      </c>
      <c r="I774" t="str">
        <f t="shared" si="12"/>
        <v>Issue</v>
      </c>
    </row>
    <row r="775" spans="1:9" x14ac:dyDescent="0.2">
      <c r="A775" t="str">
        <f>Controls_Raw!A775</f>
        <v>CTRL-0771</v>
      </c>
      <c r="B775" t="str">
        <f>IF(COUNTIF(Controls_Raw!$A$5:$A$1504,A775)&gt;1,"Duplicate","OK")</f>
        <v>OK</v>
      </c>
      <c r="C775" t="str">
        <f>IF(LEN(TRIM(Controls_Raw!I775))=0,"Missing","OK")</f>
        <v>OK</v>
      </c>
      <c r="D775" t="str">
        <f>IF(LEN(TRIM(Controls_Raw!N775))=0,"Missing","OK")</f>
        <v>OK</v>
      </c>
      <c r="E775" t="str">
        <f>IF(OR(Controls_Raw!G775="USA",Controls_Raw!G775="UK"),"Standardize","OK")</f>
        <v>OK</v>
      </c>
      <c r="F775" t="str">
        <f>IF(Controls_Raw!E775&lt;&gt;TRIM(Controls_Raw!E775),"Trim","OK")</f>
        <v>OK</v>
      </c>
      <c r="G775" t="str">
        <f>IF(AND(Controls_Raw!L775&lt;DATE(2026,9,30),Controls_Raw!M775&lt;&gt;"Completed"),"Overdue","OK")</f>
        <v>OK</v>
      </c>
      <c r="H775" t="str">
        <f>IF(AND(Controls_Raw!Q775&lt;DATE(2026,9,30),Controls_Raw!R775&lt;&gt;"Completed",Controls_Raw!R775&lt;&gt;"Not Required"),"Overdue","OK")</f>
        <v>OK</v>
      </c>
      <c r="I775" t="str">
        <f t="shared" si="12"/>
        <v>Pass</v>
      </c>
    </row>
    <row r="776" spans="1:9" x14ac:dyDescent="0.2">
      <c r="A776" t="str">
        <f>Controls_Raw!A776</f>
        <v>CTRL-0772</v>
      </c>
      <c r="B776" t="str">
        <f>IF(COUNTIF(Controls_Raw!$A$5:$A$1504,A776)&gt;1,"Duplicate","OK")</f>
        <v>OK</v>
      </c>
      <c r="C776" t="str">
        <f>IF(LEN(TRIM(Controls_Raw!I776))=0,"Missing","OK")</f>
        <v>OK</v>
      </c>
      <c r="D776" t="str">
        <f>IF(LEN(TRIM(Controls_Raw!N776))=0,"Missing","OK")</f>
        <v>OK</v>
      </c>
      <c r="E776" t="str">
        <f>IF(OR(Controls_Raw!G776="USA",Controls_Raw!G776="UK"),"Standardize","OK")</f>
        <v>OK</v>
      </c>
      <c r="F776" t="str">
        <f>IF(Controls_Raw!E776&lt;&gt;TRIM(Controls_Raw!E776),"Trim","OK")</f>
        <v>OK</v>
      </c>
      <c r="G776" t="str">
        <f>IF(AND(Controls_Raw!L776&lt;DATE(2026,9,30),Controls_Raw!M776&lt;&gt;"Completed"),"Overdue","OK")</f>
        <v>Overdue</v>
      </c>
      <c r="H776" t="str">
        <f>IF(AND(Controls_Raw!Q776&lt;DATE(2026,9,30),Controls_Raw!R776&lt;&gt;"Completed",Controls_Raw!R776&lt;&gt;"Not Required"),"Overdue","OK")</f>
        <v>OK</v>
      </c>
      <c r="I776" t="str">
        <f t="shared" si="12"/>
        <v>Issue</v>
      </c>
    </row>
    <row r="777" spans="1:9" x14ac:dyDescent="0.2">
      <c r="A777" t="str">
        <f>Controls_Raw!A777</f>
        <v>CTRL-0773</v>
      </c>
      <c r="B777" t="str">
        <f>IF(COUNTIF(Controls_Raw!$A$5:$A$1504,A777)&gt;1,"Duplicate","OK")</f>
        <v>OK</v>
      </c>
      <c r="C777" t="str">
        <f>IF(LEN(TRIM(Controls_Raw!I777))=0,"Missing","OK")</f>
        <v>OK</v>
      </c>
      <c r="D777" t="str">
        <f>IF(LEN(TRIM(Controls_Raw!N777))=0,"Missing","OK")</f>
        <v>OK</v>
      </c>
      <c r="E777" t="str">
        <f>IF(OR(Controls_Raw!G777="USA",Controls_Raw!G777="UK"),"Standardize","OK")</f>
        <v>OK</v>
      </c>
      <c r="F777" t="str">
        <f>IF(Controls_Raw!E777&lt;&gt;TRIM(Controls_Raw!E777),"Trim","OK")</f>
        <v>OK</v>
      </c>
      <c r="G777" t="str">
        <f>IF(AND(Controls_Raw!L777&lt;DATE(2026,9,30),Controls_Raw!M777&lt;&gt;"Completed"),"Overdue","OK")</f>
        <v>Overdue</v>
      </c>
      <c r="H777" t="str">
        <f>IF(AND(Controls_Raw!Q777&lt;DATE(2026,9,30),Controls_Raw!R777&lt;&gt;"Completed",Controls_Raw!R777&lt;&gt;"Not Required"),"Overdue","OK")</f>
        <v>OK</v>
      </c>
      <c r="I777" t="str">
        <f t="shared" si="12"/>
        <v>Issue</v>
      </c>
    </row>
    <row r="778" spans="1:9" x14ac:dyDescent="0.2">
      <c r="A778" t="str">
        <f>Controls_Raw!A778</f>
        <v>CTRL-0774</v>
      </c>
      <c r="B778" t="str">
        <f>IF(COUNTIF(Controls_Raw!$A$5:$A$1504,A778)&gt;1,"Duplicate","OK")</f>
        <v>OK</v>
      </c>
      <c r="C778" t="str">
        <f>IF(LEN(TRIM(Controls_Raw!I778))=0,"Missing","OK")</f>
        <v>OK</v>
      </c>
      <c r="D778" t="str">
        <f>IF(LEN(TRIM(Controls_Raw!N778))=0,"Missing","OK")</f>
        <v>OK</v>
      </c>
      <c r="E778" t="str">
        <f>IF(OR(Controls_Raw!G778="USA",Controls_Raw!G778="UK"),"Standardize","OK")</f>
        <v>OK</v>
      </c>
      <c r="F778" t="str">
        <f>IF(Controls_Raw!E778&lt;&gt;TRIM(Controls_Raw!E778),"Trim","OK")</f>
        <v>OK</v>
      </c>
      <c r="G778" t="str">
        <f>IF(AND(Controls_Raw!L778&lt;DATE(2026,9,30),Controls_Raw!M778&lt;&gt;"Completed"),"Overdue","OK")</f>
        <v>OK</v>
      </c>
      <c r="H778" t="str">
        <f>IF(AND(Controls_Raw!Q778&lt;DATE(2026,9,30),Controls_Raw!R778&lt;&gt;"Completed",Controls_Raw!R778&lt;&gt;"Not Required"),"Overdue","OK")</f>
        <v>Overdue</v>
      </c>
      <c r="I778" t="str">
        <f t="shared" si="12"/>
        <v>Issue</v>
      </c>
    </row>
    <row r="779" spans="1:9" x14ac:dyDescent="0.2">
      <c r="A779" t="str">
        <f>Controls_Raw!A779</f>
        <v>CTRL-0775</v>
      </c>
      <c r="B779" t="str">
        <f>IF(COUNTIF(Controls_Raw!$A$5:$A$1504,A779)&gt;1,"Duplicate","OK")</f>
        <v>OK</v>
      </c>
      <c r="C779" t="str">
        <f>IF(LEN(TRIM(Controls_Raw!I779))=0,"Missing","OK")</f>
        <v>OK</v>
      </c>
      <c r="D779" t="str">
        <f>IF(LEN(TRIM(Controls_Raw!N779))=0,"Missing","OK")</f>
        <v>OK</v>
      </c>
      <c r="E779" t="str">
        <f>IF(OR(Controls_Raw!G779="USA",Controls_Raw!G779="UK"),"Standardize","OK")</f>
        <v>OK</v>
      </c>
      <c r="F779" t="str">
        <f>IF(Controls_Raw!E779&lt;&gt;TRIM(Controls_Raw!E779),"Trim","OK")</f>
        <v>OK</v>
      </c>
      <c r="G779" t="str">
        <f>IF(AND(Controls_Raw!L779&lt;DATE(2026,9,30),Controls_Raw!M779&lt;&gt;"Completed"),"Overdue","OK")</f>
        <v>Overdue</v>
      </c>
      <c r="H779" t="str">
        <f>IF(AND(Controls_Raw!Q779&lt;DATE(2026,9,30),Controls_Raw!R779&lt;&gt;"Completed",Controls_Raw!R779&lt;&gt;"Not Required"),"Overdue","OK")</f>
        <v>OK</v>
      </c>
      <c r="I779" t="str">
        <f t="shared" si="12"/>
        <v>Issue</v>
      </c>
    </row>
    <row r="780" spans="1:9" x14ac:dyDescent="0.2">
      <c r="A780" t="str">
        <f>Controls_Raw!A780</f>
        <v>CTRL-0776</v>
      </c>
      <c r="B780" t="str">
        <f>IF(COUNTIF(Controls_Raw!$A$5:$A$1504,A780)&gt;1,"Duplicate","OK")</f>
        <v>OK</v>
      </c>
      <c r="C780" t="str">
        <f>IF(LEN(TRIM(Controls_Raw!I780))=0,"Missing","OK")</f>
        <v>OK</v>
      </c>
      <c r="D780" t="str">
        <f>IF(LEN(TRIM(Controls_Raw!N780))=0,"Missing","OK")</f>
        <v>OK</v>
      </c>
      <c r="E780" t="str">
        <f>IF(OR(Controls_Raw!G780="USA",Controls_Raw!G780="UK"),"Standardize","OK")</f>
        <v>OK</v>
      </c>
      <c r="F780" t="str">
        <f>IF(Controls_Raw!E780&lt;&gt;TRIM(Controls_Raw!E780),"Trim","OK")</f>
        <v>OK</v>
      </c>
      <c r="G780" t="str">
        <f>IF(AND(Controls_Raw!L780&lt;DATE(2026,9,30),Controls_Raw!M780&lt;&gt;"Completed"),"Overdue","OK")</f>
        <v>Overdue</v>
      </c>
      <c r="H780" t="str">
        <f>IF(AND(Controls_Raw!Q780&lt;DATE(2026,9,30),Controls_Raw!R780&lt;&gt;"Completed",Controls_Raw!R780&lt;&gt;"Not Required"),"Overdue","OK")</f>
        <v>OK</v>
      </c>
      <c r="I780" t="str">
        <f t="shared" si="12"/>
        <v>Issue</v>
      </c>
    </row>
    <row r="781" spans="1:9" x14ac:dyDescent="0.2">
      <c r="A781" t="str">
        <f>Controls_Raw!A781</f>
        <v>CTRL-0777</v>
      </c>
      <c r="B781" t="str">
        <f>IF(COUNTIF(Controls_Raw!$A$5:$A$1504,A781)&gt;1,"Duplicate","OK")</f>
        <v>OK</v>
      </c>
      <c r="C781" t="str">
        <f>IF(LEN(TRIM(Controls_Raw!I781))=0,"Missing","OK")</f>
        <v>OK</v>
      </c>
      <c r="D781" t="str">
        <f>IF(LEN(TRIM(Controls_Raw!N781))=0,"Missing","OK")</f>
        <v>OK</v>
      </c>
      <c r="E781" t="str">
        <f>IF(OR(Controls_Raw!G781="USA",Controls_Raw!G781="UK"),"Standardize","OK")</f>
        <v>OK</v>
      </c>
      <c r="F781" t="str">
        <f>IF(Controls_Raw!E781&lt;&gt;TRIM(Controls_Raw!E781),"Trim","OK")</f>
        <v>OK</v>
      </c>
      <c r="G781" t="str">
        <f>IF(AND(Controls_Raw!L781&lt;DATE(2026,9,30),Controls_Raw!M781&lt;&gt;"Completed"),"Overdue","OK")</f>
        <v>Overdue</v>
      </c>
      <c r="H781" t="str">
        <f>IF(AND(Controls_Raw!Q781&lt;DATE(2026,9,30),Controls_Raw!R781&lt;&gt;"Completed",Controls_Raw!R781&lt;&gt;"Not Required"),"Overdue","OK")</f>
        <v>Overdue</v>
      </c>
      <c r="I781" t="str">
        <f t="shared" si="12"/>
        <v>Issue</v>
      </c>
    </row>
    <row r="782" spans="1:9" x14ac:dyDescent="0.2">
      <c r="A782" t="str">
        <f>Controls_Raw!A782</f>
        <v>CTRL-0778</v>
      </c>
      <c r="B782" t="str">
        <f>IF(COUNTIF(Controls_Raw!$A$5:$A$1504,A782)&gt;1,"Duplicate","OK")</f>
        <v>OK</v>
      </c>
      <c r="C782" t="str">
        <f>IF(LEN(TRIM(Controls_Raw!I782))=0,"Missing","OK")</f>
        <v>OK</v>
      </c>
      <c r="D782" t="str">
        <f>IF(LEN(TRIM(Controls_Raw!N782))=0,"Missing","OK")</f>
        <v>OK</v>
      </c>
      <c r="E782" t="str">
        <f>IF(OR(Controls_Raw!G782="USA",Controls_Raw!G782="UK"),"Standardize","OK")</f>
        <v>OK</v>
      </c>
      <c r="F782" t="str">
        <f>IF(Controls_Raw!E782&lt;&gt;TRIM(Controls_Raw!E782),"Trim","OK")</f>
        <v>OK</v>
      </c>
      <c r="G782" t="str">
        <f>IF(AND(Controls_Raw!L782&lt;DATE(2026,9,30),Controls_Raw!M782&lt;&gt;"Completed"),"Overdue","OK")</f>
        <v>OK</v>
      </c>
      <c r="H782" t="str">
        <f>IF(AND(Controls_Raw!Q782&lt;DATE(2026,9,30),Controls_Raw!R782&lt;&gt;"Completed",Controls_Raw!R782&lt;&gt;"Not Required"),"Overdue","OK")</f>
        <v>OK</v>
      </c>
      <c r="I782" t="str">
        <f t="shared" si="12"/>
        <v>Pass</v>
      </c>
    </row>
    <row r="783" spans="1:9" x14ac:dyDescent="0.2">
      <c r="A783" t="str">
        <f>Controls_Raw!A783</f>
        <v>CTRL-0779</v>
      </c>
      <c r="B783" t="str">
        <f>IF(COUNTIF(Controls_Raw!$A$5:$A$1504,A783)&gt;1,"Duplicate","OK")</f>
        <v>OK</v>
      </c>
      <c r="C783" t="str">
        <f>IF(LEN(TRIM(Controls_Raw!I783))=0,"Missing","OK")</f>
        <v>OK</v>
      </c>
      <c r="D783" t="str">
        <f>IF(LEN(TRIM(Controls_Raw!N783))=0,"Missing","OK")</f>
        <v>OK</v>
      </c>
      <c r="E783" t="str">
        <f>IF(OR(Controls_Raw!G783="USA",Controls_Raw!G783="UK"),"Standardize","OK")</f>
        <v>OK</v>
      </c>
      <c r="F783" t="str">
        <f>IF(Controls_Raw!E783&lt;&gt;TRIM(Controls_Raw!E783),"Trim","OK")</f>
        <v>OK</v>
      </c>
      <c r="G783" t="str">
        <f>IF(AND(Controls_Raw!L783&lt;DATE(2026,9,30),Controls_Raw!M783&lt;&gt;"Completed"),"Overdue","OK")</f>
        <v>Overdue</v>
      </c>
      <c r="H783" t="str">
        <f>IF(AND(Controls_Raw!Q783&lt;DATE(2026,9,30),Controls_Raw!R783&lt;&gt;"Completed",Controls_Raw!R783&lt;&gt;"Not Required"),"Overdue","OK")</f>
        <v>OK</v>
      </c>
      <c r="I783" t="str">
        <f t="shared" si="12"/>
        <v>Issue</v>
      </c>
    </row>
    <row r="784" spans="1:9" x14ac:dyDescent="0.2">
      <c r="A784" t="str">
        <f>Controls_Raw!A784</f>
        <v>CTRL-0780</v>
      </c>
      <c r="B784" t="str">
        <f>IF(COUNTIF(Controls_Raw!$A$5:$A$1504,A784)&gt;1,"Duplicate","OK")</f>
        <v>OK</v>
      </c>
      <c r="C784" t="str">
        <f>IF(LEN(TRIM(Controls_Raw!I784))=0,"Missing","OK")</f>
        <v>OK</v>
      </c>
      <c r="D784" t="str">
        <f>IF(LEN(TRIM(Controls_Raw!N784))=0,"Missing","OK")</f>
        <v>OK</v>
      </c>
      <c r="E784" t="str">
        <f>IF(OR(Controls_Raw!G784="USA",Controls_Raw!G784="UK"),"Standardize","OK")</f>
        <v>OK</v>
      </c>
      <c r="F784" t="str">
        <f>IF(Controls_Raw!E784&lt;&gt;TRIM(Controls_Raw!E784),"Trim","OK")</f>
        <v>OK</v>
      </c>
      <c r="G784" t="str">
        <f>IF(AND(Controls_Raw!L784&lt;DATE(2026,9,30),Controls_Raw!M784&lt;&gt;"Completed"),"Overdue","OK")</f>
        <v>Overdue</v>
      </c>
      <c r="H784" t="str">
        <f>IF(AND(Controls_Raw!Q784&lt;DATE(2026,9,30),Controls_Raw!R784&lt;&gt;"Completed",Controls_Raw!R784&lt;&gt;"Not Required"),"Overdue","OK")</f>
        <v>Overdue</v>
      </c>
      <c r="I784" t="str">
        <f t="shared" si="12"/>
        <v>Issue</v>
      </c>
    </row>
    <row r="785" spans="1:9" x14ac:dyDescent="0.2">
      <c r="A785" t="str">
        <f>Controls_Raw!A785</f>
        <v>CTRL-0781</v>
      </c>
      <c r="B785" t="str">
        <f>IF(COUNTIF(Controls_Raw!$A$5:$A$1504,A785)&gt;1,"Duplicate","OK")</f>
        <v>OK</v>
      </c>
      <c r="C785" t="str">
        <f>IF(LEN(TRIM(Controls_Raw!I785))=0,"Missing","OK")</f>
        <v>OK</v>
      </c>
      <c r="D785" t="str">
        <f>IF(LEN(TRIM(Controls_Raw!N785))=0,"Missing","OK")</f>
        <v>OK</v>
      </c>
      <c r="E785" t="str">
        <f>IF(OR(Controls_Raw!G785="USA",Controls_Raw!G785="UK"),"Standardize","OK")</f>
        <v>OK</v>
      </c>
      <c r="F785" t="str">
        <f>IF(Controls_Raw!E785&lt;&gt;TRIM(Controls_Raw!E785),"Trim","OK")</f>
        <v>OK</v>
      </c>
      <c r="G785" t="str">
        <f>IF(AND(Controls_Raw!L785&lt;DATE(2026,9,30),Controls_Raw!M785&lt;&gt;"Completed"),"Overdue","OK")</f>
        <v>Overdue</v>
      </c>
      <c r="H785" t="str">
        <f>IF(AND(Controls_Raw!Q785&lt;DATE(2026,9,30),Controls_Raw!R785&lt;&gt;"Completed",Controls_Raw!R785&lt;&gt;"Not Required"),"Overdue","OK")</f>
        <v>OK</v>
      </c>
      <c r="I785" t="str">
        <f t="shared" si="12"/>
        <v>Issue</v>
      </c>
    </row>
    <row r="786" spans="1:9" x14ac:dyDescent="0.2">
      <c r="A786" t="str">
        <f>Controls_Raw!A786</f>
        <v>CTRL-0782</v>
      </c>
      <c r="B786" t="str">
        <f>IF(COUNTIF(Controls_Raw!$A$5:$A$1504,A786)&gt;1,"Duplicate","OK")</f>
        <v>OK</v>
      </c>
      <c r="C786" t="str">
        <f>IF(LEN(TRIM(Controls_Raw!I786))=0,"Missing","OK")</f>
        <v>OK</v>
      </c>
      <c r="D786" t="str">
        <f>IF(LEN(TRIM(Controls_Raw!N786))=0,"Missing","OK")</f>
        <v>OK</v>
      </c>
      <c r="E786" t="str">
        <f>IF(OR(Controls_Raw!G786="USA",Controls_Raw!G786="UK"),"Standardize","OK")</f>
        <v>OK</v>
      </c>
      <c r="F786" t="str">
        <f>IF(Controls_Raw!E786&lt;&gt;TRIM(Controls_Raw!E786),"Trim","OK")</f>
        <v>OK</v>
      </c>
      <c r="G786" t="str">
        <f>IF(AND(Controls_Raw!L786&lt;DATE(2026,9,30),Controls_Raw!M786&lt;&gt;"Completed"),"Overdue","OK")</f>
        <v>OK</v>
      </c>
      <c r="H786" t="str">
        <f>IF(AND(Controls_Raw!Q786&lt;DATE(2026,9,30),Controls_Raw!R786&lt;&gt;"Completed",Controls_Raw!R786&lt;&gt;"Not Required"),"Overdue","OK")</f>
        <v>OK</v>
      </c>
      <c r="I786" t="str">
        <f t="shared" si="12"/>
        <v>Pass</v>
      </c>
    </row>
    <row r="787" spans="1:9" x14ac:dyDescent="0.2">
      <c r="A787" t="str">
        <f>Controls_Raw!A787</f>
        <v>CTRL-0783</v>
      </c>
      <c r="B787" t="str">
        <f>IF(COUNTIF(Controls_Raw!$A$5:$A$1504,A787)&gt;1,"Duplicate","OK")</f>
        <v>OK</v>
      </c>
      <c r="C787" t="str">
        <f>IF(LEN(TRIM(Controls_Raw!I787))=0,"Missing","OK")</f>
        <v>OK</v>
      </c>
      <c r="D787" t="str">
        <f>IF(LEN(TRIM(Controls_Raw!N787))=0,"Missing","OK")</f>
        <v>OK</v>
      </c>
      <c r="E787" t="str">
        <f>IF(OR(Controls_Raw!G787="USA",Controls_Raw!G787="UK"),"Standardize","OK")</f>
        <v>OK</v>
      </c>
      <c r="F787" t="str">
        <f>IF(Controls_Raw!E787&lt;&gt;TRIM(Controls_Raw!E787),"Trim","OK")</f>
        <v>OK</v>
      </c>
      <c r="G787" t="str">
        <f>IF(AND(Controls_Raw!L787&lt;DATE(2026,9,30),Controls_Raw!M787&lt;&gt;"Completed"),"Overdue","OK")</f>
        <v>Overdue</v>
      </c>
      <c r="H787" t="str">
        <f>IF(AND(Controls_Raw!Q787&lt;DATE(2026,9,30),Controls_Raw!R787&lt;&gt;"Completed",Controls_Raw!R787&lt;&gt;"Not Required"),"Overdue","OK")</f>
        <v>OK</v>
      </c>
      <c r="I787" t="str">
        <f t="shared" si="12"/>
        <v>Issue</v>
      </c>
    </row>
    <row r="788" spans="1:9" x14ac:dyDescent="0.2">
      <c r="A788" t="str">
        <f>Controls_Raw!A788</f>
        <v>CTRL-0784</v>
      </c>
      <c r="B788" t="str">
        <f>IF(COUNTIF(Controls_Raw!$A$5:$A$1504,A788)&gt;1,"Duplicate","OK")</f>
        <v>OK</v>
      </c>
      <c r="C788" t="str">
        <f>IF(LEN(TRIM(Controls_Raw!I788))=0,"Missing","OK")</f>
        <v>OK</v>
      </c>
      <c r="D788" t="str">
        <f>IF(LEN(TRIM(Controls_Raw!N788))=0,"Missing","OK")</f>
        <v>OK</v>
      </c>
      <c r="E788" t="str">
        <f>IF(OR(Controls_Raw!G788="USA",Controls_Raw!G788="UK"),"Standardize","OK")</f>
        <v>OK</v>
      </c>
      <c r="F788" t="str">
        <f>IF(Controls_Raw!E788&lt;&gt;TRIM(Controls_Raw!E788),"Trim","OK")</f>
        <v>OK</v>
      </c>
      <c r="G788" t="str">
        <f>IF(AND(Controls_Raw!L788&lt;DATE(2026,9,30),Controls_Raw!M788&lt;&gt;"Completed"),"Overdue","OK")</f>
        <v>OK</v>
      </c>
      <c r="H788" t="str">
        <f>IF(AND(Controls_Raw!Q788&lt;DATE(2026,9,30),Controls_Raw!R788&lt;&gt;"Completed",Controls_Raw!R788&lt;&gt;"Not Required"),"Overdue","OK")</f>
        <v>OK</v>
      </c>
      <c r="I788" t="str">
        <f t="shared" si="12"/>
        <v>Pass</v>
      </c>
    </row>
    <row r="789" spans="1:9" x14ac:dyDescent="0.2">
      <c r="A789" t="str">
        <f>Controls_Raw!A789</f>
        <v>CTRL-0785</v>
      </c>
      <c r="B789" t="str">
        <f>IF(COUNTIF(Controls_Raw!$A$5:$A$1504,A789)&gt;1,"Duplicate","OK")</f>
        <v>OK</v>
      </c>
      <c r="C789" t="str">
        <f>IF(LEN(TRIM(Controls_Raw!I789))=0,"Missing","OK")</f>
        <v>OK</v>
      </c>
      <c r="D789" t="str">
        <f>IF(LEN(TRIM(Controls_Raw!N789))=0,"Missing","OK")</f>
        <v>OK</v>
      </c>
      <c r="E789" t="str">
        <f>IF(OR(Controls_Raw!G789="USA",Controls_Raw!G789="UK"),"Standardize","OK")</f>
        <v>OK</v>
      </c>
      <c r="F789" t="str">
        <f>IF(Controls_Raw!E789&lt;&gt;TRIM(Controls_Raw!E789),"Trim","OK")</f>
        <v>OK</v>
      </c>
      <c r="G789" t="str">
        <f>IF(AND(Controls_Raw!L789&lt;DATE(2026,9,30),Controls_Raw!M789&lt;&gt;"Completed"),"Overdue","OK")</f>
        <v>Overdue</v>
      </c>
      <c r="H789" t="str">
        <f>IF(AND(Controls_Raw!Q789&lt;DATE(2026,9,30),Controls_Raw!R789&lt;&gt;"Completed",Controls_Raw!R789&lt;&gt;"Not Required"),"Overdue","OK")</f>
        <v>OK</v>
      </c>
      <c r="I789" t="str">
        <f t="shared" si="12"/>
        <v>Issue</v>
      </c>
    </row>
    <row r="790" spans="1:9" x14ac:dyDescent="0.2">
      <c r="A790" t="str">
        <f>Controls_Raw!A790</f>
        <v>CTRL-0786</v>
      </c>
      <c r="B790" t="str">
        <f>IF(COUNTIF(Controls_Raw!$A$5:$A$1504,A790)&gt;1,"Duplicate","OK")</f>
        <v>OK</v>
      </c>
      <c r="C790" t="str">
        <f>IF(LEN(TRIM(Controls_Raw!I790))=0,"Missing","OK")</f>
        <v>OK</v>
      </c>
      <c r="D790" t="str">
        <f>IF(LEN(TRIM(Controls_Raw!N790))=0,"Missing","OK")</f>
        <v>OK</v>
      </c>
      <c r="E790" t="str">
        <f>IF(OR(Controls_Raw!G790="USA",Controls_Raw!G790="UK"),"Standardize","OK")</f>
        <v>OK</v>
      </c>
      <c r="F790" t="str">
        <f>IF(Controls_Raw!E790&lt;&gt;TRIM(Controls_Raw!E790),"Trim","OK")</f>
        <v>OK</v>
      </c>
      <c r="G790" t="str">
        <f>IF(AND(Controls_Raw!L790&lt;DATE(2026,9,30),Controls_Raw!M790&lt;&gt;"Completed"),"Overdue","OK")</f>
        <v>Overdue</v>
      </c>
      <c r="H790" t="str">
        <f>IF(AND(Controls_Raw!Q790&lt;DATE(2026,9,30),Controls_Raw!R790&lt;&gt;"Completed",Controls_Raw!R790&lt;&gt;"Not Required"),"Overdue","OK")</f>
        <v>OK</v>
      </c>
      <c r="I790" t="str">
        <f t="shared" si="12"/>
        <v>Issue</v>
      </c>
    </row>
    <row r="791" spans="1:9" x14ac:dyDescent="0.2">
      <c r="A791" t="str">
        <f>Controls_Raw!A791</f>
        <v>CTRL-0787</v>
      </c>
      <c r="B791" t="str">
        <f>IF(COUNTIF(Controls_Raw!$A$5:$A$1504,A791)&gt;1,"Duplicate","OK")</f>
        <v>OK</v>
      </c>
      <c r="C791" t="str">
        <f>IF(LEN(TRIM(Controls_Raw!I791))=0,"Missing","OK")</f>
        <v>OK</v>
      </c>
      <c r="D791" t="str">
        <f>IF(LEN(TRIM(Controls_Raw!N791))=0,"Missing","OK")</f>
        <v>OK</v>
      </c>
      <c r="E791" t="str">
        <f>IF(OR(Controls_Raw!G791="USA",Controls_Raw!G791="UK"),"Standardize","OK")</f>
        <v>OK</v>
      </c>
      <c r="F791" t="str">
        <f>IF(Controls_Raw!E791&lt;&gt;TRIM(Controls_Raw!E791),"Trim","OK")</f>
        <v>OK</v>
      </c>
      <c r="G791" t="str">
        <f>IF(AND(Controls_Raw!L791&lt;DATE(2026,9,30),Controls_Raw!M791&lt;&gt;"Completed"),"Overdue","OK")</f>
        <v>Overdue</v>
      </c>
      <c r="H791" t="str">
        <f>IF(AND(Controls_Raw!Q791&lt;DATE(2026,9,30),Controls_Raw!R791&lt;&gt;"Completed",Controls_Raw!R791&lt;&gt;"Not Required"),"Overdue","OK")</f>
        <v>Overdue</v>
      </c>
      <c r="I791" t="str">
        <f t="shared" si="12"/>
        <v>Issue</v>
      </c>
    </row>
    <row r="792" spans="1:9" x14ac:dyDescent="0.2">
      <c r="A792" t="str">
        <f>Controls_Raw!A792</f>
        <v>CTRL-0788</v>
      </c>
      <c r="B792" t="str">
        <f>IF(COUNTIF(Controls_Raw!$A$5:$A$1504,A792)&gt;1,"Duplicate","OK")</f>
        <v>OK</v>
      </c>
      <c r="C792" t="str">
        <f>IF(LEN(TRIM(Controls_Raw!I792))=0,"Missing","OK")</f>
        <v>OK</v>
      </c>
      <c r="D792" t="str">
        <f>IF(LEN(TRIM(Controls_Raw!N792))=0,"Missing","OK")</f>
        <v>OK</v>
      </c>
      <c r="E792" t="str">
        <f>IF(OR(Controls_Raw!G792="USA",Controls_Raw!G792="UK"),"Standardize","OK")</f>
        <v>OK</v>
      </c>
      <c r="F792" t="str">
        <f>IF(Controls_Raw!E792&lt;&gt;TRIM(Controls_Raw!E792),"Trim","OK")</f>
        <v>OK</v>
      </c>
      <c r="G792" t="str">
        <f>IF(AND(Controls_Raw!L792&lt;DATE(2026,9,30),Controls_Raw!M792&lt;&gt;"Completed"),"Overdue","OK")</f>
        <v>Overdue</v>
      </c>
      <c r="H792" t="str">
        <f>IF(AND(Controls_Raw!Q792&lt;DATE(2026,9,30),Controls_Raw!R792&lt;&gt;"Completed",Controls_Raw!R792&lt;&gt;"Not Required"),"Overdue","OK")</f>
        <v>OK</v>
      </c>
      <c r="I792" t="str">
        <f t="shared" si="12"/>
        <v>Issue</v>
      </c>
    </row>
    <row r="793" spans="1:9" x14ac:dyDescent="0.2">
      <c r="A793" t="str">
        <f>Controls_Raw!A793</f>
        <v>CTRL-0789</v>
      </c>
      <c r="B793" t="str">
        <f>IF(COUNTIF(Controls_Raw!$A$5:$A$1504,A793)&gt;1,"Duplicate","OK")</f>
        <v>OK</v>
      </c>
      <c r="C793" t="str">
        <f>IF(LEN(TRIM(Controls_Raw!I793))=0,"Missing","OK")</f>
        <v>OK</v>
      </c>
      <c r="D793" t="str">
        <f>IF(LEN(TRIM(Controls_Raw!N793))=0,"Missing","OK")</f>
        <v>OK</v>
      </c>
      <c r="E793" t="str">
        <f>IF(OR(Controls_Raw!G793="USA",Controls_Raw!G793="UK"),"Standardize","OK")</f>
        <v>OK</v>
      </c>
      <c r="F793" t="str">
        <f>IF(Controls_Raw!E793&lt;&gt;TRIM(Controls_Raw!E793),"Trim","OK")</f>
        <v>OK</v>
      </c>
      <c r="G793" t="str">
        <f>IF(AND(Controls_Raw!L793&lt;DATE(2026,9,30),Controls_Raw!M793&lt;&gt;"Completed"),"Overdue","OK")</f>
        <v>OK</v>
      </c>
      <c r="H793" t="str">
        <f>IF(AND(Controls_Raw!Q793&lt;DATE(2026,9,30),Controls_Raw!R793&lt;&gt;"Completed",Controls_Raw!R793&lt;&gt;"Not Required"),"Overdue","OK")</f>
        <v>Overdue</v>
      </c>
      <c r="I793" t="str">
        <f t="shared" si="12"/>
        <v>Issue</v>
      </c>
    </row>
    <row r="794" spans="1:9" x14ac:dyDescent="0.2">
      <c r="A794" t="str">
        <f>Controls_Raw!A794</f>
        <v>CTRL-0790</v>
      </c>
      <c r="B794" t="str">
        <f>IF(COUNTIF(Controls_Raw!$A$5:$A$1504,A794)&gt;1,"Duplicate","OK")</f>
        <v>OK</v>
      </c>
      <c r="C794" t="str">
        <f>IF(LEN(TRIM(Controls_Raw!I794))=0,"Missing","OK")</f>
        <v>OK</v>
      </c>
      <c r="D794" t="str">
        <f>IF(LEN(TRIM(Controls_Raw!N794))=0,"Missing","OK")</f>
        <v>OK</v>
      </c>
      <c r="E794" t="str">
        <f>IF(OR(Controls_Raw!G794="USA",Controls_Raw!G794="UK"),"Standardize","OK")</f>
        <v>OK</v>
      </c>
      <c r="F794" t="str">
        <f>IF(Controls_Raw!E794&lt;&gt;TRIM(Controls_Raw!E794),"Trim","OK")</f>
        <v>OK</v>
      </c>
      <c r="G794" t="str">
        <f>IF(AND(Controls_Raw!L794&lt;DATE(2026,9,30),Controls_Raw!M794&lt;&gt;"Completed"),"Overdue","OK")</f>
        <v>OK</v>
      </c>
      <c r="H794" t="str">
        <f>IF(AND(Controls_Raw!Q794&lt;DATE(2026,9,30),Controls_Raw!R794&lt;&gt;"Completed",Controls_Raw!R794&lt;&gt;"Not Required"),"Overdue","OK")</f>
        <v>OK</v>
      </c>
      <c r="I794" t="str">
        <f t="shared" si="12"/>
        <v>Pass</v>
      </c>
    </row>
    <row r="795" spans="1:9" x14ac:dyDescent="0.2">
      <c r="A795" t="str">
        <f>Controls_Raw!A795</f>
        <v>CTRL-0791</v>
      </c>
      <c r="B795" t="str">
        <f>IF(COUNTIF(Controls_Raw!$A$5:$A$1504,A795)&gt;1,"Duplicate","OK")</f>
        <v>OK</v>
      </c>
      <c r="C795" t="str">
        <f>IF(LEN(TRIM(Controls_Raw!I795))=0,"Missing","OK")</f>
        <v>OK</v>
      </c>
      <c r="D795" t="str">
        <f>IF(LEN(TRIM(Controls_Raw!N795))=0,"Missing","OK")</f>
        <v>OK</v>
      </c>
      <c r="E795" t="str">
        <f>IF(OR(Controls_Raw!G795="USA",Controls_Raw!G795="UK"),"Standardize","OK")</f>
        <v>OK</v>
      </c>
      <c r="F795" t="str">
        <f>IF(Controls_Raw!E795&lt;&gt;TRIM(Controls_Raw!E795),"Trim","OK")</f>
        <v>OK</v>
      </c>
      <c r="G795" t="str">
        <f>IF(AND(Controls_Raw!L795&lt;DATE(2026,9,30),Controls_Raw!M795&lt;&gt;"Completed"),"Overdue","OK")</f>
        <v>OK</v>
      </c>
      <c r="H795" t="str">
        <f>IF(AND(Controls_Raw!Q795&lt;DATE(2026,9,30),Controls_Raw!R795&lt;&gt;"Completed",Controls_Raw!R795&lt;&gt;"Not Required"),"Overdue","OK")</f>
        <v>Overdue</v>
      </c>
      <c r="I795" t="str">
        <f t="shared" si="12"/>
        <v>Issue</v>
      </c>
    </row>
    <row r="796" spans="1:9" x14ac:dyDescent="0.2">
      <c r="A796" t="str">
        <f>Controls_Raw!A796</f>
        <v>CTRL-0792</v>
      </c>
      <c r="B796" t="str">
        <f>IF(COUNTIF(Controls_Raw!$A$5:$A$1504,A796)&gt;1,"Duplicate","OK")</f>
        <v>OK</v>
      </c>
      <c r="C796" t="str">
        <f>IF(LEN(TRIM(Controls_Raw!I796))=0,"Missing","OK")</f>
        <v>OK</v>
      </c>
      <c r="D796" t="str">
        <f>IF(LEN(TRIM(Controls_Raw!N796))=0,"Missing","OK")</f>
        <v>OK</v>
      </c>
      <c r="E796" t="str">
        <f>IF(OR(Controls_Raw!G796="USA",Controls_Raw!G796="UK"),"Standardize","OK")</f>
        <v>OK</v>
      </c>
      <c r="F796" t="str">
        <f>IF(Controls_Raw!E796&lt;&gt;TRIM(Controls_Raw!E796),"Trim","OK")</f>
        <v>OK</v>
      </c>
      <c r="G796" t="str">
        <f>IF(AND(Controls_Raw!L796&lt;DATE(2026,9,30),Controls_Raw!M796&lt;&gt;"Completed"),"Overdue","OK")</f>
        <v>Overdue</v>
      </c>
      <c r="H796" t="str">
        <f>IF(AND(Controls_Raw!Q796&lt;DATE(2026,9,30),Controls_Raw!R796&lt;&gt;"Completed",Controls_Raw!R796&lt;&gt;"Not Required"),"Overdue","OK")</f>
        <v>OK</v>
      </c>
      <c r="I796" t="str">
        <f t="shared" si="12"/>
        <v>Issue</v>
      </c>
    </row>
    <row r="797" spans="1:9" x14ac:dyDescent="0.2">
      <c r="A797" t="str">
        <f>Controls_Raw!A797</f>
        <v>CTRL-0793</v>
      </c>
      <c r="B797" t="str">
        <f>IF(COUNTIF(Controls_Raw!$A$5:$A$1504,A797)&gt;1,"Duplicate","OK")</f>
        <v>OK</v>
      </c>
      <c r="C797" t="str">
        <f>IF(LEN(TRIM(Controls_Raw!I797))=0,"Missing","OK")</f>
        <v>OK</v>
      </c>
      <c r="D797" t="str">
        <f>IF(LEN(TRIM(Controls_Raw!N797))=0,"Missing","OK")</f>
        <v>OK</v>
      </c>
      <c r="E797" t="str">
        <f>IF(OR(Controls_Raw!G797="USA",Controls_Raw!G797="UK"),"Standardize","OK")</f>
        <v>OK</v>
      </c>
      <c r="F797" t="str">
        <f>IF(Controls_Raw!E797&lt;&gt;TRIM(Controls_Raw!E797),"Trim","OK")</f>
        <v>OK</v>
      </c>
      <c r="G797" t="str">
        <f>IF(AND(Controls_Raw!L797&lt;DATE(2026,9,30),Controls_Raw!M797&lt;&gt;"Completed"),"Overdue","OK")</f>
        <v>OK</v>
      </c>
      <c r="H797" t="str">
        <f>IF(AND(Controls_Raw!Q797&lt;DATE(2026,9,30),Controls_Raw!R797&lt;&gt;"Completed",Controls_Raw!R797&lt;&gt;"Not Required"),"Overdue","OK")</f>
        <v>OK</v>
      </c>
      <c r="I797" t="str">
        <f t="shared" si="12"/>
        <v>Pass</v>
      </c>
    </row>
    <row r="798" spans="1:9" x14ac:dyDescent="0.2">
      <c r="A798" t="str">
        <f>Controls_Raw!A798</f>
        <v>CTRL-0794</v>
      </c>
      <c r="B798" t="str">
        <f>IF(COUNTIF(Controls_Raw!$A$5:$A$1504,A798)&gt;1,"Duplicate","OK")</f>
        <v>OK</v>
      </c>
      <c r="C798" t="str">
        <f>IF(LEN(TRIM(Controls_Raw!I798))=0,"Missing","OK")</f>
        <v>OK</v>
      </c>
      <c r="D798" t="str">
        <f>IF(LEN(TRIM(Controls_Raw!N798))=0,"Missing","OK")</f>
        <v>OK</v>
      </c>
      <c r="E798" t="str">
        <f>IF(OR(Controls_Raw!G798="USA",Controls_Raw!G798="UK"),"Standardize","OK")</f>
        <v>OK</v>
      </c>
      <c r="F798" t="str">
        <f>IF(Controls_Raw!E798&lt;&gt;TRIM(Controls_Raw!E798),"Trim","OK")</f>
        <v>OK</v>
      </c>
      <c r="G798" t="str">
        <f>IF(AND(Controls_Raw!L798&lt;DATE(2026,9,30),Controls_Raw!M798&lt;&gt;"Completed"),"Overdue","OK")</f>
        <v>Overdue</v>
      </c>
      <c r="H798" t="str">
        <f>IF(AND(Controls_Raw!Q798&lt;DATE(2026,9,30),Controls_Raw!R798&lt;&gt;"Completed",Controls_Raw!R798&lt;&gt;"Not Required"),"Overdue","OK")</f>
        <v>OK</v>
      </c>
      <c r="I798" t="str">
        <f t="shared" si="12"/>
        <v>Issue</v>
      </c>
    </row>
    <row r="799" spans="1:9" x14ac:dyDescent="0.2">
      <c r="A799" t="str">
        <f>Controls_Raw!A799</f>
        <v>CTRL-0795</v>
      </c>
      <c r="B799" t="str">
        <f>IF(COUNTIF(Controls_Raw!$A$5:$A$1504,A799)&gt;1,"Duplicate","OK")</f>
        <v>OK</v>
      </c>
      <c r="C799" t="str">
        <f>IF(LEN(TRIM(Controls_Raw!I799))=0,"Missing","OK")</f>
        <v>OK</v>
      </c>
      <c r="D799" t="str">
        <f>IF(LEN(TRIM(Controls_Raw!N799))=0,"Missing","OK")</f>
        <v>OK</v>
      </c>
      <c r="E799" t="str">
        <f>IF(OR(Controls_Raw!G799="USA",Controls_Raw!G799="UK"),"Standardize","OK")</f>
        <v>OK</v>
      </c>
      <c r="F799" t="str">
        <f>IF(Controls_Raw!E799&lt;&gt;TRIM(Controls_Raw!E799),"Trim","OK")</f>
        <v>OK</v>
      </c>
      <c r="G799" t="str">
        <f>IF(AND(Controls_Raw!L799&lt;DATE(2026,9,30),Controls_Raw!M799&lt;&gt;"Completed"),"Overdue","OK")</f>
        <v>Overdue</v>
      </c>
      <c r="H799" t="str">
        <f>IF(AND(Controls_Raw!Q799&lt;DATE(2026,9,30),Controls_Raw!R799&lt;&gt;"Completed",Controls_Raw!R799&lt;&gt;"Not Required"),"Overdue","OK")</f>
        <v>OK</v>
      </c>
      <c r="I799" t="str">
        <f t="shared" si="12"/>
        <v>Issue</v>
      </c>
    </row>
    <row r="800" spans="1:9" x14ac:dyDescent="0.2">
      <c r="A800" t="str">
        <f>Controls_Raw!A800</f>
        <v>CTRL-0796</v>
      </c>
      <c r="B800" t="str">
        <f>IF(COUNTIF(Controls_Raw!$A$5:$A$1504,A800)&gt;1,"Duplicate","OK")</f>
        <v>OK</v>
      </c>
      <c r="C800" t="str">
        <f>IF(LEN(TRIM(Controls_Raw!I800))=0,"Missing","OK")</f>
        <v>OK</v>
      </c>
      <c r="D800" t="str">
        <f>IF(LEN(TRIM(Controls_Raw!N800))=0,"Missing","OK")</f>
        <v>OK</v>
      </c>
      <c r="E800" t="str">
        <f>IF(OR(Controls_Raw!G800="USA",Controls_Raw!G800="UK"),"Standardize","OK")</f>
        <v>OK</v>
      </c>
      <c r="F800" t="str">
        <f>IF(Controls_Raw!E800&lt;&gt;TRIM(Controls_Raw!E800),"Trim","OK")</f>
        <v>OK</v>
      </c>
      <c r="G800" t="str">
        <f>IF(AND(Controls_Raw!L800&lt;DATE(2026,9,30),Controls_Raw!M800&lt;&gt;"Completed"),"Overdue","OK")</f>
        <v>Overdue</v>
      </c>
      <c r="H800" t="str">
        <f>IF(AND(Controls_Raw!Q800&lt;DATE(2026,9,30),Controls_Raw!R800&lt;&gt;"Completed",Controls_Raw!R800&lt;&gt;"Not Required"),"Overdue","OK")</f>
        <v>OK</v>
      </c>
      <c r="I800" t="str">
        <f t="shared" si="12"/>
        <v>Issue</v>
      </c>
    </row>
    <row r="801" spans="1:9" x14ac:dyDescent="0.2">
      <c r="A801" t="str">
        <f>Controls_Raw!A801</f>
        <v>CTRL-0797</v>
      </c>
      <c r="B801" t="str">
        <f>IF(COUNTIF(Controls_Raw!$A$5:$A$1504,A801)&gt;1,"Duplicate","OK")</f>
        <v>OK</v>
      </c>
      <c r="C801" t="str">
        <f>IF(LEN(TRIM(Controls_Raw!I801))=0,"Missing","OK")</f>
        <v>OK</v>
      </c>
      <c r="D801" t="str">
        <f>IF(LEN(TRIM(Controls_Raw!N801))=0,"Missing","OK")</f>
        <v>OK</v>
      </c>
      <c r="E801" t="str">
        <f>IF(OR(Controls_Raw!G801="USA",Controls_Raw!G801="UK"),"Standardize","OK")</f>
        <v>OK</v>
      </c>
      <c r="F801" t="str">
        <f>IF(Controls_Raw!E801&lt;&gt;TRIM(Controls_Raw!E801),"Trim","OK")</f>
        <v>OK</v>
      </c>
      <c r="G801" t="str">
        <f>IF(AND(Controls_Raw!L801&lt;DATE(2026,9,30),Controls_Raw!M801&lt;&gt;"Completed"),"Overdue","OK")</f>
        <v>OK</v>
      </c>
      <c r="H801" t="str">
        <f>IF(AND(Controls_Raw!Q801&lt;DATE(2026,9,30),Controls_Raw!R801&lt;&gt;"Completed",Controls_Raw!R801&lt;&gt;"Not Required"),"Overdue","OK")</f>
        <v>Overdue</v>
      </c>
      <c r="I801" t="str">
        <f t="shared" si="12"/>
        <v>Issue</v>
      </c>
    </row>
    <row r="802" spans="1:9" x14ac:dyDescent="0.2">
      <c r="A802" t="str">
        <f>Controls_Raw!A802</f>
        <v>CTRL-0798</v>
      </c>
      <c r="B802" t="str">
        <f>IF(COUNTIF(Controls_Raw!$A$5:$A$1504,A802)&gt;1,"Duplicate","OK")</f>
        <v>OK</v>
      </c>
      <c r="C802" t="str">
        <f>IF(LEN(TRIM(Controls_Raw!I802))=0,"Missing","OK")</f>
        <v>OK</v>
      </c>
      <c r="D802" t="str">
        <f>IF(LEN(TRIM(Controls_Raw!N802))=0,"Missing","OK")</f>
        <v>OK</v>
      </c>
      <c r="E802" t="str">
        <f>IF(OR(Controls_Raw!G802="USA",Controls_Raw!G802="UK"),"Standardize","OK")</f>
        <v>OK</v>
      </c>
      <c r="F802" t="str">
        <f>IF(Controls_Raw!E802&lt;&gt;TRIM(Controls_Raw!E802),"Trim","OK")</f>
        <v>OK</v>
      </c>
      <c r="G802" t="str">
        <f>IF(AND(Controls_Raw!L802&lt;DATE(2026,9,30),Controls_Raw!M802&lt;&gt;"Completed"),"Overdue","OK")</f>
        <v>Overdue</v>
      </c>
      <c r="H802" t="str">
        <f>IF(AND(Controls_Raw!Q802&lt;DATE(2026,9,30),Controls_Raw!R802&lt;&gt;"Completed",Controls_Raw!R802&lt;&gt;"Not Required"),"Overdue","OK")</f>
        <v>OK</v>
      </c>
      <c r="I802" t="str">
        <f t="shared" si="12"/>
        <v>Issue</v>
      </c>
    </row>
    <row r="803" spans="1:9" x14ac:dyDescent="0.2">
      <c r="A803" t="str">
        <f>Controls_Raw!A803</f>
        <v>CTRL-0799</v>
      </c>
      <c r="B803" t="str">
        <f>IF(COUNTIF(Controls_Raw!$A$5:$A$1504,A803)&gt;1,"Duplicate","OK")</f>
        <v>OK</v>
      </c>
      <c r="C803" t="str">
        <f>IF(LEN(TRIM(Controls_Raw!I803))=0,"Missing","OK")</f>
        <v>OK</v>
      </c>
      <c r="D803" t="str">
        <f>IF(LEN(TRIM(Controls_Raw!N803))=0,"Missing","OK")</f>
        <v>OK</v>
      </c>
      <c r="E803" t="str">
        <f>IF(OR(Controls_Raw!G803="USA",Controls_Raw!G803="UK"),"Standardize","OK")</f>
        <v>OK</v>
      </c>
      <c r="F803" t="str">
        <f>IF(Controls_Raw!E803&lt;&gt;TRIM(Controls_Raw!E803),"Trim","OK")</f>
        <v>OK</v>
      </c>
      <c r="G803" t="str">
        <f>IF(AND(Controls_Raw!L803&lt;DATE(2026,9,30),Controls_Raw!M803&lt;&gt;"Completed"),"Overdue","OK")</f>
        <v>Overdue</v>
      </c>
      <c r="H803" t="str">
        <f>IF(AND(Controls_Raw!Q803&lt;DATE(2026,9,30),Controls_Raw!R803&lt;&gt;"Completed",Controls_Raw!R803&lt;&gt;"Not Required"),"Overdue","OK")</f>
        <v>OK</v>
      </c>
      <c r="I803" t="str">
        <f t="shared" si="12"/>
        <v>Issue</v>
      </c>
    </row>
    <row r="804" spans="1:9" x14ac:dyDescent="0.2">
      <c r="A804" t="str">
        <f>Controls_Raw!A804</f>
        <v>CTRL-0800</v>
      </c>
      <c r="B804" t="str">
        <f>IF(COUNTIF(Controls_Raw!$A$5:$A$1504,A804)&gt;1,"Duplicate","OK")</f>
        <v>OK</v>
      </c>
      <c r="C804" t="str">
        <f>IF(LEN(TRIM(Controls_Raw!I804))=0,"Missing","OK")</f>
        <v>Missing</v>
      </c>
      <c r="D804" t="str">
        <f>IF(LEN(TRIM(Controls_Raw!N804))=0,"Missing","OK")</f>
        <v>OK</v>
      </c>
      <c r="E804" t="str">
        <f>IF(OR(Controls_Raw!G804="USA",Controls_Raw!G804="UK"),"Standardize","OK")</f>
        <v>OK</v>
      </c>
      <c r="F804" t="str">
        <f>IF(Controls_Raw!E804&lt;&gt;TRIM(Controls_Raw!E804),"Trim","OK")</f>
        <v>OK</v>
      </c>
      <c r="G804" t="str">
        <f>IF(AND(Controls_Raw!L804&lt;DATE(2026,9,30),Controls_Raw!M804&lt;&gt;"Completed"),"Overdue","OK")</f>
        <v>OK</v>
      </c>
      <c r="H804" t="str">
        <f>IF(AND(Controls_Raw!Q804&lt;DATE(2026,9,30),Controls_Raw!R804&lt;&gt;"Completed",Controls_Raw!R804&lt;&gt;"Not Required"),"Overdue","OK")</f>
        <v>OK</v>
      </c>
      <c r="I804" t="str">
        <f t="shared" si="12"/>
        <v>Issue</v>
      </c>
    </row>
    <row r="805" spans="1:9" x14ac:dyDescent="0.2">
      <c r="A805" t="str">
        <f>Controls_Raw!A805</f>
        <v>CTRL-0801</v>
      </c>
      <c r="B805" t="str">
        <f>IF(COUNTIF(Controls_Raw!$A$5:$A$1504,A805)&gt;1,"Duplicate","OK")</f>
        <v>OK</v>
      </c>
      <c r="C805" t="str">
        <f>IF(LEN(TRIM(Controls_Raw!I805))=0,"Missing","OK")</f>
        <v>OK</v>
      </c>
      <c r="D805" t="str">
        <f>IF(LEN(TRIM(Controls_Raw!N805))=0,"Missing","OK")</f>
        <v>OK</v>
      </c>
      <c r="E805" t="str">
        <f>IF(OR(Controls_Raw!G805="USA",Controls_Raw!G805="UK"),"Standardize","OK")</f>
        <v>OK</v>
      </c>
      <c r="F805" t="str">
        <f>IF(Controls_Raw!E805&lt;&gt;TRIM(Controls_Raw!E805),"Trim","OK")</f>
        <v>OK</v>
      </c>
      <c r="G805" t="str">
        <f>IF(AND(Controls_Raw!L805&lt;DATE(2026,9,30),Controls_Raw!M805&lt;&gt;"Completed"),"Overdue","OK")</f>
        <v>OK</v>
      </c>
      <c r="H805" t="str">
        <f>IF(AND(Controls_Raw!Q805&lt;DATE(2026,9,30),Controls_Raw!R805&lt;&gt;"Completed",Controls_Raw!R805&lt;&gt;"Not Required"),"Overdue","OK")</f>
        <v>Overdue</v>
      </c>
      <c r="I805" t="str">
        <f t="shared" si="12"/>
        <v>Issue</v>
      </c>
    </row>
    <row r="806" spans="1:9" x14ac:dyDescent="0.2">
      <c r="A806" t="str">
        <f>Controls_Raw!A806</f>
        <v>CTRL-0802</v>
      </c>
      <c r="B806" t="str">
        <f>IF(COUNTIF(Controls_Raw!$A$5:$A$1504,A806)&gt;1,"Duplicate","OK")</f>
        <v>OK</v>
      </c>
      <c r="C806" t="str">
        <f>IF(LEN(TRIM(Controls_Raw!I806))=0,"Missing","OK")</f>
        <v>OK</v>
      </c>
      <c r="D806" t="str">
        <f>IF(LEN(TRIM(Controls_Raw!N806))=0,"Missing","OK")</f>
        <v>OK</v>
      </c>
      <c r="E806" t="str">
        <f>IF(OR(Controls_Raw!G806="USA",Controls_Raw!G806="UK"),"Standardize","OK")</f>
        <v>OK</v>
      </c>
      <c r="F806" t="str">
        <f>IF(Controls_Raw!E806&lt;&gt;TRIM(Controls_Raw!E806),"Trim","OK")</f>
        <v>OK</v>
      </c>
      <c r="G806" t="str">
        <f>IF(AND(Controls_Raw!L806&lt;DATE(2026,9,30),Controls_Raw!M806&lt;&gt;"Completed"),"Overdue","OK")</f>
        <v>OK</v>
      </c>
      <c r="H806" t="str">
        <f>IF(AND(Controls_Raw!Q806&lt;DATE(2026,9,30),Controls_Raw!R806&lt;&gt;"Completed",Controls_Raw!R806&lt;&gt;"Not Required"),"Overdue","OK")</f>
        <v>Overdue</v>
      </c>
      <c r="I806" t="str">
        <f t="shared" si="12"/>
        <v>Issue</v>
      </c>
    </row>
    <row r="807" spans="1:9" x14ac:dyDescent="0.2">
      <c r="A807" t="str">
        <f>Controls_Raw!A807</f>
        <v>CTRL-0803</v>
      </c>
      <c r="B807" t="str">
        <f>IF(COUNTIF(Controls_Raw!$A$5:$A$1504,A807)&gt;1,"Duplicate","OK")</f>
        <v>OK</v>
      </c>
      <c r="C807" t="str">
        <f>IF(LEN(TRIM(Controls_Raw!I807))=0,"Missing","OK")</f>
        <v>OK</v>
      </c>
      <c r="D807" t="str">
        <f>IF(LEN(TRIM(Controls_Raw!N807))=0,"Missing","OK")</f>
        <v>OK</v>
      </c>
      <c r="E807" t="str">
        <f>IF(OR(Controls_Raw!G807="USA",Controls_Raw!G807="UK"),"Standardize","OK")</f>
        <v>OK</v>
      </c>
      <c r="F807" t="str">
        <f>IF(Controls_Raw!E807&lt;&gt;TRIM(Controls_Raw!E807),"Trim","OK")</f>
        <v>OK</v>
      </c>
      <c r="G807" t="str">
        <f>IF(AND(Controls_Raw!L807&lt;DATE(2026,9,30),Controls_Raw!M807&lt;&gt;"Completed"),"Overdue","OK")</f>
        <v>Overdue</v>
      </c>
      <c r="H807" t="str">
        <f>IF(AND(Controls_Raw!Q807&lt;DATE(2026,9,30),Controls_Raw!R807&lt;&gt;"Completed",Controls_Raw!R807&lt;&gt;"Not Required"),"Overdue","OK")</f>
        <v>OK</v>
      </c>
      <c r="I807" t="str">
        <f t="shared" si="12"/>
        <v>Issue</v>
      </c>
    </row>
    <row r="808" spans="1:9" x14ac:dyDescent="0.2">
      <c r="A808" t="str">
        <f>Controls_Raw!A808</f>
        <v>CTRL-0804</v>
      </c>
      <c r="B808" t="str">
        <f>IF(COUNTIF(Controls_Raw!$A$5:$A$1504,A808)&gt;1,"Duplicate","OK")</f>
        <v>OK</v>
      </c>
      <c r="C808" t="str">
        <f>IF(LEN(TRIM(Controls_Raw!I808))=0,"Missing","OK")</f>
        <v>OK</v>
      </c>
      <c r="D808" t="str">
        <f>IF(LEN(TRIM(Controls_Raw!N808))=0,"Missing","OK")</f>
        <v>OK</v>
      </c>
      <c r="E808" t="str">
        <f>IF(OR(Controls_Raw!G808="USA",Controls_Raw!G808="UK"),"Standardize","OK")</f>
        <v>OK</v>
      </c>
      <c r="F808" t="str">
        <f>IF(Controls_Raw!E808&lt;&gt;TRIM(Controls_Raw!E808),"Trim","OK")</f>
        <v>Trim</v>
      </c>
      <c r="G808" t="str">
        <f>IF(AND(Controls_Raw!L808&lt;DATE(2026,9,30),Controls_Raw!M808&lt;&gt;"Completed"),"Overdue","OK")</f>
        <v>Overdue</v>
      </c>
      <c r="H808" t="str">
        <f>IF(AND(Controls_Raw!Q808&lt;DATE(2026,9,30),Controls_Raw!R808&lt;&gt;"Completed",Controls_Raw!R808&lt;&gt;"Not Required"),"Overdue","OK")</f>
        <v>OK</v>
      </c>
      <c r="I808" t="str">
        <f t="shared" si="12"/>
        <v>Issue</v>
      </c>
    </row>
    <row r="809" spans="1:9" x14ac:dyDescent="0.2">
      <c r="A809" t="str">
        <f>Controls_Raw!A809</f>
        <v>CTRL-0805</v>
      </c>
      <c r="B809" t="str">
        <f>IF(COUNTIF(Controls_Raw!$A$5:$A$1504,A809)&gt;1,"Duplicate","OK")</f>
        <v>OK</v>
      </c>
      <c r="C809" t="str">
        <f>IF(LEN(TRIM(Controls_Raw!I809))=0,"Missing","OK")</f>
        <v>OK</v>
      </c>
      <c r="D809" t="str">
        <f>IF(LEN(TRIM(Controls_Raw!N809))=0,"Missing","OK")</f>
        <v>OK</v>
      </c>
      <c r="E809" t="str">
        <f>IF(OR(Controls_Raw!G809="USA",Controls_Raw!G809="UK"),"Standardize","OK")</f>
        <v>OK</v>
      </c>
      <c r="F809" t="str">
        <f>IF(Controls_Raw!E809&lt;&gt;TRIM(Controls_Raw!E809),"Trim","OK")</f>
        <v>OK</v>
      </c>
      <c r="G809" t="str">
        <f>IF(AND(Controls_Raw!L809&lt;DATE(2026,9,30),Controls_Raw!M809&lt;&gt;"Completed"),"Overdue","OK")</f>
        <v>OK</v>
      </c>
      <c r="H809" t="str">
        <f>IF(AND(Controls_Raw!Q809&lt;DATE(2026,9,30),Controls_Raw!R809&lt;&gt;"Completed",Controls_Raw!R809&lt;&gt;"Not Required"),"Overdue","OK")</f>
        <v>OK</v>
      </c>
      <c r="I809" t="str">
        <f t="shared" si="12"/>
        <v>Pass</v>
      </c>
    </row>
    <row r="810" spans="1:9" x14ac:dyDescent="0.2">
      <c r="A810" t="str">
        <f>Controls_Raw!A810</f>
        <v>CTRL-0806</v>
      </c>
      <c r="B810" t="str">
        <f>IF(COUNTIF(Controls_Raw!$A$5:$A$1504,A810)&gt;1,"Duplicate","OK")</f>
        <v>OK</v>
      </c>
      <c r="C810" t="str">
        <f>IF(LEN(TRIM(Controls_Raw!I810))=0,"Missing","OK")</f>
        <v>OK</v>
      </c>
      <c r="D810" t="str">
        <f>IF(LEN(TRIM(Controls_Raw!N810))=0,"Missing","OK")</f>
        <v>OK</v>
      </c>
      <c r="E810" t="str">
        <f>IF(OR(Controls_Raw!G810="USA",Controls_Raw!G810="UK"),"Standardize","OK")</f>
        <v>OK</v>
      </c>
      <c r="F810" t="str">
        <f>IF(Controls_Raw!E810&lt;&gt;TRIM(Controls_Raw!E810),"Trim","OK")</f>
        <v>OK</v>
      </c>
      <c r="G810" t="str">
        <f>IF(AND(Controls_Raw!L810&lt;DATE(2026,9,30),Controls_Raw!M810&lt;&gt;"Completed"),"Overdue","OK")</f>
        <v>Overdue</v>
      </c>
      <c r="H810" t="str">
        <f>IF(AND(Controls_Raw!Q810&lt;DATE(2026,9,30),Controls_Raw!R810&lt;&gt;"Completed",Controls_Raw!R810&lt;&gt;"Not Required"),"Overdue","OK")</f>
        <v>OK</v>
      </c>
      <c r="I810" t="str">
        <f t="shared" si="12"/>
        <v>Issue</v>
      </c>
    </row>
    <row r="811" spans="1:9" x14ac:dyDescent="0.2">
      <c r="A811" t="str">
        <f>Controls_Raw!A811</f>
        <v>CTRL-0807</v>
      </c>
      <c r="B811" t="str">
        <f>IF(COUNTIF(Controls_Raw!$A$5:$A$1504,A811)&gt;1,"Duplicate","OK")</f>
        <v>OK</v>
      </c>
      <c r="C811" t="str">
        <f>IF(LEN(TRIM(Controls_Raw!I811))=0,"Missing","OK")</f>
        <v>OK</v>
      </c>
      <c r="D811" t="str">
        <f>IF(LEN(TRIM(Controls_Raw!N811))=0,"Missing","OK")</f>
        <v>OK</v>
      </c>
      <c r="E811" t="str">
        <f>IF(OR(Controls_Raw!G811="USA",Controls_Raw!G811="UK"),"Standardize","OK")</f>
        <v>OK</v>
      </c>
      <c r="F811" t="str">
        <f>IF(Controls_Raw!E811&lt;&gt;TRIM(Controls_Raw!E811),"Trim","OK")</f>
        <v>OK</v>
      </c>
      <c r="G811" t="str">
        <f>IF(AND(Controls_Raw!L811&lt;DATE(2026,9,30),Controls_Raw!M811&lt;&gt;"Completed"),"Overdue","OK")</f>
        <v>OK</v>
      </c>
      <c r="H811" t="str">
        <f>IF(AND(Controls_Raw!Q811&lt;DATE(2026,9,30),Controls_Raw!R811&lt;&gt;"Completed",Controls_Raw!R811&lt;&gt;"Not Required"),"Overdue","OK")</f>
        <v>Overdue</v>
      </c>
      <c r="I811" t="str">
        <f t="shared" si="12"/>
        <v>Issue</v>
      </c>
    </row>
    <row r="812" spans="1:9" x14ac:dyDescent="0.2">
      <c r="A812" t="str">
        <f>Controls_Raw!A812</f>
        <v>CTRL-0808</v>
      </c>
      <c r="B812" t="str">
        <f>IF(COUNTIF(Controls_Raw!$A$5:$A$1504,A812)&gt;1,"Duplicate","OK")</f>
        <v>OK</v>
      </c>
      <c r="C812" t="str">
        <f>IF(LEN(TRIM(Controls_Raw!I812))=0,"Missing","OK")</f>
        <v>OK</v>
      </c>
      <c r="D812" t="str">
        <f>IF(LEN(TRIM(Controls_Raw!N812))=0,"Missing","OK")</f>
        <v>OK</v>
      </c>
      <c r="E812" t="str">
        <f>IF(OR(Controls_Raw!G812="USA",Controls_Raw!G812="UK"),"Standardize","OK")</f>
        <v>OK</v>
      </c>
      <c r="F812" t="str">
        <f>IF(Controls_Raw!E812&lt;&gt;TRIM(Controls_Raw!E812),"Trim","OK")</f>
        <v>OK</v>
      </c>
      <c r="G812" t="str">
        <f>IF(AND(Controls_Raw!L812&lt;DATE(2026,9,30),Controls_Raw!M812&lt;&gt;"Completed"),"Overdue","OK")</f>
        <v>Overdue</v>
      </c>
      <c r="H812" t="str">
        <f>IF(AND(Controls_Raw!Q812&lt;DATE(2026,9,30),Controls_Raw!R812&lt;&gt;"Completed",Controls_Raw!R812&lt;&gt;"Not Required"),"Overdue","OK")</f>
        <v>Overdue</v>
      </c>
      <c r="I812" t="str">
        <f t="shared" si="12"/>
        <v>Issue</v>
      </c>
    </row>
    <row r="813" spans="1:9" x14ac:dyDescent="0.2">
      <c r="A813" t="str">
        <f>Controls_Raw!A813</f>
        <v>CTRL-0809</v>
      </c>
      <c r="B813" t="str">
        <f>IF(COUNTIF(Controls_Raw!$A$5:$A$1504,A813)&gt;1,"Duplicate","OK")</f>
        <v>OK</v>
      </c>
      <c r="C813" t="str">
        <f>IF(LEN(TRIM(Controls_Raw!I813))=0,"Missing","OK")</f>
        <v>OK</v>
      </c>
      <c r="D813" t="str">
        <f>IF(LEN(TRIM(Controls_Raw!N813))=0,"Missing","OK")</f>
        <v>OK</v>
      </c>
      <c r="E813" t="str">
        <f>IF(OR(Controls_Raw!G813="USA",Controls_Raw!G813="UK"),"Standardize","OK")</f>
        <v>OK</v>
      </c>
      <c r="F813" t="str">
        <f>IF(Controls_Raw!E813&lt;&gt;TRIM(Controls_Raw!E813),"Trim","OK")</f>
        <v>OK</v>
      </c>
      <c r="G813" t="str">
        <f>IF(AND(Controls_Raw!L813&lt;DATE(2026,9,30),Controls_Raw!M813&lt;&gt;"Completed"),"Overdue","OK")</f>
        <v>Overdue</v>
      </c>
      <c r="H813" t="str">
        <f>IF(AND(Controls_Raw!Q813&lt;DATE(2026,9,30),Controls_Raw!R813&lt;&gt;"Completed",Controls_Raw!R813&lt;&gt;"Not Required"),"Overdue","OK")</f>
        <v>OK</v>
      </c>
      <c r="I813" t="str">
        <f t="shared" si="12"/>
        <v>Issue</v>
      </c>
    </row>
    <row r="814" spans="1:9" x14ac:dyDescent="0.2">
      <c r="A814" t="str">
        <f>Controls_Raw!A814</f>
        <v>CTRL-0810</v>
      </c>
      <c r="B814" t="str">
        <f>IF(COUNTIF(Controls_Raw!$A$5:$A$1504,A814)&gt;1,"Duplicate","OK")</f>
        <v>OK</v>
      </c>
      <c r="C814" t="str">
        <f>IF(LEN(TRIM(Controls_Raw!I814))=0,"Missing","OK")</f>
        <v>OK</v>
      </c>
      <c r="D814" t="str">
        <f>IF(LEN(TRIM(Controls_Raw!N814))=0,"Missing","OK")</f>
        <v>OK</v>
      </c>
      <c r="E814" t="str">
        <f>IF(OR(Controls_Raw!G814="USA",Controls_Raw!G814="UK"),"Standardize","OK")</f>
        <v>OK</v>
      </c>
      <c r="F814" t="str">
        <f>IF(Controls_Raw!E814&lt;&gt;TRIM(Controls_Raw!E814),"Trim","OK")</f>
        <v>OK</v>
      </c>
      <c r="G814" t="str">
        <f>IF(AND(Controls_Raw!L814&lt;DATE(2026,9,30),Controls_Raw!M814&lt;&gt;"Completed"),"Overdue","OK")</f>
        <v>Overdue</v>
      </c>
      <c r="H814" t="str">
        <f>IF(AND(Controls_Raw!Q814&lt;DATE(2026,9,30),Controls_Raw!R814&lt;&gt;"Completed",Controls_Raw!R814&lt;&gt;"Not Required"),"Overdue","OK")</f>
        <v>OK</v>
      </c>
      <c r="I814" t="str">
        <f t="shared" si="12"/>
        <v>Issue</v>
      </c>
    </row>
    <row r="815" spans="1:9" x14ac:dyDescent="0.2">
      <c r="A815" t="str">
        <f>Controls_Raw!A815</f>
        <v>CTRL-0811</v>
      </c>
      <c r="B815" t="str">
        <f>IF(COUNTIF(Controls_Raw!$A$5:$A$1504,A815)&gt;1,"Duplicate","OK")</f>
        <v>OK</v>
      </c>
      <c r="C815" t="str">
        <f>IF(LEN(TRIM(Controls_Raw!I815))=0,"Missing","OK")</f>
        <v>OK</v>
      </c>
      <c r="D815" t="str">
        <f>IF(LEN(TRIM(Controls_Raw!N815))=0,"Missing","OK")</f>
        <v>OK</v>
      </c>
      <c r="E815" t="str">
        <f>IF(OR(Controls_Raw!G815="USA",Controls_Raw!G815="UK"),"Standardize","OK")</f>
        <v>OK</v>
      </c>
      <c r="F815" t="str">
        <f>IF(Controls_Raw!E815&lt;&gt;TRIM(Controls_Raw!E815),"Trim","OK")</f>
        <v>OK</v>
      </c>
      <c r="G815" t="str">
        <f>IF(AND(Controls_Raw!L815&lt;DATE(2026,9,30),Controls_Raw!M815&lt;&gt;"Completed"),"Overdue","OK")</f>
        <v>Overdue</v>
      </c>
      <c r="H815" t="str">
        <f>IF(AND(Controls_Raw!Q815&lt;DATE(2026,9,30),Controls_Raw!R815&lt;&gt;"Completed",Controls_Raw!R815&lt;&gt;"Not Required"),"Overdue","OK")</f>
        <v>OK</v>
      </c>
      <c r="I815" t="str">
        <f t="shared" si="12"/>
        <v>Issue</v>
      </c>
    </row>
    <row r="816" spans="1:9" x14ac:dyDescent="0.2">
      <c r="A816" t="str">
        <f>Controls_Raw!A816</f>
        <v>CTRL-0812</v>
      </c>
      <c r="B816" t="str">
        <f>IF(COUNTIF(Controls_Raw!$A$5:$A$1504,A816)&gt;1,"Duplicate","OK")</f>
        <v>OK</v>
      </c>
      <c r="C816" t="str">
        <f>IF(LEN(TRIM(Controls_Raw!I816))=0,"Missing","OK")</f>
        <v>OK</v>
      </c>
      <c r="D816" t="str">
        <f>IF(LEN(TRIM(Controls_Raw!N816))=0,"Missing","OK")</f>
        <v>OK</v>
      </c>
      <c r="E816" t="str">
        <f>IF(OR(Controls_Raw!G816="USA",Controls_Raw!G816="UK"),"Standardize","OK")</f>
        <v>OK</v>
      </c>
      <c r="F816" t="str">
        <f>IF(Controls_Raw!E816&lt;&gt;TRIM(Controls_Raw!E816),"Trim","OK")</f>
        <v>OK</v>
      </c>
      <c r="G816" t="str">
        <f>IF(AND(Controls_Raw!L816&lt;DATE(2026,9,30),Controls_Raw!M816&lt;&gt;"Completed"),"Overdue","OK")</f>
        <v>Overdue</v>
      </c>
      <c r="H816" t="str">
        <f>IF(AND(Controls_Raw!Q816&lt;DATE(2026,9,30),Controls_Raw!R816&lt;&gt;"Completed",Controls_Raw!R816&lt;&gt;"Not Required"),"Overdue","OK")</f>
        <v>OK</v>
      </c>
      <c r="I816" t="str">
        <f t="shared" si="12"/>
        <v>Issue</v>
      </c>
    </row>
    <row r="817" spans="1:9" x14ac:dyDescent="0.2">
      <c r="A817" t="str">
        <f>Controls_Raw!A817</f>
        <v>CTRL-0813</v>
      </c>
      <c r="B817" t="str">
        <f>IF(COUNTIF(Controls_Raw!$A$5:$A$1504,A817)&gt;1,"Duplicate","OK")</f>
        <v>OK</v>
      </c>
      <c r="C817" t="str">
        <f>IF(LEN(TRIM(Controls_Raw!I817))=0,"Missing","OK")</f>
        <v>OK</v>
      </c>
      <c r="D817" t="str">
        <f>IF(LEN(TRIM(Controls_Raw!N817))=0,"Missing","OK")</f>
        <v>OK</v>
      </c>
      <c r="E817" t="str">
        <f>IF(OR(Controls_Raw!G817="USA",Controls_Raw!G817="UK"),"Standardize","OK")</f>
        <v>OK</v>
      </c>
      <c r="F817" t="str">
        <f>IF(Controls_Raw!E817&lt;&gt;TRIM(Controls_Raw!E817),"Trim","OK")</f>
        <v>OK</v>
      </c>
      <c r="G817" t="str">
        <f>IF(AND(Controls_Raw!L817&lt;DATE(2026,9,30),Controls_Raw!M817&lt;&gt;"Completed"),"Overdue","OK")</f>
        <v>OK</v>
      </c>
      <c r="H817" t="str">
        <f>IF(AND(Controls_Raw!Q817&lt;DATE(2026,9,30),Controls_Raw!R817&lt;&gt;"Completed",Controls_Raw!R817&lt;&gt;"Not Required"),"Overdue","OK")</f>
        <v>OK</v>
      </c>
      <c r="I817" t="str">
        <f t="shared" si="12"/>
        <v>Pass</v>
      </c>
    </row>
    <row r="818" spans="1:9" x14ac:dyDescent="0.2">
      <c r="A818" t="str">
        <f>Controls_Raw!A818</f>
        <v>CTRL-0814</v>
      </c>
      <c r="B818" t="str">
        <f>IF(COUNTIF(Controls_Raw!$A$5:$A$1504,A818)&gt;1,"Duplicate","OK")</f>
        <v>OK</v>
      </c>
      <c r="C818" t="str">
        <f>IF(LEN(TRIM(Controls_Raw!I818))=0,"Missing","OK")</f>
        <v>OK</v>
      </c>
      <c r="D818" t="str">
        <f>IF(LEN(TRIM(Controls_Raw!N818))=0,"Missing","OK")</f>
        <v>OK</v>
      </c>
      <c r="E818" t="str">
        <f>IF(OR(Controls_Raw!G818="USA",Controls_Raw!G818="UK"),"Standardize","OK")</f>
        <v>OK</v>
      </c>
      <c r="F818" t="str">
        <f>IF(Controls_Raw!E818&lt;&gt;TRIM(Controls_Raw!E818),"Trim","OK")</f>
        <v>OK</v>
      </c>
      <c r="G818" t="str">
        <f>IF(AND(Controls_Raw!L818&lt;DATE(2026,9,30),Controls_Raw!M818&lt;&gt;"Completed"),"Overdue","OK")</f>
        <v>Overdue</v>
      </c>
      <c r="H818" t="str">
        <f>IF(AND(Controls_Raw!Q818&lt;DATE(2026,9,30),Controls_Raw!R818&lt;&gt;"Completed",Controls_Raw!R818&lt;&gt;"Not Required"),"Overdue","OK")</f>
        <v>OK</v>
      </c>
      <c r="I818" t="str">
        <f t="shared" si="12"/>
        <v>Issue</v>
      </c>
    </row>
    <row r="819" spans="1:9" x14ac:dyDescent="0.2">
      <c r="A819" t="str">
        <f>Controls_Raw!A819</f>
        <v>CTRL-0815</v>
      </c>
      <c r="B819" t="str">
        <f>IF(COUNTIF(Controls_Raw!$A$5:$A$1504,A819)&gt;1,"Duplicate","OK")</f>
        <v>OK</v>
      </c>
      <c r="C819" t="str">
        <f>IF(LEN(TRIM(Controls_Raw!I819))=0,"Missing","OK")</f>
        <v>OK</v>
      </c>
      <c r="D819" t="str">
        <f>IF(LEN(TRIM(Controls_Raw!N819))=0,"Missing","OK")</f>
        <v>OK</v>
      </c>
      <c r="E819" t="str">
        <f>IF(OR(Controls_Raw!G819="USA",Controls_Raw!G819="UK"),"Standardize","OK")</f>
        <v>OK</v>
      </c>
      <c r="F819" t="str">
        <f>IF(Controls_Raw!E819&lt;&gt;TRIM(Controls_Raw!E819),"Trim","OK")</f>
        <v>OK</v>
      </c>
      <c r="G819" t="str">
        <f>IF(AND(Controls_Raw!L819&lt;DATE(2026,9,30),Controls_Raw!M819&lt;&gt;"Completed"),"Overdue","OK")</f>
        <v>Overdue</v>
      </c>
      <c r="H819" t="str">
        <f>IF(AND(Controls_Raw!Q819&lt;DATE(2026,9,30),Controls_Raw!R819&lt;&gt;"Completed",Controls_Raw!R819&lt;&gt;"Not Required"),"Overdue","OK")</f>
        <v>Overdue</v>
      </c>
      <c r="I819" t="str">
        <f t="shared" si="12"/>
        <v>Issue</v>
      </c>
    </row>
    <row r="820" spans="1:9" x14ac:dyDescent="0.2">
      <c r="A820" t="str">
        <f>Controls_Raw!A820</f>
        <v>CTRL-0816</v>
      </c>
      <c r="B820" t="str">
        <f>IF(COUNTIF(Controls_Raw!$A$5:$A$1504,A820)&gt;1,"Duplicate","OK")</f>
        <v>OK</v>
      </c>
      <c r="C820" t="str">
        <f>IF(LEN(TRIM(Controls_Raw!I820))=0,"Missing","OK")</f>
        <v>OK</v>
      </c>
      <c r="D820" t="str">
        <f>IF(LEN(TRIM(Controls_Raw!N820))=0,"Missing","OK")</f>
        <v>OK</v>
      </c>
      <c r="E820" t="str">
        <f>IF(OR(Controls_Raw!G820="USA",Controls_Raw!G820="UK"),"Standardize","OK")</f>
        <v>OK</v>
      </c>
      <c r="F820" t="str">
        <f>IF(Controls_Raw!E820&lt;&gt;TRIM(Controls_Raw!E820),"Trim","OK")</f>
        <v>OK</v>
      </c>
      <c r="G820" t="str">
        <f>IF(AND(Controls_Raw!L820&lt;DATE(2026,9,30),Controls_Raw!M820&lt;&gt;"Completed"),"Overdue","OK")</f>
        <v>OK</v>
      </c>
      <c r="H820" t="str">
        <f>IF(AND(Controls_Raw!Q820&lt;DATE(2026,9,30),Controls_Raw!R820&lt;&gt;"Completed",Controls_Raw!R820&lt;&gt;"Not Required"),"Overdue","OK")</f>
        <v>OK</v>
      </c>
      <c r="I820" t="str">
        <f t="shared" si="12"/>
        <v>Pass</v>
      </c>
    </row>
    <row r="821" spans="1:9" x14ac:dyDescent="0.2">
      <c r="A821" t="str">
        <f>Controls_Raw!A821</f>
        <v>CTRL-0817</v>
      </c>
      <c r="B821" t="str">
        <f>IF(COUNTIF(Controls_Raw!$A$5:$A$1504,A821)&gt;1,"Duplicate","OK")</f>
        <v>OK</v>
      </c>
      <c r="C821" t="str">
        <f>IF(LEN(TRIM(Controls_Raw!I821))=0,"Missing","OK")</f>
        <v>OK</v>
      </c>
      <c r="D821" t="str">
        <f>IF(LEN(TRIM(Controls_Raw!N821))=0,"Missing","OK")</f>
        <v>OK</v>
      </c>
      <c r="E821" t="str">
        <f>IF(OR(Controls_Raw!G821="USA",Controls_Raw!G821="UK"),"Standardize","OK")</f>
        <v>OK</v>
      </c>
      <c r="F821" t="str">
        <f>IF(Controls_Raw!E821&lt;&gt;TRIM(Controls_Raw!E821),"Trim","OK")</f>
        <v>OK</v>
      </c>
      <c r="G821" t="str">
        <f>IF(AND(Controls_Raw!L821&lt;DATE(2026,9,30),Controls_Raw!M821&lt;&gt;"Completed"),"Overdue","OK")</f>
        <v>Overdue</v>
      </c>
      <c r="H821" t="str">
        <f>IF(AND(Controls_Raw!Q821&lt;DATE(2026,9,30),Controls_Raw!R821&lt;&gt;"Completed",Controls_Raw!R821&lt;&gt;"Not Required"),"Overdue","OK")</f>
        <v>Overdue</v>
      </c>
      <c r="I821" t="str">
        <f t="shared" si="12"/>
        <v>Issue</v>
      </c>
    </row>
    <row r="822" spans="1:9" x14ac:dyDescent="0.2">
      <c r="A822" t="str">
        <f>Controls_Raw!A822</f>
        <v>CTRL-0818</v>
      </c>
      <c r="B822" t="str">
        <f>IF(COUNTIF(Controls_Raw!$A$5:$A$1504,A822)&gt;1,"Duplicate","OK")</f>
        <v>OK</v>
      </c>
      <c r="C822" t="str">
        <f>IF(LEN(TRIM(Controls_Raw!I822))=0,"Missing","OK")</f>
        <v>OK</v>
      </c>
      <c r="D822" t="str">
        <f>IF(LEN(TRIM(Controls_Raw!N822))=0,"Missing","OK")</f>
        <v>OK</v>
      </c>
      <c r="E822" t="str">
        <f>IF(OR(Controls_Raw!G822="USA",Controls_Raw!G822="UK"),"Standardize","OK")</f>
        <v>OK</v>
      </c>
      <c r="F822" t="str">
        <f>IF(Controls_Raw!E822&lt;&gt;TRIM(Controls_Raw!E822),"Trim","OK")</f>
        <v>OK</v>
      </c>
      <c r="G822" t="str">
        <f>IF(AND(Controls_Raw!L822&lt;DATE(2026,9,30),Controls_Raw!M822&lt;&gt;"Completed"),"Overdue","OK")</f>
        <v>Overdue</v>
      </c>
      <c r="H822" t="str">
        <f>IF(AND(Controls_Raw!Q822&lt;DATE(2026,9,30),Controls_Raw!R822&lt;&gt;"Completed",Controls_Raw!R822&lt;&gt;"Not Required"),"Overdue","OK")</f>
        <v>OK</v>
      </c>
      <c r="I822" t="str">
        <f t="shared" si="12"/>
        <v>Issue</v>
      </c>
    </row>
    <row r="823" spans="1:9" x14ac:dyDescent="0.2">
      <c r="A823" t="str">
        <f>Controls_Raw!A823</f>
        <v>CTRL-0819</v>
      </c>
      <c r="B823" t="str">
        <f>IF(COUNTIF(Controls_Raw!$A$5:$A$1504,A823)&gt;1,"Duplicate","OK")</f>
        <v>OK</v>
      </c>
      <c r="C823" t="str">
        <f>IF(LEN(TRIM(Controls_Raw!I823))=0,"Missing","OK")</f>
        <v>OK</v>
      </c>
      <c r="D823" t="str">
        <f>IF(LEN(TRIM(Controls_Raw!N823))=0,"Missing","OK")</f>
        <v>OK</v>
      </c>
      <c r="E823" t="str">
        <f>IF(OR(Controls_Raw!G823="USA",Controls_Raw!G823="UK"),"Standardize","OK")</f>
        <v>OK</v>
      </c>
      <c r="F823" t="str">
        <f>IF(Controls_Raw!E823&lt;&gt;TRIM(Controls_Raw!E823),"Trim","OK")</f>
        <v>OK</v>
      </c>
      <c r="G823" t="str">
        <f>IF(AND(Controls_Raw!L823&lt;DATE(2026,9,30),Controls_Raw!M823&lt;&gt;"Completed"),"Overdue","OK")</f>
        <v>OK</v>
      </c>
      <c r="H823" t="str">
        <f>IF(AND(Controls_Raw!Q823&lt;DATE(2026,9,30),Controls_Raw!R823&lt;&gt;"Completed",Controls_Raw!R823&lt;&gt;"Not Required"),"Overdue","OK")</f>
        <v>OK</v>
      </c>
      <c r="I823" t="str">
        <f t="shared" si="12"/>
        <v>Pass</v>
      </c>
    </row>
    <row r="824" spans="1:9" x14ac:dyDescent="0.2">
      <c r="A824" t="str">
        <f>Controls_Raw!A824</f>
        <v>CTRL-0820</v>
      </c>
      <c r="B824" t="str">
        <f>IF(COUNTIF(Controls_Raw!$A$5:$A$1504,A824)&gt;1,"Duplicate","OK")</f>
        <v>OK</v>
      </c>
      <c r="C824" t="str">
        <f>IF(LEN(TRIM(Controls_Raw!I824))=0,"Missing","OK")</f>
        <v>OK</v>
      </c>
      <c r="D824" t="str">
        <f>IF(LEN(TRIM(Controls_Raw!N824))=0,"Missing","OK")</f>
        <v>OK</v>
      </c>
      <c r="E824" t="str">
        <f>IF(OR(Controls_Raw!G824="USA",Controls_Raw!G824="UK"),"Standardize","OK")</f>
        <v>OK</v>
      </c>
      <c r="F824" t="str">
        <f>IF(Controls_Raw!E824&lt;&gt;TRIM(Controls_Raw!E824),"Trim","OK")</f>
        <v>OK</v>
      </c>
      <c r="G824" t="str">
        <f>IF(AND(Controls_Raw!L824&lt;DATE(2026,9,30),Controls_Raw!M824&lt;&gt;"Completed"),"Overdue","OK")</f>
        <v>Overdue</v>
      </c>
      <c r="H824" t="str">
        <f>IF(AND(Controls_Raw!Q824&lt;DATE(2026,9,30),Controls_Raw!R824&lt;&gt;"Completed",Controls_Raw!R824&lt;&gt;"Not Required"),"Overdue","OK")</f>
        <v>OK</v>
      </c>
      <c r="I824" t="str">
        <f t="shared" si="12"/>
        <v>Issue</v>
      </c>
    </row>
    <row r="825" spans="1:9" x14ac:dyDescent="0.2">
      <c r="A825" t="str">
        <f>Controls_Raw!A825</f>
        <v>CTRL-0821</v>
      </c>
      <c r="B825" t="str">
        <f>IF(COUNTIF(Controls_Raw!$A$5:$A$1504,A825)&gt;1,"Duplicate","OK")</f>
        <v>OK</v>
      </c>
      <c r="C825" t="str">
        <f>IF(LEN(TRIM(Controls_Raw!I825))=0,"Missing","OK")</f>
        <v>OK</v>
      </c>
      <c r="D825" t="str">
        <f>IF(LEN(TRIM(Controls_Raw!N825))=0,"Missing","OK")</f>
        <v>OK</v>
      </c>
      <c r="E825" t="str">
        <f>IF(OR(Controls_Raw!G825="USA",Controls_Raw!G825="UK"),"Standardize","OK")</f>
        <v>OK</v>
      </c>
      <c r="F825" t="str">
        <f>IF(Controls_Raw!E825&lt;&gt;TRIM(Controls_Raw!E825),"Trim","OK")</f>
        <v>OK</v>
      </c>
      <c r="G825" t="str">
        <f>IF(AND(Controls_Raw!L825&lt;DATE(2026,9,30),Controls_Raw!M825&lt;&gt;"Completed"),"Overdue","OK")</f>
        <v>Overdue</v>
      </c>
      <c r="H825" t="str">
        <f>IF(AND(Controls_Raw!Q825&lt;DATE(2026,9,30),Controls_Raw!R825&lt;&gt;"Completed",Controls_Raw!R825&lt;&gt;"Not Required"),"Overdue","OK")</f>
        <v>OK</v>
      </c>
      <c r="I825" t="str">
        <f t="shared" si="12"/>
        <v>Issue</v>
      </c>
    </row>
    <row r="826" spans="1:9" x14ac:dyDescent="0.2">
      <c r="A826" t="str">
        <f>Controls_Raw!A826</f>
        <v>CTRL-0822</v>
      </c>
      <c r="B826" t="str">
        <f>IF(COUNTIF(Controls_Raw!$A$5:$A$1504,A826)&gt;1,"Duplicate","OK")</f>
        <v>OK</v>
      </c>
      <c r="C826" t="str">
        <f>IF(LEN(TRIM(Controls_Raw!I826))=0,"Missing","OK")</f>
        <v>OK</v>
      </c>
      <c r="D826" t="str">
        <f>IF(LEN(TRIM(Controls_Raw!N826))=0,"Missing","OK")</f>
        <v>OK</v>
      </c>
      <c r="E826" t="str">
        <f>IF(OR(Controls_Raw!G826="USA",Controls_Raw!G826="UK"),"Standardize","OK")</f>
        <v>OK</v>
      </c>
      <c r="F826" t="str">
        <f>IF(Controls_Raw!E826&lt;&gt;TRIM(Controls_Raw!E826),"Trim","OK")</f>
        <v>OK</v>
      </c>
      <c r="G826" t="str">
        <f>IF(AND(Controls_Raw!L826&lt;DATE(2026,9,30),Controls_Raw!M826&lt;&gt;"Completed"),"Overdue","OK")</f>
        <v>Overdue</v>
      </c>
      <c r="H826" t="str">
        <f>IF(AND(Controls_Raw!Q826&lt;DATE(2026,9,30),Controls_Raw!R826&lt;&gt;"Completed",Controls_Raw!R826&lt;&gt;"Not Required"),"Overdue","OK")</f>
        <v>OK</v>
      </c>
      <c r="I826" t="str">
        <f t="shared" si="12"/>
        <v>Issue</v>
      </c>
    </row>
    <row r="827" spans="1:9" x14ac:dyDescent="0.2">
      <c r="A827" t="str">
        <f>Controls_Raw!A827</f>
        <v>CTRL-0823</v>
      </c>
      <c r="B827" t="str">
        <f>IF(COUNTIF(Controls_Raw!$A$5:$A$1504,A827)&gt;1,"Duplicate","OK")</f>
        <v>OK</v>
      </c>
      <c r="C827" t="str">
        <f>IF(LEN(TRIM(Controls_Raw!I827))=0,"Missing","OK")</f>
        <v>OK</v>
      </c>
      <c r="D827" t="str">
        <f>IF(LEN(TRIM(Controls_Raw!N827))=0,"Missing","OK")</f>
        <v>OK</v>
      </c>
      <c r="E827" t="str">
        <f>IF(OR(Controls_Raw!G827="USA",Controls_Raw!G827="UK"),"Standardize","OK")</f>
        <v>OK</v>
      </c>
      <c r="F827" t="str">
        <f>IF(Controls_Raw!E827&lt;&gt;TRIM(Controls_Raw!E827),"Trim","OK")</f>
        <v>OK</v>
      </c>
      <c r="G827" t="str">
        <f>IF(AND(Controls_Raw!L827&lt;DATE(2026,9,30),Controls_Raw!M827&lt;&gt;"Completed"),"Overdue","OK")</f>
        <v>Overdue</v>
      </c>
      <c r="H827" t="str">
        <f>IF(AND(Controls_Raw!Q827&lt;DATE(2026,9,30),Controls_Raw!R827&lt;&gt;"Completed",Controls_Raw!R827&lt;&gt;"Not Required"),"Overdue","OK")</f>
        <v>Overdue</v>
      </c>
      <c r="I827" t="str">
        <f t="shared" si="12"/>
        <v>Issue</v>
      </c>
    </row>
    <row r="828" spans="1:9" x14ac:dyDescent="0.2">
      <c r="A828" t="str">
        <f>Controls_Raw!A828</f>
        <v>CTRL-0824</v>
      </c>
      <c r="B828" t="str">
        <f>IF(COUNTIF(Controls_Raw!$A$5:$A$1504,A828)&gt;1,"Duplicate","OK")</f>
        <v>OK</v>
      </c>
      <c r="C828" t="str">
        <f>IF(LEN(TRIM(Controls_Raw!I828))=0,"Missing","OK")</f>
        <v>OK</v>
      </c>
      <c r="D828" t="str">
        <f>IF(LEN(TRIM(Controls_Raw!N828))=0,"Missing","OK")</f>
        <v>OK</v>
      </c>
      <c r="E828" t="str">
        <f>IF(OR(Controls_Raw!G828="USA",Controls_Raw!G828="UK"),"Standardize","OK")</f>
        <v>OK</v>
      </c>
      <c r="F828" t="str">
        <f>IF(Controls_Raw!E828&lt;&gt;TRIM(Controls_Raw!E828),"Trim","OK")</f>
        <v>OK</v>
      </c>
      <c r="G828" t="str">
        <f>IF(AND(Controls_Raw!L828&lt;DATE(2026,9,30),Controls_Raw!M828&lt;&gt;"Completed"),"Overdue","OK")</f>
        <v>Overdue</v>
      </c>
      <c r="H828" t="str">
        <f>IF(AND(Controls_Raw!Q828&lt;DATE(2026,9,30),Controls_Raw!R828&lt;&gt;"Completed",Controls_Raw!R828&lt;&gt;"Not Required"),"Overdue","OK")</f>
        <v>OK</v>
      </c>
      <c r="I828" t="str">
        <f t="shared" si="12"/>
        <v>Issue</v>
      </c>
    </row>
    <row r="829" spans="1:9" x14ac:dyDescent="0.2">
      <c r="A829" t="str">
        <f>Controls_Raw!A829</f>
        <v>CTRL-0825</v>
      </c>
      <c r="B829" t="str">
        <f>IF(COUNTIF(Controls_Raw!$A$5:$A$1504,A829)&gt;1,"Duplicate","OK")</f>
        <v>OK</v>
      </c>
      <c r="C829" t="str">
        <f>IF(LEN(TRIM(Controls_Raw!I829))=0,"Missing","OK")</f>
        <v>OK</v>
      </c>
      <c r="D829" t="str">
        <f>IF(LEN(TRIM(Controls_Raw!N829))=0,"Missing","OK")</f>
        <v>OK</v>
      </c>
      <c r="E829" t="str">
        <f>IF(OR(Controls_Raw!G829="USA",Controls_Raw!G829="UK"),"Standardize","OK")</f>
        <v>OK</v>
      </c>
      <c r="F829" t="str">
        <f>IF(Controls_Raw!E829&lt;&gt;TRIM(Controls_Raw!E829),"Trim","OK")</f>
        <v>OK</v>
      </c>
      <c r="G829" t="str">
        <f>IF(AND(Controls_Raw!L829&lt;DATE(2026,9,30),Controls_Raw!M829&lt;&gt;"Completed"),"Overdue","OK")</f>
        <v>Overdue</v>
      </c>
      <c r="H829" t="str">
        <f>IF(AND(Controls_Raw!Q829&lt;DATE(2026,9,30),Controls_Raw!R829&lt;&gt;"Completed",Controls_Raw!R829&lt;&gt;"Not Required"),"Overdue","OK")</f>
        <v>OK</v>
      </c>
      <c r="I829" t="str">
        <f t="shared" si="12"/>
        <v>Issue</v>
      </c>
    </row>
    <row r="830" spans="1:9" x14ac:dyDescent="0.2">
      <c r="A830" t="str">
        <f>Controls_Raw!A830</f>
        <v>CTRL-0826</v>
      </c>
      <c r="B830" t="str">
        <f>IF(COUNTIF(Controls_Raw!$A$5:$A$1504,A830)&gt;1,"Duplicate","OK")</f>
        <v>OK</v>
      </c>
      <c r="C830" t="str">
        <f>IF(LEN(TRIM(Controls_Raw!I830))=0,"Missing","OK")</f>
        <v>OK</v>
      </c>
      <c r="D830" t="str">
        <f>IF(LEN(TRIM(Controls_Raw!N830))=0,"Missing","OK")</f>
        <v>OK</v>
      </c>
      <c r="E830" t="str">
        <f>IF(OR(Controls_Raw!G830="USA",Controls_Raw!G830="UK"),"Standardize","OK")</f>
        <v>OK</v>
      </c>
      <c r="F830" t="str">
        <f>IF(Controls_Raw!E830&lt;&gt;TRIM(Controls_Raw!E830),"Trim","OK")</f>
        <v>OK</v>
      </c>
      <c r="G830" t="str">
        <f>IF(AND(Controls_Raw!L830&lt;DATE(2026,9,30),Controls_Raw!M830&lt;&gt;"Completed"),"Overdue","OK")</f>
        <v>Overdue</v>
      </c>
      <c r="H830" t="str">
        <f>IF(AND(Controls_Raw!Q830&lt;DATE(2026,9,30),Controls_Raw!R830&lt;&gt;"Completed",Controls_Raw!R830&lt;&gt;"Not Required"),"Overdue","OK")</f>
        <v>Overdue</v>
      </c>
      <c r="I830" t="str">
        <f t="shared" si="12"/>
        <v>Issue</v>
      </c>
    </row>
    <row r="831" spans="1:9" x14ac:dyDescent="0.2">
      <c r="A831" t="str">
        <f>Controls_Raw!A831</f>
        <v>CTRL-0827</v>
      </c>
      <c r="B831" t="str">
        <f>IF(COUNTIF(Controls_Raw!$A$5:$A$1504,A831)&gt;1,"Duplicate","OK")</f>
        <v>OK</v>
      </c>
      <c r="C831" t="str">
        <f>IF(LEN(TRIM(Controls_Raw!I831))=0,"Missing","OK")</f>
        <v>OK</v>
      </c>
      <c r="D831" t="str">
        <f>IF(LEN(TRIM(Controls_Raw!N831))=0,"Missing","OK")</f>
        <v>OK</v>
      </c>
      <c r="E831" t="str">
        <f>IF(OR(Controls_Raw!G831="USA",Controls_Raw!G831="UK"),"Standardize","OK")</f>
        <v>OK</v>
      </c>
      <c r="F831" t="str">
        <f>IF(Controls_Raw!E831&lt;&gt;TRIM(Controls_Raw!E831),"Trim","OK")</f>
        <v>OK</v>
      </c>
      <c r="G831" t="str">
        <f>IF(AND(Controls_Raw!L831&lt;DATE(2026,9,30),Controls_Raw!M831&lt;&gt;"Completed"),"Overdue","OK")</f>
        <v>OK</v>
      </c>
      <c r="H831" t="str">
        <f>IF(AND(Controls_Raw!Q831&lt;DATE(2026,9,30),Controls_Raw!R831&lt;&gt;"Completed",Controls_Raw!R831&lt;&gt;"Not Required"),"Overdue","OK")</f>
        <v>OK</v>
      </c>
      <c r="I831" t="str">
        <f t="shared" si="12"/>
        <v>Pass</v>
      </c>
    </row>
    <row r="832" spans="1:9" x14ac:dyDescent="0.2">
      <c r="A832" t="str">
        <f>Controls_Raw!A832</f>
        <v>CTRL-0828</v>
      </c>
      <c r="B832" t="str">
        <f>IF(COUNTIF(Controls_Raw!$A$5:$A$1504,A832)&gt;1,"Duplicate","OK")</f>
        <v>OK</v>
      </c>
      <c r="C832" t="str">
        <f>IF(LEN(TRIM(Controls_Raw!I832))=0,"Missing","OK")</f>
        <v>OK</v>
      </c>
      <c r="D832" t="str">
        <f>IF(LEN(TRIM(Controls_Raw!N832))=0,"Missing","OK")</f>
        <v>OK</v>
      </c>
      <c r="E832" t="str">
        <f>IF(OR(Controls_Raw!G832="USA",Controls_Raw!G832="UK"),"Standardize","OK")</f>
        <v>OK</v>
      </c>
      <c r="F832" t="str">
        <f>IF(Controls_Raw!E832&lt;&gt;TRIM(Controls_Raw!E832),"Trim","OK")</f>
        <v>OK</v>
      </c>
      <c r="G832" t="str">
        <f>IF(AND(Controls_Raw!L832&lt;DATE(2026,9,30),Controls_Raw!M832&lt;&gt;"Completed"),"Overdue","OK")</f>
        <v>OK</v>
      </c>
      <c r="H832" t="str">
        <f>IF(AND(Controls_Raw!Q832&lt;DATE(2026,9,30),Controls_Raw!R832&lt;&gt;"Completed",Controls_Raw!R832&lt;&gt;"Not Required"),"Overdue","OK")</f>
        <v>OK</v>
      </c>
      <c r="I832" t="str">
        <f t="shared" si="12"/>
        <v>Pass</v>
      </c>
    </row>
    <row r="833" spans="1:9" x14ac:dyDescent="0.2">
      <c r="A833" t="str">
        <f>Controls_Raw!A833</f>
        <v>CTRL-0829</v>
      </c>
      <c r="B833" t="str">
        <f>IF(COUNTIF(Controls_Raw!$A$5:$A$1504,A833)&gt;1,"Duplicate","OK")</f>
        <v>OK</v>
      </c>
      <c r="C833" t="str">
        <f>IF(LEN(TRIM(Controls_Raw!I833))=0,"Missing","OK")</f>
        <v>OK</v>
      </c>
      <c r="D833" t="str">
        <f>IF(LEN(TRIM(Controls_Raw!N833))=0,"Missing","OK")</f>
        <v>OK</v>
      </c>
      <c r="E833" t="str">
        <f>IF(OR(Controls_Raw!G833="USA",Controls_Raw!G833="UK"),"Standardize","OK")</f>
        <v>OK</v>
      </c>
      <c r="F833" t="str">
        <f>IF(Controls_Raw!E833&lt;&gt;TRIM(Controls_Raw!E833),"Trim","OK")</f>
        <v>OK</v>
      </c>
      <c r="G833" t="str">
        <f>IF(AND(Controls_Raw!L833&lt;DATE(2026,9,30),Controls_Raw!M833&lt;&gt;"Completed"),"Overdue","OK")</f>
        <v>Overdue</v>
      </c>
      <c r="H833" t="str">
        <f>IF(AND(Controls_Raw!Q833&lt;DATE(2026,9,30),Controls_Raw!R833&lt;&gt;"Completed",Controls_Raw!R833&lt;&gt;"Not Required"),"Overdue","OK")</f>
        <v>OK</v>
      </c>
      <c r="I833" t="str">
        <f t="shared" si="12"/>
        <v>Issue</v>
      </c>
    </row>
    <row r="834" spans="1:9" x14ac:dyDescent="0.2">
      <c r="A834" t="str">
        <f>Controls_Raw!A834</f>
        <v>CTRL-0830</v>
      </c>
      <c r="B834" t="str">
        <f>IF(COUNTIF(Controls_Raw!$A$5:$A$1504,A834)&gt;1,"Duplicate","OK")</f>
        <v>OK</v>
      </c>
      <c r="C834" t="str">
        <f>IF(LEN(TRIM(Controls_Raw!I834))=0,"Missing","OK")</f>
        <v>OK</v>
      </c>
      <c r="D834" t="str">
        <f>IF(LEN(TRIM(Controls_Raw!N834))=0,"Missing","OK")</f>
        <v>OK</v>
      </c>
      <c r="E834" t="str">
        <f>IF(OR(Controls_Raw!G834="USA",Controls_Raw!G834="UK"),"Standardize","OK")</f>
        <v>OK</v>
      </c>
      <c r="F834" t="str">
        <f>IF(Controls_Raw!E834&lt;&gt;TRIM(Controls_Raw!E834),"Trim","OK")</f>
        <v>OK</v>
      </c>
      <c r="G834" t="str">
        <f>IF(AND(Controls_Raw!L834&lt;DATE(2026,9,30),Controls_Raw!M834&lt;&gt;"Completed"),"Overdue","OK")</f>
        <v>Overdue</v>
      </c>
      <c r="H834" t="str">
        <f>IF(AND(Controls_Raw!Q834&lt;DATE(2026,9,30),Controls_Raw!R834&lt;&gt;"Completed",Controls_Raw!R834&lt;&gt;"Not Required"),"Overdue","OK")</f>
        <v>Overdue</v>
      </c>
      <c r="I834" t="str">
        <f t="shared" si="12"/>
        <v>Issue</v>
      </c>
    </row>
    <row r="835" spans="1:9" x14ac:dyDescent="0.2">
      <c r="A835" t="str">
        <f>Controls_Raw!A835</f>
        <v>CTRL-0831</v>
      </c>
      <c r="B835" t="str">
        <f>IF(COUNTIF(Controls_Raw!$A$5:$A$1504,A835)&gt;1,"Duplicate","OK")</f>
        <v>OK</v>
      </c>
      <c r="C835" t="str">
        <f>IF(LEN(TRIM(Controls_Raw!I835))=0,"Missing","OK")</f>
        <v>OK</v>
      </c>
      <c r="D835" t="str">
        <f>IF(LEN(TRIM(Controls_Raw!N835))=0,"Missing","OK")</f>
        <v>Missing</v>
      </c>
      <c r="E835" t="str">
        <f>IF(OR(Controls_Raw!G835="USA",Controls_Raw!G835="UK"),"Standardize","OK")</f>
        <v>OK</v>
      </c>
      <c r="F835" t="str">
        <f>IF(Controls_Raw!E835&lt;&gt;TRIM(Controls_Raw!E835),"Trim","OK")</f>
        <v>OK</v>
      </c>
      <c r="G835" t="str">
        <f>IF(AND(Controls_Raw!L835&lt;DATE(2026,9,30),Controls_Raw!M835&lt;&gt;"Completed"),"Overdue","OK")</f>
        <v>Overdue</v>
      </c>
      <c r="H835" t="str">
        <f>IF(AND(Controls_Raw!Q835&lt;DATE(2026,9,30),Controls_Raw!R835&lt;&gt;"Completed",Controls_Raw!R835&lt;&gt;"Not Required"),"Overdue","OK")</f>
        <v>Overdue</v>
      </c>
      <c r="I835" t="str">
        <f t="shared" si="12"/>
        <v>Issue</v>
      </c>
    </row>
    <row r="836" spans="1:9" x14ac:dyDescent="0.2">
      <c r="A836" t="str">
        <f>Controls_Raw!A836</f>
        <v>CTRL-0832</v>
      </c>
      <c r="B836" t="str">
        <f>IF(COUNTIF(Controls_Raw!$A$5:$A$1504,A836)&gt;1,"Duplicate","OK")</f>
        <v>OK</v>
      </c>
      <c r="C836" t="str">
        <f>IF(LEN(TRIM(Controls_Raw!I836))=0,"Missing","OK")</f>
        <v>OK</v>
      </c>
      <c r="D836" t="str">
        <f>IF(LEN(TRIM(Controls_Raw!N836))=0,"Missing","OK")</f>
        <v>OK</v>
      </c>
      <c r="E836" t="str">
        <f>IF(OR(Controls_Raw!G836="USA",Controls_Raw!G836="UK"),"Standardize","OK")</f>
        <v>OK</v>
      </c>
      <c r="F836" t="str">
        <f>IF(Controls_Raw!E836&lt;&gt;TRIM(Controls_Raw!E836),"Trim","OK")</f>
        <v>OK</v>
      </c>
      <c r="G836" t="str">
        <f>IF(AND(Controls_Raw!L836&lt;DATE(2026,9,30),Controls_Raw!M836&lt;&gt;"Completed"),"Overdue","OK")</f>
        <v>Overdue</v>
      </c>
      <c r="H836" t="str">
        <f>IF(AND(Controls_Raw!Q836&lt;DATE(2026,9,30),Controls_Raw!R836&lt;&gt;"Completed",Controls_Raw!R836&lt;&gt;"Not Required"),"Overdue","OK")</f>
        <v>OK</v>
      </c>
      <c r="I836" t="str">
        <f t="shared" si="12"/>
        <v>Issue</v>
      </c>
    </row>
    <row r="837" spans="1:9" x14ac:dyDescent="0.2">
      <c r="A837" t="str">
        <f>Controls_Raw!A837</f>
        <v>CTRL-0833</v>
      </c>
      <c r="B837" t="str">
        <f>IF(COUNTIF(Controls_Raw!$A$5:$A$1504,A837)&gt;1,"Duplicate","OK")</f>
        <v>OK</v>
      </c>
      <c r="C837" t="str">
        <f>IF(LEN(TRIM(Controls_Raw!I837))=0,"Missing","OK")</f>
        <v>OK</v>
      </c>
      <c r="D837" t="str">
        <f>IF(LEN(TRIM(Controls_Raw!N837))=0,"Missing","OK")</f>
        <v>OK</v>
      </c>
      <c r="E837" t="str">
        <f>IF(OR(Controls_Raw!G837="USA",Controls_Raw!G837="UK"),"Standardize","OK")</f>
        <v>OK</v>
      </c>
      <c r="F837" t="str">
        <f>IF(Controls_Raw!E837&lt;&gt;TRIM(Controls_Raw!E837),"Trim","OK")</f>
        <v>OK</v>
      </c>
      <c r="G837" t="str">
        <f>IF(AND(Controls_Raw!L837&lt;DATE(2026,9,30),Controls_Raw!M837&lt;&gt;"Completed"),"Overdue","OK")</f>
        <v>OK</v>
      </c>
      <c r="H837" t="str">
        <f>IF(AND(Controls_Raw!Q837&lt;DATE(2026,9,30),Controls_Raw!R837&lt;&gt;"Completed",Controls_Raw!R837&lt;&gt;"Not Required"),"Overdue","OK")</f>
        <v>OK</v>
      </c>
      <c r="I837" t="str">
        <f t="shared" ref="I837:I900" si="13">IF(COUNTIF(B837:H837,"&lt;&gt;OK")&gt;0,"Issue","Pass")</f>
        <v>Pass</v>
      </c>
    </row>
    <row r="838" spans="1:9" x14ac:dyDescent="0.2">
      <c r="A838" t="str">
        <f>Controls_Raw!A838</f>
        <v>CTRL-0834</v>
      </c>
      <c r="B838" t="str">
        <f>IF(COUNTIF(Controls_Raw!$A$5:$A$1504,A838)&gt;1,"Duplicate","OK")</f>
        <v>OK</v>
      </c>
      <c r="C838" t="str">
        <f>IF(LEN(TRIM(Controls_Raw!I838))=0,"Missing","OK")</f>
        <v>OK</v>
      </c>
      <c r="D838" t="str">
        <f>IF(LEN(TRIM(Controls_Raw!N838))=0,"Missing","OK")</f>
        <v>OK</v>
      </c>
      <c r="E838" t="str">
        <f>IF(OR(Controls_Raw!G838="USA",Controls_Raw!G838="UK"),"Standardize","OK")</f>
        <v>OK</v>
      </c>
      <c r="F838" t="str">
        <f>IF(Controls_Raw!E838&lt;&gt;TRIM(Controls_Raw!E838),"Trim","OK")</f>
        <v>OK</v>
      </c>
      <c r="G838" t="str">
        <f>IF(AND(Controls_Raw!L838&lt;DATE(2026,9,30),Controls_Raw!M838&lt;&gt;"Completed"),"Overdue","OK")</f>
        <v>Overdue</v>
      </c>
      <c r="H838" t="str">
        <f>IF(AND(Controls_Raw!Q838&lt;DATE(2026,9,30),Controls_Raw!R838&lt;&gt;"Completed",Controls_Raw!R838&lt;&gt;"Not Required"),"Overdue","OK")</f>
        <v>OK</v>
      </c>
      <c r="I838" t="str">
        <f t="shared" si="13"/>
        <v>Issue</v>
      </c>
    </row>
    <row r="839" spans="1:9" x14ac:dyDescent="0.2">
      <c r="A839" t="str">
        <f>Controls_Raw!A839</f>
        <v>CTRL-0835</v>
      </c>
      <c r="B839" t="str">
        <f>IF(COUNTIF(Controls_Raw!$A$5:$A$1504,A839)&gt;1,"Duplicate","OK")</f>
        <v>OK</v>
      </c>
      <c r="C839" t="str">
        <f>IF(LEN(TRIM(Controls_Raw!I839))=0,"Missing","OK")</f>
        <v>OK</v>
      </c>
      <c r="D839" t="str">
        <f>IF(LEN(TRIM(Controls_Raw!N839))=0,"Missing","OK")</f>
        <v>OK</v>
      </c>
      <c r="E839" t="str">
        <f>IF(OR(Controls_Raw!G839="USA",Controls_Raw!G839="UK"),"Standardize","OK")</f>
        <v>OK</v>
      </c>
      <c r="F839" t="str">
        <f>IF(Controls_Raw!E839&lt;&gt;TRIM(Controls_Raw!E839),"Trim","OK")</f>
        <v>OK</v>
      </c>
      <c r="G839" t="str">
        <f>IF(AND(Controls_Raw!L839&lt;DATE(2026,9,30),Controls_Raw!M839&lt;&gt;"Completed"),"Overdue","OK")</f>
        <v>Overdue</v>
      </c>
      <c r="H839" t="str">
        <f>IF(AND(Controls_Raw!Q839&lt;DATE(2026,9,30),Controls_Raw!R839&lt;&gt;"Completed",Controls_Raw!R839&lt;&gt;"Not Required"),"Overdue","OK")</f>
        <v>Overdue</v>
      </c>
      <c r="I839" t="str">
        <f t="shared" si="13"/>
        <v>Issue</v>
      </c>
    </row>
    <row r="840" spans="1:9" x14ac:dyDescent="0.2">
      <c r="A840" t="str">
        <f>Controls_Raw!A840</f>
        <v>CTRL-0836</v>
      </c>
      <c r="B840" t="str">
        <f>IF(COUNTIF(Controls_Raw!$A$5:$A$1504,A840)&gt;1,"Duplicate","OK")</f>
        <v>OK</v>
      </c>
      <c r="C840" t="str">
        <f>IF(LEN(TRIM(Controls_Raw!I840))=0,"Missing","OK")</f>
        <v>OK</v>
      </c>
      <c r="D840" t="str">
        <f>IF(LEN(TRIM(Controls_Raw!N840))=0,"Missing","OK")</f>
        <v>OK</v>
      </c>
      <c r="E840" t="str">
        <f>IF(OR(Controls_Raw!G840="USA",Controls_Raw!G840="UK"),"Standardize","OK")</f>
        <v>OK</v>
      </c>
      <c r="F840" t="str">
        <f>IF(Controls_Raw!E840&lt;&gt;TRIM(Controls_Raw!E840),"Trim","OK")</f>
        <v>OK</v>
      </c>
      <c r="G840" t="str">
        <f>IF(AND(Controls_Raw!L840&lt;DATE(2026,9,30),Controls_Raw!M840&lt;&gt;"Completed"),"Overdue","OK")</f>
        <v>Overdue</v>
      </c>
      <c r="H840" t="str">
        <f>IF(AND(Controls_Raw!Q840&lt;DATE(2026,9,30),Controls_Raw!R840&lt;&gt;"Completed",Controls_Raw!R840&lt;&gt;"Not Required"),"Overdue","OK")</f>
        <v>OK</v>
      </c>
      <c r="I840" t="str">
        <f t="shared" si="13"/>
        <v>Issue</v>
      </c>
    </row>
    <row r="841" spans="1:9" x14ac:dyDescent="0.2">
      <c r="A841" t="str">
        <f>Controls_Raw!A841</f>
        <v>CTRL-0837</v>
      </c>
      <c r="B841" t="str">
        <f>IF(COUNTIF(Controls_Raw!$A$5:$A$1504,A841)&gt;1,"Duplicate","OK")</f>
        <v>OK</v>
      </c>
      <c r="C841" t="str">
        <f>IF(LEN(TRIM(Controls_Raw!I841))=0,"Missing","OK")</f>
        <v>OK</v>
      </c>
      <c r="D841" t="str">
        <f>IF(LEN(TRIM(Controls_Raw!N841))=0,"Missing","OK")</f>
        <v>OK</v>
      </c>
      <c r="E841" t="str">
        <f>IF(OR(Controls_Raw!G841="USA",Controls_Raw!G841="UK"),"Standardize","OK")</f>
        <v>OK</v>
      </c>
      <c r="F841" t="str">
        <f>IF(Controls_Raw!E841&lt;&gt;TRIM(Controls_Raw!E841),"Trim","OK")</f>
        <v>OK</v>
      </c>
      <c r="G841" t="str">
        <f>IF(AND(Controls_Raw!L841&lt;DATE(2026,9,30),Controls_Raw!M841&lt;&gt;"Completed"),"Overdue","OK")</f>
        <v>OK</v>
      </c>
      <c r="H841" t="str">
        <f>IF(AND(Controls_Raw!Q841&lt;DATE(2026,9,30),Controls_Raw!R841&lt;&gt;"Completed",Controls_Raw!R841&lt;&gt;"Not Required"),"Overdue","OK")</f>
        <v>Overdue</v>
      </c>
      <c r="I841" t="str">
        <f t="shared" si="13"/>
        <v>Issue</v>
      </c>
    </row>
    <row r="842" spans="1:9" x14ac:dyDescent="0.2">
      <c r="A842" t="str">
        <f>Controls_Raw!A842</f>
        <v>CTRL-0838</v>
      </c>
      <c r="B842" t="str">
        <f>IF(COUNTIF(Controls_Raw!$A$5:$A$1504,A842)&gt;1,"Duplicate","OK")</f>
        <v>OK</v>
      </c>
      <c r="C842" t="str">
        <f>IF(LEN(TRIM(Controls_Raw!I842))=0,"Missing","OK")</f>
        <v>OK</v>
      </c>
      <c r="D842" t="str">
        <f>IF(LEN(TRIM(Controls_Raw!N842))=0,"Missing","OK")</f>
        <v>OK</v>
      </c>
      <c r="E842" t="str">
        <f>IF(OR(Controls_Raw!G842="USA",Controls_Raw!G842="UK"),"Standardize","OK")</f>
        <v>OK</v>
      </c>
      <c r="F842" t="str">
        <f>IF(Controls_Raw!E842&lt;&gt;TRIM(Controls_Raw!E842),"Trim","OK")</f>
        <v>OK</v>
      </c>
      <c r="G842" t="str">
        <f>IF(AND(Controls_Raw!L842&lt;DATE(2026,9,30),Controls_Raw!M842&lt;&gt;"Completed"),"Overdue","OK")</f>
        <v>OK</v>
      </c>
      <c r="H842" t="str">
        <f>IF(AND(Controls_Raw!Q842&lt;DATE(2026,9,30),Controls_Raw!R842&lt;&gt;"Completed",Controls_Raw!R842&lt;&gt;"Not Required"),"Overdue","OK")</f>
        <v>Overdue</v>
      </c>
      <c r="I842" t="str">
        <f t="shared" si="13"/>
        <v>Issue</v>
      </c>
    </row>
    <row r="843" spans="1:9" x14ac:dyDescent="0.2">
      <c r="A843" t="str">
        <f>Controls_Raw!A843</f>
        <v>CTRL-0839</v>
      </c>
      <c r="B843" t="str">
        <f>IF(COUNTIF(Controls_Raw!$A$5:$A$1504,A843)&gt;1,"Duplicate","OK")</f>
        <v>OK</v>
      </c>
      <c r="C843" t="str">
        <f>IF(LEN(TRIM(Controls_Raw!I843))=0,"Missing","OK")</f>
        <v>OK</v>
      </c>
      <c r="D843" t="str">
        <f>IF(LEN(TRIM(Controls_Raw!N843))=0,"Missing","OK")</f>
        <v>OK</v>
      </c>
      <c r="E843" t="str">
        <f>IF(OR(Controls_Raw!G843="USA",Controls_Raw!G843="UK"),"Standardize","OK")</f>
        <v>OK</v>
      </c>
      <c r="F843" t="str">
        <f>IF(Controls_Raw!E843&lt;&gt;TRIM(Controls_Raw!E843),"Trim","OK")</f>
        <v>OK</v>
      </c>
      <c r="G843" t="str">
        <f>IF(AND(Controls_Raw!L843&lt;DATE(2026,9,30),Controls_Raw!M843&lt;&gt;"Completed"),"Overdue","OK")</f>
        <v>Overdue</v>
      </c>
      <c r="H843" t="str">
        <f>IF(AND(Controls_Raw!Q843&lt;DATE(2026,9,30),Controls_Raw!R843&lt;&gt;"Completed",Controls_Raw!R843&lt;&gt;"Not Required"),"Overdue","OK")</f>
        <v>OK</v>
      </c>
      <c r="I843" t="str">
        <f t="shared" si="13"/>
        <v>Issue</v>
      </c>
    </row>
    <row r="844" spans="1:9" x14ac:dyDescent="0.2">
      <c r="A844" t="str">
        <f>Controls_Raw!A844</f>
        <v>CTRL-0840</v>
      </c>
      <c r="B844" t="str">
        <f>IF(COUNTIF(Controls_Raw!$A$5:$A$1504,A844)&gt;1,"Duplicate","OK")</f>
        <v>OK</v>
      </c>
      <c r="C844" t="str">
        <f>IF(LEN(TRIM(Controls_Raw!I844))=0,"Missing","OK")</f>
        <v>OK</v>
      </c>
      <c r="D844" t="str">
        <f>IF(LEN(TRIM(Controls_Raw!N844))=0,"Missing","OK")</f>
        <v>OK</v>
      </c>
      <c r="E844" t="str">
        <f>IF(OR(Controls_Raw!G844="USA",Controls_Raw!G844="UK"),"Standardize","OK")</f>
        <v>OK</v>
      </c>
      <c r="F844" t="str">
        <f>IF(Controls_Raw!E844&lt;&gt;TRIM(Controls_Raw!E844),"Trim","OK")</f>
        <v>OK</v>
      </c>
      <c r="G844" t="str">
        <f>IF(AND(Controls_Raw!L844&lt;DATE(2026,9,30),Controls_Raw!M844&lt;&gt;"Completed"),"Overdue","OK")</f>
        <v>OK</v>
      </c>
      <c r="H844" t="str">
        <f>IF(AND(Controls_Raw!Q844&lt;DATE(2026,9,30),Controls_Raw!R844&lt;&gt;"Completed",Controls_Raw!R844&lt;&gt;"Not Required"),"Overdue","OK")</f>
        <v>OK</v>
      </c>
      <c r="I844" t="str">
        <f t="shared" si="13"/>
        <v>Pass</v>
      </c>
    </row>
    <row r="845" spans="1:9" x14ac:dyDescent="0.2">
      <c r="A845" t="str">
        <f>Controls_Raw!A845</f>
        <v>CTRL-0841</v>
      </c>
      <c r="B845" t="str">
        <f>IF(COUNTIF(Controls_Raw!$A$5:$A$1504,A845)&gt;1,"Duplicate","OK")</f>
        <v>OK</v>
      </c>
      <c r="C845" t="str">
        <f>IF(LEN(TRIM(Controls_Raw!I845))=0,"Missing","OK")</f>
        <v>OK</v>
      </c>
      <c r="D845" t="str">
        <f>IF(LEN(TRIM(Controls_Raw!N845))=0,"Missing","OK")</f>
        <v>OK</v>
      </c>
      <c r="E845" t="str">
        <f>IF(OR(Controls_Raw!G845="USA",Controls_Raw!G845="UK"),"Standardize","OK")</f>
        <v>OK</v>
      </c>
      <c r="F845" t="str">
        <f>IF(Controls_Raw!E845&lt;&gt;TRIM(Controls_Raw!E845),"Trim","OK")</f>
        <v>OK</v>
      </c>
      <c r="G845" t="str">
        <f>IF(AND(Controls_Raw!L845&lt;DATE(2026,9,30),Controls_Raw!M845&lt;&gt;"Completed"),"Overdue","OK")</f>
        <v>OK</v>
      </c>
      <c r="H845" t="str">
        <f>IF(AND(Controls_Raw!Q845&lt;DATE(2026,9,30),Controls_Raw!R845&lt;&gt;"Completed",Controls_Raw!R845&lt;&gt;"Not Required"),"Overdue","OK")</f>
        <v>OK</v>
      </c>
      <c r="I845" t="str">
        <f t="shared" si="13"/>
        <v>Pass</v>
      </c>
    </row>
    <row r="846" spans="1:9" x14ac:dyDescent="0.2">
      <c r="A846" t="str">
        <f>Controls_Raw!A846</f>
        <v>CTRL-0842</v>
      </c>
      <c r="B846" t="str">
        <f>IF(COUNTIF(Controls_Raw!$A$5:$A$1504,A846)&gt;1,"Duplicate","OK")</f>
        <v>OK</v>
      </c>
      <c r="C846" t="str">
        <f>IF(LEN(TRIM(Controls_Raw!I846))=0,"Missing","OK")</f>
        <v>OK</v>
      </c>
      <c r="D846" t="str">
        <f>IF(LEN(TRIM(Controls_Raw!N846))=0,"Missing","OK")</f>
        <v>OK</v>
      </c>
      <c r="E846" t="str">
        <f>IF(OR(Controls_Raw!G846="USA",Controls_Raw!G846="UK"),"Standardize","OK")</f>
        <v>OK</v>
      </c>
      <c r="F846" t="str">
        <f>IF(Controls_Raw!E846&lt;&gt;TRIM(Controls_Raw!E846),"Trim","OK")</f>
        <v>OK</v>
      </c>
      <c r="G846" t="str">
        <f>IF(AND(Controls_Raw!L846&lt;DATE(2026,9,30),Controls_Raw!M846&lt;&gt;"Completed"),"Overdue","OK")</f>
        <v>Overdue</v>
      </c>
      <c r="H846" t="str">
        <f>IF(AND(Controls_Raw!Q846&lt;DATE(2026,9,30),Controls_Raw!R846&lt;&gt;"Completed",Controls_Raw!R846&lt;&gt;"Not Required"),"Overdue","OK")</f>
        <v>OK</v>
      </c>
      <c r="I846" t="str">
        <f t="shared" si="13"/>
        <v>Issue</v>
      </c>
    </row>
    <row r="847" spans="1:9" x14ac:dyDescent="0.2">
      <c r="A847" t="str">
        <f>Controls_Raw!A847</f>
        <v>CTRL-0843</v>
      </c>
      <c r="B847" t="str">
        <f>IF(COUNTIF(Controls_Raw!$A$5:$A$1504,A847)&gt;1,"Duplicate","OK")</f>
        <v>OK</v>
      </c>
      <c r="C847" t="str">
        <f>IF(LEN(TRIM(Controls_Raw!I847))=0,"Missing","OK")</f>
        <v>OK</v>
      </c>
      <c r="D847" t="str">
        <f>IF(LEN(TRIM(Controls_Raw!N847))=0,"Missing","OK")</f>
        <v>OK</v>
      </c>
      <c r="E847" t="str">
        <f>IF(OR(Controls_Raw!G847="USA",Controls_Raw!G847="UK"),"Standardize","OK")</f>
        <v>OK</v>
      </c>
      <c r="F847" t="str">
        <f>IF(Controls_Raw!E847&lt;&gt;TRIM(Controls_Raw!E847),"Trim","OK")</f>
        <v>OK</v>
      </c>
      <c r="G847" t="str">
        <f>IF(AND(Controls_Raw!L847&lt;DATE(2026,9,30),Controls_Raw!M847&lt;&gt;"Completed"),"Overdue","OK")</f>
        <v>Overdue</v>
      </c>
      <c r="H847" t="str">
        <f>IF(AND(Controls_Raw!Q847&lt;DATE(2026,9,30),Controls_Raw!R847&lt;&gt;"Completed",Controls_Raw!R847&lt;&gt;"Not Required"),"Overdue","OK")</f>
        <v>Overdue</v>
      </c>
      <c r="I847" t="str">
        <f t="shared" si="13"/>
        <v>Issue</v>
      </c>
    </row>
    <row r="848" spans="1:9" x14ac:dyDescent="0.2">
      <c r="A848" t="str">
        <f>Controls_Raw!A848</f>
        <v>CTRL-0844</v>
      </c>
      <c r="B848" t="str">
        <f>IF(COUNTIF(Controls_Raw!$A$5:$A$1504,A848)&gt;1,"Duplicate","OK")</f>
        <v>OK</v>
      </c>
      <c r="C848" t="str">
        <f>IF(LEN(TRIM(Controls_Raw!I848))=0,"Missing","OK")</f>
        <v>OK</v>
      </c>
      <c r="D848" t="str">
        <f>IF(LEN(TRIM(Controls_Raw!N848))=0,"Missing","OK")</f>
        <v>OK</v>
      </c>
      <c r="E848" t="str">
        <f>IF(OR(Controls_Raw!G848="USA",Controls_Raw!G848="UK"),"Standardize","OK")</f>
        <v>OK</v>
      </c>
      <c r="F848" t="str">
        <f>IF(Controls_Raw!E848&lt;&gt;TRIM(Controls_Raw!E848),"Trim","OK")</f>
        <v>OK</v>
      </c>
      <c r="G848" t="str">
        <f>IF(AND(Controls_Raw!L848&lt;DATE(2026,9,30),Controls_Raw!M848&lt;&gt;"Completed"),"Overdue","OK")</f>
        <v>OK</v>
      </c>
      <c r="H848" t="str">
        <f>IF(AND(Controls_Raw!Q848&lt;DATE(2026,9,30),Controls_Raw!R848&lt;&gt;"Completed",Controls_Raw!R848&lt;&gt;"Not Required"),"Overdue","OK")</f>
        <v>Overdue</v>
      </c>
      <c r="I848" t="str">
        <f t="shared" si="13"/>
        <v>Issue</v>
      </c>
    </row>
    <row r="849" spans="1:9" x14ac:dyDescent="0.2">
      <c r="A849" t="str">
        <f>Controls_Raw!A849</f>
        <v>CTRL-0845</v>
      </c>
      <c r="B849" t="str">
        <f>IF(COUNTIF(Controls_Raw!$A$5:$A$1504,A849)&gt;1,"Duplicate","OK")</f>
        <v>OK</v>
      </c>
      <c r="C849" t="str">
        <f>IF(LEN(TRIM(Controls_Raw!I849))=0,"Missing","OK")</f>
        <v>OK</v>
      </c>
      <c r="D849" t="str">
        <f>IF(LEN(TRIM(Controls_Raw!N849))=0,"Missing","OK")</f>
        <v>OK</v>
      </c>
      <c r="E849" t="str">
        <f>IF(OR(Controls_Raw!G849="USA",Controls_Raw!G849="UK"),"Standardize","OK")</f>
        <v>OK</v>
      </c>
      <c r="F849" t="str">
        <f>IF(Controls_Raw!E849&lt;&gt;TRIM(Controls_Raw!E849),"Trim","OK")</f>
        <v>OK</v>
      </c>
      <c r="G849" t="str">
        <f>IF(AND(Controls_Raw!L849&lt;DATE(2026,9,30),Controls_Raw!M849&lt;&gt;"Completed"),"Overdue","OK")</f>
        <v>Overdue</v>
      </c>
      <c r="H849" t="str">
        <f>IF(AND(Controls_Raw!Q849&lt;DATE(2026,9,30),Controls_Raw!R849&lt;&gt;"Completed",Controls_Raw!R849&lt;&gt;"Not Required"),"Overdue","OK")</f>
        <v>OK</v>
      </c>
      <c r="I849" t="str">
        <f t="shared" si="13"/>
        <v>Issue</v>
      </c>
    </row>
    <row r="850" spans="1:9" x14ac:dyDescent="0.2">
      <c r="A850" t="str">
        <f>Controls_Raw!A850</f>
        <v>CTRL-0846</v>
      </c>
      <c r="B850" t="str">
        <f>IF(COUNTIF(Controls_Raw!$A$5:$A$1504,A850)&gt;1,"Duplicate","OK")</f>
        <v>OK</v>
      </c>
      <c r="C850" t="str">
        <f>IF(LEN(TRIM(Controls_Raw!I850))=0,"Missing","OK")</f>
        <v>OK</v>
      </c>
      <c r="D850" t="str">
        <f>IF(LEN(TRIM(Controls_Raw!N850))=0,"Missing","OK")</f>
        <v>OK</v>
      </c>
      <c r="E850" t="str">
        <f>IF(OR(Controls_Raw!G850="USA",Controls_Raw!G850="UK"),"Standardize","OK")</f>
        <v>OK</v>
      </c>
      <c r="F850" t="str">
        <f>IF(Controls_Raw!E850&lt;&gt;TRIM(Controls_Raw!E850),"Trim","OK")</f>
        <v>OK</v>
      </c>
      <c r="G850" t="str">
        <f>IF(AND(Controls_Raw!L850&lt;DATE(2026,9,30),Controls_Raw!M850&lt;&gt;"Completed"),"Overdue","OK")</f>
        <v>Overdue</v>
      </c>
      <c r="H850" t="str">
        <f>IF(AND(Controls_Raw!Q850&lt;DATE(2026,9,30),Controls_Raw!R850&lt;&gt;"Completed",Controls_Raw!R850&lt;&gt;"Not Required"),"Overdue","OK")</f>
        <v>OK</v>
      </c>
      <c r="I850" t="str">
        <f t="shared" si="13"/>
        <v>Issue</v>
      </c>
    </row>
    <row r="851" spans="1:9" x14ac:dyDescent="0.2">
      <c r="A851" t="str">
        <f>Controls_Raw!A851</f>
        <v>CTRL-0847</v>
      </c>
      <c r="B851" t="str">
        <f>IF(COUNTIF(Controls_Raw!$A$5:$A$1504,A851)&gt;1,"Duplicate","OK")</f>
        <v>OK</v>
      </c>
      <c r="C851" t="str">
        <f>IF(LEN(TRIM(Controls_Raw!I851))=0,"Missing","OK")</f>
        <v>Missing</v>
      </c>
      <c r="D851" t="str">
        <f>IF(LEN(TRIM(Controls_Raw!N851))=0,"Missing","OK")</f>
        <v>OK</v>
      </c>
      <c r="E851" t="str">
        <f>IF(OR(Controls_Raw!G851="USA",Controls_Raw!G851="UK"),"Standardize","OK")</f>
        <v>OK</v>
      </c>
      <c r="F851" t="str">
        <f>IF(Controls_Raw!E851&lt;&gt;TRIM(Controls_Raw!E851),"Trim","OK")</f>
        <v>OK</v>
      </c>
      <c r="G851" t="str">
        <f>IF(AND(Controls_Raw!L851&lt;DATE(2026,9,30),Controls_Raw!M851&lt;&gt;"Completed"),"Overdue","OK")</f>
        <v>OK</v>
      </c>
      <c r="H851" t="str">
        <f>IF(AND(Controls_Raw!Q851&lt;DATE(2026,9,30),Controls_Raw!R851&lt;&gt;"Completed",Controls_Raw!R851&lt;&gt;"Not Required"),"Overdue","OK")</f>
        <v>OK</v>
      </c>
      <c r="I851" t="str">
        <f t="shared" si="13"/>
        <v>Issue</v>
      </c>
    </row>
    <row r="852" spans="1:9" x14ac:dyDescent="0.2">
      <c r="A852" t="str">
        <f>Controls_Raw!A852</f>
        <v>CTRL-0848</v>
      </c>
      <c r="B852" t="str">
        <f>IF(COUNTIF(Controls_Raw!$A$5:$A$1504,A852)&gt;1,"Duplicate","OK")</f>
        <v>OK</v>
      </c>
      <c r="C852" t="str">
        <f>IF(LEN(TRIM(Controls_Raw!I852))=0,"Missing","OK")</f>
        <v>OK</v>
      </c>
      <c r="D852" t="str">
        <f>IF(LEN(TRIM(Controls_Raw!N852))=0,"Missing","OK")</f>
        <v>OK</v>
      </c>
      <c r="E852" t="str">
        <f>IF(OR(Controls_Raw!G852="USA",Controls_Raw!G852="UK"),"Standardize","OK")</f>
        <v>OK</v>
      </c>
      <c r="F852" t="str">
        <f>IF(Controls_Raw!E852&lt;&gt;TRIM(Controls_Raw!E852),"Trim","OK")</f>
        <v>OK</v>
      </c>
      <c r="G852" t="str">
        <f>IF(AND(Controls_Raw!L852&lt;DATE(2026,9,30),Controls_Raw!M852&lt;&gt;"Completed"),"Overdue","OK")</f>
        <v>OK</v>
      </c>
      <c r="H852" t="str">
        <f>IF(AND(Controls_Raw!Q852&lt;DATE(2026,9,30),Controls_Raw!R852&lt;&gt;"Completed",Controls_Raw!R852&lt;&gt;"Not Required"),"Overdue","OK")</f>
        <v>Overdue</v>
      </c>
      <c r="I852" t="str">
        <f t="shared" si="13"/>
        <v>Issue</v>
      </c>
    </row>
    <row r="853" spans="1:9" x14ac:dyDescent="0.2">
      <c r="A853" t="str">
        <f>Controls_Raw!A853</f>
        <v>CTRL-0849</v>
      </c>
      <c r="B853" t="str">
        <f>IF(COUNTIF(Controls_Raw!$A$5:$A$1504,A853)&gt;1,"Duplicate","OK")</f>
        <v>OK</v>
      </c>
      <c r="C853" t="str">
        <f>IF(LEN(TRIM(Controls_Raw!I853))=0,"Missing","OK")</f>
        <v>OK</v>
      </c>
      <c r="D853" t="str">
        <f>IF(LEN(TRIM(Controls_Raw!N853))=0,"Missing","OK")</f>
        <v>OK</v>
      </c>
      <c r="E853" t="str">
        <f>IF(OR(Controls_Raw!G853="USA",Controls_Raw!G853="UK"),"Standardize","OK")</f>
        <v>OK</v>
      </c>
      <c r="F853" t="str">
        <f>IF(Controls_Raw!E853&lt;&gt;TRIM(Controls_Raw!E853),"Trim","OK")</f>
        <v>OK</v>
      </c>
      <c r="G853" t="str">
        <f>IF(AND(Controls_Raw!L853&lt;DATE(2026,9,30),Controls_Raw!M853&lt;&gt;"Completed"),"Overdue","OK")</f>
        <v>Overdue</v>
      </c>
      <c r="H853" t="str">
        <f>IF(AND(Controls_Raw!Q853&lt;DATE(2026,9,30),Controls_Raw!R853&lt;&gt;"Completed",Controls_Raw!R853&lt;&gt;"Not Required"),"Overdue","OK")</f>
        <v>Overdue</v>
      </c>
      <c r="I853" t="str">
        <f t="shared" si="13"/>
        <v>Issue</v>
      </c>
    </row>
    <row r="854" spans="1:9" x14ac:dyDescent="0.2">
      <c r="A854" t="str">
        <f>Controls_Raw!A854</f>
        <v>CTRL-0850</v>
      </c>
      <c r="B854" t="str">
        <f>IF(COUNTIF(Controls_Raw!$A$5:$A$1504,A854)&gt;1,"Duplicate","OK")</f>
        <v>OK</v>
      </c>
      <c r="C854" t="str">
        <f>IF(LEN(TRIM(Controls_Raw!I854))=0,"Missing","OK")</f>
        <v>OK</v>
      </c>
      <c r="D854" t="str">
        <f>IF(LEN(TRIM(Controls_Raw!N854))=0,"Missing","OK")</f>
        <v>OK</v>
      </c>
      <c r="E854" t="str">
        <f>IF(OR(Controls_Raw!G854="USA",Controls_Raw!G854="UK"),"Standardize","OK")</f>
        <v>OK</v>
      </c>
      <c r="F854" t="str">
        <f>IF(Controls_Raw!E854&lt;&gt;TRIM(Controls_Raw!E854),"Trim","OK")</f>
        <v>OK</v>
      </c>
      <c r="G854" t="str">
        <f>IF(AND(Controls_Raw!L854&lt;DATE(2026,9,30),Controls_Raw!M854&lt;&gt;"Completed"),"Overdue","OK")</f>
        <v>Overdue</v>
      </c>
      <c r="H854" t="str">
        <f>IF(AND(Controls_Raw!Q854&lt;DATE(2026,9,30),Controls_Raw!R854&lt;&gt;"Completed",Controls_Raw!R854&lt;&gt;"Not Required"),"Overdue","OK")</f>
        <v>OK</v>
      </c>
      <c r="I854" t="str">
        <f t="shared" si="13"/>
        <v>Issue</v>
      </c>
    </row>
    <row r="855" spans="1:9" x14ac:dyDescent="0.2">
      <c r="A855" t="str">
        <f>Controls_Raw!A855</f>
        <v>CTRL-0851</v>
      </c>
      <c r="B855" t="str">
        <f>IF(COUNTIF(Controls_Raw!$A$5:$A$1504,A855)&gt;1,"Duplicate","OK")</f>
        <v>OK</v>
      </c>
      <c r="C855" t="str">
        <f>IF(LEN(TRIM(Controls_Raw!I855))=0,"Missing","OK")</f>
        <v>OK</v>
      </c>
      <c r="D855" t="str">
        <f>IF(LEN(TRIM(Controls_Raw!N855))=0,"Missing","OK")</f>
        <v>OK</v>
      </c>
      <c r="E855" t="str">
        <f>IF(OR(Controls_Raw!G855="USA",Controls_Raw!G855="UK"),"Standardize","OK")</f>
        <v>OK</v>
      </c>
      <c r="F855" t="str">
        <f>IF(Controls_Raw!E855&lt;&gt;TRIM(Controls_Raw!E855),"Trim","OK")</f>
        <v>OK</v>
      </c>
      <c r="G855" t="str">
        <f>IF(AND(Controls_Raw!L855&lt;DATE(2026,9,30),Controls_Raw!M855&lt;&gt;"Completed"),"Overdue","OK")</f>
        <v>OK</v>
      </c>
      <c r="H855" t="str">
        <f>IF(AND(Controls_Raw!Q855&lt;DATE(2026,9,30),Controls_Raw!R855&lt;&gt;"Completed",Controls_Raw!R855&lt;&gt;"Not Required"),"Overdue","OK")</f>
        <v>OK</v>
      </c>
      <c r="I855" t="str">
        <f t="shared" si="13"/>
        <v>Pass</v>
      </c>
    </row>
    <row r="856" spans="1:9" x14ac:dyDescent="0.2">
      <c r="A856" t="str">
        <f>Controls_Raw!A856</f>
        <v>CTRL-0852</v>
      </c>
      <c r="B856" t="str">
        <f>IF(COUNTIF(Controls_Raw!$A$5:$A$1504,A856)&gt;1,"Duplicate","OK")</f>
        <v>OK</v>
      </c>
      <c r="C856" t="str">
        <f>IF(LEN(TRIM(Controls_Raw!I856))=0,"Missing","OK")</f>
        <v>OK</v>
      </c>
      <c r="D856" t="str">
        <f>IF(LEN(TRIM(Controls_Raw!N856))=0,"Missing","OK")</f>
        <v>OK</v>
      </c>
      <c r="E856" t="str">
        <f>IF(OR(Controls_Raw!G856="USA",Controls_Raw!G856="UK"),"Standardize","OK")</f>
        <v>OK</v>
      </c>
      <c r="F856" t="str">
        <f>IF(Controls_Raw!E856&lt;&gt;TRIM(Controls_Raw!E856),"Trim","OK")</f>
        <v>OK</v>
      </c>
      <c r="G856" t="str">
        <f>IF(AND(Controls_Raw!L856&lt;DATE(2026,9,30),Controls_Raw!M856&lt;&gt;"Completed"),"Overdue","OK")</f>
        <v>OK</v>
      </c>
      <c r="H856" t="str">
        <f>IF(AND(Controls_Raw!Q856&lt;DATE(2026,9,30),Controls_Raw!R856&lt;&gt;"Completed",Controls_Raw!R856&lt;&gt;"Not Required"),"Overdue","OK")</f>
        <v>OK</v>
      </c>
      <c r="I856" t="str">
        <f t="shared" si="13"/>
        <v>Pass</v>
      </c>
    </row>
    <row r="857" spans="1:9" x14ac:dyDescent="0.2">
      <c r="A857" t="str">
        <f>Controls_Raw!A857</f>
        <v>CTRL-0853</v>
      </c>
      <c r="B857" t="str">
        <f>IF(COUNTIF(Controls_Raw!$A$5:$A$1504,A857)&gt;1,"Duplicate","OK")</f>
        <v>OK</v>
      </c>
      <c r="C857" t="str">
        <f>IF(LEN(TRIM(Controls_Raw!I857))=0,"Missing","OK")</f>
        <v>OK</v>
      </c>
      <c r="D857" t="str">
        <f>IF(LEN(TRIM(Controls_Raw!N857))=0,"Missing","OK")</f>
        <v>OK</v>
      </c>
      <c r="E857" t="str">
        <f>IF(OR(Controls_Raw!G857="USA",Controls_Raw!G857="UK"),"Standardize","OK")</f>
        <v>OK</v>
      </c>
      <c r="F857" t="str">
        <f>IF(Controls_Raw!E857&lt;&gt;TRIM(Controls_Raw!E857),"Trim","OK")</f>
        <v>OK</v>
      </c>
      <c r="G857" t="str">
        <f>IF(AND(Controls_Raw!L857&lt;DATE(2026,9,30),Controls_Raw!M857&lt;&gt;"Completed"),"Overdue","OK")</f>
        <v>OK</v>
      </c>
      <c r="H857" t="str">
        <f>IF(AND(Controls_Raw!Q857&lt;DATE(2026,9,30),Controls_Raw!R857&lt;&gt;"Completed",Controls_Raw!R857&lt;&gt;"Not Required"),"Overdue","OK")</f>
        <v>Overdue</v>
      </c>
      <c r="I857" t="str">
        <f t="shared" si="13"/>
        <v>Issue</v>
      </c>
    </row>
    <row r="858" spans="1:9" x14ac:dyDescent="0.2">
      <c r="A858" t="str">
        <f>Controls_Raw!A858</f>
        <v>CTRL-0854</v>
      </c>
      <c r="B858" t="str">
        <f>IF(COUNTIF(Controls_Raw!$A$5:$A$1504,A858)&gt;1,"Duplicate","OK")</f>
        <v>OK</v>
      </c>
      <c r="C858" t="str">
        <f>IF(LEN(TRIM(Controls_Raw!I858))=0,"Missing","OK")</f>
        <v>OK</v>
      </c>
      <c r="D858" t="str">
        <f>IF(LEN(TRIM(Controls_Raw!N858))=0,"Missing","OK")</f>
        <v>OK</v>
      </c>
      <c r="E858" t="str">
        <f>IF(OR(Controls_Raw!G858="USA",Controls_Raw!G858="UK"),"Standardize","OK")</f>
        <v>OK</v>
      </c>
      <c r="F858" t="str">
        <f>IF(Controls_Raw!E858&lt;&gt;TRIM(Controls_Raw!E858),"Trim","OK")</f>
        <v>OK</v>
      </c>
      <c r="G858" t="str">
        <f>IF(AND(Controls_Raw!L858&lt;DATE(2026,9,30),Controls_Raw!M858&lt;&gt;"Completed"),"Overdue","OK")</f>
        <v>OK</v>
      </c>
      <c r="H858" t="str">
        <f>IF(AND(Controls_Raw!Q858&lt;DATE(2026,9,30),Controls_Raw!R858&lt;&gt;"Completed",Controls_Raw!R858&lt;&gt;"Not Required"),"Overdue","OK")</f>
        <v>OK</v>
      </c>
      <c r="I858" t="str">
        <f t="shared" si="13"/>
        <v>Pass</v>
      </c>
    </row>
    <row r="859" spans="1:9" x14ac:dyDescent="0.2">
      <c r="A859" t="str">
        <f>Controls_Raw!A859</f>
        <v>CTRL-0855</v>
      </c>
      <c r="B859" t="str">
        <f>IF(COUNTIF(Controls_Raw!$A$5:$A$1504,A859)&gt;1,"Duplicate","OK")</f>
        <v>OK</v>
      </c>
      <c r="C859" t="str">
        <f>IF(LEN(TRIM(Controls_Raw!I859))=0,"Missing","OK")</f>
        <v>OK</v>
      </c>
      <c r="D859" t="str">
        <f>IF(LEN(TRIM(Controls_Raw!N859))=0,"Missing","OK")</f>
        <v>OK</v>
      </c>
      <c r="E859" t="str">
        <f>IF(OR(Controls_Raw!G859="USA",Controls_Raw!G859="UK"),"Standardize","OK")</f>
        <v>OK</v>
      </c>
      <c r="F859" t="str">
        <f>IF(Controls_Raw!E859&lt;&gt;TRIM(Controls_Raw!E859),"Trim","OK")</f>
        <v>OK</v>
      </c>
      <c r="G859" t="str">
        <f>IF(AND(Controls_Raw!L859&lt;DATE(2026,9,30),Controls_Raw!M859&lt;&gt;"Completed"),"Overdue","OK")</f>
        <v>OK</v>
      </c>
      <c r="H859" t="str">
        <f>IF(AND(Controls_Raw!Q859&lt;DATE(2026,9,30),Controls_Raw!R859&lt;&gt;"Completed",Controls_Raw!R859&lt;&gt;"Not Required"),"Overdue","OK")</f>
        <v>Overdue</v>
      </c>
      <c r="I859" t="str">
        <f t="shared" si="13"/>
        <v>Issue</v>
      </c>
    </row>
    <row r="860" spans="1:9" x14ac:dyDescent="0.2">
      <c r="A860" t="str">
        <f>Controls_Raw!A860</f>
        <v>CTRL-0856</v>
      </c>
      <c r="B860" t="str">
        <f>IF(COUNTIF(Controls_Raw!$A$5:$A$1504,A860)&gt;1,"Duplicate","OK")</f>
        <v>OK</v>
      </c>
      <c r="C860" t="str">
        <f>IF(LEN(TRIM(Controls_Raw!I860))=0,"Missing","OK")</f>
        <v>OK</v>
      </c>
      <c r="D860" t="str">
        <f>IF(LEN(TRIM(Controls_Raw!N860))=0,"Missing","OK")</f>
        <v>OK</v>
      </c>
      <c r="E860" t="str">
        <f>IF(OR(Controls_Raw!G860="USA",Controls_Raw!G860="UK"),"Standardize","OK")</f>
        <v>OK</v>
      </c>
      <c r="F860" t="str">
        <f>IF(Controls_Raw!E860&lt;&gt;TRIM(Controls_Raw!E860),"Trim","OK")</f>
        <v>OK</v>
      </c>
      <c r="G860" t="str">
        <f>IF(AND(Controls_Raw!L860&lt;DATE(2026,9,30),Controls_Raw!M860&lt;&gt;"Completed"),"Overdue","OK")</f>
        <v>OK</v>
      </c>
      <c r="H860" t="str">
        <f>IF(AND(Controls_Raw!Q860&lt;DATE(2026,9,30),Controls_Raw!R860&lt;&gt;"Completed",Controls_Raw!R860&lt;&gt;"Not Required"),"Overdue","OK")</f>
        <v>OK</v>
      </c>
      <c r="I860" t="str">
        <f t="shared" si="13"/>
        <v>Pass</v>
      </c>
    </row>
    <row r="861" spans="1:9" x14ac:dyDescent="0.2">
      <c r="A861" t="str">
        <f>Controls_Raw!A861</f>
        <v>CTRL-0857</v>
      </c>
      <c r="B861" t="str">
        <f>IF(COUNTIF(Controls_Raw!$A$5:$A$1504,A861)&gt;1,"Duplicate","OK")</f>
        <v>OK</v>
      </c>
      <c r="C861" t="str">
        <f>IF(LEN(TRIM(Controls_Raw!I861))=0,"Missing","OK")</f>
        <v>OK</v>
      </c>
      <c r="D861" t="str">
        <f>IF(LEN(TRIM(Controls_Raw!N861))=0,"Missing","OK")</f>
        <v>OK</v>
      </c>
      <c r="E861" t="str">
        <f>IF(OR(Controls_Raw!G861="USA",Controls_Raw!G861="UK"),"Standardize","OK")</f>
        <v>OK</v>
      </c>
      <c r="F861" t="str">
        <f>IF(Controls_Raw!E861&lt;&gt;TRIM(Controls_Raw!E861),"Trim","OK")</f>
        <v>OK</v>
      </c>
      <c r="G861" t="str">
        <f>IF(AND(Controls_Raw!L861&lt;DATE(2026,9,30),Controls_Raw!M861&lt;&gt;"Completed"),"Overdue","OK")</f>
        <v>Overdue</v>
      </c>
      <c r="H861" t="str">
        <f>IF(AND(Controls_Raw!Q861&lt;DATE(2026,9,30),Controls_Raw!R861&lt;&gt;"Completed",Controls_Raw!R861&lt;&gt;"Not Required"),"Overdue","OK")</f>
        <v>OK</v>
      </c>
      <c r="I861" t="str">
        <f t="shared" si="13"/>
        <v>Issue</v>
      </c>
    </row>
    <row r="862" spans="1:9" x14ac:dyDescent="0.2">
      <c r="A862" t="str">
        <f>Controls_Raw!A862</f>
        <v>CTRL-0858</v>
      </c>
      <c r="B862" t="str">
        <f>IF(COUNTIF(Controls_Raw!$A$5:$A$1504,A862)&gt;1,"Duplicate","OK")</f>
        <v>OK</v>
      </c>
      <c r="C862" t="str">
        <f>IF(LEN(TRIM(Controls_Raw!I862))=0,"Missing","OK")</f>
        <v>OK</v>
      </c>
      <c r="D862" t="str">
        <f>IF(LEN(TRIM(Controls_Raw!N862))=0,"Missing","OK")</f>
        <v>OK</v>
      </c>
      <c r="E862" t="str">
        <f>IF(OR(Controls_Raw!G862="USA",Controls_Raw!G862="UK"),"Standardize","OK")</f>
        <v>OK</v>
      </c>
      <c r="F862" t="str">
        <f>IF(Controls_Raw!E862&lt;&gt;TRIM(Controls_Raw!E862),"Trim","OK")</f>
        <v>OK</v>
      </c>
      <c r="G862" t="str">
        <f>IF(AND(Controls_Raw!L862&lt;DATE(2026,9,30),Controls_Raw!M862&lt;&gt;"Completed"),"Overdue","OK")</f>
        <v>Overdue</v>
      </c>
      <c r="H862" t="str">
        <f>IF(AND(Controls_Raw!Q862&lt;DATE(2026,9,30),Controls_Raw!R862&lt;&gt;"Completed",Controls_Raw!R862&lt;&gt;"Not Required"),"Overdue","OK")</f>
        <v>OK</v>
      </c>
      <c r="I862" t="str">
        <f t="shared" si="13"/>
        <v>Issue</v>
      </c>
    </row>
    <row r="863" spans="1:9" x14ac:dyDescent="0.2">
      <c r="A863" t="str">
        <f>Controls_Raw!A863</f>
        <v>CTRL-0859</v>
      </c>
      <c r="B863" t="str">
        <f>IF(COUNTIF(Controls_Raw!$A$5:$A$1504,A863)&gt;1,"Duplicate","OK")</f>
        <v>OK</v>
      </c>
      <c r="C863" t="str">
        <f>IF(LEN(TRIM(Controls_Raw!I863))=0,"Missing","OK")</f>
        <v>OK</v>
      </c>
      <c r="D863" t="str">
        <f>IF(LEN(TRIM(Controls_Raw!N863))=0,"Missing","OK")</f>
        <v>OK</v>
      </c>
      <c r="E863" t="str">
        <f>IF(OR(Controls_Raw!G863="USA",Controls_Raw!G863="UK"),"Standardize","OK")</f>
        <v>OK</v>
      </c>
      <c r="F863" t="str">
        <f>IF(Controls_Raw!E863&lt;&gt;TRIM(Controls_Raw!E863),"Trim","OK")</f>
        <v>OK</v>
      </c>
      <c r="G863" t="str">
        <f>IF(AND(Controls_Raw!L863&lt;DATE(2026,9,30),Controls_Raw!M863&lt;&gt;"Completed"),"Overdue","OK")</f>
        <v>Overdue</v>
      </c>
      <c r="H863" t="str">
        <f>IF(AND(Controls_Raw!Q863&lt;DATE(2026,9,30),Controls_Raw!R863&lt;&gt;"Completed",Controls_Raw!R863&lt;&gt;"Not Required"),"Overdue","OK")</f>
        <v>Overdue</v>
      </c>
      <c r="I863" t="str">
        <f t="shared" si="13"/>
        <v>Issue</v>
      </c>
    </row>
    <row r="864" spans="1:9" x14ac:dyDescent="0.2">
      <c r="A864" t="str">
        <f>Controls_Raw!A864</f>
        <v>CTRL-0860</v>
      </c>
      <c r="B864" t="str">
        <f>IF(COUNTIF(Controls_Raw!$A$5:$A$1504,A864)&gt;1,"Duplicate","OK")</f>
        <v>OK</v>
      </c>
      <c r="C864" t="str">
        <f>IF(LEN(TRIM(Controls_Raw!I864))=0,"Missing","OK")</f>
        <v>OK</v>
      </c>
      <c r="D864" t="str">
        <f>IF(LEN(TRIM(Controls_Raw!N864))=0,"Missing","OK")</f>
        <v>OK</v>
      </c>
      <c r="E864" t="str">
        <f>IF(OR(Controls_Raw!G864="USA",Controls_Raw!G864="UK"),"Standardize","OK")</f>
        <v>OK</v>
      </c>
      <c r="F864" t="str">
        <f>IF(Controls_Raw!E864&lt;&gt;TRIM(Controls_Raw!E864),"Trim","OK")</f>
        <v>OK</v>
      </c>
      <c r="G864" t="str">
        <f>IF(AND(Controls_Raw!L864&lt;DATE(2026,9,30),Controls_Raw!M864&lt;&gt;"Completed"),"Overdue","OK")</f>
        <v>Overdue</v>
      </c>
      <c r="H864" t="str">
        <f>IF(AND(Controls_Raw!Q864&lt;DATE(2026,9,30),Controls_Raw!R864&lt;&gt;"Completed",Controls_Raw!R864&lt;&gt;"Not Required"),"Overdue","OK")</f>
        <v>OK</v>
      </c>
      <c r="I864" t="str">
        <f t="shared" si="13"/>
        <v>Issue</v>
      </c>
    </row>
    <row r="865" spans="1:9" x14ac:dyDescent="0.2">
      <c r="A865" t="str">
        <f>Controls_Raw!A865</f>
        <v>CTRL-0861</v>
      </c>
      <c r="B865" t="str">
        <f>IF(COUNTIF(Controls_Raw!$A$5:$A$1504,A865)&gt;1,"Duplicate","OK")</f>
        <v>OK</v>
      </c>
      <c r="C865" t="str">
        <f>IF(LEN(TRIM(Controls_Raw!I865))=0,"Missing","OK")</f>
        <v>OK</v>
      </c>
      <c r="D865" t="str">
        <f>IF(LEN(TRIM(Controls_Raw!N865))=0,"Missing","OK")</f>
        <v>OK</v>
      </c>
      <c r="E865" t="str">
        <f>IF(OR(Controls_Raw!G865="USA",Controls_Raw!G865="UK"),"Standardize","OK")</f>
        <v>OK</v>
      </c>
      <c r="F865" t="str">
        <f>IF(Controls_Raw!E865&lt;&gt;TRIM(Controls_Raw!E865),"Trim","OK")</f>
        <v>OK</v>
      </c>
      <c r="G865" t="str">
        <f>IF(AND(Controls_Raw!L865&lt;DATE(2026,9,30),Controls_Raw!M865&lt;&gt;"Completed"),"Overdue","OK")</f>
        <v>OK</v>
      </c>
      <c r="H865" t="str">
        <f>IF(AND(Controls_Raw!Q865&lt;DATE(2026,9,30),Controls_Raw!R865&lt;&gt;"Completed",Controls_Raw!R865&lt;&gt;"Not Required"),"Overdue","OK")</f>
        <v>Overdue</v>
      </c>
      <c r="I865" t="str">
        <f t="shared" si="13"/>
        <v>Issue</v>
      </c>
    </row>
    <row r="866" spans="1:9" x14ac:dyDescent="0.2">
      <c r="A866" t="str">
        <f>Controls_Raw!A866</f>
        <v>CTRL-0862</v>
      </c>
      <c r="B866" t="str">
        <f>IF(COUNTIF(Controls_Raw!$A$5:$A$1504,A866)&gt;1,"Duplicate","OK")</f>
        <v>OK</v>
      </c>
      <c r="C866" t="str">
        <f>IF(LEN(TRIM(Controls_Raw!I866))=0,"Missing","OK")</f>
        <v>OK</v>
      </c>
      <c r="D866" t="str">
        <f>IF(LEN(TRIM(Controls_Raw!N866))=0,"Missing","OK")</f>
        <v>OK</v>
      </c>
      <c r="E866" t="str">
        <f>IF(OR(Controls_Raw!G866="USA",Controls_Raw!G866="UK"),"Standardize","OK")</f>
        <v>OK</v>
      </c>
      <c r="F866" t="str">
        <f>IF(Controls_Raw!E866&lt;&gt;TRIM(Controls_Raw!E866),"Trim","OK")</f>
        <v>OK</v>
      </c>
      <c r="G866" t="str">
        <f>IF(AND(Controls_Raw!L866&lt;DATE(2026,9,30),Controls_Raw!M866&lt;&gt;"Completed"),"Overdue","OK")</f>
        <v>Overdue</v>
      </c>
      <c r="H866" t="str">
        <f>IF(AND(Controls_Raw!Q866&lt;DATE(2026,9,30),Controls_Raw!R866&lt;&gt;"Completed",Controls_Raw!R866&lt;&gt;"Not Required"),"Overdue","OK")</f>
        <v>Overdue</v>
      </c>
      <c r="I866" t="str">
        <f t="shared" si="13"/>
        <v>Issue</v>
      </c>
    </row>
    <row r="867" spans="1:9" x14ac:dyDescent="0.2">
      <c r="A867" t="str">
        <f>Controls_Raw!A867</f>
        <v>CTRL-0863</v>
      </c>
      <c r="B867" t="str">
        <f>IF(COUNTIF(Controls_Raw!$A$5:$A$1504,A867)&gt;1,"Duplicate","OK")</f>
        <v>OK</v>
      </c>
      <c r="C867" t="str">
        <f>IF(LEN(TRIM(Controls_Raw!I867))=0,"Missing","OK")</f>
        <v>OK</v>
      </c>
      <c r="D867" t="str">
        <f>IF(LEN(TRIM(Controls_Raw!N867))=0,"Missing","OK")</f>
        <v>OK</v>
      </c>
      <c r="E867" t="str">
        <f>IF(OR(Controls_Raw!G867="USA",Controls_Raw!G867="UK"),"Standardize","OK")</f>
        <v>OK</v>
      </c>
      <c r="F867" t="str">
        <f>IF(Controls_Raw!E867&lt;&gt;TRIM(Controls_Raw!E867),"Trim","OK")</f>
        <v>OK</v>
      </c>
      <c r="G867" t="str">
        <f>IF(AND(Controls_Raw!L867&lt;DATE(2026,9,30),Controls_Raw!M867&lt;&gt;"Completed"),"Overdue","OK")</f>
        <v>OK</v>
      </c>
      <c r="H867" t="str">
        <f>IF(AND(Controls_Raw!Q867&lt;DATE(2026,9,30),Controls_Raw!R867&lt;&gt;"Completed",Controls_Raw!R867&lt;&gt;"Not Required"),"Overdue","OK")</f>
        <v>Overdue</v>
      </c>
      <c r="I867" t="str">
        <f t="shared" si="13"/>
        <v>Issue</v>
      </c>
    </row>
    <row r="868" spans="1:9" x14ac:dyDescent="0.2">
      <c r="A868" t="str">
        <f>Controls_Raw!A868</f>
        <v>CTRL-0864</v>
      </c>
      <c r="B868" t="str">
        <f>IF(COUNTIF(Controls_Raw!$A$5:$A$1504,A868)&gt;1,"Duplicate","OK")</f>
        <v>OK</v>
      </c>
      <c r="C868" t="str">
        <f>IF(LEN(TRIM(Controls_Raw!I868))=0,"Missing","OK")</f>
        <v>OK</v>
      </c>
      <c r="D868" t="str">
        <f>IF(LEN(TRIM(Controls_Raw!N868))=0,"Missing","OK")</f>
        <v>OK</v>
      </c>
      <c r="E868" t="str">
        <f>IF(OR(Controls_Raw!G868="USA",Controls_Raw!G868="UK"),"Standardize","OK")</f>
        <v>OK</v>
      </c>
      <c r="F868" t="str">
        <f>IF(Controls_Raw!E868&lt;&gt;TRIM(Controls_Raw!E868),"Trim","OK")</f>
        <v>OK</v>
      </c>
      <c r="G868" t="str">
        <f>IF(AND(Controls_Raw!L868&lt;DATE(2026,9,30),Controls_Raw!M868&lt;&gt;"Completed"),"Overdue","OK")</f>
        <v>OK</v>
      </c>
      <c r="H868" t="str">
        <f>IF(AND(Controls_Raw!Q868&lt;DATE(2026,9,30),Controls_Raw!R868&lt;&gt;"Completed",Controls_Raw!R868&lt;&gt;"Not Required"),"Overdue","OK")</f>
        <v>OK</v>
      </c>
      <c r="I868" t="str">
        <f t="shared" si="13"/>
        <v>Pass</v>
      </c>
    </row>
    <row r="869" spans="1:9" x14ac:dyDescent="0.2">
      <c r="A869" t="str">
        <f>Controls_Raw!A869</f>
        <v>CTRL-0865</v>
      </c>
      <c r="B869" t="str">
        <f>IF(COUNTIF(Controls_Raw!$A$5:$A$1504,A869)&gt;1,"Duplicate","OK")</f>
        <v>OK</v>
      </c>
      <c r="C869" t="str">
        <f>IF(LEN(TRIM(Controls_Raw!I869))=0,"Missing","OK")</f>
        <v>OK</v>
      </c>
      <c r="D869" t="str">
        <f>IF(LEN(TRIM(Controls_Raw!N869))=0,"Missing","OK")</f>
        <v>OK</v>
      </c>
      <c r="E869" t="str">
        <f>IF(OR(Controls_Raw!G869="USA",Controls_Raw!G869="UK"),"Standardize","OK")</f>
        <v>OK</v>
      </c>
      <c r="F869" t="str">
        <f>IF(Controls_Raw!E869&lt;&gt;TRIM(Controls_Raw!E869),"Trim","OK")</f>
        <v>OK</v>
      </c>
      <c r="G869" t="str">
        <f>IF(AND(Controls_Raw!L869&lt;DATE(2026,9,30),Controls_Raw!M869&lt;&gt;"Completed"),"Overdue","OK")</f>
        <v>OK</v>
      </c>
      <c r="H869" t="str">
        <f>IF(AND(Controls_Raw!Q869&lt;DATE(2026,9,30),Controls_Raw!R869&lt;&gt;"Completed",Controls_Raw!R869&lt;&gt;"Not Required"),"Overdue","OK")</f>
        <v>OK</v>
      </c>
      <c r="I869" t="str">
        <f t="shared" si="13"/>
        <v>Pass</v>
      </c>
    </row>
    <row r="870" spans="1:9" x14ac:dyDescent="0.2">
      <c r="A870" t="str">
        <f>Controls_Raw!A870</f>
        <v>CTRL-0866</v>
      </c>
      <c r="B870" t="str">
        <f>IF(COUNTIF(Controls_Raw!$A$5:$A$1504,A870)&gt;1,"Duplicate","OK")</f>
        <v>OK</v>
      </c>
      <c r="C870" t="str">
        <f>IF(LEN(TRIM(Controls_Raw!I870))=0,"Missing","OK")</f>
        <v>OK</v>
      </c>
      <c r="D870" t="str">
        <f>IF(LEN(TRIM(Controls_Raw!N870))=0,"Missing","OK")</f>
        <v>OK</v>
      </c>
      <c r="E870" t="str">
        <f>IF(OR(Controls_Raw!G870="USA",Controls_Raw!G870="UK"),"Standardize","OK")</f>
        <v>OK</v>
      </c>
      <c r="F870" t="str">
        <f>IF(Controls_Raw!E870&lt;&gt;TRIM(Controls_Raw!E870),"Trim","OK")</f>
        <v>OK</v>
      </c>
      <c r="G870" t="str">
        <f>IF(AND(Controls_Raw!L870&lt;DATE(2026,9,30),Controls_Raw!M870&lt;&gt;"Completed"),"Overdue","OK")</f>
        <v>OK</v>
      </c>
      <c r="H870" t="str">
        <f>IF(AND(Controls_Raw!Q870&lt;DATE(2026,9,30),Controls_Raw!R870&lt;&gt;"Completed",Controls_Raw!R870&lt;&gt;"Not Required"),"Overdue","OK")</f>
        <v>OK</v>
      </c>
      <c r="I870" t="str">
        <f t="shared" si="13"/>
        <v>Pass</v>
      </c>
    </row>
    <row r="871" spans="1:9" x14ac:dyDescent="0.2">
      <c r="A871" t="str">
        <f>Controls_Raw!A871</f>
        <v>CTRL-0867</v>
      </c>
      <c r="B871" t="str">
        <f>IF(COUNTIF(Controls_Raw!$A$5:$A$1504,A871)&gt;1,"Duplicate","OK")</f>
        <v>OK</v>
      </c>
      <c r="C871" t="str">
        <f>IF(LEN(TRIM(Controls_Raw!I871))=0,"Missing","OK")</f>
        <v>OK</v>
      </c>
      <c r="D871" t="str">
        <f>IF(LEN(TRIM(Controls_Raw!N871))=0,"Missing","OK")</f>
        <v>OK</v>
      </c>
      <c r="E871" t="str">
        <f>IF(OR(Controls_Raw!G871="USA",Controls_Raw!G871="UK"),"Standardize","OK")</f>
        <v>OK</v>
      </c>
      <c r="F871" t="str">
        <f>IF(Controls_Raw!E871&lt;&gt;TRIM(Controls_Raw!E871),"Trim","OK")</f>
        <v>OK</v>
      </c>
      <c r="G871" t="str">
        <f>IF(AND(Controls_Raw!L871&lt;DATE(2026,9,30),Controls_Raw!M871&lt;&gt;"Completed"),"Overdue","OK")</f>
        <v>OK</v>
      </c>
      <c r="H871" t="str">
        <f>IF(AND(Controls_Raw!Q871&lt;DATE(2026,9,30),Controls_Raw!R871&lt;&gt;"Completed",Controls_Raw!R871&lt;&gt;"Not Required"),"Overdue","OK")</f>
        <v>OK</v>
      </c>
      <c r="I871" t="str">
        <f t="shared" si="13"/>
        <v>Pass</v>
      </c>
    </row>
    <row r="872" spans="1:9" x14ac:dyDescent="0.2">
      <c r="A872" t="str">
        <f>Controls_Raw!A872</f>
        <v>CTRL-0868</v>
      </c>
      <c r="B872" t="str">
        <f>IF(COUNTIF(Controls_Raw!$A$5:$A$1504,A872)&gt;1,"Duplicate","OK")</f>
        <v>OK</v>
      </c>
      <c r="C872" t="str">
        <f>IF(LEN(TRIM(Controls_Raw!I872))=0,"Missing","OK")</f>
        <v>OK</v>
      </c>
      <c r="D872" t="str">
        <f>IF(LEN(TRIM(Controls_Raw!N872))=0,"Missing","OK")</f>
        <v>OK</v>
      </c>
      <c r="E872" t="str">
        <f>IF(OR(Controls_Raw!G872="USA",Controls_Raw!G872="UK"),"Standardize","OK")</f>
        <v>OK</v>
      </c>
      <c r="F872" t="str">
        <f>IF(Controls_Raw!E872&lt;&gt;TRIM(Controls_Raw!E872),"Trim","OK")</f>
        <v>OK</v>
      </c>
      <c r="G872" t="str">
        <f>IF(AND(Controls_Raw!L872&lt;DATE(2026,9,30),Controls_Raw!M872&lt;&gt;"Completed"),"Overdue","OK")</f>
        <v>Overdue</v>
      </c>
      <c r="H872" t="str">
        <f>IF(AND(Controls_Raw!Q872&lt;DATE(2026,9,30),Controls_Raw!R872&lt;&gt;"Completed",Controls_Raw!R872&lt;&gt;"Not Required"),"Overdue","OK")</f>
        <v>OK</v>
      </c>
      <c r="I872" t="str">
        <f t="shared" si="13"/>
        <v>Issue</v>
      </c>
    </row>
    <row r="873" spans="1:9" x14ac:dyDescent="0.2">
      <c r="A873" t="str">
        <f>Controls_Raw!A873</f>
        <v>CTRL-0869</v>
      </c>
      <c r="B873" t="str">
        <f>IF(COUNTIF(Controls_Raw!$A$5:$A$1504,A873)&gt;1,"Duplicate","OK")</f>
        <v>OK</v>
      </c>
      <c r="C873" t="str">
        <f>IF(LEN(TRIM(Controls_Raw!I873))=0,"Missing","OK")</f>
        <v>OK</v>
      </c>
      <c r="D873" t="str">
        <f>IF(LEN(TRIM(Controls_Raw!N873))=0,"Missing","OK")</f>
        <v>OK</v>
      </c>
      <c r="E873" t="str">
        <f>IF(OR(Controls_Raw!G873="USA",Controls_Raw!G873="UK"),"Standardize","OK")</f>
        <v>OK</v>
      </c>
      <c r="F873" t="str">
        <f>IF(Controls_Raw!E873&lt;&gt;TRIM(Controls_Raw!E873),"Trim","OK")</f>
        <v>OK</v>
      </c>
      <c r="G873" t="str">
        <f>IF(AND(Controls_Raw!L873&lt;DATE(2026,9,30),Controls_Raw!M873&lt;&gt;"Completed"),"Overdue","OK")</f>
        <v>OK</v>
      </c>
      <c r="H873" t="str">
        <f>IF(AND(Controls_Raw!Q873&lt;DATE(2026,9,30),Controls_Raw!R873&lt;&gt;"Completed",Controls_Raw!R873&lt;&gt;"Not Required"),"Overdue","OK")</f>
        <v>OK</v>
      </c>
      <c r="I873" t="str">
        <f t="shared" si="13"/>
        <v>Pass</v>
      </c>
    </row>
    <row r="874" spans="1:9" x14ac:dyDescent="0.2">
      <c r="A874" t="str">
        <f>Controls_Raw!A874</f>
        <v>CTRL-0870</v>
      </c>
      <c r="B874" t="str">
        <f>IF(COUNTIF(Controls_Raw!$A$5:$A$1504,A874)&gt;1,"Duplicate","OK")</f>
        <v>OK</v>
      </c>
      <c r="C874" t="str">
        <f>IF(LEN(TRIM(Controls_Raw!I874))=0,"Missing","OK")</f>
        <v>OK</v>
      </c>
      <c r="D874" t="str">
        <f>IF(LEN(TRIM(Controls_Raw!N874))=0,"Missing","OK")</f>
        <v>OK</v>
      </c>
      <c r="E874" t="str">
        <f>IF(OR(Controls_Raw!G874="USA",Controls_Raw!G874="UK"),"Standardize","OK")</f>
        <v>OK</v>
      </c>
      <c r="F874" t="str">
        <f>IF(Controls_Raw!E874&lt;&gt;TRIM(Controls_Raw!E874),"Trim","OK")</f>
        <v>OK</v>
      </c>
      <c r="G874" t="str">
        <f>IF(AND(Controls_Raw!L874&lt;DATE(2026,9,30),Controls_Raw!M874&lt;&gt;"Completed"),"Overdue","OK")</f>
        <v>OK</v>
      </c>
      <c r="H874" t="str">
        <f>IF(AND(Controls_Raw!Q874&lt;DATE(2026,9,30),Controls_Raw!R874&lt;&gt;"Completed",Controls_Raw!R874&lt;&gt;"Not Required"),"Overdue","OK")</f>
        <v>OK</v>
      </c>
      <c r="I874" t="str">
        <f t="shared" si="13"/>
        <v>Pass</v>
      </c>
    </row>
    <row r="875" spans="1:9" x14ac:dyDescent="0.2">
      <c r="A875" t="str">
        <f>Controls_Raw!A875</f>
        <v>CTRL-0871</v>
      </c>
      <c r="B875" t="str">
        <f>IF(COUNTIF(Controls_Raw!$A$5:$A$1504,A875)&gt;1,"Duplicate","OK")</f>
        <v>OK</v>
      </c>
      <c r="C875" t="str">
        <f>IF(LEN(TRIM(Controls_Raw!I875))=0,"Missing","OK")</f>
        <v>OK</v>
      </c>
      <c r="D875" t="str">
        <f>IF(LEN(TRIM(Controls_Raw!N875))=0,"Missing","OK")</f>
        <v>OK</v>
      </c>
      <c r="E875" t="str">
        <f>IF(OR(Controls_Raw!G875="USA",Controls_Raw!G875="UK"),"Standardize","OK")</f>
        <v>OK</v>
      </c>
      <c r="F875" t="str">
        <f>IF(Controls_Raw!E875&lt;&gt;TRIM(Controls_Raw!E875),"Trim","OK")</f>
        <v>OK</v>
      </c>
      <c r="G875" t="str">
        <f>IF(AND(Controls_Raw!L875&lt;DATE(2026,9,30),Controls_Raw!M875&lt;&gt;"Completed"),"Overdue","OK")</f>
        <v>OK</v>
      </c>
      <c r="H875" t="str">
        <f>IF(AND(Controls_Raw!Q875&lt;DATE(2026,9,30),Controls_Raw!R875&lt;&gt;"Completed",Controls_Raw!R875&lt;&gt;"Not Required"),"Overdue","OK")</f>
        <v>OK</v>
      </c>
      <c r="I875" t="str">
        <f t="shared" si="13"/>
        <v>Pass</v>
      </c>
    </row>
    <row r="876" spans="1:9" x14ac:dyDescent="0.2">
      <c r="A876" t="str">
        <f>Controls_Raw!A876</f>
        <v>CTRL-0872</v>
      </c>
      <c r="B876" t="str">
        <f>IF(COUNTIF(Controls_Raw!$A$5:$A$1504,A876)&gt;1,"Duplicate","OK")</f>
        <v>OK</v>
      </c>
      <c r="C876" t="str">
        <f>IF(LEN(TRIM(Controls_Raw!I876))=0,"Missing","OK")</f>
        <v>OK</v>
      </c>
      <c r="D876" t="str">
        <f>IF(LEN(TRIM(Controls_Raw!N876))=0,"Missing","OK")</f>
        <v>OK</v>
      </c>
      <c r="E876" t="str">
        <f>IF(OR(Controls_Raw!G876="USA",Controls_Raw!G876="UK"),"Standardize","OK")</f>
        <v>OK</v>
      </c>
      <c r="F876" t="str">
        <f>IF(Controls_Raw!E876&lt;&gt;TRIM(Controls_Raw!E876),"Trim","OK")</f>
        <v>OK</v>
      </c>
      <c r="G876" t="str">
        <f>IF(AND(Controls_Raw!L876&lt;DATE(2026,9,30),Controls_Raw!M876&lt;&gt;"Completed"),"Overdue","OK")</f>
        <v>OK</v>
      </c>
      <c r="H876" t="str">
        <f>IF(AND(Controls_Raw!Q876&lt;DATE(2026,9,30),Controls_Raw!R876&lt;&gt;"Completed",Controls_Raw!R876&lt;&gt;"Not Required"),"Overdue","OK")</f>
        <v>OK</v>
      </c>
      <c r="I876" t="str">
        <f t="shared" si="13"/>
        <v>Pass</v>
      </c>
    </row>
    <row r="877" spans="1:9" x14ac:dyDescent="0.2">
      <c r="A877" t="str">
        <f>Controls_Raw!A877</f>
        <v>CTRL-0873</v>
      </c>
      <c r="B877" t="str">
        <f>IF(COUNTIF(Controls_Raw!$A$5:$A$1504,A877)&gt;1,"Duplicate","OK")</f>
        <v>OK</v>
      </c>
      <c r="C877" t="str">
        <f>IF(LEN(TRIM(Controls_Raw!I877))=0,"Missing","OK")</f>
        <v>OK</v>
      </c>
      <c r="D877" t="str">
        <f>IF(LEN(TRIM(Controls_Raw!N877))=0,"Missing","OK")</f>
        <v>OK</v>
      </c>
      <c r="E877" t="str">
        <f>IF(OR(Controls_Raw!G877="USA",Controls_Raw!G877="UK"),"Standardize","OK")</f>
        <v>OK</v>
      </c>
      <c r="F877" t="str">
        <f>IF(Controls_Raw!E877&lt;&gt;TRIM(Controls_Raw!E877),"Trim","OK")</f>
        <v>OK</v>
      </c>
      <c r="G877" t="str">
        <f>IF(AND(Controls_Raw!L877&lt;DATE(2026,9,30),Controls_Raw!M877&lt;&gt;"Completed"),"Overdue","OK")</f>
        <v>OK</v>
      </c>
      <c r="H877" t="str">
        <f>IF(AND(Controls_Raw!Q877&lt;DATE(2026,9,30),Controls_Raw!R877&lt;&gt;"Completed",Controls_Raw!R877&lt;&gt;"Not Required"),"Overdue","OK")</f>
        <v>Overdue</v>
      </c>
      <c r="I877" t="str">
        <f t="shared" si="13"/>
        <v>Issue</v>
      </c>
    </row>
    <row r="878" spans="1:9" x14ac:dyDescent="0.2">
      <c r="A878" t="str">
        <f>Controls_Raw!A878</f>
        <v>CTRL-0874</v>
      </c>
      <c r="B878" t="str">
        <f>IF(COUNTIF(Controls_Raw!$A$5:$A$1504,A878)&gt;1,"Duplicate","OK")</f>
        <v>OK</v>
      </c>
      <c r="C878" t="str">
        <f>IF(LEN(TRIM(Controls_Raw!I878))=0,"Missing","OK")</f>
        <v>OK</v>
      </c>
      <c r="D878" t="str">
        <f>IF(LEN(TRIM(Controls_Raw!N878))=0,"Missing","OK")</f>
        <v>OK</v>
      </c>
      <c r="E878" t="str">
        <f>IF(OR(Controls_Raw!G878="USA",Controls_Raw!G878="UK"),"Standardize","OK")</f>
        <v>OK</v>
      </c>
      <c r="F878" t="str">
        <f>IF(Controls_Raw!E878&lt;&gt;TRIM(Controls_Raw!E878),"Trim","OK")</f>
        <v>OK</v>
      </c>
      <c r="G878" t="str">
        <f>IF(AND(Controls_Raw!L878&lt;DATE(2026,9,30),Controls_Raw!M878&lt;&gt;"Completed"),"Overdue","OK")</f>
        <v>Overdue</v>
      </c>
      <c r="H878" t="str">
        <f>IF(AND(Controls_Raw!Q878&lt;DATE(2026,9,30),Controls_Raw!R878&lt;&gt;"Completed",Controls_Raw!R878&lt;&gt;"Not Required"),"Overdue","OK")</f>
        <v>OK</v>
      </c>
      <c r="I878" t="str">
        <f t="shared" si="13"/>
        <v>Issue</v>
      </c>
    </row>
    <row r="879" spans="1:9" x14ac:dyDescent="0.2">
      <c r="A879" t="str">
        <f>Controls_Raw!A879</f>
        <v>CTRL-0875</v>
      </c>
      <c r="B879" t="str">
        <f>IF(COUNTIF(Controls_Raw!$A$5:$A$1504,A879)&gt;1,"Duplicate","OK")</f>
        <v>OK</v>
      </c>
      <c r="C879" t="str">
        <f>IF(LEN(TRIM(Controls_Raw!I879))=0,"Missing","OK")</f>
        <v>OK</v>
      </c>
      <c r="D879" t="str">
        <f>IF(LEN(TRIM(Controls_Raw!N879))=0,"Missing","OK")</f>
        <v>OK</v>
      </c>
      <c r="E879" t="str">
        <f>IF(OR(Controls_Raw!G879="USA",Controls_Raw!G879="UK"),"Standardize","OK")</f>
        <v>OK</v>
      </c>
      <c r="F879" t="str">
        <f>IF(Controls_Raw!E879&lt;&gt;TRIM(Controls_Raw!E879),"Trim","OK")</f>
        <v>OK</v>
      </c>
      <c r="G879" t="str">
        <f>IF(AND(Controls_Raw!L879&lt;DATE(2026,9,30),Controls_Raw!M879&lt;&gt;"Completed"),"Overdue","OK")</f>
        <v>Overdue</v>
      </c>
      <c r="H879" t="str">
        <f>IF(AND(Controls_Raw!Q879&lt;DATE(2026,9,30),Controls_Raw!R879&lt;&gt;"Completed",Controls_Raw!R879&lt;&gt;"Not Required"),"Overdue","OK")</f>
        <v>OK</v>
      </c>
      <c r="I879" t="str">
        <f t="shared" si="13"/>
        <v>Issue</v>
      </c>
    </row>
    <row r="880" spans="1:9" x14ac:dyDescent="0.2">
      <c r="A880" t="str">
        <f>Controls_Raw!A880</f>
        <v>CTRL-0876</v>
      </c>
      <c r="B880" t="str">
        <f>IF(COUNTIF(Controls_Raw!$A$5:$A$1504,A880)&gt;1,"Duplicate","OK")</f>
        <v>OK</v>
      </c>
      <c r="C880" t="str">
        <f>IF(LEN(TRIM(Controls_Raw!I880))=0,"Missing","OK")</f>
        <v>OK</v>
      </c>
      <c r="D880" t="str">
        <f>IF(LEN(TRIM(Controls_Raw!N880))=0,"Missing","OK")</f>
        <v>OK</v>
      </c>
      <c r="E880" t="str">
        <f>IF(OR(Controls_Raw!G880="USA",Controls_Raw!G880="UK"),"Standardize","OK")</f>
        <v>OK</v>
      </c>
      <c r="F880" t="str">
        <f>IF(Controls_Raw!E880&lt;&gt;TRIM(Controls_Raw!E880),"Trim","OK")</f>
        <v>OK</v>
      </c>
      <c r="G880" t="str">
        <f>IF(AND(Controls_Raw!L880&lt;DATE(2026,9,30),Controls_Raw!M880&lt;&gt;"Completed"),"Overdue","OK")</f>
        <v>Overdue</v>
      </c>
      <c r="H880" t="str">
        <f>IF(AND(Controls_Raw!Q880&lt;DATE(2026,9,30),Controls_Raw!R880&lt;&gt;"Completed",Controls_Raw!R880&lt;&gt;"Not Required"),"Overdue","OK")</f>
        <v>OK</v>
      </c>
      <c r="I880" t="str">
        <f t="shared" si="13"/>
        <v>Issue</v>
      </c>
    </row>
    <row r="881" spans="1:9" x14ac:dyDescent="0.2">
      <c r="A881" t="str">
        <f>Controls_Raw!A881</f>
        <v>CTRL-0877</v>
      </c>
      <c r="B881" t="str">
        <f>IF(COUNTIF(Controls_Raw!$A$5:$A$1504,A881)&gt;1,"Duplicate","OK")</f>
        <v>OK</v>
      </c>
      <c r="C881" t="str">
        <f>IF(LEN(TRIM(Controls_Raw!I881))=0,"Missing","OK")</f>
        <v>OK</v>
      </c>
      <c r="D881" t="str">
        <f>IF(LEN(TRIM(Controls_Raw!N881))=0,"Missing","OK")</f>
        <v>OK</v>
      </c>
      <c r="E881" t="str">
        <f>IF(OR(Controls_Raw!G881="USA",Controls_Raw!G881="UK"),"Standardize","OK")</f>
        <v>OK</v>
      </c>
      <c r="F881" t="str">
        <f>IF(Controls_Raw!E881&lt;&gt;TRIM(Controls_Raw!E881),"Trim","OK")</f>
        <v>Trim</v>
      </c>
      <c r="G881" t="str">
        <f>IF(AND(Controls_Raw!L881&lt;DATE(2026,9,30),Controls_Raw!M881&lt;&gt;"Completed"),"Overdue","OK")</f>
        <v>OK</v>
      </c>
      <c r="H881" t="str">
        <f>IF(AND(Controls_Raw!Q881&lt;DATE(2026,9,30),Controls_Raw!R881&lt;&gt;"Completed",Controls_Raw!R881&lt;&gt;"Not Required"),"Overdue","OK")</f>
        <v>OK</v>
      </c>
      <c r="I881" t="str">
        <f t="shared" si="13"/>
        <v>Issue</v>
      </c>
    </row>
    <row r="882" spans="1:9" x14ac:dyDescent="0.2">
      <c r="A882" t="str">
        <f>Controls_Raw!A882</f>
        <v>CTRL-0878</v>
      </c>
      <c r="B882" t="str">
        <f>IF(COUNTIF(Controls_Raw!$A$5:$A$1504,A882)&gt;1,"Duplicate","OK")</f>
        <v>OK</v>
      </c>
      <c r="C882" t="str">
        <f>IF(LEN(TRIM(Controls_Raw!I882))=0,"Missing","OK")</f>
        <v>OK</v>
      </c>
      <c r="D882" t="str">
        <f>IF(LEN(TRIM(Controls_Raw!N882))=0,"Missing","OK")</f>
        <v>OK</v>
      </c>
      <c r="E882" t="str">
        <f>IF(OR(Controls_Raw!G882="USA",Controls_Raw!G882="UK"),"Standardize","OK")</f>
        <v>OK</v>
      </c>
      <c r="F882" t="str">
        <f>IF(Controls_Raw!E882&lt;&gt;TRIM(Controls_Raw!E882),"Trim","OK")</f>
        <v>OK</v>
      </c>
      <c r="G882" t="str">
        <f>IF(AND(Controls_Raw!L882&lt;DATE(2026,9,30),Controls_Raw!M882&lt;&gt;"Completed"),"Overdue","OK")</f>
        <v>Overdue</v>
      </c>
      <c r="H882" t="str">
        <f>IF(AND(Controls_Raw!Q882&lt;DATE(2026,9,30),Controls_Raw!R882&lt;&gt;"Completed",Controls_Raw!R882&lt;&gt;"Not Required"),"Overdue","OK")</f>
        <v>OK</v>
      </c>
      <c r="I882" t="str">
        <f t="shared" si="13"/>
        <v>Issue</v>
      </c>
    </row>
    <row r="883" spans="1:9" x14ac:dyDescent="0.2">
      <c r="A883" t="str">
        <f>Controls_Raw!A883</f>
        <v>CTRL-0879</v>
      </c>
      <c r="B883" t="str">
        <f>IF(COUNTIF(Controls_Raw!$A$5:$A$1504,A883)&gt;1,"Duplicate","OK")</f>
        <v>OK</v>
      </c>
      <c r="C883" t="str">
        <f>IF(LEN(TRIM(Controls_Raw!I883))=0,"Missing","OK")</f>
        <v>OK</v>
      </c>
      <c r="D883" t="str">
        <f>IF(LEN(TRIM(Controls_Raw!N883))=0,"Missing","OK")</f>
        <v>OK</v>
      </c>
      <c r="E883" t="str">
        <f>IF(OR(Controls_Raw!G883="USA",Controls_Raw!G883="UK"),"Standardize","OK")</f>
        <v>OK</v>
      </c>
      <c r="F883" t="str">
        <f>IF(Controls_Raw!E883&lt;&gt;TRIM(Controls_Raw!E883),"Trim","OK")</f>
        <v>OK</v>
      </c>
      <c r="G883" t="str">
        <f>IF(AND(Controls_Raw!L883&lt;DATE(2026,9,30),Controls_Raw!M883&lt;&gt;"Completed"),"Overdue","OK")</f>
        <v>Overdue</v>
      </c>
      <c r="H883" t="str">
        <f>IF(AND(Controls_Raw!Q883&lt;DATE(2026,9,30),Controls_Raw!R883&lt;&gt;"Completed",Controls_Raw!R883&lt;&gt;"Not Required"),"Overdue","OK")</f>
        <v>Overdue</v>
      </c>
      <c r="I883" t="str">
        <f t="shared" si="13"/>
        <v>Issue</v>
      </c>
    </row>
    <row r="884" spans="1:9" x14ac:dyDescent="0.2">
      <c r="A884" t="str">
        <f>Controls_Raw!A884</f>
        <v>CTRL-0880</v>
      </c>
      <c r="B884" t="str">
        <f>IF(COUNTIF(Controls_Raw!$A$5:$A$1504,A884)&gt;1,"Duplicate","OK")</f>
        <v>OK</v>
      </c>
      <c r="C884" t="str">
        <f>IF(LEN(TRIM(Controls_Raw!I884))=0,"Missing","OK")</f>
        <v>OK</v>
      </c>
      <c r="D884" t="str">
        <f>IF(LEN(TRIM(Controls_Raw!N884))=0,"Missing","OK")</f>
        <v>OK</v>
      </c>
      <c r="E884" t="str">
        <f>IF(OR(Controls_Raw!G884="USA",Controls_Raw!G884="UK"),"Standardize","OK")</f>
        <v>OK</v>
      </c>
      <c r="F884" t="str">
        <f>IF(Controls_Raw!E884&lt;&gt;TRIM(Controls_Raw!E884),"Trim","OK")</f>
        <v>OK</v>
      </c>
      <c r="G884" t="str">
        <f>IF(AND(Controls_Raw!L884&lt;DATE(2026,9,30),Controls_Raw!M884&lt;&gt;"Completed"),"Overdue","OK")</f>
        <v>Overdue</v>
      </c>
      <c r="H884" t="str">
        <f>IF(AND(Controls_Raw!Q884&lt;DATE(2026,9,30),Controls_Raw!R884&lt;&gt;"Completed",Controls_Raw!R884&lt;&gt;"Not Required"),"Overdue","OK")</f>
        <v>OK</v>
      </c>
      <c r="I884" t="str">
        <f t="shared" si="13"/>
        <v>Issue</v>
      </c>
    </row>
    <row r="885" spans="1:9" x14ac:dyDescent="0.2">
      <c r="A885" t="str">
        <f>Controls_Raw!A885</f>
        <v>CTRL-0881</v>
      </c>
      <c r="B885" t="str">
        <f>IF(COUNTIF(Controls_Raw!$A$5:$A$1504,A885)&gt;1,"Duplicate","OK")</f>
        <v>OK</v>
      </c>
      <c r="C885" t="str">
        <f>IF(LEN(TRIM(Controls_Raw!I885))=0,"Missing","OK")</f>
        <v>OK</v>
      </c>
      <c r="D885" t="str">
        <f>IF(LEN(TRIM(Controls_Raw!N885))=0,"Missing","OK")</f>
        <v>OK</v>
      </c>
      <c r="E885" t="str">
        <f>IF(OR(Controls_Raw!G885="USA",Controls_Raw!G885="UK"),"Standardize","OK")</f>
        <v>OK</v>
      </c>
      <c r="F885" t="str">
        <f>IF(Controls_Raw!E885&lt;&gt;TRIM(Controls_Raw!E885),"Trim","OK")</f>
        <v>OK</v>
      </c>
      <c r="G885" t="str">
        <f>IF(AND(Controls_Raw!L885&lt;DATE(2026,9,30),Controls_Raw!M885&lt;&gt;"Completed"),"Overdue","OK")</f>
        <v>Overdue</v>
      </c>
      <c r="H885" t="str">
        <f>IF(AND(Controls_Raw!Q885&lt;DATE(2026,9,30),Controls_Raw!R885&lt;&gt;"Completed",Controls_Raw!R885&lt;&gt;"Not Required"),"Overdue","OK")</f>
        <v>OK</v>
      </c>
      <c r="I885" t="str">
        <f t="shared" si="13"/>
        <v>Issue</v>
      </c>
    </row>
    <row r="886" spans="1:9" x14ac:dyDescent="0.2">
      <c r="A886" t="str">
        <f>Controls_Raw!A886</f>
        <v>CTRL-0882</v>
      </c>
      <c r="B886" t="str">
        <f>IF(COUNTIF(Controls_Raw!$A$5:$A$1504,A886)&gt;1,"Duplicate","OK")</f>
        <v>OK</v>
      </c>
      <c r="C886" t="str">
        <f>IF(LEN(TRIM(Controls_Raw!I886))=0,"Missing","OK")</f>
        <v>OK</v>
      </c>
      <c r="D886" t="str">
        <f>IF(LEN(TRIM(Controls_Raw!N886))=0,"Missing","OK")</f>
        <v>OK</v>
      </c>
      <c r="E886" t="str">
        <f>IF(OR(Controls_Raw!G886="USA",Controls_Raw!G886="UK"),"Standardize","OK")</f>
        <v>OK</v>
      </c>
      <c r="F886" t="str">
        <f>IF(Controls_Raw!E886&lt;&gt;TRIM(Controls_Raw!E886),"Trim","OK")</f>
        <v>OK</v>
      </c>
      <c r="G886" t="str">
        <f>IF(AND(Controls_Raw!L886&lt;DATE(2026,9,30),Controls_Raw!M886&lt;&gt;"Completed"),"Overdue","OK")</f>
        <v>OK</v>
      </c>
      <c r="H886" t="str">
        <f>IF(AND(Controls_Raw!Q886&lt;DATE(2026,9,30),Controls_Raw!R886&lt;&gt;"Completed",Controls_Raw!R886&lt;&gt;"Not Required"),"Overdue","OK")</f>
        <v>OK</v>
      </c>
      <c r="I886" t="str">
        <f t="shared" si="13"/>
        <v>Pass</v>
      </c>
    </row>
    <row r="887" spans="1:9" x14ac:dyDescent="0.2">
      <c r="A887" t="str">
        <f>Controls_Raw!A887</f>
        <v>CTRL-0883</v>
      </c>
      <c r="B887" t="str">
        <f>IF(COUNTIF(Controls_Raw!$A$5:$A$1504,A887)&gt;1,"Duplicate","OK")</f>
        <v>OK</v>
      </c>
      <c r="C887" t="str">
        <f>IF(LEN(TRIM(Controls_Raw!I887))=0,"Missing","OK")</f>
        <v>OK</v>
      </c>
      <c r="D887" t="str">
        <f>IF(LEN(TRIM(Controls_Raw!N887))=0,"Missing","OK")</f>
        <v>OK</v>
      </c>
      <c r="E887" t="str">
        <f>IF(OR(Controls_Raw!G887="USA",Controls_Raw!G887="UK"),"Standardize","OK")</f>
        <v>OK</v>
      </c>
      <c r="F887" t="str">
        <f>IF(Controls_Raw!E887&lt;&gt;TRIM(Controls_Raw!E887),"Trim","OK")</f>
        <v>OK</v>
      </c>
      <c r="G887" t="str">
        <f>IF(AND(Controls_Raw!L887&lt;DATE(2026,9,30),Controls_Raw!M887&lt;&gt;"Completed"),"Overdue","OK")</f>
        <v>Overdue</v>
      </c>
      <c r="H887" t="str">
        <f>IF(AND(Controls_Raw!Q887&lt;DATE(2026,9,30),Controls_Raw!R887&lt;&gt;"Completed",Controls_Raw!R887&lt;&gt;"Not Required"),"Overdue","OK")</f>
        <v>OK</v>
      </c>
      <c r="I887" t="str">
        <f t="shared" si="13"/>
        <v>Issue</v>
      </c>
    </row>
    <row r="888" spans="1:9" x14ac:dyDescent="0.2">
      <c r="A888" t="str">
        <f>Controls_Raw!A888</f>
        <v>CTRL-0884</v>
      </c>
      <c r="B888" t="str">
        <f>IF(COUNTIF(Controls_Raw!$A$5:$A$1504,A888)&gt;1,"Duplicate","OK")</f>
        <v>OK</v>
      </c>
      <c r="C888" t="str">
        <f>IF(LEN(TRIM(Controls_Raw!I888))=0,"Missing","OK")</f>
        <v>OK</v>
      </c>
      <c r="D888" t="str">
        <f>IF(LEN(TRIM(Controls_Raw!N888))=0,"Missing","OK")</f>
        <v>OK</v>
      </c>
      <c r="E888" t="str">
        <f>IF(OR(Controls_Raw!G888="USA",Controls_Raw!G888="UK"),"Standardize","OK")</f>
        <v>OK</v>
      </c>
      <c r="F888" t="str">
        <f>IF(Controls_Raw!E888&lt;&gt;TRIM(Controls_Raw!E888),"Trim","OK")</f>
        <v>OK</v>
      </c>
      <c r="G888" t="str">
        <f>IF(AND(Controls_Raw!L888&lt;DATE(2026,9,30),Controls_Raw!M888&lt;&gt;"Completed"),"Overdue","OK")</f>
        <v>Overdue</v>
      </c>
      <c r="H888" t="str">
        <f>IF(AND(Controls_Raw!Q888&lt;DATE(2026,9,30),Controls_Raw!R888&lt;&gt;"Completed",Controls_Raw!R888&lt;&gt;"Not Required"),"Overdue","OK")</f>
        <v>OK</v>
      </c>
      <c r="I888" t="str">
        <f t="shared" si="13"/>
        <v>Issue</v>
      </c>
    </row>
    <row r="889" spans="1:9" x14ac:dyDescent="0.2">
      <c r="A889" t="str">
        <f>Controls_Raw!A889</f>
        <v>CTRL-0885</v>
      </c>
      <c r="B889" t="str">
        <f>IF(COUNTIF(Controls_Raw!$A$5:$A$1504,A889)&gt;1,"Duplicate","OK")</f>
        <v>OK</v>
      </c>
      <c r="C889" t="str">
        <f>IF(LEN(TRIM(Controls_Raw!I889))=0,"Missing","OK")</f>
        <v>OK</v>
      </c>
      <c r="D889" t="str">
        <f>IF(LEN(TRIM(Controls_Raw!N889))=0,"Missing","OK")</f>
        <v>OK</v>
      </c>
      <c r="E889" t="str">
        <f>IF(OR(Controls_Raw!G889="USA",Controls_Raw!G889="UK"),"Standardize","OK")</f>
        <v>OK</v>
      </c>
      <c r="F889" t="str">
        <f>IF(Controls_Raw!E889&lt;&gt;TRIM(Controls_Raw!E889),"Trim","OK")</f>
        <v>OK</v>
      </c>
      <c r="G889" t="str">
        <f>IF(AND(Controls_Raw!L889&lt;DATE(2026,9,30),Controls_Raw!M889&lt;&gt;"Completed"),"Overdue","OK")</f>
        <v>Overdue</v>
      </c>
      <c r="H889" t="str">
        <f>IF(AND(Controls_Raw!Q889&lt;DATE(2026,9,30),Controls_Raw!R889&lt;&gt;"Completed",Controls_Raw!R889&lt;&gt;"Not Required"),"Overdue","OK")</f>
        <v>OK</v>
      </c>
      <c r="I889" t="str">
        <f t="shared" si="13"/>
        <v>Issue</v>
      </c>
    </row>
    <row r="890" spans="1:9" x14ac:dyDescent="0.2">
      <c r="A890" t="str">
        <f>Controls_Raw!A890</f>
        <v>CTRL-0886</v>
      </c>
      <c r="B890" t="str">
        <f>IF(COUNTIF(Controls_Raw!$A$5:$A$1504,A890)&gt;1,"Duplicate","OK")</f>
        <v>OK</v>
      </c>
      <c r="C890" t="str">
        <f>IF(LEN(TRIM(Controls_Raw!I890))=0,"Missing","OK")</f>
        <v>OK</v>
      </c>
      <c r="D890" t="str">
        <f>IF(LEN(TRIM(Controls_Raw!N890))=0,"Missing","OK")</f>
        <v>OK</v>
      </c>
      <c r="E890" t="str">
        <f>IF(OR(Controls_Raw!G890="USA",Controls_Raw!G890="UK"),"Standardize","OK")</f>
        <v>OK</v>
      </c>
      <c r="F890" t="str">
        <f>IF(Controls_Raw!E890&lt;&gt;TRIM(Controls_Raw!E890),"Trim","OK")</f>
        <v>OK</v>
      </c>
      <c r="G890" t="str">
        <f>IF(AND(Controls_Raw!L890&lt;DATE(2026,9,30),Controls_Raw!M890&lt;&gt;"Completed"),"Overdue","OK")</f>
        <v>OK</v>
      </c>
      <c r="H890" t="str">
        <f>IF(AND(Controls_Raw!Q890&lt;DATE(2026,9,30),Controls_Raw!R890&lt;&gt;"Completed",Controls_Raw!R890&lt;&gt;"Not Required"),"Overdue","OK")</f>
        <v>OK</v>
      </c>
      <c r="I890" t="str">
        <f t="shared" si="13"/>
        <v>Pass</v>
      </c>
    </row>
    <row r="891" spans="1:9" x14ac:dyDescent="0.2">
      <c r="A891" t="str">
        <f>Controls_Raw!A891</f>
        <v>CTRL-0887</v>
      </c>
      <c r="B891" t="str">
        <f>IF(COUNTIF(Controls_Raw!$A$5:$A$1504,A891)&gt;1,"Duplicate","OK")</f>
        <v>OK</v>
      </c>
      <c r="C891" t="str">
        <f>IF(LEN(TRIM(Controls_Raw!I891))=0,"Missing","OK")</f>
        <v>OK</v>
      </c>
      <c r="D891" t="str">
        <f>IF(LEN(TRIM(Controls_Raw!N891))=0,"Missing","OK")</f>
        <v>OK</v>
      </c>
      <c r="E891" t="str">
        <f>IF(OR(Controls_Raw!G891="USA",Controls_Raw!G891="UK"),"Standardize","OK")</f>
        <v>OK</v>
      </c>
      <c r="F891" t="str">
        <f>IF(Controls_Raw!E891&lt;&gt;TRIM(Controls_Raw!E891),"Trim","OK")</f>
        <v>OK</v>
      </c>
      <c r="G891" t="str">
        <f>IF(AND(Controls_Raw!L891&lt;DATE(2026,9,30),Controls_Raw!M891&lt;&gt;"Completed"),"Overdue","OK")</f>
        <v>OK</v>
      </c>
      <c r="H891" t="str">
        <f>IF(AND(Controls_Raw!Q891&lt;DATE(2026,9,30),Controls_Raw!R891&lt;&gt;"Completed",Controls_Raw!R891&lt;&gt;"Not Required"),"Overdue","OK")</f>
        <v>OK</v>
      </c>
      <c r="I891" t="str">
        <f t="shared" si="13"/>
        <v>Pass</v>
      </c>
    </row>
    <row r="892" spans="1:9" x14ac:dyDescent="0.2">
      <c r="A892" t="str">
        <f>Controls_Raw!A892</f>
        <v>CTRL-0888</v>
      </c>
      <c r="B892" t="str">
        <f>IF(COUNTIF(Controls_Raw!$A$5:$A$1504,A892)&gt;1,"Duplicate","OK")</f>
        <v>OK</v>
      </c>
      <c r="C892" t="str">
        <f>IF(LEN(TRIM(Controls_Raw!I892))=0,"Missing","OK")</f>
        <v>OK</v>
      </c>
      <c r="D892" t="str">
        <f>IF(LEN(TRIM(Controls_Raw!N892))=0,"Missing","OK")</f>
        <v>OK</v>
      </c>
      <c r="E892" t="str">
        <f>IF(OR(Controls_Raw!G892="USA",Controls_Raw!G892="UK"),"Standardize","OK")</f>
        <v>OK</v>
      </c>
      <c r="F892" t="str">
        <f>IF(Controls_Raw!E892&lt;&gt;TRIM(Controls_Raw!E892),"Trim","OK")</f>
        <v>OK</v>
      </c>
      <c r="G892" t="str">
        <f>IF(AND(Controls_Raw!L892&lt;DATE(2026,9,30),Controls_Raw!M892&lt;&gt;"Completed"),"Overdue","OK")</f>
        <v>Overdue</v>
      </c>
      <c r="H892" t="str">
        <f>IF(AND(Controls_Raw!Q892&lt;DATE(2026,9,30),Controls_Raw!R892&lt;&gt;"Completed",Controls_Raw!R892&lt;&gt;"Not Required"),"Overdue","OK")</f>
        <v>Overdue</v>
      </c>
      <c r="I892" t="str">
        <f t="shared" si="13"/>
        <v>Issue</v>
      </c>
    </row>
    <row r="893" spans="1:9" x14ac:dyDescent="0.2">
      <c r="A893" t="str">
        <f>Controls_Raw!A893</f>
        <v>CTRL-0889</v>
      </c>
      <c r="B893" t="str">
        <f>IF(COUNTIF(Controls_Raw!$A$5:$A$1504,A893)&gt;1,"Duplicate","OK")</f>
        <v>OK</v>
      </c>
      <c r="C893" t="str">
        <f>IF(LEN(TRIM(Controls_Raw!I893))=0,"Missing","OK")</f>
        <v>OK</v>
      </c>
      <c r="D893" t="str">
        <f>IF(LEN(TRIM(Controls_Raw!N893))=0,"Missing","OK")</f>
        <v>OK</v>
      </c>
      <c r="E893" t="str">
        <f>IF(OR(Controls_Raw!G893="USA",Controls_Raw!G893="UK"),"Standardize","OK")</f>
        <v>OK</v>
      </c>
      <c r="F893" t="str">
        <f>IF(Controls_Raw!E893&lt;&gt;TRIM(Controls_Raw!E893),"Trim","OK")</f>
        <v>OK</v>
      </c>
      <c r="G893" t="str">
        <f>IF(AND(Controls_Raw!L893&lt;DATE(2026,9,30),Controls_Raw!M893&lt;&gt;"Completed"),"Overdue","OK")</f>
        <v>Overdue</v>
      </c>
      <c r="H893" t="str">
        <f>IF(AND(Controls_Raw!Q893&lt;DATE(2026,9,30),Controls_Raw!R893&lt;&gt;"Completed",Controls_Raw!R893&lt;&gt;"Not Required"),"Overdue","OK")</f>
        <v>Overdue</v>
      </c>
      <c r="I893" t="str">
        <f t="shared" si="13"/>
        <v>Issue</v>
      </c>
    </row>
    <row r="894" spans="1:9" x14ac:dyDescent="0.2">
      <c r="A894" t="str">
        <f>Controls_Raw!A894</f>
        <v>CTRL-0890</v>
      </c>
      <c r="B894" t="str">
        <f>IF(COUNTIF(Controls_Raw!$A$5:$A$1504,A894)&gt;1,"Duplicate","OK")</f>
        <v>OK</v>
      </c>
      <c r="C894" t="str">
        <f>IF(LEN(TRIM(Controls_Raw!I894))=0,"Missing","OK")</f>
        <v>OK</v>
      </c>
      <c r="D894" t="str">
        <f>IF(LEN(TRIM(Controls_Raw!N894))=0,"Missing","OK")</f>
        <v>OK</v>
      </c>
      <c r="E894" t="str">
        <f>IF(OR(Controls_Raw!G894="USA",Controls_Raw!G894="UK"),"Standardize","OK")</f>
        <v>OK</v>
      </c>
      <c r="F894" t="str">
        <f>IF(Controls_Raw!E894&lt;&gt;TRIM(Controls_Raw!E894),"Trim","OK")</f>
        <v>OK</v>
      </c>
      <c r="G894" t="str">
        <f>IF(AND(Controls_Raw!L894&lt;DATE(2026,9,30),Controls_Raw!M894&lt;&gt;"Completed"),"Overdue","OK")</f>
        <v>Overdue</v>
      </c>
      <c r="H894" t="str">
        <f>IF(AND(Controls_Raw!Q894&lt;DATE(2026,9,30),Controls_Raw!R894&lt;&gt;"Completed",Controls_Raw!R894&lt;&gt;"Not Required"),"Overdue","OK")</f>
        <v>OK</v>
      </c>
      <c r="I894" t="str">
        <f t="shared" si="13"/>
        <v>Issue</v>
      </c>
    </row>
    <row r="895" spans="1:9" x14ac:dyDescent="0.2">
      <c r="A895" t="str">
        <f>Controls_Raw!A895</f>
        <v>CTRL-0891</v>
      </c>
      <c r="B895" t="str">
        <f>IF(COUNTIF(Controls_Raw!$A$5:$A$1504,A895)&gt;1,"Duplicate","OK")</f>
        <v>OK</v>
      </c>
      <c r="C895" t="str">
        <f>IF(LEN(TRIM(Controls_Raw!I895))=0,"Missing","OK")</f>
        <v>OK</v>
      </c>
      <c r="D895" t="str">
        <f>IF(LEN(TRIM(Controls_Raw!N895))=0,"Missing","OK")</f>
        <v>OK</v>
      </c>
      <c r="E895" t="str">
        <f>IF(OR(Controls_Raw!G895="USA",Controls_Raw!G895="UK"),"Standardize","OK")</f>
        <v>OK</v>
      </c>
      <c r="F895" t="str">
        <f>IF(Controls_Raw!E895&lt;&gt;TRIM(Controls_Raw!E895),"Trim","OK")</f>
        <v>OK</v>
      </c>
      <c r="G895" t="str">
        <f>IF(AND(Controls_Raw!L895&lt;DATE(2026,9,30),Controls_Raw!M895&lt;&gt;"Completed"),"Overdue","OK")</f>
        <v>OK</v>
      </c>
      <c r="H895" t="str">
        <f>IF(AND(Controls_Raw!Q895&lt;DATE(2026,9,30),Controls_Raw!R895&lt;&gt;"Completed",Controls_Raw!R895&lt;&gt;"Not Required"),"Overdue","OK")</f>
        <v>OK</v>
      </c>
      <c r="I895" t="str">
        <f t="shared" si="13"/>
        <v>Pass</v>
      </c>
    </row>
    <row r="896" spans="1:9" x14ac:dyDescent="0.2">
      <c r="A896" t="str">
        <f>Controls_Raw!A896</f>
        <v>CTRL-0892</v>
      </c>
      <c r="B896" t="str">
        <f>IF(COUNTIF(Controls_Raw!$A$5:$A$1504,A896)&gt;1,"Duplicate","OK")</f>
        <v>OK</v>
      </c>
      <c r="C896" t="str">
        <f>IF(LEN(TRIM(Controls_Raw!I896))=0,"Missing","OK")</f>
        <v>OK</v>
      </c>
      <c r="D896" t="str">
        <f>IF(LEN(TRIM(Controls_Raw!N896))=0,"Missing","OK")</f>
        <v>OK</v>
      </c>
      <c r="E896" t="str">
        <f>IF(OR(Controls_Raw!G896="USA",Controls_Raw!G896="UK"),"Standardize","OK")</f>
        <v>OK</v>
      </c>
      <c r="F896" t="str">
        <f>IF(Controls_Raw!E896&lt;&gt;TRIM(Controls_Raw!E896),"Trim","OK")</f>
        <v>OK</v>
      </c>
      <c r="G896" t="str">
        <f>IF(AND(Controls_Raw!L896&lt;DATE(2026,9,30),Controls_Raw!M896&lt;&gt;"Completed"),"Overdue","OK")</f>
        <v>OK</v>
      </c>
      <c r="H896" t="str">
        <f>IF(AND(Controls_Raw!Q896&lt;DATE(2026,9,30),Controls_Raw!R896&lt;&gt;"Completed",Controls_Raw!R896&lt;&gt;"Not Required"),"Overdue","OK")</f>
        <v>Overdue</v>
      </c>
      <c r="I896" t="str">
        <f t="shared" si="13"/>
        <v>Issue</v>
      </c>
    </row>
    <row r="897" spans="1:9" x14ac:dyDescent="0.2">
      <c r="A897" t="str">
        <f>Controls_Raw!A897</f>
        <v>CTRL-0893</v>
      </c>
      <c r="B897" t="str">
        <f>IF(COUNTIF(Controls_Raw!$A$5:$A$1504,A897)&gt;1,"Duplicate","OK")</f>
        <v>OK</v>
      </c>
      <c r="C897" t="str">
        <f>IF(LEN(TRIM(Controls_Raw!I897))=0,"Missing","OK")</f>
        <v>OK</v>
      </c>
      <c r="D897" t="str">
        <f>IF(LEN(TRIM(Controls_Raw!N897))=0,"Missing","OK")</f>
        <v>OK</v>
      </c>
      <c r="E897" t="str">
        <f>IF(OR(Controls_Raw!G897="USA",Controls_Raw!G897="UK"),"Standardize","OK")</f>
        <v>OK</v>
      </c>
      <c r="F897" t="str">
        <f>IF(Controls_Raw!E897&lt;&gt;TRIM(Controls_Raw!E897),"Trim","OK")</f>
        <v>OK</v>
      </c>
      <c r="G897" t="str">
        <f>IF(AND(Controls_Raw!L897&lt;DATE(2026,9,30),Controls_Raw!M897&lt;&gt;"Completed"),"Overdue","OK")</f>
        <v>OK</v>
      </c>
      <c r="H897" t="str">
        <f>IF(AND(Controls_Raw!Q897&lt;DATE(2026,9,30),Controls_Raw!R897&lt;&gt;"Completed",Controls_Raw!R897&lt;&gt;"Not Required"),"Overdue","OK")</f>
        <v>OK</v>
      </c>
      <c r="I897" t="str">
        <f t="shared" si="13"/>
        <v>Pass</v>
      </c>
    </row>
    <row r="898" spans="1:9" x14ac:dyDescent="0.2">
      <c r="A898" t="str">
        <f>Controls_Raw!A898</f>
        <v>CTRL-0894</v>
      </c>
      <c r="B898" t="str">
        <f>IF(COUNTIF(Controls_Raw!$A$5:$A$1504,A898)&gt;1,"Duplicate","OK")</f>
        <v>OK</v>
      </c>
      <c r="C898" t="str">
        <f>IF(LEN(TRIM(Controls_Raw!I898))=0,"Missing","OK")</f>
        <v>Missing</v>
      </c>
      <c r="D898" t="str">
        <f>IF(LEN(TRIM(Controls_Raw!N898))=0,"Missing","OK")</f>
        <v>OK</v>
      </c>
      <c r="E898" t="str">
        <f>IF(OR(Controls_Raw!G898="USA",Controls_Raw!G898="UK"),"Standardize","OK")</f>
        <v>OK</v>
      </c>
      <c r="F898" t="str">
        <f>IF(Controls_Raw!E898&lt;&gt;TRIM(Controls_Raw!E898),"Trim","OK")</f>
        <v>OK</v>
      </c>
      <c r="G898" t="str">
        <f>IF(AND(Controls_Raw!L898&lt;DATE(2026,9,30),Controls_Raw!M898&lt;&gt;"Completed"),"Overdue","OK")</f>
        <v>Overdue</v>
      </c>
      <c r="H898" t="str">
        <f>IF(AND(Controls_Raw!Q898&lt;DATE(2026,9,30),Controls_Raw!R898&lt;&gt;"Completed",Controls_Raw!R898&lt;&gt;"Not Required"),"Overdue","OK")</f>
        <v>OK</v>
      </c>
      <c r="I898" t="str">
        <f t="shared" si="13"/>
        <v>Issue</v>
      </c>
    </row>
    <row r="899" spans="1:9" x14ac:dyDescent="0.2">
      <c r="A899" t="str">
        <f>Controls_Raw!A899</f>
        <v>CTRL-0895</v>
      </c>
      <c r="B899" t="str">
        <f>IF(COUNTIF(Controls_Raw!$A$5:$A$1504,A899)&gt;1,"Duplicate","OK")</f>
        <v>OK</v>
      </c>
      <c r="C899" t="str">
        <f>IF(LEN(TRIM(Controls_Raw!I899))=0,"Missing","OK")</f>
        <v>OK</v>
      </c>
      <c r="D899" t="str">
        <f>IF(LEN(TRIM(Controls_Raw!N899))=0,"Missing","OK")</f>
        <v>OK</v>
      </c>
      <c r="E899" t="str">
        <f>IF(OR(Controls_Raw!G899="USA",Controls_Raw!G899="UK"),"Standardize","OK")</f>
        <v>OK</v>
      </c>
      <c r="F899" t="str">
        <f>IF(Controls_Raw!E899&lt;&gt;TRIM(Controls_Raw!E899),"Trim","OK")</f>
        <v>OK</v>
      </c>
      <c r="G899" t="str">
        <f>IF(AND(Controls_Raw!L899&lt;DATE(2026,9,30),Controls_Raw!M899&lt;&gt;"Completed"),"Overdue","OK")</f>
        <v>OK</v>
      </c>
      <c r="H899" t="str">
        <f>IF(AND(Controls_Raw!Q899&lt;DATE(2026,9,30),Controls_Raw!R899&lt;&gt;"Completed",Controls_Raw!R899&lt;&gt;"Not Required"),"Overdue","OK")</f>
        <v>OK</v>
      </c>
      <c r="I899" t="str">
        <f t="shared" si="13"/>
        <v>Pass</v>
      </c>
    </row>
    <row r="900" spans="1:9" x14ac:dyDescent="0.2">
      <c r="A900" t="str">
        <f>Controls_Raw!A900</f>
        <v>CTRL-0896</v>
      </c>
      <c r="B900" t="str">
        <f>IF(COUNTIF(Controls_Raw!$A$5:$A$1504,A900)&gt;1,"Duplicate","OK")</f>
        <v>OK</v>
      </c>
      <c r="C900" t="str">
        <f>IF(LEN(TRIM(Controls_Raw!I900))=0,"Missing","OK")</f>
        <v>OK</v>
      </c>
      <c r="D900" t="str">
        <f>IF(LEN(TRIM(Controls_Raw!N900))=0,"Missing","OK")</f>
        <v>OK</v>
      </c>
      <c r="E900" t="str">
        <f>IF(OR(Controls_Raw!G900="USA",Controls_Raw!G900="UK"),"Standardize","OK")</f>
        <v>OK</v>
      </c>
      <c r="F900" t="str">
        <f>IF(Controls_Raw!E900&lt;&gt;TRIM(Controls_Raw!E900),"Trim","OK")</f>
        <v>OK</v>
      </c>
      <c r="G900" t="str">
        <f>IF(AND(Controls_Raw!L900&lt;DATE(2026,9,30),Controls_Raw!M900&lt;&gt;"Completed"),"Overdue","OK")</f>
        <v>OK</v>
      </c>
      <c r="H900" t="str">
        <f>IF(AND(Controls_Raw!Q900&lt;DATE(2026,9,30),Controls_Raw!R900&lt;&gt;"Completed",Controls_Raw!R900&lt;&gt;"Not Required"),"Overdue","OK")</f>
        <v>OK</v>
      </c>
      <c r="I900" t="str">
        <f t="shared" si="13"/>
        <v>Pass</v>
      </c>
    </row>
    <row r="901" spans="1:9" x14ac:dyDescent="0.2">
      <c r="A901" t="str">
        <f>Controls_Raw!A901</f>
        <v>CTRL-0897</v>
      </c>
      <c r="B901" t="str">
        <f>IF(COUNTIF(Controls_Raw!$A$5:$A$1504,A901)&gt;1,"Duplicate","OK")</f>
        <v>OK</v>
      </c>
      <c r="C901" t="str">
        <f>IF(LEN(TRIM(Controls_Raw!I901))=0,"Missing","OK")</f>
        <v>OK</v>
      </c>
      <c r="D901" t="str">
        <f>IF(LEN(TRIM(Controls_Raw!N901))=0,"Missing","OK")</f>
        <v>OK</v>
      </c>
      <c r="E901" t="str">
        <f>IF(OR(Controls_Raw!G901="USA",Controls_Raw!G901="UK"),"Standardize","OK")</f>
        <v>OK</v>
      </c>
      <c r="F901" t="str">
        <f>IF(Controls_Raw!E901&lt;&gt;TRIM(Controls_Raw!E901),"Trim","OK")</f>
        <v>OK</v>
      </c>
      <c r="G901" t="str">
        <f>IF(AND(Controls_Raw!L901&lt;DATE(2026,9,30),Controls_Raw!M901&lt;&gt;"Completed"),"Overdue","OK")</f>
        <v>Overdue</v>
      </c>
      <c r="H901" t="str">
        <f>IF(AND(Controls_Raw!Q901&lt;DATE(2026,9,30),Controls_Raw!R901&lt;&gt;"Completed",Controls_Raw!R901&lt;&gt;"Not Required"),"Overdue","OK")</f>
        <v>OK</v>
      </c>
      <c r="I901" t="str">
        <f t="shared" ref="I901:I964" si="14">IF(COUNTIF(B901:H901,"&lt;&gt;OK")&gt;0,"Issue","Pass")</f>
        <v>Issue</v>
      </c>
    </row>
    <row r="902" spans="1:9" x14ac:dyDescent="0.2">
      <c r="A902" t="str">
        <f>Controls_Raw!A902</f>
        <v>CTRL-0898</v>
      </c>
      <c r="B902" t="str">
        <f>IF(COUNTIF(Controls_Raw!$A$5:$A$1504,A902)&gt;1,"Duplicate","OK")</f>
        <v>OK</v>
      </c>
      <c r="C902" t="str">
        <f>IF(LEN(TRIM(Controls_Raw!I902))=0,"Missing","OK")</f>
        <v>OK</v>
      </c>
      <c r="D902" t="str">
        <f>IF(LEN(TRIM(Controls_Raw!N902))=0,"Missing","OK")</f>
        <v>OK</v>
      </c>
      <c r="E902" t="str">
        <f>IF(OR(Controls_Raw!G902="USA",Controls_Raw!G902="UK"),"Standardize","OK")</f>
        <v>OK</v>
      </c>
      <c r="F902" t="str">
        <f>IF(Controls_Raw!E902&lt;&gt;TRIM(Controls_Raw!E902),"Trim","OK")</f>
        <v>OK</v>
      </c>
      <c r="G902" t="str">
        <f>IF(AND(Controls_Raw!L902&lt;DATE(2026,9,30),Controls_Raw!M902&lt;&gt;"Completed"),"Overdue","OK")</f>
        <v>OK</v>
      </c>
      <c r="H902" t="str">
        <f>IF(AND(Controls_Raw!Q902&lt;DATE(2026,9,30),Controls_Raw!R902&lt;&gt;"Completed",Controls_Raw!R902&lt;&gt;"Not Required"),"Overdue","OK")</f>
        <v>OK</v>
      </c>
      <c r="I902" t="str">
        <f t="shared" si="14"/>
        <v>Pass</v>
      </c>
    </row>
    <row r="903" spans="1:9" x14ac:dyDescent="0.2">
      <c r="A903" t="str">
        <f>Controls_Raw!A903</f>
        <v>CTRL-0899</v>
      </c>
      <c r="B903" t="str">
        <f>IF(COUNTIF(Controls_Raw!$A$5:$A$1504,A903)&gt;1,"Duplicate","OK")</f>
        <v>OK</v>
      </c>
      <c r="C903" t="str">
        <f>IF(LEN(TRIM(Controls_Raw!I903))=0,"Missing","OK")</f>
        <v>OK</v>
      </c>
      <c r="D903" t="str">
        <f>IF(LEN(TRIM(Controls_Raw!N903))=0,"Missing","OK")</f>
        <v>OK</v>
      </c>
      <c r="E903" t="str">
        <f>IF(OR(Controls_Raw!G903="USA",Controls_Raw!G903="UK"),"Standardize","OK")</f>
        <v>OK</v>
      </c>
      <c r="F903" t="str">
        <f>IF(Controls_Raw!E903&lt;&gt;TRIM(Controls_Raw!E903),"Trim","OK")</f>
        <v>OK</v>
      </c>
      <c r="G903" t="str">
        <f>IF(AND(Controls_Raw!L903&lt;DATE(2026,9,30),Controls_Raw!M903&lt;&gt;"Completed"),"Overdue","OK")</f>
        <v>OK</v>
      </c>
      <c r="H903" t="str">
        <f>IF(AND(Controls_Raw!Q903&lt;DATE(2026,9,30),Controls_Raw!R903&lt;&gt;"Completed",Controls_Raw!R903&lt;&gt;"Not Required"),"Overdue","OK")</f>
        <v>OK</v>
      </c>
      <c r="I903" t="str">
        <f t="shared" si="14"/>
        <v>Pass</v>
      </c>
    </row>
    <row r="904" spans="1:9" x14ac:dyDescent="0.2">
      <c r="A904" t="str">
        <f>Controls_Raw!A904</f>
        <v>CTRL-0900</v>
      </c>
      <c r="B904" t="str">
        <f>IF(COUNTIF(Controls_Raw!$A$5:$A$1504,A904)&gt;1,"Duplicate","OK")</f>
        <v>OK</v>
      </c>
      <c r="C904" t="str">
        <f>IF(LEN(TRIM(Controls_Raw!I904))=0,"Missing","OK")</f>
        <v>OK</v>
      </c>
      <c r="D904" t="str">
        <f>IF(LEN(TRIM(Controls_Raw!N904))=0,"Missing","OK")</f>
        <v>OK</v>
      </c>
      <c r="E904" t="str">
        <f>IF(OR(Controls_Raw!G904="USA",Controls_Raw!G904="UK"),"Standardize","OK")</f>
        <v>OK</v>
      </c>
      <c r="F904" t="str">
        <f>IF(Controls_Raw!E904&lt;&gt;TRIM(Controls_Raw!E904),"Trim","OK")</f>
        <v>OK</v>
      </c>
      <c r="G904" t="str">
        <f>IF(AND(Controls_Raw!L904&lt;DATE(2026,9,30),Controls_Raw!M904&lt;&gt;"Completed"),"Overdue","OK")</f>
        <v>OK</v>
      </c>
      <c r="H904" t="str">
        <f>IF(AND(Controls_Raw!Q904&lt;DATE(2026,9,30),Controls_Raw!R904&lt;&gt;"Completed",Controls_Raw!R904&lt;&gt;"Not Required"),"Overdue","OK")</f>
        <v>OK</v>
      </c>
      <c r="I904" t="str">
        <f t="shared" si="14"/>
        <v>Pass</v>
      </c>
    </row>
    <row r="905" spans="1:9" x14ac:dyDescent="0.2">
      <c r="A905" t="str">
        <f>Controls_Raw!A905</f>
        <v>CTRL-0901</v>
      </c>
      <c r="B905" t="str">
        <f>IF(COUNTIF(Controls_Raw!$A$5:$A$1504,A905)&gt;1,"Duplicate","OK")</f>
        <v>OK</v>
      </c>
      <c r="C905" t="str">
        <f>IF(LEN(TRIM(Controls_Raw!I905))=0,"Missing","OK")</f>
        <v>OK</v>
      </c>
      <c r="D905" t="str">
        <f>IF(LEN(TRIM(Controls_Raw!N905))=0,"Missing","OK")</f>
        <v>OK</v>
      </c>
      <c r="E905" t="str">
        <f>IF(OR(Controls_Raw!G905="USA",Controls_Raw!G905="UK"),"Standardize","OK")</f>
        <v>OK</v>
      </c>
      <c r="F905" t="str">
        <f>IF(Controls_Raw!E905&lt;&gt;TRIM(Controls_Raw!E905),"Trim","OK")</f>
        <v>OK</v>
      </c>
      <c r="G905" t="str">
        <f>IF(AND(Controls_Raw!L905&lt;DATE(2026,9,30),Controls_Raw!M905&lt;&gt;"Completed"),"Overdue","OK")</f>
        <v>Overdue</v>
      </c>
      <c r="H905" t="str">
        <f>IF(AND(Controls_Raw!Q905&lt;DATE(2026,9,30),Controls_Raw!R905&lt;&gt;"Completed",Controls_Raw!R905&lt;&gt;"Not Required"),"Overdue","OK")</f>
        <v>Overdue</v>
      </c>
      <c r="I905" t="str">
        <f t="shared" si="14"/>
        <v>Issue</v>
      </c>
    </row>
    <row r="906" spans="1:9" x14ac:dyDescent="0.2">
      <c r="A906" t="str">
        <f>Controls_Raw!A906</f>
        <v>CTRL-0902</v>
      </c>
      <c r="B906" t="str">
        <f>IF(COUNTIF(Controls_Raw!$A$5:$A$1504,A906)&gt;1,"Duplicate","OK")</f>
        <v>OK</v>
      </c>
      <c r="C906" t="str">
        <f>IF(LEN(TRIM(Controls_Raw!I906))=0,"Missing","OK")</f>
        <v>OK</v>
      </c>
      <c r="D906" t="str">
        <f>IF(LEN(TRIM(Controls_Raw!N906))=0,"Missing","OK")</f>
        <v>OK</v>
      </c>
      <c r="E906" t="str">
        <f>IF(OR(Controls_Raw!G906="USA",Controls_Raw!G906="UK"),"Standardize","OK")</f>
        <v>OK</v>
      </c>
      <c r="F906" t="str">
        <f>IF(Controls_Raw!E906&lt;&gt;TRIM(Controls_Raw!E906),"Trim","OK")</f>
        <v>OK</v>
      </c>
      <c r="G906" t="str">
        <f>IF(AND(Controls_Raw!L906&lt;DATE(2026,9,30),Controls_Raw!M906&lt;&gt;"Completed"),"Overdue","OK")</f>
        <v>OK</v>
      </c>
      <c r="H906" t="str">
        <f>IF(AND(Controls_Raw!Q906&lt;DATE(2026,9,30),Controls_Raw!R906&lt;&gt;"Completed",Controls_Raw!R906&lt;&gt;"Not Required"),"Overdue","OK")</f>
        <v>OK</v>
      </c>
      <c r="I906" t="str">
        <f t="shared" si="14"/>
        <v>Pass</v>
      </c>
    </row>
    <row r="907" spans="1:9" x14ac:dyDescent="0.2">
      <c r="A907" t="str">
        <f>Controls_Raw!A907</f>
        <v>CTRL-0903</v>
      </c>
      <c r="B907" t="str">
        <f>IF(COUNTIF(Controls_Raw!$A$5:$A$1504,A907)&gt;1,"Duplicate","OK")</f>
        <v>OK</v>
      </c>
      <c r="C907" t="str">
        <f>IF(LEN(TRIM(Controls_Raw!I907))=0,"Missing","OK")</f>
        <v>OK</v>
      </c>
      <c r="D907" t="str">
        <f>IF(LEN(TRIM(Controls_Raw!N907))=0,"Missing","OK")</f>
        <v>OK</v>
      </c>
      <c r="E907" t="str">
        <f>IF(OR(Controls_Raw!G907="USA",Controls_Raw!G907="UK"),"Standardize","OK")</f>
        <v>OK</v>
      </c>
      <c r="F907" t="str">
        <f>IF(Controls_Raw!E907&lt;&gt;TRIM(Controls_Raw!E907),"Trim","OK")</f>
        <v>OK</v>
      </c>
      <c r="G907" t="str">
        <f>IF(AND(Controls_Raw!L907&lt;DATE(2026,9,30),Controls_Raw!M907&lt;&gt;"Completed"),"Overdue","OK")</f>
        <v>Overdue</v>
      </c>
      <c r="H907" t="str">
        <f>IF(AND(Controls_Raw!Q907&lt;DATE(2026,9,30),Controls_Raw!R907&lt;&gt;"Completed",Controls_Raw!R907&lt;&gt;"Not Required"),"Overdue","OK")</f>
        <v>OK</v>
      </c>
      <c r="I907" t="str">
        <f t="shared" si="14"/>
        <v>Issue</v>
      </c>
    </row>
    <row r="908" spans="1:9" x14ac:dyDescent="0.2">
      <c r="A908" t="str">
        <f>Controls_Raw!A908</f>
        <v>CTRL-0904</v>
      </c>
      <c r="B908" t="str">
        <f>IF(COUNTIF(Controls_Raw!$A$5:$A$1504,A908)&gt;1,"Duplicate","OK")</f>
        <v>OK</v>
      </c>
      <c r="C908" t="str">
        <f>IF(LEN(TRIM(Controls_Raw!I908))=0,"Missing","OK")</f>
        <v>OK</v>
      </c>
      <c r="D908" t="str">
        <f>IF(LEN(TRIM(Controls_Raw!N908))=0,"Missing","OK")</f>
        <v>OK</v>
      </c>
      <c r="E908" t="str">
        <f>IF(OR(Controls_Raw!G908="USA",Controls_Raw!G908="UK"),"Standardize","OK")</f>
        <v>OK</v>
      </c>
      <c r="F908" t="str">
        <f>IF(Controls_Raw!E908&lt;&gt;TRIM(Controls_Raw!E908),"Trim","OK")</f>
        <v>OK</v>
      </c>
      <c r="G908" t="str">
        <f>IF(AND(Controls_Raw!L908&lt;DATE(2026,9,30),Controls_Raw!M908&lt;&gt;"Completed"),"Overdue","OK")</f>
        <v>OK</v>
      </c>
      <c r="H908" t="str">
        <f>IF(AND(Controls_Raw!Q908&lt;DATE(2026,9,30),Controls_Raw!R908&lt;&gt;"Completed",Controls_Raw!R908&lt;&gt;"Not Required"),"Overdue","OK")</f>
        <v>OK</v>
      </c>
      <c r="I908" t="str">
        <f t="shared" si="14"/>
        <v>Pass</v>
      </c>
    </row>
    <row r="909" spans="1:9" x14ac:dyDescent="0.2">
      <c r="A909" t="str">
        <f>Controls_Raw!A909</f>
        <v>CTRL-0905</v>
      </c>
      <c r="B909" t="str">
        <f>IF(COUNTIF(Controls_Raw!$A$5:$A$1504,A909)&gt;1,"Duplicate","OK")</f>
        <v>OK</v>
      </c>
      <c r="C909" t="str">
        <f>IF(LEN(TRIM(Controls_Raw!I909))=0,"Missing","OK")</f>
        <v>OK</v>
      </c>
      <c r="D909" t="str">
        <f>IF(LEN(TRIM(Controls_Raw!N909))=0,"Missing","OK")</f>
        <v>OK</v>
      </c>
      <c r="E909" t="str">
        <f>IF(OR(Controls_Raw!G909="USA",Controls_Raw!G909="UK"),"Standardize","OK")</f>
        <v>OK</v>
      </c>
      <c r="F909" t="str">
        <f>IF(Controls_Raw!E909&lt;&gt;TRIM(Controls_Raw!E909),"Trim","OK")</f>
        <v>OK</v>
      </c>
      <c r="G909" t="str">
        <f>IF(AND(Controls_Raw!L909&lt;DATE(2026,9,30),Controls_Raw!M909&lt;&gt;"Completed"),"Overdue","OK")</f>
        <v>OK</v>
      </c>
      <c r="H909" t="str">
        <f>IF(AND(Controls_Raw!Q909&lt;DATE(2026,9,30),Controls_Raw!R909&lt;&gt;"Completed",Controls_Raw!R909&lt;&gt;"Not Required"),"Overdue","OK")</f>
        <v>OK</v>
      </c>
      <c r="I909" t="str">
        <f t="shared" si="14"/>
        <v>Pass</v>
      </c>
    </row>
    <row r="910" spans="1:9" x14ac:dyDescent="0.2">
      <c r="A910" t="str">
        <f>Controls_Raw!A910</f>
        <v>CTRL-0906</v>
      </c>
      <c r="B910" t="str">
        <f>IF(COUNTIF(Controls_Raw!$A$5:$A$1504,A910)&gt;1,"Duplicate","OK")</f>
        <v>OK</v>
      </c>
      <c r="C910" t="str">
        <f>IF(LEN(TRIM(Controls_Raw!I910))=0,"Missing","OK")</f>
        <v>OK</v>
      </c>
      <c r="D910" t="str">
        <f>IF(LEN(TRIM(Controls_Raw!N910))=0,"Missing","OK")</f>
        <v>OK</v>
      </c>
      <c r="E910" t="str">
        <f>IF(OR(Controls_Raw!G910="USA",Controls_Raw!G910="UK"),"Standardize","OK")</f>
        <v>OK</v>
      </c>
      <c r="F910" t="str">
        <f>IF(Controls_Raw!E910&lt;&gt;TRIM(Controls_Raw!E910),"Trim","OK")</f>
        <v>OK</v>
      </c>
      <c r="G910" t="str">
        <f>IF(AND(Controls_Raw!L910&lt;DATE(2026,9,30),Controls_Raw!M910&lt;&gt;"Completed"),"Overdue","OK")</f>
        <v>OK</v>
      </c>
      <c r="H910" t="str">
        <f>IF(AND(Controls_Raw!Q910&lt;DATE(2026,9,30),Controls_Raw!R910&lt;&gt;"Completed",Controls_Raw!R910&lt;&gt;"Not Required"),"Overdue","OK")</f>
        <v>Overdue</v>
      </c>
      <c r="I910" t="str">
        <f t="shared" si="14"/>
        <v>Issue</v>
      </c>
    </row>
    <row r="911" spans="1:9" x14ac:dyDescent="0.2">
      <c r="A911" t="str">
        <f>Controls_Raw!A911</f>
        <v>CTRL-0907</v>
      </c>
      <c r="B911" t="str">
        <f>IF(COUNTIF(Controls_Raw!$A$5:$A$1504,A911)&gt;1,"Duplicate","OK")</f>
        <v>OK</v>
      </c>
      <c r="C911" t="str">
        <f>IF(LEN(TRIM(Controls_Raw!I911))=0,"Missing","OK")</f>
        <v>OK</v>
      </c>
      <c r="D911" t="str">
        <f>IF(LEN(TRIM(Controls_Raw!N911))=0,"Missing","OK")</f>
        <v>OK</v>
      </c>
      <c r="E911" t="str">
        <f>IF(OR(Controls_Raw!G911="USA",Controls_Raw!G911="UK"),"Standardize","OK")</f>
        <v>OK</v>
      </c>
      <c r="F911" t="str">
        <f>IF(Controls_Raw!E911&lt;&gt;TRIM(Controls_Raw!E911),"Trim","OK")</f>
        <v>OK</v>
      </c>
      <c r="G911" t="str">
        <f>IF(AND(Controls_Raw!L911&lt;DATE(2026,9,30),Controls_Raw!M911&lt;&gt;"Completed"),"Overdue","OK")</f>
        <v>OK</v>
      </c>
      <c r="H911" t="str">
        <f>IF(AND(Controls_Raw!Q911&lt;DATE(2026,9,30),Controls_Raw!R911&lt;&gt;"Completed",Controls_Raw!R911&lt;&gt;"Not Required"),"Overdue","OK")</f>
        <v>OK</v>
      </c>
      <c r="I911" t="str">
        <f t="shared" si="14"/>
        <v>Pass</v>
      </c>
    </row>
    <row r="912" spans="1:9" x14ac:dyDescent="0.2">
      <c r="A912" t="str">
        <f>Controls_Raw!A912</f>
        <v>CTRL-0908</v>
      </c>
      <c r="B912" t="str">
        <f>IF(COUNTIF(Controls_Raw!$A$5:$A$1504,A912)&gt;1,"Duplicate","OK")</f>
        <v>OK</v>
      </c>
      <c r="C912" t="str">
        <f>IF(LEN(TRIM(Controls_Raw!I912))=0,"Missing","OK")</f>
        <v>OK</v>
      </c>
      <c r="D912" t="str">
        <f>IF(LEN(TRIM(Controls_Raw!N912))=0,"Missing","OK")</f>
        <v>OK</v>
      </c>
      <c r="E912" t="str">
        <f>IF(OR(Controls_Raw!G912="USA",Controls_Raw!G912="UK"),"Standardize","OK")</f>
        <v>OK</v>
      </c>
      <c r="F912" t="str">
        <f>IF(Controls_Raw!E912&lt;&gt;TRIM(Controls_Raw!E912),"Trim","OK")</f>
        <v>OK</v>
      </c>
      <c r="G912" t="str">
        <f>IF(AND(Controls_Raw!L912&lt;DATE(2026,9,30),Controls_Raw!M912&lt;&gt;"Completed"),"Overdue","OK")</f>
        <v>Overdue</v>
      </c>
      <c r="H912" t="str">
        <f>IF(AND(Controls_Raw!Q912&lt;DATE(2026,9,30),Controls_Raw!R912&lt;&gt;"Completed",Controls_Raw!R912&lt;&gt;"Not Required"),"Overdue","OK")</f>
        <v>Overdue</v>
      </c>
      <c r="I912" t="str">
        <f t="shared" si="14"/>
        <v>Issue</v>
      </c>
    </row>
    <row r="913" spans="1:9" x14ac:dyDescent="0.2">
      <c r="A913" t="str">
        <f>Controls_Raw!A913</f>
        <v>CTRL-0909</v>
      </c>
      <c r="B913" t="str">
        <f>IF(COUNTIF(Controls_Raw!$A$5:$A$1504,A913)&gt;1,"Duplicate","OK")</f>
        <v>OK</v>
      </c>
      <c r="C913" t="str">
        <f>IF(LEN(TRIM(Controls_Raw!I913))=0,"Missing","OK")</f>
        <v>OK</v>
      </c>
      <c r="D913" t="str">
        <f>IF(LEN(TRIM(Controls_Raw!N913))=0,"Missing","OK")</f>
        <v>OK</v>
      </c>
      <c r="E913" t="str">
        <f>IF(OR(Controls_Raw!G913="USA",Controls_Raw!G913="UK"),"Standardize","OK")</f>
        <v>OK</v>
      </c>
      <c r="F913" t="str">
        <f>IF(Controls_Raw!E913&lt;&gt;TRIM(Controls_Raw!E913),"Trim","OK")</f>
        <v>OK</v>
      </c>
      <c r="G913" t="str">
        <f>IF(AND(Controls_Raw!L913&lt;DATE(2026,9,30),Controls_Raw!M913&lt;&gt;"Completed"),"Overdue","OK")</f>
        <v>OK</v>
      </c>
      <c r="H913" t="str">
        <f>IF(AND(Controls_Raw!Q913&lt;DATE(2026,9,30),Controls_Raw!R913&lt;&gt;"Completed",Controls_Raw!R913&lt;&gt;"Not Required"),"Overdue","OK")</f>
        <v>OK</v>
      </c>
      <c r="I913" t="str">
        <f t="shared" si="14"/>
        <v>Pass</v>
      </c>
    </row>
    <row r="914" spans="1:9" x14ac:dyDescent="0.2">
      <c r="A914" t="str">
        <f>Controls_Raw!A914</f>
        <v>CTRL-0910</v>
      </c>
      <c r="B914" t="str">
        <f>IF(COUNTIF(Controls_Raw!$A$5:$A$1504,A914)&gt;1,"Duplicate","OK")</f>
        <v>OK</v>
      </c>
      <c r="C914" t="str">
        <f>IF(LEN(TRIM(Controls_Raw!I914))=0,"Missing","OK")</f>
        <v>OK</v>
      </c>
      <c r="D914" t="str">
        <f>IF(LEN(TRIM(Controls_Raw!N914))=0,"Missing","OK")</f>
        <v>OK</v>
      </c>
      <c r="E914" t="str">
        <f>IF(OR(Controls_Raw!G914="USA",Controls_Raw!G914="UK"),"Standardize","OK")</f>
        <v>OK</v>
      </c>
      <c r="F914" t="str">
        <f>IF(Controls_Raw!E914&lt;&gt;TRIM(Controls_Raw!E914),"Trim","OK")</f>
        <v>OK</v>
      </c>
      <c r="G914" t="str">
        <f>IF(AND(Controls_Raw!L914&lt;DATE(2026,9,30),Controls_Raw!M914&lt;&gt;"Completed"),"Overdue","OK")</f>
        <v>Overdue</v>
      </c>
      <c r="H914" t="str">
        <f>IF(AND(Controls_Raw!Q914&lt;DATE(2026,9,30),Controls_Raw!R914&lt;&gt;"Completed",Controls_Raw!R914&lt;&gt;"Not Required"),"Overdue","OK")</f>
        <v>OK</v>
      </c>
      <c r="I914" t="str">
        <f t="shared" si="14"/>
        <v>Issue</v>
      </c>
    </row>
    <row r="915" spans="1:9" x14ac:dyDescent="0.2">
      <c r="A915" t="str">
        <f>Controls_Raw!A915</f>
        <v>CTRL-0911</v>
      </c>
      <c r="B915" t="str">
        <f>IF(COUNTIF(Controls_Raw!$A$5:$A$1504,A915)&gt;1,"Duplicate","OK")</f>
        <v>OK</v>
      </c>
      <c r="C915" t="str">
        <f>IF(LEN(TRIM(Controls_Raw!I915))=0,"Missing","OK")</f>
        <v>OK</v>
      </c>
      <c r="D915" t="str">
        <f>IF(LEN(TRIM(Controls_Raw!N915))=0,"Missing","OK")</f>
        <v>OK</v>
      </c>
      <c r="E915" t="str">
        <f>IF(OR(Controls_Raw!G915="USA",Controls_Raw!G915="UK"),"Standardize","OK")</f>
        <v>OK</v>
      </c>
      <c r="F915" t="str">
        <f>IF(Controls_Raw!E915&lt;&gt;TRIM(Controls_Raw!E915),"Trim","OK")</f>
        <v>OK</v>
      </c>
      <c r="G915" t="str">
        <f>IF(AND(Controls_Raw!L915&lt;DATE(2026,9,30),Controls_Raw!M915&lt;&gt;"Completed"),"Overdue","OK")</f>
        <v>Overdue</v>
      </c>
      <c r="H915" t="str">
        <f>IF(AND(Controls_Raw!Q915&lt;DATE(2026,9,30),Controls_Raw!R915&lt;&gt;"Completed",Controls_Raw!R915&lt;&gt;"Not Required"),"Overdue","OK")</f>
        <v>OK</v>
      </c>
      <c r="I915" t="str">
        <f t="shared" si="14"/>
        <v>Issue</v>
      </c>
    </row>
    <row r="916" spans="1:9" x14ac:dyDescent="0.2">
      <c r="A916" t="str">
        <f>Controls_Raw!A916</f>
        <v>CTRL-0912</v>
      </c>
      <c r="B916" t="str">
        <f>IF(COUNTIF(Controls_Raw!$A$5:$A$1504,A916)&gt;1,"Duplicate","OK")</f>
        <v>OK</v>
      </c>
      <c r="C916" t="str">
        <f>IF(LEN(TRIM(Controls_Raw!I916))=0,"Missing","OK")</f>
        <v>OK</v>
      </c>
      <c r="D916" t="str">
        <f>IF(LEN(TRIM(Controls_Raw!N916))=0,"Missing","OK")</f>
        <v>OK</v>
      </c>
      <c r="E916" t="str">
        <f>IF(OR(Controls_Raw!G916="USA",Controls_Raw!G916="UK"),"Standardize","OK")</f>
        <v>OK</v>
      </c>
      <c r="F916" t="str">
        <f>IF(Controls_Raw!E916&lt;&gt;TRIM(Controls_Raw!E916),"Trim","OK")</f>
        <v>OK</v>
      </c>
      <c r="G916" t="str">
        <f>IF(AND(Controls_Raw!L916&lt;DATE(2026,9,30),Controls_Raw!M916&lt;&gt;"Completed"),"Overdue","OK")</f>
        <v>Overdue</v>
      </c>
      <c r="H916" t="str">
        <f>IF(AND(Controls_Raw!Q916&lt;DATE(2026,9,30),Controls_Raw!R916&lt;&gt;"Completed",Controls_Raw!R916&lt;&gt;"Not Required"),"Overdue","OK")</f>
        <v>OK</v>
      </c>
      <c r="I916" t="str">
        <f t="shared" si="14"/>
        <v>Issue</v>
      </c>
    </row>
    <row r="917" spans="1:9" x14ac:dyDescent="0.2">
      <c r="A917" t="str">
        <f>Controls_Raw!A917</f>
        <v>CTRL-0913</v>
      </c>
      <c r="B917" t="str">
        <f>IF(COUNTIF(Controls_Raw!$A$5:$A$1504,A917)&gt;1,"Duplicate","OK")</f>
        <v>OK</v>
      </c>
      <c r="C917" t="str">
        <f>IF(LEN(TRIM(Controls_Raw!I917))=0,"Missing","OK")</f>
        <v>OK</v>
      </c>
      <c r="D917" t="str">
        <f>IF(LEN(TRIM(Controls_Raw!N917))=0,"Missing","OK")</f>
        <v>OK</v>
      </c>
      <c r="E917" t="str">
        <f>IF(OR(Controls_Raw!G917="USA",Controls_Raw!G917="UK"),"Standardize","OK")</f>
        <v>OK</v>
      </c>
      <c r="F917" t="str">
        <f>IF(Controls_Raw!E917&lt;&gt;TRIM(Controls_Raw!E917),"Trim","OK")</f>
        <v>OK</v>
      </c>
      <c r="G917" t="str">
        <f>IF(AND(Controls_Raw!L917&lt;DATE(2026,9,30),Controls_Raw!M917&lt;&gt;"Completed"),"Overdue","OK")</f>
        <v>OK</v>
      </c>
      <c r="H917" t="str">
        <f>IF(AND(Controls_Raw!Q917&lt;DATE(2026,9,30),Controls_Raw!R917&lt;&gt;"Completed",Controls_Raw!R917&lt;&gt;"Not Required"),"Overdue","OK")</f>
        <v>OK</v>
      </c>
      <c r="I917" t="str">
        <f t="shared" si="14"/>
        <v>Pass</v>
      </c>
    </row>
    <row r="918" spans="1:9" x14ac:dyDescent="0.2">
      <c r="A918" t="str">
        <f>Controls_Raw!A918</f>
        <v>CTRL-0914</v>
      </c>
      <c r="B918" t="str">
        <f>IF(COUNTIF(Controls_Raw!$A$5:$A$1504,A918)&gt;1,"Duplicate","OK")</f>
        <v>OK</v>
      </c>
      <c r="C918" t="str">
        <f>IF(LEN(TRIM(Controls_Raw!I918))=0,"Missing","OK")</f>
        <v>OK</v>
      </c>
      <c r="D918" t="str">
        <f>IF(LEN(TRIM(Controls_Raw!N918))=0,"Missing","OK")</f>
        <v>Missing</v>
      </c>
      <c r="E918" t="str">
        <f>IF(OR(Controls_Raw!G918="USA",Controls_Raw!G918="UK"),"Standardize","OK")</f>
        <v>OK</v>
      </c>
      <c r="F918" t="str">
        <f>IF(Controls_Raw!E918&lt;&gt;TRIM(Controls_Raw!E918),"Trim","OK")</f>
        <v>OK</v>
      </c>
      <c r="G918" t="str">
        <f>IF(AND(Controls_Raw!L918&lt;DATE(2026,9,30),Controls_Raw!M918&lt;&gt;"Completed"),"Overdue","OK")</f>
        <v>Overdue</v>
      </c>
      <c r="H918" t="str">
        <f>IF(AND(Controls_Raw!Q918&lt;DATE(2026,9,30),Controls_Raw!R918&lt;&gt;"Completed",Controls_Raw!R918&lt;&gt;"Not Required"),"Overdue","OK")</f>
        <v>OK</v>
      </c>
      <c r="I918" t="str">
        <f t="shared" si="14"/>
        <v>Issue</v>
      </c>
    </row>
    <row r="919" spans="1:9" x14ac:dyDescent="0.2">
      <c r="A919" t="str">
        <f>Controls_Raw!A919</f>
        <v>CTRL-0915</v>
      </c>
      <c r="B919" t="str">
        <f>IF(COUNTIF(Controls_Raw!$A$5:$A$1504,A919)&gt;1,"Duplicate","OK")</f>
        <v>OK</v>
      </c>
      <c r="C919" t="str">
        <f>IF(LEN(TRIM(Controls_Raw!I919))=0,"Missing","OK")</f>
        <v>OK</v>
      </c>
      <c r="D919" t="str">
        <f>IF(LEN(TRIM(Controls_Raw!N919))=0,"Missing","OK")</f>
        <v>OK</v>
      </c>
      <c r="E919" t="str">
        <f>IF(OR(Controls_Raw!G919="USA",Controls_Raw!G919="UK"),"Standardize","OK")</f>
        <v>OK</v>
      </c>
      <c r="F919" t="str">
        <f>IF(Controls_Raw!E919&lt;&gt;TRIM(Controls_Raw!E919),"Trim","OK")</f>
        <v>OK</v>
      </c>
      <c r="G919" t="str">
        <f>IF(AND(Controls_Raw!L919&lt;DATE(2026,9,30),Controls_Raw!M919&lt;&gt;"Completed"),"Overdue","OK")</f>
        <v>Overdue</v>
      </c>
      <c r="H919" t="str">
        <f>IF(AND(Controls_Raw!Q919&lt;DATE(2026,9,30),Controls_Raw!R919&lt;&gt;"Completed",Controls_Raw!R919&lt;&gt;"Not Required"),"Overdue","OK")</f>
        <v>OK</v>
      </c>
      <c r="I919" t="str">
        <f t="shared" si="14"/>
        <v>Issue</v>
      </c>
    </row>
    <row r="920" spans="1:9" x14ac:dyDescent="0.2">
      <c r="A920" t="str">
        <f>Controls_Raw!A920</f>
        <v>CTRL-0916</v>
      </c>
      <c r="B920" t="str">
        <f>IF(COUNTIF(Controls_Raw!$A$5:$A$1504,A920)&gt;1,"Duplicate","OK")</f>
        <v>OK</v>
      </c>
      <c r="C920" t="str">
        <f>IF(LEN(TRIM(Controls_Raw!I920))=0,"Missing","OK")</f>
        <v>OK</v>
      </c>
      <c r="D920" t="str">
        <f>IF(LEN(TRIM(Controls_Raw!N920))=0,"Missing","OK")</f>
        <v>OK</v>
      </c>
      <c r="E920" t="str">
        <f>IF(OR(Controls_Raw!G920="USA",Controls_Raw!G920="UK"),"Standardize","OK")</f>
        <v>OK</v>
      </c>
      <c r="F920" t="str">
        <f>IF(Controls_Raw!E920&lt;&gt;TRIM(Controls_Raw!E920),"Trim","OK")</f>
        <v>OK</v>
      </c>
      <c r="G920" t="str">
        <f>IF(AND(Controls_Raw!L920&lt;DATE(2026,9,30),Controls_Raw!M920&lt;&gt;"Completed"),"Overdue","OK")</f>
        <v>Overdue</v>
      </c>
      <c r="H920" t="str">
        <f>IF(AND(Controls_Raw!Q920&lt;DATE(2026,9,30),Controls_Raw!R920&lt;&gt;"Completed",Controls_Raw!R920&lt;&gt;"Not Required"),"Overdue","OK")</f>
        <v>OK</v>
      </c>
      <c r="I920" t="str">
        <f t="shared" si="14"/>
        <v>Issue</v>
      </c>
    </row>
    <row r="921" spans="1:9" x14ac:dyDescent="0.2">
      <c r="A921" t="str">
        <f>Controls_Raw!A921</f>
        <v>CTRL-0917</v>
      </c>
      <c r="B921" t="str">
        <f>IF(COUNTIF(Controls_Raw!$A$5:$A$1504,A921)&gt;1,"Duplicate","OK")</f>
        <v>OK</v>
      </c>
      <c r="C921" t="str">
        <f>IF(LEN(TRIM(Controls_Raw!I921))=0,"Missing","OK")</f>
        <v>OK</v>
      </c>
      <c r="D921" t="str">
        <f>IF(LEN(TRIM(Controls_Raw!N921))=0,"Missing","OK")</f>
        <v>OK</v>
      </c>
      <c r="E921" t="str">
        <f>IF(OR(Controls_Raw!G921="USA",Controls_Raw!G921="UK"),"Standardize","OK")</f>
        <v>OK</v>
      </c>
      <c r="F921" t="str">
        <f>IF(Controls_Raw!E921&lt;&gt;TRIM(Controls_Raw!E921),"Trim","OK")</f>
        <v>OK</v>
      </c>
      <c r="G921" t="str">
        <f>IF(AND(Controls_Raw!L921&lt;DATE(2026,9,30),Controls_Raw!M921&lt;&gt;"Completed"),"Overdue","OK")</f>
        <v>OK</v>
      </c>
      <c r="H921" t="str">
        <f>IF(AND(Controls_Raw!Q921&lt;DATE(2026,9,30),Controls_Raw!R921&lt;&gt;"Completed",Controls_Raw!R921&lt;&gt;"Not Required"),"Overdue","OK")</f>
        <v>OK</v>
      </c>
      <c r="I921" t="str">
        <f t="shared" si="14"/>
        <v>Pass</v>
      </c>
    </row>
    <row r="922" spans="1:9" x14ac:dyDescent="0.2">
      <c r="A922" t="str">
        <f>Controls_Raw!A922</f>
        <v>CTRL-0918</v>
      </c>
      <c r="B922" t="str">
        <f>IF(COUNTIF(Controls_Raw!$A$5:$A$1504,A922)&gt;1,"Duplicate","OK")</f>
        <v>OK</v>
      </c>
      <c r="C922" t="str">
        <f>IF(LEN(TRIM(Controls_Raw!I922))=0,"Missing","OK")</f>
        <v>OK</v>
      </c>
      <c r="D922" t="str">
        <f>IF(LEN(TRIM(Controls_Raw!N922))=0,"Missing","OK")</f>
        <v>OK</v>
      </c>
      <c r="E922" t="str">
        <f>IF(OR(Controls_Raw!G922="USA",Controls_Raw!G922="UK"),"Standardize","OK")</f>
        <v>OK</v>
      </c>
      <c r="F922" t="str">
        <f>IF(Controls_Raw!E922&lt;&gt;TRIM(Controls_Raw!E922),"Trim","OK")</f>
        <v>OK</v>
      </c>
      <c r="G922" t="str">
        <f>IF(AND(Controls_Raw!L922&lt;DATE(2026,9,30),Controls_Raw!M922&lt;&gt;"Completed"),"Overdue","OK")</f>
        <v>OK</v>
      </c>
      <c r="H922" t="str">
        <f>IF(AND(Controls_Raw!Q922&lt;DATE(2026,9,30),Controls_Raw!R922&lt;&gt;"Completed",Controls_Raw!R922&lt;&gt;"Not Required"),"Overdue","OK")</f>
        <v>OK</v>
      </c>
      <c r="I922" t="str">
        <f t="shared" si="14"/>
        <v>Pass</v>
      </c>
    </row>
    <row r="923" spans="1:9" x14ac:dyDescent="0.2">
      <c r="A923" t="str">
        <f>Controls_Raw!A923</f>
        <v>CTRL-0919</v>
      </c>
      <c r="B923" t="str">
        <f>IF(COUNTIF(Controls_Raw!$A$5:$A$1504,A923)&gt;1,"Duplicate","OK")</f>
        <v>OK</v>
      </c>
      <c r="C923" t="str">
        <f>IF(LEN(TRIM(Controls_Raw!I923))=0,"Missing","OK")</f>
        <v>OK</v>
      </c>
      <c r="D923" t="str">
        <f>IF(LEN(TRIM(Controls_Raw!N923))=0,"Missing","OK")</f>
        <v>OK</v>
      </c>
      <c r="E923" t="str">
        <f>IF(OR(Controls_Raw!G923="USA",Controls_Raw!G923="UK"),"Standardize","OK")</f>
        <v>OK</v>
      </c>
      <c r="F923" t="str">
        <f>IF(Controls_Raw!E923&lt;&gt;TRIM(Controls_Raw!E923),"Trim","OK")</f>
        <v>OK</v>
      </c>
      <c r="G923" t="str">
        <f>IF(AND(Controls_Raw!L923&lt;DATE(2026,9,30),Controls_Raw!M923&lt;&gt;"Completed"),"Overdue","OK")</f>
        <v>Overdue</v>
      </c>
      <c r="H923" t="str">
        <f>IF(AND(Controls_Raw!Q923&lt;DATE(2026,9,30),Controls_Raw!R923&lt;&gt;"Completed",Controls_Raw!R923&lt;&gt;"Not Required"),"Overdue","OK")</f>
        <v>Overdue</v>
      </c>
      <c r="I923" t="str">
        <f t="shared" si="14"/>
        <v>Issue</v>
      </c>
    </row>
    <row r="924" spans="1:9" x14ac:dyDescent="0.2">
      <c r="A924" t="str">
        <f>Controls_Raw!A924</f>
        <v>CTRL-0920</v>
      </c>
      <c r="B924" t="str">
        <f>IF(COUNTIF(Controls_Raw!$A$5:$A$1504,A924)&gt;1,"Duplicate","OK")</f>
        <v>OK</v>
      </c>
      <c r="C924" t="str">
        <f>IF(LEN(TRIM(Controls_Raw!I924))=0,"Missing","OK")</f>
        <v>OK</v>
      </c>
      <c r="D924" t="str">
        <f>IF(LEN(TRIM(Controls_Raw!N924))=0,"Missing","OK")</f>
        <v>OK</v>
      </c>
      <c r="E924" t="str">
        <f>IF(OR(Controls_Raw!G924="USA",Controls_Raw!G924="UK"),"Standardize","OK")</f>
        <v>OK</v>
      </c>
      <c r="F924" t="str">
        <f>IF(Controls_Raw!E924&lt;&gt;TRIM(Controls_Raw!E924),"Trim","OK")</f>
        <v>OK</v>
      </c>
      <c r="G924" t="str">
        <f>IF(AND(Controls_Raw!L924&lt;DATE(2026,9,30),Controls_Raw!M924&lt;&gt;"Completed"),"Overdue","OK")</f>
        <v>OK</v>
      </c>
      <c r="H924" t="str">
        <f>IF(AND(Controls_Raw!Q924&lt;DATE(2026,9,30),Controls_Raw!R924&lt;&gt;"Completed",Controls_Raw!R924&lt;&gt;"Not Required"),"Overdue","OK")</f>
        <v>OK</v>
      </c>
      <c r="I924" t="str">
        <f t="shared" si="14"/>
        <v>Pass</v>
      </c>
    </row>
    <row r="925" spans="1:9" x14ac:dyDescent="0.2">
      <c r="A925" t="str">
        <f>Controls_Raw!A925</f>
        <v>CTRL-0921</v>
      </c>
      <c r="B925" t="str">
        <f>IF(COUNTIF(Controls_Raw!$A$5:$A$1504,A925)&gt;1,"Duplicate","OK")</f>
        <v>OK</v>
      </c>
      <c r="C925" t="str">
        <f>IF(LEN(TRIM(Controls_Raw!I925))=0,"Missing","OK")</f>
        <v>OK</v>
      </c>
      <c r="D925" t="str">
        <f>IF(LEN(TRIM(Controls_Raw!N925))=0,"Missing","OK")</f>
        <v>OK</v>
      </c>
      <c r="E925" t="str">
        <f>IF(OR(Controls_Raw!G925="USA",Controls_Raw!G925="UK"),"Standardize","OK")</f>
        <v>OK</v>
      </c>
      <c r="F925" t="str">
        <f>IF(Controls_Raw!E925&lt;&gt;TRIM(Controls_Raw!E925),"Trim","OK")</f>
        <v>OK</v>
      </c>
      <c r="G925" t="str">
        <f>IF(AND(Controls_Raw!L925&lt;DATE(2026,9,30),Controls_Raw!M925&lt;&gt;"Completed"),"Overdue","OK")</f>
        <v>OK</v>
      </c>
      <c r="H925" t="str">
        <f>IF(AND(Controls_Raw!Q925&lt;DATE(2026,9,30),Controls_Raw!R925&lt;&gt;"Completed",Controls_Raw!R925&lt;&gt;"Not Required"),"Overdue","OK")</f>
        <v>OK</v>
      </c>
      <c r="I925" t="str">
        <f t="shared" si="14"/>
        <v>Pass</v>
      </c>
    </row>
    <row r="926" spans="1:9" x14ac:dyDescent="0.2">
      <c r="A926" t="str">
        <f>Controls_Raw!A926</f>
        <v>CTRL-0922</v>
      </c>
      <c r="B926" t="str">
        <f>IF(COUNTIF(Controls_Raw!$A$5:$A$1504,A926)&gt;1,"Duplicate","OK")</f>
        <v>OK</v>
      </c>
      <c r="C926" t="str">
        <f>IF(LEN(TRIM(Controls_Raw!I926))=0,"Missing","OK")</f>
        <v>OK</v>
      </c>
      <c r="D926" t="str">
        <f>IF(LEN(TRIM(Controls_Raw!N926))=0,"Missing","OK")</f>
        <v>OK</v>
      </c>
      <c r="E926" t="str">
        <f>IF(OR(Controls_Raw!G926="USA",Controls_Raw!G926="UK"),"Standardize","OK")</f>
        <v>OK</v>
      </c>
      <c r="F926" t="str">
        <f>IF(Controls_Raw!E926&lt;&gt;TRIM(Controls_Raw!E926),"Trim","OK")</f>
        <v>OK</v>
      </c>
      <c r="G926" t="str">
        <f>IF(AND(Controls_Raw!L926&lt;DATE(2026,9,30),Controls_Raw!M926&lt;&gt;"Completed"),"Overdue","OK")</f>
        <v>Overdue</v>
      </c>
      <c r="H926" t="str">
        <f>IF(AND(Controls_Raw!Q926&lt;DATE(2026,9,30),Controls_Raw!R926&lt;&gt;"Completed",Controls_Raw!R926&lt;&gt;"Not Required"),"Overdue","OK")</f>
        <v>OK</v>
      </c>
      <c r="I926" t="str">
        <f t="shared" si="14"/>
        <v>Issue</v>
      </c>
    </row>
    <row r="927" spans="1:9" x14ac:dyDescent="0.2">
      <c r="A927" t="str">
        <f>Controls_Raw!A927</f>
        <v>CTRL-0923</v>
      </c>
      <c r="B927" t="str">
        <f>IF(COUNTIF(Controls_Raw!$A$5:$A$1504,A927)&gt;1,"Duplicate","OK")</f>
        <v>OK</v>
      </c>
      <c r="C927" t="str">
        <f>IF(LEN(TRIM(Controls_Raw!I927))=0,"Missing","OK")</f>
        <v>OK</v>
      </c>
      <c r="D927" t="str">
        <f>IF(LEN(TRIM(Controls_Raw!N927))=0,"Missing","OK")</f>
        <v>OK</v>
      </c>
      <c r="E927" t="str">
        <f>IF(OR(Controls_Raw!G927="USA",Controls_Raw!G927="UK"),"Standardize","OK")</f>
        <v>OK</v>
      </c>
      <c r="F927" t="str">
        <f>IF(Controls_Raw!E927&lt;&gt;TRIM(Controls_Raw!E927),"Trim","OK")</f>
        <v>OK</v>
      </c>
      <c r="G927" t="str">
        <f>IF(AND(Controls_Raw!L927&lt;DATE(2026,9,30),Controls_Raw!M927&lt;&gt;"Completed"),"Overdue","OK")</f>
        <v>Overdue</v>
      </c>
      <c r="H927" t="str">
        <f>IF(AND(Controls_Raw!Q927&lt;DATE(2026,9,30),Controls_Raw!R927&lt;&gt;"Completed",Controls_Raw!R927&lt;&gt;"Not Required"),"Overdue","OK")</f>
        <v>Overdue</v>
      </c>
      <c r="I927" t="str">
        <f t="shared" si="14"/>
        <v>Issue</v>
      </c>
    </row>
    <row r="928" spans="1:9" x14ac:dyDescent="0.2">
      <c r="A928" t="str">
        <f>Controls_Raw!A928</f>
        <v>CTRL-0924</v>
      </c>
      <c r="B928" t="str">
        <f>IF(COUNTIF(Controls_Raw!$A$5:$A$1504,A928)&gt;1,"Duplicate","OK")</f>
        <v>OK</v>
      </c>
      <c r="C928" t="str">
        <f>IF(LEN(TRIM(Controls_Raw!I928))=0,"Missing","OK")</f>
        <v>OK</v>
      </c>
      <c r="D928" t="str">
        <f>IF(LEN(TRIM(Controls_Raw!N928))=0,"Missing","OK")</f>
        <v>OK</v>
      </c>
      <c r="E928" t="str">
        <f>IF(OR(Controls_Raw!G928="USA",Controls_Raw!G928="UK"),"Standardize","OK")</f>
        <v>OK</v>
      </c>
      <c r="F928" t="str">
        <f>IF(Controls_Raw!E928&lt;&gt;TRIM(Controls_Raw!E928),"Trim","OK")</f>
        <v>OK</v>
      </c>
      <c r="G928" t="str">
        <f>IF(AND(Controls_Raw!L928&lt;DATE(2026,9,30),Controls_Raw!M928&lt;&gt;"Completed"),"Overdue","OK")</f>
        <v>Overdue</v>
      </c>
      <c r="H928" t="str">
        <f>IF(AND(Controls_Raw!Q928&lt;DATE(2026,9,30),Controls_Raw!R928&lt;&gt;"Completed",Controls_Raw!R928&lt;&gt;"Not Required"),"Overdue","OK")</f>
        <v>Overdue</v>
      </c>
      <c r="I928" t="str">
        <f t="shared" si="14"/>
        <v>Issue</v>
      </c>
    </row>
    <row r="929" spans="1:9" x14ac:dyDescent="0.2">
      <c r="A929" t="str">
        <f>Controls_Raw!A929</f>
        <v>CTRL-0925</v>
      </c>
      <c r="B929" t="str">
        <f>IF(COUNTIF(Controls_Raw!$A$5:$A$1504,A929)&gt;1,"Duplicate","OK")</f>
        <v>OK</v>
      </c>
      <c r="C929" t="str">
        <f>IF(LEN(TRIM(Controls_Raw!I929))=0,"Missing","OK")</f>
        <v>OK</v>
      </c>
      <c r="D929" t="str">
        <f>IF(LEN(TRIM(Controls_Raw!N929))=0,"Missing","OK")</f>
        <v>OK</v>
      </c>
      <c r="E929" t="str">
        <f>IF(OR(Controls_Raw!G929="USA",Controls_Raw!G929="UK"),"Standardize","OK")</f>
        <v>OK</v>
      </c>
      <c r="F929" t="str">
        <f>IF(Controls_Raw!E929&lt;&gt;TRIM(Controls_Raw!E929),"Trim","OK")</f>
        <v>OK</v>
      </c>
      <c r="G929" t="str">
        <f>IF(AND(Controls_Raw!L929&lt;DATE(2026,9,30),Controls_Raw!M929&lt;&gt;"Completed"),"Overdue","OK")</f>
        <v>Overdue</v>
      </c>
      <c r="H929" t="str">
        <f>IF(AND(Controls_Raw!Q929&lt;DATE(2026,9,30),Controls_Raw!R929&lt;&gt;"Completed",Controls_Raw!R929&lt;&gt;"Not Required"),"Overdue","OK")</f>
        <v>Overdue</v>
      </c>
      <c r="I929" t="str">
        <f t="shared" si="14"/>
        <v>Issue</v>
      </c>
    </row>
    <row r="930" spans="1:9" x14ac:dyDescent="0.2">
      <c r="A930" t="str">
        <f>Controls_Raw!A930</f>
        <v>CTRL-0926</v>
      </c>
      <c r="B930" t="str">
        <f>IF(COUNTIF(Controls_Raw!$A$5:$A$1504,A930)&gt;1,"Duplicate","OK")</f>
        <v>OK</v>
      </c>
      <c r="C930" t="str">
        <f>IF(LEN(TRIM(Controls_Raw!I930))=0,"Missing","OK")</f>
        <v>OK</v>
      </c>
      <c r="D930" t="str">
        <f>IF(LEN(TRIM(Controls_Raw!N930))=0,"Missing","OK")</f>
        <v>OK</v>
      </c>
      <c r="E930" t="str">
        <f>IF(OR(Controls_Raw!G930="USA",Controls_Raw!G930="UK"),"Standardize","OK")</f>
        <v>OK</v>
      </c>
      <c r="F930" t="str">
        <f>IF(Controls_Raw!E930&lt;&gt;TRIM(Controls_Raw!E930),"Trim","OK")</f>
        <v>OK</v>
      </c>
      <c r="G930" t="str">
        <f>IF(AND(Controls_Raw!L930&lt;DATE(2026,9,30),Controls_Raw!M930&lt;&gt;"Completed"),"Overdue","OK")</f>
        <v>Overdue</v>
      </c>
      <c r="H930" t="str">
        <f>IF(AND(Controls_Raw!Q930&lt;DATE(2026,9,30),Controls_Raw!R930&lt;&gt;"Completed",Controls_Raw!R930&lt;&gt;"Not Required"),"Overdue","OK")</f>
        <v>Overdue</v>
      </c>
      <c r="I930" t="str">
        <f t="shared" si="14"/>
        <v>Issue</v>
      </c>
    </row>
    <row r="931" spans="1:9" x14ac:dyDescent="0.2">
      <c r="A931" t="str">
        <f>Controls_Raw!A931</f>
        <v>CTRL-0927</v>
      </c>
      <c r="B931" t="str">
        <f>IF(COUNTIF(Controls_Raw!$A$5:$A$1504,A931)&gt;1,"Duplicate","OK")</f>
        <v>OK</v>
      </c>
      <c r="C931" t="str">
        <f>IF(LEN(TRIM(Controls_Raw!I931))=0,"Missing","OK")</f>
        <v>OK</v>
      </c>
      <c r="D931" t="str">
        <f>IF(LEN(TRIM(Controls_Raw!N931))=0,"Missing","OK")</f>
        <v>OK</v>
      </c>
      <c r="E931" t="str">
        <f>IF(OR(Controls_Raw!G931="USA",Controls_Raw!G931="UK"),"Standardize","OK")</f>
        <v>OK</v>
      </c>
      <c r="F931" t="str">
        <f>IF(Controls_Raw!E931&lt;&gt;TRIM(Controls_Raw!E931),"Trim","OK")</f>
        <v>OK</v>
      </c>
      <c r="G931" t="str">
        <f>IF(AND(Controls_Raw!L931&lt;DATE(2026,9,30),Controls_Raw!M931&lt;&gt;"Completed"),"Overdue","OK")</f>
        <v>Overdue</v>
      </c>
      <c r="H931" t="str">
        <f>IF(AND(Controls_Raw!Q931&lt;DATE(2026,9,30),Controls_Raw!R931&lt;&gt;"Completed",Controls_Raw!R931&lt;&gt;"Not Required"),"Overdue","OK")</f>
        <v>Overdue</v>
      </c>
      <c r="I931" t="str">
        <f t="shared" si="14"/>
        <v>Issue</v>
      </c>
    </row>
    <row r="932" spans="1:9" x14ac:dyDescent="0.2">
      <c r="A932" t="str">
        <f>Controls_Raw!A932</f>
        <v>CTRL-0928</v>
      </c>
      <c r="B932" t="str">
        <f>IF(COUNTIF(Controls_Raw!$A$5:$A$1504,A932)&gt;1,"Duplicate","OK")</f>
        <v>OK</v>
      </c>
      <c r="C932" t="str">
        <f>IF(LEN(TRIM(Controls_Raw!I932))=0,"Missing","OK")</f>
        <v>OK</v>
      </c>
      <c r="D932" t="str">
        <f>IF(LEN(TRIM(Controls_Raw!N932))=0,"Missing","OK")</f>
        <v>OK</v>
      </c>
      <c r="E932" t="str">
        <f>IF(OR(Controls_Raw!G932="USA",Controls_Raw!G932="UK"),"Standardize","OK")</f>
        <v>OK</v>
      </c>
      <c r="F932" t="str">
        <f>IF(Controls_Raw!E932&lt;&gt;TRIM(Controls_Raw!E932),"Trim","OK")</f>
        <v>OK</v>
      </c>
      <c r="G932" t="str">
        <f>IF(AND(Controls_Raw!L932&lt;DATE(2026,9,30),Controls_Raw!M932&lt;&gt;"Completed"),"Overdue","OK")</f>
        <v>Overdue</v>
      </c>
      <c r="H932" t="str">
        <f>IF(AND(Controls_Raw!Q932&lt;DATE(2026,9,30),Controls_Raw!R932&lt;&gt;"Completed",Controls_Raw!R932&lt;&gt;"Not Required"),"Overdue","OK")</f>
        <v>OK</v>
      </c>
      <c r="I932" t="str">
        <f t="shared" si="14"/>
        <v>Issue</v>
      </c>
    </row>
    <row r="933" spans="1:9" x14ac:dyDescent="0.2">
      <c r="A933" t="str">
        <f>Controls_Raw!A933</f>
        <v>CTRL-0929</v>
      </c>
      <c r="B933" t="str">
        <f>IF(COUNTIF(Controls_Raw!$A$5:$A$1504,A933)&gt;1,"Duplicate","OK")</f>
        <v>OK</v>
      </c>
      <c r="C933" t="str">
        <f>IF(LEN(TRIM(Controls_Raw!I933))=0,"Missing","OK")</f>
        <v>OK</v>
      </c>
      <c r="D933" t="str">
        <f>IF(LEN(TRIM(Controls_Raw!N933))=0,"Missing","OK")</f>
        <v>OK</v>
      </c>
      <c r="E933" t="str">
        <f>IF(OR(Controls_Raw!G933="USA",Controls_Raw!G933="UK"),"Standardize","OK")</f>
        <v>OK</v>
      </c>
      <c r="F933" t="str">
        <f>IF(Controls_Raw!E933&lt;&gt;TRIM(Controls_Raw!E933),"Trim","OK")</f>
        <v>OK</v>
      </c>
      <c r="G933" t="str">
        <f>IF(AND(Controls_Raw!L933&lt;DATE(2026,9,30),Controls_Raw!M933&lt;&gt;"Completed"),"Overdue","OK")</f>
        <v>Overdue</v>
      </c>
      <c r="H933" t="str">
        <f>IF(AND(Controls_Raw!Q933&lt;DATE(2026,9,30),Controls_Raw!R933&lt;&gt;"Completed",Controls_Raw!R933&lt;&gt;"Not Required"),"Overdue","OK")</f>
        <v>OK</v>
      </c>
      <c r="I933" t="str">
        <f t="shared" si="14"/>
        <v>Issue</v>
      </c>
    </row>
    <row r="934" spans="1:9" x14ac:dyDescent="0.2">
      <c r="A934" t="str">
        <f>Controls_Raw!A934</f>
        <v>CTRL-0930</v>
      </c>
      <c r="B934" t="str">
        <f>IF(COUNTIF(Controls_Raw!$A$5:$A$1504,A934)&gt;1,"Duplicate","OK")</f>
        <v>OK</v>
      </c>
      <c r="C934" t="str">
        <f>IF(LEN(TRIM(Controls_Raw!I934))=0,"Missing","OK")</f>
        <v>OK</v>
      </c>
      <c r="D934" t="str">
        <f>IF(LEN(TRIM(Controls_Raw!N934))=0,"Missing","OK")</f>
        <v>OK</v>
      </c>
      <c r="E934" t="str">
        <f>IF(OR(Controls_Raw!G934="USA",Controls_Raw!G934="UK"),"Standardize","OK")</f>
        <v>OK</v>
      </c>
      <c r="F934" t="str">
        <f>IF(Controls_Raw!E934&lt;&gt;TRIM(Controls_Raw!E934),"Trim","OK")</f>
        <v>OK</v>
      </c>
      <c r="G934" t="str">
        <f>IF(AND(Controls_Raw!L934&lt;DATE(2026,9,30),Controls_Raw!M934&lt;&gt;"Completed"),"Overdue","OK")</f>
        <v>Overdue</v>
      </c>
      <c r="H934" t="str">
        <f>IF(AND(Controls_Raw!Q934&lt;DATE(2026,9,30),Controls_Raw!R934&lt;&gt;"Completed",Controls_Raw!R934&lt;&gt;"Not Required"),"Overdue","OK")</f>
        <v>Overdue</v>
      </c>
      <c r="I934" t="str">
        <f t="shared" si="14"/>
        <v>Issue</v>
      </c>
    </row>
    <row r="935" spans="1:9" x14ac:dyDescent="0.2">
      <c r="A935" t="str">
        <f>Controls_Raw!A935</f>
        <v>CTRL-0931</v>
      </c>
      <c r="B935" t="str">
        <f>IF(COUNTIF(Controls_Raw!$A$5:$A$1504,A935)&gt;1,"Duplicate","OK")</f>
        <v>OK</v>
      </c>
      <c r="C935" t="str">
        <f>IF(LEN(TRIM(Controls_Raw!I935))=0,"Missing","OK")</f>
        <v>OK</v>
      </c>
      <c r="D935" t="str">
        <f>IF(LEN(TRIM(Controls_Raw!N935))=0,"Missing","OK")</f>
        <v>OK</v>
      </c>
      <c r="E935" t="str">
        <f>IF(OR(Controls_Raw!G935="USA",Controls_Raw!G935="UK"),"Standardize","OK")</f>
        <v>OK</v>
      </c>
      <c r="F935" t="str">
        <f>IF(Controls_Raw!E935&lt;&gt;TRIM(Controls_Raw!E935),"Trim","OK")</f>
        <v>OK</v>
      </c>
      <c r="G935" t="str">
        <f>IF(AND(Controls_Raw!L935&lt;DATE(2026,9,30),Controls_Raw!M935&lt;&gt;"Completed"),"Overdue","OK")</f>
        <v>Overdue</v>
      </c>
      <c r="H935" t="str">
        <f>IF(AND(Controls_Raw!Q935&lt;DATE(2026,9,30),Controls_Raw!R935&lt;&gt;"Completed",Controls_Raw!R935&lt;&gt;"Not Required"),"Overdue","OK")</f>
        <v>Overdue</v>
      </c>
      <c r="I935" t="str">
        <f t="shared" si="14"/>
        <v>Issue</v>
      </c>
    </row>
    <row r="936" spans="1:9" x14ac:dyDescent="0.2">
      <c r="A936" t="str">
        <f>Controls_Raw!A936</f>
        <v>CTRL-0932</v>
      </c>
      <c r="B936" t="str">
        <f>IF(COUNTIF(Controls_Raw!$A$5:$A$1504,A936)&gt;1,"Duplicate","OK")</f>
        <v>OK</v>
      </c>
      <c r="C936" t="str">
        <f>IF(LEN(TRIM(Controls_Raw!I936))=0,"Missing","OK")</f>
        <v>OK</v>
      </c>
      <c r="D936" t="str">
        <f>IF(LEN(TRIM(Controls_Raw!N936))=0,"Missing","OK")</f>
        <v>OK</v>
      </c>
      <c r="E936" t="str">
        <f>IF(OR(Controls_Raw!G936="USA",Controls_Raw!G936="UK"),"Standardize","OK")</f>
        <v>OK</v>
      </c>
      <c r="F936" t="str">
        <f>IF(Controls_Raw!E936&lt;&gt;TRIM(Controls_Raw!E936),"Trim","OK")</f>
        <v>OK</v>
      </c>
      <c r="G936" t="str">
        <f>IF(AND(Controls_Raw!L936&lt;DATE(2026,9,30),Controls_Raw!M936&lt;&gt;"Completed"),"Overdue","OK")</f>
        <v>OK</v>
      </c>
      <c r="H936" t="str">
        <f>IF(AND(Controls_Raw!Q936&lt;DATE(2026,9,30),Controls_Raw!R936&lt;&gt;"Completed",Controls_Raw!R936&lt;&gt;"Not Required"),"Overdue","OK")</f>
        <v>OK</v>
      </c>
      <c r="I936" t="str">
        <f t="shared" si="14"/>
        <v>Pass</v>
      </c>
    </row>
    <row r="937" spans="1:9" x14ac:dyDescent="0.2">
      <c r="A937" t="str">
        <f>Controls_Raw!A937</f>
        <v>CTRL-0933</v>
      </c>
      <c r="B937" t="str">
        <f>IF(COUNTIF(Controls_Raw!$A$5:$A$1504,A937)&gt;1,"Duplicate","OK")</f>
        <v>OK</v>
      </c>
      <c r="C937" t="str">
        <f>IF(LEN(TRIM(Controls_Raw!I937))=0,"Missing","OK")</f>
        <v>OK</v>
      </c>
      <c r="D937" t="str">
        <f>IF(LEN(TRIM(Controls_Raw!N937))=0,"Missing","OK")</f>
        <v>OK</v>
      </c>
      <c r="E937" t="str">
        <f>IF(OR(Controls_Raw!G937="USA",Controls_Raw!G937="UK"),"Standardize","OK")</f>
        <v>OK</v>
      </c>
      <c r="F937" t="str">
        <f>IF(Controls_Raw!E937&lt;&gt;TRIM(Controls_Raw!E937),"Trim","OK")</f>
        <v>OK</v>
      </c>
      <c r="G937" t="str">
        <f>IF(AND(Controls_Raw!L937&lt;DATE(2026,9,30),Controls_Raw!M937&lt;&gt;"Completed"),"Overdue","OK")</f>
        <v>Overdue</v>
      </c>
      <c r="H937" t="str">
        <f>IF(AND(Controls_Raw!Q937&lt;DATE(2026,9,30),Controls_Raw!R937&lt;&gt;"Completed",Controls_Raw!R937&lt;&gt;"Not Required"),"Overdue","OK")</f>
        <v>OK</v>
      </c>
      <c r="I937" t="str">
        <f t="shared" si="14"/>
        <v>Issue</v>
      </c>
    </row>
    <row r="938" spans="1:9" x14ac:dyDescent="0.2">
      <c r="A938" t="str">
        <f>Controls_Raw!A938</f>
        <v>CTRL-0934</v>
      </c>
      <c r="B938" t="str">
        <f>IF(COUNTIF(Controls_Raw!$A$5:$A$1504,A938)&gt;1,"Duplicate","OK")</f>
        <v>OK</v>
      </c>
      <c r="C938" t="str">
        <f>IF(LEN(TRIM(Controls_Raw!I938))=0,"Missing","OK")</f>
        <v>OK</v>
      </c>
      <c r="D938" t="str">
        <f>IF(LEN(TRIM(Controls_Raw!N938))=0,"Missing","OK")</f>
        <v>OK</v>
      </c>
      <c r="E938" t="str">
        <f>IF(OR(Controls_Raw!G938="USA",Controls_Raw!G938="UK"),"Standardize","OK")</f>
        <v>OK</v>
      </c>
      <c r="F938" t="str">
        <f>IF(Controls_Raw!E938&lt;&gt;TRIM(Controls_Raw!E938),"Trim","OK")</f>
        <v>OK</v>
      </c>
      <c r="G938" t="str">
        <f>IF(AND(Controls_Raw!L938&lt;DATE(2026,9,30),Controls_Raw!M938&lt;&gt;"Completed"),"Overdue","OK")</f>
        <v>Overdue</v>
      </c>
      <c r="H938" t="str">
        <f>IF(AND(Controls_Raw!Q938&lt;DATE(2026,9,30),Controls_Raw!R938&lt;&gt;"Completed",Controls_Raw!R938&lt;&gt;"Not Required"),"Overdue","OK")</f>
        <v>OK</v>
      </c>
      <c r="I938" t="str">
        <f t="shared" si="14"/>
        <v>Issue</v>
      </c>
    </row>
    <row r="939" spans="1:9" x14ac:dyDescent="0.2">
      <c r="A939" t="str">
        <f>Controls_Raw!A939</f>
        <v>CTRL-0935</v>
      </c>
      <c r="B939" t="str">
        <f>IF(COUNTIF(Controls_Raw!$A$5:$A$1504,A939)&gt;1,"Duplicate","OK")</f>
        <v>OK</v>
      </c>
      <c r="C939" t="str">
        <f>IF(LEN(TRIM(Controls_Raw!I939))=0,"Missing","OK")</f>
        <v>OK</v>
      </c>
      <c r="D939" t="str">
        <f>IF(LEN(TRIM(Controls_Raw!N939))=0,"Missing","OK")</f>
        <v>OK</v>
      </c>
      <c r="E939" t="str">
        <f>IF(OR(Controls_Raw!G939="USA",Controls_Raw!G939="UK"),"Standardize","OK")</f>
        <v>OK</v>
      </c>
      <c r="F939" t="str">
        <f>IF(Controls_Raw!E939&lt;&gt;TRIM(Controls_Raw!E939),"Trim","OK")</f>
        <v>OK</v>
      </c>
      <c r="G939" t="str">
        <f>IF(AND(Controls_Raw!L939&lt;DATE(2026,9,30),Controls_Raw!M939&lt;&gt;"Completed"),"Overdue","OK")</f>
        <v>Overdue</v>
      </c>
      <c r="H939" t="str">
        <f>IF(AND(Controls_Raw!Q939&lt;DATE(2026,9,30),Controls_Raw!R939&lt;&gt;"Completed",Controls_Raw!R939&lt;&gt;"Not Required"),"Overdue","OK")</f>
        <v>OK</v>
      </c>
      <c r="I939" t="str">
        <f t="shared" si="14"/>
        <v>Issue</v>
      </c>
    </row>
    <row r="940" spans="1:9" x14ac:dyDescent="0.2">
      <c r="A940" t="str">
        <f>Controls_Raw!A940</f>
        <v>CTRL-0936</v>
      </c>
      <c r="B940" t="str">
        <f>IF(COUNTIF(Controls_Raw!$A$5:$A$1504,A940)&gt;1,"Duplicate","OK")</f>
        <v>OK</v>
      </c>
      <c r="C940" t="str">
        <f>IF(LEN(TRIM(Controls_Raw!I940))=0,"Missing","OK")</f>
        <v>OK</v>
      </c>
      <c r="D940" t="str">
        <f>IF(LEN(TRIM(Controls_Raw!N940))=0,"Missing","OK")</f>
        <v>OK</v>
      </c>
      <c r="E940" t="str">
        <f>IF(OR(Controls_Raw!G940="USA",Controls_Raw!G940="UK"),"Standardize","OK")</f>
        <v>OK</v>
      </c>
      <c r="F940" t="str">
        <f>IF(Controls_Raw!E940&lt;&gt;TRIM(Controls_Raw!E940),"Trim","OK")</f>
        <v>OK</v>
      </c>
      <c r="G940" t="str">
        <f>IF(AND(Controls_Raw!L940&lt;DATE(2026,9,30),Controls_Raw!M940&lt;&gt;"Completed"),"Overdue","OK")</f>
        <v>Overdue</v>
      </c>
      <c r="H940" t="str">
        <f>IF(AND(Controls_Raw!Q940&lt;DATE(2026,9,30),Controls_Raw!R940&lt;&gt;"Completed",Controls_Raw!R940&lt;&gt;"Not Required"),"Overdue","OK")</f>
        <v>Overdue</v>
      </c>
      <c r="I940" t="str">
        <f t="shared" si="14"/>
        <v>Issue</v>
      </c>
    </row>
    <row r="941" spans="1:9" x14ac:dyDescent="0.2">
      <c r="A941" t="str">
        <f>Controls_Raw!A941</f>
        <v>CTRL-0937</v>
      </c>
      <c r="B941" t="str">
        <f>IF(COUNTIF(Controls_Raw!$A$5:$A$1504,A941)&gt;1,"Duplicate","OK")</f>
        <v>OK</v>
      </c>
      <c r="C941" t="str">
        <f>IF(LEN(TRIM(Controls_Raw!I941))=0,"Missing","OK")</f>
        <v>OK</v>
      </c>
      <c r="D941" t="str">
        <f>IF(LEN(TRIM(Controls_Raw!N941))=0,"Missing","OK")</f>
        <v>OK</v>
      </c>
      <c r="E941" t="str">
        <f>IF(OR(Controls_Raw!G941="USA",Controls_Raw!G941="UK"),"Standardize","OK")</f>
        <v>OK</v>
      </c>
      <c r="F941" t="str">
        <f>IF(Controls_Raw!E941&lt;&gt;TRIM(Controls_Raw!E941),"Trim","OK")</f>
        <v>OK</v>
      </c>
      <c r="G941" t="str">
        <f>IF(AND(Controls_Raw!L941&lt;DATE(2026,9,30),Controls_Raw!M941&lt;&gt;"Completed"),"Overdue","OK")</f>
        <v>Overdue</v>
      </c>
      <c r="H941" t="str">
        <f>IF(AND(Controls_Raw!Q941&lt;DATE(2026,9,30),Controls_Raw!R941&lt;&gt;"Completed",Controls_Raw!R941&lt;&gt;"Not Required"),"Overdue","OK")</f>
        <v>Overdue</v>
      </c>
      <c r="I941" t="str">
        <f t="shared" si="14"/>
        <v>Issue</v>
      </c>
    </row>
    <row r="942" spans="1:9" x14ac:dyDescent="0.2">
      <c r="A942" t="str">
        <f>Controls_Raw!A942</f>
        <v>CTRL-0938</v>
      </c>
      <c r="B942" t="str">
        <f>IF(COUNTIF(Controls_Raw!$A$5:$A$1504,A942)&gt;1,"Duplicate","OK")</f>
        <v>OK</v>
      </c>
      <c r="C942" t="str">
        <f>IF(LEN(TRIM(Controls_Raw!I942))=0,"Missing","OK")</f>
        <v>OK</v>
      </c>
      <c r="D942" t="str">
        <f>IF(LEN(TRIM(Controls_Raw!N942))=0,"Missing","OK")</f>
        <v>OK</v>
      </c>
      <c r="E942" t="str">
        <f>IF(OR(Controls_Raw!G942="USA",Controls_Raw!G942="UK"),"Standardize","OK")</f>
        <v>OK</v>
      </c>
      <c r="F942" t="str">
        <f>IF(Controls_Raw!E942&lt;&gt;TRIM(Controls_Raw!E942),"Trim","OK")</f>
        <v>OK</v>
      </c>
      <c r="G942" t="str">
        <f>IF(AND(Controls_Raw!L942&lt;DATE(2026,9,30),Controls_Raw!M942&lt;&gt;"Completed"),"Overdue","OK")</f>
        <v>Overdue</v>
      </c>
      <c r="H942" t="str">
        <f>IF(AND(Controls_Raw!Q942&lt;DATE(2026,9,30),Controls_Raw!R942&lt;&gt;"Completed",Controls_Raw!R942&lt;&gt;"Not Required"),"Overdue","OK")</f>
        <v>OK</v>
      </c>
      <c r="I942" t="str">
        <f t="shared" si="14"/>
        <v>Issue</v>
      </c>
    </row>
    <row r="943" spans="1:9" x14ac:dyDescent="0.2">
      <c r="A943" t="str">
        <f>Controls_Raw!A943</f>
        <v>CTRL-0939</v>
      </c>
      <c r="B943" t="str">
        <f>IF(COUNTIF(Controls_Raw!$A$5:$A$1504,A943)&gt;1,"Duplicate","OK")</f>
        <v>OK</v>
      </c>
      <c r="C943" t="str">
        <f>IF(LEN(TRIM(Controls_Raw!I943))=0,"Missing","OK")</f>
        <v>OK</v>
      </c>
      <c r="D943" t="str">
        <f>IF(LEN(TRIM(Controls_Raw!N943))=0,"Missing","OK")</f>
        <v>OK</v>
      </c>
      <c r="E943" t="str">
        <f>IF(OR(Controls_Raw!G943="USA",Controls_Raw!G943="UK"),"Standardize","OK")</f>
        <v>OK</v>
      </c>
      <c r="F943" t="str">
        <f>IF(Controls_Raw!E943&lt;&gt;TRIM(Controls_Raw!E943),"Trim","OK")</f>
        <v>OK</v>
      </c>
      <c r="G943" t="str">
        <f>IF(AND(Controls_Raw!L943&lt;DATE(2026,9,30),Controls_Raw!M943&lt;&gt;"Completed"),"Overdue","OK")</f>
        <v>OK</v>
      </c>
      <c r="H943" t="str">
        <f>IF(AND(Controls_Raw!Q943&lt;DATE(2026,9,30),Controls_Raw!R943&lt;&gt;"Completed",Controls_Raw!R943&lt;&gt;"Not Required"),"Overdue","OK")</f>
        <v>Overdue</v>
      </c>
      <c r="I943" t="str">
        <f t="shared" si="14"/>
        <v>Issue</v>
      </c>
    </row>
    <row r="944" spans="1:9" x14ac:dyDescent="0.2">
      <c r="A944" t="str">
        <f>Controls_Raw!A944</f>
        <v>CTRL-0940</v>
      </c>
      <c r="B944" t="str">
        <f>IF(COUNTIF(Controls_Raw!$A$5:$A$1504,A944)&gt;1,"Duplicate","OK")</f>
        <v>OK</v>
      </c>
      <c r="C944" t="str">
        <f>IF(LEN(TRIM(Controls_Raw!I944))=0,"Missing","OK")</f>
        <v>OK</v>
      </c>
      <c r="D944" t="str">
        <f>IF(LEN(TRIM(Controls_Raw!N944))=0,"Missing","OK")</f>
        <v>OK</v>
      </c>
      <c r="E944" t="str">
        <f>IF(OR(Controls_Raw!G944="USA",Controls_Raw!G944="UK"),"Standardize","OK")</f>
        <v>OK</v>
      </c>
      <c r="F944" t="str">
        <f>IF(Controls_Raw!E944&lt;&gt;TRIM(Controls_Raw!E944),"Trim","OK")</f>
        <v>OK</v>
      </c>
      <c r="G944" t="str">
        <f>IF(AND(Controls_Raw!L944&lt;DATE(2026,9,30),Controls_Raw!M944&lt;&gt;"Completed"),"Overdue","OK")</f>
        <v>OK</v>
      </c>
      <c r="H944" t="str">
        <f>IF(AND(Controls_Raw!Q944&lt;DATE(2026,9,30),Controls_Raw!R944&lt;&gt;"Completed",Controls_Raw!R944&lt;&gt;"Not Required"),"Overdue","OK")</f>
        <v>Overdue</v>
      </c>
      <c r="I944" t="str">
        <f t="shared" si="14"/>
        <v>Issue</v>
      </c>
    </row>
    <row r="945" spans="1:9" x14ac:dyDescent="0.2">
      <c r="A945" t="str">
        <f>Controls_Raw!A945</f>
        <v>CTRL-0941</v>
      </c>
      <c r="B945" t="str">
        <f>IF(COUNTIF(Controls_Raw!$A$5:$A$1504,A945)&gt;1,"Duplicate","OK")</f>
        <v>OK</v>
      </c>
      <c r="C945" t="str">
        <f>IF(LEN(TRIM(Controls_Raw!I945))=0,"Missing","OK")</f>
        <v>Missing</v>
      </c>
      <c r="D945" t="str">
        <f>IF(LEN(TRIM(Controls_Raw!N945))=0,"Missing","OK")</f>
        <v>OK</v>
      </c>
      <c r="E945" t="str">
        <f>IF(OR(Controls_Raw!G945="USA",Controls_Raw!G945="UK"),"Standardize","OK")</f>
        <v>OK</v>
      </c>
      <c r="F945" t="str">
        <f>IF(Controls_Raw!E945&lt;&gt;TRIM(Controls_Raw!E945),"Trim","OK")</f>
        <v>OK</v>
      </c>
      <c r="G945" t="str">
        <f>IF(AND(Controls_Raw!L945&lt;DATE(2026,9,30),Controls_Raw!M945&lt;&gt;"Completed"),"Overdue","OK")</f>
        <v>OK</v>
      </c>
      <c r="H945" t="str">
        <f>IF(AND(Controls_Raw!Q945&lt;DATE(2026,9,30),Controls_Raw!R945&lt;&gt;"Completed",Controls_Raw!R945&lt;&gt;"Not Required"),"Overdue","OK")</f>
        <v>OK</v>
      </c>
      <c r="I945" t="str">
        <f t="shared" si="14"/>
        <v>Issue</v>
      </c>
    </row>
    <row r="946" spans="1:9" x14ac:dyDescent="0.2">
      <c r="A946" t="str">
        <f>Controls_Raw!A946</f>
        <v>CTRL-0942</v>
      </c>
      <c r="B946" t="str">
        <f>IF(COUNTIF(Controls_Raw!$A$5:$A$1504,A946)&gt;1,"Duplicate","OK")</f>
        <v>OK</v>
      </c>
      <c r="C946" t="str">
        <f>IF(LEN(TRIM(Controls_Raw!I946))=0,"Missing","OK")</f>
        <v>OK</v>
      </c>
      <c r="D946" t="str">
        <f>IF(LEN(TRIM(Controls_Raw!N946))=0,"Missing","OK")</f>
        <v>OK</v>
      </c>
      <c r="E946" t="str">
        <f>IF(OR(Controls_Raw!G946="USA",Controls_Raw!G946="UK"),"Standardize","OK")</f>
        <v>OK</v>
      </c>
      <c r="F946" t="str">
        <f>IF(Controls_Raw!E946&lt;&gt;TRIM(Controls_Raw!E946),"Trim","OK")</f>
        <v>OK</v>
      </c>
      <c r="G946" t="str">
        <f>IF(AND(Controls_Raw!L946&lt;DATE(2026,9,30),Controls_Raw!M946&lt;&gt;"Completed"),"Overdue","OK")</f>
        <v>Overdue</v>
      </c>
      <c r="H946" t="str">
        <f>IF(AND(Controls_Raw!Q946&lt;DATE(2026,9,30),Controls_Raw!R946&lt;&gt;"Completed",Controls_Raw!R946&lt;&gt;"Not Required"),"Overdue","OK")</f>
        <v>OK</v>
      </c>
      <c r="I946" t="str">
        <f t="shared" si="14"/>
        <v>Issue</v>
      </c>
    </row>
    <row r="947" spans="1:9" x14ac:dyDescent="0.2">
      <c r="A947" t="str">
        <f>Controls_Raw!A947</f>
        <v>CTRL-0943</v>
      </c>
      <c r="B947" t="str">
        <f>IF(COUNTIF(Controls_Raw!$A$5:$A$1504,A947)&gt;1,"Duplicate","OK")</f>
        <v>OK</v>
      </c>
      <c r="C947" t="str">
        <f>IF(LEN(TRIM(Controls_Raw!I947))=0,"Missing","OK")</f>
        <v>OK</v>
      </c>
      <c r="D947" t="str">
        <f>IF(LEN(TRIM(Controls_Raw!N947))=0,"Missing","OK")</f>
        <v>OK</v>
      </c>
      <c r="E947" t="str">
        <f>IF(OR(Controls_Raw!G947="USA",Controls_Raw!G947="UK"),"Standardize","OK")</f>
        <v>OK</v>
      </c>
      <c r="F947" t="str">
        <f>IF(Controls_Raw!E947&lt;&gt;TRIM(Controls_Raw!E947),"Trim","OK")</f>
        <v>OK</v>
      </c>
      <c r="G947" t="str">
        <f>IF(AND(Controls_Raw!L947&lt;DATE(2026,9,30),Controls_Raw!M947&lt;&gt;"Completed"),"Overdue","OK")</f>
        <v>Overdue</v>
      </c>
      <c r="H947" t="str">
        <f>IF(AND(Controls_Raw!Q947&lt;DATE(2026,9,30),Controls_Raw!R947&lt;&gt;"Completed",Controls_Raw!R947&lt;&gt;"Not Required"),"Overdue","OK")</f>
        <v>OK</v>
      </c>
      <c r="I947" t="str">
        <f t="shared" si="14"/>
        <v>Issue</v>
      </c>
    </row>
    <row r="948" spans="1:9" x14ac:dyDescent="0.2">
      <c r="A948" t="str">
        <f>Controls_Raw!A948</f>
        <v>CTRL-0944</v>
      </c>
      <c r="B948" t="str">
        <f>IF(COUNTIF(Controls_Raw!$A$5:$A$1504,A948)&gt;1,"Duplicate","OK")</f>
        <v>OK</v>
      </c>
      <c r="C948" t="str">
        <f>IF(LEN(TRIM(Controls_Raw!I948))=0,"Missing","OK")</f>
        <v>OK</v>
      </c>
      <c r="D948" t="str">
        <f>IF(LEN(TRIM(Controls_Raw!N948))=0,"Missing","OK")</f>
        <v>OK</v>
      </c>
      <c r="E948" t="str">
        <f>IF(OR(Controls_Raw!G948="USA",Controls_Raw!G948="UK"),"Standardize","OK")</f>
        <v>OK</v>
      </c>
      <c r="F948" t="str">
        <f>IF(Controls_Raw!E948&lt;&gt;TRIM(Controls_Raw!E948),"Trim","OK")</f>
        <v>OK</v>
      </c>
      <c r="G948" t="str">
        <f>IF(AND(Controls_Raw!L948&lt;DATE(2026,9,30),Controls_Raw!M948&lt;&gt;"Completed"),"Overdue","OK")</f>
        <v>OK</v>
      </c>
      <c r="H948" t="str">
        <f>IF(AND(Controls_Raw!Q948&lt;DATE(2026,9,30),Controls_Raw!R948&lt;&gt;"Completed",Controls_Raw!R948&lt;&gt;"Not Required"),"Overdue","OK")</f>
        <v>Overdue</v>
      </c>
      <c r="I948" t="str">
        <f t="shared" si="14"/>
        <v>Issue</v>
      </c>
    </row>
    <row r="949" spans="1:9" x14ac:dyDescent="0.2">
      <c r="A949" t="str">
        <f>Controls_Raw!A949</f>
        <v>CTRL-0945</v>
      </c>
      <c r="B949" t="str">
        <f>IF(COUNTIF(Controls_Raw!$A$5:$A$1504,A949)&gt;1,"Duplicate","OK")</f>
        <v>OK</v>
      </c>
      <c r="C949" t="str">
        <f>IF(LEN(TRIM(Controls_Raw!I949))=0,"Missing","OK")</f>
        <v>OK</v>
      </c>
      <c r="D949" t="str">
        <f>IF(LEN(TRIM(Controls_Raw!N949))=0,"Missing","OK")</f>
        <v>OK</v>
      </c>
      <c r="E949" t="str">
        <f>IF(OR(Controls_Raw!G949="USA",Controls_Raw!G949="UK"),"Standardize","OK")</f>
        <v>OK</v>
      </c>
      <c r="F949" t="str">
        <f>IF(Controls_Raw!E949&lt;&gt;TRIM(Controls_Raw!E949),"Trim","OK")</f>
        <v>OK</v>
      </c>
      <c r="G949" t="str">
        <f>IF(AND(Controls_Raw!L949&lt;DATE(2026,9,30),Controls_Raw!M949&lt;&gt;"Completed"),"Overdue","OK")</f>
        <v>Overdue</v>
      </c>
      <c r="H949" t="str">
        <f>IF(AND(Controls_Raw!Q949&lt;DATE(2026,9,30),Controls_Raw!R949&lt;&gt;"Completed",Controls_Raw!R949&lt;&gt;"Not Required"),"Overdue","OK")</f>
        <v>OK</v>
      </c>
      <c r="I949" t="str">
        <f t="shared" si="14"/>
        <v>Issue</v>
      </c>
    </row>
    <row r="950" spans="1:9" x14ac:dyDescent="0.2">
      <c r="A950" t="str">
        <f>Controls_Raw!A950</f>
        <v>CTRL-0946</v>
      </c>
      <c r="B950" t="str">
        <f>IF(COUNTIF(Controls_Raw!$A$5:$A$1504,A950)&gt;1,"Duplicate","OK")</f>
        <v>OK</v>
      </c>
      <c r="C950" t="str">
        <f>IF(LEN(TRIM(Controls_Raw!I950))=0,"Missing","OK")</f>
        <v>OK</v>
      </c>
      <c r="D950" t="str">
        <f>IF(LEN(TRIM(Controls_Raw!N950))=0,"Missing","OK")</f>
        <v>OK</v>
      </c>
      <c r="E950" t="str">
        <f>IF(OR(Controls_Raw!G950="USA",Controls_Raw!G950="UK"),"Standardize","OK")</f>
        <v>OK</v>
      </c>
      <c r="F950" t="str">
        <f>IF(Controls_Raw!E950&lt;&gt;TRIM(Controls_Raw!E950),"Trim","OK")</f>
        <v>OK</v>
      </c>
      <c r="G950" t="str">
        <f>IF(AND(Controls_Raw!L950&lt;DATE(2026,9,30),Controls_Raw!M950&lt;&gt;"Completed"),"Overdue","OK")</f>
        <v>OK</v>
      </c>
      <c r="H950" t="str">
        <f>IF(AND(Controls_Raw!Q950&lt;DATE(2026,9,30),Controls_Raw!R950&lt;&gt;"Completed",Controls_Raw!R950&lt;&gt;"Not Required"),"Overdue","OK")</f>
        <v>OK</v>
      </c>
      <c r="I950" t="str">
        <f t="shared" si="14"/>
        <v>Pass</v>
      </c>
    </row>
    <row r="951" spans="1:9" x14ac:dyDescent="0.2">
      <c r="A951" t="str">
        <f>Controls_Raw!A951</f>
        <v>CTRL-0947</v>
      </c>
      <c r="B951" t="str">
        <f>IF(COUNTIF(Controls_Raw!$A$5:$A$1504,A951)&gt;1,"Duplicate","OK")</f>
        <v>OK</v>
      </c>
      <c r="C951" t="str">
        <f>IF(LEN(TRIM(Controls_Raw!I951))=0,"Missing","OK")</f>
        <v>OK</v>
      </c>
      <c r="D951" t="str">
        <f>IF(LEN(TRIM(Controls_Raw!N951))=0,"Missing","OK")</f>
        <v>OK</v>
      </c>
      <c r="E951" t="str">
        <f>IF(OR(Controls_Raw!G951="USA",Controls_Raw!G951="UK"),"Standardize","OK")</f>
        <v>OK</v>
      </c>
      <c r="F951" t="str">
        <f>IF(Controls_Raw!E951&lt;&gt;TRIM(Controls_Raw!E951),"Trim","OK")</f>
        <v>OK</v>
      </c>
      <c r="G951" t="str">
        <f>IF(AND(Controls_Raw!L951&lt;DATE(2026,9,30),Controls_Raw!M951&lt;&gt;"Completed"),"Overdue","OK")</f>
        <v>OK</v>
      </c>
      <c r="H951" t="str">
        <f>IF(AND(Controls_Raw!Q951&lt;DATE(2026,9,30),Controls_Raw!R951&lt;&gt;"Completed",Controls_Raw!R951&lt;&gt;"Not Required"),"Overdue","OK")</f>
        <v>Overdue</v>
      </c>
      <c r="I951" t="str">
        <f t="shared" si="14"/>
        <v>Issue</v>
      </c>
    </row>
    <row r="952" spans="1:9" x14ac:dyDescent="0.2">
      <c r="A952" t="str">
        <f>Controls_Raw!A952</f>
        <v>CTRL-0948</v>
      </c>
      <c r="B952" t="str">
        <f>IF(COUNTIF(Controls_Raw!$A$5:$A$1504,A952)&gt;1,"Duplicate","OK")</f>
        <v>OK</v>
      </c>
      <c r="C952" t="str">
        <f>IF(LEN(TRIM(Controls_Raw!I952))=0,"Missing","OK")</f>
        <v>OK</v>
      </c>
      <c r="D952" t="str">
        <f>IF(LEN(TRIM(Controls_Raw!N952))=0,"Missing","OK")</f>
        <v>OK</v>
      </c>
      <c r="E952" t="str">
        <f>IF(OR(Controls_Raw!G952="USA",Controls_Raw!G952="UK"),"Standardize","OK")</f>
        <v>OK</v>
      </c>
      <c r="F952" t="str">
        <f>IF(Controls_Raw!E952&lt;&gt;TRIM(Controls_Raw!E952),"Trim","OK")</f>
        <v>OK</v>
      </c>
      <c r="G952" t="str">
        <f>IF(AND(Controls_Raw!L952&lt;DATE(2026,9,30),Controls_Raw!M952&lt;&gt;"Completed"),"Overdue","OK")</f>
        <v>Overdue</v>
      </c>
      <c r="H952" t="str">
        <f>IF(AND(Controls_Raw!Q952&lt;DATE(2026,9,30),Controls_Raw!R952&lt;&gt;"Completed",Controls_Raw!R952&lt;&gt;"Not Required"),"Overdue","OK")</f>
        <v>OK</v>
      </c>
      <c r="I952" t="str">
        <f t="shared" si="14"/>
        <v>Issue</v>
      </c>
    </row>
    <row r="953" spans="1:9" x14ac:dyDescent="0.2">
      <c r="A953" t="str">
        <f>Controls_Raw!A953</f>
        <v>CTRL-0949</v>
      </c>
      <c r="B953" t="str">
        <f>IF(COUNTIF(Controls_Raw!$A$5:$A$1504,A953)&gt;1,"Duplicate","OK")</f>
        <v>OK</v>
      </c>
      <c r="C953" t="str">
        <f>IF(LEN(TRIM(Controls_Raw!I953))=0,"Missing","OK")</f>
        <v>OK</v>
      </c>
      <c r="D953" t="str">
        <f>IF(LEN(TRIM(Controls_Raw!N953))=0,"Missing","OK")</f>
        <v>OK</v>
      </c>
      <c r="E953" t="str">
        <f>IF(OR(Controls_Raw!G953="USA",Controls_Raw!G953="UK"),"Standardize","OK")</f>
        <v>OK</v>
      </c>
      <c r="F953" t="str">
        <f>IF(Controls_Raw!E953&lt;&gt;TRIM(Controls_Raw!E953),"Trim","OK")</f>
        <v>OK</v>
      </c>
      <c r="G953" t="str">
        <f>IF(AND(Controls_Raw!L953&lt;DATE(2026,9,30),Controls_Raw!M953&lt;&gt;"Completed"),"Overdue","OK")</f>
        <v>OK</v>
      </c>
      <c r="H953" t="str">
        <f>IF(AND(Controls_Raw!Q953&lt;DATE(2026,9,30),Controls_Raw!R953&lt;&gt;"Completed",Controls_Raw!R953&lt;&gt;"Not Required"),"Overdue","OK")</f>
        <v>OK</v>
      </c>
      <c r="I953" t="str">
        <f t="shared" si="14"/>
        <v>Pass</v>
      </c>
    </row>
    <row r="954" spans="1:9" x14ac:dyDescent="0.2">
      <c r="A954" t="str">
        <f>Controls_Raw!A954</f>
        <v>CTRL-0950</v>
      </c>
      <c r="B954" t="str">
        <f>IF(COUNTIF(Controls_Raw!$A$5:$A$1504,A954)&gt;1,"Duplicate","OK")</f>
        <v>OK</v>
      </c>
      <c r="C954" t="str">
        <f>IF(LEN(TRIM(Controls_Raw!I954))=0,"Missing","OK")</f>
        <v>OK</v>
      </c>
      <c r="D954" t="str">
        <f>IF(LEN(TRIM(Controls_Raw!N954))=0,"Missing","OK")</f>
        <v>OK</v>
      </c>
      <c r="E954" t="str">
        <f>IF(OR(Controls_Raw!G954="USA",Controls_Raw!G954="UK"),"Standardize","OK")</f>
        <v>OK</v>
      </c>
      <c r="F954" t="str">
        <f>IF(Controls_Raw!E954&lt;&gt;TRIM(Controls_Raw!E954),"Trim","OK")</f>
        <v>Trim</v>
      </c>
      <c r="G954" t="str">
        <f>IF(AND(Controls_Raw!L954&lt;DATE(2026,9,30),Controls_Raw!M954&lt;&gt;"Completed"),"Overdue","OK")</f>
        <v>Overdue</v>
      </c>
      <c r="H954" t="str">
        <f>IF(AND(Controls_Raw!Q954&lt;DATE(2026,9,30),Controls_Raw!R954&lt;&gt;"Completed",Controls_Raw!R954&lt;&gt;"Not Required"),"Overdue","OK")</f>
        <v>OK</v>
      </c>
      <c r="I954" t="str">
        <f t="shared" si="14"/>
        <v>Issue</v>
      </c>
    </row>
    <row r="955" spans="1:9" x14ac:dyDescent="0.2">
      <c r="A955" t="str">
        <f>Controls_Raw!A955</f>
        <v>CTRL-0951</v>
      </c>
      <c r="B955" t="str">
        <f>IF(COUNTIF(Controls_Raw!$A$5:$A$1504,A955)&gt;1,"Duplicate","OK")</f>
        <v>OK</v>
      </c>
      <c r="C955" t="str">
        <f>IF(LEN(TRIM(Controls_Raw!I955))=0,"Missing","OK")</f>
        <v>OK</v>
      </c>
      <c r="D955" t="str">
        <f>IF(LEN(TRIM(Controls_Raw!N955))=0,"Missing","OK")</f>
        <v>OK</v>
      </c>
      <c r="E955" t="str">
        <f>IF(OR(Controls_Raw!G955="USA",Controls_Raw!G955="UK"),"Standardize","OK")</f>
        <v>OK</v>
      </c>
      <c r="F955" t="str">
        <f>IF(Controls_Raw!E955&lt;&gt;TRIM(Controls_Raw!E955),"Trim","OK")</f>
        <v>OK</v>
      </c>
      <c r="G955" t="str">
        <f>IF(AND(Controls_Raw!L955&lt;DATE(2026,9,30),Controls_Raw!M955&lt;&gt;"Completed"),"Overdue","OK")</f>
        <v>Overdue</v>
      </c>
      <c r="H955" t="str">
        <f>IF(AND(Controls_Raw!Q955&lt;DATE(2026,9,30),Controls_Raw!R955&lt;&gt;"Completed",Controls_Raw!R955&lt;&gt;"Not Required"),"Overdue","OK")</f>
        <v>Overdue</v>
      </c>
      <c r="I955" t="str">
        <f t="shared" si="14"/>
        <v>Issue</v>
      </c>
    </row>
    <row r="956" spans="1:9" x14ac:dyDescent="0.2">
      <c r="A956" t="str">
        <f>Controls_Raw!A956</f>
        <v>CTRL-0952</v>
      </c>
      <c r="B956" t="str">
        <f>IF(COUNTIF(Controls_Raw!$A$5:$A$1504,A956)&gt;1,"Duplicate","OK")</f>
        <v>OK</v>
      </c>
      <c r="C956" t="str">
        <f>IF(LEN(TRIM(Controls_Raw!I956))=0,"Missing","OK")</f>
        <v>OK</v>
      </c>
      <c r="D956" t="str">
        <f>IF(LEN(TRIM(Controls_Raw!N956))=0,"Missing","OK")</f>
        <v>OK</v>
      </c>
      <c r="E956" t="str">
        <f>IF(OR(Controls_Raw!G956="USA",Controls_Raw!G956="UK"),"Standardize","OK")</f>
        <v>OK</v>
      </c>
      <c r="F956" t="str">
        <f>IF(Controls_Raw!E956&lt;&gt;TRIM(Controls_Raw!E956),"Trim","OK")</f>
        <v>OK</v>
      </c>
      <c r="G956" t="str">
        <f>IF(AND(Controls_Raw!L956&lt;DATE(2026,9,30),Controls_Raw!M956&lt;&gt;"Completed"),"Overdue","OK")</f>
        <v>OK</v>
      </c>
      <c r="H956" t="str">
        <f>IF(AND(Controls_Raw!Q956&lt;DATE(2026,9,30),Controls_Raw!R956&lt;&gt;"Completed",Controls_Raw!R956&lt;&gt;"Not Required"),"Overdue","OK")</f>
        <v>OK</v>
      </c>
      <c r="I956" t="str">
        <f t="shared" si="14"/>
        <v>Pass</v>
      </c>
    </row>
    <row r="957" spans="1:9" x14ac:dyDescent="0.2">
      <c r="A957" t="str">
        <f>Controls_Raw!A957</f>
        <v>CTRL-0953</v>
      </c>
      <c r="B957" t="str">
        <f>IF(COUNTIF(Controls_Raw!$A$5:$A$1504,A957)&gt;1,"Duplicate","OK")</f>
        <v>OK</v>
      </c>
      <c r="C957" t="str">
        <f>IF(LEN(TRIM(Controls_Raw!I957))=0,"Missing","OK")</f>
        <v>OK</v>
      </c>
      <c r="D957" t="str">
        <f>IF(LEN(TRIM(Controls_Raw!N957))=0,"Missing","OK")</f>
        <v>OK</v>
      </c>
      <c r="E957" t="str">
        <f>IF(OR(Controls_Raw!G957="USA",Controls_Raw!G957="UK"),"Standardize","OK")</f>
        <v>OK</v>
      </c>
      <c r="F957" t="str">
        <f>IF(Controls_Raw!E957&lt;&gt;TRIM(Controls_Raw!E957),"Trim","OK")</f>
        <v>OK</v>
      </c>
      <c r="G957" t="str">
        <f>IF(AND(Controls_Raw!L957&lt;DATE(2026,9,30),Controls_Raw!M957&lt;&gt;"Completed"),"Overdue","OK")</f>
        <v>OK</v>
      </c>
      <c r="H957" t="str">
        <f>IF(AND(Controls_Raw!Q957&lt;DATE(2026,9,30),Controls_Raw!R957&lt;&gt;"Completed",Controls_Raw!R957&lt;&gt;"Not Required"),"Overdue","OK")</f>
        <v>Overdue</v>
      </c>
      <c r="I957" t="str">
        <f t="shared" si="14"/>
        <v>Issue</v>
      </c>
    </row>
    <row r="958" spans="1:9" x14ac:dyDescent="0.2">
      <c r="A958" t="str">
        <f>Controls_Raw!A958</f>
        <v>CTRL-0954</v>
      </c>
      <c r="B958" t="str">
        <f>IF(COUNTIF(Controls_Raw!$A$5:$A$1504,A958)&gt;1,"Duplicate","OK")</f>
        <v>OK</v>
      </c>
      <c r="C958" t="str">
        <f>IF(LEN(TRIM(Controls_Raw!I958))=0,"Missing","OK")</f>
        <v>OK</v>
      </c>
      <c r="D958" t="str">
        <f>IF(LEN(TRIM(Controls_Raw!N958))=0,"Missing","OK")</f>
        <v>OK</v>
      </c>
      <c r="E958" t="str">
        <f>IF(OR(Controls_Raw!G958="USA",Controls_Raw!G958="UK"),"Standardize","OK")</f>
        <v>OK</v>
      </c>
      <c r="F958" t="str">
        <f>IF(Controls_Raw!E958&lt;&gt;TRIM(Controls_Raw!E958),"Trim","OK")</f>
        <v>OK</v>
      </c>
      <c r="G958" t="str">
        <f>IF(AND(Controls_Raw!L958&lt;DATE(2026,9,30),Controls_Raw!M958&lt;&gt;"Completed"),"Overdue","OK")</f>
        <v>OK</v>
      </c>
      <c r="H958" t="str">
        <f>IF(AND(Controls_Raw!Q958&lt;DATE(2026,9,30),Controls_Raw!R958&lt;&gt;"Completed",Controls_Raw!R958&lt;&gt;"Not Required"),"Overdue","OK")</f>
        <v>OK</v>
      </c>
      <c r="I958" t="str">
        <f t="shared" si="14"/>
        <v>Pass</v>
      </c>
    </row>
    <row r="959" spans="1:9" x14ac:dyDescent="0.2">
      <c r="A959" t="str">
        <f>Controls_Raw!A959</f>
        <v>CTRL-0955</v>
      </c>
      <c r="B959" t="str">
        <f>IF(COUNTIF(Controls_Raw!$A$5:$A$1504,A959)&gt;1,"Duplicate","OK")</f>
        <v>OK</v>
      </c>
      <c r="C959" t="str">
        <f>IF(LEN(TRIM(Controls_Raw!I959))=0,"Missing","OK")</f>
        <v>OK</v>
      </c>
      <c r="D959" t="str">
        <f>IF(LEN(TRIM(Controls_Raw!N959))=0,"Missing","OK")</f>
        <v>OK</v>
      </c>
      <c r="E959" t="str">
        <f>IF(OR(Controls_Raw!G959="USA",Controls_Raw!G959="UK"),"Standardize","OK")</f>
        <v>OK</v>
      </c>
      <c r="F959" t="str">
        <f>IF(Controls_Raw!E959&lt;&gt;TRIM(Controls_Raw!E959),"Trim","OK")</f>
        <v>OK</v>
      </c>
      <c r="G959" t="str">
        <f>IF(AND(Controls_Raw!L959&lt;DATE(2026,9,30),Controls_Raw!M959&lt;&gt;"Completed"),"Overdue","OK")</f>
        <v>Overdue</v>
      </c>
      <c r="H959" t="str">
        <f>IF(AND(Controls_Raw!Q959&lt;DATE(2026,9,30),Controls_Raw!R959&lt;&gt;"Completed",Controls_Raw!R959&lt;&gt;"Not Required"),"Overdue","OK")</f>
        <v>OK</v>
      </c>
      <c r="I959" t="str">
        <f t="shared" si="14"/>
        <v>Issue</v>
      </c>
    </row>
    <row r="960" spans="1:9" x14ac:dyDescent="0.2">
      <c r="A960" t="str">
        <f>Controls_Raw!A960</f>
        <v>CTRL-0956</v>
      </c>
      <c r="B960" t="str">
        <f>IF(COUNTIF(Controls_Raw!$A$5:$A$1504,A960)&gt;1,"Duplicate","OK")</f>
        <v>OK</v>
      </c>
      <c r="C960" t="str">
        <f>IF(LEN(TRIM(Controls_Raw!I960))=0,"Missing","OK")</f>
        <v>OK</v>
      </c>
      <c r="D960" t="str">
        <f>IF(LEN(TRIM(Controls_Raw!N960))=0,"Missing","OK")</f>
        <v>OK</v>
      </c>
      <c r="E960" t="str">
        <f>IF(OR(Controls_Raw!G960="USA",Controls_Raw!G960="UK"),"Standardize","OK")</f>
        <v>OK</v>
      </c>
      <c r="F960" t="str">
        <f>IF(Controls_Raw!E960&lt;&gt;TRIM(Controls_Raw!E960),"Trim","OK")</f>
        <v>OK</v>
      </c>
      <c r="G960" t="str">
        <f>IF(AND(Controls_Raw!L960&lt;DATE(2026,9,30),Controls_Raw!M960&lt;&gt;"Completed"),"Overdue","OK")</f>
        <v>Overdue</v>
      </c>
      <c r="H960" t="str">
        <f>IF(AND(Controls_Raw!Q960&lt;DATE(2026,9,30),Controls_Raw!R960&lt;&gt;"Completed",Controls_Raw!R960&lt;&gt;"Not Required"),"Overdue","OK")</f>
        <v>OK</v>
      </c>
      <c r="I960" t="str">
        <f t="shared" si="14"/>
        <v>Issue</v>
      </c>
    </row>
    <row r="961" spans="1:9" x14ac:dyDescent="0.2">
      <c r="A961" t="str">
        <f>Controls_Raw!A961</f>
        <v>CTRL-0957</v>
      </c>
      <c r="B961" t="str">
        <f>IF(COUNTIF(Controls_Raw!$A$5:$A$1504,A961)&gt;1,"Duplicate","OK")</f>
        <v>OK</v>
      </c>
      <c r="C961" t="str">
        <f>IF(LEN(TRIM(Controls_Raw!I961))=0,"Missing","OK")</f>
        <v>OK</v>
      </c>
      <c r="D961" t="str">
        <f>IF(LEN(TRIM(Controls_Raw!N961))=0,"Missing","OK")</f>
        <v>OK</v>
      </c>
      <c r="E961" t="str">
        <f>IF(OR(Controls_Raw!G961="USA",Controls_Raw!G961="UK"),"Standardize","OK")</f>
        <v>OK</v>
      </c>
      <c r="F961" t="str">
        <f>IF(Controls_Raw!E961&lt;&gt;TRIM(Controls_Raw!E961),"Trim","OK")</f>
        <v>OK</v>
      </c>
      <c r="G961" t="str">
        <f>IF(AND(Controls_Raw!L961&lt;DATE(2026,9,30),Controls_Raw!M961&lt;&gt;"Completed"),"Overdue","OK")</f>
        <v>OK</v>
      </c>
      <c r="H961" t="str">
        <f>IF(AND(Controls_Raw!Q961&lt;DATE(2026,9,30),Controls_Raw!R961&lt;&gt;"Completed",Controls_Raw!R961&lt;&gt;"Not Required"),"Overdue","OK")</f>
        <v>OK</v>
      </c>
      <c r="I961" t="str">
        <f t="shared" si="14"/>
        <v>Pass</v>
      </c>
    </row>
    <row r="962" spans="1:9" x14ac:dyDescent="0.2">
      <c r="A962" t="str">
        <f>Controls_Raw!A962</f>
        <v>CTRL-0958</v>
      </c>
      <c r="B962" t="str">
        <f>IF(COUNTIF(Controls_Raw!$A$5:$A$1504,A962)&gt;1,"Duplicate","OK")</f>
        <v>OK</v>
      </c>
      <c r="C962" t="str">
        <f>IF(LEN(TRIM(Controls_Raw!I962))=0,"Missing","OK")</f>
        <v>OK</v>
      </c>
      <c r="D962" t="str">
        <f>IF(LEN(TRIM(Controls_Raw!N962))=0,"Missing","OK")</f>
        <v>OK</v>
      </c>
      <c r="E962" t="str">
        <f>IF(OR(Controls_Raw!G962="USA",Controls_Raw!G962="UK"),"Standardize","OK")</f>
        <v>OK</v>
      </c>
      <c r="F962" t="str">
        <f>IF(Controls_Raw!E962&lt;&gt;TRIM(Controls_Raw!E962),"Trim","OK")</f>
        <v>OK</v>
      </c>
      <c r="G962" t="str">
        <f>IF(AND(Controls_Raw!L962&lt;DATE(2026,9,30),Controls_Raw!M962&lt;&gt;"Completed"),"Overdue","OK")</f>
        <v>Overdue</v>
      </c>
      <c r="H962" t="str">
        <f>IF(AND(Controls_Raw!Q962&lt;DATE(2026,9,30),Controls_Raw!R962&lt;&gt;"Completed",Controls_Raw!R962&lt;&gt;"Not Required"),"Overdue","OK")</f>
        <v>OK</v>
      </c>
      <c r="I962" t="str">
        <f t="shared" si="14"/>
        <v>Issue</v>
      </c>
    </row>
    <row r="963" spans="1:9" x14ac:dyDescent="0.2">
      <c r="A963" t="str">
        <f>Controls_Raw!A963</f>
        <v>CTRL-0959</v>
      </c>
      <c r="B963" t="str">
        <f>IF(COUNTIF(Controls_Raw!$A$5:$A$1504,A963)&gt;1,"Duplicate","OK")</f>
        <v>OK</v>
      </c>
      <c r="C963" t="str">
        <f>IF(LEN(TRIM(Controls_Raw!I963))=0,"Missing","OK")</f>
        <v>OK</v>
      </c>
      <c r="D963" t="str">
        <f>IF(LEN(TRIM(Controls_Raw!N963))=0,"Missing","OK")</f>
        <v>OK</v>
      </c>
      <c r="E963" t="str">
        <f>IF(OR(Controls_Raw!G963="USA",Controls_Raw!G963="UK"),"Standardize","OK")</f>
        <v>OK</v>
      </c>
      <c r="F963" t="str">
        <f>IF(Controls_Raw!E963&lt;&gt;TRIM(Controls_Raw!E963),"Trim","OK")</f>
        <v>OK</v>
      </c>
      <c r="G963" t="str">
        <f>IF(AND(Controls_Raw!L963&lt;DATE(2026,9,30),Controls_Raw!M963&lt;&gt;"Completed"),"Overdue","OK")</f>
        <v>OK</v>
      </c>
      <c r="H963" t="str">
        <f>IF(AND(Controls_Raw!Q963&lt;DATE(2026,9,30),Controls_Raw!R963&lt;&gt;"Completed",Controls_Raw!R963&lt;&gt;"Not Required"),"Overdue","OK")</f>
        <v>Overdue</v>
      </c>
      <c r="I963" t="str">
        <f t="shared" si="14"/>
        <v>Issue</v>
      </c>
    </row>
    <row r="964" spans="1:9" x14ac:dyDescent="0.2">
      <c r="A964" t="str">
        <f>Controls_Raw!A964</f>
        <v>CTRL-0960</v>
      </c>
      <c r="B964" t="str">
        <f>IF(COUNTIF(Controls_Raw!$A$5:$A$1504,A964)&gt;1,"Duplicate","OK")</f>
        <v>OK</v>
      </c>
      <c r="C964" t="str">
        <f>IF(LEN(TRIM(Controls_Raw!I964))=0,"Missing","OK")</f>
        <v>OK</v>
      </c>
      <c r="D964" t="str">
        <f>IF(LEN(TRIM(Controls_Raw!N964))=0,"Missing","OK")</f>
        <v>OK</v>
      </c>
      <c r="E964" t="str">
        <f>IF(OR(Controls_Raw!G964="USA",Controls_Raw!G964="UK"),"Standardize","OK")</f>
        <v>OK</v>
      </c>
      <c r="F964" t="str">
        <f>IF(Controls_Raw!E964&lt;&gt;TRIM(Controls_Raw!E964),"Trim","OK")</f>
        <v>OK</v>
      </c>
      <c r="G964" t="str">
        <f>IF(AND(Controls_Raw!L964&lt;DATE(2026,9,30),Controls_Raw!M964&lt;&gt;"Completed"),"Overdue","OK")</f>
        <v>Overdue</v>
      </c>
      <c r="H964" t="str">
        <f>IF(AND(Controls_Raw!Q964&lt;DATE(2026,9,30),Controls_Raw!R964&lt;&gt;"Completed",Controls_Raw!R964&lt;&gt;"Not Required"),"Overdue","OK")</f>
        <v>OK</v>
      </c>
      <c r="I964" t="str">
        <f t="shared" si="14"/>
        <v>Issue</v>
      </c>
    </row>
    <row r="965" spans="1:9" x14ac:dyDescent="0.2">
      <c r="A965" t="str">
        <f>Controls_Raw!A965</f>
        <v>CTRL-0961</v>
      </c>
      <c r="B965" t="str">
        <f>IF(COUNTIF(Controls_Raw!$A$5:$A$1504,A965)&gt;1,"Duplicate","OK")</f>
        <v>OK</v>
      </c>
      <c r="C965" t="str">
        <f>IF(LEN(TRIM(Controls_Raw!I965))=0,"Missing","OK")</f>
        <v>OK</v>
      </c>
      <c r="D965" t="str">
        <f>IF(LEN(TRIM(Controls_Raw!N965))=0,"Missing","OK")</f>
        <v>OK</v>
      </c>
      <c r="E965" t="str">
        <f>IF(OR(Controls_Raw!G965="USA",Controls_Raw!G965="UK"),"Standardize","OK")</f>
        <v>OK</v>
      </c>
      <c r="F965" t="str">
        <f>IF(Controls_Raw!E965&lt;&gt;TRIM(Controls_Raw!E965),"Trim","OK")</f>
        <v>OK</v>
      </c>
      <c r="G965" t="str">
        <f>IF(AND(Controls_Raw!L965&lt;DATE(2026,9,30),Controls_Raw!M965&lt;&gt;"Completed"),"Overdue","OK")</f>
        <v>Overdue</v>
      </c>
      <c r="H965" t="str">
        <f>IF(AND(Controls_Raw!Q965&lt;DATE(2026,9,30),Controls_Raw!R965&lt;&gt;"Completed",Controls_Raw!R965&lt;&gt;"Not Required"),"Overdue","OK")</f>
        <v>OK</v>
      </c>
      <c r="I965" t="str">
        <f t="shared" ref="I965:I1028" si="15">IF(COUNTIF(B965:H965,"&lt;&gt;OK")&gt;0,"Issue","Pass")</f>
        <v>Issue</v>
      </c>
    </row>
    <row r="966" spans="1:9" x14ac:dyDescent="0.2">
      <c r="A966" t="str">
        <f>Controls_Raw!A966</f>
        <v>CTRL-0962</v>
      </c>
      <c r="B966" t="str">
        <f>IF(COUNTIF(Controls_Raw!$A$5:$A$1504,A966)&gt;1,"Duplicate","OK")</f>
        <v>OK</v>
      </c>
      <c r="C966" t="str">
        <f>IF(LEN(TRIM(Controls_Raw!I966))=0,"Missing","OK")</f>
        <v>OK</v>
      </c>
      <c r="D966" t="str">
        <f>IF(LEN(TRIM(Controls_Raw!N966))=0,"Missing","OK")</f>
        <v>OK</v>
      </c>
      <c r="E966" t="str">
        <f>IF(OR(Controls_Raw!G966="USA",Controls_Raw!G966="UK"),"Standardize","OK")</f>
        <v>OK</v>
      </c>
      <c r="F966" t="str">
        <f>IF(Controls_Raw!E966&lt;&gt;TRIM(Controls_Raw!E966),"Trim","OK")</f>
        <v>OK</v>
      </c>
      <c r="G966" t="str">
        <f>IF(AND(Controls_Raw!L966&lt;DATE(2026,9,30),Controls_Raw!M966&lt;&gt;"Completed"),"Overdue","OK")</f>
        <v>OK</v>
      </c>
      <c r="H966" t="str">
        <f>IF(AND(Controls_Raw!Q966&lt;DATE(2026,9,30),Controls_Raw!R966&lt;&gt;"Completed",Controls_Raw!R966&lt;&gt;"Not Required"),"Overdue","OK")</f>
        <v>OK</v>
      </c>
      <c r="I966" t="str">
        <f t="shared" si="15"/>
        <v>Pass</v>
      </c>
    </row>
    <row r="967" spans="1:9" x14ac:dyDescent="0.2">
      <c r="A967" t="str">
        <f>Controls_Raw!A967</f>
        <v>CTRL-0963</v>
      </c>
      <c r="B967" t="str">
        <f>IF(COUNTIF(Controls_Raw!$A$5:$A$1504,A967)&gt;1,"Duplicate","OK")</f>
        <v>OK</v>
      </c>
      <c r="C967" t="str">
        <f>IF(LEN(TRIM(Controls_Raw!I967))=0,"Missing","OK")</f>
        <v>OK</v>
      </c>
      <c r="D967" t="str">
        <f>IF(LEN(TRIM(Controls_Raw!N967))=0,"Missing","OK")</f>
        <v>OK</v>
      </c>
      <c r="E967" t="str">
        <f>IF(OR(Controls_Raw!G967="USA",Controls_Raw!G967="UK"),"Standardize","OK")</f>
        <v>OK</v>
      </c>
      <c r="F967" t="str">
        <f>IF(Controls_Raw!E967&lt;&gt;TRIM(Controls_Raw!E967),"Trim","OK")</f>
        <v>OK</v>
      </c>
      <c r="G967" t="str">
        <f>IF(AND(Controls_Raw!L967&lt;DATE(2026,9,30),Controls_Raw!M967&lt;&gt;"Completed"),"Overdue","OK")</f>
        <v>Overdue</v>
      </c>
      <c r="H967" t="str">
        <f>IF(AND(Controls_Raw!Q967&lt;DATE(2026,9,30),Controls_Raw!R967&lt;&gt;"Completed",Controls_Raw!R967&lt;&gt;"Not Required"),"Overdue","OK")</f>
        <v>OK</v>
      </c>
      <c r="I967" t="str">
        <f t="shared" si="15"/>
        <v>Issue</v>
      </c>
    </row>
    <row r="968" spans="1:9" x14ac:dyDescent="0.2">
      <c r="A968" t="str">
        <f>Controls_Raw!A968</f>
        <v>CTRL-0964</v>
      </c>
      <c r="B968" t="str">
        <f>IF(COUNTIF(Controls_Raw!$A$5:$A$1504,A968)&gt;1,"Duplicate","OK")</f>
        <v>OK</v>
      </c>
      <c r="C968" t="str">
        <f>IF(LEN(TRIM(Controls_Raw!I968))=0,"Missing","OK")</f>
        <v>OK</v>
      </c>
      <c r="D968" t="str">
        <f>IF(LEN(TRIM(Controls_Raw!N968))=0,"Missing","OK")</f>
        <v>OK</v>
      </c>
      <c r="E968" t="str">
        <f>IF(OR(Controls_Raw!G968="USA",Controls_Raw!G968="UK"),"Standardize","OK")</f>
        <v>OK</v>
      </c>
      <c r="F968" t="str">
        <f>IF(Controls_Raw!E968&lt;&gt;TRIM(Controls_Raw!E968),"Trim","OK")</f>
        <v>OK</v>
      </c>
      <c r="G968" t="str">
        <f>IF(AND(Controls_Raw!L968&lt;DATE(2026,9,30),Controls_Raw!M968&lt;&gt;"Completed"),"Overdue","OK")</f>
        <v>Overdue</v>
      </c>
      <c r="H968" t="str">
        <f>IF(AND(Controls_Raw!Q968&lt;DATE(2026,9,30),Controls_Raw!R968&lt;&gt;"Completed",Controls_Raw!R968&lt;&gt;"Not Required"),"Overdue","OK")</f>
        <v>Overdue</v>
      </c>
      <c r="I968" t="str">
        <f t="shared" si="15"/>
        <v>Issue</v>
      </c>
    </row>
    <row r="969" spans="1:9" x14ac:dyDescent="0.2">
      <c r="A969" t="str">
        <f>Controls_Raw!A969</f>
        <v>CTRL-0965</v>
      </c>
      <c r="B969" t="str">
        <f>IF(COUNTIF(Controls_Raw!$A$5:$A$1504,A969)&gt;1,"Duplicate","OK")</f>
        <v>OK</v>
      </c>
      <c r="C969" t="str">
        <f>IF(LEN(TRIM(Controls_Raw!I969))=0,"Missing","OK")</f>
        <v>OK</v>
      </c>
      <c r="D969" t="str">
        <f>IF(LEN(TRIM(Controls_Raw!N969))=0,"Missing","OK")</f>
        <v>OK</v>
      </c>
      <c r="E969" t="str">
        <f>IF(OR(Controls_Raw!G969="USA",Controls_Raw!G969="UK"),"Standardize","OK")</f>
        <v>OK</v>
      </c>
      <c r="F969" t="str">
        <f>IF(Controls_Raw!E969&lt;&gt;TRIM(Controls_Raw!E969),"Trim","OK")</f>
        <v>OK</v>
      </c>
      <c r="G969" t="str">
        <f>IF(AND(Controls_Raw!L969&lt;DATE(2026,9,30),Controls_Raw!M969&lt;&gt;"Completed"),"Overdue","OK")</f>
        <v>Overdue</v>
      </c>
      <c r="H969" t="str">
        <f>IF(AND(Controls_Raw!Q969&lt;DATE(2026,9,30),Controls_Raw!R969&lt;&gt;"Completed",Controls_Raw!R969&lt;&gt;"Not Required"),"Overdue","OK")</f>
        <v>OK</v>
      </c>
      <c r="I969" t="str">
        <f t="shared" si="15"/>
        <v>Issue</v>
      </c>
    </row>
    <row r="970" spans="1:9" x14ac:dyDescent="0.2">
      <c r="A970" t="str">
        <f>Controls_Raw!A970</f>
        <v>CTRL-0966</v>
      </c>
      <c r="B970" t="str">
        <f>IF(COUNTIF(Controls_Raw!$A$5:$A$1504,A970)&gt;1,"Duplicate","OK")</f>
        <v>OK</v>
      </c>
      <c r="C970" t="str">
        <f>IF(LEN(TRIM(Controls_Raw!I970))=0,"Missing","OK")</f>
        <v>OK</v>
      </c>
      <c r="D970" t="str">
        <f>IF(LEN(TRIM(Controls_Raw!N970))=0,"Missing","OK")</f>
        <v>OK</v>
      </c>
      <c r="E970" t="str">
        <f>IF(OR(Controls_Raw!G970="USA",Controls_Raw!G970="UK"),"Standardize","OK")</f>
        <v>OK</v>
      </c>
      <c r="F970" t="str">
        <f>IF(Controls_Raw!E970&lt;&gt;TRIM(Controls_Raw!E970),"Trim","OK")</f>
        <v>OK</v>
      </c>
      <c r="G970" t="str">
        <f>IF(AND(Controls_Raw!L970&lt;DATE(2026,9,30),Controls_Raw!M970&lt;&gt;"Completed"),"Overdue","OK")</f>
        <v>Overdue</v>
      </c>
      <c r="H970" t="str">
        <f>IF(AND(Controls_Raw!Q970&lt;DATE(2026,9,30),Controls_Raw!R970&lt;&gt;"Completed",Controls_Raw!R970&lt;&gt;"Not Required"),"Overdue","OK")</f>
        <v>OK</v>
      </c>
      <c r="I970" t="str">
        <f t="shared" si="15"/>
        <v>Issue</v>
      </c>
    </row>
    <row r="971" spans="1:9" x14ac:dyDescent="0.2">
      <c r="A971" t="str">
        <f>Controls_Raw!A971</f>
        <v>CTRL-0967</v>
      </c>
      <c r="B971" t="str">
        <f>IF(COUNTIF(Controls_Raw!$A$5:$A$1504,A971)&gt;1,"Duplicate","OK")</f>
        <v>OK</v>
      </c>
      <c r="C971" t="str">
        <f>IF(LEN(TRIM(Controls_Raw!I971))=0,"Missing","OK")</f>
        <v>OK</v>
      </c>
      <c r="D971" t="str">
        <f>IF(LEN(TRIM(Controls_Raw!N971))=0,"Missing","OK")</f>
        <v>OK</v>
      </c>
      <c r="E971" t="str">
        <f>IF(OR(Controls_Raw!G971="USA",Controls_Raw!G971="UK"),"Standardize","OK")</f>
        <v>OK</v>
      </c>
      <c r="F971" t="str">
        <f>IF(Controls_Raw!E971&lt;&gt;TRIM(Controls_Raw!E971),"Trim","OK")</f>
        <v>OK</v>
      </c>
      <c r="G971" t="str">
        <f>IF(AND(Controls_Raw!L971&lt;DATE(2026,9,30),Controls_Raw!M971&lt;&gt;"Completed"),"Overdue","OK")</f>
        <v>Overdue</v>
      </c>
      <c r="H971" t="str">
        <f>IF(AND(Controls_Raw!Q971&lt;DATE(2026,9,30),Controls_Raw!R971&lt;&gt;"Completed",Controls_Raw!R971&lt;&gt;"Not Required"),"Overdue","OK")</f>
        <v>Overdue</v>
      </c>
      <c r="I971" t="str">
        <f t="shared" si="15"/>
        <v>Issue</v>
      </c>
    </row>
    <row r="972" spans="1:9" x14ac:dyDescent="0.2">
      <c r="A972" t="str">
        <f>Controls_Raw!A972</f>
        <v>CTRL-0968</v>
      </c>
      <c r="B972" t="str">
        <f>IF(COUNTIF(Controls_Raw!$A$5:$A$1504,A972)&gt;1,"Duplicate","OK")</f>
        <v>OK</v>
      </c>
      <c r="C972" t="str">
        <f>IF(LEN(TRIM(Controls_Raw!I972))=0,"Missing","OK")</f>
        <v>OK</v>
      </c>
      <c r="D972" t="str">
        <f>IF(LEN(TRIM(Controls_Raw!N972))=0,"Missing","OK")</f>
        <v>OK</v>
      </c>
      <c r="E972" t="str">
        <f>IF(OR(Controls_Raw!G972="USA",Controls_Raw!G972="UK"),"Standardize","OK")</f>
        <v>OK</v>
      </c>
      <c r="F972" t="str">
        <f>IF(Controls_Raw!E972&lt;&gt;TRIM(Controls_Raw!E972),"Trim","OK")</f>
        <v>OK</v>
      </c>
      <c r="G972" t="str">
        <f>IF(AND(Controls_Raw!L972&lt;DATE(2026,9,30),Controls_Raw!M972&lt;&gt;"Completed"),"Overdue","OK")</f>
        <v>OK</v>
      </c>
      <c r="H972" t="str">
        <f>IF(AND(Controls_Raw!Q972&lt;DATE(2026,9,30),Controls_Raw!R972&lt;&gt;"Completed",Controls_Raw!R972&lt;&gt;"Not Required"),"Overdue","OK")</f>
        <v>OK</v>
      </c>
      <c r="I972" t="str">
        <f t="shared" si="15"/>
        <v>Pass</v>
      </c>
    </row>
    <row r="973" spans="1:9" x14ac:dyDescent="0.2">
      <c r="A973" t="str">
        <f>Controls_Raw!A973</f>
        <v>CTRL-0969</v>
      </c>
      <c r="B973" t="str">
        <f>IF(COUNTIF(Controls_Raw!$A$5:$A$1504,A973)&gt;1,"Duplicate","OK")</f>
        <v>OK</v>
      </c>
      <c r="C973" t="str">
        <f>IF(LEN(TRIM(Controls_Raw!I973))=0,"Missing","OK")</f>
        <v>OK</v>
      </c>
      <c r="D973" t="str">
        <f>IF(LEN(TRIM(Controls_Raw!N973))=0,"Missing","OK")</f>
        <v>OK</v>
      </c>
      <c r="E973" t="str">
        <f>IF(OR(Controls_Raw!G973="USA",Controls_Raw!G973="UK"),"Standardize","OK")</f>
        <v>OK</v>
      </c>
      <c r="F973" t="str">
        <f>IF(Controls_Raw!E973&lt;&gt;TRIM(Controls_Raw!E973),"Trim","OK")</f>
        <v>OK</v>
      </c>
      <c r="G973" t="str">
        <f>IF(AND(Controls_Raw!L973&lt;DATE(2026,9,30),Controls_Raw!M973&lt;&gt;"Completed"),"Overdue","OK")</f>
        <v>Overdue</v>
      </c>
      <c r="H973" t="str">
        <f>IF(AND(Controls_Raw!Q973&lt;DATE(2026,9,30),Controls_Raw!R973&lt;&gt;"Completed",Controls_Raw!R973&lt;&gt;"Not Required"),"Overdue","OK")</f>
        <v>OK</v>
      </c>
      <c r="I973" t="str">
        <f t="shared" si="15"/>
        <v>Issue</v>
      </c>
    </row>
    <row r="974" spans="1:9" x14ac:dyDescent="0.2">
      <c r="A974" t="str">
        <f>Controls_Raw!A974</f>
        <v>CTRL-0970</v>
      </c>
      <c r="B974" t="str">
        <f>IF(COUNTIF(Controls_Raw!$A$5:$A$1504,A974)&gt;1,"Duplicate","OK")</f>
        <v>OK</v>
      </c>
      <c r="C974" t="str">
        <f>IF(LEN(TRIM(Controls_Raw!I974))=0,"Missing","OK")</f>
        <v>OK</v>
      </c>
      <c r="D974" t="str">
        <f>IF(LEN(TRIM(Controls_Raw!N974))=0,"Missing","OK")</f>
        <v>OK</v>
      </c>
      <c r="E974" t="str">
        <f>IF(OR(Controls_Raw!G974="USA",Controls_Raw!G974="UK"),"Standardize","OK")</f>
        <v>OK</v>
      </c>
      <c r="F974" t="str">
        <f>IF(Controls_Raw!E974&lt;&gt;TRIM(Controls_Raw!E974),"Trim","OK")</f>
        <v>OK</v>
      </c>
      <c r="G974" t="str">
        <f>IF(AND(Controls_Raw!L974&lt;DATE(2026,9,30),Controls_Raw!M974&lt;&gt;"Completed"),"Overdue","OK")</f>
        <v>Overdue</v>
      </c>
      <c r="H974" t="str">
        <f>IF(AND(Controls_Raw!Q974&lt;DATE(2026,9,30),Controls_Raw!R974&lt;&gt;"Completed",Controls_Raw!R974&lt;&gt;"Not Required"),"Overdue","OK")</f>
        <v>Overdue</v>
      </c>
      <c r="I974" t="str">
        <f t="shared" si="15"/>
        <v>Issue</v>
      </c>
    </row>
    <row r="975" spans="1:9" x14ac:dyDescent="0.2">
      <c r="A975" t="str">
        <f>Controls_Raw!A975</f>
        <v>CTRL-0971</v>
      </c>
      <c r="B975" t="str">
        <f>IF(COUNTIF(Controls_Raw!$A$5:$A$1504,A975)&gt;1,"Duplicate","OK")</f>
        <v>OK</v>
      </c>
      <c r="C975" t="str">
        <f>IF(LEN(TRIM(Controls_Raw!I975))=0,"Missing","OK")</f>
        <v>OK</v>
      </c>
      <c r="D975" t="str">
        <f>IF(LEN(TRIM(Controls_Raw!N975))=0,"Missing","OK")</f>
        <v>OK</v>
      </c>
      <c r="E975" t="str">
        <f>IF(OR(Controls_Raw!G975="USA",Controls_Raw!G975="UK"),"Standardize","OK")</f>
        <v>OK</v>
      </c>
      <c r="F975" t="str">
        <f>IF(Controls_Raw!E975&lt;&gt;TRIM(Controls_Raw!E975),"Trim","OK")</f>
        <v>OK</v>
      </c>
      <c r="G975" t="str">
        <f>IF(AND(Controls_Raw!L975&lt;DATE(2026,9,30),Controls_Raw!M975&lt;&gt;"Completed"),"Overdue","OK")</f>
        <v>Overdue</v>
      </c>
      <c r="H975" t="str">
        <f>IF(AND(Controls_Raw!Q975&lt;DATE(2026,9,30),Controls_Raw!R975&lt;&gt;"Completed",Controls_Raw!R975&lt;&gt;"Not Required"),"Overdue","OK")</f>
        <v>OK</v>
      </c>
      <c r="I975" t="str">
        <f t="shared" si="15"/>
        <v>Issue</v>
      </c>
    </row>
    <row r="976" spans="1:9" x14ac:dyDescent="0.2">
      <c r="A976" t="str">
        <f>Controls_Raw!A976</f>
        <v>CTRL-0972</v>
      </c>
      <c r="B976" t="str">
        <f>IF(COUNTIF(Controls_Raw!$A$5:$A$1504,A976)&gt;1,"Duplicate","OK")</f>
        <v>OK</v>
      </c>
      <c r="C976" t="str">
        <f>IF(LEN(TRIM(Controls_Raw!I976))=0,"Missing","OK")</f>
        <v>OK</v>
      </c>
      <c r="D976" t="str">
        <f>IF(LEN(TRIM(Controls_Raw!N976))=0,"Missing","OK")</f>
        <v>OK</v>
      </c>
      <c r="E976" t="str">
        <f>IF(OR(Controls_Raw!G976="USA",Controls_Raw!G976="UK"),"Standardize","OK")</f>
        <v>OK</v>
      </c>
      <c r="F976" t="str">
        <f>IF(Controls_Raw!E976&lt;&gt;TRIM(Controls_Raw!E976),"Trim","OK")</f>
        <v>OK</v>
      </c>
      <c r="G976" t="str">
        <f>IF(AND(Controls_Raw!L976&lt;DATE(2026,9,30),Controls_Raw!M976&lt;&gt;"Completed"),"Overdue","OK")</f>
        <v>Overdue</v>
      </c>
      <c r="H976" t="str">
        <f>IF(AND(Controls_Raw!Q976&lt;DATE(2026,9,30),Controls_Raw!R976&lt;&gt;"Completed",Controls_Raw!R976&lt;&gt;"Not Required"),"Overdue","OK")</f>
        <v>Overdue</v>
      </c>
      <c r="I976" t="str">
        <f t="shared" si="15"/>
        <v>Issue</v>
      </c>
    </row>
    <row r="977" spans="1:9" x14ac:dyDescent="0.2">
      <c r="A977" t="str">
        <f>Controls_Raw!A977</f>
        <v>CTRL-0973</v>
      </c>
      <c r="B977" t="str">
        <f>IF(COUNTIF(Controls_Raw!$A$5:$A$1504,A977)&gt;1,"Duplicate","OK")</f>
        <v>OK</v>
      </c>
      <c r="C977" t="str">
        <f>IF(LEN(TRIM(Controls_Raw!I977))=0,"Missing","OK")</f>
        <v>OK</v>
      </c>
      <c r="D977" t="str">
        <f>IF(LEN(TRIM(Controls_Raw!N977))=0,"Missing","OK")</f>
        <v>OK</v>
      </c>
      <c r="E977" t="str">
        <f>IF(OR(Controls_Raw!G977="USA",Controls_Raw!G977="UK"),"Standardize","OK")</f>
        <v>OK</v>
      </c>
      <c r="F977" t="str">
        <f>IF(Controls_Raw!E977&lt;&gt;TRIM(Controls_Raw!E977),"Trim","OK")</f>
        <v>OK</v>
      </c>
      <c r="G977" t="str">
        <f>IF(AND(Controls_Raw!L977&lt;DATE(2026,9,30),Controls_Raw!M977&lt;&gt;"Completed"),"Overdue","OK")</f>
        <v>Overdue</v>
      </c>
      <c r="H977" t="str">
        <f>IF(AND(Controls_Raw!Q977&lt;DATE(2026,9,30),Controls_Raw!R977&lt;&gt;"Completed",Controls_Raw!R977&lt;&gt;"Not Required"),"Overdue","OK")</f>
        <v>OK</v>
      </c>
      <c r="I977" t="str">
        <f t="shared" si="15"/>
        <v>Issue</v>
      </c>
    </row>
    <row r="978" spans="1:9" x14ac:dyDescent="0.2">
      <c r="A978" t="str">
        <f>Controls_Raw!A978</f>
        <v>CTRL-0974</v>
      </c>
      <c r="B978" t="str">
        <f>IF(COUNTIF(Controls_Raw!$A$5:$A$1504,A978)&gt;1,"Duplicate","OK")</f>
        <v>OK</v>
      </c>
      <c r="C978" t="str">
        <f>IF(LEN(TRIM(Controls_Raw!I978))=0,"Missing","OK")</f>
        <v>OK</v>
      </c>
      <c r="D978" t="str">
        <f>IF(LEN(TRIM(Controls_Raw!N978))=0,"Missing","OK")</f>
        <v>OK</v>
      </c>
      <c r="E978" t="str">
        <f>IF(OR(Controls_Raw!G978="USA",Controls_Raw!G978="UK"),"Standardize","OK")</f>
        <v>OK</v>
      </c>
      <c r="F978" t="str">
        <f>IF(Controls_Raw!E978&lt;&gt;TRIM(Controls_Raw!E978),"Trim","OK")</f>
        <v>OK</v>
      </c>
      <c r="G978" t="str">
        <f>IF(AND(Controls_Raw!L978&lt;DATE(2026,9,30),Controls_Raw!M978&lt;&gt;"Completed"),"Overdue","OK")</f>
        <v>Overdue</v>
      </c>
      <c r="H978" t="str">
        <f>IF(AND(Controls_Raw!Q978&lt;DATE(2026,9,30),Controls_Raw!R978&lt;&gt;"Completed",Controls_Raw!R978&lt;&gt;"Not Required"),"Overdue","OK")</f>
        <v>OK</v>
      </c>
      <c r="I978" t="str">
        <f t="shared" si="15"/>
        <v>Issue</v>
      </c>
    </row>
    <row r="979" spans="1:9" x14ac:dyDescent="0.2">
      <c r="A979" t="str">
        <f>Controls_Raw!A979</f>
        <v>CTRL-0975</v>
      </c>
      <c r="B979" t="str">
        <f>IF(COUNTIF(Controls_Raw!$A$5:$A$1504,A979)&gt;1,"Duplicate","OK")</f>
        <v>OK</v>
      </c>
      <c r="C979" t="str">
        <f>IF(LEN(TRIM(Controls_Raw!I979))=0,"Missing","OK")</f>
        <v>OK</v>
      </c>
      <c r="D979" t="str">
        <f>IF(LEN(TRIM(Controls_Raw!N979))=0,"Missing","OK")</f>
        <v>OK</v>
      </c>
      <c r="E979" t="str">
        <f>IF(OR(Controls_Raw!G979="USA",Controls_Raw!G979="UK"),"Standardize","OK")</f>
        <v>OK</v>
      </c>
      <c r="F979" t="str">
        <f>IF(Controls_Raw!E979&lt;&gt;TRIM(Controls_Raw!E979),"Trim","OK")</f>
        <v>OK</v>
      </c>
      <c r="G979" t="str">
        <f>IF(AND(Controls_Raw!L979&lt;DATE(2026,9,30),Controls_Raw!M979&lt;&gt;"Completed"),"Overdue","OK")</f>
        <v>Overdue</v>
      </c>
      <c r="H979" t="str">
        <f>IF(AND(Controls_Raw!Q979&lt;DATE(2026,9,30),Controls_Raw!R979&lt;&gt;"Completed",Controls_Raw!R979&lt;&gt;"Not Required"),"Overdue","OK")</f>
        <v>OK</v>
      </c>
      <c r="I979" t="str">
        <f t="shared" si="15"/>
        <v>Issue</v>
      </c>
    </row>
    <row r="980" spans="1:9" x14ac:dyDescent="0.2">
      <c r="A980" t="str">
        <f>Controls_Raw!A980</f>
        <v>CTRL-0976</v>
      </c>
      <c r="B980" t="str">
        <f>IF(COUNTIF(Controls_Raw!$A$5:$A$1504,A980)&gt;1,"Duplicate","OK")</f>
        <v>OK</v>
      </c>
      <c r="C980" t="str">
        <f>IF(LEN(TRIM(Controls_Raw!I980))=0,"Missing","OK")</f>
        <v>OK</v>
      </c>
      <c r="D980" t="str">
        <f>IF(LEN(TRIM(Controls_Raw!N980))=0,"Missing","OK")</f>
        <v>OK</v>
      </c>
      <c r="E980" t="str">
        <f>IF(OR(Controls_Raw!G980="USA",Controls_Raw!G980="UK"),"Standardize","OK")</f>
        <v>OK</v>
      </c>
      <c r="F980" t="str">
        <f>IF(Controls_Raw!E980&lt;&gt;TRIM(Controls_Raw!E980),"Trim","OK")</f>
        <v>OK</v>
      </c>
      <c r="G980" t="str">
        <f>IF(AND(Controls_Raw!L980&lt;DATE(2026,9,30),Controls_Raw!M980&lt;&gt;"Completed"),"Overdue","OK")</f>
        <v>OK</v>
      </c>
      <c r="H980" t="str">
        <f>IF(AND(Controls_Raw!Q980&lt;DATE(2026,9,30),Controls_Raw!R980&lt;&gt;"Completed",Controls_Raw!R980&lt;&gt;"Not Required"),"Overdue","OK")</f>
        <v>Overdue</v>
      </c>
      <c r="I980" t="str">
        <f t="shared" si="15"/>
        <v>Issue</v>
      </c>
    </row>
    <row r="981" spans="1:9" x14ac:dyDescent="0.2">
      <c r="A981" t="str">
        <f>Controls_Raw!A981</f>
        <v>CTRL-0977</v>
      </c>
      <c r="B981" t="str">
        <f>IF(COUNTIF(Controls_Raw!$A$5:$A$1504,A981)&gt;1,"Duplicate","OK")</f>
        <v>OK</v>
      </c>
      <c r="C981" t="str">
        <f>IF(LEN(TRIM(Controls_Raw!I981))=0,"Missing","OK")</f>
        <v>OK</v>
      </c>
      <c r="D981" t="str">
        <f>IF(LEN(TRIM(Controls_Raw!N981))=0,"Missing","OK")</f>
        <v>OK</v>
      </c>
      <c r="E981" t="str">
        <f>IF(OR(Controls_Raw!G981="USA",Controls_Raw!G981="UK"),"Standardize","OK")</f>
        <v>OK</v>
      </c>
      <c r="F981" t="str">
        <f>IF(Controls_Raw!E981&lt;&gt;TRIM(Controls_Raw!E981),"Trim","OK")</f>
        <v>OK</v>
      </c>
      <c r="G981" t="str">
        <f>IF(AND(Controls_Raw!L981&lt;DATE(2026,9,30),Controls_Raw!M981&lt;&gt;"Completed"),"Overdue","OK")</f>
        <v>Overdue</v>
      </c>
      <c r="H981" t="str">
        <f>IF(AND(Controls_Raw!Q981&lt;DATE(2026,9,30),Controls_Raw!R981&lt;&gt;"Completed",Controls_Raw!R981&lt;&gt;"Not Required"),"Overdue","OK")</f>
        <v>Overdue</v>
      </c>
      <c r="I981" t="str">
        <f t="shared" si="15"/>
        <v>Issue</v>
      </c>
    </row>
    <row r="982" spans="1:9" x14ac:dyDescent="0.2">
      <c r="A982" t="str">
        <f>Controls_Raw!A982</f>
        <v>CTRL-0978</v>
      </c>
      <c r="B982" t="str">
        <f>IF(COUNTIF(Controls_Raw!$A$5:$A$1504,A982)&gt;1,"Duplicate","OK")</f>
        <v>OK</v>
      </c>
      <c r="C982" t="str">
        <f>IF(LEN(TRIM(Controls_Raw!I982))=0,"Missing","OK")</f>
        <v>OK</v>
      </c>
      <c r="D982" t="str">
        <f>IF(LEN(TRIM(Controls_Raw!N982))=0,"Missing","OK")</f>
        <v>OK</v>
      </c>
      <c r="E982" t="str">
        <f>IF(OR(Controls_Raw!G982="USA",Controls_Raw!G982="UK"),"Standardize","OK")</f>
        <v>OK</v>
      </c>
      <c r="F982" t="str">
        <f>IF(Controls_Raw!E982&lt;&gt;TRIM(Controls_Raw!E982),"Trim","OK")</f>
        <v>OK</v>
      </c>
      <c r="G982" t="str">
        <f>IF(AND(Controls_Raw!L982&lt;DATE(2026,9,30),Controls_Raw!M982&lt;&gt;"Completed"),"Overdue","OK")</f>
        <v>OK</v>
      </c>
      <c r="H982" t="str">
        <f>IF(AND(Controls_Raw!Q982&lt;DATE(2026,9,30),Controls_Raw!R982&lt;&gt;"Completed",Controls_Raw!R982&lt;&gt;"Not Required"),"Overdue","OK")</f>
        <v>OK</v>
      </c>
      <c r="I982" t="str">
        <f t="shared" si="15"/>
        <v>Pass</v>
      </c>
    </row>
    <row r="983" spans="1:9" x14ac:dyDescent="0.2">
      <c r="A983" t="str">
        <f>Controls_Raw!A983</f>
        <v>CTRL-0979</v>
      </c>
      <c r="B983" t="str">
        <f>IF(COUNTIF(Controls_Raw!$A$5:$A$1504,A983)&gt;1,"Duplicate","OK")</f>
        <v>OK</v>
      </c>
      <c r="C983" t="str">
        <f>IF(LEN(TRIM(Controls_Raw!I983))=0,"Missing","OK")</f>
        <v>OK</v>
      </c>
      <c r="D983" t="str">
        <f>IF(LEN(TRIM(Controls_Raw!N983))=0,"Missing","OK")</f>
        <v>OK</v>
      </c>
      <c r="E983" t="str">
        <f>IF(OR(Controls_Raw!G983="USA",Controls_Raw!G983="UK"),"Standardize","OK")</f>
        <v>OK</v>
      </c>
      <c r="F983" t="str">
        <f>IF(Controls_Raw!E983&lt;&gt;TRIM(Controls_Raw!E983),"Trim","OK")</f>
        <v>OK</v>
      </c>
      <c r="G983" t="str">
        <f>IF(AND(Controls_Raw!L983&lt;DATE(2026,9,30),Controls_Raw!M983&lt;&gt;"Completed"),"Overdue","OK")</f>
        <v>Overdue</v>
      </c>
      <c r="H983" t="str">
        <f>IF(AND(Controls_Raw!Q983&lt;DATE(2026,9,30),Controls_Raw!R983&lt;&gt;"Completed",Controls_Raw!R983&lt;&gt;"Not Required"),"Overdue","OK")</f>
        <v>OK</v>
      </c>
      <c r="I983" t="str">
        <f t="shared" si="15"/>
        <v>Issue</v>
      </c>
    </row>
    <row r="984" spans="1:9" x14ac:dyDescent="0.2">
      <c r="A984" t="str">
        <f>Controls_Raw!A984</f>
        <v>CTRL-0980</v>
      </c>
      <c r="B984" t="str">
        <f>IF(COUNTIF(Controls_Raw!$A$5:$A$1504,A984)&gt;1,"Duplicate","OK")</f>
        <v>OK</v>
      </c>
      <c r="C984" t="str">
        <f>IF(LEN(TRIM(Controls_Raw!I984))=0,"Missing","OK")</f>
        <v>OK</v>
      </c>
      <c r="D984" t="str">
        <f>IF(LEN(TRIM(Controls_Raw!N984))=0,"Missing","OK")</f>
        <v>OK</v>
      </c>
      <c r="E984" t="str">
        <f>IF(OR(Controls_Raw!G984="USA",Controls_Raw!G984="UK"),"Standardize","OK")</f>
        <v>OK</v>
      </c>
      <c r="F984" t="str">
        <f>IF(Controls_Raw!E984&lt;&gt;TRIM(Controls_Raw!E984),"Trim","OK")</f>
        <v>OK</v>
      </c>
      <c r="G984" t="str">
        <f>IF(AND(Controls_Raw!L984&lt;DATE(2026,9,30),Controls_Raw!M984&lt;&gt;"Completed"),"Overdue","OK")</f>
        <v>Overdue</v>
      </c>
      <c r="H984" t="str">
        <f>IF(AND(Controls_Raw!Q984&lt;DATE(2026,9,30),Controls_Raw!R984&lt;&gt;"Completed",Controls_Raw!R984&lt;&gt;"Not Required"),"Overdue","OK")</f>
        <v>OK</v>
      </c>
      <c r="I984" t="str">
        <f t="shared" si="15"/>
        <v>Issue</v>
      </c>
    </row>
    <row r="985" spans="1:9" x14ac:dyDescent="0.2">
      <c r="A985" t="str">
        <f>Controls_Raw!A985</f>
        <v>CTRL-0981</v>
      </c>
      <c r="B985" t="str">
        <f>IF(COUNTIF(Controls_Raw!$A$5:$A$1504,A985)&gt;1,"Duplicate","OK")</f>
        <v>OK</v>
      </c>
      <c r="C985" t="str">
        <f>IF(LEN(TRIM(Controls_Raw!I985))=0,"Missing","OK")</f>
        <v>OK</v>
      </c>
      <c r="D985" t="str">
        <f>IF(LEN(TRIM(Controls_Raw!N985))=0,"Missing","OK")</f>
        <v>OK</v>
      </c>
      <c r="E985" t="str">
        <f>IF(OR(Controls_Raw!G985="USA",Controls_Raw!G985="UK"),"Standardize","OK")</f>
        <v>OK</v>
      </c>
      <c r="F985" t="str">
        <f>IF(Controls_Raw!E985&lt;&gt;TRIM(Controls_Raw!E985),"Trim","OK")</f>
        <v>OK</v>
      </c>
      <c r="G985" t="str">
        <f>IF(AND(Controls_Raw!L985&lt;DATE(2026,9,30),Controls_Raw!M985&lt;&gt;"Completed"),"Overdue","OK")</f>
        <v>Overdue</v>
      </c>
      <c r="H985" t="str">
        <f>IF(AND(Controls_Raw!Q985&lt;DATE(2026,9,30),Controls_Raw!R985&lt;&gt;"Completed",Controls_Raw!R985&lt;&gt;"Not Required"),"Overdue","OK")</f>
        <v>OK</v>
      </c>
      <c r="I985" t="str">
        <f t="shared" si="15"/>
        <v>Issue</v>
      </c>
    </row>
    <row r="986" spans="1:9" x14ac:dyDescent="0.2">
      <c r="A986" t="str">
        <f>Controls_Raw!A986</f>
        <v>CTRL-0982</v>
      </c>
      <c r="B986" t="str">
        <f>IF(COUNTIF(Controls_Raw!$A$5:$A$1504,A986)&gt;1,"Duplicate","OK")</f>
        <v>OK</v>
      </c>
      <c r="C986" t="str">
        <f>IF(LEN(TRIM(Controls_Raw!I986))=0,"Missing","OK")</f>
        <v>OK</v>
      </c>
      <c r="D986" t="str">
        <f>IF(LEN(TRIM(Controls_Raw!N986))=0,"Missing","OK")</f>
        <v>OK</v>
      </c>
      <c r="E986" t="str">
        <f>IF(OR(Controls_Raw!G986="USA",Controls_Raw!G986="UK"),"Standardize","OK")</f>
        <v>OK</v>
      </c>
      <c r="F986" t="str">
        <f>IF(Controls_Raw!E986&lt;&gt;TRIM(Controls_Raw!E986),"Trim","OK")</f>
        <v>OK</v>
      </c>
      <c r="G986" t="str">
        <f>IF(AND(Controls_Raw!L986&lt;DATE(2026,9,30),Controls_Raw!M986&lt;&gt;"Completed"),"Overdue","OK")</f>
        <v>OK</v>
      </c>
      <c r="H986" t="str">
        <f>IF(AND(Controls_Raw!Q986&lt;DATE(2026,9,30),Controls_Raw!R986&lt;&gt;"Completed",Controls_Raw!R986&lt;&gt;"Not Required"),"Overdue","OK")</f>
        <v>OK</v>
      </c>
      <c r="I986" t="str">
        <f t="shared" si="15"/>
        <v>Pass</v>
      </c>
    </row>
    <row r="987" spans="1:9" x14ac:dyDescent="0.2">
      <c r="A987" t="str">
        <f>Controls_Raw!A987</f>
        <v>CTRL-0983</v>
      </c>
      <c r="B987" t="str">
        <f>IF(COUNTIF(Controls_Raw!$A$5:$A$1504,A987)&gt;1,"Duplicate","OK")</f>
        <v>OK</v>
      </c>
      <c r="C987" t="str">
        <f>IF(LEN(TRIM(Controls_Raw!I987))=0,"Missing","OK")</f>
        <v>OK</v>
      </c>
      <c r="D987" t="str">
        <f>IF(LEN(TRIM(Controls_Raw!N987))=0,"Missing","OK")</f>
        <v>OK</v>
      </c>
      <c r="E987" t="str">
        <f>IF(OR(Controls_Raw!G987="USA",Controls_Raw!G987="UK"),"Standardize","OK")</f>
        <v>OK</v>
      </c>
      <c r="F987" t="str">
        <f>IF(Controls_Raw!E987&lt;&gt;TRIM(Controls_Raw!E987),"Trim","OK")</f>
        <v>OK</v>
      </c>
      <c r="G987" t="str">
        <f>IF(AND(Controls_Raw!L987&lt;DATE(2026,9,30),Controls_Raw!M987&lt;&gt;"Completed"),"Overdue","OK")</f>
        <v>Overdue</v>
      </c>
      <c r="H987" t="str">
        <f>IF(AND(Controls_Raw!Q987&lt;DATE(2026,9,30),Controls_Raw!R987&lt;&gt;"Completed",Controls_Raw!R987&lt;&gt;"Not Required"),"Overdue","OK")</f>
        <v>Overdue</v>
      </c>
      <c r="I987" t="str">
        <f t="shared" si="15"/>
        <v>Issue</v>
      </c>
    </row>
    <row r="988" spans="1:9" x14ac:dyDescent="0.2">
      <c r="A988" t="str">
        <f>Controls_Raw!A988</f>
        <v>CTRL-0984</v>
      </c>
      <c r="B988" t="str">
        <f>IF(COUNTIF(Controls_Raw!$A$5:$A$1504,A988)&gt;1,"Duplicate","OK")</f>
        <v>OK</v>
      </c>
      <c r="C988" t="str">
        <f>IF(LEN(TRIM(Controls_Raw!I988))=0,"Missing","OK")</f>
        <v>OK</v>
      </c>
      <c r="D988" t="str">
        <f>IF(LEN(TRIM(Controls_Raw!N988))=0,"Missing","OK")</f>
        <v>OK</v>
      </c>
      <c r="E988" t="str">
        <f>IF(OR(Controls_Raw!G988="USA",Controls_Raw!G988="UK"),"Standardize","OK")</f>
        <v>OK</v>
      </c>
      <c r="F988" t="str">
        <f>IF(Controls_Raw!E988&lt;&gt;TRIM(Controls_Raw!E988),"Trim","OK")</f>
        <v>OK</v>
      </c>
      <c r="G988" t="str">
        <f>IF(AND(Controls_Raw!L988&lt;DATE(2026,9,30),Controls_Raw!M988&lt;&gt;"Completed"),"Overdue","OK")</f>
        <v>Overdue</v>
      </c>
      <c r="H988" t="str">
        <f>IF(AND(Controls_Raw!Q988&lt;DATE(2026,9,30),Controls_Raw!R988&lt;&gt;"Completed",Controls_Raw!R988&lt;&gt;"Not Required"),"Overdue","OK")</f>
        <v>Overdue</v>
      </c>
      <c r="I988" t="str">
        <f t="shared" si="15"/>
        <v>Issue</v>
      </c>
    </row>
    <row r="989" spans="1:9" x14ac:dyDescent="0.2">
      <c r="A989" t="str">
        <f>Controls_Raw!A989</f>
        <v>CTRL-0985</v>
      </c>
      <c r="B989" t="str">
        <f>IF(COUNTIF(Controls_Raw!$A$5:$A$1504,A989)&gt;1,"Duplicate","OK")</f>
        <v>OK</v>
      </c>
      <c r="C989" t="str">
        <f>IF(LEN(TRIM(Controls_Raw!I989))=0,"Missing","OK")</f>
        <v>OK</v>
      </c>
      <c r="D989" t="str">
        <f>IF(LEN(TRIM(Controls_Raw!N989))=0,"Missing","OK")</f>
        <v>OK</v>
      </c>
      <c r="E989" t="str">
        <f>IF(OR(Controls_Raw!G989="USA",Controls_Raw!G989="UK"),"Standardize","OK")</f>
        <v>OK</v>
      </c>
      <c r="F989" t="str">
        <f>IF(Controls_Raw!E989&lt;&gt;TRIM(Controls_Raw!E989),"Trim","OK")</f>
        <v>OK</v>
      </c>
      <c r="G989" t="str">
        <f>IF(AND(Controls_Raw!L989&lt;DATE(2026,9,30),Controls_Raw!M989&lt;&gt;"Completed"),"Overdue","OK")</f>
        <v>Overdue</v>
      </c>
      <c r="H989" t="str">
        <f>IF(AND(Controls_Raw!Q989&lt;DATE(2026,9,30),Controls_Raw!R989&lt;&gt;"Completed",Controls_Raw!R989&lt;&gt;"Not Required"),"Overdue","OK")</f>
        <v>OK</v>
      </c>
      <c r="I989" t="str">
        <f t="shared" si="15"/>
        <v>Issue</v>
      </c>
    </row>
    <row r="990" spans="1:9" x14ac:dyDescent="0.2">
      <c r="A990" t="str">
        <f>Controls_Raw!A990</f>
        <v>CTRL-0986</v>
      </c>
      <c r="B990" t="str">
        <f>IF(COUNTIF(Controls_Raw!$A$5:$A$1504,A990)&gt;1,"Duplicate","OK")</f>
        <v>OK</v>
      </c>
      <c r="C990" t="str">
        <f>IF(LEN(TRIM(Controls_Raw!I990))=0,"Missing","OK")</f>
        <v>OK</v>
      </c>
      <c r="D990" t="str">
        <f>IF(LEN(TRIM(Controls_Raw!N990))=0,"Missing","OK")</f>
        <v>OK</v>
      </c>
      <c r="E990" t="str">
        <f>IF(OR(Controls_Raw!G990="USA",Controls_Raw!G990="UK"),"Standardize","OK")</f>
        <v>OK</v>
      </c>
      <c r="F990" t="str">
        <f>IF(Controls_Raw!E990&lt;&gt;TRIM(Controls_Raw!E990),"Trim","OK")</f>
        <v>OK</v>
      </c>
      <c r="G990" t="str">
        <f>IF(AND(Controls_Raw!L990&lt;DATE(2026,9,30),Controls_Raw!M990&lt;&gt;"Completed"),"Overdue","OK")</f>
        <v>Overdue</v>
      </c>
      <c r="H990" t="str">
        <f>IF(AND(Controls_Raw!Q990&lt;DATE(2026,9,30),Controls_Raw!R990&lt;&gt;"Completed",Controls_Raw!R990&lt;&gt;"Not Required"),"Overdue","OK")</f>
        <v>OK</v>
      </c>
      <c r="I990" t="str">
        <f t="shared" si="15"/>
        <v>Issue</v>
      </c>
    </row>
    <row r="991" spans="1:9" x14ac:dyDescent="0.2">
      <c r="A991" t="str">
        <f>Controls_Raw!A991</f>
        <v>CTRL-0987</v>
      </c>
      <c r="B991" t="str">
        <f>IF(COUNTIF(Controls_Raw!$A$5:$A$1504,A991)&gt;1,"Duplicate","OK")</f>
        <v>OK</v>
      </c>
      <c r="C991" t="str">
        <f>IF(LEN(TRIM(Controls_Raw!I991))=0,"Missing","OK")</f>
        <v>OK</v>
      </c>
      <c r="D991" t="str">
        <f>IF(LEN(TRIM(Controls_Raw!N991))=0,"Missing","OK")</f>
        <v>OK</v>
      </c>
      <c r="E991" t="str">
        <f>IF(OR(Controls_Raw!G991="USA",Controls_Raw!G991="UK"),"Standardize","OK")</f>
        <v>OK</v>
      </c>
      <c r="F991" t="str">
        <f>IF(Controls_Raw!E991&lt;&gt;TRIM(Controls_Raw!E991),"Trim","OK")</f>
        <v>OK</v>
      </c>
      <c r="G991" t="str">
        <f>IF(AND(Controls_Raw!L991&lt;DATE(2026,9,30),Controls_Raw!M991&lt;&gt;"Completed"),"Overdue","OK")</f>
        <v>Overdue</v>
      </c>
      <c r="H991" t="str">
        <f>IF(AND(Controls_Raw!Q991&lt;DATE(2026,9,30),Controls_Raw!R991&lt;&gt;"Completed",Controls_Raw!R991&lt;&gt;"Not Required"),"Overdue","OK")</f>
        <v>OK</v>
      </c>
      <c r="I991" t="str">
        <f t="shared" si="15"/>
        <v>Issue</v>
      </c>
    </row>
    <row r="992" spans="1:9" x14ac:dyDescent="0.2">
      <c r="A992" t="str">
        <f>Controls_Raw!A992</f>
        <v>CTRL-0988</v>
      </c>
      <c r="B992" t="str">
        <f>IF(COUNTIF(Controls_Raw!$A$5:$A$1504,A992)&gt;1,"Duplicate","OK")</f>
        <v>OK</v>
      </c>
      <c r="C992" t="str">
        <f>IF(LEN(TRIM(Controls_Raw!I992))=0,"Missing","OK")</f>
        <v>Missing</v>
      </c>
      <c r="D992" t="str">
        <f>IF(LEN(TRIM(Controls_Raw!N992))=0,"Missing","OK")</f>
        <v>OK</v>
      </c>
      <c r="E992" t="str">
        <f>IF(OR(Controls_Raw!G992="USA",Controls_Raw!G992="UK"),"Standardize","OK")</f>
        <v>OK</v>
      </c>
      <c r="F992" t="str">
        <f>IF(Controls_Raw!E992&lt;&gt;TRIM(Controls_Raw!E992),"Trim","OK")</f>
        <v>OK</v>
      </c>
      <c r="G992" t="str">
        <f>IF(AND(Controls_Raw!L992&lt;DATE(2026,9,30),Controls_Raw!M992&lt;&gt;"Completed"),"Overdue","OK")</f>
        <v>Overdue</v>
      </c>
      <c r="H992" t="str">
        <f>IF(AND(Controls_Raw!Q992&lt;DATE(2026,9,30),Controls_Raw!R992&lt;&gt;"Completed",Controls_Raw!R992&lt;&gt;"Not Required"),"Overdue","OK")</f>
        <v>Overdue</v>
      </c>
      <c r="I992" t="str">
        <f t="shared" si="15"/>
        <v>Issue</v>
      </c>
    </row>
    <row r="993" spans="1:9" x14ac:dyDescent="0.2">
      <c r="A993" t="str">
        <f>Controls_Raw!A993</f>
        <v>CTRL-0989</v>
      </c>
      <c r="B993" t="str">
        <f>IF(COUNTIF(Controls_Raw!$A$5:$A$1504,A993)&gt;1,"Duplicate","OK")</f>
        <v>OK</v>
      </c>
      <c r="C993" t="str">
        <f>IF(LEN(TRIM(Controls_Raw!I993))=0,"Missing","OK")</f>
        <v>OK</v>
      </c>
      <c r="D993" t="str">
        <f>IF(LEN(TRIM(Controls_Raw!N993))=0,"Missing","OK")</f>
        <v>OK</v>
      </c>
      <c r="E993" t="str">
        <f>IF(OR(Controls_Raw!G993="USA",Controls_Raw!G993="UK"),"Standardize","OK")</f>
        <v>OK</v>
      </c>
      <c r="F993" t="str">
        <f>IF(Controls_Raw!E993&lt;&gt;TRIM(Controls_Raw!E993),"Trim","OK")</f>
        <v>OK</v>
      </c>
      <c r="G993" t="str">
        <f>IF(AND(Controls_Raw!L993&lt;DATE(2026,9,30),Controls_Raw!M993&lt;&gt;"Completed"),"Overdue","OK")</f>
        <v>Overdue</v>
      </c>
      <c r="H993" t="str">
        <f>IF(AND(Controls_Raw!Q993&lt;DATE(2026,9,30),Controls_Raw!R993&lt;&gt;"Completed",Controls_Raw!R993&lt;&gt;"Not Required"),"Overdue","OK")</f>
        <v>Overdue</v>
      </c>
      <c r="I993" t="str">
        <f t="shared" si="15"/>
        <v>Issue</v>
      </c>
    </row>
    <row r="994" spans="1:9" x14ac:dyDescent="0.2">
      <c r="A994" t="str">
        <f>Controls_Raw!A994</f>
        <v>CTRL-0990</v>
      </c>
      <c r="B994" t="str">
        <f>IF(COUNTIF(Controls_Raw!$A$5:$A$1504,A994)&gt;1,"Duplicate","OK")</f>
        <v>OK</v>
      </c>
      <c r="C994" t="str">
        <f>IF(LEN(TRIM(Controls_Raw!I994))=0,"Missing","OK")</f>
        <v>OK</v>
      </c>
      <c r="D994" t="str">
        <f>IF(LEN(TRIM(Controls_Raw!N994))=0,"Missing","OK")</f>
        <v>OK</v>
      </c>
      <c r="E994" t="str">
        <f>IF(OR(Controls_Raw!G994="USA",Controls_Raw!G994="UK"),"Standardize","OK")</f>
        <v>OK</v>
      </c>
      <c r="F994" t="str">
        <f>IF(Controls_Raw!E994&lt;&gt;TRIM(Controls_Raw!E994),"Trim","OK")</f>
        <v>OK</v>
      </c>
      <c r="G994" t="str">
        <f>IF(AND(Controls_Raw!L994&lt;DATE(2026,9,30),Controls_Raw!M994&lt;&gt;"Completed"),"Overdue","OK")</f>
        <v>Overdue</v>
      </c>
      <c r="H994" t="str">
        <f>IF(AND(Controls_Raw!Q994&lt;DATE(2026,9,30),Controls_Raw!R994&lt;&gt;"Completed",Controls_Raw!R994&lt;&gt;"Not Required"),"Overdue","OK")</f>
        <v>OK</v>
      </c>
      <c r="I994" t="str">
        <f t="shared" si="15"/>
        <v>Issue</v>
      </c>
    </row>
    <row r="995" spans="1:9" x14ac:dyDescent="0.2">
      <c r="A995" t="str">
        <f>Controls_Raw!A995</f>
        <v>CTRL-0991</v>
      </c>
      <c r="B995" t="str">
        <f>IF(COUNTIF(Controls_Raw!$A$5:$A$1504,A995)&gt;1,"Duplicate","OK")</f>
        <v>OK</v>
      </c>
      <c r="C995" t="str">
        <f>IF(LEN(TRIM(Controls_Raw!I995))=0,"Missing","OK")</f>
        <v>OK</v>
      </c>
      <c r="D995" t="str">
        <f>IF(LEN(TRIM(Controls_Raw!N995))=0,"Missing","OK")</f>
        <v>OK</v>
      </c>
      <c r="E995" t="str">
        <f>IF(OR(Controls_Raw!G995="USA",Controls_Raw!G995="UK"),"Standardize","OK")</f>
        <v>OK</v>
      </c>
      <c r="F995" t="str">
        <f>IF(Controls_Raw!E995&lt;&gt;TRIM(Controls_Raw!E995),"Trim","OK")</f>
        <v>OK</v>
      </c>
      <c r="G995" t="str">
        <f>IF(AND(Controls_Raw!L995&lt;DATE(2026,9,30),Controls_Raw!M995&lt;&gt;"Completed"),"Overdue","OK")</f>
        <v>OK</v>
      </c>
      <c r="H995" t="str">
        <f>IF(AND(Controls_Raw!Q995&lt;DATE(2026,9,30),Controls_Raw!R995&lt;&gt;"Completed",Controls_Raw!R995&lt;&gt;"Not Required"),"Overdue","OK")</f>
        <v>Overdue</v>
      </c>
      <c r="I995" t="str">
        <f t="shared" si="15"/>
        <v>Issue</v>
      </c>
    </row>
    <row r="996" spans="1:9" x14ac:dyDescent="0.2">
      <c r="A996" t="str">
        <f>Controls_Raw!A996</f>
        <v>CTRL-0992</v>
      </c>
      <c r="B996" t="str">
        <f>IF(COUNTIF(Controls_Raw!$A$5:$A$1504,A996)&gt;1,"Duplicate","OK")</f>
        <v>OK</v>
      </c>
      <c r="C996" t="str">
        <f>IF(LEN(TRIM(Controls_Raw!I996))=0,"Missing","OK")</f>
        <v>OK</v>
      </c>
      <c r="D996" t="str">
        <f>IF(LEN(TRIM(Controls_Raw!N996))=0,"Missing","OK")</f>
        <v>OK</v>
      </c>
      <c r="E996" t="str">
        <f>IF(OR(Controls_Raw!G996="USA",Controls_Raw!G996="UK"),"Standardize","OK")</f>
        <v>OK</v>
      </c>
      <c r="F996" t="str">
        <f>IF(Controls_Raw!E996&lt;&gt;TRIM(Controls_Raw!E996),"Trim","OK")</f>
        <v>OK</v>
      </c>
      <c r="G996" t="str">
        <f>IF(AND(Controls_Raw!L996&lt;DATE(2026,9,30),Controls_Raw!M996&lt;&gt;"Completed"),"Overdue","OK")</f>
        <v>OK</v>
      </c>
      <c r="H996" t="str">
        <f>IF(AND(Controls_Raw!Q996&lt;DATE(2026,9,30),Controls_Raw!R996&lt;&gt;"Completed",Controls_Raw!R996&lt;&gt;"Not Required"),"Overdue","OK")</f>
        <v>OK</v>
      </c>
      <c r="I996" t="str">
        <f t="shared" si="15"/>
        <v>Pass</v>
      </c>
    </row>
    <row r="997" spans="1:9" x14ac:dyDescent="0.2">
      <c r="A997" t="str">
        <f>Controls_Raw!A997</f>
        <v>CTRL-0993</v>
      </c>
      <c r="B997" t="str">
        <f>IF(COUNTIF(Controls_Raw!$A$5:$A$1504,A997)&gt;1,"Duplicate","OK")</f>
        <v>OK</v>
      </c>
      <c r="C997" t="str">
        <f>IF(LEN(TRIM(Controls_Raw!I997))=0,"Missing","OK")</f>
        <v>OK</v>
      </c>
      <c r="D997" t="str">
        <f>IF(LEN(TRIM(Controls_Raw!N997))=0,"Missing","OK")</f>
        <v>OK</v>
      </c>
      <c r="E997" t="str">
        <f>IF(OR(Controls_Raw!G997="USA",Controls_Raw!G997="UK"),"Standardize","OK")</f>
        <v>OK</v>
      </c>
      <c r="F997" t="str">
        <f>IF(Controls_Raw!E997&lt;&gt;TRIM(Controls_Raw!E997),"Trim","OK")</f>
        <v>OK</v>
      </c>
      <c r="G997" t="str">
        <f>IF(AND(Controls_Raw!L997&lt;DATE(2026,9,30),Controls_Raw!M997&lt;&gt;"Completed"),"Overdue","OK")</f>
        <v>Overdue</v>
      </c>
      <c r="H997" t="str">
        <f>IF(AND(Controls_Raw!Q997&lt;DATE(2026,9,30),Controls_Raw!R997&lt;&gt;"Completed",Controls_Raw!R997&lt;&gt;"Not Required"),"Overdue","OK")</f>
        <v>OK</v>
      </c>
      <c r="I997" t="str">
        <f t="shared" si="15"/>
        <v>Issue</v>
      </c>
    </row>
    <row r="998" spans="1:9" x14ac:dyDescent="0.2">
      <c r="A998" t="str">
        <f>Controls_Raw!A998</f>
        <v>CTRL-0994</v>
      </c>
      <c r="B998" t="str">
        <f>IF(COUNTIF(Controls_Raw!$A$5:$A$1504,A998)&gt;1,"Duplicate","OK")</f>
        <v>OK</v>
      </c>
      <c r="C998" t="str">
        <f>IF(LEN(TRIM(Controls_Raw!I998))=0,"Missing","OK")</f>
        <v>OK</v>
      </c>
      <c r="D998" t="str">
        <f>IF(LEN(TRIM(Controls_Raw!N998))=0,"Missing","OK")</f>
        <v>OK</v>
      </c>
      <c r="E998" t="str">
        <f>IF(OR(Controls_Raw!G998="USA",Controls_Raw!G998="UK"),"Standardize","OK")</f>
        <v>OK</v>
      </c>
      <c r="F998" t="str">
        <f>IF(Controls_Raw!E998&lt;&gt;TRIM(Controls_Raw!E998),"Trim","OK")</f>
        <v>OK</v>
      </c>
      <c r="G998" t="str">
        <f>IF(AND(Controls_Raw!L998&lt;DATE(2026,9,30),Controls_Raw!M998&lt;&gt;"Completed"),"Overdue","OK")</f>
        <v>OK</v>
      </c>
      <c r="H998" t="str">
        <f>IF(AND(Controls_Raw!Q998&lt;DATE(2026,9,30),Controls_Raw!R998&lt;&gt;"Completed",Controls_Raw!R998&lt;&gt;"Not Required"),"Overdue","OK")</f>
        <v>Overdue</v>
      </c>
      <c r="I998" t="str">
        <f t="shared" si="15"/>
        <v>Issue</v>
      </c>
    </row>
    <row r="999" spans="1:9" x14ac:dyDescent="0.2">
      <c r="A999" t="str">
        <f>Controls_Raw!A999</f>
        <v>CTRL-0995</v>
      </c>
      <c r="B999" t="str">
        <f>IF(COUNTIF(Controls_Raw!$A$5:$A$1504,A999)&gt;1,"Duplicate","OK")</f>
        <v>OK</v>
      </c>
      <c r="C999" t="str">
        <f>IF(LEN(TRIM(Controls_Raw!I999))=0,"Missing","OK")</f>
        <v>OK</v>
      </c>
      <c r="D999" t="str">
        <f>IF(LEN(TRIM(Controls_Raw!N999))=0,"Missing","OK")</f>
        <v>OK</v>
      </c>
      <c r="E999" t="str">
        <f>IF(OR(Controls_Raw!G999="USA",Controls_Raw!G999="UK"),"Standardize","OK")</f>
        <v>OK</v>
      </c>
      <c r="F999" t="str">
        <f>IF(Controls_Raw!E999&lt;&gt;TRIM(Controls_Raw!E999),"Trim","OK")</f>
        <v>OK</v>
      </c>
      <c r="G999" t="str">
        <f>IF(AND(Controls_Raw!L999&lt;DATE(2026,9,30),Controls_Raw!M999&lt;&gt;"Completed"),"Overdue","OK")</f>
        <v>Overdue</v>
      </c>
      <c r="H999" t="str">
        <f>IF(AND(Controls_Raw!Q999&lt;DATE(2026,9,30),Controls_Raw!R999&lt;&gt;"Completed",Controls_Raw!R999&lt;&gt;"Not Required"),"Overdue","OK")</f>
        <v>OK</v>
      </c>
      <c r="I999" t="str">
        <f t="shared" si="15"/>
        <v>Issue</v>
      </c>
    </row>
    <row r="1000" spans="1:9" x14ac:dyDescent="0.2">
      <c r="A1000" t="str">
        <f>Controls_Raw!A1000</f>
        <v>CTRL-0996</v>
      </c>
      <c r="B1000" t="str">
        <f>IF(COUNTIF(Controls_Raw!$A$5:$A$1504,A1000)&gt;1,"Duplicate","OK")</f>
        <v>OK</v>
      </c>
      <c r="C1000" t="str">
        <f>IF(LEN(TRIM(Controls_Raw!I1000))=0,"Missing","OK")</f>
        <v>OK</v>
      </c>
      <c r="D1000" t="str">
        <f>IF(LEN(TRIM(Controls_Raw!N1000))=0,"Missing","OK")</f>
        <v>OK</v>
      </c>
      <c r="E1000" t="str">
        <f>IF(OR(Controls_Raw!G1000="USA",Controls_Raw!G1000="UK"),"Standardize","OK")</f>
        <v>OK</v>
      </c>
      <c r="F1000" t="str">
        <f>IF(Controls_Raw!E1000&lt;&gt;TRIM(Controls_Raw!E1000),"Trim","OK")</f>
        <v>OK</v>
      </c>
      <c r="G1000" t="str">
        <f>IF(AND(Controls_Raw!L1000&lt;DATE(2026,9,30),Controls_Raw!M1000&lt;&gt;"Completed"),"Overdue","OK")</f>
        <v>Overdue</v>
      </c>
      <c r="H1000" t="str">
        <f>IF(AND(Controls_Raw!Q1000&lt;DATE(2026,9,30),Controls_Raw!R1000&lt;&gt;"Completed",Controls_Raw!R1000&lt;&gt;"Not Required"),"Overdue","OK")</f>
        <v>Overdue</v>
      </c>
      <c r="I1000" t="str">
        <f t="shared" si="15"/>
        <v>Issue</v>
      </c>
    </row>
    <row r="1001" spans="1:9" x14ac:dyDescent="0.2">
      <c r="A1001" t="str">
        <f>Controls_Raw!A1001</f>
        <v>CTRL-0997</v>
      </c>
      <c r="B1001" t="str">
        <f>IF(COUNTIF(Controls_Raw!$A$5:$A$1504,A1001)&gt;1,"Duplicate","OK")</f>
        <v>OK</v>
      </c>
      <c r="C1001" t="str">
        <f>IF(LEN(TRIM(Controls_Raw!I1001))=0,"Missing","OK")</f>
        <v>OK</v>
      </c>
      <c r="D1001" t="str">
        <f>IF(LEN(TRIM(Controls_Raw!N1001))=0,"Missing","OK")</f>
        <v>Missing</v>
      </c>
      <c r="E1001" t="str">
        <f>IF(OR(Controls_Raw!G1001="USA",Controls_Raw!G1001="UK"),"Standardize","OK")</f>
        <v>OK</v>
      </c>
      <c r="F1001" t="str">
        <f>IF(Controls_Raw!E1001&lt;&gt;TRIM(Controls_Raw!E1001),"Trim","OK")</f>
        <v>OK</v>
      </c>
      <c r="G1001" t="str">
        <f>IF(AND(Controls_Raw!L1001&lt;DATE(2026,9,30),Controls_Raw!M1001&lt;&gt;"Completed"),"Overdue","OK")</f>
        <v>OK</v>
      </c>
      <c r="H1001" t="str">
        <f>IF(AND(Controls_Raw!Q1001&lt;DATE(2026,9,30),Controls_Raw!R1001&lt;&gt;"Completed",Controls_Raw!R1001&lt;&gt;"Not Required"),"Overdue","OK")</f>
        <v>OK</v>
      </c>
      <c r="I1001" t="str">
        <f t="shared" si="15"/>
        <v>Issue</v>
      </c>
    </row>
    <row r="1002" spans="1:9" x14ac:dyDescent="0.2">
      <c r="A1002" t="str">
        <f>Controls_Raw!A1002</f>
        <v>CTRL-0998</v>
      </c>
      <c r="B1002" t="str">
        <f>IF(COUNTIF(Controls_Raw!$A$5:$A$1504,A1002)&gt;1,"Duplicate","OK")</f>
        <v>OK</v>
      </c>
      <c r="C1002" t="str">
        <f>IF(LEN(TRIM(Controls_Raw!I1002))=0,"Missing","OK")</f>
        <v>OK</v>
      </c>
      <c r="D1002" t="str">
        <f>IF(LEN(TRIM(Controls_Raw!N1002))=0,"Missing","OK")</f>
        <v>OK</v>
      </c>
      <c r="E1002" t="str">
        <f>IF(OR(Controls_Raw!G1002="USA",Controls_Raw!G1002="UK"),"Standardize","OK")</f>
        <v>OK</v>
      </c>
      <c r="F1002" t="str">
        <f>IF(Controls_Raw!E1002&lt;&gt;TRIM(Controls_Raw!E1002),"Trim","OK")</f>
        <v>OK</v>
      </c>
      <c r="G1002" t="str">
        <f>IF(AND(Controls_Raw!L1002&lt;DATE(2026,9,30),Controls_Raw!M1002&lt;&gt;"Completed"),"Overdue","OK")</f>
        <v>Overdue</v>
      </c>
      <c r="H1002" t="str">
        <f>IF(AND(Controls_Raw!Q1002&lt;DATE(2026,9,30),Controls_Raw!R1002&lt;&gt;"Completed",Controls_Raw!R1002&lt;&gt;"Not Required"),"Overdue","OK")</f>
        <v>Overdue</v>
      </c>
      <c r="I1002" t="str">
        <f t="shared" si="15"/>
        <v>Issue</v>
      </c>
    </row>
    <row r="1003" spans="1:9" x14ac:dyDescent="0.2">
      <c r="A1003" t="str">
        <f>Controls_Raw!A1003</f>
        <v>CTRL-0999</v>
      </c>
      <c r="B1003" t="str">
        <f>IF(COUNTIF(Controls_Raw!$A$5:$A$1504,A1003)&gt;1,"Duplicate","OK")</f>
        <v>OK</v>
      </c>
      <c r="C1003" t="str">
        <f>IF(LEN(TRIM(Controls_Raw!I1003))=0,"Missing","OK")</f>
        <v>OK</v>
      </c>
      <c r="D1003" t="str">
        <f>IF(LEN(TRIM(Controls_Raw!N1003))=0,"Missing","OK")</f>
        <v>OK</v>
      </c>
      <c r="E1003" t="str">
        <f>IF(OR(Controls_Raw!G1003="USA",Controls_Raw!G1003="UK"),"Standardize","OK")</f>
        <v>OK</v>
      </c>
      <c r="F1003" t="str">
        <f>IF(Controls_Raw!E1003&lt;&gt;TRIM(Controls_Raw!E1003),"Trim","OK")</f>
        <v>OK</v>
      </c>
      <c r="G1003" t="str">
        <f>IF(AND(Controls_Raw!L1003&lt;DATE(2026,9,30),Controls_Raw!M1003&lt;&gt;"Completed"),"Overdue","OK")</f>
        <v>OK</v>
      </c>
      <c r="H1003" t="str">
        <f>IF(AND(Controls_Raw!Q1003&lt;DATE(2026,9,30),Controls_Raw!R1003&lt;&gt;"Completed",Controls_Raw!R1003&lt;&gt;"Not Required"),"Overdue","OK")</f>
        <v>Overdue</v>
      </c>
      <c r="I1003" t="str">
        <f t="shared" si="15"/>
        <v>Issue</v>
      </c>
    </row>
    <row r="1004" spans="1:9" x14ac:dyDescent="0.2">
      <c r="A1004" t="str">
        <f>Controls_Raw!A1004</f>
        <v>CTRL-1000</v>
      </c>
      <c r="B1004" t="str">
        <f>IF(COUNTIF(Controls_Raw!$A$5:$A$1504,A1004)&gt;1,"Duplicate","OK")</f>
        <v>OK</v>
      </c>
      <c r="C1004" t="str">
        <f>IF(LEN(TRIM(Controls_Raw!I1004))=0,"Missing","OK")</f>
        <v>OK</v>
      </c>
      <c r="D1004" t="str">
        <f>IF(LEN(TRIM(Controls_Raw!N1004))=0,"Missing","OK")</f>
        <v>OK</v>
      </c>
      <c r="E1004" t="str">
        <f>IF(OR(Controls_Raw!G1004="USA",Controls_Raw!G1004="UK"),"Standardize","OK")</f>
        <v>OK</v>
      </c>
      <c r="F1004" t="str">
        <f>IF(Controls_Raw!E1004&lt;&gt;TRIM(Controls_Raw!E1004),"Trim","OK")</f>
        <v>OK</v>
      </c>
      <c r="G1004" t="str">
        <f>IF(AND(Controls_Raw!L1004&lt;DATE(2026,9,30),Controls_Raw!M1004&lt;&gt;"Completed"),"Overdue","OK")</f>
        <v>Overdue</v>
      </c>
      <c r="H1004" t="str">
        <f>IF(AND(Controls_Raw!Q1004&lt;DATE(2026,9,30),Controls_Raw!R1004&lt;&gt;"Completed",Controls_Raw!R1004&lt;&gt;"Not Required"),"Overdue","OK")</f>
        <v>Overdue</v>
      </c>
      <c r="I1004" t="str">
        <f t="shared" si="15"/>
        <v>Issue</v>
      </c>
    </row>
    <row r="1005" spans="1:9" x14ac:dyDescent="0.2">
      <c r="A1005" t="str">
        <f>Controls_Raw!A1005</f>
        <v>CTRL-1001</v>
      </c>
      <c r="B1005" t="str">
        <f>IF(COUNTIF(Controls_Raw!$A$5:$A$1504,A1005)&gt;1,"Duplicate","OK")</f>
        <v>OK</v>
      </c>
      <c r="C1005" t="str">
        <f>IF(LEN(TRIM(Controls_Raw!I1005))=0,"Missing","OK")</f>
        <v>OK</v>
      </c>
      <c r="D1005" t="str">
        <f>IF(LEN(TRIM(Controls_Raw!N1005))=0,"Missing","OK")</f>
        <v>OK</v>
      </c>
      <c r="E1005" t="str">
        <f>IF(OR(Controls_Raw!G1005="USA",Controls_Raw!G1005="UK"),"Standardize","OK")</f>
        <v>OK</v>
      </c>
      <c r="F1005" t="str">
        <f>IF(Controls_Raw!E1005&lt;&gt;TRIM(Controls_Raw!E1005),"Trim","OK")</f>
        <v>OK</v>
      </c>
      <c r="G1005" t="str">
        <f>IF(AND(Controls_Raw!L1005&lt;DATE(2026,9,30),Controls_Raw!M1005&lt;&gt;"Completed"),"Overdue","OK")</f>
        <v>OK</v>
      </c>
      <c r="H1005" t="str">
        <f>IF(AND(Controls_Raw!Q1005&lt;DATE(2026,9,30),Controls_Raw!R1005&lt;&gt;"Completed",Controls_Raw!R1005&lt;&gt;"Not Required"),"Overdue","OK")</f>
        <v>OK</v>
      </c>
      <c r="I1005" t="str">
        <f t="shared" si="15"/>
        <v>Pass</v>
      </c>
    </row>
    <row r="1006" spans="1:9" x14ac:dyDescent="0.2">
      <c r="A1006" t="str">
        <f>Controls_Raw!A1006</f>
        <v>CTRL-1002</v>
      </c>
      <c r="B1006" t="str">
        <f>IF(COUNTIF(Controls_Raw!$A$5:$A$1504,A1006)&gt;1,"Duplicate","OK")</f>
        <v>OK</v>
      </c>
      <c r="C1006" t="str">
        <f>IF(LEN(TRIM(Controls_Raw!I1006))=0,"Missing","OK")</f>
        <v>OK</v>
      </c>
      <c r="D1006" t="str">
        <f>IF(LEN(TRIM(Controls_Raw!N1006))=0,"Missing","OK")</f>
        <v>OK</v>
      </c>
      <c r="E1006" t="str">
        <f>IF(OR(Controls_Raw!G1006="USA",Controls_Raw!G1006="UK"),"Standardize","OK")</f>
        <v>OK</v>
      </c>
      <c r="F1006" t="str">
        <f>IF(Controls_Raw!E1006&lt;&gt;TRIM(Controls_Raw!E1006),"Trim","OK")</f>
        <v>OK</v>
      </c>
      <c r="G1006" t="str">
        <f>IF(AND(Controls_Raw!L1006&lt;DATE(2026,9,30),Controls_Raw!M1006&lt;&gt;"Completed"),"Overdue","OK")</f>
        <v>Overdue</v>
      </c>
      <c r="H1006" t="str">
        <f>IF(AND(Controls_Raw!Q1006&lt;DATE(2026,9,30),Controls_Raw!R1006&lt;&gt;"Completed",Controls_Raw!R1006&lt;&gt;"Not Required"),"Overdue","OK")</f>
        <v>OK</v>
      </c>
      <c r="I1006" t="str">
        <f t="shared" si="15"/>
        <v>Issue</v>
      </c>
    </row>
    <row r="1007" spans="1:9" x14ac:dyDescent="0.2">
      <c r="A1007" t="str">
        <f>Controls_Raw!A1007</f>
        <v>CTRL-1003</v>
      </c>
      <c r="B1007" t="str">
        <f>IF(COUNTIF(Controls_Raw!$A$5:$A$1504,A1007)&gt;1,"Duplicate","OK")</f>
        <v>OK</v>
      </c>
      <c r="C1007" t="str">
        <f>IF(LEN(TRIM(Controls_Raw!I1007))=0,"Missing","OK")</f>
        <v>OK</v>
      </c>
      <c r="D1007" t="str">
        <f>IF(LEN(TRIM(Controls_Raw!N1007))=0,"Missing","OK")</f>
        <v>OK</v>
      </c>
      <c r="E1007" t="str">
        <f>IF(OR(Controls_Raw!G1007="USA",Controls_Raw!G1007="UK"),"Standardize","OK")</f>
        <v>OK</v>
      </c>
      <c r="F1007" t="str">
        <f>IF(Controls_Raw!E1007&lt;&gt;TRIM(Controls_Raw!E1007),"Trim","OK")</f>
        <v>OK</v>
      </c>
      <c r="G1007" t="str">
        <f>IF(AND(Controls_Raw!L1007&lt;DATE(2026,9,30),Controls_Raw!M1007&lt;&gt;"Completed"),"Overdue","OK")</f>
        <v>OK</v>
      </c>
      <c r="H1007" t="str">
        <f>IF(AND(Controls_Raw!Q1007&lt;DATE(2026,9,30),Controls_Raw!R1007&lt;&gt;"Completed",Controls_Raw!R1007&lt;&gt;"Not Required"),"Overdue","OK")</f>
        <v>OK</v>
      </c>
      <c r="I1007" t="str">
        <f t="shared" si="15"/>
        <v>Pass</v>
      </c>
    </row>
    <row r="1008" spans="1:9" x14ac:dyDescent="0.2">
      <c r="A1008" t="str">
        <f>Controls_Raw!A1008</f>
        <v>CTRL-1004</v>
      </c>
      <c r="B1008" t="str">
        <f>IF(COUNTIF(Controls_Raw!$A$5:$A$1504,A1008)&gt;1,"Duplicate","OK")</f>
        <v>OK</v>
      </c>
      <c r="C1008" t="str">
        <f>IF(LEN(TRIM(Controls_Raw!I1008))=0,"Missing","OK")</f>
        <v>OK</v>
      </c>
      <c r="D1008" t="str">
        <f>IF(LEN(TRIM(Controls_Raw!N1008))=0,"Missing","OK")</f>
        <v>OK</v>
      </c>
      <c r="E1008" t="str">
        <f>IF(OR(Controls_Raw!G1008="USA",Controls_Raw!G1008="UK"),"Standardize","OK")</f>
        <v>OK</v>
      </c>
      <c r="F1008" t="str">
        <f>IF(Controls_Raw!E1008&lt;&gt;TRIM(Controls_Raw!E1008),"Trim","OK")</f>
        <v>OK</v>
      </c>
      <c r="G1008" t="str">
        <f>IF(AND(Controls_Raw!L1008&lt;DATE(2026,9,30),Controls_Raw!M1008&lt;&gt;"Completed"),"Overdue","OK")</f>
        <v>Overdue</v>
      </c>
      <c r="H1008" t="str">
        <f>IF(AND(Controls_Raw!Q1008&lt;DATE(2026,9,30),Controls_Raw!R1008&lt;&gt;"Completed",Controls_Raw!R1008&lt;&gt;"Not Required"),"Overdue","OK")</f>
        <v>OK</v>
      </c>
      <c r="I1008" t="str">
        <f t="shared" si="15"/>
        <v>Issue</v>
      </c>
    </row>
    <row r="1009" spans="1:9" x14ac:dyDescent="0.2">
      <c r="A1009" t="str">
        <f>Controls_Raw!A1009</f>
        <v>CTRL-1005</v>
      </c>
      <c r="B1009" t="str">
        <f>IF(COUNTIF(Controls_Raw!$A$5:$A$1504,A1009)&gt;1,"Duplicate","OK")</f>
        <v>OK</v>
      </c>
      <c r="C1009" t="str">
        <f>IF(LEN(TRIM(Controls_Raw!I1009))=0,"Missing","OK")</f>
        <v>OK</v>
      </c>
      <c r="D1009" t="str">
        <f>IF(LEN(TRIM(Controls_Raw!N1009))=0,"Missing","OK")</f>
        <v>OK</v>
      </c>
      <c r="E1009" t="str">
        <f>IF(OR(Controls_Raw!G1009="USA",Controls_Raw!G1009="UK"),"Standardize","OK")</f>
        <v>OK</v>
      </c>
      <c r="F1009" t="str">
        <f>IF(Controls_Raw!E1009&lt;&gt;TRIM(Controls_Raw!E1009),"Trim","OK")</f>
        <v>OK</v>
      </c>
      <c r="G1009" t="str">
        <f>IF(AND(Controls_Raw!L1009&lt;DATE(2026,9,30),Controls_Raw!M1009&lt;&gt;"Completed"),"Overdue","OK")</f>
        <v>Overdue</v>
      </c>
      <c r="H1009" t="str">
        <f>IF(AND(Controls_Raw!Q1009&lt;DATE(2026,9,30),Controls_Raw!R1009&lt;&gt;"Completed",Controls_Raw!R1009&lt;&gt;"Not Required"),"Overdue","OK")</f>
        <v>OK</v>
      </c>
      <c r="I1009" t="str">
        <f t="shared" si="15"/>
        <v>Issue</v>
      </c>
    </row>
    <row r="1010" spans="1:9" x14ac:dyDescent="0.2">
      <c r="A1010" t="str">
        <f>Controls_Raw!A1010</f>
        <v>CTRL-1006</v>
      </c>
      <c r="B1010" t="str">
        <f>IF(COUNTIF(Controls_Raw!$A$5:$A$1504,A1010)&gt;1,"Duplicate","OK")</f>
        <v>OK</v>
      </c>
      <c r="C1010" t="str">
        <f>IF(LEN(TRIM(Controls_Raw!I1010))=0,"Missing","OK")</f>
        <v>OK</v>
      </c>
      <c r="D1010" t="str">
        <f>IF(LEN(TRIM(Controls_Raw!N1010))=0,"Missing","OK")</f>
        <v>OK</v>
      </c>
      <c r="E1010" t="str">
        <f>IF(OR(Controls_Raw!G1010="USA",Controls_Raw!G1010="UK"),"Standardize","OK")</f>
        <v>OK</v>
      </c>
      <c r="F1010" t="str">
        <f>IF(Controls_Raw!E1010&lt;&gt;TRIM(Controls_Raw!E1010),"Trim","OK")</f>
        <v>OK</v>
      </c>
      <c r="G1010" t="str">
        <f>IF(AND(Controls_Raw!L1010&lt;DATE(2026,9,30),Controls_Raw!M1010&lt;&gt;"Completed"),"Overdue","OK")</f>
        <v>OK</v>
      </c>
      <c r="H1010" t="str">
        <f>IF(AND(Controls_Raw!Q1010&lt;DATE(2026,9,30),Controls_Raw!R1010&lt;&gt;"Completed",Controls_Raw!R1010&lt;&gt;"Not Required"),"Overdue","OK")</f>
        <v>Overdue</v>
      </c>
      <c r="I1010" t="str">
        <f t="shared" si="15"/>
        <v>Issue</v>
      </c>
    </row>
    <row r="1011" spans="1:9" x14ac:dyDescent="0.2">
      <c r="A1011" t="str">
        <f>Controls_Raw!A1011</f>
        <v>CTRL-1007</v>
      </c>
      <c r="B1011" t="str">
        <f>IF(COUNTIF(Controls_Raw!$A$5:$A$1504,A1011)&gt;1,"Duplicate","OK")</f>
        <v>OK</v>
      </c>
      <c r="C1011" t="str">
        <f>IF(LEN(TRIM(Controls_Raw!I1011))=0,"Missing","OK")</f>
        <v>OK</v>
      </c>
      <c r="D1011" t="str">
        <f>IF(LEN(TRIM(Controls_Raw!N1011))=0,"Missing","OK")</f>
        <v>OK</v>
      </c>
      <c r="E1011" t="str">
        <f>IF(OR(Controls_Raw!G1011="USA",Controls_Raw!G1011="UK"),"Standardize","OK")</f>
        <v>OK</v>
      </c>
      <c r="F1011" t="str">
        <f>IF(Controls_Raw!E1011&lt;&gt;TRIM(Controls_Raw!E1011),"Trim","OK")</f>
        <v>OK</v>
      </c>
      <c r="G1011" t="str">
        <f>IF(AND(Controls_Raw!L1011&lt;DATE(2026,9,30),Controls_Raw!M1011&lt;&gt;"Completed"),"Overdue","OK")</f>
        <v>Overdue</v>
      </c>
      <c r="H1011" t="str">
        <f>IF(AND(Controls_Raw!Q1011&lt;DATE(2026,9,30),Controls_Raw!R1011&lt;&gt;"Completed",Controls_Raw!R1011&lt;&gt;"Not Required"),"Overdue","OK")</f>
        <v>Overdue</v>
      </c>
      <c r="I1011" t="str">
        <f t="shared" si="15"/>
        <v>Issue</v>
      </c>
    </row>
    <row r="1012" spans="1:9" x14ac:dyDescent="0.2">
      <c r="A1012" t="str">
        <f>Controls_Raw!A1012</f>
        <v>CTRL-1008</v>
      </c>
      <c r="B1012" t="str">
        <f>IF(COUNTIF(Controls_Raw!$A$5:$A$1504,A1012)&gt;1,"Duplicate","OK")</f>
        <v>OK</v>
      </c>
      <c r="C1012" t="str">
        <f>IF(LEN(TRIM(Controls_Raw!I1012))=0,"Missing","OK")</f>
        <v>OK</v>
      </c>
      <c r="D1012" t="str">
        <f>IF(LEN(TRIM(Controls_Raw!N1012))=0,"Missing","OK")</f>
        <v>OK</v>
      </c>
      <c r="E1012" t="str">
        <f>IF(OR(Controls_Raw!G1012="USA",Controls_Raw!G1012="UK"),"Standardize","OK")</f>
        <v>OK</v>
      </c>
      <c r="F1012" t="str">
        <f>IF(Controls_Raw!E1012&lt;&gt;TRIM(Controls_Raw!E1012),"Trim","OK")</f>
        <v>OK</v>
      </c>
      <c r="G1012" t="str">
        <f>IF(AND(Controls_Raw!L1012&lt;DATE(2026,9,30),Controls_Raw!M1012&lt;&gt;"Completed"),"Overdue","OK")</f>
        <v>OK</v>
      </c>
      <c r="H1012" t="str">
        <f>IF(AND(Controls_Raw!Q1012&lt;DATE(2026,9,30),Controls_Raw!R1012&lt;&gt;"Completed",Controls_Raw!R1012&lt;&gt;"Not Required"),"Overdue","OK")</f>
        <v>OK</v>
      </c>
      <c r="I1012" t="str">
        <f t="shared" si="15"/>
        <v>Pass</v>
      </c>
    </row>
    <row r="1013" spans="1:9" x14ac:dyDescent="0.2">
      <c r="A1013" t="str">
        <f>Controls_Raw!A1013</f>
        <v>CTRL-1009</v>
      </c>
      <c r="B1013" t="str">
        <f>IF(COUNTIF(Controls_Raw!$A$5:$A$1504,A1013)&gt;1,"Duplicate","OK")</f>
        <v>OK</v>
      </c>
      <c r="C1013" t="str">
        <f>IF(LEN(TRIM(Controls_Raw!I1013))=0,"Missing","OK")</f>
        <v>OK</v>
      </c>
      <c r="D1013" t="str">
        <f>IF(LEN(TRIM(Controls_Raw!N1013))=0,"Missing","OK")</f>
        <v>OK</v>
      </c>
      <c r="E1013" t="str">
        <f>IF(OR(Controls_Raw!G1013="USA",Controls_Raw!G1013="UK"),"Standardize","OK")</f>
        <v>OK</v>
      </c>
      <c r="F1013" t="str">
        <f>IF(Controls_Raw!E1013&lt;&gt;TRIM(Controls_Raw!E1013),"Trim","OK")</f>
        <v>OK</v>
      </c>
      <c r="G1013" t="str">
        <f>IF(AND(Controls_Raw!L1013&lt;DATE(2026,9,30),Controls_Raw!M1013&lt;&gt;"Completed"),"Overdue","OK")</f>
        <v>Overdue</v>
      </c>
      <c r="H1013" t="str">
        <f>IF(AND(Controls_Raw!Q1013&lt;DATE(2026,9,30),Controls_Raw!R1013&lt;&gt;"Completed",Controls_Raw!R1013&lt;&gt;"Not Required"),"Overdue","OK")</f>
        <v>OK</v>
      </c>
      <c r="I1013" t="str">
        <f t="shared" si="15"/>
        <v>Issue</v>
      </c>
    </row>
    <row r="1014" spans="1:9" x14ac:dyDescent="0.2">
      <c r="A1014" t="str">
        <f>Controls_Raw!A1014</f>
        <v>CTRL-1010</v>
      </c>
      <c r="B1014" t="str">
        <f>IF(COUNTIF(Controls_Raw!$A$5:$A$1504,A1014)&gt;1,"Duplicate","OK")</f>
        <v>OK</v>
      </c>
      <c r="C1014" t="str">
        <f>IF(LEN(TRIM(Controls_Raw!I1014))=0,"Missing","OK")</f>
        <v>OK</v>
      </c>
      <c r="D1014" t="str">
        <f>IF(LEN(TRIM(Controls_Raw!N1014))=0,"Missing","OK")</f>
        <v>OK</v>
      </c>
      <c r="E1014" t="str">
        <f>IF(OR(Controls_Raw!G1014="USA",Controls_Raw!G1014="UK"),"Standardize","OK")</f>
        <v>OK</v>
      </c>
      <c r="F1014" t="str">
        <f>IF(Controls_Raw!E1014&lt;&gt;TRIM(Controls_Raw!E1014),"Trim","OK")</f>
        <v>OK</v>
      </c>
      <c r="G1014" t="str">
        <f>IF(AND(Controls_Raw!L1014&lt;DATE(2026,9,30),Controls_Raw!M1014&lt;&gt;"Completed"),"Overdue","OK")</f>
        <v>Overdue</v>
      </c>
      <c r="H1014" t="str">
        <f>IF(AND(Controls_Raw!Q1014&lt;DATE(2026,9,30),Controls_Raw!R1014&lt;&gt;"Completed",Controls_Raw!R1014&lt;&gt;"Not Required"),"Overdue","OK")</f>
        <v>OK</v>
      </c>
      <c r="I1014" t="str">
        <f t="shared" si="15"/>
        <v>Issue</v>
      </c>
    </row>
    <row r="1015" spans="1:9" x14ac:dyDescent="0.2">
      <c r="A1015" t="str">
        <f>Controls_Raw!A1015</f>
        <v>CTRL-1011</v>
      </c>
      <c r="B1015" t="str">
        <f>IF(COUNTIF(Controls_Raw!$A$5:$A$1504,A1015)&gt;1,"Duplicate","OK")</f>
        <v>OK</v>
      </c>
      <c r="C1015" t="str">
        <f>IF(LEN(TRIM(Controls_Raw!I1015))=0,"Missing","OK")</f>
        <v>OK</v>
      </c>
      <c r="D1015" t="str">
        <f>IF(LEN(TRIM(Controls_Raw!N1015))=0,"Missing","OK")</f>
        <v>OK</v>
      </c>
      <c r="E1015" t="str">
        <f>IF(OR(Controls_Raw!G1015="USA",Controls_Raw!G1015="UK"),"Standardize","OK")</f>
        <v>OK</v>
      </c>
      <c r="F1015" t="str">
        <f>IF(Controls_Raw!E1015&lt;&gt;TRIM(Controls_Raw!E1015),"Trim","OK")</f>
        <v>OK</v>
      </c>
      <c r="G1015" t="str">
        <f>IF(AND(Controls_Raw!L1015&lt;DATE(2026,9,30),Controls_Raw!M1015&lt;&gt;"Completed"),"Overdue","OK")</f>
        <v>OK</v>
      </c>
      <c r="H1015" t="str">
        <f>IF(AND(Controls_Raw!Q1015&lt;DATE(2026,9,30),Controls_Raw!R1015&lt;&gt;"Completed",Controls_Raw!R1015&lt;&gt;"Not Required"),"Overdue","OK")</f>
        <v>OK</v>
      </c>
      <c r="I1015" t="str">
        <f t="shared" si="15"/>
        <v>Pass</v>
      </c>
    </row>
    <row r="1016" spans="1:9" x14ac:dyDescent="0.2">
      <c r="A1016" t="str">
        <f>Controls_Raw!A1016</f>
        <v>CTRL-1012</v>
      </c>
      <c r="B1016" t="str">
        <f>IF(COUNTIF(Controls_Raw!$A$5:$A$1504,A1016)&gt;1,"Duplicate","OK")</f>
        <v>OK</v>
      </c>
      <c r="C1016" t="str">
        <f>IF(LEN(TRIM(Controls_Raw!I1016))=0,"Missing","OK")</f>
        <v>OK</v>
      </c>
      <c r="D1016" t="str">
        <f>IF(LEN(TRIM(Controls_Raw!N1016))=0,"Missing","OK")</f>
        <v>OK</v>
      </c>
      <c r="E1016" t="str">
        <f>IF(OR(Controls_Raw!G1016="USA",Controls_Raw!G1016="UK"),"Standardize","OK")</f>
        <v>OK</v>
      </c>
      <c r="F1016" t="str">
        <f>IF(Controls_Raw!E1016&lt;&gt;TRIM(Controls_Raw!E1016),"Trim","OK")</f>
        <v>OK</v>
      </c>
      <c r="G1016" t="str">
        <f>IF(AND(Controls_Raw!L1016&lt;DATE(2026,9,30),Controls_Raw!M1016&lt;&gt;"Completed"),"Overdue","OK")</f>
        <v>OK</v>
      </c>
      <c r="H1016" t="str">
        <f>IF(AND(Controls_Raw!Q1016&lt;DATE(2026,9,30),Controls_Raw!R1016&lt;&gt;"Completed",Controls_Raw!R1016&lt;&gt;"Not Required"),"Overdue","OK")</f>
        <v>OK</v>
      </c>
      <c r="I1016" t="str">
        <f t="shared" si="15"/>
        <v>Pass</v>
      </c>
    </row>
    <row r="1017" spans="1:9" x14ac:dyDescent="0.2">
      <c r="A1017" t="str">
        <f>Controls_Raw!A1017</f>
        <v>CTRL-1013</v>
      </c>
      <c r="B1017" t="str">
        <f>IF(COUNTIF(Controls_Raw!$A$5:$A$1504,A1017)&gt;1,"Duplicate","OK")</f>
        <v>OK</v>
      </c>
      <c r="C1017" t="str">
        <f>IF(LEN(TRIM(Controls_Raw!I1017))=0,"Missing","OK")</f>
        <v>OK</v>
      </c>
      <c r="D1017" t="str">
        <f>IF(LEN(TRIM(Controls_Raw!N1017))=0,"Missing","OK")</f>
        <v>OK</v>
      </c>
      <c r="E1017" t="str">
        <f>IF(OR(Controls_Raw!G1017="USA",Controls_Raw!G1017="UK"),"Standardize","OK")</f>
        <v>OK</v>
      </c>
      <c r="F1017" t="str">
        <f>IF(Controls_Raw!E1017&lt;&gt;TRIM(Controls_Raw!E1017),"Trim","OK")</f>
        <v>OK</v>
      </c>
      <c r="G1017" t="str">
        <f>IF(AND(Controls_Raw!L1017&lt;DATE(2026,9,30),Controls_Raw!M1017&lt;&gt;"Completed"),"Overdue","OK")</f>
        <v>Overdue</v>
      </c>
      <c r="H1017" t="str">
        <f>IF(AND(Controls_Raw!Q1017&lt;DATE(2026,9,30),Controls_Raw!R1017&lt;&gt;"Completed",Controls_Raw!R1017&lt;&gt;"Not Required"),"Overdue","OK")</f>
        <v>OK</v>
      </c>
      <c r="I1017" t="str">
        <f t="shared" si="15"/>
        <v>Issue</v>
      </c>
    </row>
    <row r="1018" spans="1:9" x14ac:dyDescent="0.2">
      <c r="A1018" t="str">
        <f>Controls_Raw!A1018</f>
        <v>CTRL-1014</v>
      </c>
      <c r="B1018" t="str">
        <f>IF(COUNTIF(Controls_Raw!$A$5:$A$1504,A1018)&gt;1,"Duplicate","OK")</f>
        <v>OK</v>
      </c>
      <c r="C1018" t="str">
        <f>IF(LEN(TRIM(Controls_Raw!I1018))=0,"Missing","OK")</f>
        <v>OK</v>
      </c>
      <c r="D1018" t="str">
        <f>IF(LEN(TRIM(Controls_Raw!N1018))=0,"Missing","OK")</f>
        <v>OK</v>
      </c>
      <c r="E1018" t="str">
        <f>IF(OR(Controls_Raw!G1018="USA",Controls_Raw!G1018="UK"),"Standardize","OK")</f>
        <v>OK</v>
      </c>
      <c r="F1018" t="str">
        <f>IF(Controls_Raw!E1018&lt;&gt;TRIM(Controls_Raw!E1018),"Trim","OK")</f>
        <v>OK</v>
      </c>
      <c r="G1018" t="str">
        <f>IF(AND(Controls_Raw!L1018&lt;DATE(2026,9,30),Controls_Raw!M1018&lt;&gt;"Completed"),"Overdue","OK")</f>
        <v>OK</v>
      </c>
      <c r="H1018" t="str">
        <f>IF(AND(Controls_Raw!Q1018&lt;DATE(2026,9,30),Controls_Raw!R1018&lt;&gt;"Completed",Controls_Raw!R1018&lt;&gt;"Not Required"),"Overdue","OK")</f>
        <v>OK</v>
      </c>
      <c r="I1018" t="str">
        <f t="shared" si="15"/>
        <v>Pass</v>
      </c>
    </row>
    <row r="1019" spans="1:9" x14ac:dyDescent="0.2">
      <c r="A1019" t="str">
        <f>Controls_Raw!A1019</f>
        <v>CTRL-1015</v>
      </c>
      <c r="B1019" t="str">
        <f>IF(COUNTIF(Controls_Raw!$A$5:$A$1504,A1019)&gt;1,"Duplicate","OK")</f>
        <v>OK</v>
      </c>
      <c r="C1019" t="str">
        <f>IF(LEN(TRIM(Controls_Raw!I1019))=0,"Missing","OK")</f>
        <v>OK</v>
      </c>
      <c r="D1019" t="str">
        <f>IF(LEN(TRIM(Controls_Raw!N1019))=0,"Missing","OK")</f>
        <v>OK</v>
      </c>
      <c r="E1019" t="str">
        <f>IF(OR(Controls_Raw!G1019="USA",Controls_Raw!G1019="UK"),"Standardize","OK")</f>
        <v>OK</v>
      </c>
      <c r="F1019" t="str">
        <f>IF(Controls_Raw!E1019&lt;&gt;TRIM(Controls_Raw!E1019),"Trim","OK")</f>
        <v>OK</v>
      </c>
      <c r="G1019" t="str">
        <f>IF(AND(Controls_Raw!L1019&lt;DATE(2026,9,30),Controls_Raw!M1019&lt;&gt;"Completed"),"Overdue","OK")</f>
        <v>Overdue</v>
      </c>
      <c r="H1019" t="str">
        <f>IF(AND(Controls_Raw!Q1019&lt;DATE(2026,9,30),Controls_Raw!R1019&lt;&gt;"Completed",Controls_Raw!R1019&lt;&gt;"Not Required"),"Overdue","OK")</f>
        <v>OK</v>
      </c>
      <c r="I1019" t="str">
        <f t="shared" si="15"/>
        <v>Issue</v>
      </c>
    </row>
    <row r="1020" spans="1:9" x14ac:dyDescent="0.2">
      <c r="A1020" t="str">
        <f>Controls_Raw!A1020</f>
        <v>CTRL-1016</v>
      </c>
      <c r="B1020" t="str">
        <f>IF(COUNTIF(Controls_Raw!$A$5:$A$1504,A1020)&gt;1,"Duplicate","OK")</f>
        <v>OK</v>
      </c>
      <c r="C1020" t="str">
        <f>IF(LEN(TRIM(Controls_Raw!I1020))=0,"Missing","OK")</f>
        <v>OK</v>
      </c>
      <c r="D1020" t="str">
        <f>IF(LEN(TRIM(Controls_Raw!N1020))=0,"Missing","OK")</f>
        <v>OK</v>
      </c>
      <c r="E1020" t="str">
        <f>IF(OR(Controls_Raw!G1020="USA",Controls_Raw!G1020="UK"),"Standardize","OK")</f>
        <v>OK</v>
      </c>
      <c r="F1020" t="str">
        <f>IF(Controls_Raw!E1020&lt;&gt;TRIM(Controls_Raw!E1020),"Trim","OK")</f>
        <v>OK</v>
      </c>
      <c r="G1020" t="str">
        <f>IF(AND(Controls_Raw!L1020&lt;DATE(2026,9,30),Controls_Raw!M1020&lt;&gt;"Completed"),"Overdue","OK")</f>
        <v>OK</v>
      </c>
      <c r="H1020" t="str">
        <f>IF(AND(Controls_Raw!Q1020&lt;DATE(2026,9,30),Controls_Raw!R1020&lt;&gt;"Completed",Controls_Raw!R1020&lt;&gt;"Not Required"),"Overdue","OK")</f>
        <v>Overdue</v>
      </c>
      <c r="I1020" t="str">
        <f t="shared" si="15"/>
        <v>Issue</v>
      </c>
    </row>
    <row r="1021" spans="1:9" x14ac:dyDescent="0.2">
      <c r="A1021" t="str">
        <f>Controls_Raw!A1021</f>
        <v>CTRL-1017</v>
      </c>
      <c r="B1021" t="str">
        <f>IF(COUNTIF(Controls_Raw!$A$5:$A$1504,A1021)&gt;1,"Duplicate","OK")</f>
        <v>OK</v>
      </c>
      <c r="C1021" t="str">
        <f>IF(LEN(TRIM(Controls_Raw!I1021))=0,"Missing","OK")</f>
        <v>OK</v>
      </c>
      <c r="D1021" t="str">
        <f>IF(LEN(TRIM(Controls_Raw!N1021))=0,"Missing","OK")</f>
        <v>OK</v>
      </c>
      <c r="E1021" t="str">
        <f>IF(OR(Controls_Raw!G1021="USA",Controls_Raw!G1021="UK"),"Standardize","OK")</f>
        <v>OK</v>
      </c>
      <c r="F1021" t="str">
        <f>IF(Controls_Raw!E1021&lt;&gt;TRIM(Controls_Raw!E1021),"Trim","OK")</f>
        <v>OK</v>
      </c>
      <c r="G1021" t="str">
        <f>IF(AND(Controls_Raw!L1021&lt;DATE(2026,9,30),Controls_Raw!M1021&lt;&gt;"Completed"),"Overdue","OK")</f>
        <v>OK</v>
      </c>
      <c r="H1021" t="str">
        <f>IF(AND(Controls_Raw!Q1021&lt;DATE(2026,9,30),Controls_Raw!R1021&lt;&gt;"Completed",Controls_Raw!R1021&lt;&gt;"Not Required"),"Overdue","OK")</f>
        <v>OK</v>
      </c>
      <c r="I1021" t="str">
        <f t="shared" si="15"/>
        <v>Pass</v>
      </c>
    </row>
    <row r="1022" spans="1:9" x14ac:dyDescent="0.2">
      <c r="A1022" t="str">
        <f>Controls_Raw!A1022</f>
        <v>CTRL-1018</v>
      </c>
      <c r="B1022" t="str">
        <f>IF(COUNTIF(Controls_Raw!$A$5:$A$1504,A1022)&gt;1,"Duplicate","OK")</f>
        <v>OK</v>
      </c>
      <c r="C1022" t="str">
        <f>IF(LEN(TRIM(Controls_Raw!I1022))=0,"Missing","OK")</f>
        <v>OK</v>
      </c>
      <c r="D1022" t="str">
        <f>IF(LEN(TRIM(Controls_Raw!N1022))=0,"Missing","OK")</f>
        <v>OK</v>
      </c>
      <c r="E1022" t="str">
        <f>IF(OR(Controls_Raw!G1022="USA",Controls_Raw!G1022="UK"),"Standardize","OK")</f>
        <v>OK</v>
      </c>
      <c r="F1022" t="str">
        <f>IF(Controls_Raw!E1022&lt;&gt;TRIM(Controls_Raw!E1022),"Trim","OK")</f>
        <v>OK</v>
      </c>
      <c r="G1022" t="str">
        <f>IF(AND(Controls_Raw!L1022&lt;DATE(2026,9,30),Controls_Raw!M1022&lt;&gt;"Completed"),"Overdue","OK")</f>
        <v>Overdue</v>
      </c>
      <c r="H1022" t="str">
        <f>IF(AND(Controls_Raw!Q1022&lt;DATE(2026,9,30),Controls_Raw!R1022&lt;&gt;"Completed",Controls_Raw!R1022&lt;&gt;"Not Required"),"Overdue","OK")</f>
        <v>Overdue</v>
      </c>
      <c r="I1022" t="str">
        <f t="shared" si="15"/>
        <v>Issue</v>
      </c>
    </row>
    <row r="1023" spans="1:9" x14ac:dyDescent="0.2">
      <c r="A1023" t="str">
        <f>Controls_Raw!A1023</f>
        <v>CTRL-1019</v>
      </c>
      <c r="B1023" t="str">
        <f>IF(COUNTIF(Controls_Raw!$A$5:$A$1504,A1023)&gt;1,"Duplicate","OK")</f>
        <v>OK</v>
      </c>
      <c r="C1023" t="str">
        <f>IF(LEN(TRIM(Controls_Raw!I1023))=0,"Missing","OK")</f>
        <v>OK</v>
      </c>
      <c r="D1023" t="str">
        <f>IF(LEN(TRIM(Controls_Raw!N1023))=0,"Missing","OK")</f>
        <v>OK</v>
      </c>
      <c r="E1023" t="str">
        <f>IF(OR(Controls_Raw!G1023="USA",Controls_Raw!G1023="UK"),"Standardize","OK")</f>
        <v>OK</v>
      </c>
      <c r="F1023" t="str">
        <f>IF(Controls_Raw!E1023&lt;&gt;TRIM(Controls_Raw!E1023),"Trim","OK")</f>
        <v>OK</v>
      </c>
      <c r="G1023" t="str">
        <f>IF(AND(Controls_Raw!L1023&lt;DATE(2026,9,30),Controls_Raw!M1023&lt;&gt;"Completed"),"Overdue","OK")</f>
        <v>Overdue</v>
      </c>
      <c r="H1023" t="str">
        <f>IF(AND(Controls_Raw!Q1023&lt;DATE(2026,9,30),Controls_Raw!R1023&lt;&gt;"Completed",Controls_Raw!R1023&lt;&gt;"Not Required"),"Overdue","OK")</f>
        <v>OK</v>
      </c>
      <c r="I1023" t="str">
        <f t="shared" si="15"/>
        <v>Issue</v>
      </c>
    </row>
    <row r="1024" spans="1:9" x14ac:dyDescent="0.2">
      <c r="A1024" t="str">
        <f>Controls_Raw!A1024</f>
        <v>CTRL-1020</v>
      </c>
      <c r="B1024" t="str">
        <f>IF(COUNTIF(Controls_Raw!$A$5:$A$1504,A1024)&gt;1,"Duplicate","OK")</f>
        <v>OK</v>
      </c>
      <c r="C1024" t="str">
        <f>IF(LEN(TRIM(Controls_Raw!I1024))=0,"Missing","OK")</f>
        <v>OK</v>
      </c>
      <c r="D1024" t="str">
        <f>IF(LEN(TRIM(Controls_Raw!N1024))=0,"Missing","OK")</f>
        <v>OK</v>
      </c>
      <c r="E1024" t="str">
        <f>IF(OR(Controls_Raw!G1024="USA",Controls_Raw!G1024="UK"),"Standardize","OK")</f>
        <v>OK</v>
      </c>
      <c r="F1024" t="str">
        <f>IF(Controls_Raw!E1024&lt;&gt;TRIM(Controls_Raw!E1024),"Trim","OK")</f>
        <v>OK</v>
      </c>
      <c r="G1024" t="str">
        <f>IF(AND(Controls_Raw!L1024&lt;DATE(2026,9,30),Controls_Raw!M1024&lt;&gt;"Completed"),"Overdue","OK")</f>
        <v>Overdue</v>
      </c>
      <c r="H1024" t="str">
        <f>IF(AND(Controls_Raw!Q1024&lt;DATE(2026,9,30),Controls_Raw!R1024&lt;&gt;"Completed",Controls_Raw!R1024&lt;&gt;"Not Required"),"Overdue","OK")</f>
        <v>OK</v>
      </c>
      <c r="I1024" t="str">
        <f t="shared" si="15"/>
        <v>Issue</v>
      </c>
    </row>
    <row r="1025" spans="1:9" x14ac:dyDescent="0.2">
      <c r="A1025" t="str">
        <f>Controls_Raw!A1025</f>
        <v>CTRL-1021</v>
      </c>
      <c r="B1025" t="str">
        <f>IF(COUNTIF(Controls_Raw!$A$5:$A$1504,A1025)&gt;1,"Duplicate","OK")</f>
        <v>OK</v>
      </c>
      <c r="C1025" t="str">
        <f>IF(LEN(TRIM(Controls_Raw!I1025))=0,"Missing","OK")</f>
        <v>OK</v>
      </c>
      <c r="D1025" t="str">
        <f>IF(LEN(TRIM(Controls_Raw!N1025))=0,"Missing","OK")</f>
        <v>OK</v>
      </c>
      <c r="E1025" t="str">
        <f>IF(OR(Controls_Raw!G1025="USA",Controls_Raw!G1025="UK"),"Standardize","OK")</f>
        <v>OK</v>
      </c>
      <c r="F1025" t="str">
        <f>IF(Controls_Raw!E1025&lt;&gt;TRIM(Controls_Raw!E1025),"Trim","OK")</f>
        <v>OK</v>
      </c>
      <c r="G1025" t="str">
        <f>IF(AND(Controls_Raw!L1025&lt;DATE(2026,9,30),Controls_Raw!M1025&lt;&gt;"Completed"),"Overdue","OK")</f>
        <v>Overdue</v>
      </c>
      <c r="H1025" t="str">
        <f>IF(AND(Controls_Raw!Q1025&lt;DATE(2026,9,30),Controls_Raw!R1025&lt;&gt;"Completed",Controls_Raw!R1025&lt;&gt;"Not Required"),"Overdue","OK")</f>
        <v>OK</v>
      </c>
      <c r="I1025" t="str">
        <f t="shared" si="15"/>
        <v>Issue</v>
      </c>
    </row>
    <row r="1026" spans="1:9" x14ac:dyDescent="0.2">
      <c r="A1026" t="str">
        <f>Controls_Raw!A1026</f>
        <v>CTRL-1022</v>
      </c>
      <c r="B1026" t="str">
        <f>IF(COUNTIF(Controls_Raw!$A$5:$A$1504,A1026)&gt;1,"Duplicate","OK")</f>
        <v>OK</v>
      </c>
      <c r="C1026" t="str">
        <f>IF(LEN(TRIM(Controls_Raw!I1026))=0,"Missing","OK")</f>
        <v>OK</v>
      </c>
      <c r="D1026" t="str">
        <f>IF(LEN(TRIM(Controls_Raw!N1026))=0,"Missing","OK")</f>
        <v>OK</v>
      </c>
      <c r="E1026" t="str">
        <f>IF(OR(Controls_Raw!G1026="USA",Controls_Raw!G1026="UK"),"Standardize","OK")</f>
        <v>OK</v>
      </c>
      <c r="F1026" t="str">
        <f>IF(Controls_Raw!E1026&lt;&gt;TRIM(Controls_Raw!E1026),"Trim","OK")</f>
        <v>OK</v>
      </c>
      <c r="G1026" t="str">
        <f>IF(AND(Controls_Raw!L1026&lt;DATE(2026,9,30),Controls_Raw!M1026&lt;&gt;"Completed"),"Overdue","OK")</f>
        <v>OK</v>
      </c>
      <c r="H1026" t="str">
        <f>IF(AND(Controls_Raw!Q1026&lt;DATE(2026,9,30),Controls_Raw!R1026&lt;&gt;"Completed",Controls_Raw!R1026&lt;&gt;"Not Required"),"Overdue","OK")</f>
        <v>Overdue</v>
      </c>
      <c r="I1026" t="str">
        <f t="shared" si="15"/>
        <v>Issue</v>
      </c>
    </row>
    <row r="1027" spans="1:9" x14ac:dyDescent="0.2">
      <c r="A1027" t="str">
        <f>Controls_Raw!A1027</f>
        <v>CTRL-1023</v>
      </c>
      <c r="B1027" t="str">
        <f>IF(COUNTIF(Controls_Raw!$A$5:$A$1504,A1027)&gt;1,"Duplicate","OK")</f>
        <v>OK</v>
      </c>
      <c r="C1027" t="str">
        <f>IF(LEN(TRIM(Controls_Raw!I1027))=0,"Missing","OK")</f>
        <v>OK</v>
      </c>
      <c r="D1027" t="str">
        <f>IF(LEN(TRIM(Controls_Raw!N1027))=0,"Missing","OK")</f>
        <v>OK</v>
      </c>
      <c r="E1027" t="str">
        <f>IF(OR(Controls_Raw!G1027="USA",Controls_Raw!G1027="UK"),"Standardize","OK")</f>
        <v>OK</v>
      </c>
      <c r="F1027" t="str">
        <f>IF(Controls_Raw!E1027&lt;&gt;TRIM(Controls_Raw!E1027),"Trim","OK")</f>
        <v>Trim</v>
      </c>
      <c r="G1027" t="str">
        <f>IF(AND(Controls_Raw!L1027&lt;DATE(2026,9,30),Controls_Raw!M1027&lt;&gt;"Completed"),"Overdue","OK")</f>
        <v>OK</v>
      </c>
      <c r="H1027" t="str">
        <f>IF(AND(Controls_Raw!Q1027&lt;DATE(2026,9,30),Controls_Raw!R1027&lt;&gt;"Completed",Controls_Raw!R1027&lt;&gt;"Not Required"),"Overdue","OK")</f>
        <v>Overdue</v>
      </c>
      <c r="I1027" t="str">
        <f t="shared" si="15"/>
        <v>Issue</v>
      </c>
    </row>
    <row r="1028" spans="1:9" x14ac:dyDescent="0.2">
      <c r="A1028" t="str">
        <f>Controls_Raw!A1028</f>
        <v>CTRL-1024</v>
      </c>
      <c r="B1028" t="str">
        <f>IF(COUNTIF(Controls_Raw!$A$5:$A$1504,A1028)&gt;1,"Duplicate","OK")</f>
        <v>OK</v>
      </c>
      <c r="C1028" t="str">
        <f>IF(LEN(TRIM(Controls_Raw!I1028))=0,"Missing","OK")</f>
        <v>OK</v>
      </c>
      <c r="D1028" t="str">
        <f>IF(LEN(TRIM(Controls_Raw!N1028))=0,"Missing","OK")</f>
        <v>OK</v>
      </c>
      <c r="E1028" t="str">
        <f>IF(OR(Controls_Raw!G1028="USA",Controls_Raw!G1028="UK"),"Standardize","OK")</f>
        <v>OK</v>
      </c>
      <c r="F1028" t="str">
        <f>IF(Controls_Raw!E1028&lt;&gt;TRIM(Controls_Raw!E1028),"Trim","OK")</f>
        <v>OK</v>
      </c>
      <c r="G1028" t="str">
        <f>IF(AND(Controls_Raw!L1028&lt;DATE(2026,9,30),Controls_Raw!M1028&lt;&gt;"Completed"),"Overdue","OK")</f>
        <v>Overdue</v>
      </c>
      <c r="H1028" t="str">
        <f>IF(AND(Controls_Raw!Q1028&lt;DATE(2026,9,30),Controls_Raw!R1028&lt;&gt;"Completed",Controls_Raw!R1028&lt;&gt;"Not Required"),"Overdue","OK")</f>
        <v>OK</v>
      </c>
      <c r="I1028" t="str">
        <f t="shared" si="15"/>
        <v>Issue</v>
      </c>
    </row>
    <row r="1029" spans="1:9" x14ac:dyDescent="0.2">
      <c r="A1029" t="str">
        <f>Controls_Raw!A1029</f>
        <v>CTRL-1025</v>
      </c>
      <c r="B1029" t="str">
        <f>IF(COUNTIF(Controls_Raw!$A$5:$A$1504,A1029)&gt;1,"Duplicate","OK")</f>
        <v>OK</v>
      </c>
      <c r="C1029" t="str">
        <f>IF(LEN(TRIM(Controls_Raw!I1029))=0,"Missing","OK")</f>
        <v>OK</v>
      </c>
      <c r="D1029" t="str">
        <f>IF(LEN(TRIM(Controls_Raw!N1029))=0,"Missing","OK")</f>
        <v>OK</v>
      </c>
      <c r="E1029" t="str">
        <f>IF(OR(Controls_Raw!G1029="USA",Controls_Raw!G1029="UK"),"Standardize","OK")</f>
        <v>OK</v>
      </c>
      <c r="F1029" t="str">
        <f>IF(Controls_Raw!E1029&lt;&gt;TRIM(Controls_Raw!E1029),"Trim","OK")</f>
        <v>OK</v>
      </c>
      <c r="G1029" t="str">
        <f>IF(AND(Controls_Raw!L1029&lt;DATE(2026,9,30),Controls_Raw!M1029&lt;&gt;"Completed"),"Overdue","OK")</f>
        <v>OK</v>
      </c>
      <c r="H1029" t="str">
        <f>IF(AND(Controls_Raw!Q1029&lt;DATE(2026,9,30),Controls_Raw!R1029&lt;&gt;"Completed",Controls_Raw!R1029&lt;&gt;"Not Required"),"Overdue","OK")</f>
        <v>OK</v>
      </c>
      <c r="I1029" t="str">
        <f t="shared" ref="I1029:I1092" si="16">IF(COUNTIF(B1029:H1029,"&lt;&gt;OK")&gt;0,"Issue","Pass")</f>
        <v>Pass</v>
      </c>
    </row>
    <row r="1030" spans="1:9" x14ac:dyDescent="0.2">
      <c r="A1030" t="str">
        <f>Controls_Raw!A1030</f>
        <v>CTRL-1026</v>
      </c>
      <c r="B1030" t="str">
        <f>IF(COUNTIF(Controls_Raw!$A$5:$A$1504,A1030)&gt;1,"Duplicate","OK")</f>
        <v>OK</v>
      </c>
      <c r="C1030" t="str">
        <f>IF(LEN(TRIM(Controls_Raw!I1030))=0,"Missing","OK")</f>
        <v>OK</v>
      </c>
      <c r="D1030" t="str">
        <f>IF(LEN(TRIM(Controls_Raw!N1030))=0,"Missing","OK")</f>
        <v>OK</v>
      </c>
      <c r="E1030" t="str">
        <f>IF(OR(Controls_Raw!G1030="USA",Controls_Raw!G1030="UK"),"Standardize","OK")</f>
        <v>Standardize</v>
      </c>
      <c r="F1030" t="str">
        <f>IF(Controls_Raw!E1030&lt;&gt;TRIM(Controls_Raw!E1030),"Trim","OK")</f>
        <v>OK</v>
      </c>
      <c r="G1030" t="str">
        <f>IF(AND(Controls_Raw!L1030&lt;DATE(2026,9,30),Controls_Raw!M1030&lt;&gt;"Completed"),"Overdue","OK")</f>
        <v>Overdue</v>
      </c>
      <c r="H1030" t="str">
        <f>IF(AND(Controls_Raw!Q1030&lt;DATE(2026,9,30),Controls_Raw!R1030&lt;&gt;"Completed",Controls_Raw!R1030&lt;&gt;"Not Required"),"Overdue","OK")</f>
        <v>Overdue</v>
      </c>
      <c r="I1030" t="str">
        <f t="shared" si="16"/>
        <v>Issue</v>
      </c>
    </row>
    <row r="1031" spans="1:9" x14ac:dyDescent="0.2">
      <c r="A1031" t="str">
        <f>Controls_Raw!A1031</f>
        <v>CTRL-1027</v>
      </c>
      <c r="B1031" t="str">
        <f>IF(COUNTIF(Controls_Raw!$A$5:$A$1504,A1031)&gt;1,"Duplicate","OK")</f>
        <v>OK</v>
      </c>
      <c r="C1031" t="str">
        <f>IF(LEN(TRIM(Controls_Raw!I1031))=0,"Missing","OK")</f>
        <v>OK</v>
      </c>
      <c r="D1031" t="str">
        <f>IF(LEN(TRIM(Controls_Raw!N1031))=0,"Missing","OK")</f>
        <v>OK</v>
      </c>
      <c r="E1031" t="str">
        <f>IF(OR(Controls_Raw!G1031="USA",Controls_Raw!G1031="UK"),"Standardize","OK")</f>
        <v>OK</v>
      </c>
      <c r="F1031" t="str">
        <f>IF(Controls_Raw!E1031&lt;&gt;TRIM(Controls_Raw!E1031),"Trim","OK")</f>
        <v>OK</v>
      </c>
      <c r="G1031" t="str">
        <f>IF(AND(Controls_Raw!L1031&lt;DATE(2026,9,30),Controls_Raw!M1031&lt;&gt;"Completed"),"Overdue","OK")</f>
        <v>OK</v>
      </c>
      <c r="H1031" t="str">
        <f>IF(AND(Controls_Raw!Q1031&lt;DATE(2026,9,30),Controls_Raw!R1031&lt;&gt;"Completed",Controls_Raw!R1031&lt;&gt;"Not Required"),"Overdue","OK")</f>
        <v>Overdue</v>
      </c>
      <c r="I1031" t="str">
        <f t="shared" si="16"/>
        <v>Issue</v>
      </c>
    </row>
    <row r="1032" spans="1:9" x14ac:dyDescent="0.2">
      <c r="A1032" t="str">
        <f>Controls_Raw!A1032</f>
        <v>CTRL-1028</v>
      </c>
      <c r="B1032" t="str">
        <f>IF(COUNTIF(Controls_Raw!$A$5:$A$1504,A1032)&gt;1,"Duplicate","OK")</f>
        <v>OK</v>
      </c>
      <c r="C1032" t="str">
        <f>IF(LEN(TRIM(Controls_Raw!I1032))=0,"Missing","OK")</f>
        <v>OK</v>
      </c>
      <c r="D1032" t="str">
        <f>IF(LEN(TRIM(Controls_Raw!N1032))=0,"Missing","OK")</f>
        <v>OK</v>
      </c>
      <c r="E1032" t="str">
        <f>IF(OR(Controls_Raw!G1032="USA",Controls_Raw!G1032="UK"),"Standardize","OK")</f>
        <v>OK</v>
      </c>
      <c r="F1032" t="str">
        <f>IF(Controls_Raw!E1032&lt;&gt;TRIM(Controls_Raw!E1032),"Trim","OK")</f>
        <v>OK</v>
      </c>
      <c r="G1032" t="str">
        <f>IF(AND(Controls_Raw!L1032&lt;DATE(2026,9,30),Controls_Raw!M1032&lt;&gt;"Completed"),"Overdue","OK")</f>
        <v>Overdue</v>
      </c>
      <c r="H1032" t="str">
        <f>IF(AND(Controls_Raw!Q1032&lt;DATE(2026,9,30),Controls_Raw!R1032&lt;&gt;"Completed",Controls_Raw!R1032&lt;&gt;"Not Required"),"Overdue","OK")</f>
        <v>Overdue</v>
      </c>
      <c r="I1032" t="str">
        <f t="shared" si="16"/>
        <v>Issue</v>
      </c>
    </row>
    <row r="1033" spans="1:9" x14ac:dyDescent="0.2">
      <c r="A1033" t="str">
        <f>Controls_Raw!A1033</f>
        <v>CTRL-1029</v>
      </c>
      <c r="B1033" t="str">
        <f>IF(COUNTIF(Controls_Raw!$A$5:$A$1504,A1033)&gt;1,"Duplicate","OK")</f>
        <v>OK</v>
      </c>
      <c r="C1033" t="str">
        <f>IF(LEN(TRIM(Controls_Raw!I1033))=0,"Missing","OK")</f>
        <v>OK</v>
      </c>
      <c r="D1033" t="str">
        <f>IF(LEN(TRIM(Controls_Raw!N1033))=0,"Missing","OK")</f>
        <v>OK</v>
      </c>
      <c r="E1033" t="str">
        <f>IF(OR(Controls_Raw!G1033="USA",Controls_Raw!G1033="UK"),"Standardize","OK")</f>
        <v>OK</v>
      </c>
      <c r="F1033" t="str">
        <f>IF(Controls_Raw!E1033&lt;&gt;TRIM(Controls_Raw!E1033),"Trim","OK")</f>
        <v>OK</v>
      </c>
      <c r="G1033" t="str">
        <f>IF(AND(Controls_Raw!L1033&lt;DATE(2026,9,30),Controls_Raw!M1033&lt;&gt;"Completed"),"Overdue","OK")</f>
        <v>OK</v>
      </c>
      <c r="H1033" t="str">
        <f>IF(AND(Controls_Raw!Q1033&lt;DATE(2026,9,30),Controls_Raw!R1033&lt;&gt;"Completed",Controls_Raw!R1033&lt;&gt;"Not Required"),"Overdue","OK")</f>
        <v>Overdue</v>
      </c>
      <c r="I1033" t="str">
        <f t="shared" si="16"/>
        <v>Issue</v>
      </c>
    </row>
    <row r="1034" spans="1:9" x14ac:dyDescent="0.2">
      <c r="A1034" t="str">
        <f>Controls_Raw!A1034</f>
        <v>CTRL-1030</v>
      </c>
      <c r="B1034" t="str">
        <f>IF(COUNTIF(Controls_Raw!$A$5:$A$1504,A1034)&gt;1,"Duplicate","OK")</f>
        <v>OK</v>
      </c>
      <c r="C1034" t="str">
        <f>IF(LEN(TRIM(Controls_Raw!I1034))=0,"Missing","OK")</f>
        <v>OK</v>
      </c>
      <c r="D1034" t="str">
        <f>IF(LEN(TRIM(Controls_Raw!N1034))=0,"Missing","OK")</f>
        <v>OK</v>
      </c>
      <c r="E1034" t="str">
        <f>IF(OR(Controls_Raw!G1034="USA",Controls_Raw!G1034="UK"),"Standardize","OK")</f>
        <v>OK</v>
      </c>
      <c r="F1034" t="str">
        <f>IF(Controls_Raw!E1034&lt;&gt;TRIM(Controls_Raw!E1034),"Trim","OK")</f>
        <v>OK</v>
      </c>
      <c r="G1034" t="str">
        <f>IF(AND(Controls_Raw!L1034&lt;DATE(2026,9,30),Controls_Raw!M1034&lt;&gt;"Completed"),"Overdue","OK")</f>
        <v>Overdue</v>
      </c>
      <c r="H1034" t="str">
        <f>IF(AND(Controls_Raw!Q1034&lt;DATE(2026,9,30),Controls_Raw!R1034&lt;&gt;"Completed",Controls_Raw!R1034&lt;&gt;"Not Required"),"Overdue","OK")</f>
        <v>OK</v>
      </c>
      <c r="I1034" t="str">
        <f t="shared" si="16"/>
        <v>Issue</v>
      </c>
    </row>
    <row r="1035" spans="1:9" x14ac:dyDescent="0.2">
      <c r="A1035" t="str">
        <f>Controls_Raw!A1035</f>
        <v>CTRL-1031</v>
      </c>
      <c r="B1035" t="str">
        <f>IF(COUNTIF(Controls_Raw!$A$5:$A$1504,A1035)&gt;1,"Duplicate","OK")</f>
        <v>OK</v>
      </c>
      <c r="C1035" t="str">
        <f>IF(LEN(TRIM(Controls_Raw!I1035))=0,"Missing","OK")</f>
        <v>OK</v>
      </c>
      <c r="D1035" t="str">
        <f>IF(LEN(TRIM(Controls_Raw!N1035))=0,"Missing","OK")</f>
        <v>OK</v>
      </c>
      <c r="E1035" t="str">
        <f>IF(OR(Controls_Raw!G1035="USA",Controls_Raw!G1035="UK"),"Standardize","OK")</f>
        <v>OK</v>
      </c>
      <c r="F1035" t="str">
        <f>IF(Controls_Raw!E1035&lt;&gt;TRIM(Controls_Raw!E1035),"Trim","OK")</f>
        <v>OK</v>
      </c>
      <c r="G1035" t="str">
        <f>IF(AND(Controls_Raw!L1035&lt;DATE(2026,9,30),Controls_Raw!M1035&lt;&gt;"Completed"),"Overdue","OK")</f>
        <v>OK</v>
      </c>
      <c r="H1035" t="str">
        <f>IF(AND(Controls_Raw!Q1035&lt;DATE(2026,9,30),Controls_Raw!R1035&lt;&gt;"Completed",Controls_Raw!R1035&lt;&gt;"Not Required"),"Overdue","OK")</f>
        <v>Overdue</v>
      </c>
      <c r="I1035" t="str">
        <f t="shared" si="16"/>
        <v>Issue</v>
      </c>
    </row>
    <row r="1036" spans="1:9" x14ac:dyDescent="0.2">
      <c r="A1036" t="str">
        <f>Controls_Raw!A1036</f>
        <v>CTRL-1032</v>
      </c>
      <c r="B1036" t="str">
        <f>IF(COUNTIF(Controls_Raw!$A$5:$A$1504,A1036)&gt;1,"Duplicate","OK")</f>
        <v>OK</v>
      </c>
      <c r="C1036" t="str">
        <f>IF(LEN(TRIM(Controls_Raw!I1036))=0,"Missing","OK")</f>
        <v>OK</v>
      </c>
      <c r="D1036" t="str">
        <f>IF(LEN(TRIM(Controls_Raw!N1036))=0,"Missing","OK")</f>
        <v>OK</v>
      </c>
      <c r="E1036" t="str">
        <f>IF(OR(Controls_Raw!G1036="USA",Controls_Raw!G1036="UK"),"Standardize","OK")</f>
        <v>OK</v>
      </c>
      <c r="F1036" t="str">
        <f>IF(Controls_Raw!E1036&lt;&gt;TRIM(Controls_Raw!E1036),"Trim","OK")</f>
        <v>OK</v>
      </c>
      <c r="G1036" t="str">
        <f>IF(AND(Controls_Raw!L1036&lt;DATE(2026,9,30),Controls_Raw!M1036&lt;&gt;"Completed"),"Overdue","OK")</f>
        <v>Overdue</v>
      </c>
      <c r="H1036" t="str">
        <f>IF(AND(Controls_Raw!Q1036&lt;DATE(2026,9,30),Controls_Raw!R1036&lt;&gt;"Completed",Controls_Raw!R1036&lt;&gt;"Not Required"),"Overdue","OK")</f>
        <v>OK</v>
      </c>
      <c r="I1036" t="str">
        <f t="shared" si="16"/>
        <v>Issue</v>
      </c>
    </row>
    <row r="1037" spans="1:9" x14ac:dyDescent="0.2">
      <c r="A1037" t="str">
        <f>Controls_Raw!A1037</f>
        <v>CTRL-1033</v>
      </c>
      <c r="B1037" t="str">
        <f>IF(COUNTIF(Controls_Raw!$A$5:$A$1504,A1037)&gt;1,"Duplicate","OK")</f>
        <v>OK</v>
      </c>
      <c r="C1037" t="str">
        <f>IF(LEN(TRIM(Controls_Raw!I1037))=0,"Missing","OK")</f>
        <v>OK</v>
      </c>
      <c r="D1037" t="str">
        <f>IF(LEN(TRIM(Controls_Raw!N1037))=0,"Missing","OK")</f>
        <v>OK</v>
      </c>
      <c r="E1037" t="str">
        <f>IF(OR(Controls_Raw!G1037="USA",Controls_Raw!G1037="UK"),"Standardize","OK")</f>
        <v>OK</v>
      </c>
      <c r="F1037" t="str">
        <f>IF(Controls_Raw!E1037&lt;&gt;TRIM(Controls_Raw!E1037),"Trim","OK")</f>
        <v>OK</v>
      </c>
      <c r="G1037" t="str">
        <f>IF(AND(Controls_Raw!L1037&lt;DATE(2026,9,30),Controls_Raw!M1037&lt;&gt;"Completed"),"Overdue","OK")</f>
        <v>Overdue</v>
      </c>
      <c r="H1037" t="str">
        <f>IF(AND(Controls_Raw!Q1037&lt;DATE(2026,9,30),Controls_Raw!R1037&lt;&gt;"Completed",Controls_Raw!R1037&lt;&gt;"Not Required"),"Overdue","OK")</f>
        <v>Overdue</v>
      </c>
      <c r="I1037" t="str">
        <f t="shared" si="16"/>
        <v>Issue</v>
      </c>
    </row>
    <row r="1038" spans="1:9" x14ac:dyDescent="0.2">
      <c r="A1038" t="str">
        <f>Controls_Raw!A1038</f>
        <v>CTRL-1034</v>
      </c>
      <c r="B1038" t="str">
        <f>IF(COUNTIF(Controls_Raw!$A$5:$A$1504,A1038)&gt;1,"Duplicate","OK")</f>
        <v>OK</v>
      </c>
      <c r="C1038" t="str">
        <f>IF(LEN(TRIM(Controls_Raw!I1038))=0,"Missing","OK")</f>
        <v>OK</v>
      </c>
      <c r="D1038" t="str">
        <f>IF(LEN(TRIM(Controls_Raw!N1038))=0,"Missing","OK")</f>
        <v>OK</v>
      </c>
      <c r="E1038" t="str">
        <f>IF(OR(Controls_Raw!G1038="USA",Controls_Raw!G1038="UK"),"Standardize","OK")</f>
        <v>OK</v>
      </c>
      <c r="F1038" t="str">
        <f>IF(Controls_Raw!E1038&lt;&gt;TRIM(Controls_Raw!E1038),"Trim","OK")</f>
        <v>OK</v>
      </c>
      <c r="G1038" t="str">
        <f>IF(AND(Controls_Raw!L1038&lt;DATE(2026,9,30),Controls_Raw!M1038&lt;&gt;"Completed"),"Overdue","OK")</f>
        <v>OK</v>
      </c>
      <c r="H1038" t="str">
        <f>IF(AND(Controls_Raw!Q1038&lt;DATE(2026,9,30),Controls_Raw!R1038&lt;&gt;"Completed",Controls_Raw!R1038&lt;&gt;"Not Required"),"Overdue","OK")</f>
        <v>OK</v>
      </c>
      <c r="I1038" t="str">
        <f t="shared" si="16"/>
        <v>Pass</v>
      </c>
    </row>
    <row r="1039" spans="1:9" x14ac:dyDescent="0.2">
      <c r="A1039" t="str">
        <f>Controls_Raw!A1039</f>
        <v>CTRL-1035</v>
      </c>
      <c r="B1039" t="str">
        <f>IF(COUNTIF(Controls_Raw!$A$5:$A$1504,A1039)&gt;1,"Duplicate","OK")</f>
        <v>OK</v>
      </c>
      <c r="C1039" t="str">
        <f>IF(LEN(TRIM(Controls_Raw!I1039))=0,"Missing","OK")</f>
        <v>Missing</v>
      </c>
      <c r="D1039" t="str">
        <f>IF(LEN(TRIM(Controls_Raw!N1039))=0,"Missing","OK")</f>
        <v>OK</v>
      </c>
      <c r="E1039" t="str">
        <f>IF(OR(Controls_Raw!G1039="USA",Controls_Raw!G1039="UK"),"Standardize","OK")</f>
        <v>OK</v>
      </c>
      <c r="F1039" t="str">
        <f>IF(Controls_Raw!E1039&lt;&gt;TRIM(Controls_Raw!E1039),"Trim","OK")</f>
        <v>OK</v>
      </c>
      <c r="G1039" t="str">
        <f>IF(AND(Controls_Raw!L1039&lt;DATE(2026,9,30),Controls_Raw!M1039&lt;&gt;"Completed"),"Overdue","OK")</f>
        <v>Overdue</v>
      </c>
      <c r="H1039" t="str">
        <f>IF(AND(Controls_Raw!Q1039&lt;DATE(2026,9,30),Controls_Raw!R1039&lt;&gt;"Completed",Controls_Raw!R1039&lt;&gt;"Not Required"),"Overdue","OK")</f>
        <v>OK</v>
      </c>
      <c r="I1039" t="str">
        <f t="shared" si="16"/>
        <v>Issue</v>
      </c>
    </row>
    <row r="1040" spans="1:9" x14ac:dyDescent="0.2">
      <c r="A1040" t="str">
        <f>Controls_Raw!A1040</f>
        <v>CTRL-1036</v>
      </c>
      <c r="B1040" t="str">
        <f>IF(COUNTIF(Controls_Raw!$A$5:$A$1504,A1040)&gt;1,"Duplicate","OK")</f>
        <v>OK</v>
      </c>
      <c r="C1040" t="str">
        <f>IF(LEN(TRIM(Controls_Raw!I1040))=0,"Missing","OK")</f>
        <v>OK</v>
      </c>
      <c r="D1040" t="str">
        <f>IF(LEN(TRIM(Controls_Raw!N1040))=0,"Missing","OK")</f>
        <v>OK</v>
      </c>
      <c r="E1040" t="str">
        <f>IF(OR(Controls_Raw!G1040="USA",Controls_Raw!G1040="UK"),"Standardize","OK")</f>
        <v>OK</v>
      </c>
      <c r="F1040" t="str">
        <f>IF(Controls_Raw!E1040&lt;&gt;TRIM(Controls_Raw!E1040),"Trim","OK")</f>
        <v>OK</v>
      </c>
      <c r="G1040" t="str">
        <f>IF(AND(Controls_Raw!L1040&lt;DATE(2026,9,30),Controls_Raw!M1040&lt;&gt;"Completed"),"Overdue","OK")</f>
        <v>Overdue</v>
      </c>
      <c r="H1040" t="str">
        <f>IF(AND(Controls_Raw!Q1040&lt;DATE(2026,9,30),Controls_Raw!R1040&lt;&gt;"Completed",Controls_Raw!R1040&lt;&gt;"Not Required"),"Overdue","OK")</f>
        <v>Overdue</v>
      </c>
      <c r="I1040" t="str">
        <f t="shared" si="16"/>
        <v>Issue</v>
      </c>
    </row>
    <row r="1041" spans="1:9" x14ac:dyDescent="0.2">
      <c r="A1041" t="str">
        <f>Controls_Raw!A1041</f>
        <v>CTRL-1037</v>
      </c>
      <c r="B1041" t="str">
        <f>IF(COUNTIF(Controls_Raw!$A$5:$A$1504,A1041)&gt;1,"Duplicate","OK")</f>
        <v>OK</v>
      </c>
      <c r="C1041" t="str">
        <f>IF(LEN(TRIM(Controls_Raw!I1041))=0,"Missing","OK")</f>
        <v>OK</v>
      </c>
      <c r="D1041" t="str">
        <f>IF(LEN(TRIM(Controls_Raw!N1041))=0,"Missing","OK")</f>
        <v>OK</v>
      </c>
      <c r="E1041" t="str">
        <f>IF(OR(Controls_Raw!G1041="USA",Controls_Raw!G1041="UK"),"Standardize","OK")</f>
        <v>OK</v>
      </c>
      <c r="F1041" t="str">
        <f>IF(Controls_Raw!E1041&lt;&gt;TRIM(Controls_Raw!E1041),"Trim","OK")</f>
        <v>OK</v>
      </c>
      <c r="G1041" t="str">
        <f>IF(AND(Controls_Raw!L1041&lt;DATE(2026,9,30),Controls_Raw!M1041&lt;&gt;"Completed"),"Overdue","OK")</f>
        <v>Overdue</v>
      </c>
      <c r="H1041" t="str">
        <f>IF(AND(Controls_Raw!Q1041&lt;DATE(2026,9,30),Controls_Raw!R1041&lt;&gt;"Completed",Controls_Raw!R1041&lt;&gt;"Not Required"),"Overdue","OK")</f>
        <v>Overdue</v>
      </c>
      <c r="I1041" t="str">
        <f t="shared" si="16"/>
        <v>Issue</v>
      </c>
    </row>
    <row r="1042" spans="1:9" x14ac:dyDescent="0.2">
      <c r="A1042" t="str">
        <f>Controls_Raw!A1042</f>
        <v>CTRL-1038</v>
      </c>
      <c r="B1042" t="str">
        <f>IF(COUNTIF(Controls_Raw!$A$5:$A$1504,A1042)&gt;1,"Duplicate","OK")</f>
        <v>OK</v>
      </c>
      <c r="C1042" t="str">
        <f>IF(LEN(TRIM(Controls_Raw!I1042))=0,"Missing","OK")</f>
        <v>OK</v>
      </c>
      <c r="D1042" t="str">
        <f>IF(LEN(TRIM(Controls_Raw!N1042))=0,"Missing","OK")</f>
        <v>OK</v>
      </c>
      <c r="E1042" t="str">
        <f>IF(OR(Controls_Raw!G1042="USA",Controls_Raw!G1042="UK"),"Standardize","OK")</f>
        <v>OK</v>
      </c>
      <c r="F1042" t="str">
        <f>IF(Controls_Raw!E1042&lt;&gt;TRIM(Controls_Raw!E1042),"Trim","OK")</f>
        <v>OK</v>
      </c>
      <c r="G1042" t="str">
        <f>IF(AND(Controls_Raw!L1042&lt;DATE(2026,9,30),Controls_Raw!M1042&lt;&gt;"Completed"),"Overdue","OK")</f>
        <v>Overdue</v>
      </c>
      <c r="H1042" t="str">
        <f>IF(AND(Controls_Raw!Q1042&lt;DATE(2026,9,30),Controls_Raw!R1042&lt;&gt;"Completed",Controls_Raw!R1042&lt;&gt;"Not Required"),"Overdue","OK")</f>
        <v>OK</v>
      </c>
      <c r="I1042" t="str">
        <f t="shared" si="16"/>
        <v>Issue</v>
      </c>
    </row>
    <row r="1043" spans="1:9" x14ac:dyDescent="0.2">
      <c r="A1043" t="str">
        <f>Controls_Raw!A1043</f>
        <v>CTRL-1039</v>
      </c>
      <c r="B1043" t="str">
        <f>IF(COUNTIF(Controls_Raw!$A$5:$A$1504,A1043)&gt;1,"Duplicate","OK")</f>
        <v>OK</v>
      </c>
      <c r="C1043" t="str">
        <f>IF(LEN(TRIM(Controls_Raw!I1043))=0,"Missing","OK")</f>
        <v>OK</v>
      </c>
      <c r="D1043" t="str">
        <f>IF(LEN(TRIM(Controls_Raw!N1043))=0,"Missing","OK")</f>
        <v>OK</v>
      </c>
      <c r="E1043" t="str">
        <f>IF(OR(Controls_Raw!G1043="USA",Controls_Raw!G1043="UK"),"Standardize","OK")</f>
        <v>OK</v>
      </c>
      <c r="F1043" t="str">
        <f>IF(Controls_Raw!E1043&lt;&gt;TRIM(Controls_Raw!E1043),"Trim","OK")</f>
        <v>OK</v>
      </c>
      <c r="G1043" t="str">
        <f>IF(AND(Controls_Raw!L1043&lt;DATE(2026,9,30),Controls_Raw!M1043&lt;&gt;"Completed"),"Overdue","OK")</f>
        <v>Overdue</v>
      </c>
      <c r="H1043" t="str">
        <f>IF(AND(Controls_Raw!Q1043&lt;DATE(2026,9,30),Controls_Raw!R1043&lt;&gt;"Completed",Controls_Raw!R1043&lt;&gt;"Not Required"),"Overdue","OK")</f>
        <v>OK</v>
      </c>
      <c r="I1043" t="str">
        <f t="shared" si="16"/>
        <v>Issue</v>
      </c>
    </row>
    <row r="1044" spans="1:9" x14ac:dyDescent="0.2">
      <c r="A1044" t="str">
        <f>Controls_Raw!A1044</f>
        <v>CTRL-1040</v>
      </c>
      <c r="B1044" t="str">
        <f>IF(COUNTIF(Controls_Raw!$A$5:$A$1504,A1044)&gt;1,"Duplicate","OK")</f>
        <v>OK</v>
      </c>
      <c r="C1044" t="str">
        <f>IF(LEN(TRIM(Controls_Raw!I1044))=0,"Missing","OK")</f>
        <v>OK</v>
      </c>
      <c r="D1044" t="str">
        <f>IF(LEN(TRIM(Controls_Raw!N1044))=0,"Missing","OK")</f>
        <v>OK</v>
      </c>
      <c r="E1044" t="str">
        <f>IF(OR(Controls_Raw!G1044="USA",Controls_Raw!G1044="UK"),"Standardize","OK")</f>
        <v>OK</v>
      </c>
      <c r="F1044" t="str">
        <f>IF(Controls_Raw!E1044&lt;&gt;TRIM(Controls_Raw!E1044),"Trim","OK")</f>
        <v>OK</v>
      </c>
      <c r="G1044" t="str">
        <f>IF(AND(Controls_Raw!L1044&lt;DATE(2026,9,30),Controls_Raw!M1044&lt;&gt;"Completed"),"Overdue","OK")</f>
        <v>Overdue</v>
      </c>
      <c r="H1044" t="str">
        <f>IF(AND(Controls_Raw!Q1044&lt;DATE(2026,9,30),Controls_Raw!R1044&lt;&gt;"Completed",Controls_Raw!R1044&lt;&gt;"Not Required"),"Overdue","OK")</f>
        <v>Overdue</v>
      </c>
      <c r="I1044" t="str">
        <f t="shared" si="16"/>
        <v>Issue</v>
      </c>
    </row>
    <row r="1045" spans="1:9" x14ac:dyDescent="0.2">
      <c r="A1045" t="str">
        <f>Controls_Raw!A1045</f>
        <v>CTRL-1041</v>
      </c>
      <c r="B1045" t="str">
        <f>IF(COUNTIF(Controls_Raw!$A$5:$A$1504,A1045)&gt;1,"Duplicate","OK")</f>
        <v>OK</v>
      </c>
      <c r="C1045" t="str">
        <f>IF(LEN(TRIM(Controls_Raw!I1045))=0,"Missing","OK")</f>
        <v>OK</v>
      </c>
      <c r="D1045" t="str">
        <f>IF(LEN(TRIM(Controls_Raw!N1045))=0,"Missing","OK")</f>
        <v>OK</v>
      </c>
      <c r="E1045" t="str">
        <f>IF(OR(Controls_Raw!G1045="USA",Controls_Raw!G1045="UK"),"Standardize","OK")</f>
        <v>OK</v>
      </c>
      <c r="F1045" t="str">
        <f>IF(Controls_Raw!E1045&lt;&gt;TRIM(Controls_Raw!E1045),"Trim","OK")</f>
        <v>OK</v>
      </c>
      <c r="G1045" t="str">
        <f>IF(AND(Controls_Raw!L1045&lt;DATE(2026,9,30),Controls_Raw!M1045&lt;&gt;"Completed"),"Overdue","OK")</f>
        <v>Overdue</v>
      </c>
      <c r="H1045" t="str">
        <f>IF(AND(Controls_Raw!Q1045&lt;DATE(2026,9,30),Controls_Raw!R1045&lt;&gt;"Completed",Controls_Raw!R1045&lt;&gt;"Not Required"),"Overdue","OK")</f>
        <v>Overdue</v>
      </c>
      <c r="I1045" t="str">
        <f t="shared" si="16"/>
        <v>Issue</v>
      </c>
    </row>
    <row r="1046" spans="1:9" x14ac:dyDescent="0.2">
      <c r="A1046" t="str">
        <f>Controls_Raw!A1046</f>
        <v>CTRL-1042</v>
      </c>
      <c r="B1046" t="str">
        <f>IF(COUNTIF(Controls_Raw!$A$5:$A$1504,A1046)&gt;1,"Duplicate","OK")</f>
        <v>OK</v>
      </c>
      <c r="C1046" t="str">
        <f>IF(LEN(TRIM(Controls_Raw!I1046))=0,"Missing","OK")</f>
        <v>OK</v>
      </c>
      <c r="D1046" t="str">
        <f>IF(LEN(TRIM(Controls_Raw!N1046))=0,"Missing","OK")</f>
        <v>OK</v>
      </c>
      <c r="E1046" t="str">
        <f>IF(OR(Controls_Raw!G1046="USA",Controls_Raw!G1046="UK"),"Standardize","OK")</f>
        <v>OK</v>
      </c>
      <c r="F1046" t="str">
        <f>IF(Controls_Raw!E1046&lt;&gt;TRIM(Controls_Raw!E1046),"Trim","OK")</f>
        <v>OK</v>
      </c>
      <c r="G1046" t="str">
        <f>IF(AND(Controls_Raw!L1046&lt;DATE(2026,9,30),Controls_Raw!M1046&lt;&gt;"Completed"),"Overdue","OK")</f>
        <v>Overdue</v>
      </c>
      <c r="H1046" t="str">
        <f>IF(AND(Controls_Raw!Q1046&lt;DATE(2026,9,30),Controls_Raw!R1046&lt;&gt;"Completed",Controls_Raw!R1046&lt;&gt;"Not Required"),"Overdue","OK")</f>
        <v>OK</v>
      </c>
      <c r="I1046" t="str">
        <f t="shared" si="16"/>
        <v>Issue</v>
      </c>
    </row>
    <row r="1047" spans="1:9" x14ac:dyDescent="0.2">
      <c r="A1047" t="str">
        <f>Controls_Raw!A1047</f>
        <v>CTRL-1043</v>
      </c>
      <c r="B1047" t="str">
        <f>IF(COUNTIF(Controls_Raw!$A$5:$A$1504,A1047)&gt;1,"Duplicate","OK")</f>
        <v>OK</v>
      </c>
      <c r="C1047" t="str">
        <f>IF(LEN(TRIM(Controls_Raw!I1047))=0,"Missing","OK")</f>
        <v>OK</v>
      </c>
      <c r="D1047" t="str">
        <f>IF(LEN(TRIM(Controls_Raw!N1047))=0,"Missing","OK")</f>
        <v>OK</v>
      </c>
      <c r="E1047" t="str">
        <f>IF(OR(Controls_Raw!G1047="USA",Controls_Raw!G1047="UK"),"Standardize","OK")</f>
        <v>OK</v>
      </c>
      <c r="F1047" t="str">
        <f>IF(Controls_Raw!E1047&lt;&gt;TRIM(Controls_Raw!E1047),"Trim","OK")</f>
        <v>OK</v>
      </c>
      <c r="G1047" t="str">
        <f>IF(AND(Controls_Raw!L1047&lt;DATE(2026,9,30),Controls_Raw!M1047&lt;&gt;"Completed"),"Overdue","OK")</f>
        <v>Overdue</v>
      </c>
      <c r="H1047" t="str">
        <f>IF(AND(Controls_Raw!Q1047&lt;DATE(2026,9,30),Controls_Raw!R1047&lt;&gt;"Completed",Controls_Raw!R1047&lt;&gt;"Not Required"),"Overdue","OK")</f>
        <v>Overdue</v>
      </c>
      <c r="I1047" t="str">
        <f t="shared" si="16"/>
        <v>Issue</v>
      </c>
    </row>
    <row r="1048" spans="1:9" x14ac:dyDescent="0.2">
      <c r="A1048" t="str">
        <f>Controls_Raw!A1048</f>
        <v>CTRL-1044</v>
      </c>
      <c r="B1048" t="str">
        <f>IF(COUNTIF(Controls_Raw!$A$5:$A$1504,A1048)&gt;1,"Duplicate","OK")</f>
        <v>OK</v>
      </c>
      <c r="C1048" t="str">
        <f>IF(LEN(TRIM(Controls_Raw!I1048))=0,"Missing","OK")</f>
        <v>OK</v>
      </c>
      <c r="D1048" t="str">
        <f>IF(LEN(TRIM(Controls_Raw!N1048))=0,"Missing","OK")</f>
        <v>OK</v>
      </c>
      <c r="E1048" t="str">
        <f>IF(OR(Controls_Raw!G1048="USA",Controls_Raw!G1048="UK"),"Standardize","OK")</f>
        <v>OK</v>
      </c>
      <c r="F1048" t="str">
        <f>IF(Controls_Raw!E1048&lt;&gt;TRIM(Controls_Raw!E1048),"Trim","OK")</f>
        <v>OK</v>
      </c>
      <c r="G1048" t="str">
        <f>IF(AND(Controls_Raw!L1048&lt;DATE(2026,9,30),Controls_Raw!M1048&lt;&gt;"Completed"),"Overdue","OK")</f>
        <v>Overdue</v>
      </c>
      <c r="H1048" t="str">
        <f>IF(AND(Controls_Raw!Q1048&lt;DATE(2026,9,30),Controls_Raw!R1048&lt;&gt;"Completed",Controls_Raw!R1048&lt;&gt;"Not Required"),"Overdue","OK")</f>
        <v>OK</v>
      </c>
      <c r="I1048" t="str">
        <f t="shared" si="16"/>
        <v>Issue</v>
      </c>
    </row>
    <row r="1049" spans="1:9" x14ac:dyDescent="0.2">
      <c r="A1049" t="str">
        <f>Controls_Raw!A1049</f>
        <v>CTRL-1045</v>
      </c>
      <c r="B1049" t="str">
        <f>IF(COUNTIF(Controls_Raw!$A$5:$A$1504,A1049)&gt;1,"Duplicate","OK")</f>
        <v>OK</v>
      </c>
      <c r="C1049" t="str">
        <f>IF(LEN(TRIM(Controls_Raw!I1049))=0,"Missing","OK")</f>
        <v>OK</v>
      </c>
      <c r="D1049" t="str">
        <f>IF(LEN(TRIM(Controls_Raw!N1049))=0,"Missing","OK")</f>
        <v>OK</v>
      </c>
      <c r="E1049" t="str">
        <f>IF(OR(Controls_Raw!G1049="USA",Controls_Raw!G1049="UK"),"Standardize","OK")</f>
        <v>OK</v>
      </c>
      <c r="F1049" t="str">
        <f>IF(Controls_Raw!E1049&lt;&gt;TRIM(Controls_Raw!E1049),"Trim","OK")</f>
        <v>OK</v>
      </c>
      <c r="G1049" t="str">
        <f>IF(AND(Controls_Raw!L1049&lt;DATE(2026,9,30),Controls_Raw!M1049&lt;&gt;"Completed"),"Overdue","OK")</f>
        <v>Overdue</v>
      </c>
      <c r="H1049" t="str">
        <f>IF(AND(Controls_Raw!Q1049&lt;DATE(2026,9,30),Controls_Raw!R1049&lt;&gt;"Completed",Controls_Raw!R1049&lt;&gt;"Not Required"),"Overdue","OK")</f>
        <v>Overdue</v>
      </c>
      <c r="I1049" t="str">
        <f t="shared" si="16"/>
        <v>Issue</v>
      </c>
    </row>
    <row r="1050" spans="1:9" x14ac:dyDescent="0.2">
      <c r="A1050" t="str">
        <f>Controls_Raw!A1050</f>
        <v>CTRL-1046</v>
      </c>
      <c r="B1050" t="str">
        <f>IF(COUNTIF(Controls_Raw!$A$5:$A$1504,A1050)&gt;1,"Duplicate","OK")</f>
        <v>OK</v>
      </c>
      <c r="C1050" t="str">
        <f>IF(LEN(TRIM(Controls_Raw!I1050))=0,"Missing","OK")</f>
        <v>OK</v>
      </c>
      <c r="D1050" t="str">
        <f>IF(LEN(TRIM(Controls_Raw!N1050))=0,"Missing","OK")</f>
        <v>OK</v>
      </c>
      <c r="E1050" t="str">
        <f>IF(OR(Controls_Raw!G1050="USA",Controls_Raw!G1050="UK"),"Standardize","OK")</f>
        <v>OK</v>
      </c>
      <c r="F1050" t="str">
        <f>IF(Controls_Raw!E1050&lt;&gt;TRIM(Controls_Raw!E1050),"Trim","OK")</f>
        <v>OK</v>
      </c>
      <c r="G1050" t="str">
        <f>IF(AND(Controls_Raw!L1050&lt;DATE(2026,9,30),Controls_Raw!M1050&lt;&gt;"Completed"),"Overdue","OK")</f>
        <v>Overdue</v>
      </c>
      <c r="H1050" t="str">
        <f>IF(AND(Controls_Raw!Q1050&lt;DATE(2026,9,30),Controls_Raw!R1050&lt;&gt;"Completed",Controls_Raw!R1050&lt;&gt;"Not Required"),"Overdue","OK")</f>
        <v>OK</v>
      </c>
      <c r="I1050" t="str">
        <f t="shared" si="16"/>
        <v>Issue</v>
      </c>
    </row>
    <row r="1051" spans="1:9" x14ac:dyDescent="0.2">
      <c r="A1051" t="str">
        <f>Controls_Raw!A1051</f>
        <v>CTRL-1047</v>
      </c>
      <c r="B1051" t="str">
        <f>IF(COUNTIF(Controls_Raw!$A$5:$A$1504,A1051)&gt;1,"Duplicate","OK")</f>
        <v>OK</v>
      </c>
      <c r="C1051" t="str">
        <f>IF(LEN(TRIM(Controls_Raw!I1051))=0,"Missing","OK")</f>
        <v>OK</v>
      </c>
      <c r="D1051" t="str">
        <f>IF(LEN(TRIM(Controls_Raw!N1051))=0,"Missing","OK")</f>
        <v>OK</v>
      </c>
      <c r="E1051" t="str">
        <f>IF(OR(Controls_Raw!G1051="USA",Controls_Raw!G1051="UK"),"Standardize","OK")</f>
        <v>OK</v>
      </c>
      <c r="F1051" t="str">
        <f>IF(Controls_Raw!E1051&lt;&gt;TRIM(Controls_Raw!E1051),"Trim","OK")</f>
        <v>OK</v>
      </c>
      <c r="G1051" t="str">
        <f>IF(AND(Controls_Raw!L1051&lt;DATE(2026,9,30),Controls_Raw!M1051&lt;&gt;"Completed"),"Overdue","OK")</f>
        <v>Overdue</v>
      </c>
      <c r="H1051" t="str">
        <f>IF(AND(Controls_Raw!Q1051&lt;DATE(2026,9,30),Controls_Raw!R1051&lt;&gt;"Completed",Controls_Raw!R1051&lt;&gt;"Not Required"),"Overdue","OK")</f>
        <v>OK</v>
      </c>
      <c r="I1051" t="str">
        <f t="shared" si="16"/>
        <v>Issue</v>
      </c>
    </row>
    <row r="1052" spans="1:9" x14ac:dyDescent="0.2">
      <c r="A1052" t="str">
        <f>Controls_Raw!A1052</f>
        <v>CTRL-1048</v>
      </c>
      <c r="B1052" t="str">
        <f>IF(COUNTIF(Controls_Raw!$A$5:$A$1504,A1052)&gt;1,"Duplicate","OK")</f>
        <v>OK</v>
      </c>
      <c r="C1052" t="str">
        <f>IF(LEN(TRIM(Controls_Raw!I1052))=0,"Missing","OK")</f>
        <v>OK</v>
      </c>
      <c r="D1052" t="str">
        <f>IF(LEN(TRIM(Controls_Raw!N1052))=0,"Missing","OK")</f>
        <v>OK</v>
      </c>
      <c r="E1052" t="str">
        <f>IF(OR(Controls_Raw!G1052="USA",Controls_Raw!G1052="UK"),"Standardize","OK")</f>
        <v>OK</v>
      </c>
      <c r="F1052" t="str">
        <f>IF(Controls_Raw!E1052&lt;&gt;TRIM(Controls_Raw!E1052),"Trim","OK")</f>
        <v>OK</v>
      </c>
      <c r="G1052" t="str">
        <f>IF(AND(Controls_Raw!L1052&lt;DATE(2026,9,30),Controls_Raw!M1052&lt;&gt;"Completed"),"Overdue","OK")</f>
        <v>Overdue</v>
      </c>
      <c r="H1052" t="str">
        <f>IF(AND(Controls_Raw!Q1052&lt;DATE(2026,9,30),Controls_Raw!R1052&lt;&gt;"Completed",Controls_Raw!R1052&lt;&gt;"Not Required"),"Overdue","OK")</f>
        <v>OK</v>
      </c>
      <c r="I1052" t="str">
        <f t="shared" si="16"/>
        <v>Issue</v>
      </c>
    </row>
    <row r="1053" spans="1:9" x14ac:dyDescent="0.2">
      <c r="A1053" t="str">
        <f>Controls_Raw!A1053</f>
        <v>CTRL-1049</v>
      </c>
      <c r="B1053" t="str">
        <f>IF(COUNTIF(Controls_Raw!$A$5:$A$1504,A1053)&gt;1,"Duplicate","OK")</f>
        <v>OK</v>
      </c>
      <c r="C1053" t="str">
        <f>IF(LEN(TRIM(Controls_Raw!I1053))=0,"Missing","OK")</f>
        <v>OK</v>
      </c>
      <c r="D1053" t="str">
        <f>IF(LEN(TRIM(Controls_Raw!N1053))=0,"Missing","OK")</f>
        <v>OK</v>
      </c>
      <c r="E1053" t="str">
        <f>IF(OR(Controls_Raw!G1053="USA",Controls_Raw!G1053="UK"),"Standardize","OK")</f>
        <v>OK</v>
      </c>
      <c r="F1053" t="str">
        <f>IF(Controls_Raw!E1053&lt;&gt;TRIM(Controls_Raw!E1053),"Trim","OK")</f>
        <v>OK</v>
      </c>
      <c r="G1053" t="str">
        <f>IF(AND(Controls_Raw!L1053&lt;DATE(2026,9,30),Controls_Raw!M1053&lt;&gt;"Completed"),"Overdue","OK")</f>
        <v>OK</v>
      </c>
      <c r="H1053" t="str">
        <f>IF(AND(Controls_Raw!Q1053&lt;DATE(2026,9,30),Controls_Raw!R1053&lt;&gt;"Completed",Controls_Raw!R1053&lt;&gt;"Not Required"),"Overdue","OK")</f>
        <v>OK</v>
      </c>
      <c r="I1053" t="str">
        <f t="shared" si="16"/>
        <v>Pass</v>
      </c>
    </row>
    <row r="1054" spans="1:9" x14ac:dyDescent="0.2">
      <c r="A1054" t="str">
        <f>Controls_Raw!A1054</f>
        <v>CTRL-1050</v>
      </c>
      <c r="B1054" t="str">
        <f>IF(COUNTIF(Controls_Raw!$A$5:$A$1504,A1054)&gt;1,"Duplicate","OK")</f>
        <v>OK</v>
      </c>
      <c r="C1054" t="str">
        <f>IF(LEN(TRIM(Controls_Raw!I1054))=0,"Missing","OK")</f>
        <v>OK</v>
      </c>
      <c r="D1054" t="str">
        <f>IF(LEN(TRIM(Controls_Raw!N1054))=0,"Missing","OK")</f>
        <v>OK</v>
      </c>
      <c r="E1054" t="str">
        <f>IF(OR(Controls_Raw!G1054="USA",Controls_Raw!G1054="UK"),"Standardize","OK")</f>
        <v>OK</v>
      </c>
      <c r="F1054" t="str">
        <f>IF(Controls_Raw!E1054&lt;&gt;TRIM(Controls_Raw!E1054),"Trim","OK")</f>
        <v>OK</v>
      </c>
      <c r="G1054" t="str">
        <f>IF(AND(Controls_Raw!L1054&lt;DATE(2026,9,30),Controls_Raw!M1054&lt;&gt;"Completed"),"Overdue","OK")</f>
        <v>Overdue</v>
      </c>
      <c r="H1054" t="str">
        <f>IF(AND(Controls_Raw!Q1054&lt;DATE(2026,9,30),Controls_Raw!R1054&lt;&gt;"Completed",Controls_Raw!R1054&lt;&gt;"Not Required"),"Overdue","OK")</f>
        <v>OK</v>
      </c>
      <c r="I1054" t="str">
        <f t="shared" si="16"/>
        <v>Issue</v>
      </c>
    </row>
    <row r="1055" spans="1:9" x14ac:dyDescent="0.2">
      <c r="A1055" t="str">
        <f>Controls_Raw!A1055</f>
        <v>CTRL-1051</v>
      </c>
      <c r="B1055" t="str">
        <f>IF(COUNTIF(Controls_Raw!$A$5:$A$1504,A1055)&gt;1,"Duplicate","OK")</f>
        <v>OK</v>
      </c>
      <c r="C1055" t="str">
        <f>IF(LEN(TRIM(Controls_Raw!I1055))=0,"Missing","OK")</f>
        <v>OK</v>
      </c>
      <c r="D1055" t="str">
        <f>IF(LEN(TRIM(Controls_Raw!N1055))=0,"Missing","OK")</f>
        <v>OK</v>
      </c>
      <c r="E1055" t="str">
        <f>IF(OR(Controls_Raw!G1055="USA",Controls_Raw!G1055="UK"),"Standardize","OK")</f>
        <v>OK</v>
      </c>
      <c r="F1055" t="str">
        <f>IF(Controls_Raw!E1055&lt;&gt;TRIM(Controls_Raw!E1055),"Trim","OK")</f>
        <v>OK</v>
      </c>
      <c r="G1055" t="str">
        <f>IF(AND(Controls_Raw!L1055&lt;DATE(2026,9,30),Controls_Raw!M1055&lt;&gt;"Completed"),"Overdue","OK")</f>
        <v>OK</v>
      </c>
      <c r="H1055" t="str">
        <f>IF(AND(Controls_Raw!Q1055&lt;DATE(2026,9,30),Controls_Raw!R1055&lt;&gt;"Completed",Controls_Raw!R1055&lt;&gt;"Not Required"),"Overdue","OK")</f>
        <v>OK</v>
      </c>
      <c r="I1055" t="str">
        <f t="shared" si="16"/>
        <v>Pass</v>
      </c>
    </row>
    <row r="1056" spans="1:9" x14ac:dyDescent="0.2">
      <c r="A1056" t="str">
        <f>Controls_Raw!A1056</f>
        <v>CTRL-1052</v>
      </c>
      <c r="B1056" t="str">
        <f>IF(COUNTIF(Controls_Raw!$A$5:$A$1504,A1056)&gt;1,"Duplicate","OK")</f>
        <v>OK</v>
      </c>
      <c r="C1056" t="str">
        <f>IF(LEN(TRIM(Controls_Raw!I1056))=0,"Missing","OK")</f>
        <v>OK</v>
      </c>
      <c r="D1056" t="str">
        <f>IF(LEN(TRIM(Controls_Raw!N1056))=0,"Missing","OK")</f>
        <v>OK</v>
      </c>
      <c r="E1056" t="str">
        <f>IF(OR(Controls_Raw!G1056="USA",Controls_Raw!G1056="UK"),"Standardize","OK")</f>
        <v>OK</v>
      </c>
      <c r="F1056" t="str">
        <f>IF(Controls_Raw!E1056&lt;&gt;TRIM(Controls_Raw!E1056),"Trim","OK")</f>
        <v>OK</v>
      </c>
      <c r="G1056" t="str">
        <f>IF(AND(Controls_Raw!L1056&lt;DATE(2026,9,30),Controls_Raw!M1056&lt;&gt;"Completed"),"Overdue","OK")</f>
        <v>Overdue</v>
      </c>
      <c r="H1056" t="str">
        <f>IF(AND(Controls_Raw!Q1056&lt;DATE(2026,9,30),Controls_Raw!R1056&lt;&gt;"Completed",Controls_Raw!R1056&lt;&gt;"Not Required"),"Overdue","OK")</f>
        <v>OK</v>
      </c>
      <c r="I1056" t="str">
        <f t="shared" si="16"/>
        <v>Issue</v>
      </c>
    </row>
    <row r="1057" spans="1:9" x14ac:dyDescent="0.2">
      <c r="A1057" t="str">
        <f>Controls_Raw!A1057</f>
        <v>CTRL-1053</v>
      </c>
      <c r="B1057" t="str">
        <f>IF(COUNTIF(Controls_Raw!$A$5:$A$1504,A1057)&gt;1,"Duplicate","OK")</f>
        <v>OK</v>
      </c>
      <c r="C1057" t="str">
        <f>IF(LEN(TRIM(Controls_Raw!I1057))=0,"Missing","OK")</f>
        <v>OK</v>
      </c>
      <c r="D1057" t="str">
        <f>IF(LEN(TRIM(Controls_Raw!N1057))=0,"Missing","OK")</f>
        <v>OK</v>
      </c>
      <c r="E1057" t="str">
        <f>IF(OR(Controls_Raw!G1057="USA",Controls_Raw!G1057="UK"),"Standardize","OK")</f>
        <v>OK</v>
      </c>
      <c r="F1057" t="str">
        <f>IF(Controls_Raw!E1057&lt;&gt;TRIM(Controls_Raw!E1057),"Trim","OK")</f>
        <v>OK</v>
      </c>
      <c r="G1057" t="str">
        <f>IF(AND(Controls_Raw!L1057&lt;DATE(2026,9,30),Controls_Raw!M1057&lt;&gt;"Completed"),"Overdue","OK")</f>
        <v>Overdue</v>
      </c>
      <c r="H1057" t="str">
        <f>IF(AND(Controls_Raw!Q1057&lt;DATE(2026,9,30),Controls_Raw!R1057&lt;&gt;"Completed",Controls_Raw!R1057&lt;&gt;"Not Required"),"Overdue","OK")</f>
        <v>OK</v>
      </c>
      <c r="I1057" t="str">
        <f t="shared" si="16"/>
        <v>Issue</v>
      </c>
    </row>
    <row r="1058" spans="1:9" x14ac:dyDescent="0.2">
      <c r="A1058" t="str">
        <f>Controls_Raw!A1058</f>
        <v>CTRL-1054</v>
      </c>
      <c r="B1058" t="str">
        <f>IF(COUNTIF(Controls_Raw!$A$5:$A$1504,A1058)&gt;1,"Duplicate","OK")</f>
        <v>OK</v>
      </c>
      <c r="C1058" t="str">
        <f>IF(LEN(TRIM(Controls_Raw!I1058))=0,"Missing","OK")</f>
        <v>OK</v>
      </c>
      <c r="D1058" t="str">
        <f>IF(LEN(TRIM(Controls_Raw!N1058))=0,"Missing","OK")</f>
        <v>OK</v>
      </c>
      <c r="E1058" t="str">
        <f>IF(OR(Controls_Raw!G1058="USA",Controls_Raw!G1058="UK"),"Standardize","OK")</f>
        <v>OK</v>
      </c>
      <c r="F1058" t="str">
        <f>IF(Controls_Raw!E1058&lt;&gt;TRIM(Controls_Raw!E1058),"Trim","OK")</f>
        <v>OK</v>
      </c>
      <c r="G1058" t="str">
        <f>IF(AND(Controls_Raw!L1058&lt;DATE(2026,9,30),Controls_Raw!M1058&lt;&gt;"Completed"),"Overdue","OK")</f>
        <v>Overdue</v>
      </c>
      <c r="H1058" t="str">
        <f>IF(AND(Controls_Raw!Q1058&lt;DATE(2026,9,30),Controls_Raw!R1058&lt;&gt;"Completed",Controls_Raw!R1058&lt;&gt;"Not Required"),"Overdue","OK")</f>
        <v>OK</v>
      </c>
      <c r="I1058" t="str">
        <f t="shared" si="16"/>
        <v>Issue</v>
      </c>
    </row>
    <row r="1059" spans="1:9" x14ac:dyDescent="0.2">
      <c r="A1059" t="str">
        <f>Controls_Raw!A1059</f>
        <v>CTRL-1055</v>
      </c>
      <c r="B1059" t="str">
        <f>IF(COUNTIF(Controls_Raw!$A$5:$A$1504,A1059)&gt;1,"Duplicate","OK")</f>
        <v>OK</v>
      </c>
      <c r="C1059" t="str">
        <f>IF(LEN(TRIM(Controls_Raw!I1059))=0,"Missing","OK")</f>
        <v>OK</v>
      </c>
      <c r="D1059" t="str">
        <f>IF(LEN(TRIM(Controls_Raw!N1059))=0,"Missing","OK")</f>
        <v>OK</v>
      </c>
      <c r="E1059" t="str">
        <f>IF(OR(Controls_Raw!G1059="USA",Controls_Raw!G1059="UK"),"Standardize","OK")</f>
        <v>OK</v>
      </c>
      <c r="F1059" t="str">
        <f>IF(Controls_Raw!E1059&lt;&gt;TRIM(Controls_Raw!E1059),"Trim","OK")</f>
        <v>OK</v>
      </c>
      <c r="G1059" t="str">
        <f>IF(AND(Controls_Raw!L1059&lt;DATE(2026,9,30),Controls_Raw!M1059&lt;&gt;"Completed"),"Overdue","OK")</f>
        <v>Overdue</v>
      </c>
      <c r="H1059" t="str">
        <f>IF(AND(Controls_Raw!Q1059&lt;DATE(2026,9,30),Controls_Raw!R1059&lt;&gt;"Completed",Controls_Raw!R1059&lt;&gt;"Not Required"),"Overdue","OK")</f>
        <v>Overdue</v>
      </c>
      <c r="I1059" t="str">
        <f t="shared" si="16"/>
        <v>Issue</v>
      </c>
    </row>
    <row r="1060" spans="1:9" x14ac:dyDescent="0.2">
      <c r="A1060" t="str">
        <f>Controls_Raw!A1060</f>
        <v>CTRL-1056</v>
      </c>
      <c r="B1060" t="str">
        <f>IF(COUNTIF(Controls_Raw!$A$5:$A$1504,A1060)&gt;1,"Duplicate","OK")</f>
        <v>OK</v>
      </c>
      <c r="C1060" t="str">
        <f>IF(LEN(TRIM(Controls_Raw!I1060))=0,"Missing","OK")</f>
        <v>OK</v>
      </c>
      <c r="D1060" t="str">
        <f>IF(LEN(TRIM(Controls_Raw!N1060))=0,"Missing","OK")</f>
        <v>OK</v>
      </c>
      <c r="E1060" t="str">
        <f>IF(OR(Controls_Raw!G1060="USA",Controls_Raw!G1060="UK"),"Standardize","OK")</f>
        <v>OK</v>
      </c>
      <c r="F1060" t="str">
        <f>IF(Controls_Raw!E1060&lt;&gt;TRIM(Controls_Raw!E1060),"Trim","OK")</f>
        <v>OK</v>
      </c>
      <c r="G1060" t="str">
        <f>IF(AND(Controls_Raw!L1060&lt;DATE(2026,9,30),Controls_Raw!M1060&lt;&gt;"Completed"),"Overdue","OK")</f>
        <v>Overdue</v>
      </c>
      <c r="H1060" t="str">
        <f>IF(AND(Controls_Raw!Q1060&lt;DATE(2026,9,30),Controls_Raw!R1060&lt;&gt;"Completed",Controls_Raw!R1060&lt;&gt;"Not Required"),"Overdue","OK")</f>
        <v>OK</v>
      </c>
      <c r="I1060" t="str">
        <f t="shared" si="16"/>
        <v>Issue</v>
      </c>
    </row>
    <row r="1061" spans="1:9" x14ac:dyDescent="0.2">
      <c r="A1061" t="str">
        <f>Controls_Raw!A1061</f>
        <v>CTRL-1057</v>
      </c>
      <c r="B1061" t="str">
        <f>IF(COUNTIF(Controls_Raw!$A$5:$A$1504,A1061)&gt;1,"Duplicate","OK")</f>
        <v>OK</v>
      </c>
      <c r="C1061" t="str">
        <f>IF(LEN(TRIM(Controls_Raw!I1061))=0,"Missing","OK")</f>
        <v>OK</v>
      </c>
      <c r="D1061" t="str">
        <f>IF(LEN(TRIM(Controls_Raw!N1061))=0,"Missing","OK")</f>
        <v>OK</v>
      </c>
      <c r="E1061" t="str">
        <f>IF(OR(Controls_Raw!G1061="USA",Controls_Raw!G1061="UK"),"Standardize","OK")</f>
        <v>OK</v>
      </c>
      <c r="F1061" t="str">
        <f>IF(Controls_Raw!E1061&lt;&gt;TRIM(Controls_Raw!E1061),"Trim","OK")</f>
        <v>OK</v>
      </c>
      <c r="G1061" t="str">
        <f>IF(AND(Controls_Raw!L1061&lt;DATE(2026,9,30),Controls_Raw!M1061&lt;&gt;"Completed"),"Overdue","OK")</f>
        <v>Overdue</v>
      </c>
      <c r="H1061" t="str">
        <f>IF(AND(Controls_Raw!Q1061&lt;DATE(2026,9,30),Controls_Raw!R1061&lt;&gt;"Completed",Controls_Raw!R1061&lt;&gt;"Not Required"),"Overdue","OK")</f>
        <v>OK</v>
      </c>
      <c r="I1061" t="str">
        <f t="shared" si="16"/>
        <v>Issue</v>
      </c>
    </row>
    <row r="1062" spans="1:9" x14ac:dyDescent="0.2">
      <c r="A1062" t="str">
        <f>Controls_Raw!A1062</f>
        <v>CTRL-1058</v>
      </c>
      <c r="B1062" t="str">
        <f>IF(COUNTIF(Controls_Raw!$A$5:$A$1504,A1062)&gt;1,"Duplicate","OK")</f>
        <v>OK</v>
      </c>
      <c r="C1062" t="str">
        <f>IF(LEN(TRIM(Controls_Raw!I1062))=0,"Missing","OK")</f>
        <v>OK</v>
      </c>
      <c r="D1062" t="str">
        <f>IF(LEN(TRIM(Controls_Raw!N1062))=0,"Missing","OK")</f>
        <v>OK</v>
      </c>
      <c r="E1062" t="str">
        <f>IF(OR(Controls_Raw!G1062="USA",Controls_Raw!G1062="UK"),"Standardize","OK")</f>
        <v>OK</v>
      </c>
      <c r="F1062" t="str">
        <f>IF(Controls_Raw!E1062&lt;&gt;TRIM(Controls_Raw!E1062),"Trim","OK")</f>
        <v>OK</v>
      </c>
      <c r="G1062" t="str">
        <f>IF(AND(Controls_Raw!L1062&lt;DATE(2026,9,30),Controls_Raw!M1062&lt;&gt;"Completed"),"Overdue","OK")</f>
        <v>Overdue</v>
      </c>
      <c r="H1062" t="str">
        <f>IF(AND(Controls_Raw!Q1062&lt;DATE(2026,9,30),Controls_Raw!R1062&lt;&gt;"Completed",Controls_Raw!R1062&lt;&gt;"Not Required"),"Overdue","OK")</f>
        <v>OK</v>
      </c>
      <c r="I1062" t="str">
        <f t="shared" si="16"/>
        <v>Issue</v>
      </c>
    </row>
    <row r="1063" spans="1:9" x14ac:dyDescent="0.2">
      <c r="A1063" t="str">
        <f>Controls_Raw!A1063</f>
        <v>CTRL-1059</v>
      </c>
      <c r="B1063" t="str">
        <f>IF(COUNTIF(Controls_Raw!$A$5:$A$1504,A1063)&gt;1,"Duplicate","OK")</f>
        <v>OK</v>
      </c>
      <c r="C1063" t="str">
        <f>IF(LEN(TRIM(Controls_Raw!I1063))=0,"Missing","OK")</f>
        <v>OK</v>
      </c>
      <c r="D1063" t="str">
        <f>IF(LEN(TRIM(Controls_Raw!N1063))=0,"Missing","OK")</f>
        <v>OK</v>
      </c>
      <c r="E1063" t="str">
        <f>IF(OR(Controls_Raw!G1063="USA",Controls_Raw!G1063="UK"),"Standardize","OK")</f>
        <v>OK</v>
      </c>
      <c r="F1063" t="str">
        <f>IF(Controls_Raw!E1063&lt;&gt;TRIM(Controls_Raw!E1063),"Trim","OK")</f>
        <v>OK</v>
      </c>
      <c r="G1063" t="str">
        <f>IF(AND(Controls_Raw!L1063&lt;DATE(2026,9,30),Controls_Raw!M1063&lt;&gt;"Completed"),"Overdue","OK")</f>
        <v>OK</v>
      </c>
      <c r="H1063" t="str">
        <f>IF(AND(Controls_Raw!Q1063&lt;DATE(2026,9,30),Controls_Raw!R1063&lt;&gt;"Completed",Controls_Raw!R1063&lt;&gt;"Not Required"),"Overdue","OK")</f>
        <v>Overdue</v>
      </c>
      <c r="I1063" t="str">
        <f t="shared" si="16"/>
        <v>Issue</v>
      </c>
    </row>
    <row r="1064" spans="1:9" x14ac:dyDescent="0.2">
      <c r="A1064" t="str">
        <f>Controls_Raw!A1064</f>
        <v>CTRL-1060</v>
      </c>
      <c r="B1064" t="str">
        <f>IF(COUNTIF(Controls_Raw!$A$5:$A$1504,A1064)&gt;1,"Duplicate","OK")</f>
        <v>OK</v>
      </c>
      <c r="C1064" t="str">
        <f>IF(LEN(TRIM(Controls_Raw!I1064))=0,"Missing","OK")</f>
        <v>OK</v>
      </c>
      <c r="D1064" t="str">
        <f>IF(LEN(TRIM(Controls_Raw!N1064))=0,"Missing","OK")</f>
        <v>OK</v>
      </c>
      <c r="E1064" t="str">
        <f>IF(OR(Controls_Raw!G1064="USA",Controls_Raw!G1064="UK"),"Standardize","OK")</f>
        <v>OK</v>
      </c>
      <c r="F1064" t="str">
        <f>IF(Controls_Raw!E1064&lt;&gt;TRIM(Controls_Raw!E1064),"Trim","OK")</f>
        <v>OK</v>
      </c>
      <c r="G1064" t="str">
        <f>IF(AND(Controls_Raw!L1064&lt;DATE(2026,9,30),Controls_Raw!M1064&lt;&gt;"Completed"),"Overdue","OK")</f>
        <v>Overdue</v>
      </c>
      <c r="H1064" t="str">
        <f>IF(AND(Controls_Raw!Q1064&lt;DATE(2026,9,30),Controls_Raw!R1064&lt;&gt;"Completed",Controls_Raw!R1064&lt;&gt;"Not Required"),"Overdue","OK")</f>
        <v>Overdue</v>
      </c>
      <c r="I1064" t="str">
        <f t="shared" si="16"/>
        <v>Issue</v>
      </c>
    </row>
    <row r="1065" spans="1:9" x14ac:dyDescent="0.2">
      <c r="A1065" t="str">
        <f>Controls_Raw!A1065</f>
        <v>CTRL-1061</v>
      </c>
      <c r="B1065" t="str">
        <f>IF(COUNTIF(Controls_Raw!$A$5:$A$1504,A1065)&gt;1,"Duplicate","OK")</f>
        <v>OK</v>
      </c>
      <c r="C1065" t="str">
        <f>IF(LEN(TRIM(Controls_Raw!I1065))=0,"Missing","OK")</f>
        <v>OK</v>
      </c>
      <c r="D1065" t="str">
        <f>IF(LEN(TRIM(Controls_Raw!N1065))=0,"Missing","OK")</f>
        <v>OK</v>
      </c>
      <c r="E1065" t="str">
        <f>IF(OR(Controls_Raw!G1065="USA",Controls_Raw!G1065="UK"),"Standardize","OK")</f>
        <v>Standardize</v>
      </c>
      <c r="F1065" t="str">
        <f>IF(Controls_Raw!E1065&lt;&gt;TRIM(Controls_Raw!E1065),"Trim","OK")</f>
        <v>OK</v>
      </c>
      <c r="G1065" t="str">
        <f>IF(AND(Controls_Raw!L1065&lt;DATE(2026,9,30),Controls_Raw!M1065&lt;&gt;"Completed"),"Overdue","OK")</f>
        <v>OK</v>
      </c>
      <c r="H1065" t="str">
        <f>IF(AND(Controls_Raw!Q1065&lt;DATE(2026,9,30),Controls_Raw!R1065&lt;&gt;"Completed",Controls_Raw!R1065&lt;&gt;"Not Required"),"Overdue","OK")</f>
        <v>OK</v>
      </c>
      <c r="I1065" t="str">
        <f t="shared" si="16"/>
        <v>Issue</v>
      </c>
    </row>
    <row r="1066" spans="1:9" x14ac:dyDescent="0.2">
      <c r="A1066" t="str">
        <f>Controls_Raw!A1066</f>
        <v>CTRL-1062</v>
      </c>
      <c r="B1066" t="str">
        <f>IF(COUNTIF(Controls_Raw!$A$5:$A$1504,A1066)&gt;1,"Duplicate","OK")</f>
        <v>OK</v>
      </c>
      <c r="C1066" t="str">
        <f>IF(LEN(TRIM(Controls_Raw!I1066))=0,"Missing","OK")</f>
        <v>OK</v>
      </c>
      <c r="D1066" t="str">
        <f>IF(LEN(TRIM(Controls_Raw!N1066))=0,"Missing","OK")</f>
        <v>OK</v>
      </c>
      <c r="E1066" t="str">
        <f>IF(OR(Controls_Raw!G1066="USA",Controls_Raw!G1066="UK"),"Standardize","OK")</f>
        <v>OK</v>
      </c>
      <c r="F1066" t="str">
        <f>IF(Controls_Raw!E1066&lt;&gt;TRIM(Controls_Raw!E1066),"Trim","OK")</f>
        <v>OK</v>
      </c>
      <c r="G1066" t="str">
        <f>IF(AND(Controls_Raw!L1066&lt;DATE(2026,9,30),Controls_Raw!M1066&lt;&gt;"Completed"),"Overdue","OK")</f>
        <v>OK</v>
      </c>
      <c r="H1066" t="str">
        <f>IF(AND(Controls_Raw!Q1066&lt;DATE(2026,9,30),Controls_Raw!R1066&lt;&gt;"Completed",Controls_Raw!R1066&lt;&gt;"Not Required"),"Overdue","OK")</f>
        <v>Overdue</v>
      </c>
      <c r="I1066" t="str">
        <f t="shared" si="16"/>
        <v>Issue</v>
      </c>
    </row>
    <row r="1067" spans="1:9" x14ac:dyDescent="0.2">
      <c r="A1067" t="str">
        <f>Controls_Raw!A1067</f>
        <v>CTRL-1063</v>
      </c>
      <c r="B1067" t="str">
        <f>IF(COUNTIF(Controls_Raw!$A$5:$A$1504,A1067)&gt;1,"Duplicate","OK")</f>
        <v>OK</v>
      </c>
      <c r="C1067" t="str">
        <f>IF(LEN(TRIM(Controls_Raw!I1067))=0,"Missing","OK")</f>
        <v>OK</v>
      </c>
      <c r="D1067" t="str">
        <f>IF(LEN(TRIM(Controls_Raw!N1067))=0,"Missing","OK")</f>
        <v>OK</v>
      </c>
      <c r="E1067" t="str">
        <f>IF(OR(Controls_Raw!G1067="USA",Controls_Raw!G1067="UK"),"Standardize","OK")</f>
        <v>OK</v>
      </c>
      <c r="F1067" t="str">
        <f>IF(Controls_Raw!E1067&lt;&gt;TRIM(Controls_Raw!E1067),"Trim","OK")</f>
        <v>OK</v>
      </c>
      <c r="G1067" t="str">
        <f>IF(AND(Controls_Raw!L1067&lt;DATE(2026,9,30),Controls_Raw!M1067&lt;&gt;"Completed"),"Overdue","OK")</f>
        <v>Overdue</v>
      </c>
      <c r="H1067" t="str">
        <f>IF(AND(Controls_Raw!Q1067&lt;DATE(2026,9,30),Controls_Raw!R1067&lt;&gt;"Completed",Controls_Raw!R1067&lt;&gt;"Not Required"),"Overdue","OK")</f>
        <v>Overdue</v>
      </c>
      <c r="I1067" t="str">
        <f t="shared" si="16"/>
        <v>Issue</v>
      </c>
    </row>
    <row r="1068" spans="1:9" x14ac:dyDescent="0.2">
      <c r="A1068" t="str">
        <f>Controls_Raw!A1068</f>
        <v>CTRL-1064</v>
      </c>
      <c r="B1068" t="str">
        <f>IF(COUNTIF(Controls_Raw!$A$5:$A$1504,A1068)&gt;1,"Duplicate","OK")</f>
        <v>OK</v>
      </c>
      <c r="C1068" t="str">
        <f>IF(LEN(TRIM(Controls_Raw!I1068))=0,"Missing","OK")</f>
        <v>OK</v>
      </c>
      <c r="D1068" t="str">
        <f>IF(LEN(TRIM(Controls_Raw!N1068))=0,"Missing","OK")</f>
        <v>OK</v>
      </c>
      <c r="E1068" t="str">
        <f>IF(OR(Controls_Raw!G1068="USA",Controls_Raw!G1068="UK"),"Standardize","OK")</f>
        <v>OK</v>
      </c>
      <c r="F1068" t="str">
        <f>IF(Controls_Raw!E1068&lt;&gt;TRIM(Controls_Raw!E1068),"Trim","OK")</f>
        <v>OK</v>
      </c>
      <c r="G1068" t="str">
        <f>IF(AND(Controls_Raw!L1068&lt;DATE(2026,9,30),Controls_Raw!M1068&lt;&gt;"Completed"),"Overdue","OK")</f>
        <v>Overdue</v>
      </c>
      <c r="H1068" t="str">
        <f>IF(AND(Controls_Raw!Q1068&lt;DATE(2026,9,30),Controls_Raw!R1068&lt;&gt;"Completed",Controls_Raw!R1068&lt;&gt;"Not Required"),"Overdue","OK")</f>
        <v>Overdue</v>
      </c>
      <c r="I1068" t="str">
        <f t="shared" si="16"/>
        <v>Issue</v>
      </c>
    </row>
    <row r="1069" spans="1:9" x14ac:dyDescent="0.2">
      <c r="A1069" t="str">
        <f>Controls_Raw!A1069</f>
        <v>CTRL-1065</v>
      </c>
      <c r="B1069" t="str">
        <f>IF(COUNTIF(Controls_Raw!$A$5:$A$1504,A1069)&gt;1,"Duplicate","OK")</f>
        <v>OK</v>
      </c>
      <c r="C1069" t="str">
        <f>IF(LEN(TRIM(Controls_Raw!I1069))=0,"Missing","OK")</f>
        <v>OK</v>
      </c>
      <c r="D1069" t="str">
        <f>IF(LEN(TRIM(Controls_Raw!N1069))=0,"Missing","OK")</f>
        <v>OK</v>
      </c>
      <c r="E1069" t="str">
        <f>IF(OR(Controls_Raw!G1069="USA",Controls_Raw!G1069="UK"),"Standardize","OK")</f>
        <v>OK</v>
      </c>
      <c r="F1069" t="str">
        <f>IF(Controls_Raw!E1069&lt;&gt;TRIM(Controls_Raw!E1069),"Trim","OK")</f>
        <v>OK</v>
      </c>
      <c r="G1069" t="str">
        <f>IF(AND(Controls_Raw!L1069&lt;DATE(2026,9,30),Controls_Raw!M1069&lt;&gt;"Completed"),"Overdue","OK")</f>
        <v>OK</v>
      </c>
      <c r="H1069" t="str">
        <f>IF(AND(Controls_Raw!Q1069&lt;DATE(2026,9,30),Controls_Raw!R1069&lt;&gt;"Completed",Controls_Raw!R1069&lt;&gt;"Not Required"),"Overdue","OK")</f>
        <v>OK</v>
      </c>
      <c r="I1069" t="str">
        <f t="shared" si="16"/>
        <v>Pass</v>
      </c>
    </row>
    <row r="1070" spans="1:9" x14ac:dyDescent="0.2">
      <c r="A1070" t="str">
        <f>Controls_Raw!A1070</f>
        <v>CTRL-1066</v>
      </c>
      <c r="B1070" t="str">
        <f>IF(COUNTIF(Controls_Raw!$A$5:$A$1504,A1070)&gt;1,"Duplicate","OK")</f>
        <v>OK</v>
      </c>
      <c r="C1070" t="str">
        <f>IF(LEN(TRIM(Controls_Raw!I1070))=0,"Missing","OK")</f>
        <v>OK</v>
      </c>
      <c r="D1070" t="str">
        <f>IF(LEN(TRIM(Controls_Raw!N1070))=0,"Missing","OK")</f>
        <v>OK</v>
      </c>
      <c r="E1070" t="str">
        <f>IF(OR(Controls_Raw!G1070="USA",Controls_Raw!G1070="UK"),"Standardize","OK")</f>
        <v>OK</v>
      </c>
      <c r="F1070" t="str">
        <f>IF(Controls_Raw!E1070&lt;&gt;TRIM(Controls_Raw!E1070),"Trim","OK")</f>
        <v>OK</v>
      </c>
      <c r="G1070" t="str">
        <f>IF(AND(Controls_Raw!L1070&lt;DATE(2026,9,30),Controls_Raw!M1070&lt;&gt;"Completed"),"Overdue","OK")</f>
        <v>OK</v>
      </c>
      <c r="H1070" t="str">
        <f>IF(AND(Controls_Raw!Q1070&lt;DATE(2026,9,30),Controls_Raw!R1070&lt;&gt;"Completed",Controls_Raw!R1070&lt;&gt;"Not Required"),"Overdue","OK")</f>
        <v>Overdue</v>
      </c>
      <c r="I1070" t="str">
        <f t="shared" si="16"/>
        <v>Issue</v>
      </c>
    </row>
    <row r="1071" spans="1:9" x14ac:dyDescent="0.2">
      <c r="A1071" t="str">
        <f>Controls_Raw!A1071</f>
        <v>CTRL-1067</v>
      </c>
      <c r="B1071" t="str">
        <f>IF(COUNTIF(Controls_Raw!$A$5:$A$1504,A1071)&gt;1,"Duplicate","OK")</f>
        <v>OK</v>
      </c>
      <c r="C1071" t="str">
        <f>IF(LEN(TRIM(Controls_Raw!I1071))=0,"Missing","OK")</f>
        <v>OK</v>
      </c>
      <c r="D1071" t="str">
        <f>IF(LEN(TRIM(Controls_Raw!N1071))=0,"Missing","OK")</f>
        <v>OK</v>
      </c>
      <c r="E1071" t="str">
        <f>IF(OR(Controls_Raw!G1071="USA",Controls_Raw!G1071="UK"),"Standardize","OK")</f>
        <v>OK</v>
      </c>
      <c r="F1071" t="str">
        <f>IF(Controls_Raw!E1071&lt;&gt;TRIM(Controls_Raw!E1071),"Trim","OK")</f>
        <v>OK</v>
      </c>
      <c r="G1071" t="str">
        <f>IF(AND(Controls_Raw!L1071&lt;DATE(2026,9,30),Controls_Raw!M1071&lt;&gt;"Completed"),"Overdue","OK")</f>
        <v>Overdue</v>
      </c>
      <c r="H1071" t="str">
        <f>IF(AND(Controls_Raw!Q1071&lt;DATE(2026,9,30),Controls_Raw!R1071&lt;&gt;"Completed",Controls_Raw!R1071&lt;&gt;"Not Required"),"Overdue","OK")</f>
        <v>OK</v>
      </c>
      <c r="I1071" t="str">
        <f t="shared" si="16"/>
        <v>Issue</v>
      </c>
    </row>
    <row r="1072" spans="1:9" x14ac:dyDescent="0.2">
      <c r="A1072" t="str">
        <f>Controls_Raw!A1072</f>
        <v>CTRL-1068</v>
      </c>
      <c r="B1072" t="str">
        <f>IF(COUNTIF(Controls_Raw!$A$5:$A$1504,A1072)&gt;1,"Duplicate","OK")</f>
        <v>OK</v>
      </c>
      <c r="C1072" t="str">
        <f>IF(LEN(TRIM(Controls_Raw!I1072))=0,"Missing","OK")</f>
        <v>OK</v>
      </c>
      <c r="D1072" t="str">
        <f>IF(LEN(TRIM(Controls_Raw!N1072))=0,"Missing","OK")</f>
        <v>OK</v>
      </c>
      <c r="E1072" t="str">
        <f>IF(OR(Controls_Raw!G1072="USA",Controls_Raw!G1072="UK"),"Standardize","OK")</f>
        <v>OK</v>
      </c>
      <c r="F1072" t="str">
        <f>IF(Controls_Raw!E1072&lt;&gt;TRIM(Controls_Raw!E1072),"Trim","OK")</f>
        <v>OK</v>
      </c>
      <c r="G1072" t="str">
        <f>IF(AND(Controls_Raw!L1072&lt;DATE(2026,9,30),Controls_Raw!M1072&lt;&gt;"Completed"),"Overdue","OK")</f>
        <v>Overdue</v>
      </c>
      <c r="H1072" t="str">
        <f>IF(AND(Controls_Raw!Q1072&lt;DATE(2026,9,30),Controls_Raw!R1072&lt;&gt;"Completed",Controls_Raw!R1072&lt;&gt;"Not Required"),"Overdue","OK")</f>
        <v>Overdue</v>
      </c>
      <c r="I1072" t="str">
        <f t="shared" si="16"/>
        <v>Issue</v>
      </c>
    </row>
    <row r="1073" spans="1:9" x14ac:dyDescent="0.2">
      <c r="A1073" t="str">
        <f>Controls_Raw!A1073</f>
        <v>CTRL-1069</v>
      </c>
      <c r="B1073" t="str">
        <f>IF(COUNTIF(Controls_Raw!$A$5:$A$1504,A1073)&gt;1,"Duplicate","OK")</f>
        <v>OK</v>
      </c>
      <c r="C1073" t="str">
        <f>IF(LEN(TRIM(Controls_Raw!I1073))=0,"Missing","OK")</f>
        <v>OK</v>
      </c>
      <c r="D1073" t="str">
        <f>IF(LEN(TRIM(Controls_Raw!N1073))=0,"Missing","OK")</f>
        <v>OK</v>
      </c>
      <c r="E1073" t="str">
        <f>IF(OR(Controls_Raw!G1073="USA",Controls_Raw!G1073="UK"),"Standardize","OK")</f>
        <v>OK</v>
      </c>
      <c r="F1073" t="str">
        <f>IF(Controls_Raw!E1073&lt;&gt;TRIM(Controls_Raw!E1073),"Trim","OK")</f>
        <v>OK</v>
      </c>
      <c r="G1073" t="str">
        <f>IF(AND(Controls_Raw!L1073&lt;DATE(2026,9,30),Controls_Raw!M1073&lt;&gt;"Completed"),"Overdue","OK")</f>
        <v>OK</v>
      </c>
      <c r="H1073" t="str">
        <f>IF(AND(Controls_Raw!Q1073&lt;DATE(2026,9,30),Controls_Raw!R1073&lt;&gt;"Completed",Controls_Raw!R1073&lt;&gt;"Not Required"),"Overdue","OK")</f>
        <v>OK</v>
      </c>
      <c r="I1073" t="str">
        <f t="shared" si="16"/>
        <v>Pass</v>
      </c>
    </row>
    <row r="1074" spans="1:9" x14ac:dyDescent="0.2">
      <c r="A1074" t="str">
        <f>Controls_Raw!A1074</f>
        <v>CTRL-1070</v>
      </c>
      <c r="B1074" t="str">
        <f>IF(COUNTIF(Controls_Raw!$A$5:$A$1504,A1074)&gt;1,"Duplicate","OK")</f>
        <v>OK</v>
      </c>
      <c r="C1074" t="str">
        <f>IF(LEN(TRIM(Controls_Raw!I1074))=0,"Missing","OK")</f>
        <v>OK</v>
      </c>
      <c r="D1074" t="str">
        <f>IF(LEN(TRIM(Controls_Raw!N1074))=0,"Missing","OK")</f>
        <v>OK</v>
      </c>
      <c r="E1074" t="str">
        <f>IF(OR(Controls_Raw!G1074="USA",Controls_Raw!G1074="UK"),"Standardize","OK")</f>
        <v>OK</v>
      </c>
      <c r="F1074" t="str">
        <f>IF(Controls_Raw!E1074&lt;&gt;TRIM(Controls_Raw!E1074),"Trim","OK")</f>
        <v>OK</v>
      </c>
      <c r="G1074" t="str">
        <f>IF(AND(Controls_Raw!L1074&lt;DATE(2026,9,30),Controls_Raw!M1074&lt;&gt;"Completed"),"Overdue","OK")</f>
        <v>Overdue</v>
      </c>
      <c r="H1074" t="str">
        <f>IF(AND(Controls_Raw!Q1074&lt;DATE(2026,9,30),Controls_Raw!R1074&lt;&gt;"Completed",Controls_Raw!R1074&lt;&gt;"Not Required"),"Overdue","OK")</f>
        <v>OK</v>
      </c>
      <c r="I1074" t="str">
        <f t="shared" si="16"/>
        <v>Issue</v>
      </c>
    </row>
    <row r="1075" spans="1:9" x14ac:dyDescent="0.2">
      <c r="A1075" t="str">
        <f>Controls_Raw!A1075</f>
        <v>CTRL-1071</v>
      </c>
      <c r="B1075" t="str">
        <f>IF(COUNTIF(Controls_Raw!$A$5:$A$1504,A1075)&gt;1,"Duplicate","OK")</f>
        <v>OK</v>
      </c>
      <c r="C1075" t="str">
        <f>IF(LEN(TRIM(Controls_Raw!I1075))=0,"Missing","OK")</f>
        <v>OK</v>
      </c>
      <c r="D1075" t="str">
        <f>IF(LEN(TRIM(Controls_Raw!N1075))=0,"Missing","OK")</f>
        <v>OK</v>
      </c>
      <c r="E1075" t="str">
        <f>IF(OR(Controls_Raw!G1075="USA",Controls_Raw!G1075="UK"),"Standardize","OK")</f>
        <v>OK</v>
      </c>
      <c r="F1075" t="str">
        <f>IF(Controls_Raw!E1075&lt;&gt;TRIM(Controls_Raw!E1075),"Trim","OK")</f>
        <v>OK</v>
      </c>
      <c r="G1075" t="str">
        <f>IF(AND(Controls_Raw!L1075&lt;DATE(2026,9,30),Controls_Raw!M1075&lt;&gt;"Completed"),"Overdue","OK")</f>
        <v>OK</v>
      </c>
      <c r="H1075" t="str">
        <f>IF(AND(Controls_Raw!Q1075&lt;DATE(2026,9,30),Controls_Raw!R1075&lt;&gt;"Completed",Controls_Raw!R1075&lt;&gt;"Not Required"),"Overdue","OK")</f>
        <v>OK</v>
      </c>
      <c r="I1075" t="str">
        <f t="shared" si="16"/>
        <v>Pass</v>
      </c>
    </row>
    <row r="1076" spans="1:9" x14ac:dyDescent="0.2">
      <c r="A1076" t="str">
        <f>Controls_Raw!A1076</f>
        <v>CTRL-1072</v>
      </c>
      <c r="B1076" t="str">
        <f>IF(COUNTIF(Controls_Raw!$A$5:$A$1504,A1076)&gt;1,"Duplicate","OK")</f>
        <v>OK</v>
      </c>
      <c r="C1076" t="str">
        <f>IF(LEN(TRIM(Controls_Raw!I1076))=0,"Missing","OK")</f>
        <v>OK</v>
      </c>
      <c r="D1076" t="str">
        <f>IF(LEN(TRIM(Controls_Raw!N1076))=0,"Missing","OK")</f>
        <v>OK</v>
      </c>
      <c r="E1076" t="str">
        <f>IF(OR(Controls_Raw!G1076="USA",Controls_Raw!G1076="UK"),"Standardize","OK")</f>
        <v>OK</v>
      </c>
      <c r="F1076" t="str">
        <f>IF(Controls_Raw!E1076&lt;&gt;TRIM(Controls_Raw!E1076),"Trim","OK")</f>
        <v>OK</v>
      </c>
      <c r="G1076" t="str">
        <f>IF(AND(Controls_Raw!L1076&lt;DATE(2026,9,30),Controls_Raw!M1076&lt;&gt;"Completed"),"Overdue","OK")</f>
        <v>OK</v>
      </c>
      <c r="H1076" t="str">
        <f>IF(AND(Controls_Raw!Q1076&lt;DATE(2026,9,30),Controls_Raw!R1076&lt;&gt;"Completed",Controls_Raw!R1076&lt;&gt;"Not Required"),"Overdue","OK")</f>
        <v>OK</v>
      </c>
      <c r="I1076" t="str">
        <f t="shared" si="16"/>
        <v>Pass</v>
      </c>
    </row>
    <row r="1077" spans="1:9" x14ac:dyDescent="0.2">
      <c r="A1077" t="str">
        <f>Controls_Raw!A1077</f>
        <v>CTRL-1073</v>
      </c>
      <c r="B1077" t="str">
        <f>IF(COUNTIF(Controls_Raw!$A$5:$A$1504,A1077)&gt;1,"Duplicate","OK")</f>
        <v>OK</v>
      </c>
      <c r="C1077" t="str">
        <f>IF(LEN(TRIM(Controls_Raw!I1077))=0,"Missing","OK")</f>
        <v>OK</v>
      </c>
      <c r="D1077" t="str">
        <f>IF(LEN(TRIM(Controls_Raw!N1077))=0,"Missing","OK")</f>
        <v>OK</v>
      </c>
      <c r="E1077" t="str">
        <f>IF(OR(Controls_Raw!G1077="USA",Controls_Raw!G1077="UK"),"Standardize","OK")</f>
        <v>OK</v>
      </c>
      <c r="F1077" t="str">
        <f>IF(Controls_Raw!E1077&lt;&gt;TRIM(Controls_Raw!E1077),"Trim","OK")</f>
        <v>OK</v>
      </c>
      <c r="G1077" t="str">
        <f>IF(AND(Controls_Raw!L1077&lt;DATE(2026,9,30),Controls_Raw!M1077&lt;&gt;"Completed"),"Overdue","OK")</f>
        <v>Overdue</v>
      </c>
      <c r="H1077" t="str">
        <f>IF(AND(Controls_Raw!Q1077&lt;DATE(2026,9,30),Controls_Raw!R1077&lt;&gt;"Completed",Controls_Raw!R1077&lt;&gt;"Not Required"),"Overdue","OK")</f>
        <v>Overdue</v>
      </c>
      <c r="I1077" t="str">
        <f t="shared" si="16"/>
        <v>Issue</v>
      </c>
    </row>
    <row r="1078" spans="1:9" x14ac:dyDescent="0.2">
      <c r="A1078" t="str">
        <f>Controls_Raw!A1078</f>
        <v>CTRL-1074</v>
      </c>
      <c r="B1078" t="str">
        <f>IF(COUNTIF(Controls_Raw!$A$5:$A$1504,A1078)&gt;1,"Duplicate","OK")</f>
        <v>OK</v>
      </c>
      <c r="C1078" t="str">
        <f>IF(LEN(TRIM(Controls_Raw!I1078))=0,"Missing","OK")</f>
        <v>OK</v>
      </c>
      <c r="D1078" t="str">
        <f>IF(LEN(TRIM(Controls_Raw!N1078))=0,"Missing","OK")</f>
        <v>OK</v>
      </c>
      <c r="E1078" t="str">
        <f>IF(OR(Controls_Raw!G1078="USA",Controls_Raw!G1078="UK"),"Standardize","OK")</f>
        <v>OK</v>
      </c>
      <c r="F1078" t="str">
        <f>IF(Controls_Raw!E1078&lt;&gt;TRIM(Controls_Raw!E1078),"Trim","OK")</f>
        <v>OK</v>
      </c>
      <c r="G1078" t="str">
        <f>IF(AND(Controls_Raw!L1078&lt;DATE(2026,9,30),Controls_Raw!M1078&lt;&gt;"Completed"),"Overdue","OK")</f>
        <v>OK</v>
      </c>
      <c r="H1078" t="str">
        <f>IF(AND(Controls_Raw!Q1078&lt;DATE(2026,9,30),Controls_Raw!R1078&lt;&gt;"Completed",Controls_Raw!R1078&lt;&gt;"Not Required"),"Overdue","OK")</f>
        <v>Overdue</v>
      </c>
      <c r="I1078" t="str">
        <f t="shared" si="16"/>
        <v>Issue</v>
      </c>
    </row>
    <row r="1079" spans="1:9" x14ac:dyDescent="0.2">
      <c r="A1079" t="str">
        <f>Controls_Raw!A1079</f>
        <v>CTRL-1075</v>
      </c>
      <c r="B1079" t="str">
        <f>IF(COUNTIF(Controls_Raw!$A$5:$A$1504,A1079)&gt;1,"Duplicate","OK")</f>
        <v>OK</v>
      </c>
      <c r="C1079" t="str">
        <f>IF(LEN(TRIM(Controls_Raw!I1079))=0,"Missing","OK")</f>
        <v>OK</v>
      </c>
      <c r="D1079" t="str">
        <f>IF(LEN(TRIM(Controls_Raw!N1079))=0,"Missing","OK")</f>
        <v>OK</v>
      </c>
      <c r="E1079" t="str">
        <f>IF(OR(Controls_Raw!G1079="USA",Controls_Raw!G1079="UK"),"Standardize","OK")</f>
        <v>OK</v>
      </c>
      <c r="F1079" t="str">
        <f>IF(Controls_Raw!E1079&lt;&gt;TRIM(Controls_Raw!E1079),"Trim","OK")</f>
        <v>OK</v>
      </c>
      <c r="G1079" t="str">
        <f>IF(AND(Controls_Raw!L1079&lt;DATE(2026,9,30),Controls_Raw!M1079&lt;&gt;"Completed"),"Overdue","OK")</f>
        <v>Overdue</v>
      </c>
      <c r="H1079" t="str">
        <f>IF(AND(Controls_Raw!Q1079&lt;DATE(2026,9,30),Controls_Raw!R1079&lt;&gt;"Completed",Controls_Raw!R1079&lt;&gt;"Not Required"),"Overdue","OK")</f>
        <v>OK</v>
      </c>
      <c r="I1079" t="str">
        <f t="shared" si="16"/>
        <v>Issue</v>
      </c>
    </row>
    <row r="1080" spans="1:9" x14ac:dyDescent="0.2">
      <c r="A1080" t="str">
        <f>Controls_Raw!A1080</f>
        <v>CTRL-1076</v>
      </c>
      <c r="B1080" t="str">
        <f>IF(COUNTIF(Controls_Raw!$A$5:$A$1504,A1080)&gt;1,"Duplicate","OK")</f>
        <v>OK</v>
      </c>
      <c r="C1080" t="str">
        <f>IF(LEN(TRIM(Controls_Raw!I1080))=0,"Missing","OK")</f>
        <v>OK</v>
      </c>
      <c r="D1080" t="str">
        <f>IF(LEN(TRIM(Controls_Raw!N1080))=0,"Missing","OK")</f>
        <v>OK</v>
      </c>
      <c r="E1080" t="str">
        <f>IF(OR(Controls_Raw!G1080="USA",Controls_Raw!G1080="UK"),"Standardize","OK")</f>
        <v>OK</v>
      </c>
      <c r="F1080" t="str">
        <f>IF(Controls_Raw!E1080&lt;&gt;TRIM(Controls_Raw!E1080),"Trim","OK")</f>
        <v>OK</v>
      </c>
      <c r="G1080" t="str">
        <f>IF(AND(Controls_Raw!L1080&lt;DATE(2026,9,30),Controls_Raw!M1080&lt;&gt;"Completed"),"Overdue","OK")</f>
        <v>Overdue</v>
      </c>
      <c r="H1080" t="str">
        <f>IF(AND(Controls_Raw!Q1080&lt;DATE(2026,9,30),Controls_Raw!R1080&lt;&gt;"Completed",Controls_Raw!R1080&lt;&gt;"Not Required"),"Overdue","OK")</f>
        <v>Overdue</v>
      </c>
      <c r="I1080" t="str">
        <f t="shared" si="16"/>
        <v>Issue</v>
      </c>
    </row>
    <row r="1081" spans="1:9" x14ac:dyDescent="0.2">
      <c r="A1081" t="str">
        <f>Controls_Raw!A1081</f>
        <v>CTRL-1077</v>
      </c>
      <c r="B1081" t="str">
        <f>IF(COUNTIF(Controls_Raw!$A$5:$A$1504,A1081)&gt;1,"Duplicate","OK")</f>
        <v>OK</v>
      </c>
      <c r="C1081" t="str">
        <f>IF(LEN(TRIM(Controls_Raw!I1081))=0,"Missing","OK")</f>
        <v>OK</v>
      </c>
      <c r="D1081" t="str">
        <f>IF(LEN(TRIM(Controls_Raw!N1081))=0,"Missing","OK")</f>
        <v>OK</v>
      </c>
      <c r="E1081" t="str">
        <f>IF(OR(Controls_Raw!G1081="USA",Controls_Raw!G1081="UK"),"Standardize","OK")</f>
        <v>OK</v>
      </c>
      <c r="F1081" t="str">
        <f>IF(Controls_Raw!E1081&lt;&gt;TRIM(Controls_Raw!E1081),"Trim","OK")</f>
        <v>OK</v>
      </c>
      <c r="G1081" t="str">
        <f>IF(AND(Controls_Raw!L1081&lt;DATE(2026,9,30),Controls_Raw!M1081&lt;&gt;"Completed"),"Overdue","OK")</f>
        <v>Overdue</v>
      </c>
      <c r="H1081" t="str">
        <f>IF(AND(Controls_Raw!Q1081&lt;DATE(2026,9,30),Controls_Raw!R1081&lt;&gt;"Completed",Controls_Raw!R1081&lt;&gt;"Not Required"),"Overdue","OK")</f>
        <v>OK</v>
      </c>
      <c r="I1081" t="str">
        <f t="shared" si="16"/>
        <v>Issue</v>
      </c>
    </row>
    <row r="1082" spans="1:9" x14ac:dyDescent="0.2">
      <c r="A1082" t="str">
        <f>Controls_Raw!A1082</f>
        <v>CTRL-1078</v>
      </c>
      <c r="B1082" t="str">
        <f>IF(COUNTIF(Controls_Raw!$A$5:$A$1504,A1082)&gt;1,"Duplicate","OK")</f>
        <v>OK</v>
      </c>
      <c r="C1082" t="str">
        <f>IF(LEN(TRIM(Controls_Raw!I1082))=0,"Missing","OK")</f>
        <v>OK</v>
      </c>
      <c r="D1082" t="str">
        <f>IF(LEN(TRIM(Controls_Raw!N1082))=0,"Missing","OK")</f>
        <v>OK</v>
      </c>
      <c r="E1082" t="str">
        <f>IF(OR(Controls_Raw!G1082="USA",Controls_Raw!G1082="UK"),"Standardize","OK")</f>
        <v>OK</v>
      </c>
      <c r="F1082" t="str">
        <f>IF(Controls_Raw!E1082&lt;&gt;TRIM(Controls_Raw!E1082),"Trim","OK")</f>
        <v>OK</v>
      </c>
      <c r="G1082" t="str">
        <f>IF(AND(Controls_Raw!L1082&lt;DATE(2026,9,30),Controls_Raw!M1082&lt;&gt;"Completed"),"Overdue","OK")</f>
        <v>OK</v>
      </c>
      <c r="H1082" t="str">
        <f>IF(AND(Controls_Raw!Q1082&lt;DATE(2026,9,30),Controls_Raw!R1082&lt;&gt;"Completed",Controls_Raw!R1082&lt;&gt;"Not Required"),"Overdue","OK")</f>
        <v>OK</v>
      </c>
      <c r="I1082" t="str">
        <f t="shared" si="16"/>
        <v>Pass</v>
      </c>
    </row>
    <row r="1083" spans="1:9" x14ac:dyDescent="0.2">
      <c r="A1083" t="str">
        <f>Controls_Raw!A1083</f>
        <v>CTRL-1079</v>
      </c>
      <c r="B1083" t="str">
        <f>IF(COUNTIF(Controls_Raw!$A$5:$A$1504,A1083)&gt;1,"Duplicate","OK")</f>
        <v>OK</v>
      </c>
      <c r="C1083" t="str">
        <f>IF(LEN(TRIM(Controls_Raw!I1083))=0,"Missing","OK")</f>
        <v>OK</v>
      </c>
      <c r="D1083" t="str">
        <f>IF(LEN(TRIM(Controls_Raw!N1083))=0,"Missing","OK")</f>
        <v>OK</v>
      </c>
      <c r="E1083" t="str">
        <f>IF(OR(Controls_Raw!G1083="USA",Controls_Raw!G1083="UK"),"Standardize","OK")</f>
        <v>OK</v>
      </c>
      <c r="F1083" t="str">
        <f>IF(Controls_Raw!E1083&lt;&gt;TRIM(Controls_Raw!E1083),"Trim","OK")</f>
        <v>OK</v>
      </c>
      <c r="G1083" t="str">
        <f>IF(AND(Controls_Raw!L1083&lt;DATE(2026,9,30),Controls_Raw!M1083&lt;&gt;"Completed"),"Overdue","OK")</f>
        <v>OK</v>
      </c>
      <c r="H1083" t="str">
        <f>IF(AND(Controls_Raw!Q1083&lt;DATE(2026,9,30),Controls_Raw!R1083&lt;&gt;"Completed",Controls_Raw!R1083&lt;&gt;"Not Required"),"Overdue","OK")</f>
        <v>OK</v>
      </c>
      <c r="I1083" t="str">
        <f t="shared" si="16"/>
        <v>Pass</v>
      </c>
    </row>
    <row r="1084" spans="1:9" x14ac:dyDescent="0.2">
      <c r="A1084" t="str">
        <f>Controls_Raw!A1084</f>
        <v>CTRL-1080</v>
      </c>
      <c r="B1084" t="str">
        <f>IF(COUNTIF(Controls_Raw!$A$5:$A$1504,A1084)&gt;1,"Duplicate","OK")</f>
        <v>OK</v>
      </c>
      <c r="C1084" t="str">
        <f>IF(LEN(TRIM(Controls_Raw!I1084))=0,"Missing","OK")</f>
        <v>OK</v>
      </c>
      <c r="D1084" t="str">
        <f>IF(LEN(TRIM(Controls_Raw!N1084))=0,"Missing","OK")</f>
        <v>Missing</v>
      </c>
      <c r="E1084" t="str">
        <f>IF(OR(Controls_Raw!G1084="USA",Controls_Raw!G1084="UK"),"Standardize","OK")</f>
        <v>OK</v>
      </c>
      <c r="F1084" t="str">
        <f>IF(Controls_Raw!E1084&lt;&gt;TRIM(Controls_Raw!E1084),"Trim","OK")</f>
        <v>OK</v>
      </c>
      <c r="G1084" t="str">
        <f>IF(AND(Controls_Raw!L1084&lt;DATE(2026,9,30),Controls_Raw!M1084&lt;&gt;"Completed"),"Overdue","OK")</f>
        <v>OK</v>
      </c>
      <c r="H1084" t="str">
        <f>IF(AND(Controls_Raw!Q1084&lt;DATE(2026,9,30),Controls_Raw!R1084&lt;&gt;"Completed",Controls_Raw!R1084&lt;&gt;"Not Required"),"Overdue","OK")</f>
        <v>Overdue</v>
      </c>
      <c r="I1084" t="str">
        <f t="shared" si="16"/>
        <v>Issue</v>
      </c>
    </row>
    <row r="1085" spans="1:9" x14ac:dyDescent="0.2">
      <c r="A1085" t="str">
        <f>Controls_Raw!A1085</f>
        <v>CTRL-1081</v>
      </c>
      <c r="B1085" t="str">
        <f>IF(COUNTIF(Controls_Raw!$A$5:$A$1504,A1085)&gt;1,"Duplicate","OK")</f>
        <v>OK</v>
      </c>
      <c r="C1085" t="str">
        <f>IF(LEN(TRIM(Controls_Raw!I1085))=0,"Missing","OK")</f>
        <v>OK</v>
      </c>
      <c r="D1085" t="str">
        <f>IF(LEN(TRIM(Controls_Raw!N1085))=0,"Missing","OK")</f>
        <v>OK</v>
      </c>
      <c r="E1085" t="str">
        <f>IF(OR(Controls_Raw!G1085="USA",Controls_Raw!G1085="UK"),"Standardize","OK")</f>
        <v>OK</v>
      </c>
      <c r="F1085" t="str">
        <f>IF(Controls_Raw!E1085&lt;&gt;TRIM(Controls_Raw!E1085),"Trim","OK")</f>
        <v>OK</v>
      </c>
      <c r="G1085" t="str">
        <f>IF(AND(Controls_Raw!L1085&lt;DATE(2026,9,30),Controls_Raw!M1085&lt;&gt;"Completed"),"Overdue","OK")</f>
        <v>OK</v>
      </c>
      <c r="H1085" t="str">
        <f>IF(AND(Controls_Raw!Q1085&lt;DATE(2026,9,30),Controls_Raw!R1085&lt;&gt;"Completed",Controls_Raw!R1085&lt;&gt;"Not Required"),"Overdue","OK")</f>
        <v>Overdue</v>
      </c>
      <c r="I1085" t="str">
        <f t="shared" si="16"/>
        <v>Issue</v>
      </c>
    </row>
    <row r="1086" spans="1:9" x14ac:dyDescent="0.2">
      <c r="A1086" t="str">
        <f>Controls_Raw!A1086</f>
        <v>CTRL-1082</v>
      </c>
      <c r="B1086" t="str">
        <f>IF(COUNTIF(Controls_Raw!$A$5:$A$1504,A1086)&gt;1,"Duplicate","OK")</f>
        <v>OK</v>
      </c>
      <c r="C1086" t="str">
        <f>IF(LEN(TRIM(Controls_Raw!I1086))=0,"Missing","OK")</f>
        <v>Missing</v>
      </c>
      <c r="D1086" t="str">
        <f>IF(LEN(TRIM(Controls_Raw!N1086))=0,"Missing","OK")</f>
        <v>OK</v>
      </c>
      <c r="E1086" t="str">
        <f>IF(OR(Controls_Raw!G1086="USA",Controls_Raw!G1086="UK"),"Standardize","OK")</f>
        <v>OK</v>
      </c>
      <c r="F1086" t="str">
        <f>IF(Controls_Raw!E1086&lt;&gt;TRIM(Controls_Raw!E1086),"Trim","OK")</f>
        <v>OK</v>
      </c>
      <c r="G1086" t="str">
        <f>IF(AND(Controls_Raw!L1086&lt;DATE(2026,9,30),Controls_Raw!M1086&lt;&gt;"Completed"),"Overdue","OK")</f>
        <v>OK</v>
      </c>
      <c r="H1086" t="str">
        <f>IF(AND(Controls_Raw!Q1086&lt;DATE(2026,9,30),Controls_Raw!R1086&lt;&gt;"Completed",Controls_Raw!R1086&lt;&gt;"Not Required"),"Overdue","OK")</f>
        <v>Overdue</v>
      </c>
      <c r="I1086" t="str">
        <f t="shared" si="16"/>
        <v>Issue</v>
      </c>
    </row>
    <row r="1087" spans="1:9" x14ac:dyDescent="0.2">
      <c r="A1087" t="str">
        <f>Controls_Raw!A1087</f>
        <v>CTRL-1083</v>
      </c>
      <c r="B1087" t="str">
        <f>IF(COUNTIF(Controls_Raw!$A$5:$A$1504,A1087)&gt;1,"Duplicate","OK")</f>
        <v>OK</v>
      </c>
      <c r="C1087" t="str">
        <f>IF(LEN(TRIM(Controls_Raw!I1087))=0,"Missing","OK")</f>
        <v>OK</v>
      </c>
      <c r="D1087" t="str">
        <f>IF(LEN(TRIM(Controls_Raw!N1087))=0,"Missing","OK")</f>
        <v>OK</v>
      </c>
      <c r="E1087" t="str">
        <f>IF(OR(Controls_Raw!G1087="USA",Controls_Raw!G1087="UK"),"Standardize","OK")</f>
        <v>OK</v>
      </c>
      <c r="F1087" t="str">
        <f>IF(Controls_Raw!E1087&lt;&gt;TRIM(Controls_Raw!E1087),"Trim","OK")</f>
        <v>OK</v>
      </c>
      <c r="G1087" t="str">
        <f>IF(AND(Controls_Raw!L1087&lt;DATE(2026,9,30),Controls_Raw!M1087&lt;&gt;"Completed"),"Overdue","OK")</f>
        <v>Overdue</v>
      </c>
      <c r="H1087" t="str">
        <f>IF(AND(Controls_Raw!Q1087&lt;DATE(2026,9,30),Controls_Raw!R1087&lt;&gt;"Completed",Controls_Raw!R1087&lt;&gt;"Not Required"),"Overdue","OK")</f>
        <v>OK</v>
      </c>
      <c r="I1087" t="str">
        <f t="shared" si="16"/>
        <v>Issue</v>
      </c>
    </row>
    <row r="1088" spans="1:9" x14ac:dyDescent="0.2">
      <c r="A1088" t="str">
        <f>Controls_Raw!A1088</f>
        <v>CTRL-1084</v>
      </c>
      <c r="B1088" t="str">
        <f>IF(COUNTIF(Controls_Raw!$A$5:$A$1504,A1088)&gt;1,"Duplicate","OK")</f>
        <v>OK</v>
      </c>
      <c r="C1088" t="str">
        <f>IF(LEN(TRIM(Controls_Raw!I1088))=0,"Missing","OK")</f>
        <v>OK</v>
      </c>
      <c r="D1088" t="str">
        <f>IF(LEN(TRIM(Controls_Raw!N1088))=0,"Missing","OK")</f>
        <v>OK</v>
      </c>
      <c r="E1088" t="str">
        <f>IF(OR(Controls_Raw!G1088="USA",Controls_Raw!G1088="UK"),"Standardize","OK")</f>
        <v>OK</v>
      </c>
      <c r="F1088" t="str">
        <f>IF(Controls_Raw!E1088&lt;&gt;TRIM(Controls_Raw!E1088),"Trim","OK")</f>
        <v>OK</v>
      </c>
      <c r="G1088" t="str">
        <f>IF(AND(Controls_Raw!L1088&lt;DATE(2026,9,30),Controls_Raw!M1088&lt;&gt;"Completed"),"Overdue","OK")</f>
        <v>Overdue</v>
      </c>
      <c r="H1088" t="str">
        <f>IF(AND(Controls_Raw!Q1088&lt;DATE(2026,9,30),Controls_Raw!R1088&lt;&gt;"Completed",Controls_Raw!R1088&lt;&gt;"Not Required"),"Overdue","OK")</f>
        <v>OK</v>
      </c>
      <c r="I1088" t="str">
        <f t="shared" si="16"/>
        <v>Issue</v>
      </c>
    </row>
    <row r="1089" spans="1:9" x14ac:dyDescent="0.2">
      <c r="A1089" t="str">
        <f>Controls_Raw!A1089</f>
        <v>CTRL-1085</v>
      </c>
      <c r="B1089" t="str">
        <f>IF(COUNTIF(Controls_Raw!$A$5:$A$1504,A1089)&gt;1,"Duplicate","OK")</f>
        <v>OK</v>
      </c>
      <c r="C1089" t="str">
        <f>IF(LEN(TRIM(Controls_Raw!I1089))=0,"Missing","OK")</f>
        <v>OK</v>
      </c>
      <c r="D1089" t="str">
        <f>IF(LEN(TRIM(Controls_Raw!N1089))=0,"Missing","OK")</f>
        <v>OK</v>
      </c>
      <c r="E1089" t="str">
        <f>IF(OR(Controls_Raw!G1089="USA",Controls_Raw!G1089="UK"),"Standardize","OK")</f>
        <v>OK</v>
      </c>
      <c r="F1089" t="str">
        <f>IF(Controls_Raw!E1089&lt;&gt;TRIM(Controls_Raw!E1089),"Trim","OK")</f>
        <v>OK</v>
      </c>
      <c r="G1089" t="str">
        <f>IF(AND(Controls_Raw!L1089&lt;DATE(2026,9,30),Controls_Raw!M1089&lt;&gt;"Completed"),"Overdue","OK")</f>
        <v>Overdue</v>
      </c>
      <c r="H1089" t="str">
        <f>IF(AND(Controls_Raw!Q1089&lt;DATE(2026,9,30),Controls_Raw!R1089&lt;&gt;"Completed",Controls_Raw!R1089&lt;&gt;"Not Required"),"Overdue","OK")</f>
        <v>OK</v>
      </c>
      <c r="I1089" t="str">
        <f t="shared" si="16"/>
        <v>Issue</v>
      </c>
    </row>
    <row r="1090" spans="1:9" x14ac:dyDescent="0.2">
      <c r="A1090" t="str">
        <f>Controls_Raw!A1090</f>
        <v>CTRL-1086</v>
      </c>
      <c r="B1090" t="str">
        <f>IF(COUNTIF(Controls_Raw!$A$5:$A$1504,A1090)&gt;1,"Duplicate","OK")</f>
        <v>OK</v>
      </c>
      <c r="C1090" t="str">
        <f>IF(LEN(TRIM(Controls_Raw!I1090))=0,"Missing","OK")</f>
        <v>OK</v>
      </c>
      <c r="D1090" t="str">
        <f>IF(LEN(TRIM(Controls_Raw!N1090))=0,"Missing","OK")</f>
        <v>OK</v>
      </c>
      <c r="E1090" t="str">
        <f>IF(OR(Controls_Raw!G1090="USA",Controls_Raw!G1090="UK"),"Standardize","OK")</f>
        <v>OK</v>
      </c>
      <c r="F1090" t="str">
        <f>IF(Controls_Raw!E1090&lt;&gt;TRIM(Controls_Raw!E1090),"Trim","OK")</f>
        <v>OK</v>
      </c>
      <c r="G1090" t="str">
        <f>IF(AND(Controls_Raw!L1090&lt;DATE(2026,9,30),Controls_Raw!M1090&lt;&gt;"Completed"),"Overdue","OK")</f>
        <v>Overdue</v>
      </c>
      <c r="H1090" t="str">
        <f>IF(AND(Controls_Raw!Q1090&lt;DATE(2026,9,30),Controls_Raw!R1090&lt;&gt;"Completed",Controls_Raw!R1090&lt;&gt;"Not Required"),"Overdue","OK")</f>
        <v>OK</v>
      </c>
      <c r="I1090" t="str">
        <f t="shared" si="16"/>
        <v>Issue</v>
      </c>
    </row>
    <row r="1091" spans="1:9" x14ac:dyDescent="0.2">
      <c r="A1091" t="str">
        <f>Controls_Raw!A1091</f>
        <v>CTRL-1087</v>
      </c>
      <c r="B1091" t="str">
        <f>IF(COUNTIF(Controls_Raw!$A$5:$A$1504,A1091)&gt;1,"Duplicate","OK")</f>
        <v>OK</v>
      </c>
      <c r="C1091" t="str">
        <f>IF(LEN(TRIM(Controls_Raw!I1091))=0,"Missing","OK")</f>
        <v>OK</v>
      </c>
      <c r="D1091" t="str">
        <f>IF(LEN(TRIM(Controls_Raw!N1091))=0,"Missing","OK")</f>
        <v>OK</v>
      </c>
      <c r="E1091" t="str">
        <f>IF(OR(Controls_Raw!G1091="USA",Controls_Raw!G1091="UK"),"Standardize","OK")</f>
        <v>OK</v>
      </c>
      <c r="F1091" t="str">
        <f>IF(Controls_Raw!E1091&lt;&gt;TRIM(Controls_Raw!E1091),"Trim","OK")</f>
        <v>OK</v>
      </c>
      <c r="G1091" t="str">
        <f>IF(AND(Controls_Raw!L1091&lt;DATE(2026,9,30),Controls_Raw!M1091&lt;&gt;"Completed"),"Overdue","OK")</f>
        <v>OK</v>
      </c>
      <c r="H1091" t="str">
        <f>IF(AND(Controls_Raw!Q1091&lt;DATE(2026,9,30),Controls_Raw!R1091&lt;&gt;"Completed",Controls_Raw!R1091&lt;&gt;"Not Required"),"Overdue","OK")</f>
        <v>OK</v>
      </c>
      <c r="I1091" t="str">
        <f t="shared" si="16"/>
        <v>Pass</v>
      </c>
    </row>
    <row r="1092" spans="1:9" x14ac:dyDescent="0.2">
      <c r="A1092" t="str">
        <f>Controls_Raw!A1092</f>
        <v>CTRL-1088</v>
      </c>
      <c r="B1092" t="str">
        <f>IF(COUNTIF(Controls_Raw!$A$5:$A$1504,A1092)&gt;1,"Duplicate","OK")</f>
        <v>OK</v>
      </c>
      <c r="C1092" t="str">
        <f>IF(LEN(TRIM(Controls_Raw!I1092))=0,"Missing","OK")</f>
        <v>OK</v>
      </c>
      <c r="D1092" t="str">
        <f>IF(LEN(TRIM(Controls_Raw!N1092))=0,"Missing","OK")</f>
        <v>OK</v>
      </c>
      <c r="E1092" t="str">
        <f>IF(OR(Controls_Raw!G1092="USA",Controls_Raw!G1092="UK"),"Standardize","OK")</f>
        <v>OK</v>
      </c>
      <c r="F1092" t="str">
        <f>IF(Controls_Raw!E1092&lt;&gt;TRIM(Controls_Raw!E1092),"Trim","OK")</f>
        <v>OK</v>
      </c>
      <c r="G1092" t="str">
        <f>IF(AND(Controls_Raw!L1092&lt;DATE(2026,9,30),Controls_Raw!M1092&lt;&gt;"Completed"),"Overdue","OK")</f>
        <v>Overdue</v>
      </c>
      <c r="H1092" t="str">
        <f>IF(AND(Controls_Raw!Q1092&lt;DATE(2026,9,30),Controls_Raw!R1092&lt;&gt;"Completed",Controls_Raw!R1092&lt;&gt;"Not Required"),"Overdue","OK")</f>
        <v>OK</v>
      </c>
      <c r="I1092" t="str">
        <f t="shared" si="16"/>
        <v>Issue</v>
      </c>
    </row>
    <row r="1093" spans="1:9" x14ac:dyDescent="0.2">
      <c r="A1093" t="str">
        <f>Controls_Raw!A1093</f>
        <v>CTRL-1089</v>
      </c>
      <c r="B1093" t="str">
        <f>IF(COUNTIF(Controls_Raw!$A$5:$A$1504,A1093)&gt;1,"Duplicate","OK")</f>
        <v>OK</v>
      </c>
      <c r="C1093" t="str">
        <f>IF(LEN(TRIM(Controls_Raw!I1093))=0,"Missing","OK")</f>
        <v>OK</v>
      </c>
      <c r="D1093" t="str">
        <f>IF(LEN(TRIM(Controls_Raw!N1093))=0,"Missing","OK")</f>
        <v>OK</v>
      </c>
      <c r="E1093" t="str">
        <f>IF(OR(Controls_Raw!G1093="USA",Controls_Raw!G1093="UK"),"Standardize","OK")</f>
        <v>OK</v>
      </c>
      <c r="F1093" t="str">
        <f>IF(Controls_Raw!E1093&lt;&gt;TRIM(Controls_Raw!E1093),"Trim","OK")</f>
        <v>OK</v>
      </c>
      <c r="G1093" t="str">
        <f>IF(AND(Controls_Raw!L1093&lt;DATE(2026,9,30),Controls_Raw!M1093&lt;&gt;"Completed"),"Overdue","OK")</f>
        <v>Overdue</v>
      </c>
      <c r="H1093" t="str">
        <f>IF(AND(Controls_Raw!Q1093&lt;DATE(2026,9,30),Controls_Raw!R1093&lt;&gt;"Completed",Controls_Raw!R1093&lt;&gt;"Not Required"),"Overdue","OK")</f>
        <v>OK</v>
      </c>
      <c r="I1093" t="str">
        <f t="shared" ref="I1093:I1156" si="17">IF(COUNTIF(B1093:H1093,"&lt;&gt;OK")&gt;0,"Issue","Pass")</f>
        <v>Issue</v>
      </c>
    </row>
    <row r="1094" spans="1:9" x14ac:dyDescent="0.2">
      <c r="A1094" t="str">
        <f>Controls_Raw!A1094</f>
        <v>CTRL-1090</v>
      </c>
      <c r="B1094" t="str">
        <f>IF(COUNTIF(Controls_Raw!$A$5:$A$1504,A1094)&gt;1,"Duplicate","OK")</f>
        <v>OK</v>
      </c>
      <c r="C1094" t="str">
        <f>IF(LEN(TRIM(Controls_Raw!I1094))=0,"Missing","OK")</f>
        <v>OK</v>
      </c>
      <c r="D1094" t="str">
        <f>IF(LEN(TRIM(Controls_Raw!N1094))=0,"Missing","OK")</f>
        <v>OK</v>
      </c>
      <c r="E1094" t="str">
        <f>IF(OR(Controls_Raw!G1094="USA",Controls_Raw!G1094="UK"),"Standardize","OK")</f>
        <v>OK</v>
      </c>
      <c r="F1094" t="str">
        <f>IF(Controls_Raw!E1094&lt;&gt;TRIM(Controls_Raw!E1094),"Trim","OK")</f>
        <v>OK</v>
      </c>
      <c r="G1094" t="str">
        <f>IF(AND(Controls_Raw!L1094&lt;DATE(2026,9,30),Controls_Raw!M1094&lt;&gt;"Completed"),"Overdue","OK")</f>
        <v>OK</v>
      </c>
      <c r="H1094" t="str">
        <f>IF(AND(Controls_Raw!Q1094&lt;DATE(2026,9,30),Controls_Raw!R1094&lt;&gt;"Completed",Controls_Raw!R1094&lt;&gt;"Not Required"),"Overdue","OK")</f>
        <v>OK</v>
      </c>
      <c r="I1094" t="str">
        <f t="shared" si="17"/>
        <v>Pass</v>
      </c>
    </row>
    <row r="1095" spans="1:9" x14ac:dyDescent="0.2">
      <c r="A1095" t="str">
        <f>Controls_Raw!A1095</f>
        <v>CTRL-1091</v>
      </c>
      <c r="B1095" t="str">
        <f>IF(COUNTIF(Controls_Raw!$A$5:$A$1504,A1095)&gt;1,"Duplicate","OK")</f>
        <v>OK</v>
      </c>
      <c r="C1095" t="str">
        <f>IF(LEN(TRIM(Controls_Raw!I1095))=0,"Missing","OK")</f>
        <v>OK</v>
      </c>
      <c r="D1095" t="str">
        <f>IF(LEN(TRIM(Controls_Raw!N1095))=0,"Missing","OK")</f>
        <v>OK</v>
      </c>
      <c r="E1095" t="str">
        <f>IF(OR(Controls_Raw!G1095="USA",Controls_Raw!G1095="UK"),"Standardize","OK")</f>
        <v>OK</v>
      </c>
      <c r="F1095" t="str">
        <f>IF(Controls_Raw!E1095&lt;&gt;TRIM(Controls_Raw!E1095),"Trim","OK")</f>
        <v>OK</v>
      </c>
      <c r="G1095" t="str">
        <f>IF(AND(Controls_Raw!L1095&lt;DATE(2026,9,30),Controls_Raw!M1095&lt;&gt;"Completed"),"Overdue","OK")</f>
        <v>OK</v>
      </c>
      <c r="H1095" t="str">
        <f>IF(AND(Controls_Raw!Q1095&lt;DATE(2026,9,30),Controls_Raw!R1095&lt;&gt;"Completed",Controls_Raw!R1095&lt;&gt;"Not Required"),"Overdue","OK")</f>
        <v>OK</v>
      </c>
      <c r="I1095" t="str">
        <f t="shared" si="17"/>
        <v>Pass</v>
      </c>
    </row>
    <row r="1096" spans="1:9" x14ac:dyDescent="0.2">
      <c r="A1096" t="str">
        <f>Controls_Raw!A1096</f>
        <v>CTRL-1092</v>
      </c>
      <c r="B1096" t="str">
        <f>IF(COUNTIF(Controls_Raw!$A$5:$A$1504,A1096)&gt;1,"Duplicate","OK")</f>
        <v>OK</v>
      </c>
      <c r="C1096" t="str">
        <f>IF(LEN(TRIM(Controls_Raw!I1096))=0,"Missing","OK")</f>
        <v>OK</v>
      </c>
      <c r="D1096" t="str">
        <f>IF(LEN(TRIM(Controls_Raw!N1096))=0,"Missing","OK")</f>
        <v>OK</v>
      </c>
      <c r="E1096" t="str">
        <f>IF(OR(Controls_Raw!G1096="USA",Controls_Raw!G1096="UK"),"Standardize","OK")</f>
        <v>OK</v>
      </c>
      <c r="F1096" t="str">
        <f>IF(Controls_Raw!E1096&lt;&gt;TRIM(Controls_Raw!E1096),"Trim","OK")</f>
        <v>OK</v>
      </c>
      <c r="G1096" t="str">
        <f>IF(AND(Controls_Raw!L1096&lt;DATE(2026,9,30),Controls_Raw!M1096&lt;&gt;"Completed"),"Overdue","OK")</f>
        <v>Overdue</v>
      </c>
      <c r="H1096" t="str">
        <f>IF(AND(Controls_Raw!Q1096&lt;DATE(2026,9,30),Controls_Raw!R1096&lt;&gt;"Completed",Controls_Raw!R1096&lt;&gt;"Not Required"),"Overdue","OK")</f>
        <v>OK</v>
      </c>
      <c r="I1096" t="str">
        <f t="shared" si="17"/>
        <v>Issue</v>
      </c>
    </row>
    <row r="1097" spans="1:9" x14ac:dyDescent="0.2">
      <c r="A1097" t="str">
        <f>Controls_Raw!A1097</f>
        <v>CTRL-1093</v>
      </c>
      <c r="B1097" t="str">
        <f>IF(COUNTIF(Controls_Raw!$A$5:$A$1504,A1097)&gt;1,"Duplicate","OK")</f>
        <v>OK</v>
      </c>
      <c r="C1097" t="str">
        <f>IF(LEN(TRIM(Controls_Raw!I1097))=0,"Missing","OK")</f>
        <v>OK</v>
      </c>
      <c r="D1097" t="str">
        <f>IF(LEN(TRIM(Controls_Raw!N1097))=0,"Missing","OK")</f>
        <v>OK</v>
      </c>
      <c r="E1097" t="str">
        <f>IF(OR(Controls_Raw!G1097="USA",Controls_Raw!G1097="UK"),"Standardize","OK")</f>
        <v>OK</v>
      </c>
      <c r="F1097" t="str">
        <f>IF(Controls_Raw!E1097&lt;&gt;TRIM(Controls_Raw!E1097),"Trim","OK")</f>
        <v>OK</v>
      </c>
      <c r="G1097" t="str">
        <f>IF(AND(Controls_Raw!L1097&lt;DATE(2026,9,30),Controls_Raw!M1097&lt;&gt;"Completed"),"Overdue","OK")</f>
        <v>OK</v>
      </c>
      <c r="H1097" t="str">
        <f>IF(AND(Controls_Raw!Q1097&lt;DATE(2026,9,30),Controls_Raw!R1097&lt;&gt;"Completed",Controls_Raw!R1097&lt;&gt;"Not Required"),"Overdue","OK")</f>
        <v>OK</v>
      </c>
      <c r="I1097" t="str">
        <f t="shared" si="17"/>
        <v>Pass</v>
      </c>
    </row>
    <row r="1098" spans="1:9" x14ac:dyDescent="0.2">
      <c r="A1098" t="str">
        <f>Controls_Raw!A1098</f>
        <v>CTRL-1094</v>
      </c>
      <c r="B1098" t="str">
        <f>IF(COUNTIF(Controls_Raw!$A$5:$A$1504,A1098)&gt;1,"Duplicate","OK")</f>
        <v>OK</v>
      </c>
      <c r="C1098" t="str">
        <f>IF(LEN(TRIM(Controls_Raw!I1098))=0,"Missing","OK")</f>
        <v>OK</v>
      </c>
      <c r="D1098" t="str">
        <f>IF(LEN(TRIM(Controls_Raw!N1098))=0,"Missing","OK")</f>
        <v>OK</v>
      </c>
      <c r="E1098" t="str">
        <f>IF(OR(Controls_Raw!G1098="USA",Controls_Raw!G1098="UK"),"Standardize","OK")</f>
        <v>OK</v>
      </c>
      <c r="F1098" t="str">
        <f>IF(Controls_Raw!E1098&lt;&gt;TRIM(Controls_Raw!E1098),"Trim","OK")</f>
        <v>OK</v>
      </c>
      <c r="G1098" t="str">
        <f>IF(AND(Controls_Raw!L1098&lt;DATE(2026,9,30),Controls_Raw!M1098&lt;&gt;"Completed"),"Overdue","OK")</f>
        <v>OK</v>
      </c>
      <c r="H1098" t="str">
        <f>IF(AND(Controls_Raw!Q1098&lt;DATE(2026,9,30),Controls_Raw!R1098&lt;&gt;"Completed",Controls_Raw!R1098&lt;&gt;"Not Required"),"Overdue","OK")</f>
        <v>OK</v>
      </c>
      <c r="I1098" t="str">
        <f t="shared" si="17"/>
        <v>Pass</v>
      </c>
    </row>
    <row r="1099" spans="1:9" x14ac:dyDescent="0.2">
      <c r="A1099" t="str">
        <f>Controls_Raw!A1099</f>
        <v>CTRL-1095</v>
      </c>
      <c r="B1099" t="str">
        <f>IF(COUNTIF(Controls_Raw!$A$5:$A$1504,A1099)&gt;1,"Duplicate","OK")</f>
        <v>OK</v>
      </c>
      <c r="C1099" t="str">
        <f>IF(LEN(TRIM(Controls_Raw!I1099))=0,"Missing","OK")</f>
        <v>OK</v>
      </c>
      <c r="D1099" t="str">
        <f>IF(LEN(TRIM(Controls_Raw!N1099))=0,"Missing","OK")</f>
        <v>OK</v>
      </c>
      <c r="E1099" t="str">
        <f>IF(OR(Controls_Raw!G1099="USA",Controls_Raw!G1099="UK"),"Standardize","OK")</f>
        <v>OK</v>
      </c>
      <c r="F1099" t="str">
        <f>IF(Controls_Raw!E1099&lt;&gt;TRIM(Controls_Raw!E1099),"Trim","OK")</f>
        <v>OK</v>
      </c>
      <c r="G1099" t="str">
        <f>IF(AND(Controls_Raw!L1099&lt;DATE(2026,9,30),Controls_Raw!M1099&lt;&gt;"Completed"),"Overdue","OK")</f>
        <v>OK</v>
      </c>
      <c r="H1099" t="str">
        <f>IF(AND(Controls_Raw!Q1099&lt;DATE(2026,9,30),Controls_Raw!R1099&lt;&gt;"Completed",Controls_Raw!R1099&lt;&gt;"Not Required"),"Overdue","OK")</f>
        <v>OK</v>
      </c>
      <c r="I1099" t="str">
        <f t="shared" si="17"/>
        <v>Pass</v>
      </c>
    </row>
    <row r="1100" spans="1:9" x14ac:dyDescent="0.2">
      <c r="A1100" t="str">
        <f>Controls_Raw!A1100</f>
        <v>CTRL-1096</v>
      </c>
      <c r="B1100" t="str">
        <f>IF(COUNTIF(Controls_Raw!$A$5:$A$1504,A1100)&gt;1,"Duplicate","OK")</f>
        <v>OK</v>
      </c>
      <c r="C1100" t="str">
        <f>IF(LEN(TRIM(Controls_Raw!I1100))=0,"Missing","OK")</f>
        <v>OK</v>
      </c>
      <c r="D1100" t="str">
        <f>IF(LEN(TRIM(Controls_Raw!N1100))=0,"Missing","OK")</f>
        <v>OK</v>
      </c>
      <c r="E1100" t="str">
        <f>IF(OR(Controls_Raw!G1100="USA",Controls_Raw!G1100="UK"),"Standardize","OK")</f>
        <v>OK</v>
      </c>
      <c r="F1100" t="str">
        <f>IF(Controls_Raw!E1100&lt;&gt;TRIM(Controls_Raw!E1100),"Trim","OK")</f>
        <v>Trim</v>
      </c>
      <c r="G1100" t="str">
        <f>IF(AND(Controls_Raw!L1100&lt;DATE(2026,9,30),Controls_Raw!M1100&lt;&gt;"Completed"),"Overdue","OK")</f>
        <v>OK</v>
      </c>
      <c r="H1100" t="str">
        <f>IF(AND(Controls_Raw!Q1100&lt;DATE(2026,9,30),Controls_Raw!R1100&lt;&gt;"Completed",Controls_Raw!R1100&lt;&gt;"Not Required"),"Overdue","OK")</f>
        <v>OK</v>
      </c>
      <c r="I1100" t="str">
        <f t="shared" si="17"/>
        <v>Issue</v>
      </c>
    </row>
    <row r="1101" spans="1:9" x14ac:dyDescent="0.2">
      <c r="A1101" t="str">
        <f>Controls_Raw!A1101</f>
        <v>CTRL-1097</v>
      </c>
      <c r="B1101" t="str">
        <f>IF(COUNTIF(Controls_Raw!$A$5:$A$1504,A1101)&gt;1,"Duplicate","OK")</f>
        <v>OK</v>
      </c>
      <c r="C1101" t="str">
        <f>IF(LEN(TRIM(Controls_Raw!I1101))=0,"Missing","OK")</f>
        <v>OK</v>
      </c>
      <c r="D1101" t="str">
        <f>IF(LEN(TRIM(Controls_Raw!N1101))=0,"Missing","OK")</f>
        <v>OK</v>
      </c>
      <c r="E1101" t="str">
        <f>IF(OR(Controls_Raw!G1101="USA",Controls_Raw!G1101="UK"),"Standardize","OK")</f>
        <v>OK</v>
      </c>
      <c r="F1101" t="str">
        <f>IF(Controls_Raw!E1101&lt;&gt;TRIM(Controls_Raw!E1101),"Trim","OK")</f>
        <v>OK</v>
      </c>
      <c r="G1101" t="str">
        <f>IF(AND(Controls_Raw!L1101&lt;DATE(2026,9,30),Controls_Raw!M1101&lt;&gt;"Completed"),"Overdue","OK")</f>
        <v>Overdue</v>
      </c>
      <c r="H1101" t="str">
        <f>IF(AND(Controls_Raw!Q1101&lt;DATE(2026,9,30),Controls_Raw!R1101&lt;&gt;"Completed",Controls_Raw!R1101&lt;&gt;"Not Required"),"Overdue","OK")</f>
        <v>Overdue</v>
      </c>
      <c r="I1101" t="str">
        <f t="shared" si="17"/>
        <v>Issue</v>
      </c>
    </row>
    <row r="1102" spans="1:9" x14ac:dyDescent="0.2">
      <c r="A1102" t="str">
        <f>Controls_Raw!A1102</f>
        <v>CTRL-1098</v>
      </c>
      <c r="B1102" t="str">
        <f>IF(COUNTIF(Controls_Raw!$A$5:$A$1504,A1102)&gt;1,"Duplicate","OK")</f>
        <v>OK</v>
      </c>
      <c r="C1102" t="str">
        <f>IF(LEN(TRIM(Controls_Raw!I1102))=0,"Missing","OK")</f>
        <v>OK</v>
      </c>
      <c r="D1102" t="str">
        <f>IF(LEN(TRIM(Controls_Raw!N1102))=0,"Missing","OK")</f>
        <v>OK</v>
      </c>
      <c r="E1102" t="str">
        <f>IF(OR(Controls_Raw!G1102="USA",Controls_Raw!G1102="UK"),"Standardize","OK")</f>
        <v>OK</v>
      </c>
      <c r="F1102" t="str">
        <f>IF(Controls_Raw!E1102&lt;&gt;TRIM(Controls_Raw!E1102),"Trim","OK")</f>
        <v>OK</v>
      </c>
      <c r="G1102" t="str">
        <f>IF(AND(Controls_Raw!L1102&lt;DATE(2026,9,30),Controls_Raw!M1102&lt;&gt;"Completed"),"Overdue","OK")</f>
        <v>Overdue</v>
      </c>
      <c r="H1102" t="str">
        <f>IF(AND(Controls_Raw!Q1102&lt;DATE(2026,9,30),Controls_Raw!R1102&lt;&gt;"Completed",Controls_Raw!R1102&lt;&gt;"Not Required"),"Overdue","OK")</f>
        <v>OK</v>
      </c>
      <c r="I1102" t="str">
        <f t="shared" si="17"/>
        <v>Issue</v>
      </c>
    </row>
    <row r="1103" spans="1:9" x14ac:dyDescent="0.2">
      <c r="A1103" t="str">
        <f>Controls_Raw!A1103</f>
        <v>CTRL-1099</v>
      </c>
      <c r="B1103" t="str">
        <f>IF(COUNTIF(Controls_Raw!$A$5:$A$1504,A1103)&gt;1,"Duplicate","OK")</f>
        <v>OK</v>
      </c>
      <c r="C1103" t="str">
        <f>IF(LEN(TRIM(Controls_Raw!I1103))=0,"Missing","OK")</f>
        <v>OK</v>
      </c>
      <c r="D1103" t="str">
        <f>IF(LEN(TRIM(Controls_Raw!N1103))=0,"Missing","OK")</f>
        <v>OK</v>
      </c>
      <c r="E1103" t="str">
        <f>IF(OR(Controls_Raw!G1103="USA",Controls_Raw!G1103="UK"),"Standardize","OK")</f>
        <v>OK</v>
      </c>
      <c r="F1103" t="str">
        <f>IF(Controls_Raw!E1103&lt;&gt;TRIM(Controls_Raw!E1103),"Trim","OK")</f>
        <v>OK</v>
      </c>
      <c r="G1103" t="str">
        <f>IF(AND(Controls_Raw!L1103&lt;DATE(2026,9,30),Controls_Raw!M1103&lt;&gt;"Completed"),"Overdue","OK")</f>
        <v>OK</v>
      </c>
      <c r="H1103" t="str">
        <f>IF(AND(Controls_Raw!Q1103&lt;DATE(2026,9,30),Controls_Raw!R1103&lt;&gt;"Completed",Controls_Raw!R1103&lt;&gt;"Not Required"),"Overdue","OK")</f>
        <v>OK</v>
      </c>
      <c r="I1103" t="str">
        <f t="shared" si="17"/>
        <v>Pass</v>
      </c>
    </row>
    <row r="1104" spans="1:9" x14ac:dyDescent="0.2">
      <c r="A1104" t="str">
        <f>Controls_Raw!A1104</f>
        <v>CTRL-1100</v>
      </c>
      <c r="B1104" t="str">
        <f>IF(COUNTIF(Controls_Raw!$A$5:$A$1504,A1104)&gt;1,"Duplicate","OK")</f>
        <v>OK</v>
      </c>
      <c r="C1104" t="str">
        <f>IF(LEN(TRIM(Controls_Raw!I1104))=0,"Missing","OK")</f>
        <v>OK</v>
      </c>
      <c r="D1104" t="str">
        <f>IF(LEN(TRIM(Controls_Raw!N1104))=0,"Missing","OK")</f>
        <v>OK</v>
      </c>
      <c r="E1104" t="str">
        <f>IF(OR(Controls_Raw!G1104="USA",Controls_Raw!G1104="UK"),"Standardize","OK")</f>
        <v>OK</v>
      </c>
      <c r="F1104" t="str">
        <f>IF(Controls_Raw!E1104&lt;&gt;TRIM(Controls_Raw!E1104),"Trim","OK")</f>
        <v>OK</v>
      </c>
      <c r="G1104" t="str">
        <f>IF(AND(Controls_Raw!L1104&lt;DATE(2026,9,30),Controls_Raw!M1104&lt;&gt;"Completed"),"Overdue","OK")</f>
        <v>Overdue</v>
      </c>
      <c r="H1104" t="str">
        <f>IF(AND(Controls_Raw!Q1104&lt;DATE(2026,9,30),Controls_Raw!R1104&lt;&gt;"Completed",Controls_Raw!R1104&lt;&gt;"Not Required"),"Overdue","OK")</f>
        <v>OK</v>
      </c>
      <c r="I1104" t="str">
        <f t="shared" si="17"/>
        <v>Issue</v>
      </c>
    </row>
    <row r="1105" spans="1:9" x14ac:dyDescent="0.2">
      <c r="A1105" t="str">
        <f>Controls_Raw!A1105</f>
        <v>CTRL-1101</v>
      </c>
      <c r="B1105" t="str">
        <f>IF(COUNTIF(Controls_Raw!$A$5:$A$1504,A1105)&gt;1,"Duplicate","OK")</f>
        <v>OK</v>
      </c>
      <c r="C1105" t="str">
        <f>IF(LEN(TRIM(Controls_Raw!I1105))=0,"Missing","OK")</f>
        <v>OK</v>
      </c>
      <c r="D1105" t="str">
        <f>IF(LEN(TRIM(Controls_Raw!N1105))=0,"Missing","OK")</f>
        <v>OK</v>
      </c>
      <c r="E1105" t="str">
        <f>IF(OR(Controls_Raw!G1105="USA",Controls_Raw!G1105="UK"),"Standardize","OK")</f>
        <v>OK</v>
      </c>
      <c r="F1105" t="str">
        <f>IF(Controls_Raw!E1105&lt;&gt;TRIM(Controls_Raw!E1105),"Trim","OK")</f>
        <v>OK</v>
      </c>
      <c r="G1105" t="str">
        <f>IF(AND(Controls_Raw!L1105&lt;DATE(2026,9,30),Controls_Raw!M1105&lt;&gt;"Completed"),"Overdue","OK")</f>
        <v>Overdue</v>
      </c>
      <c r="H1105" t="str">
        <f>IF(AND(Controls_Raw!Q1105&lt;DATE(2026,9,30),Controls_Raw!R1105&lt;&gt;"Completed",Controls_Raw!R1105&lt;&gt;"Not Required"),"Overdue","OK")</f>
        <v>OK</v>
      </c>
      <c r="I1105" t="str">
        <f t="shared" si="17"/>
        <v>Issue</v>
      </c>
    </row>
    <row r="1106" spans="1:9" x14ac:dyDescent="0.2">
      <c r="A1106" t="str">
        <f>Controls_Raw!A1106</f>
        <v>CTRL-1102</v>
      </c>
      <c r="B1106" t="str">
        <f>IF(COUNTIF(Controls_Raw!$A$5:$A$1504,A1106)&gt;1,"Duplicate","OK")</f>
        <v>OK</v>
      </c>
      <c r="C1106" t="str">
        <f>IF(LEN(TRIM(Controls_Raw!I1106))=0,"Missing","OK")</f>
        <v>OK</v>
      </c>
      <c r="D1106" t="str">
        <f>IF(LEN(TRIM(Controls_Raw!N1106))=0,"Missing","OK")</f>
        <v>OK</v>
      </c>
      <c r="E1106" t="str">
        <f>IF(OR(Controls_Raw!G1106="USA",Controls_Raw!G1106="UK"),"Standardize","OK")</f>
        <v>OK</v>
      </c>
      <c r="F1106" t="str">
        <f>IF(Controls_Raw!E1106&lt;&gt;TRIM(Controls_Raw!E1106),"Trim","OK")</f>
        <v>OK</v>
      </c>
      <c r="G1106" t="str">
        <f>IF(AND(Controls_Raw!L1106&lt;DATE(2026,9,30),Controls_Raw!M1106&lt;&gt;"Completed"),"Overdue","OK")</f>
        <v>OK</v>
      </c>
      <c r="H1106" t="str">
        <f>IF(AND(Controls_Raw!Q1106&lt;DATE(2026,9,30),Controls_Raw!R1106&lt;&gt;"Completed",Controls_Raw!R1106&lt;&gt;"Not Required"),"Overdue","OK")</f>
        <v>OK</v>
      </c>
      <c r="I1106" t="str">
        <f t="shared" si="17"/>
        <v>Pass</v>
      </c>
    </row>
    <row r="1107" spans="1:9" x14ac:dyDescent="0.2">
      <c r="A1107" t="str">
        <f>Controls_Raw!A1107</f>
        <v>CTRL-1103</v>
      </c>
      <c r="B1107" t="str">
        <f>IF(COUNTIF(Controls_Raw!$A$5:$A$1504,A1107)&gt;1,"Duplicate","OK")</f>
        <v>OK</v>
      </c>
      <c r="C1107" t="str">
        <f>IF(LEN(TRIM(Controls_Raw!I1107))=0,"Missing","OK")</f>
        <v>OK</v>
      </c>
      <c r="D1107" t="str">
        <f>IF(LEN(TRIM(Controls_Raw!N1107))=0,"Missing","OK")</f>
        <v>OK</v>
      </c>
      <c r="E1107" t="str">
        <f>IF(OR(Controls_Raw!G1107="USA",Controls_Raw!G1107="UK"),"Standardize","OK")</f>
        <v>OK</v>
      </c>
      <c r="F1107" t="str">
        <f>IF(Controls_Raw!E1107&lt;&gt;TRIM(Controls_Raw!E1107),"Trim","OK")</f>
        <v>OK</v>
      </c>
      <c r="G1107" t="str">
        <f>IF(AND(Controls_Raw!L1107&lt;DATE(2026,9,30),Controls_Raw!M1107&lt;&gt;"Completed"),"Overdue","OK")</f>
        <v>Overdue</v>
      </c>
      <c r="H1107" t="str">
        <f>IF(AND(Controls_Raw!Q1107&lt;DATE(2026,9,30),Controls_Raw!R1107&lt;&gt;"Completed",Controls_Raw!R1107&lt;&gt;"Not Required"),"Overdue","OK")</f>
        <v>OK</v>
      </c>
      <c r="I1107" t="str">
        <f t="shared" si="17"/>
        <v>Issue</v>
      </c>
    </row>
    <row r="1108" spans="1:9" x14ac:dyDescent="0.2">
      <c r="A1108" t="str">
        <f>Controls_Raw!A1108</f>
        <v>CTRL-1104</v>
      </c>
      <c r="B1108" t="str">
        <f>IF(COUNTIF(Controls_Raw!$A$5:$A$1504,A1108)&gt;1,"Duplicate","OK")</f>
        <v>OK</v>
      </c>
      <c r="C1108" t="str">
        <f>IF(LEN(TRIM(Controls_Raw!I1108))=0,"Missing","OK")</f>
        <v>OK</v>
      </c>
      <c r="D1108" t="str">
        <f>IF(LEN(TRIM(Controls_Raw!N1108))=0,"Missing","OK")</f>
        <v>OK</v>
      </c>
      <c r="E1108" t="str">
        <f>IF(OR(Controls_Raw!G1108="USA",Controls_Raw!G1108="UK"),"Standardize","OK")</f>
        <v>OK</v>
      </c>
      <c r="F1108" t="str">
        <f>IF(Controls_Raw!E1108&lt;&gt;TRIM(Controls_Raw!E1108),"Trim","OK")</f>
        <v>OK</v>
      </c>
      <c r="G1108" t="str">
        <f>IF(AND(Controls_Raw!L1108&lt;DATE(2026,9,30),Controls_Raw!M1108&lt;&gt;"Completed"),"Overdue","OK")</f>
        <v>Overdue</v>
      </c>
      <c r="H1108" t="str">
        <f>IF(AND(Controls_Raw!Q1108&lt;DATE(2026,9,30),Controls_Raw!R1108&lt;&gt;"Completed",Controls_Raw!R1108&lt;&gt;"Not Required"),"Overdue","OK")</f>
        <v>OK</v>
      </c>
      <c r="I1108" t="str">
        <f t="shared" si="17"/>
        <v>Issue</v>
      </c>
    </row>
    <row r="1109" spans="1:9" x14ac:dyDescent="0.2">
      <c r="A1109" t="str">
        <f>Controls_Raw!A1109</f>
        <v>CTRL-1105</v>
      </c>
      <c r="B1109" t="str">
        <f>IF(COUNTIF(Controls_Raw!$A$5:$A$1504,A1109)&gt;1,"Duplicate","OK")</f>
        <v>OK</v>
      </c>
      <c r="C1109" t="str">
        <f>IF(LEN(TRIM(Controls_Raw!I1109))=0,"Missing","OK")</f>
        <v>OK</v>
      </c>
      <c r="D1109" t="str">
        <f>IF(LEN(TRIM(Controls_Raw!N1109))=0,"Missing","OK")</f>
        <v>OK</v>
      </c>
      <c r="E1109" t="str">
        <f>IF(OR(Controls_Raw!G1109="USA",Controls_Raw!G1109="UK"),"Standardize","OK")</f>
        <v>OK</v>
      </c>
      <c r="F1109" t="str">
        <f>IF(Controls_Raw!E1109&lt;&gt;TRIM(Controls_Raw!E1109),"Trim","OK")</f>
        <v>OK</v>
      </c>
      <c r="G1109" t="str">
        <f>IF(AND(Controls_Raw!L1109&lt;DATE(2026,9,30),Controls_Raw!M1109&lt;&gt;"Completed"),"Overdue","OK")</f>
        <v>OK</v>
      </c>
      <c r="H1109" t="str">
        <f>IF(AND(Controls_Raw!Q1109&lt;DATE(2026,9,30),Controls_Raw!R1109&lt;&gt;"Completed",Controls_Raw!R1109&lt;&gt;"Not Required"),"Overdue","OK")</f>
        <v>OK</v>
      </c>
      <c r="I1109" t="str">
        <f t="shared" si="17"/>
        <v>Pass</v>
      </c>
    </row>
    <row r="1110" spans="1:9" x14ac:dyDescent="0.2">
      <c r="A1110" t="str">
        <f>Controls_Raw!A1110</f>
        <v>CTRL-1106</v>
      </c>
      <c r="B1110" t="str">
        <f>IF(COUNTIF(Controls_Raw!$A$5:$A$1504,A1110)&gt;1,"Duplicate","OK")</f>
        <v>OK</v>
      </c>
      <c r="C1110" t="str">
        <f>IF(LEN(TRIM(Controls_Raw!I1110))=0,"Missing","OK")</f>
        <v>OK</v>
      </c>
      <c r="D1110" t="str">
        <f>IF(LEN(TRIM(Controls_Raw!N1110))=0,"Missing","OK")</f>
        <v>OK</v>
      </c>
      <c r="E1110" t="str">
        <f>IF(OR(Controls_Raw!G1110="USA",Controls_Raw!G1110="UK"),"Standardize","OK")</f>
        <v>OK</v>
      </c>
      <c r="F1110" t="str">
        <f>IF(Controls_Raw!E1110&lt;&gt;TRIM(Controls_Raw!E1110),"Trim","OK")</f>
        <v>OK</v>
      </c>
      <c r="G1110" t="str">
        <f>IF(AND(Controls_Raw!L1110&lt;DATE(2026,9,30),Controls_Raw!M1110&lt;&gt;"Completed"),"Overdue","OK")</f>
        <v>OK</v>
      </c>
      <c r="H1110" t="str">
        <f>IF(AND(Controls_Raw!Q1110&lt;DATE(2026,9,30),Controls_Raw!R1110&lt;&gt;"Completed",Controls_Raw!R1110&lt;&gt;"Not Required"),"Overdue","OK")</f>
        <v>OK</v>
      </c>
      <c r="I1110" t="str">
        <f t="shared" si="17"/>
        <v>Pass</v>
      </c>
    </row>
    <row r="1111" spans="1:9" x14ac:dyDescent="0.2">
      <c r="A1111" t="str">
        <f>Controls_Raw!A1111</f>
        <v>CTRL-1107</v>
      </c>
      <c r="B1111" t="str">
        <f>IF(COUNTIF(Controls_Raw!$A$5:$A$1504,A1111)&gt;1,"Duplicate","OK")</f>
        <v>OK</v>
      </c>
      <c r="C1111" t="str">
        <f>IF(LEN(TRIM(Controls_Raw!I1111))=0,"Missing","OK")</f>
        <v>OK</v>
      </c>
      <c r="D1111" t="str">
        <f>IF(LEN(TRIM(Controls_Raw!N1111))=0,"Missing","OK")</f>
        <v>OK</v>
      </c>
      <c r="E1111" t="str">
        <f>IF(OR(Controls_Raw!G1111="USA",Controls_Raw!G1111="UK"),"Standardize","OK")</f>
        <v>OK</v>
      </c>
      <c r="F1111" t="str">
        <f>IF(Controls_Raw!E1111&lt;&gt;TRIM(Controls_Raw!E1111),"Trim","OK")</f>
        <v>OK</v>
      </c>
      <c r="G1111" t="str">
        <f>IF(AND(Controls_Raw!L1111&lt;DATE(2026,9,30),Controls_Raw!M1111&lt;&gt;"Completed"),"Overdue","OK")</f>
        <v>OK</v>
      </c>
      <c r="H1111" t="str">
        <f>IF(AND(Controls_Raw!Q1111&lt;DATE(2026,9,30),Controls_Raw!R1111&lt;&gt;"Completed",Controls_Raw!R1111&lt;&gt;"Not Required"),"Overdue","OK")</f>
        <v>OK</v>
      </c>
      <c r="I1111" t="str">
        <f t="shared" si="17"/>
        <v>Pass</v>
      </c>
    </row>
    <row r="1112" spans="1:9" x14ac:dyDescent="0.2">
      <c r="A1112" t="str">
        <f>Controls_Raw!A1112</f>
        <v>CTRL-1108</v>
      </c>
      <c r="B1112" t="str">
        <f>IF(COUNTIF(Controls_Raw!$A$5:$A$1504,A1112)&gt;1,"Duplicate","OK")</f>
        <v>OK</v>
      </c>
      <c r="C1112" t="str">
        <f>IF(LEN(TRIM(Controls_Raw!I1112))=0,"Missing","OK")</f>
        <v>OK</v>
      </c>
      <c r="D1112" t="str">
        <f>IF(LEN(TRIM(Controls_Raw!N1112))=0,"Missing","OK")</f>
        <v>OK</v>
      </c>
      <c r="E1112" t="str">
        <f>IF(OR(Controls_Raw!G1112="USA",Controls_Raw!G1112="UK"),"Standardize","OK")</f>
        <v>OK</v>
      </c>
      <c r="F1112" t="str">
        <f>IF(Controls_Raw!E1112&lt;&gt;TRIM(Controls_Raw!E1112),"Trim","OK")</f>
        <v>OK</v>
      </c>
      <c r="G1112" t="str">
        <f>IF(AND(Controls_Raw!L1112&lt;DATE(2026,9,30),Controls_Raw!M1112&lt;&gt;"Completed"),"Overdue","OK")</f>
        <v>OK</v>
      </c>
      <c r="H1112" t="str">
        <f>IF(AND(Controls_Raw!Q1112&lt;DATE(2026,9,30),Controls_Raw!R1112&lt;&gt;"Completed",Controls_Raw!R1112&lt;&gt;"Not Required"),"Overdue","OK")</f>
        <v>OK</v>
      </c>
      <c r="I1112" t="str">
        <f t="shared" si="17"/>
        <v>Pass</v>
      </c>
    </row>
    <row r="1113" spans="1:9" x14ac:dyDescent="0.2">
      <c r="A1113" t="str">
        <f>Controls_Raw!A1113</f>
        <v>CTRL-1109</v>
      </c>
      <c r="B1113" t="str">
        <f>IF(COUNTIF(Controls_Raw!$A$5:$A$1504,A1113)&gt;1,"Duplicate","OK")</f>
        <v>OK</v>
      </c>
      <c r="C1113" t="str">
        <f>IF(LEN(TRIM(Controls_Raw!I1113))=0,"Missing","OK")</f>
        <v>OK</v>
      </c>
      <c r="D1113" t="str">
        <f>IF(LEN(TRIM(Controls_Raw!N1113))=0,"Missing","OK")</f>
        <v>OK</v>
      </c>
      <c r="E1113" t="str">
        <f>IF(OR(Controls_Raw!G1113="USA",Controls_Raw!G1113="UK"),"Standardize","OK")</f>
        <v>OK</v>
      </c>
      <c r="F1113" t="str">
        <f>IF(Controls_Raw!E1113&lt;&gt;TRIM(Controls_Raw!E1113),"Trim","OK")</f>
        <v>OK</v>
      </c>
      <c r="G1113" t="str">
        <f>IF(AND(Controls_Raw!L1113&lt;DATE(2026,9,30),Controls_Raw!M1113&lt;&gt;"Completed"),"Overdue","OK")</f>
        <v>OK</v>
      </c>
      <c r="H1113" t="str">
        <f>IF(AND(Controls_Raw!Q1113&lt;DATE(2026,9,30),Controls_Raw!R1113&lt;&gt;"Completed",Controls_Raw!R1113&lt;&gt;"Not Required"),"Overdue","OK")</f>
        <v>OK</v>
      </c>
      <c r="I1113" t="str">
        <f t="shared" si="17"/>
        <v>Pass</v>
      </c>
    </row>
    <row r="1114" spans="1:9" x14ac:dyDescent="0.2">
      <c r="A1114" t="str">
        <f>Controls_Raw!A1114</f>
        <v>CTRL-1110</v>
      </c>
      <c r="B1114" t="str">
        <f>IF(COUNTIF(Controls_Raw!$A$5:$A$1504,A1114)&gt;1,"Duplicate","OK")</f>
        <v>OK</v>
      </c>
      <c r="C1114" t="str">
        <f>IF(LEN(TRIM(Controls_Raw!I1114))=0,"Missing","OK")</f>
        <v>OK</v>
      </c>
      <c r="D1114" t="str">
        <f>IF(LEN(TRIM(Controls_Raw!N1114))=0,"Missing","OK")</f>
        <v>OK</v>
      </c>
      <c r="E1114" t="str">
        <f>IF(OR(Controls_Raw!G1114="USA",Controls_Raw!G1114="UK"),"Standardize","OK")</f>
        <v>OK</v>
      </c>
      <c r="F1114" t="str">
        <f>IF(Controls_Raw!E1114&lt;&gt;TRIM(Controls_Raw!E1114),"Trim","OK")</f>
        <v>OK</v>
      </c>
      <c r="G1114" t="str">
        <f>IF(AND(Controls_Raw!L1114&lt;DATE(2026,9,30),Controls_Raw!M1114&lt;&gt;"Completed"),"Overdue","OK")</f>
        <v>Overdue</v>
      </c>
      <c r="H1114" t="str">
        <f>IF(AND(Controls_Raw!Q1114&lt;DATE(2026,9,30),Controls_Raw!R1114&lt;&gt;"Completed",Controls_Raw!R1114&lt;&gt;"Not Required"),"Overdue","OK")</f>
        <v>Overdue</v>
      </c>
      <c r="I1114" t="str">
        <f t="shared" si="17"/>
        <v>Issue</v>
      </c>
    </row>
    <row r="1115" spans="1:9" x14ac:dyDescent="0.2">
      <c r="A1115" t="str">
        <f>Controls_Raw!A1115</f>
        <v>CTRL-1111</v>
      </c>
      <c r="B1115" t="str">
        <f>IF(COUNTIF(Controls_Raw!$A$5:$A$1504,A1115)&gt;1,"Duplicate","OK")</f>
        <v>OK</v>
      </c>
      <c r="C1115" t="str">
        <f>IF(LEN(TRIM(Controls_Raw!I1115))=0,"Missing","OK")</f>
        <v>OK</v>
      </c>
      <c r="D1115" t="str">
        <f>IF(LEN(TRIM(Controls_Raw!N1115))=0,"Missing","OK")</f>
        <v>OK</v>
      </c>
      <c r="E1115" t="str">
        <f>IF(OR(Controls_Raw!G1115="USA",Controls_Raw!G1115="UK"),"Standardize","OK")</f>
        <v>OK</v>
      </c>
      <c r="F1115" t="str">
        <f>IF(Controls_Raw!E1115&lt;&gt;TRIM(Controls_Raw!E1115),"Trim","OK")</f>
        <v>OK</v>
      </c>
      <c r="G1115" t="str">
        <f>IF(AND(Controls_Raw!L1115&lt;DATE(2026,9,30),Controls_Raw!M1115&lt;&gt;"Completed"),"Overdue","OK")</f>
        <v>Overdue</v>
      </c>
      <c r="H1115" t="str">
        <f>IF(AND(Controls_Raw!Q1115&lt;DATE(2026,9,30),Controls_Raw!R1115&lt;&gt;"Completed",Controls_Raw!R1115&lt;&gt;"Not Required"),"Overdue","OK")</f>
        <v>Overdue</v>
      </c>
      <c r="I1115" t="str">
        <f t="shared" si="17"/>
        <v>Issue</v>
      </c>
    </row>
    <row r="1116" spans="1:9" x14ac:dyDescent="0.2">
      <c r="A1116" t="str">
        <f>Controls_Raw!A1116</f>
        <v>CTRL-1112</v>
      </c>
      <c r="B1116" t="str">
        <f>IF(COUNTIF(Controls_Raw!$A$5:$A$1504,A1116)&gt;1,"Duplicate","OK")</f>
        <v>OK</v>
      </c>
      <c r="C1116" t="str">
        <f>IF(LEN(TRIM(Controls_Raw!I1116))=0,"Missing","OK")</f>
        <v>OK</v>
      </c>
      <c r="D1116" t="str">
        <f>IF(LEN(TRIM(Controls_Raw!N1116))=0,"Missing","OK")</f>
        <v>OK</v>
      </c>
      <c r="E1116" t="str">
        <f>IF(OR(Controls_Raw!G1116="USA",Controls_Raw!G1116="UK"),"Standardize","OK")</f>
        <v>OK</v>
      </c>
      <c r="F1116" t="str">
        <f>IF(Controls_Raw!E1116&lt;&gt;TRIM(Controls_Raw!E1116),"Trim","OK")</f>
        <v>OK</v>
      </c>
      <c r="G1116" t="str">
        <f>IF(AND(Controls_Raw!L1116&lt;DATE(2026,9,30),Controls_Raw!M1116&lt;&gt;"Completed"),"Overdue","OK")</f>
        <v>Overdue</v>
      </c>
      <c r="H1116" t="str">
        <f>IF(AND(Controls_Raw!Q1116&lt;DATE(2026,9,30),Controls_Raw!R1116&lt;&gt;"Completed",Controls_Raw!R1116&lt;&gt;"Not Required"),"Overdue","OK")</f>
        <v>OK</v>
      </c>
      <c r="I1116" t="str">
        <f t="shared" si="17"/>
        <v>Issue</v>
      </c>
    </row>
    <row r="1117" spans="1:9" x14ac:dyDescent="0.2">
      <c r="A1117" t="str">
        <f>Controls_Raw!A1117</f>
        <v>CTRL-1113</v>
      </c>
      <c r="B1117" t="str">
        <f>IF(COUNTIF(Controls_Raw!$A$5:$A$1504,A1117)&gt;1,"Duplicate","OK")</f>
        <v>OK</v>
      </c>
      <c r="C1117" t="str">
        <f>IF(LEN(TRIM(Controls_Raw!I1117))=0,"Missing","OK")</f>
        <v>OK</v>
      </c>
      <c r="D1117" t="str">
        <f>IF(LEN(TRIM(Controls_Raw!N1117))=0,"Missing","OK")</f>
        <v>OK</v>
      </c>
      <c r="E1117" t="str">
        <f>IF(OR(Controls_Raw!G1117="USA",Controls_Raw!G1117="UK"),"Standardize","OK")</f>
        <v>OK</v>
      </c>
      <c r="F1117" t="str">
        <f>IF(Controls_Raw!E1117&lt;&gt;TRIM(Controls_Raw!E1117),"Trim","OK")</f>
        <v>OK</v>
      </c>
      <c r="G1117" t="str">
        <f>IF(AND(Controls_Raw!L1117&lt;DATE(2026,9,30),Controls_Raw!M1117&lt;&gt;"Completed"),"Overdue","OK")</f>
        <v>Overdue</v>
      </c>
      <c r="H1117" t="str">
        <f>IF(AND(Controls_Raw!Q1117&lt;DATE(2026,9,30),Controls_Raw!R1117&lt;&gt;"Completed",Controls_Raw!R1117&lt;&gt;"Not Required"),"Overdue","OK")</f>
        <v>OK</v>
      </c>
      <c r="I1117" t="str">
        <f t="shared" si="17"/>
        <v>Issue</v>
      </c>
    </row>
    <row r="1118" spans="1:9" x14ac:dyDescent="0.2">
      <c r="A1118" t="str">
        <f>Controls_Raw!A1118</f>
        <v>CTRL-1114</v>
      </c>
      <c r="B1118" t="str">
        <f>IF(COUNTIF(Controls_Raw!$A$5:$A$1504,A1118)&gt;1,"Duplicate","OK")</f>
        <v>OK</v>
      </c>
      <c r="C1118" t="str">
        <f>IF(LEN(TRIM(Controls_Raw!I1118))=0,"Missing","OK")</f>
        <v>OK</v>
      </c>
      <c r="D1118" t="str">
        <f>IF(LEN(TRIM(Controls_Raw!N1118))=0,"Missing","OK")</f>
        <v>OK</v>
      </c>
      <c r="E1118" t="str">
        <f>IF(OR(Controls_Raw!G1118="USA",Controls_Raw!G1118="UK"),"Standardize","OK")</f>
        <v>OK</v>
      </c>
      <c r="F1118" t="str">
        <f>IF(Controls_Raw!E1118&lt;&gt;TRIM(Controls_Raw!E1118),"Trim","OK")</f>
        <v>OK</v>
      </c>
      <c r="G1118" t="str">
        <f>IF(AND(Controls_Raw!L1118&lt;DATE(2026,9,30),Controls_Raw!M1118&lt;&gt;"Completed"),"Overdue","OK")</f>
        <v>Overdue</v>
      </c>
      <c r="H1118" t="str">
        <f>IF(AND(Controls_Raw!Q1118&lt;DATE(2026,9,30),Controls_Raw!R1118&lt;&gt;"Completed",Controls_Raw!R1118&lt;&gt;"Not Required"),"Overdue","OK")</f>
        <v>Overdue</v>
      </c>
      <c r="I1118" t="str">
        <f t="shared" si="17"/>
        <v>Issue</v>
      </c>
    </row>
    <row r="1119" spans="1:9" x14ac:dyDescent="0.2">
      <c r="A1119" t="str">
        <f>Controls_Raw!A1119</f>
        <v>CTRL-1115</v>
      </c>
      <c r="B1119" t="str">
        <f>IF(COUNTIF(Controls_Raw!$A$5:$A$1504,A1119)&gt;1,"Duplicate","OK")</f>
        <v>OK</v>
      </c>
      <c r="C1119" t="str">
        <f>IF(LEN(TRIM(Controls_Raw!I1119))=0,"Missing","OK")</f>
        <v>OK</v>
      </c>
      <c r="D1119" t="str">
        <f>IF(LEN(TRIM(Controls_Raw!N1119))=0,"Missing","OK")</f>
        <v>OK</v>
      </c>
      <c r="E1119" t="str">
        <f>IF(OR(Controls_Raw!G1119="USA",Controls_Raw!G1119="UK"),"Standardize","OK")</f>
        <v>OK</v>
      </c>
      <c r="F1119" t="str">
        <f>IF(Controls_Raw!E1119&lt;&gt;TRIM(Controls_Raw!E1119),"Trim","OK")</f>
        <v>OK</v>
      </c>
      <c r="G1119" t="str">
        <f>IF(AND(Controls_Raw!L1119&lt;DATE(2026,9,30),Controls_Raw!M1119&lt;&gt;"Completed"),"Overdue","OK")</f>
        <v>Overdue</v>
      </c>
      <c r="H1119" t="str">
        <f>IF(AND(Controls_Raw!Q1119&lt;DATE(2026,9,30),Controls_Raw!R1119&lt;&gt;"Completed",Controls_Raw!R1119&lt;&gt;"Not Required"),"Overdue","OK")</f>
        <v>OK</v>
      </c>
      <c r="I1119" t="str">
        <f t="shared" si="17"/>
        <v>Issue</v>
      </c>
    </row>
    <row r="1120" spans="1:9" x14ac:dyDescent="0.2">
      <c r="A1120" t="str">
        <f>Controls_Raw!A1120</f>
        <v>CTRL-1116</v>
      </c>
      <c r="B1120" t="str">
        <f>IF(COUNTIF(Controls_Raw!$A$5:$A$1504,A1120)&gt;1,"Duplicate","OK")</f>
        <v>OK</v>
      </c>
      <c r="C1120" t="str">
        <f>IF(LEN(TRIM(Controls_Raw!I1120))=0,"Missing","OK")</f>
        <v>OK</v>
      </c>
      <c r="D1120" t="str">
        <f>IF(LEN(TRIM(Controls_Raw!N1120))=0,"Missing","OK")</f>
        <v>OK</v>
      </c>
      <c r="E1120" t="str">
        <f>IF(OR(Controls_Raw!G1120="USA",Controls_Raw!G1120="UK"),"Standardize","OK")</f>
        <v>OK</v>
      </c>
      <c r="F1120" t="str">
        <f>IF(Controls_Raw!E1120&lt;&gt;TRIM(Controls_Raw!E1120),"Trim","OK")</f>
        <v>OK</v>
      </c>
      <c r="G1120" t="str">
        <f>IF(AND(Controls_Raw!L1120&lt;DATE(2026,9,30),Controls_Raw!M1120&lt;&gt;"Completed"),"Overdue","OK")</f>
        <v>OK</v>
      </c>
      <c r="H1120" t="str">
        <f>IF(AND(Controls_Raw!Q1120&lt;DATE(2026,9,30),Controls_Raw!R1120&lt;&gt;"Completed",Controls_Raw!R1120&lt;&gt;"Not Required"),"Overdue","OK")</f>
        <v>Overdue</v>
      </c>
      <c r="I1120" t="str">
        <f t="shared" si="17"/>
        <v>Issue</v>
      </c>
    </row>
    <row r="1121" spans="1:9" x14ac:dyDescent="0.2">
      <c r="A1121" t="str">
        <f>Controls_Raw!A1121</f>
        <v>CTRL-1117</v>
      </c>
      <c r="B1121" t="str">
        <f>IF(COUNTIF(Controls_Raw!$A$5:$A$1504,A1121)&gt;1,"Duplicate","OK")</f>
        <v>OK</v>
      </c>
      <c r="C1121" t="str">
        <f>IF(LEN(TRIM(Controls_Raw!I1121))=0,"Missing","OK")</f>
        <v>OK</v>
      </c>
      <c r="D1121" t="str">
        <f>IF(LEN(TRIM(Controls_Raw!N1121))=0,"Missing","OK")</f>
        <v>OK</v>
      </c>
      <c r="E1121" t="str">
        <f>IF(OR(Controls_Raw!G1121="USA",Controls_Raw!G1121="UK"),"Standardize","OK")</f>
        <v>OK</v>
      </c>
      <c r="F1121" t="str">
        <f>IF(Controls_Raw!E1121&lt;&gt;TRIM(Controls_Raw!E1121),"Trim","OK")</f>
        <v>OK</v>
      </c>
      <c r="G1121" t="str">
        <f>IF(AND(Controls_Raw!L1121&lt;DATE(2026,9,30),Controls_Raw!M1121&lt;&gt;"Completed"),"Overdue","OK")</f>
        <v>Overdue</v>
      </c>
      <c r="H1121" t="str">
        <f>IF(AND(Controls_Raw!Q1121&lt;DATE(2026,9,30),Controls_Raw!R1121&lt;&gt;"Completed",Controls_Raw!R1121&lt;&gt;"Not Required"),"Overdue","OK")</f>
        <v>OK</v>
      </c>
      <c r="I1121" t="str">
        <f t="shared" si="17"/>
        <v>Issue</v>
      </c>
    </row>
    <row r="1122" spans="1:9" x14ac:dyDescent="0.2">
      <c r="A1122" t="str">
        <f>Controls_Raw!A1122</f>
        <v>CTRL-1118</v>
      </c>
      <c r="B1122" t="str">
        <f>IF(COUNTIF(Controls_Raw!$A$5:$A$1504,A1122)&gt;1,"Duplicate","OK")</f>
        <v>OK</v>
      </c>
      <c r="C1122" t="str">
        <f>IF(LEN(TRIM(Controls_Raw!I1122))=0,"Missing","OK")</f>
        <v>OK</v>
      </c>
      <c r="D1122" t="str">
        <f>IF(LEN(TRIM(Controls_Raw!N1122))=0,"Missing","OK")</f>
        <v>OK</v>
      </c>
      <c r="E1122" t="str">
        <f>IF(OR(Controls_Raw!G1122="USA",Controls_Raw!G1122="UK"),"Standardize","OK")</f>
        <v>OK</v>
      </c>
      <c r="F1122" t="str">
        <f>IF(Controls_Raw!E1122&lt;&gt;TRIM(Controls_Raw!E1122),"Trim","OK")</f>
        <v>OK</v>
      </c>
      <c r="G1122" t="str">
        <f>IF(AND(Controls_Raw!L1122&lt;DATE(2026,9,30),Controls_Raw!M1122&lt;&gt;"Completed"),"Overdue","OK")</f>
        <v>OK</v>
      </c>
      <c r="H1122" t="str">
        <f>IF(AND(Controls_Raw!Q1122&lt;DATE(2026,9,30),Controls_Raw!R1122&lt;&gt;"Completed",Controls_Raw!R1122&lt;&gt;"Not Required"),"Overdue","OK")</f>
        <v>OK</v>
      </c>
      <c r="I1122" t="str">
        <f t="shared" si="17"/>
        <v>Pass</v>
      </c>
    </row>
    <row r="1123" spans="1:9" x14ac:dyDescent="0.2">
      <c r="A1123" t="str">
        <f>Controls_Raw!A1123</f>
        <v>CTRL-1119</v>
      </c>
      <c r="B1123" t="str">
        <f>IF(COUNTIF(Controls_Raw!$A$5:$A$1504,A1123)&gt;1,"Duplicate","OK")</f>
        <v>OK</v>
      </c>
      <c r="C1123" t="str">
        <f>IF(LEN(TRIM(Controls_Raw!I1123))=0,"Missing","OK")</f>
        <v>OK</v>
      </c>
      <c r="D1123" t="str">
        <f>IF(LEN(TRIM(Controls_Raw!N1123))=0,"Missing","OK")</f>
        <v>OK</v>
      </c>
      <c r="E1123" t="str">
        <f>IF(OR(Controls_Raw!G1123="USA",Controls_Raw!G1123="UK"),"Standardize","OK")</f>
        <v>OK</v>
      </c>
      <c r="F1123" t="str">
        <f>IF(Controls_Raw!E1123&lt;&gt;TRIM(Controls_Raw!E1123),"Trim","OK")</f>
        <v>OK</v>
      </c>
      <c r="G1123" t="str">
        <f>IF(AND(Controls_Raw!L1123&lt;DATE(2026,9,30),Controls_Raw!M1123&lt;&gt;"Completed"),"Overdue","OK")</f>
        <v>Overdue</v>
      </c>
      <c r="H1123" t="str">
        <f>IF(AND(Controls_Raw!Q1123&lt;DATE(2026,9,30),Controls_Raw!R1123&lt;&gt;"Completed",Controls_Raw!R1123&lt;&gt;"Not Required"),"Overdue","OK")</f>
        <v>OK</v>
      </c>
      <c r="I1123" t="str">
        <f t="shared" si="17"/>
        <v>Issue</v>
      </c>
    </row>
    <row r="1124" spans="1:9" x14ac:dyDescent="0.2">
      <c r="A1124" t="str">
        <f>Controls_Raw!A1124</f>
        <v>CTRL-1120</v>
      </c>
      <c r="B1124" t="str">
        <f>IF(COUNTIF(Controls_Raw!$A$5:$A$1504,A1124)&gt;1,"Duplicate","OK")</f>
        <v>OK</v>
      </c>
      <c r="C1124" t="str">
        <f>IF(LEN(TRIM(Controls_Raw!I1124))=0,"Missing","OK")</f>
        <v>OK</v>
      </c>
      <c r="D1124" t="str">
        <f>IF(LEN(TRIM(Controls_Raw!N1124))=0,"Missing","OK")</f>
        <v>OK</v>
      </c>
      <c r="E1124" t="str">
        <f>IF(OR(Controls_Raw!G1124="USA",Controls_Raw!G1124="UK"),"Standardize","OK")</f>
        <v>OK</v>
      </c>
      <c r="F1124" t="str">
        <f>IF(Controls_Raw!E1124&lt;&gt;TRIM(Controls_Raw!E1124),"Trim","OK")</f>
        <v>OK</v>
      </c>
      <c r="G1124" t="str">
        <f>IF(AND(Controls_Raw!L1124&lt;DATE(2026,9,30),Controls_Raw!M1124&lt;&gt;"Completed"),"Overdue","OK")</f>
        <v>Overdue</v>
      </c>
      <c r="H1124" t="str">
        <f>IF(AND(Controls_Raw!Q1124&lt;DATE(2026,9,30),Controls_Raw!R1124&lt;&gt;"Completed",Controls_Raw!R1124&lt;&gt;"Not Required"),"Overdue","OK")</f>
        <v>OK</v>
      </c>
      <c r="I1124" t="str">
        <f t="shared" si="17"/>
        <v>Issue</v>
      </c>
    </row>
    <row r="1125" spans="1:9" x14ac:dyDescent="0.2">
      <c r="A1125" t="str">
        <f>Controls_Raw!A1125</f>
        <v>CTRL-1121</v>
      </c>
      <c r="B1125" t="str">
        <f>IF(COUNTIF(Controls_Raw!$A$5:$A$1504,A1125)&gt;1,"Duplicate","OK")</f>
        <v>OK</v>
      </c>
      <c r="C1125" t="str">
        <f>IF(LEN(TRIM(Controls_Raw!I1125))=0,"Missing","OK")</f>
        <v>OK</v>
      </c>
      <c r="D1125" t="str">
        <f>IF(LEN(TRIM(Controls_Raw!N1125))=0,"Missing","OK")</f>
        <v>OK</v>
      </c>
      <c r="E1125" t="str">
        <f>IF(OR(Controls_Raw!G1125="USA",Controls_Raw!G1125="UK"),"Standardize","OK")</f>
        <v>OK</v>
      </c>
      <c r="F1125" t="str">
        <f>IF(Controls_Raw!E1125&lt;&gt;TRIM(Controls_Raw!E1125),"Trim","OK")</f>
        <v>OK</v>
      </c>
      <c r="G1125" t="str">
        <f>IF(AND(Controls_Raw!L1125&lt;DATE(2026,9,30),Controls_Raw!M1125&lt;&gt;"Completed"),"Overdue","OK")</f>
        <v>OK</v>
      </c>
      <c r="H1125" t="str">
        <f>IF(AND(Controls_Raw!Q1125&lt;DATE(2026,9,30),Controls_Raw!R1125&lt;&gt;"Completed",Controls_Raw!R1125&lt;&gt;"Not Required"),"Overdue","OK")</f>
        <v>OK</v>
      </c>
      <c r="I1125" t="str">
        <f t="shared" si="17"/>
        <v>Pass</v>
      </c>
    </row>
    <row r="1126" spans="1:9" x14ac:dyDescent="0.2">
      <c r="A1126" t="str">
        <f>Controls_Raw!A1126</f>
        <v>CTRL-1122</v>
      </c>
      <c r="B1126" t="str">
        <f>IF(COUNTIF(Controls_Raw!$A$5:$A$1504,A1126)&gt;1,"Duplicate","OK")</f>
        <v>OK</v>
      </c>
      <c r="C1126" t="str">
        <f>IF(LEN(TRIM(Controls_Raw!I1126))=0,"Missing","OK")</f>
        <v>OK</v>
      </c>
      <c r="D1126" t="str">
        <f>IF(LEN(TRIM(Controls_Raw!N1126))=0,"Missing","OK")</f>
        <v>OK</v>
      </c>
      <c r="E1126" t="str">
        <f>IF(OR(Controls_Raw!G1126="USA",Controls_Raw!G1126="UK"),"Standardize","OK")</f>
        <v>OK</v>
      </c>
      <c r="F1126" t="str">
        <f>IF(Controls_Raw!E1126&lt;&gt;TRIM(Controls_Raw!E1126),"Trim","OK")</f>
        <v>OK</v>
      </c>
      <c r="G1126" t="str">
        <f>IF(AND(Controls_Raw!L1126&lt;DATE(2026,9,30),Controls_Raw!M1126&lt;&gt;"Completed"),"Overdue","OK")</f>
        <v>Overdue</v>
      </c>
      <c r="H1126" t="str">
        <f>IF(AND(Controls_Raw!Q1126&lt;DATE(2026,9,30),Controls_Raw!R1126&lt;&gt;"Completed",Controls_Raw!R1126&lt;&gt;"Not Required"),"Overdue","OK")</f>
        <v>Overdue</v>
      </c>
      <c r="I1126" t="str">
        <f t="shared" si="17"/>
        <v>Issue</v>
      </c>
    </row>
    <row r="1127" spans="1:9" x14ac:dyDescent="0.2">
      <c r="A1127" t="str">
        <f>Controls_Raw!A1127</f>
        <v>CTRL-1123</v>
      </c>
      <c r="B1127" t="str">
        <f>IF(COUNTIF(Controls_Raw!$A$5:$A$1504,A1127)&gt;1,"Duplicate","OK")</f>
        <v>OK</v>
      </c>
      <c r="C1127" t="str">
        <f>IF(LEN(TRIM(Controls_Raw!I1127))=0,"Missing","OK")</f>
        <v>OK</v>
      </c>
      <c r="D1127" t="str">
        <f>IF(LEN(TRIM(Controls_Raw!N1127))=0,"Missing","OK")</f>
        <v>OK</v>
      </c>
      <c r="E1127" t="str">
        <f>IF(OR(Controls_Raw!G1127="USA",Controls_Raw!G1127="UK"),"Standardize","OK")</f>
        <v>OK</v>
      </c>
      <c r="F1127" t="str">
        <f>IF(Controls_Raw!E1127&lt;&gt;TRIM(Controls_Raw!E1127),"Trim","OK")</f>
        <v>OK</v>
      </c>
      <c r="G1127" t="str">
        <f>IF(AND(Controls_Raw!L1127&lt;DATE(2026,9,30),Controls_Raw!M1127&lt;&gt;"Completed"),"Overdue","OK")</f>
        <v>OK</v>
      </c>
      <c r="H1127" t="str">
        <f>IF(AND(Controls_Raw!Q1127&lt;DATE(2026,9,30),Controls_Raw!R1127&lt;&gt;"Completed",Controls_Raw!R1127&lt;&gt;"Not Required"),"Overdue","OK")</f>
        <v>Overdue</v>
      </c>
      <c r="I1127" t="str">
        <f t="shared" si="17"/>
        <v>Issue</v>
      </c>
    </row>
    <row r="1128" spans="1:9" x14ac:dyDescent="0.2">
      <c r="A1128" t="str">
        <f>Controls_Raw!A1128</f>
        <v>CTRL-1124</v>
      </c>
      <c r="B1128" t="str">
        <f>IF(COUNTIF(Controls_Raw!$A$5:$A$1504,A1128)&gt;1,"Duplicate","OK")</f>
        <v>OK</v>
      </c>
      <c r="C1128" t="str">
        <f>IF(LEN(TRIM(Controls_Raw!I1128))=0,"Missing","OK")</f>
        <v>OK</v>
      </c>
      <c r="D1128" t="str">
        <f>IF(LEN(TRIM(Controls_Raw!N1128))=0,"Missing","OK")</f>
        <v>OK</v>
      </c>
      <c r="E1128" t="str">
        <f>IF(OR(Controls_Raw!G1128="USA",Controls_Raw!G1128="UK"),"Standardize","OK")</f>
        <v>OK</v>
      </c>
      <c r="F1128" t="str">
        <f>IF(Controls_Raw!E1128&lt;&gt;TRIM(Controls_Raw!E1128),"Trim","OK")</f>
        <v>OK</v>
      </c>
      <c r="G1128" t="str">
        <f>IF(AND(Controls_Raw!L1128&lt;DATE(2026,9,30),Controls_Raw!M1128&lt;&gt;"Completed"),"Overdue","OK")</f>
        <v>Overdue</v>
      </c>
      <c r="H1128" t="str">
        <f>IF(AND(Controls_Raw!Q1128&lt;DATE(2026,9,30),Controls_Raw!R1128&lt;&gt;"Completed",Controls_Raw!R1128&lt;&gt;"Not Required"),"Overdue","OK")</f>
        <v>OK</v>
      </c>
      <c r="I1128" t="str">
        <f t="shared" si="17"/>
        <v>Issue</v>
      </c>
    </row>
    <row r="1129" spans="1:9" x14ac:dyDescent="0.2">
      <c r="A1129" t="str">
        <f>Controls_Raw!A1129</f>
        <v>CTRL-1125</v>
      </c>
      <c r="B1129" t="str">
        <f>IF(COUNTIF(Controls_Raw!$A$5:$A$1504,A1129)&gt;1,"Duplicate","OK")</f>
        <v>OK</v>
      </c>
      <c r="C1129" t="str">
        <f>IF(LEN(TRIM(Controls_Raw!I1129))=0,"Missing","OK")</f>
        <v>OK</v>
      </c>
      <c r="D1129" t="str">
        <f>IF(LEN(TRIM(Controls_Raw!N1129))=0,"Missing","OK")</f>
        <v>OK</v>
      </c>
      <c r="E1129" t="str">
        <f>IF(OR(Controls_Raw!G1129="USA",Controls_Raw!G1129="UK"),"Standardize","OK")</f>
        <v>OK</v>
      </c>
      <c r="F1129" t="str">
        <f>IF(Controls_Raw!E1129&lt;&gt;TRIM(Controls_Raw!E1129),"Trim","OK")</f>
        <v>OK</v>
      </c>
      <c r="G1129" t="str">
        <f>IF(AND(Controls_Raw!L1129&lt;DATE(2026,9,30),Controls_Raw!M1129&lt;&gt;"Completed"),"Overdue","OK")</f>
        <v>Overdue</v>
      </c>
      <c r="H1129" t="str">
        <f>IF(AND(Controls_Raw!Q1129&lt;DATE(2026,9,30),Controls_Raw!R1129&lt;&gt;"Completed",Controls_Raw!R1129&lt;&gt;"Not Required"),"Overdue","OK")</f>
        <v>Overdue</v>
      </c>
      <c r="I1129" t="str">
        <f t="shared" si="17"/>
        <v>Issue</v>
      </c>
    </row>
    <row r="1130" spans="1:9" x14ac:dyDescent="0.2">
      <c r="A1130" t="str">
        <f>Controls_Raw!A1130</f>
        <v>CTRL-1126</v>
      </c>
      <c r="B1130" t="str">
        <f>IF(COUNTIF(Controls_Raw!$A$5:$A$1504,A1130)&gt;1,"Duplicate","OK")</f>
        <v>OK</v>
      </c>
      <c r="C1130" t="str">
        <f>IF(LEN(TRIM(Controls_Raw!I1130))=0,"Missing","OK")</f>
        <v>OK</v>
      </c>
      <c r="D1130" t="str">
        <f>IF(LEN(TRIM(Controls_Raw!N1130))=0,"Missing","OK")</f>
        <v>OK</v>
      </c>
      <c r="E1130" t="str">
        <f>IF(OR(Controls_Raw!G1130="USA",Controls_Raw!G1130="UK"),"Standardize","OK")</f>
        <v>OK</v>
      </c>
      <c r="F1130" t="str">
        <f>IF(Controls_Raw!E1130&lt;&gt;TRIM(Controls_Raw!E1130),"Trim","OK")</f>
        <v>OK</v>
      </c>
      <c r="G1130" t="str">
        <f>IF(AND(Controls_Raw!L1130&lt;DATE(2026,9,30),Controls_Raw!M1130&lt;&gt;"Completed"),"Overdue","OK")</f>
        <v>Overdue</v>
      </c>
      <c r="H1130" t="str">
        <f>IF(AND(Controls_Raw!Q1130&lt;DATE(2026,9,30),Controls_Raw!R1130&lt;&gt;"Completed",Controls_Raw!R1130&lt;&gt;"Not Required"),"Overdue","OK")</f>
        <v>OK</v>
      </c>
      <c r="I1130" t="str">
        <f t="shared" si="17"/>
        <v>Issue</v>
      </c>
    </row>
    <row r="1131" spans="1:9" x14ac:dyDescent="0.2">
      <c r="A1131" t="str">
        <f>Controls_Raw!A1131</f>
        <v>CTRL-1127</v>
      </c>
      <c r="B1131" t="str">
        <f>IF(COUNTIF(Controls_Raw!$A$5:$A$1504,A1131)&gt;1,"Duplicate","OK")</f>
        <v>OK</v>
      </c>
      <c r="C1131" t="str">
        <f>IF(LEN(TRIM(Controls_Raw!I1131))=0,"Missing","OK")</f>
        <v>OK</v>
      </c>
      <c r="D1131" t="str">
        <f>IF(LEN(TRIM(Controls_Raw!N1131))=0,"Missing","OK")</f>
        <v>OK</v>
      </c>
      <c r="E1131" t="str">
        <f>IF(OR(Controls_Raw!G1131="USA",Controls_Raw!G1131="UK"),"Standardize","OK")</f>
        <v>OK</v>
      </c>
      <c r="F1131" t="str">
        <f>IF(Controls_Raw!E1131&lt;&gt;TRIM(Controls_Raw!E1131),"Trim","OK")</f>
        <v>OK</v>
      </c>
      <c r="G1131" t="str">
        <f>IF(AND(Controls_Raw!L1131&lt;DATE(2026,9,30),Controls_Raw!M1131&lt;&gt;"Completed"),"Overdue","OK")</f>
        <v>OK</v>
      </c>
      <c r="H1131" t="str">
        <f>IF(AND(Controls_Raw!Q1131&lt;DATE(2026,9,30),Controls_Raw!R1131&lt;&gt;"Completed",Controls_Raw!R1131&lt;&gt;"Not Required"),"Overdue","OK")</f>
        <v>OK</v>
      </c>
      <c r="I1131" t="str">
        <f t="shared" si="17"/>
        <v>Pass</v>
      </c>
    </row>
    <row r="1132" spans="1:9" x14ac:dyDescent="0.2">
      <c r="A1132" t="str">
        <f>Controls_Raw!A1132</f>
        <v>CTRL-1128</v>
      </c>
      <c r="B1132" t="str">
        <f>IF(COUNTIF(Controls_Raw!$A$5:$A$1504,A1132)&gt;1,"Duplicate","OK")</f>
        <v>OK</v>
      </c>
      <c r="C1132" t="str">
        <f>IF(LEN(TRIM(Controls_Raw!I1132))=0,"Missing","OK")</f>
        <v>OK</v>
      </c>
      <c r="D1132" t="str">
        <f>IF(LEN(TRIM(Controls_Raw!N1132))=0,"Missing","OK")</f>
        <v>OK</v>
      </c>
      <c r="E1132" t="str">
        <f>IF(OR(Controls_Raw!G1132="USA",Controls_Raw!G1132="UK"),"Standardize","OK")</f>
        <v>OK</v>
      </c>
      <c r="F1132" t="str">
        <f>IF(Controls_Raw!E1132&lt;&gt;TRIM(Controls_Raw!E1132),"Trim","OK")</f>
        <v>OK</v>
      </c>
      <c r="G1132" t="str">
        <f>IF(AND(Controls_Raw!L1132&lt;DATE(2026,9,30),Controls_Raw!M1132&lt;&gt;"Completed"),"Overdue","OK")</f>
        <v>Overdue</v>
      </c>
      <c r="H1132" t="str">
        <f>IF(AND(Controls_Raw!Q1132&lt;DATE(2026,9,30),Controls_Raw!R1132&lt;&gt;"Completed",Controls_Raw!R1132&lt;&gt;"Not Required"),"Overdue","OK")</f>
        <v>Overdue</v>
      </c>
      <c r="I1132" t="str">
        <f t="shared" si="17"/>
        <v>Issue</v>
      </c>
    </row>
    <row r="1133" spans="1:9" x14ac:dyDescent="0.2">
      <c r="A1133" t="str">
        <f>Controls_Raw!A1133</f>
        <v>CTRL-1129</v>
      </c>
      <c r="B1133" t="str">
        <f>IF(COUNTIF(Controls_Raw!$A$5:$A$1504,A1133)&gt;1,"Duplicate","OK")</f>
        <v>OK</v>
      </c>
      <c r="C1133" t="str">
        <f>IF(LEN(TRIM(Controls_Raw!I1133))=0,"Missing","OK")</f>
        <v>Missing</v>
      </c>
      <c r="D1133" t="str">
        <f>IF(LEN(TRIM(Controls_Raw!N1133))=0,"Missing","OK")</f>
        <v>OK</v>
      </c>
      <c r="E1133" t="str">
        <f>IF(OR(Controls_Raw!G1133="USA",Controls_Raw!G1133="UK"),"Standardize","OK")</f>
        <v>OK</v>
      </c>
      <c r="F1133" t="str">
        <f>IF(Controls_Raw!E1133&lt;&gt;TRIM(Controls_Raw!E1133),"Trim","OK")</f>
        <v>OK</v>
      </c>
      <c r="G1133" t="str">
        <f>IF(AND(Controls_Raw!L1133&lt;DATE(2026,9,30),Controls_Raw!M1133&lt;&gt;"Completed"),"Overdue","OK")</f>
        <v>Overdue</v>
      </c>
      <c r="H1133" t="str">
        <f>IF(AND(Controls_Raw!Q1133&lt;DATE(2026,9,30),Controls_Raw!R1133&lt;&gt;"Completed",Controls_Raw!R1133&lt;&gt;"Not Required"),"Overdue","OK")</f>
        <v>OK</v>
      </c>
      <c r="I1133" t="str">
        <f t="shared" si="17"/>
        <v>Issue</v>
      </c>
    </row>
    <row r="1134" spans="1:9" x14ac:dyDescent="0.2">
      <c r="A1134" t="str">
        <f>Controls_Raw!A1134</f>
        <v>CTRL-1130</v>
      </c>
      <c r="B1134" t="str">
        <f>IF(COUNTIF(Controls_Raw!$A$5:$A$1504,A1134)&gt;1,"Duplicate","OK")</f>
        <v>OK</v>
      </c>
      <c r="C1134" t="str">
        <f>IF(LEN(TRIM(Controls_Raw!I1134))=0,"Missing","OK")</f>
        <v>OK</v>
      </c>
      <c r="D1134" t="str">
        <f>IF(LEN(TRIM(Controls_Raw!N1134))=0,"Missing","OK")</f>
        <v>OK</v>
      </c>
      <c r="E1134" t="str">
        <f>IF(OR(Controls_Raw!G1134="USA",Controls_Raw!G1134="UK"),"Standardize","OK")</f>
        <v>OK</v>
      </c>
      <c r="F1134" t="str">
        <f>IF(Controls_Raw!E1134&lt;&gt;TRIM(Controls_Raw!E1134),"Trim","OK")</f>
        <v>OK</v>
      </c>
      <c r="G1134" t="str">
        <f>IF(AND(Controls_Raw!L1134&lt;DATE(2026,9,30),Controls_Raw!M1134&lt;&gt;"Completed"),"Overdue","OK")</f>
        <v>OK</v>
      </c>
      <c r="H1134" t="str">
        <f>IF(AND(Controls_Raw!Q1134&lt;DATE(2026,9,30),Controls_Raw!R1134&lt;&gt;"Completed",Controls_Raw!R1134&lt;&gt;"Not Required"),"Overdue","OK")</f>
        <v>OK</v>
      </c>
      <c r="I1134" t="str">
        <f t="shared" si="17"/>
        <v>Pass</v>
      </c>
    </row>
    <row r="1135" spans="1:9" x14ac:dyDescent="0.2">
      <c r="A1135" t="str">
        <f>Controls_Raw!A1135</f>
        <v>CTRL-1131</v>
      </c>
      <c r="B1135" t="str">
        <f>IF(COUNTIF(Controls_Raw!$A$5:$A$1504,A1135)&gt;1,"Duplicate","OK")</f>
        <v>OK</v>
      </c>
      <c r="C1135" t="str">
        <f>IF(LEN(TRIM(Controls_Raw!I1135))=0,"Missing","OK")</f>
        <v>OK</v>
      </c>
      <c r="D1135" t="str">
        <f>IF(LEN(TRIM(Controls_Raw!N1135))=0,"Missing","OK")</f>
        <v>OK</v>
      </c>
      <c r="E1135" t="str">
        <f>IF(OR(Controls_Raw!G1135="USA",Controls_Raw!G1135="UK"),"Standardize","OK")</f>
        <v>OK</v>
      </c>
      <c r="F1135" t="str">
        <f>IF(Controls_Raw!E1135&lt;&gt;TRIM(Controls_Raw!E1135),"Trim","OK")</f>
        <v>OK</v>
      </c>
      <c r="G1135" t="str">
        <f>IF(AND(Controls_Raw!L1135&lt;DATE(2026,9,30),Controls_Raw!M1135&lt;&gt;"Completed"),"Overdue","OK")</f>
        <v>Overdue</v>
      </c>
      <c r="H1135" t="str">
        <f>IF(AND(Controls_Raw!Q1135&lt;DATE(2026,9,30),Controls_Raw!R1135&lt;&gt;"Completed",Controls_Raw!R1135&lt;&gt;"Not Required"),"Overdue","OK")</f>
        <v>OK</v>
      </c>
      <c r="I1135" t="str">
        <f t="shared" si="17"/>
        <v>Issue</v>
      </c>
    </row>
    <row r="1136" spans="1:9" x14ac:dyDescent="0.2">
      <c r="A1136" t="str">
        <f>Controls_Raw!A1136</f>
        <v>CTRL-1132</v>
      </c>
      <c r="B1136" t="str">
        <f>IF(COUNTIF(Controls_Raw!$A$5:$A$1504,A1136)&gt;1,"Duplicate","OK")</f>
        <v>OK</v>
      </c>
      <c r="C1136" t="str">
        <f>IF(LEN(TRIM(Controls_Raw!I1136))=0,"Missing","OK")</f>
        <v>OK</v>
      </c>
      <c r="D1136" t="str">
        <f>IF(LEN(TRIM(Controls_Raw!N1136))=0,"Missing","OK")</f>
        <v>OK</v>
      </c>
      <c r="E1136" t="str">
        <f>IF(OR(Controls_Raw!G1136="USA",Controls_Raw!G1136="UK"),"Standardize","OK")</f>
        <v>OK</v>
      </c>
      <c r="F1136" t="str">
        <f>IF(Controls_Raw!E1136&lt;&gt;TRIM(Controls_Raw!E1136),"Trim","OK")</f>
        <v>OK</v>
      </c>
      <c r="G1136" t="str">
        <f>IF(AND(Controls_Raw!L1136&lt;DATE(2026,9,30),Controls_Raw!M1136&lt;&gt;"Completed"),"Overdue","OK")</f>
        <v>OK</v>
      </c>
      <c r="H1136" t="str">
        <f>IF(AND(Controls_Raw!Q1136&lt;DATE(2026,9,30),Controls_Raw!R1136&lt;&gt;"Completed",Controls_Raw!R1136&lt;&gt;"Not Required"),"Overdue","OK")</f>
        <v>OK</v>
      </c>
      <c r="I1136" t="str">
        <f t="shared" si="17"/>
        <v>Pass</v>
      </c>
    </row>
    <row r="1137" spans="1:9" x14ac:dyDescent="0.2">
      <c r="A1137" t="str">
        <f>Controls_Raw!A1137</f>
        <v>CTRL-1133</v>
      </c>
      <c r="B1137" t="str">
        <f>IF(COUNTIF(Controls_Raw!$A$5:$A$1504,A1137)&gt;1,"Duplicate","OK")</f>
        <v>OK</v>
      </c>
      <c r="C1137" t="str">
        <f>IF(LEN(TRIM(Controls_Raw!I1137))=0,"Missing","OK")</f>
        <v>OK</v>
      </c>
      <c r="D1137" t="str">
        <f>IF(LEN(TRIM(Controls_Raw!N1137))=0,"Missing","OK")</f>
        <v>OK</v>
      </c>
      <c r="E1137" t="str">
        <f>IF(OR(Controls_Raw!G1137="USA",Controls_Raw!G1137="UK"),"Standardize","OK")</f>
        <v>OK</v>
      </c>
      <c r="F1137" t="str">
        <f>IF(Controls_Raw!E1137&lt;&gt;TRIM(Controls_Raw!E1137),"Trim","OK")</f>
        <v>OK</v>
      </c>
      <c r="G1137" t="str">
        <f>IF(AND(Controls_Raw!L1137&lt;DATE(2026,9,30),Controls_Raw!M1137&lt;&gt;"Completed"),"Overdue","OK")</f>
        <v>Overdue</v>
      </c>
      <c r="H1137" t="str">
        <f>IF(AND(Controls_Raw!Q1137&lt;DATE(2026,9,30),Controls_Raw!R1137&lt;&gt;"Completed",Controls_Raw!R1137&lt;&gt;"Not Required"),"Overdue","OK")</f>
        <v>OK</v>
      </c>
      <c r="I1137" t="str">
        <f t="shared" si="17"/>
        <v>Issue</v>
      </c>
    </row>
    <row r="1138" spans="1:9" x14ac:dyDescent="0.2">
      <c r="A1138" t="str">
        <f>Controls_Raw!A1138</f>
        <v>CTRL-1134</v>
      </c>
      <c r="B1138" t="str">
        <f>IF(COUNTIF(Controls_Raw!$A$5:$A$1504,A1138)&gt;1,"Duplicate","OK")</f>
        <v>OK</v>
      </c>
      <c r="C1138" t="str">
        <f>IF(LEN(TRIM(Controls_Raw!I1138))=0,"Missing","OK")</f>
        <v>OK</v>
      </c>
      <c r="D1138" t="str">
        <f>IF(LEN(TRIM(Controls_Raw!N1138))=0,"Missing","OK")</f>
        <v>OK</v>
      </c>
      <c r="E1138" t="str">
        <f>IF(OR(Controls_Raw!G1138="USA",Controls_Raw!G1138="UK"),"Standardize","OK")</f>
        <v>OK</v>
      </c>
      <c r="F1138" t="str">
        <f>IF(Controls_Raw!E1138&lt;&gt;TRIM(Controls_Raw!E1138),"Trim","OK")</f>
        <v>OK</v>
      </c>
      <c r="G1138" t="str">
        <f>IF(AND(Controls_Raw!L1138&lt;DATE(2026,9,30),Controls_Raw!M1138&lt;&gt;"Completed"),"Overdue","OK")</f>
        <v>Overdue</v>
      </c>
      <c r="H1138" t="str">
        <f>IF(AND(Controls_Raw!Q1138&lt;DATE(2026,9,30),Controls_Raw!R1138&lt;&gt;"Completed",Controls_Raw!R1138&lt;&gt;"Not Required"),"Overdue","OK")</f>
        <v>OK</v>
      </c>
      <c r="I1138" t="str">
        <f t="shared" si="17"/>
        <v>Issue</v>
      </c>
    </row>
    <row r="1139" spans="1:9" x14ac:dyDescent="0.2">
      <c r="A1139" t="str">
        <f>Controls_Raw!A1139</f>
        <v>CTRL-1135</v>
      </c>
      <c r="B1139" t="str">
        <f>IF(COUNTIF(Controls_Raw!$A$5:$A$1504,A1139)&gt;1,"Duplicate","OK")</f>
        <v>OK</v>
      </c>
      <c r="C1139" t="str">
        <f>IF(LEN(TRIM(Controls_Raw!I1139))=0,"Missing","OK")</f>
        <v>OK</v>
      </c>
      <c r="D1139" t="str">
        <f>IF(LEN(TRIM(Controls_Raw!N1139))=0,"Missing","OK")</f>
        <v>OK</v>
      </c>
      <c r="E1139" t="str">
        <f>IF(OR(Controls_Raw!G1139="USA",Controls_Raw!G1139="UK"),"Standardize","OK")</f>
        <v>OK</v>
      </c>
      <c r="F1139" t="str">
        <f>IF(Controls_Raw!E1139&lt;&gt;TRIM(Controls_Raw!E1139),"Trim","OK")</f>
        <v>OK</v>
      </c>
      <c r="G1139" t="str">
        <f>IF(AND(Controls_Raw!L1139&lt;DATE(2026,9,30),Controls_Raw!M1139&lt;&gt;"Completed"),"Overdue","OK")</f>
        <v>OK</v>
      </c>
      <c r="H1139" t="str">
        <f>IF(AND(Controls_Raw!Q1139&lt;DATE(2026,9,30),Controls_Raw!R1139&lt;&gt;"Completed",Controls_Raw!R1139&lt;&gt;"Not Required"),"Overdue","OK")</f>
        <v>OK</v>
      </c>
      <c r="I1139" t="str">
        <f t="shared" si="17"/>
        <v>Pass</v>
      </c>
    </row>
    <row r="1140" spans="1:9" x14ac:dyDescent="0.2">
      <c r="A1140" t="str">
        <f>Controls_Raw!A1140</f>
        <v>CTRL-1136</v>
      </c>
      <c r="B1140" t="str">
        <f>IF(COUNTIF(Controls_Raw!$A$5:$A$1504,A1140)&gt;1,"Duplicate","OK")</f>
        <v>OK</v>
      </c>
      <c r="C1140" t="str">
        <f>IF(LEN(TRIM(Controls_Raw!I1140))=0,"Missing","OK")</f>
        <v>OK</v>
      </c>
      <c r="D1140" t="str">
        <f>IF(LEN(TRIM(Controls_Raw!N1140))=0,"Missing","OK")</f>
        <v>OK</v>
      </c>
      <c r="E1140" t="str">
        <f>IF(OR(Controls_Raw!G1140="USA",Controls_Raw!G1140="UK"),"Standardize","OK")</f>
        <v>OK</v>
      </c>
      <c r="F1140" t="str">
        <f>IF(Controls_Raw!E1140&lt;&gt;TRIM(Controls_Raw!E1140),"Trim","OK")</f>
        <v>OK</v>
      </c>
      <c r="G1140" t="str">
        <f>IF(AND(Controls_Raw!L1140&lt;DATE(2026,9,30),Controls_Raw!M1140&lt;&gt;"Completed"),"Overdue","OK")</f>
        <v>Overdue</v>
      </c>
      <c r="H1140" t="str">
        <f>IF(AND(Controls_Raw!Q1140&lt;DATE(2026,9,30),Controls_Raw!R1140&lt;&gt;"Completed",Controls_Raw!R1140&lt;&gt;"Not Required"),"Overdue","OK")</f>
        <v>OK</v>
      </c>
      <c r="I1140" t="str">
        <f t="shared" si="17"/>
        <v>Issue</v>
      </c>
    </row>
    <row r="1141" spans="1:9" x14ac:dyDescent="0.2">
      <c r="A1141" t="str">
        <f>Controls_Raw!A1141</f>
        <v>CTRL-1137</v>
      </c>
      <c r="B1141" t="str">
        <f>IF(COUNTIF(Controls_Raw!$A$5:$A$1504,A1141)&gt;1,"Duplicate","OK")</f>
        <v>OK</v>
      </c>
      <c r="C1141" t="str">
        <f>IF(LEN(TRIM(Controls_Raw!I1141))=0,"Missing","OK")</f>
        <v>OK</v>
      </c>
      <c r="D1141" t="str">
        <f>IF(LEN(TRIM(Controls_Raw!N1141))=0,"Missing","OK")</f>
        <v>OK</v>
      </c>
      <c r="E1141" t="str">
        <f>IF(OR(Controls_Raw!G1141="USA",Controls_Raw!G1141="UK"),"Standardize","OK")</f>
        <v>OK</v>
      </c>
      <c r="F1141" t="str">
        <f>IF(Controls_Raw!E1141&lt;&gt;TRIM(Controls_Raw!E1141),"Trim","OK")</f>
        <v>OK</v>
      </c>
      <c r="G1141" t="str">
        <f>IF(AND(Controls_Raw!L1141&lt;DATE(2026,9,30),Controls_Raw!M1141&lt;&gt;"Completed"),"Overdue","OK")</f>
        <v>Overdue</v>
      </c>
      <c r="H1141" t="str">
        <f>IF(AND(Controls_Raw!Q1141&lt;DATE(2026,9,30),Controls_Raw!R1141&lt;&gt;"Completed",Controls_Raw!R1141&lt;&gt;"Not Required"),"Overdue","OK")</f>
        <v>Overdue</v>
      </c>
      <c r="I1141" t="str">
        <f t="shared" si="17"/>
        <v>Issue</v>
      </c>
    </row>
    <row r="1142" spans="1:9" x14ac:dyDescent="0.2">
      <c r="A1142" t="str">
        <f>Controls_Raw!A1142</f>
        <v>CTRL-1138</v>
      </c>
      <c r="B1142" t="str">
        <f>IF(COUNTIF(Controls_Raw!$A$5:$A$1504,A1142)&gt;1,"Duplicate","OK")</f>
        <v>OK</v>
      </c>
      <c r="C1142" t="str">
        <f>IF(LEN(TRIM(Controls_Raw!I1142))=0,"Missing","OK")</f>
        <v>OK</v>
      </c>
      <c r="D1142" t="str">
        <f>IF(LEN(TRIM(Controls_Raw!N1142))=0,"Missing","OK")</f>
        <v>OK</v>
      </c>
      <c r="E1142" t="str">
        <f>IF(OR(Controls_Raw!G1142="USA",Controls_Raw!G1142="UK"),"Standardize","OK")</f>
        <v>OK</v>
      </c>
      <c r="F1142" t="str">
        <f>IF(Controls_Raw!E1142&lt;&gt;TRIM(Controls_Raw!E1142),"Trim","OK")</f>
        <v>OK</v>
      </c>
      <c r="G1142" t="str">
        <f>IF(AND(Controls_Raw!L1142&lt;DATE(2026,9,30),Controls_Raw!M1142&lt;&gt;"Completed"),"Overdue","OK")</f>
        <v>Overdue</v>
      </c>
      <c r="H1142" t="str">
        <f>IF(AND(Controls_Raw!Q1142&lt;DATE(2026,9,30),Controls_Raw!R1142&lt;&gt;"Completed",Controls_Raw!R1142&lt;&gt;"Not Required"),"Overdue","OK")</f>
        <v>OK</v>
      </c>
      <c r="I1142" t="str">
        <f t="shared" si="17"/>
        <v>Issue</v>
      </c>
    </row>
    <row r="1143" spans="1:9" x14ac:dyDescent="0.2">
      <c r="A1143" t="str">
        <f>Controls_Raw!A1143</f>
        <v>CTRL-1139</v>
      </c>
      <c r="B1143" t="str">
        <f>IF(COUNTIF(Controls_Raw!$A$5:$A$1504,A1143)&gt;1,"Duplicate","OK")</f>
        <v>OK</v>
      </c>
      <c r="C1143" t="str">
        <f>IF(LEN(TRIM(Controls_Raw!I1143))=0,"Missing","OK")</f>
        <v>OK</v>
      </c>
      <c r="D1143" t="str">
        <f>IF(LEN(TRIM(Controls_Raw!N1143))=0,"Missing","OK")</f>
        <v>OK</v>
      </c>
      <c r="E1143" t="str">
        <f>IF(OR(Controls_Raw!G1143="USA",Controls_Raw!G1143="UK"),"Standardize","OK")</f>
        <v>OK</v>
      </c>
      <c r="F1143" t="str">
        <f>IF(Controls_Raw!E1143&lt;&gt;TRIM(Controls_Raw!E1143),"Trim","OK")</f>
        <v>OK</v>
      </c>
      <c r="G1143" t="str">
        <f>IF(AND(Controls_Raw!L1143&lt;DATE(2026,9,30),Controls_Raw!M1143&lt;&gt;"Completed"),"Overdue","OK")</f>
        <v>Overdue</v>
      </c>
      <c r="H1143" t="str">
        <f>IF(AND(Controls_Raw!Q1143&lt;DATE(2026,9,30),Controls_Raw!R1143&lt;&gt;"Completed",Controls_Raw!R1143&lt;&gt;"Not Required"),"Overdue","OK")</f>
        <v>OK</v>
      </c>
      <c r="I1143" t="str">
        <f t="shared" si="17"/>
        <v>Issue</v>
      </c>
    </row>
    <row r="1144" spans="1:9" x14ac:dyDescent="0.2">
      <c r="A1144" t="str">
        <f>Controls_Raw!A1144</f>
        <v>CTRL-1140</v>
      </c>
      <c r="B1144" t="str">
        <f>IF(COUNTIF(Controls_Raw!$A$5:$A$1504,A1144)&gt;1,"Duplicate","OK")</f>
        <v>OK</v>
      </c>
      <c r="C1144" t="str">
        <f>IF(LEN(TRIM(Controls_Raw!I1144))=0,"Missing","OK")</f>
        <v>OK</v>
      </c>
      <c r="D1144" t="str">
        <f>IF(LEN(TRIM(Controls_Raw!N1144))=0,"Missing","OK")</f>
        <v>OK</v>
      </c>
      <c r="E1144" t="str">
        <f>IF(OR(Controls_Raw!G1144="USA",Controls_Raw!G1144="UK"),"Standardize","OK")</f>
        <v>OK</v>
      </c>
      <c r="F1144" t="str">
        <f>IF(Controls_Raw!E1144&lt;&gt;TRIM(Controls_Raw!E1144),"Trim","OK")</f>
        <v>OK</v>
      </c>
      <c r="G1144" t="str">
        <f>IF(AND(Controls_Raw!L1144&lt;DATE(2026,9,30),Controls_Raw!M1144&lt;&gt;"Completed"),"Overdue","OK")</f>
        <v>Overdue</v>
      </c>
      <c r="H1144" t="str">
        <f>IF(AND(Controls_Raw!Q1144&lt;DATE(2026,9,30),Controls_Raw!R1144&lt;&gt;"Completed",Controls_Raw!R1144&lt;&gt;"Not Required"),"Overdue","OK")</f>
        <v>Overdue</v>
      </c>
      <c r="I1144" t="str">
        <f t="shared" si="17"/>
        <v>Issue</v>
      </c>
    </row>
    <row r="1145" spans="1:9" x14ac:dyDescent="0.2">
      <c r="A1145" t="str">
        <f>Controls_Raw!A1145</f>
        <v>CTRL-1141</v>
      </c>
      <c r="B1145" t="str">
        <f>IF(COUNTIF(Controls_Raw!$A$5:$A$1504,A1145)&gt;1,"Duplicate","OK")</f>
        <v>OK</v>
      </c>
      <c r="C1145" t="str">
        <f>IF(LEN(TRIM(Controls_Raw!I1145))=0,"Missing","OK")</f>
        <v>OK</v>
      </c>
      <c r="D1145" t="str">
        <f>IF(LEN(TRIM(Controls_Raw!N1145))=0,"Missing","OK")</f>
        <v>OK</v>
      </c>
      <c r="E1145" t="str">
        <f>IF(OR(Controls_Raw!G1145="USA",Controls_Raw!G1145="UK"),"Standardize","OK")</f>
        <v>OK</v>
      </c>
      <c r="F1145" t="str">
        <f>IF(Controls_Raw!E1145&lt;&gt;TRIM(Controls_Raw!E1145),"Trim","OK")</f>
        <v>OK</v>
      </c>
      <c r="G1145" t="str">
        <f>IF(AND(Controls_Raw!L1145&lt;DATE(2026,9,30),Controls_Raw!M1145&lt;&gt;"Completed"),"Overdue","OK")</f>
        <v>Overdue</v>
      </c>
      <c r="H1145" t="str">
        <f>IF(AND(Controls_Raw!Q1145&lt;DATE(2026,9,30),Controls_Raw!R1145&lt;&gt;"Completed",Controls_Raw!R1145&lt;&gt;"Not Required"),"Overdue","OK")</f>
        <v>OK</v>
      </c>
      <c r="I1145" t="str">
        <f t="shared" si="17"/>
        <v>Issue</v>
      </c>
    </row>
    <row r="1146" spans="1:9" x14ac:dyDescent="0.2">
      <c r="A1146" t="str">
        <f>Controls_Raw!A1146</f>
        <v>CTRL-1142</v>
      </c>
      <c r="B1146" t="str">
        <f>IF(COUNTIF(Controls_Raw!$A$5:$A$1504,A1146)&gt;1,"Duplicate","OK")</f>
        <v>OK</v>
      </c>
      <c r="C1146" t="str">
        <f>IF(LEN(TRIM(Controls_Raw!I1146))=0,"Missing","OK")</f>
        <v>OK</v>
      </c>
      <c r="D1146" t="str">
        <f>IF(LEN(TRIM(Controls_Raw!N1146))=0,"Missing","OK")</f>
        <v>OK</v>
      </c>
      <c r="E1146" t="str">
        <f>IF(OR(Controls_Raw!G1146="USA",Controls_Raw!G1146="UK"),"Standardize","OK")</f>
        <v>OK</v>
      </c>
      <c r="F1146" t="str">
        <f>IF(Controls_Raw!E1146&lt;&gt;TRIM(Controls_Raw!E1146),"Trim","OK")</f>
        <v>OK</v>
      </c>
      <c r="G1146" t="str">
        <f>IF(AND(Controls_Raw!L1146&lt;DATE(2026,9,30),Controls_Raw!M1146&lt;&gt;"Completed"),"Overdue","OK")</f>
        <v>Overdue</v>
      </c>
      <c r="H1146" t="str">
        <f>IF(AND(Controls_Raw!Q1146&lt;DATE(2026,9,30),Controls_Raw!R1146&lt;&gt;"Completed",Controls_Raw!R1146&lt;&gt;"Not Required"),"Overdue","OK")</f>
        <v>OK</v>
      </c>
      <c r="I1146" t="str">
        <f t="shared" si="17"/>
        <v>Issue</v>
      </c>
    </row>
    <row r="1147" spans="1:9" x14ac:dyDescent="0.2">
      <c r="A1147" t="str">
        <f>Controls_Raw!A1147</f>
        <v>CTRL-1143</v>
      </c>
      <c r="B1147" t="str">
        <f>IF(COUNTIF(Controls_Raw!$A$5:$A$1504,A1147)&gt;1,"Duplicate","OK")</f>
        <v>OK</v>
      </c>
      <c r="C1147" t="str">
        <f>IF(LEN(TRIM(Controls_Raw!I1147))=0,"Missing","OK")</f>
        <v>OK</v>
      </c>
      <c r="D1147" t="str">
        <f>IF(LEN(TRIM(Controls_Raw!N1147))=0,"Missing","OK")</f>
        <v>OK</v>
      </c>
      <c r="E1147" t="str">
        <f>IF(OR(Controls_Raw!G1147="USA",Controls_Raw!G1147="UK"),"Standardize","OK")</f>
        <v>OK</v>
      </c>
      <c r="F1147" t="str">
        <f>IF(Controls_Raw!E1147&lt;&gt;TRIM(Controls_Raw!E1147),"Trim","OK")</f>
        <v>OK</v>
      </c>
      <c r="G1147" t="str">
        <f>IF(AND(Controls_Raw!L1147&lt;DATE(2026,9,30),Controls_Raw!M1147&lt;&gt;"Completed"),"Overdue","OK")</f>
        <v>OK</v>
      </c>
      <c r="H1147" t="str">
        <f>IF(AND(Controls_Raw!Q1147&lt;DATE(2026,9,30),Controls_Raw!R1147&lt;&gt;"Completed",Controls_Raw!R1147&lt;&gt;"Not Required"),"Overdue","OK")</f>
        <v>OK</v>
      </c>
      <c r="I1147" t="str">
        <f t="shared" si="17"/>
        <v>Pass</v>
      </c>
    </row>
    <row r="1148" spans="1:9" x14ac:dyDescent="0.2">
      <c r="A1148" t="str">
        <f>Controls_Raw!A1148</f>
        <v>CTRL-1144</v>
      </c>
      <c r="B1148" t="str">
        <f>IF(COUNTIF(Controls_Raw!$A$5:$A$1504,A1148)&gt;1,"Duplicate","OK")</f>
        <v>OK</v>
      </c>
      <c r="C1148" t="str">
        <f>IF(LEN(TRIM(Controls_Raw!I1148))=0,"Missing","OK")</f>
        <v>OK</v>
      </c>
      <c r="D1148" t="str">
        <f>IF(LEN(TRIM(Controls_Raw!N1148))=0,"Missing","OK")</f>
        <v>OK</v>
      </c>
      <c r="E1148" t="str">
        <f>IF(OR(Controls_Raw!G1148="USA",Controls_Raw!G1148="UK"),"Standardize","OK")</f>
        <v>OK</v>
      </c>
      <c r="F1148" t="str">
        <f>IF(Controls_Raw!E1148&lt;&gt;TRIM(Controls_Raw!E1148),"Trim","OK")</f>
        <v>OK</v>
      </c>
      <c r="G1148" t="str">
        <f>IF(AND(Controls_Raw!L1148&lt;DATE(2026,9,30),Controls_Raw!M1148&lt;&gt;"Completed"),"Overdue","OK")</f>
        <v>Overdue</v>
      </c>
      <c r="H1148" t="str">
        <f>IF(AND(Controls_Raw!Q1148&lt;DATE(2026,9,30),Controls_Raw!R1148&lt;&gt;"Completed",Controls_Raw!R1148&lt;&gt;"Not Required"),"Overdue","OK")</f>
        <v>OK</v>
      </c>
      <c r="I1148" t="str">
        <f t="shared" si="17"/>
        <v>Issue</v>
      </c>
    </row>
    <row r="1149" spans="1:9" x14ac:dyDescent="0.2">
      <c r="A1149" t="str">
        <f>Controls_Raw!A1149</f>
        <v>CTRL-1145</v>
      </c>
      <c r="B1149" t="str">
        <f>IF(COUNTIF(Controls_Raw!$A$5:$A$1504,A1149)&gt;1,"Duplicate","OK")</f>
        <v>OK</v>
      </c>
      <c r="C1149" t="str">
        <f>IF(LEN(TRIM(Controls_Raw!I1149))=0,"Missing","OK")</f>
        <v>OK</v>
      </c>
      <c r="D1149" t="str">
        <f>IF(LEN(TRIM(Controls_Raw!N1149))=0,"Missing","OK")</f>
        <v>OK</v>
      </c>
      <c r="E1149" t="str">
        <f>IF(OR(Controls_Raw!G1149="USA",Controls_Raw!G1149="UK"),"Standardize","OK")</f>
        <v>OK</v>
      </c>
      <c r="F1149" t="str">
        <f>IF(Controls_Raw!E1149&lt;&gt;TRIM(Controls_Raw!E1149),"Trim","OK")</f>
        <v>OK</v>
      </c>
      <c r="G1149" t="str">
        <f>IF(AND(Controls_Raw!L1149&lt;DATE(2026,9,30),Controls_Raw!M1149&lt;&gt;"Completed"),"Overdue","OK")</f>
        <v>OK</v>
      </c>
      <c r="H1149" t="str">
        <f>IF(AND(Controls_Raw!Q1149&lt;DATE(2026,9,30),Controls_Raw!R1149&lt;&gt;"Completed",Controls_Raw!R1149&lt;&gt;"Not Required"),"Overdue","OK")</f>
        <v>OK</v>
      </c>
      <c r="I1149" t="str">
        <f t="shared" si="17"/>
        <v>Pass</v>
      </c>
    </row>
    <row r="1150" spans="1:9" x14ac:dyDescent="0.2">
      <c r="A1150" t="str">
        <f>Controls_Raw!A1150</f>
        <v>CTRL-1146</v>
      </c>
      <c r="B1150" t="str">
        <f>IF(COUNTIF(Controls_Raw!$A$5:$A$1504,A1150)&gt;1,"Duplicate","OK")</f>
        <v>OK</v>
      </c>
      <c r="C1150" t="str">
        <f>IF(LEN(TRIM(Controls_Raw!I1150))=0,"Missing","OK")</f>
        <v>OK</v>
      </c>
      <c r="D1150" t="str">
        <f>IF(LEN(TRIM(Controls_Raw!N1150))=0,"Missing","OK")</f>
        <v>OK</v>
      </c>
      <c r="E1150" t="str">
        <f>IF(OR(Controls_Raw!G1150="USA",Controls_Raw!G1150="UK"),"Standardize","OK")</f>
        <v>OK</v>
      </c>
      <c r="F1150" t="str">
        <f>IF(Controls_Raw!E1150&lt;&gt;TRIM(Controls_Raw!E1150),"Trim","OK")</f>
        <v>OK</v>
      </c>
      <c r="G1150" t="str">
        <f>IF(AND(Controls_Raw!L1150&lt;DATE(2026,9,30),Controls_Raw!M1150&lt;&gt;"Completed"),"Overdue","OK")</f>
        <v>Overdue</v>
      </c>
      <c r="H1150" t="str">
        <f>IF(AND(Controls_Raw!Q1150&lt;DATE(2026,9,30),Controls_Raw!R1150&lt;&gt;"Completed",Controls_Raw!R1150&lt;&gt;"Not Required"),"Overdue","OK")</f>
        <v>Overdue</v>
      </c>
      <c r="I1150" t="str">
        <f t="shared" si="17"/>
        <v>Issue</v>
      </c>
    </row>
    <row r="1151" spans="1:9" x14ac:dyDescent="0.2">
      <c r="A1151" t="str">
        <f>Controls_Raw!A1151</f>
        <v>CTRL-1147</v>
      </c>
      <c r="B1151" t="str">
        <f>IF(COUNTIF(Controls_Raw!$A$5:$A$1504,A1151)&gt;1,"Duplicate","OK")</f>
        <v>OK</v>
      </c>
      <c r="C1151" t="str">
        <f>IF(LEN(TRIM(Controls_Raw!I1151))=0,"Missing","OK")</f>
        <v>OK</v>
      </c>
      <c r="D1151" t="str">
        <f>IF(LEN(TRIM(Controls_Raw!N1151))=0,"Missing","OK")</f>
        <v>OK</v>
      </c>
      <c r="E1151" t="str">
        <f>IF(OR(Controls_Raw!G1151="USA",Controls_Raw!G1151="UK"),"Standardize","OK")</f>
        <v>OK</v>
      </c>
      <c r="F1151" t="str">
        <f>IF(Controls_Raw!E1151&lt;&gt;TRIM(Controls_Raw!E1151),"Trim","OK")</f>
        <v>OK</v>
      </c>
      <c r="G1151" t="str">
        <f>IF(AND(Controls_Raw!L1151&lt;DATE(2026,9,30),Controls_Raw!M1151&lt;&gt;"Completed"),"Overdue","OK")</f>
        <v>Overdue</v>
      </c>
      <c r="H1151" t="str">
        <f>IF(AND(Controls_Raw!Q1151&lt;DATE(2026,9,30),Controls_Raw!R1151&lt;&gt;"Completed",Controls_Raw!R1151&lt;&gt;"Not Required"),"Overdue","OK")</f>
        <v>Overdue</v>
      </c>
      <c r="I1151" t="str">
        <f t="shared" si="17"/>
        <v>Issue</v>
      </c>
    </row>
    <row r="1152" spans="1:9" x14ac:dyDescent="0.2">
      <c r="A1152" t="str">
        <f>Controls_Raw!A1152</f>
        <v>CTRL-1148</v>
      </c>
      <c r="B1152" t="str">
        <f>IF(COUNTIF(Controls_Raw!$A$5:$A$1504,A1152)&gt;1,"Duplicate","OK")</f>
        <v>OK</v>
      </c>
      <c r="C1152" t="str">
        <f>IF(LEN(TRIM(Controls_Raw!I1152))=0,"Missing","OK")</f>
        <v>OK</v>
      </c>
      <c r="D1152" t="str">
        <f>IF(LEN(TRIM(Controls_Raw!N1152))=0,"Missing","OK")</f>
        <v>OK</v>
      </c>
      <c r="E1152" t="str">
        <f>IF(OR(Controls_Raw!G1152="USA",Controls_Raw!G1152="UK"),"Standardize","OK")</f>
        <v>OK</v>
      </c>
      <c r="F1152" t="str">
        <f>IF(Controls_Raw!E1152&lt;&gt;TRIM(Controls_Raw!E1152),"Trim","OK")</f>
        <v>OK</v>
      </c>
      <c r="G1152" t="str">
        <f>IF(AND(Controls_Raw!L1152&lt;DATE(2026,9,30),Controls_Raw!M1152&lt;&gt;"Completed"),"Overdue","OK")</f>
        <v>Overdue</v>
      </c>
      <c r="H1152" t="str">
        <f>IF(AND(Controls_Raw!Q1152&lt;DATE(2026,9,30),Controls_Raw!R1152&lt;&gt;"Completed",Controls_Raw!R1152&lt;&gt;"Not Required"),"Overdue","OK")</f>
        <v>OK</v>
      </c>
      <c r="I1152" t="str">
        <f t="shared" si="17"/>
        <v>Issue</v>
      </c>
    </row>
    <row r="1153" spans="1:9" x14ac:dyDescent="0.2">
      <c r="A1153" t="str">
        <f>Controls_Raw!A1153</f>
        <v>CTRL-1149</v>
      </c>
      <c r="B1153" t="str">
        <f>IF(COUNTIF(Controls_Raw!$A$5:$A$1504,A1153)&gt;1,"Duplicate","OK")</f>
        <v>OK</v>
      </c>
      <c r="C1153" t="str">
        <f>IF(LEN(TRIM(Controls_Raw!I1153))=0,"Missing","OK")</f>
        <v>OK</v>
      </c>
      <c r="D1153" t="str">
        <f>IF(LEN(TRIM(Controls_Raw!N1153))=0,"Missing","OK")</f>
        <v>OK</v>
      </c>
      <c r="E1153" t="str">
        <f>IF(OR(Controls_Raw!G1153="USA",Controls_Raw!G1153="UK"),"Standardize","OK")</f>
        <v>Standardize</v>
      </c>
      <c r="F1153" t="str">
        <f>IF(Controls_Raw!E1153&lt;&gt;TRIM(Controls_Raw!E1153),"Trim","OK")</f>
        <v>OK</v>
      </c>
      <c r="G1153" t="str">
        <f>IF(AND(Controls_Raw!L1153&lt;DATE(2026,9,30),Controls_Raw!M1153&lt;&gt;"Completed"),"Overdue","OK")</f>
        <v>OK</v>
      </c>
      <c r="H1153" t="str">
        <f>IF(AND(Controls_Raw!Q1153&lt;DATE(2026,9,30),Controls_Raw!R1153&lt;&gt;"Completed",Controls_Raw!R1153&lt;&gt;"Not Required"),"Overdue","OK")</f>
        <v>OK</v>
      </c>
      <c r="I1153" t="str">
        <f t="shared" si="17"/>
        <v>Issue</v>
      </c>
    </row>
    <row r="1154" spans="1:9" x14ac:dyDescent="0.2">
      <c r="A1154" t="str">
        <f>Controls_Raw!A1154</f>
        <v>CTRL-1150</v>
      </c>
      <c r="B1154" t="str">
        <f>IF(COUNTIF(Controls_Raw!$A$5:$A$1504,A1154)&gt;1,"Duplicate","OK")</f>
        <v>OK</v>
      </c>
      <c r="C1154" t="str">
        <f>IF(LEN(TRIM(Controls_Raw!I1154))=0,"Missing","OK")</f>
        <v>OK</v>
      </c>
      <c r="D1154" t="str">
        <f>IF(LEN(TRIM(Controls_Raw!N1154))=0,"Missing","OK")</f>
        <v>OK</v>
      </c>
      <c r="E1154" t="str">
        <f>IF(OR(Controls_Raw!G1154="USA",Controls_Raw!G1154="UK"),"Standardize","OK")</f>
        <v>OK</v>
      </c>
      <c r="F1154" t="str">
        <f>IF(Controls_Raw!E1154&lt;&gt;TRIM(Controls_Raw!E1154),"Trim","OK")</f>
        <v>OK</v>
      </c>
      <c r="G1154" t="str">
        <f>IF(AND(Controls_Raw!L1154&lt;DATE(2026,9,30),Controls_Raw!M1154&lt;&gt;"Completed"),"Overdue","OK")</f>
        <v>OK</v>
      </c>
      <c r="H1154" t="str">
        <f>IF(AND(Controls_Raw!Q1154&lt;DATE(2026,9,30),Controls_Raw!R1154&lt;&gt;"Completed",Controls_Raw!R1154&lt;&gt;"Not Required"),"Overdue","OK")</f>
        <v>OK</v>
      </c>
      <c r="I1154" t="str">
        <f t="shared" si="17"/>
        <v>Pass</v>
      </c>
    </row>
    <row r="1155" spans="1:9" x14ac:dyDescent="0.2">
      <c r="A1155" t="str">
        <f>Controls_Raw!A1155</f>
        <v>CTRL-1151</v>
      </c>
      <c r="B1155" t="str">
        <f>IF(COUNTIF(Controls_Raw!$A$5:$A$1504,A1155)&gt;1,"Duplicate","OK")</f>
        <v>OK</v>
      </c>
      <c r="C1155" t="str">
        <f>IF(LEN(TRIM(Controls_Raw!I1155))=0,"Missing","OK")</f>
        <v>OK</v>
      </c>
      <c r="D1155" t="str">
        <f>IF(LEN(TRIM(Controls_Raw!N1155))=0,"Missing","OK")</f>
        <v>OK</v>
      </c>
      <c r="E1155" t="str">
        <f>IF(OR(Controls_Raw!G1155="USA",Controls_Raw!G1155="UK"),"Standardize","OK")</f>
        <v>OK</v>
      </c>
      <c r="F1155" t="str">
        <f>IF(Controls_Raw!E1155&lt;&gt;TRIM(Controls_Raw!E1155),"Trim","OK")</f>
        <v>OK</v>
      </c>
      <c r="G1155" t="str">
        <f>IF(AND(Controls_Raw!L1155&lt;DATE(2026,9,30),Controls_Raw!M1155&lt;&gt;"Completed"),"Overdue","OK")</f>
        <v>Overdue</v>
      </c>
      <c r="H1155" t="str">
        <f>IF(AND(Controls_Raw!Q1155&lt;DATE(2026,9,30),Controls_Raw!R1155&lt;&gt;"Completed",Controls_Raw!R1155&lt;&gt;"Not Required"),"Overdue","OK")</f>
        <v>OK</v>
      </c>
      <c r="I1155" t="str">
        <f t="shared" si="17"/>
        <v>Issue</v>
      </c>
    </row>
    <row r="1156" spans="1:9" x14ac:dyDescent="0.2">
      <c r="A1156" t="str">
        <f>Controls_Raw!A1156</f>
        <v>CTRL-1152</v>
      </c>
      <c r="B1156" t="str">
        <f>IF(COUNTIF(Controls_Raw!$A$5:$A$1504,A1156)&gt;1,"Duplicate","OK")</f>
        <v>OK</v>
      </c>
      <c r="C1156" t="str">
        <f>IF(LEN(TRIM(Controls_Raw!I1156))=0,"Missing","OK")</f>
        <v>OK</v>
      </c>
      <c r="D1156" t="str">
        <f>IF(LEN(TRIM(Controls_Raw!N1156))=0,"Missing","OK")</f>
        <v>OK</v>
      </c>
      <c r="E1156" t="str">
        <f>IF(OR(Controls_Raw!G1156="USA",Controls_Raw!G1156="UK"),"Standardize","OK")</f>
        <v>OK</v>
      </c>
      <c r="F1156" t="str">
        <f>IF(Controls_Raw!E1156&lt;&gt;TRIM(Controls_Raw!E1156),"Trim","OK")</f>
        <v>OK</v>
      </c>
      <c r="G1156" t="str">
        <f>IF(AND(Controls_Raw!L1156&lt;DATE(2026,9,30),Controls_Raw!M1156&lt;&gt;"Completed"),"Overdue","OK")</f>
        <v>Overdue</v>
      </c>
      <c r="H1156" t="str">
        <f>IF(AND(Controls_Raw!Q1156&lt;DATE(2026,9,30),Controls_Raw!R1156&lt;&gt;"Completed",Controls_Raw!R1156&lt;&gt;"Not Required"),"Overdue","OK")</f>
        <v>Overdue</v>
      </c>
      <c r="I1156" t="str">
        <f t="shared" si="17"/>
        <v>Issue</v>
      </c>
    </row>
    <row r="1157" spans="1:9" x14ac:dyDescent="0.2">
      <c r="A1157" t="str">
        <f>Controls_Raw!A1157</f>
        <v>CTRL-1153</v>
      </c>
      <c r="B1157" t="str">
        <f>IF(COUNTIF(Controls_Raw!$A$5:$A$1504,A1157)&gt;1,"Duplicate","OK")</f>
        <v>OK</v>
      </c>
      <c r="C1157" t="str">
        <f>IF(LEN(TRIM(Controls_Raw!I1157))=0,"Missing","OK")</f>
        <v>OK</v>
      </c>
      <c r="D1157" t="str">
        <f>IF(LEN(TRIM(Controls_Raw!N1157))=0,"Missing","OK")</f>
        <v>OK</v>
      </c>
      <c r="E1157" t="str">
        <f>IF(OR(Controls_Raw!G1157="USA",Controls_Raw!G1157="UK"),"Standardize","OK")</f>
        <v>OK</v>
      </c>
      <c r="F1157" t="str">
        <f>IF(Controls_Raw!E1157&lt;&gt;TRIM(Controls_Raw!E1157),"Trim","OK")</f>
        <v>OK</v>
      </c>
      <c r="G1157" t="str">
        <f>IF(AND(Controls_Raw!L1157&lt;DATE(2026,9,30),Controls_Raw!M1157&lt;&gt;"Completed"),"Overdue","OK")</f>
        <v>Overdue</v>
      </c>
      <c r="H1157" t="str">
        <f>IF(AND(Controls_Raw!Q1157&lt;DATE(2026,9,30),Controls_Raw!R1157&lt;&gt;"Completed",Controls_Raw!R1157&lt;&gt;"Not Required"),"Overdue","OK")</f>
        <v>Overdue</v>
      </c>
      <c r="I1157" t="str">
        <f t="shared" ref="I1157:I1220" si="18">IF(COUNTIF(B1157:H1157,"&lt;&gt;OK")&gt;0,"Issue","Pass")</f>
        <v>Issue</v>
      </c>
    </row>
    <row r="1158" spans="1:9" x14ac:dyDescent="0.2">
      <c r="A1158" t="str">
        <f>Controls_Raw!A1158</f>
        <v>CTRL-1154</v>
      </c>
      <c r="B1158" t="str">
        <f>IF(COUNTIF(Controls_Raw!$A$5:$A$1504,A1158)&gt;1,"Duplicate","OK")</f>
        <v>OK</v>
      </c>
      <c r="C1158" t="str">
        <f>IF(LEN(TRIM(Controls_Raw!I1158))=0,"Missing","OK")</f>
        <v>OK</v>
      </c>
      <c r="D1158" t="str">
        <f>IF(LEN(TRIM(Controls_Raw!N1158))=0,"Missing","OK")</f>
        <v>OK</v>
      </c>
      <c r="E1158" t="str">
        <f>IF(OR(Controls_Raw!G1158="USA",Controls_Raw!G1158="UK"),"Standardize","OK")</f>
        <v>OK</v>
      </c>
      <c r="F1158" t="str">
        <f>IF(Controls_Raw!E1158&lt;&gt;TRIM(Controls_Raw!E1158),"Trim","OK")</f>
        <v>OK</v>
      </c>
      <c r="G1158" t="str">
        <f>IF(AND(Controls_Raw!L1158&lt;DATE(2026,9,30),Controls_Raw!M1158&lt;&gt;"Completed"),"Overdue","OK")</f>
        <v>OK</v>
      </c>
      <c r="H1158" t="str">
        <f>IF(AND(Controls_Raw!Q1158&lt;DATE(2026,9,30),Controls_Raw!R1158&lt;&gt;"Completed",Controls_Raw!R1158&lt;&gt;"Not Required"),"Overdue","OK")</f>
        <v>OK</v>
      </c>
      <c r="I1158" t="str">
        <f t="shared" si="18"/>
        <v>Pass</v>
      </c>
    </row>
    <row r="1159" spans="1:9" x14ac:dyDescent="0.2">
      <c r="A1159" t="str">
        <f>Controls_Raw!A1159</f>
        <v>CTRL-1155</v>
      </c>
      <c r="B1159" t="str">
        <f>IF(COUNTIF(Controls_Raw!$A$5:$A$1504,A1159)&gt;1,"Duplicate","OK")</f>
        <v>OK</v>
      </c>
      <c r="C1159" t="str">
        <f>IF(LEN(TRIM(Controls_Raw!I1159))=0,"Missing","OK")</f>
        <v>OK</v>
      </c>
      <c r="D1159" t="str">
        <f>IF(LEN(TRIM(Controls_Raw!N1159))=0,"Missing","OK")</f>
        <v>OK</v>
      </c>
      <c r="E1159" t="str">
        <f>IF(OR(Controls_Raw!G1159="USA",Controls_Raw!G1159="UK"),"Standardize","OK")</f>
        <v>OK</v>
      </c>
      <c r="F1159" t="str">
        <f>IF(Controls_Raw!E1159&lt;&gt;TRIM(Controls_Raw!E1159),"Trim","OK")</f>
        <v>OK</v>
      </c>
      <c r="G1159" t="str">
        <f>IF(AND(Controls_Raw!L1159&lt;DATE(2026,9,30),Controls_Raw!M1159&lt;&gt;"Completed"),"Overdue","OK")</f>
        <v>Overdue</v>
      </c>
      <c r="H1159" t="str">
        <f>IF(AND(Controls_Raw!Q1159&lt;DATE(2026,9,30),Controls_Raw!R1159&lt;&gt;"Completed",Controls_Raw!R1159&lt;&gt;"Not Required"),"Overdue","OK")</f>
        <v>Overdue</v>
      </c>
      <c r="I1159" t="str">
        <f t="shared" si="18"/>
        <v>Issue</v>
      </c>
    </row>
    <row r="1160" spans="1:9" x14ac:dyDescent="0.2">
      <c r="A1160" t="str">
        <f>Controls_Raw!A1160</f>
        <v>CTRL-1156</v>
      </c>
      <c r="B1160" t="str">
        <f>IF(COUNTIF(Controls_Raw!$A$5:$A$1504,A1160)&gt;1,"Duplicate","OK")</f>
        <v>OK</v>
      </c>
      <c r="C1160" t="str">
        <f>IF(LEN(TRIM(Controls_Raw!I1160))=0,"Missing","OK")</f>
        <v>OK</v>
      </c>
      <c r="D1160" t="str">
        <f>IF(LEN(TRIM(Controls_Raw!N1160))=0,"Missing","OK")</f>
        <v>OK</v>
      </c>
      <c r="E1160" t="str">
        <f>IF(OR(Controls_Raw!G1160="USA",Controls_Raw!G1160="UK"),"Standardize","OK")</f>
        <v>OK</v>
      </c>
      <c r="F1160" t="str">
        <f>IF(Controls_Raw!E1160&lt;&gt;TRIM(Controls_Raw!E1160),"Trim","OK")</f>
        <v>OK</v>
      </c>
      <c r="G1160" t="str">
        <f>IF(AND(Controls_Raw!L1160&lt;DATE(2026,9,30),Controls_Raw!M1160&lt;&gt;"Completed"),"Overdue","OK")</f>
        <v>Overdue</v>
      </c>
      <c r="H1160" t="str">
        <f>IF(AND(Controls_Raw!Q1160&lt;DATE(2026,9,30),Controls_Raw!R1160&lt;&gt;"Completed",Controls_Raw!R1160&lt;&gt;"Not Required"),"Overdue","OK")</f>
        <v>OK</v>
      </c>
      <c r="I1160" t="str">
        <f t="shared" si="18"/>
        <v>Issue</v>
      </c>
    </row>
    <row r="1161" spans="1:9" x14ac:dyDescent="0.2">
      <c r="A1161" t="str">
        <f>Controls_Raw!A1161</f>
        <v>CTRL-1157</v>
      </c>
      <c r="B1161" t="str">
        <f>IF(COUNTIF(Controls_Raw!$A$5:$A$1504,A1161)&gt;1,"Duplicate","OK")</f>
        <v>OK</v>
      </c>
      <c r="C1161" t="str">
        <f>IF(LEN(TRIM(Controls_Raw!I1161))=0,"Missing","OK")</f>
        <v>OK</v>
      </c>
      <c r="D1161" t="str">
        <f>IF(LEN(TRIM(Controls_Raw!N1161))=0,"Missing","OK")</f>
        <v>OK</v>
      </c>
      <c r="E1161" t="str">
        <f>IF(OR(Controls_Raw!G1161="USA",Controls_Raw!G1161="UK"),"Standardize","OK")</f>
        <v>OK</v>
      </c>
      <c r="F1161" t="str">
        <f>IF(Controls_Raw!E1161&lt;&gt;TRIM(Controls_Raw!E1161),"Trim","OK")</f>
        <v>OK</v>
      </c>
      <c r="G1161" t="str">
        <f>IF(AND(Controls_Raw!L1161&lt;DATE(2026,9,30),Controls_Raw!M1161&lt;&gt;"Completed"),"Overdue","OK")</f>
        <v>OK</v>
      </c>
      <c r="H1161" t="str">
        <f>IF(AND(Controls_Raw!Q1161&lt;DATE(2026,9,30),Controls_Raw!R1161&lt;&gt;"Completed",Controls_Raw!R1161&lt;&gt;"Not Required"),"Overdue","OK")</f>
        <v>OK</v>
      </c>
      <c r="I1161" t="str">
        <f t="shared" si="18"/>
        <v>Pass</v>
      </c>
    </row>
    <row r="1162" spans="1:9" x14ac:dyDescent="0.2">
      <c r="A1162" t="str">
        <f>Controls_Raw!A1162</f>
        <v>CTRL-1158</v>
      </c>
      <c r="B1162" t="str">
        <f>IF(COUNTIF(Controls_Raw!$A$5:$A$1504,A1162)&gt;1,"Duplicate","OK")</f>
        <v>OK</v>
      </c>
      <c r="C1162" t="str">
        <f>IF(LEN(TRIM(Controls_Raw!I1162))=0,"Missing","OK")</f>
        <v>OK</v>
      </c>
      <c r="D1162" t="str">
        <f>IF(LEN(TRIM(Controls_Raw!N1162))=0,"Missing","OK")</f>
        <v>OK</v>
      </c>
      <c r="E1162" t="str">
        <f>IF(OR(Controls_Raw!G1162="USA",Controls_Raw!G1162="UK"),"Standardize","OK")</f>
        <v>OK</v>
      </c>
      <c r="F1162" t="str">
        <f>IF(Controls_Raw!E1162&lt;&gt;TRIM(Controls_Raw!E1162),"Trim","OK")</f>
        <v>OK</v>
      </c>
      <c r="G1162" t="str">
        <f>IF(AND(Controls_Raw!L1162&lt;DATE(2026,9,30),Controls_Raw!M1162&lt;&gt;"Completed"),"Overdue","OK")</f>
        <v>OK</v>
      </c>
      <c r="H1162" t="str">
        <f>IF(AND(Controls_Raw!Q1162&lt;DATE(2026,9,30),Controls_Raw!R1162&lt;&gt;"Completed",Controls_Raw!R1162&lt;&gt;"Not Required"),"Overdue","OK")</f>
        <v>OK</v>
      </c>
      <c r="I1162" t="str">
        <f t="shared" si="18"/>
        <v>Pass</v>
      </c>
    </row>
    <row r="1163" spans="1:9" x14ac:dyDescent="0.2">
      <c r="A1163" t="str">
        <f>Controls_Raw!A1163</f>
        <v>CTRL-1159</v>
      </c>
      <c r="B1163" t="str">
        <f>IF(COUNTIF(Controls_Raw!$A$5:$A$1504,A1163)&gt;1,"Duplicate","OK")</f>
        <v>OK</v>
      </c>
      <c r="C1163" t="str">
        <f>IF(LEN(TRIM(Controls_Raw!I1163))=0,"Missing","OK")</f>
        <v>OK</v>
      </c>
      <c r="D1163" t="str">
        <f>IF(LEN(TRIM(Controls_Raw!N1163))=0,"Missing","OK")</f>
        <v>OK</v>
      </c>
      <c r="E1163" t="str">
        <f>IF(OR(Controls_Raw!G1163="USA",Controls_Raw!G1163="UK"),"Standardize","OK")</f>
        <v>OK</v>
      </c>
      <c r="F1163" t="str">
        <f>IF(Controls_Raw!E1163&lt;&gt;TRIM(Controls_Raw!E1163),"Trim","OK")</f>
        <v>OK</v>
      </c>
      <c r="G1163" t="str">
        <f>IF(AND(Controls_Raw!L1163&lt;DATE(2026,9,30),Controls_Raw!M1163&lt;&gt;"Completed"),"Overdue","OK")</f>
        <v>OK</v>
      </c>
      <c r="H1163" t="str">
        <f>IF(AND(Controls_Raw!Q1163&lt;DATE(2026,9,30),Controls_Raw!R1163&lt;&gt;"Completed",Controls_Raw!R1163&lt;&gt;"Not Required"),"Overdue","OK")</f>
        <v>Overdue</v>
      </c>
      <c r="I1163" t="str">
        <f t="shared" si="18"/>
        <v>Issue</v>
      </c>
    </row>
    <row r="1164" spans="1:9" x14ac:dyDescent="0.2">
      <c r="A1164" t="str">
        <f>Controls_Raw!A1164</f>
        <v>CTRL-1160</v>
      </c>
      <c r="B1164" t="str">
        <f>IF(COUNTIF(Controls_Raw!$A$5:$A$1504,A1164)&gt;1,"Duplicate","OK")</f>
        <v>OK</v>
      </c>
      <c r="C1164" t="str">
        <f>IF(LEN(TRIM(Controls_Raw!I1164))=0,"Missing","OK")</f>
        <v>OK</v>
      </c>
      <c r="D1164" t="str">
        <f>IF(LEN(TRIM(Controls_Raw!N1164))=0,"Missing","OK")</f>
        <v>OK</v>
      </c>
      <c r="E1164" t="str">
        <f>IF(OR(Controls_Raw!G1164="USA",Controls_Raw!G1164="UK"),"Standardize","OK")</f>
        <v>OK</v>
      </c>
      <c r="F1164" t="str">
        <f>IF(Controls_Raw!E1164&lt;&gt;TRIM(Controls_Raw!E1164),"Trim","OK")</f>
        <v>OK</v>
      </c>
      <c r="G1164" t="str">
        <f>IF(AND(Controls_Raw!L1164&lt;DATE(2026,9,30),Controls_Raw!M1164&lt;&gt;"Completed"),"Overdue","OK")</f>
        <v>OK</v>
      </c>
      <c r="H1164" t="str">
        <f>IF(AND(Controls_Raw!Q1164&lt;DATE(2026,9,30),Controls_Raw!R1164&lt;&gt;"Completed",Controls_Raw!R1164&lt;&gt;"Not Required"),"Overdue","OK")</f>
        <v>Overdue</v>
      </c>
      <c r="I1164" t="str">
        <f t="shared" si="18"/>
        <v>Issue</v>
      </c>
    </row>
    <row r="1165" spans="1:9" x14ac:dyDescent="0.2">
      <c r="A1165" t="str">
        <f>Controls_Raw!A1165</f>
        <v>CTRL-1161</v>
      </c>
      <c r="B1165" t="str">
        <f>IF(COUNTIF(Controls_Raw!$A$5:$A$1504,A1165)&gt;1,"Duplicate","OK")</f>
        <v>OK</v>
      </c>
      <c r="C1165" t="str">
        <f>IF(LEN(TRIM(Controls_Raw!I1165))=0,"Missing","OK")</f>
        <v>OK</v>
      </c>
      <c r="D1165" t="str">
        <f>IF(LEN(TRIM(Controls_Raw!N1165))=0,"Missing","OK")</f>
        <v>OK</v>
      </c>
      <c r="E1165" t="str">
        <f>IF(OR(Controls_Raw!G1165="USA",Controls_Raw!G1165="UK"),"Standardize","OK")</f>
        <v>OK</v>
      </c>
      <c r="F1165" t="str">
        <f>IF(Controls_Raw!E1165&lt;&gt;TRIM(Controls_Raw!E1165),"Trim","OK")</f>
        <v>OK</v>
      </c>
      <c r="G1165" t="str">
        <f>IF(AND(Controls_Raw!L1165&lt;DATE(2026,9,30),Controls_Raw!M1165&lt;&gt;"Completed"),"Overdue","OK")</f>
        <v>OK</v>
      </c>
      <c r="H1165" t="str">
        <f>IF(AND(Controls_Raw!Q1165&lt;DATE(2026,9,30),Controls_Raw!R1165&lt;&gt;"Completed",Controls_Raw!R1165&lt;&gt;"Not Required"),"Overdue","OK")</f>
        <v>OK</v>
      </c>
      <c r="I1165" t="str">
        <f t="shared" si="18"/>
        <v>Pass</v>
      </c>
    </row>
    <row r="1166" spans="1:9" x14ac:dyDescent="0.2">
      <c r="A1166" t="str">
        <f>Controls_Raw!A1166</f>
        <v>CTRL-1162</v>
      </c>
      <c r="B1166" t="str">
        <f>IF(COUNTIF(Controls_Raw!$A$5:$A$1504,A1166)&gt;1,"Duplicate","OK")</f>
        <v>OK</v>
      </c>
      <c r="C1166" t="str">
        <f>IF(LEN(TRIM(Controls_Raw!I1166))=0,"Missing","OK")</f>
        <v>OK</v>
      </c>
      <c r="D1166" t="str">
        <f>IF(LEN(TRIM(Controls_Raw!N1166))=0,"Missing","OK")</f>
        <v>OK</v>
      </c>
      <c r="E1166" t="str">
        <f>IF(OR(Controls_Raw!G1166="USA",Controls_Raw!G1166="UK"),"Standardize","OK")</f>
        <v>OK</v>
      </c>
      <c r="F1166" t="str">
        <f>IF(Controls_Raw!E1166&lt;&gt;TRIM(Controls_Raw!E1166),"Trim","OK")</f>
        <v>OK</v>
      </c>
      <c r="G1166" t="str">
        <f>IF(AND(Controls_Raw!L1166&lt;DATE(2026,9,30),Controls_Raw!M1166&lt;&gt;"Completed"),"Overdue","OK")</f>
        <v>OK</v>
      </c>
      <c r="H1166" t="str">
        <f>IF(AND(Controls_Raw!Q1166&lt;DATE(2026,9,30),Controls_Raw!R1166&lt;&gt;"Completed",Controls_Raw!R1166&lt;&gt;"Not Required"),"Overdue","OK")</f>
        <v>Overdue</v>
      </c>
      <c r="I1166" t="str">
        <f t="shared" si="18"/>
        <v>Issue</v>
      </c>
    </row>
    <row r="1167" spans="1:9" x14ac:dyDescent="0.2">
      <c r="A1167" t="str">
        <f>Controls_Raw!A1167</f>
        <v>CTRL-1163</v>
      </c>
      <c r="B1167" t="str">
        <f>IF(COUNTIF(Controls_Raw!$A$5:$A$1504,A1167)&gt;1,"Duplicate","OK")</f>
        <v>OK</v>
      </c>
      <c r="C1167" t="str">
        <f>IF(LEN(TRIM(Controls_Raw!I1167))=0,"Missing","OK")</f>
        <v>OK</v>
      </c>
      <c r="D1167" t="str">
        <f>IF(LEN(TRIM(Controls_Raw!N1167))=0,"Missing","OK")</f>
        <v>Missing</v>
      </c>
      <c r="E1167" t="str">
        <f>IF(OR(Controls_Raw!G1167="USA",Controls_Raw!G1167="UK"),"Standardize","OK")</f>
        <v>OK</v>
      </c>
      <c r="F1167" t="str">
        <f>IF(Controls_Raw!E1167&lt;&gt;TRIM(Controls_Raw!E1167),"Trim","OK")</f>
        <v>OK</v>
      </c>
      <c r="G1167" t="str">
        <f>IF(AND(Controls_Raw!L1167&lt;DATE(2026,9,30),Controls_Raw!M1167&lt;&gt;"Completed"),"Overdue","OK")</f>
        <v>Overdue</v>
      </c>
      <c r="H1167" t="str">
        <f>IF(AND(Controls_Raw!Q1167&lt;DATE(2026,9,30),Controls_Raw!R1167&lt;&gt;"Completed",Controls_Raw!R1167&lt;&gt;"Not Required"),"Overdue","OK")</f>
        <v>OK</v>
      </c>
      <c r="I1167" t="str">
        <f t="shared" si="18"/>
        <v>Issue</v>
      </c>
    </row>
    <row r="1168" spans="1:9" x14ac:dyDescent="0.2">
      <c r="A1168" t="str">
        <f>Controls_Raw!A1168</f>
        <v>CTRL-1164</v>
      </c>
      <c r="B1168" t="str">
        <f>IF(COUNTIF(Controls_Raw!$A$5:$A$1504,A1168)&gt;1,"Duplicate","OK")</f>
        <v>OK</v>
      </c>
      <c r="C1168" t="str">
        <f>IF(LEN(TRIM(Controls_Raw!I1168))=0,"Missing","OK")</f>
        <v>OK</v>
      </c>
      <c r="D1168" t="str">
        <f>IF(LEN(TRIM(Controls_Raw!N1168))=0,"Missing","OK")</f>
        <v>OK</v>
      </c>
      <c r="E1168" t="str">
        <f>IF(OR(Controls_Raw!G1168="USA",Controls_Raw!G1168="UK"),"Standardize","OK")</f>
        <v>OK</v>
      </c>
      <c r="F1168" t="str">
        <f>IF(Controls_Raw!E1168&lt;&gt;TRIM(Controls_Raw!E1168),"Trim","OK")</f>
        <v>OK</v>
      </c>
      <c r="G1168" t="str">
        <f>IF(AND(Controls_Raw!L1168&lt;DATE(2026,9,30),Controls_Raw!M1168&lt;&gt;"Completed"),"Overdue","OK")</f>
        <v>OK</v>
      </c>
      <c r="H1168" t="str">
        <f>IF(AND(Controls_Raw!Q1168&lt;DATE(2026,9,30),Controls_Raw!R1168&lt;&gt;"Completed",Controls_Raw!R1168&lt;&gt;"Not Required"),"Overdue","OK")</f>
        <v>Overdue</v>
      </c>
      <c r="I1168" t="str">
        <f t="shared" si="18"/>
        <v>Issue</v>
      </c>
    </row>
    <row r="1169" spans="1:9" x14ac:dyDescent="0.2">
      <c r="A1169" t="str">
        <f>Controls_Raw!A1169</f>
        <v>CTRL-1165</v>
      </c>
      <c r="B1169" t="str">
        <f>IF(COUNTIF(Controls_Raw!$A$5:$A$1504,A1169)&gt;1,"Duplicate","OK")</f>
        <v>OK</v>
      </c>
      <c r="C1169" t="str">
        <f>IF(LEN(TRIM(Controls_Raw!I1169))=0,"Missing","OK")</f>
        <v>OK</v>
      </c>
      <c r="D1169" t="str">
        <f>IF(LEN(TRIM(Controls_Raw!N1169))=0,"Missing","OK")</f>
        <v>OK</v>
      </c>
      <c r="E1169" t="str">
        <f>IF(OR(Controls_Raw!G1169="USA",Controls_Raw!G1169="UK"),"Standardize","OK")</f>
        <v>OK</v>
      </c>
      <c r="F1169" t="str">
        <f>IF(Controls_Raw!E1169&lt;&gt;TRIM(Controls_Raw!E1169),"Trim","OK")</f>
        <v>OK</v>
      </c>
      <c r="G1169" t="str">
        <f>IF(AND(Controls_Raw!L1169&lt;DATE(2026,9,30),Controls_Raw!M1169&lt;&gt;"Completed"),"Overdue","OK")</f>
        <v>OK</v>
      </c>
      <c r="H1169" t="str">
        <f>IF(AND(Controls_Raw!Q1169&lt;DATE(2026,9,30),Controls_Raw!R1169&lt;&gt;"Completed",Controls_Raw!R1169&lt;&gt;"Not Required"),"Overdue","OK")</f>
        <v>OK</v>
      </c>
      <c r="I1169" t="str">
        <f t="shared" si="18"/>
        <v>Pass</v>
      </c>
    </row>
    <row r="1170" spans="1:9" x14ac:dyDescent="0.2">
      <c r="A1170" t="str">
        <f>Controls_Raw!A1170</f>
        <v>CTRL-1166</v>
      </c>
      <c r="B1170" t="str">
        <f>IF(COUNTIF(Controls_Raw!$A$5:$A$1504,A1170)&gt;1,"Duplicate","OK")</f>
        <v>OK</v>
      </c>
      <c r="C1170" t="str">
        <f>IF(LEN(TRIM(Controls_Raw!I1170))=0,"Missing","OK")</f>
        <v>OK</v>
      </c>
      <c r="D1170" t="str">
        <f>IF(LEN(TRIM(Controls_Raw!N1170))=0,"Missing","OK")</f>
        <v>OK</v>
      </c>
      <c r="E1170" t="str">
        <f>IF(OR(Controls_Raw!G1170="USA",Controls_Raw!G1170="UK"),"Standardize","OK")</f>
        <v>OK</v>
      </c>
      <c r="F1170" t="str">
        <f>IF(Controls_Raw!E1170&lt;&gt;TRIM(Controls_Raw!E1170),"Trim","OK")</f>
        <v>OK</v>
      </c>
      <c r="G1170" t="str">
        <f>IF(AND(Controls_Raw!L1170&lt;DATE(2026,9,30),Controls_Raw!M1170&lt;&gt;"Completed"),"Overdue","OK")</f>
        <v>Overdue</v>
      </c>
      <c r="H1170" t="str">
        <f>IF(AND(Controls_Raw!Q1170&lt;DATE(2026,9,30),Controls_Raw!R1170&lt;&gt;"Completed",Controls_Raw!R1170&lt;&gt;"Not Required"),"Overdue","OK")</f>
        <v>OK</v>
      </c>
      <c r="I1170" t="str">
        <f t="shared" si="18"/>
        <v>Issue</v>
      </c>
    </row>
    <row r="1171" spans="1:9" x14ac:dyDescent="0.2">
      <c r="A1171" t="str">
        <f>Controls_Raw!A1171</f>
        <v>CTRL-1167</v>
      </c>
      <c r="B1171" t="str">
        <f>IF(COUNTIF(Controls_Raw!$A$5:$A$1504,A1171)&gt;1,"Duplicate","OK")</f>
        <v>OK</v>
      </c>
      <c r="C1171" t="str">
        <f>IF(LEN(TRIM(Controls_Raw!I1171))=0,"Missing","OK")</f>
        <v>OK</v>
      </c>
      <c r="D1171" t="str">
        <f>IF(LEN(TRIM(Controls_Raw!N1171))=0,"Missing","OK")</f>
        <v>OK</v>
      </c>
      <c r="E1171" t="str">
        <f>IF(OR(Controls_Raw!G1171="USA",Controls_Raw!G1171="UK"),"Standardize","OK")</f>
        <v>OK</v>
      </c>
      <c r="F1171" t="str">
        <f>IF(Controls_Raw!E1171&lt;&gt;TRIM(Controls_Raw!E1171),"Trim","OK")</f>
        <v>OK</v>
      </c>
      <c r="G1171" t="str">
        <f>IF(AND(Controls_Raw!L1171&lt;DATE(2026,9,30),Controls_Raw!M1171&lt;&gt;"Completed"),"Overdue","OK")</f>
        <v>Overdue</v>
      </c>
      <c r="H1171" t="str">
        <f>IF(AND(Controls_Raw!Q1171&lt;DATE(2026,9,30),Controls_Raw!R1171&lt;&gt;"Completed",Controls_Raw!R1171&lt;&gt;"Not Required"),"Overdue","OK")</f>
        <v>OK</v>
      </c>
      <c r="I1171" t="str">
        <f t="shared" si="18"/>
        <v>Issue</v>
      </c>
    </row>
    <row r="1172" spans="1:9" x14ac:dyDescent="0.2">
      <c r="A1172" t="str">
        <f>Controls_Raw!A1172</f>
        <v>CTRL-1168</v>
      </c>
      <c r="B1172" t="str">
        <f>IF(COUNTIF(Controls_Raw!$A$5:$A$1504,A1172)&gt;1,"Duplicate","OK")</f>
        <v>OK</v>
      </c>
      <c r="C1172" t="str">
        <f>IF(LEN(TRIM(Controls_Raw!I1172))=0,"Missing","OK")</f>
        <v>OK</v>
      </c>
      <c r="D1172" t="str">
        <f>IF(LEN(TRIM(Controls_Raw!N1172))=0,"Missing","OK")</f>
        <v>OK</v>
      </c>
      <c r="E1172" t="str">
        <f>IF(OR(Controls_Raw!G1172="USA",Controls_Raw!G1172="UK"),"Standardize","OK")</f>
        <v>OK</v>
      </c>
      <c r="F1172" t="str">
        <f>IF(Controls_Raw!E1172&lt;&gt;TRIM(Controls_Raw!E1172),"Trim","OK")</f>
        <v>OK</v>
      </c>
      <c r="G1172" t="str">
        <f>IF(AND(Controls_Raw!L1172&lt;DATE(2026,9,30),Controls_Raw!M1172&lt;&gt;"Completed"),"Overdue","OK")</f>
        <v>OK</v>
      </c>
      <c r="H1172" t="str">
        <f>IF(AND(Controls_Raw!Q1172&lt;DATE(2026,9,30),Controls_Raw!R1172&lt;&gt;"Completed",Controls_Raw!R1172&lt;&gt;"Not Required"),"Overdue","OK")</f>
        <v>Overdue</v>
      </c>
      <c r="I1172" t="str">
        <f t="shared" si="18"/>
        <v>Issue</v>
      </c>
    </row>
    <row r="1173" spans="1:9" x14ac:dyDescent="0.2">
      <c r="A1173" t="str">
        <f>Controls_Raw!A1173</f>
        <v>CTRL-1169</v>
      </c>
      <c r="B1173" t="str">
        <f>IF(COUNTIF(Controls_Raw!$A$5:$A$1504,A1173)&gt;1,"Duplicate","OK")</f>
        <v>OK</v>
      </c>
      <c r="C1173" t="str">
        <f>IF(LEN(TRIM(Controls_Raw!I1173))=0,"Missing","OK")</f>
        <v>OK</v>
      </c>
      <c r="D1173" t="str">
        <f>IF(LEN(TRIM(Controls_Raw!N1173))=0,"Missing","OK")</f>
        <v>OK</v>
      </c>
      <c r="E1173" t="str">
        <f>IF(OR(Controls_Raw!G1173="USA",Controls_Raw!G1173="UK"),"Standardize","OK")</f>
        <v>OK</v>
      </c>
      <c r="F1173" t="str">
        <f>IF(Controls_Raw!E1173&lt;&gt;TRIM(Controls_Raw!E1173),"Trim","OK")</f>
        <v>Trim</v>
      </c>
      <c r="G1173" t="str">
        <f>IF(AND(Controls_Raw!L1173&lt;DATE(2026,9,30),Controls_Raw!M1173&lt;&gt;"Completed"),"Overdue","OK")</f>
        <v>Overdue</v>
      </c>
      <c r="H1173" t="str">
        <f>IF(AND(Controls_Raw!Q1173&lt;DATE(2026,9,30),Controls_Raw!R1173&lt;&gt;"Completed",Controls_Raw!R1173&lt;&gt;"Not Required"),"Overdue","OK")</f>
        <v>OK</v>
      </c>
      <c r="I1173" t="str">
        <f t="shared" si="18"/>
        <v>Issue</v>
      </c>
    </row>
    <row r="1174" spans="1:9" x14ac:dyDescent="0.2">
      <c r="A1174" t="str">
        <f>Controls_Raw!A1174</f>
        <v>CTRL-1170</v>
      </c>
      <c r="B1174" t="str">
        <f>IF(COUNTIF(Controls_Raw!$A$5:$A$1504,A1174)&gt;1,"Duplicate","OK")</f>
        <v>OK</v>
      </c>
      <c r="C1174" t="str">
        <f>IF(LEN(TRIM(Controls_Raw!I1174))=0,"Missing","OK")</f>
        <v>OK</v>
      </c>
      <c r="D1174" t="str">
        <f>IF(LEN(TRIM(Controls_Raw!N1174))=0,"Missing","OK")</f>
        <v>OK</v>
      </c>
      <c r="E1174" t="str">
        <f>IF(OR(Controls_Raw!G1174="USA",Controls_Raw!G1174="UK"),"Standardize","OK")</f>
        <v>OK</v>
      </c>
      <c r="F1174" t="str">
        <f>IF(Controls_Raw!E1174&lt;&gt;TRIM(Controls_Raw!E1174),"Trim","OK")</f>
        <v>OK</v>
      </c>
      <c r="G1174" t="str">
        <f>IF(AND(Controls_Raw!L1174&lt;DATE(2026,9,30),Controls_Raw!M1174&lt;&gt;"Completed"),"Overdue","OK")</f>
        <v>Overdue</v>
      </c>
      <c r="H1174" t="str">
        <f>IF(AND(Controls_Raw!Q1174&lt;DATE(2026,9,30),Controls_Raw!R1174&lt;&gt;"Completed",Controls_Raw!R1174&lt;&gt;"Not Required"),"Overdue","OK")</f>
        <v>OK</v>
      </c>
      <c r="I1174" t="str">
        <f t="shared" si="18"/>
        <v>Issue</v>
      </c>
    </row>
    <row r="1175" spans="1:9" x14ac:dyDescent="0.2">
      <c r="A1175" t="str">
        <f>Controls_Raw!A1175</f>
        <v>CTRL-1171</v>
      </c>
      <c r="B1175" t="str">
        <f>IF(COUNTIF(Controls_Raw!$A$5:$A$1504,A1175)&gt;1,"Duplicate","OK")</f>
        <v>OK</v>
      </c>
      <c r="C1175" t="str">
        <f>IF(LEN(TRIM(Controls_Raw!I1175))=0,"Missing","OK")</f>
        <v>OK</v>
      </c>
      <c r="D1175" t="str">
        <f>IF(LEN(TRIM(Controls_Raw!N1175))=0,"Missing","OK")</f>
        <v>OK</v>
      </c>
      <c r="E1175" t="str">
        <f>IF(OR(Controls_Raw!G1175="USA",Controls_Raw!G1175="UK"),"Standardize","OK")</f>
        <v>OK</v>
      </c>
      <c r="F1175" t="str">
        <f>IF(Controls_Raw!E1175&lt;&gt;TRIM(Controls_Raw!E1175),"Trim","OK")</f>
        <v>OK</v>
      </c>
      <c r="G1175" t="str">
        <f>IF(AND(Controls_Raw!L1175&lt;DATE(2026,9,30),Controls_Raw!M1175&lt;&gt;"Completed"),"Overdue","OK")</f>
        <v>Overdue</v>
      </c>
      <c r="H1175" t="str">
        <f>IF(AND(Controls_Raw!Q1175&lt;DATE(2026,9,30),Controls_Raw!R1175&lt;&gt;"Completed",Controls_Raw!R1175&lt;&gt;"Not Required"),"Overdue","OK")</f>
        <v>OK</v>
      </c>
      <c r="I1175" t="str">
        <f t="shared" si="18"/>
        <v>Issue</v>
      </c>
    </row>
    <row r="1176" spans="1:9" x14ac:dyDescent="0.2">
      <c r="A1176" t="str">
        <f>Controls_Raw!A1176</f>
        <v>CTRL-1172</v>
      </c>
      <c r="B1176" t="str">
        <f>IF(COUNTIF(Controls_Raw!$A$5:$A$1504,A1176)&gt;1,"Duplicate","OK")</f>
        <v>OK</v>
      </c>
      <c r="C1176" t="str">
        <f>IF(LEN(TRIM(Controls_Raw!I1176))=0,"Missing","OK")</f>
        <v>OK</v>
      </c>
      <c r="D1176" t="str">
        <f>IF(LEN(TRIM(Controls_Raw!N1176))=0,"Missing","OK")</f>
        <v>OK</v>
      </c>
      <c r="E1176" t="str">
        <f>IF(OR(Controls_Raw!G1176="USA",Controls_Raw!G1176="UK"),"Standardize","OK")</f>
        <v>OK</v>
      </c>
      <c r="F1176" t="str">
        <f>IF(Controls_Raw!E1176&lt;&gt;TRIM(Controls_Raw!E1176),"Trim","OK")</f>
        <v>OK</v>
      </c>
      <c r="G1176" t="str">
        <f>IF(AND(Controls_Raw!L1176&lt;DATE(2026,9,30),Controls_Raw!M1176&lt;&gt;"Completed"),"Overdue","OK")</f>
        <v>OK</v>
      </c>
      <c r="H1176" t="str">
        <f>IF(AND(Controls_Raw!Q1176&lt;DATE(2026,9,30),Controls_Raw!R1176&lt;&gt;"Completed",Controls_Raw!R1176&lt;&gt;"Not Required"),"Overdue","OK")</f>
        <v>Overdue</v>
      </c>
      <c r="I1176" t="str">
        <f t="shared" si="18"/>
        <v>Issue</v>
      </c>
    </row>
    <row r="1177" spans="1:9" x14ac:dyDescent="0.2">
      <c r="A1177" t="str">
        <f>Controls_Raw!A1177</f>
        <v>CTRL-1173</v>
      </c>
      <c r="B1177" t="str">
        <f>IF(COUNTIF(Controls_Raw!$A$5:$A$1504,A1177)&gt;1,"Duplicate","OK")</f>
        <v>OK</v>
      </c>
      <c r="C1177" t="str">
        <f>IF(LEN(TRIM(Controls_Raw!I1177))=0,"Missing","OK")</f>
        <v>OK</v>
      </c>
      <c r="D1177" t="str">
        <f>IF(LEN(TRIM(Controls_Raw!N1177))=0,"Missing","OK")</f>
        <v>OK</v>
      </c>
      <c r="E1177" t="str">
        <f>IF(OR(Controls_Raw!G1177="USA",Controls_Raw!G1177="UK"),"Standardize","OK")</f>
        <v>OK</v>
      </c>
      <c r="F1177" t="str">
        <f>IF(Controls_Raw!E1177&lt;&gt;TRIM(Controls_Raw!E1177),"Trim","OK")</f>
        <v>OK</v>
      </c>
      <c r="G1177" t="str">
        <f>IF(AND(Controls_Raw!L1177&lt;DATE(2026,9,30),Controls_Raw!M1177&lt;&gt;"Completed"),"Overdue","OK")</f>
        <v>Overdue</v>
      </c>
      <c r="H1177" t="str">
        <f>IF(AND(Controls_Raw!Q1177&lt;DATE(2026,9,30),Controls_Raw!R1177&lt;&gt;"Completed",Controls_Raw!R1177&lt;&gt;"Not Required"),"Overdue","OK")</f>
        <v>Overdue</v>
      </c>
      <c r="I1177" t="str">
        <f t="shared" si="18"/>
        <v>Issue</v>
      </c>
    </row>
    <row r="1178" spans="1:9" x14ac:dyDescent="0.2">
      <c r="A1178" t="str">
        <f>Controls_Raw!A1178</f>
        <v>CTRL-1174</v>
      </c>
      <c r="B1178" t="str">
        <f>IF(COUNTIF(Controls_Raw!$A$5:$A$1504,A1178)&gt;1,"Duplicate","OK")</f>
        <v>OK</v>
      </c>
      <c r="C1178" t="str">
        <f>IF(LEN(TRIM(Controls_Raw!I1178))=0,"Missing","OK")</f>
        <v>OK</v>
      </c>
      <c r="D1178" t="str">
        <f>IF(LEN(TRIM(Controls_Raw!N1178))=0,"Missing","OK")</f>
        <v>OK</v>
      </c>
      <c r="E1178" t="str">
        <f>IF(OR(Controls_Raw!G1178="USA",Controls_Raw!G1178="UK"),"Standardize","OK")</f>
        <v>OK</v>
      </c>
      <c r="F1178" t="str">
        <f>IF(Controls_Raw!E1178&lt;&gt;TRIM(Controls_Raw!E1178),"Trim","OK")</f>
        <v>OK</v>
      </c>
      <c r="G1178" t="str">
        <f>IF(AND(Controls_Raw!L1178&lt;DATE(2026,9,30),Controls_Raw!M1178&lt;&gt;"Completed"),"Overdue","OK")</f>
        <v>Overdue</v>
      </c>
      <c r="H1178" t="str">
        <f>IF(AND(Controls_Raw!Q1178&lt;DATE(2026,9,30),Controls_Raw!R1178&lt;&gt;"Completed",Controls_Raw!R1178&lt;&gt;"Not Required"),"Overdue","OK")</f>
        <v>OK</v>
      </c>
      <c r="I1178" t="str">
        <f t="shared" si="18"/>
        <v>Issue</v>
      </c>
    </row>
    <row r="1179" spans="1:9" x14ac:dyDescent="0.2">
      <c r="A1179" t="str">
        <f>Controls_Raw!A1179</f>
        <v>CTRL-1175</v>
      </c>
      <c r="B1179" t="str">
        <f>IF(COUNTIF(Controls_Raw!$A$5:$A$1504,A1179)&gt;1,"Duplicate","OK")</f>
        <v>OK</v>
      </c>
      <c r="C1179" t="str">
        <f>IF(LEN(TRIM(Controls_Raw!I1179))=0,"Missing","OK")</f>
        <v>OK</v>
      </c>
      <c r="D1179" t="str">
        <f>IF(LEN(TRIM(Controls_Raw!N1179))=0,"Missing","OK")</f>
        <v>OK</v>
      </c>
      <c r="E1179" t="str">
        <f>IF(OR(Controls_Raw!G1179="USA",Controls_Raw!G1179="UK"),"Standardize","OK")</f>
        <v>OK</v>
      </c>
      <c r="F1179" t="str">
        <f>IF(Controls_Raw!E1179&lt;&gt;TRIM(Controls_Raw!E1179),"Trim","OK")</f>
        <v>OK</v>
      </c>
      <c r="G1179" t="str">
        <f>IF(AND(Controls_Raw!L1179&lt;DATE(2026,9,30),Controls_Raw!M1179&lt;&gt;"Completed"),"Overdue","OK")</f>
        <v>OK</v>
      </c>
      <c r="H1179" t="str">
        <f>IF(AND(Controls_Raw!Q1179&lt;DATE(2026,9,30),Controls_Raw!R1179&lt;&gt;"Completed",Controls_Raw!R1179&lt;&gt;"Not Required"),"Overdue","OK")</f>
        <v>OK</v>
      </c>
      <c r="I1179" t="str">
        <f t="shared" si="18"/>
        <v>Pass</v>
      </c>
    </row>
    <row r="1180" spans="1:9" x14ac:dyDescent="0.2">
      <c r="A1180" t="str">
        <f>Controls_Raw!A1180</f>
        <v>CTRL-1176</v>
      </c>
      <c r="B1180" t="str">
        <f>IF(COUNTIF(Controls_Raw!$A$5:$A$1504,A1180)&gt;1,"Duplicate","OK")</f>
        <v>OK</v>
      </c>
      <c r="C1180" t="str">
        <f>IF(LEN(TRIM(Controls_Raw!I1180))=0,"Missing","OK")</f>
        <v>Missing</v>
      </c>
      <c r="D1180" t="str">
        <f>IF(LEN(TRIM(Controls_Raw!N1180))=0,"Missing","OK")</f>
        <v>OK</v>
      </c>
      <c r="E1180" t="str">
        <f>IF(OR(Controls_Raw!G1180="USA",Controls_Raw!G1180="UK"),"Standardize","OK")</f>
        <v>OK</v>
      </c>
      <c r="F1180" t="str">
        <f>IF(Controls_Raw!E1180&lt;&gt;TRIM(Controls_Raw!E1180),"Trim","OK")</f>
        <v>OK</v>
      </c>
      <c r="G1180" t="str">
        <f>IF(AND(Controls_Raw!L1180&lt;DATE(2026,9,30),Controls_Raw!M1180&lt;&gt;"Completed"),"Overdue","OK")</f>
        <v>OK</v>
      </c>
      <c r="H1180" t="str">
        <f>IF(AND(Controls_Raw!Q1180&lt;DATE(2026,9,30),Controls_Raw!R1180&lt;&gt;"Completed",Controls_Raw!R1180&lt;&gt;"Not Required"),"Overdue","OK")</f>
        <v>Overdue</v>
      </c>
      <c r="I1180" t="str">
        <f t="shared" si="18"/>
        <v>Issue</v>
      </c>
    </row>
    <row r="1181" spans="1:9" x14ac:dyDescent="0.2">
      <c r="A1181" t="str">
        <f>Controls_Raw!A1181</f>
        <v>CTRL-1177</v>
      </c>
      <c r="B1181" t="str">
        <f>IF(COUNTIF(Controls_Raw!$A$5:$A$1504,A1181)&gt;1,"Duplicate","OK")</f>
        <v>OK</v>
      </c>
      <c r="C1181" t="str">
        <f>IF(LEN(TRIM(Controls_Raw!I1181))=0,"Missing","OK")</f>
        <v>OK</v>
      </c>
      <c r="D1181" t="str">
        <f>IF(LEN(TRIM(Controls_Raw!N1181))=0,"Missing","OK")</f>
        <v>OK</v>
      </c>
      <c r="E1181" t="str">
        <f>IF(OR(Controls_Raw!G1181="USA",Controls_Raw!G1181="UK"),"Standardize","OK")</f>
        <v>OK</v>
      </c>
      <c r="F1181" t="str">
        <f>IF(Controls_Raw!E1181&lt;&gt;TRIM(Controls_Raw!E1181),"Trim","OK")</f>
        <v>OK</v>
      </c>
      <c r="G1181" t="str">
        <f>IF(AND(Controls_Raw!L1181&lt;DATE(2026,9,30),Controls_Raw!M1181&lt;&gt;"Completed"),"Overdue","OK")</f>
        <v>Overdue</v>
      </c>
      <c r="H1181" t="str">
        <f>IF(AND(Controls_Raw!Q1181&lt;DATE(2026,9,30),Controls_Raw!R1181&lt;&gt;"Completed",Controls_Raw!R1181&lt;&gt;"Not Required"),"Overdue","OK")</f>
        <v>OK</v>
      </c>
      <c r="I1181" t="str">
        <f t="shared" si="18"/>
        <v>Issue</v>
      </c>
    </row>
    <row r="1182" spans="1:9" x14ac:dyDescent="0.2">
      <c r="A1182" t="str">
        <f>Controls_Raw!A1182</f>
        <v>CTRL-1178</v>
      </c>
      <c r="B1182" t="str">
        <f>IF(COUNTIF(Controls_Raw!$A$5:$A$1504,A1182)&gt;1,"Duplicate","OK")</f>
        <v>OK</v>
      </c>
      <c r="C1182" t="str">
        <f>IF(LEN(TRIM(Controls_Raw!I1182))=0,"Missing","OK")</f>
        <v>OK</v>
      </c>
      <c r="D1182" t="str">
        <f>IF(LEN(TRIM(Controls_Raw!N1182))=0,"Missing","OK")</f>
        <v>OK</v>
      </c>
      <c r="E1182" t="str">
        <f>IF(OR(Controls_Raw!G1182="USA",Controls_Raw!G1182="UK"),"Standardize","OK")</f>
        <v>OK</v>
      </c>
      <c r="F1182" t="str">
        <f>IF(Controls_Raw!E1182&lt;&gt;TRIM(Controls_Raw!E1182),"Trim","OK")</f>
        <v>OK</v>
      </c>
      <c r="G1182" t="str">
        <f>IF(AND(Controls_Raw!L1182&lt;DATE(2026,9,30),Controls_Raw!M1182&lt;&gt;"Completed"),"Overdue","OK")</f>
        <v>OK</v>
      </c>
      <c r="H1182" t="str">
        <f>IF(AND(Controls_Raw!Q1182&lt;DATE(2026,9,30),Controls_Raw!R1182&lt;&gt;"Completed",Controls_Raw!R1182&lt;&gt;"Not Required"),"Overdue","OK")</f>
        <v>OK</v>
      </c>
      <c r="I1182" t="str">
        <f t="shared" si="18"/>
        <v>Pass</v>
      </c>
    </row>
    <row r="1183" spans="1:9" x14ac:dyDescent="0.2">
      <c r="A1183" t="str">
        <f>Controls_Raw!A1183</f>
        <v>CTRL-1179</v>
      </c>
      <c r="B1183" t="str">
        <f>IF(COUNTIF(Controls_Raw!$A$5:$A$1504,A1183)&gt;1,"Duplicate","OK")</f>
        <v>OK</v>
      </c>
      <c r="C1183" t="str">
        <f>IF(LEN(TRIM(Controls_Raw!I1183))=0,"Missing","OK")</f>
        <v>OK</v>
      </c>
      <c r="D1183" t="str">
        <f>IF(LEN(TRIM(Controls_Raw!N1183))=0,"Missing","OK")</f>
        <v>OK</v>
      </c>
      <c r="E1183" t="str">
        <f>IF(OR(Controls_Raw!G1183="USA",Controls_Raw!G1183="UK"),"Standardize","OK")</f>
        <v>OK</v>
      </c>
      <c r="F1183" t="str">
        <f>IF(Controls_Raw!E1183&lt;&gt;TRIM(Controls_Raw!E1183),"Trim","OK")</f>
        <v>OK</v>
      </c>
      <c r="G1183" t="str">
        <f>IF(AND(Controls_Raw!L1183&lt;DATE(2026,9,30),Controls_Raw!M1183&lt;&gt;"Completed"),"Overdue","OK")</f>
        <v>Overdue</v>
      </c>
      <c r="H1183" t="str">
        <f>IF(AND(Controls_Raw!Q1183&lt;DATE(2026,9,30),Controls_Raw!R1183&lt;&gt;"Completed",Controls_Raw!R1183&lt;&gt;"Not Required"),"Overdue","OK")</f>
        <v>OK</v>
      </c>
      <c r="I1183" t="str">
        <f t="shared" si="18"/>
        <v>Issue</v>
      </c>
    </row>
    <row r="1184" spans="1:9" x14ac:dyDescent="0.2">
      <c r="A1184" t="str">
        <f>Controls_Raw!A1184</f>
        <v>CTRL-1180</v>
      </c>
      <c r="B1184" t="str">
        <f>IF(COUNTIF(Controls_Raw!$A$5:$A$1504,A1184)&gt;1,"Duplicate","OK")</f>
        <v>OK</v>
      </c>
      <c r="C1184" t="str">
        <f>IF(LEN(TRIM(Controls_Raw!I1184))=0,"Missing","OK")</f>
        <v>OK</v>
      </c>
      <c r="D1184" t="str">
        <f>IF(LEN(TRIM(Controls_Raw!N1184))=0,"Missing","OK")</f>
        <v>OK</v>
      </c>
      <c r="E1184" t="str">
        <f>IF(OR(Controls_Raw!G1184="USA",Controls_Raw!G1184="UK"),"Standardize","OK")</f>
        <v>OK</v>
      </c>
      <c r="F1184" t="str">
        <f>IF(Controls_Raw!E1184&lt;&gt;TRIM(Controls_Raw!E1184),"Trim","OK")</f>
        <v>OK</v>
      </c>
      <c r="G1184" t="str">
        <f>IF(AND(Controls_Raw!L1184&lt;DATE(2026,9,30),Controls_Raw!M1184&lt;&gt;"Completed"),"Overdue","OK")</f>
        <v>Overdue</v>
      </c>
      <c r="H1184" t="str">
        <f>IF(AND(Controls_Raw!Q1184&lt;DATE(2026,9,30),Controls_Raw!R1184&lt;&gt;"Completed",Controls_Raw!R1184&lt;&gt;"Not Required"),"Overdue","OK")</f>
        <v>OK</v>
      </c>
      <c r="I1184" t="str">
        <f t="shared" si="18"/>
        <v>Issue</v>
      </c>
    </row>
    <row r="1185" spans="1:9" x14ac:dyDescent="0.2">
      <c r="A1185" t="str">
        <f>Controls_Raw!A1185</f>
        <v>CTRL-1181</v>
      </c>
      <c r="B1185" t="str">
        <f>IF(COUNTIF(Controls_Raw!$A$5:$A$1504,A1185)&gt;1,"Duplicate","OK")</f>
        <v>OK</v>
      </c>
      <c r="C1185" t="str">
        <f>IF(LEN(TRIM(Controls_Raw!I1185))=0,"Missing","OK")</f>
        <v>OK</v>
      </c>
      <c r="D1185" t="str">
        <f>IF(LEN(TRIM(Controls_Raw!N1185))=0,"Missing","OK")</f>
        <v>OK</v>
      </c>
      <c r="E1185" t="str">
        <f>IF(OR(Controls_Raw!G1185="USA",Controls_Raw!G1185="UK"),"Standardize","OK")</f>
        <v>OK</v>
      </c>
      <c r="F1185" t="str">
        <f>IF(Controls_Raw!E1185&lt;&gt;TRIM(Controls_Raw!E1185),"Trim","OK")</f>
        <v>OK</v>
      </c>
      <c r="G1185" t="str">
        <f>IF(AND(Controls_Raw!L1185&lt;DATE(2026,9,30),Controls_Raw!M1185&lt;&gt;"Completed"),"Overdue","OK")</f>
        <v>OK</v>
      </c>
      <c r="H1185" t="str">
        <f>IF(AND(Controls_Raw!Q1185&lt;DATE(2026,9,30),Controls_Raw!R1185&lt;&gt;"Completed",Controls_Raw!R1185&lt;&gt;"Not Required"),"Overdue","OK")</f>
        <v>Overdue</v>
      </c>
      <c r="I1185" t="str">
        <f t="shared" si="18"/>
        <v>Issue</v>
      </c>
    </row>
    <row r="1186" spans="1:9" x14ac:dyDescent="0.2">
      <c r="A1186" t="str">
        <f>Controls_Raw!A1186</f>
        <v>CTRL-1182</v>
      </c>
      <c r="B1186" t="str">
        <f>IF(COUNTIF(Controls_Raw!$A$5:$A$1504,A1186)&gt;1,"Duplicate","OK")</f>
        <v>OK</v>
      </c>
      <c r="C1186" t="str">
        <f>IF(LEN(TRIM(Controls_Raw!I1186))=0,"Missing","OK")</f>
        <v>OK</v>
      </c>
      <c r="D1186" t="str">
        <f>IF(LEN(TRIM(Controls_Raw!N1186))=0,"Missing","OK")</f>
        <v>OK</v>
      </c>
      <c r="E1186" t="str">
        <f>IF(OR(Controls_Raw!G1186="USA",Controls_Raw!G1186="UK"),"Standardize","OK")</f>
        <v>OK</v>
      </c>
      <c r="F1186" t="str">
        <f>IF(Controls_Raw!E1186&lt;&gt;TRIM(Controls_Raw!E1186),"Trim","OK")</f>
        <v>OK</v>
      </c>
      <c r="G1186" t="str">
        <f>IF(AND(Controls_Raw!L1186&lt;DATE(2026,9,30),Controls_Raw!M1186&lt;&gt;"Completed"),"Overdue","OK")</f>
        <v>OK</v>
      </c>
      <c r="H1186" t="str">
        <f>IF(AND(Controls_Raw!Q1186&lt;DATE(2026,9,30),Controls_Raw!R1186&lt;&gt;"Completed",Controls_Raw!R1186&lt;&gt;"Not Required"),"Overdue","OK")</f>
        <v>Overdue</v>
      </c>
      <c r="I1186" t="str">
        <f t="shared" si="18"/>
        <v>Issue</v>
      </c>
    </row>
    <row r="1187" spans="1:9" x14ac:dyDescent="0.2">
      <c r="A1187" t="str">
        <f>Controls_Raw!A1187</f>
        <v>CTRL-1183</v>
      </c>
      <c r="B1187" t="str">
        <f>IF(COUNTIF(Controls_Raw!$A$5:$A$1504,A1187)&gt;1,"Duplicate","OK")</f>
        <v>OK</v>
      </c>
      <c r="C1187" t="str">
        <f>IF(LEN(TRIM(Controls_Raw!I1187))=0,"Missing","OK")</f>
        <v>OK</v>
      </c>
      <c r="D1187" t="str">
        <f>IF(LEN(TRIM(Controls_Raw!N1187))=0,"Missing","OK")</f>
        <v>OK</v>
      </c>
      <c r="E1187" t="str">
        <f>IF(OR(Controls_Raw!G1187="USA",Controls_Raw!G1187="UK"),"Standardize","OK")</f>
        <v>OK</v>
      </c>
      <c r="F1187" t="str">
        <f>IF(Controls_Raw!E1187&lt;&gt;TRIM(Controls_Raw!E1187),"Trim","OK")</f>
        <v>OK</v>
      </c>
      <c r="G1187" t="str">
        <f>IF(AND(Controls_Raw!L1187&lt;DATE(2026,9,30),Controls_Raw!M1187&lt;&gt;"Completed"),"Overdue","OK")</f>
        <v>Overdue</v>
      </c>
      <c r="H1187" t="str">
        <f>IF(AND(Controls_Raw!Q1187&lt;DATE(2026,9,30),Controls_Raw!R1187&lt;&gt;"Completed",Controls_Raw!R1187&lt;&gt;"Not Required"),"Overdue","OK")</f>
        <v>OK</v>
      </c>
      <c r="I1187" t="str">
        <f t="shared" si="18"/>
        <v>Issue</v>
      </c>
    </row>
    <row r="1188" spans="1:9" x14ac:dyDescent="0.2">
      <c r="A1188" t="str">
        <f>Controls_Raw!A1188</f>
        <v>CTRL-1184</v>
      </c>
      <c r="B1188" t="str">
        <f>IF(COUNTIF(Controls_Raw!$A$5:$A$1504,A1188)&gt;1,"Duplicate","OK")</f>
        <v>OK</v>
      </c>
      <c r="C1188" t="str">
        <f>IF(LEN(TRIM(Controls_Raw!I1188))=0,"Missing","OK")</f>
        <v>OK</v>
      </c>
      <c r="D1188" t="str">
        <f>IF(LEN(TRIM(Controls_Raw!N1188))=0,"Missing","OK")</f>
        <v>OK</v>
      </c>
      <c r="E1188" t="str">
        <f>IF(OR(Controls_Raw!G1188="USA",Controls_Raw!G1188="UK"),"Standardize","OK")</f>
        <v>OK</v>
      </c>
      <c r="F1188" t="str">
        <f>IF(Controls_Raw!E1188&lt;&gt;TRIM(Controls_Raw!E1188),"Trim","OK")</f>
        <v>OK</v>
      </c>
      <c r="G1188" t="str">
        <f>IF(AND(Controls_Raw!L1188&lt;DATE(2026,9,30),Controls_Raw!M1188&lt;&gt;"Completed"),"Overdue","OK")</f>
        <v>OK</v>
      </c>
      <c r="H1188" t="str">
        <f>IF(AND(Controls_Raw!Q1188&lt;DATE(2026,9,30),Controls_Raw!R1188&lt;&gt;"Completed",Controls_Raw!R1188&lt;&gt;"Not Required"),"Overdue","OK")</f>
        <v>OK</v>
      </c>
      <c r="I1188" t="str">
        <f t="shared" si="18"/>
        <v>Pass</v>
      </c>
    </row>
    <row r="1189" spans="1:9" x14ac:dyDescent="0.2">
      <c r="A1189" t="str">
        <f>Controls_Raw!A1189</f>
        <v>CTRL-1185</v>
      </c>
      <c r="B1189" t="str">
        <f>IF(COUNTIF(Controls_Raw!$A$5:$A$1504,A1189)&gt;1,"Duplicate","OK")</f>
        <v>OK</v>
      </c>
      <c r="C1189" t="str">
        <f>IF(LEN(TRIM(Controls_Raw!I1189))=0,"Missing","OK")</f>
        <v>OK</v>
      </c>
      <c r="D1189" t="str">
        <f>IF(LEN(TRIM(Controls_Raw!N1189))=0,"Missing","OK")</f>
        <v>OK</v>
      </c>
      <c r="E1189" t="str">
        <f>IF(OR(Controls_Raw!G1189="USA",Controls_Raw!G1189="UK"),"Standardize","OK")</f>
        <v>OK</v>
      </c>
      <c r="F1189" t="str">
        <f>IF(Controls_Raw!E1189&lt;&gt;TRIM(Controls_Raw!E1189),"Trim","OK")</f>
        <v>OK</v>
      </c>
      <c r="G1189" t="str">
        <f>IF(AND(Controls_Raw!L1189&lt;DATE(2026,9,30),Controls_Raw!M1189&lt;&gt;"Completed"),"Overdue","OK")</f>
        <v>OK</v>
      </c>
      <c r="H1189" t="str">
        <f>IF(AND(Controls_Raw!Q1189&lt;DATE(2026,9,30),Controls_Raw!R1189&lt;&gt;"Completed",Controls_Raw!R1189&lt;&gt;"Not Required"),"Overdue","OK")</f>
        <v>Overdue</v>
      </c>
      <c r="I1189" t="str">
        <f t="shared" si="18"/>
        <v>Issue</v>
      </c>
    </row>
    <row r="1190" spans="1:9" x14ac:dyDescent="0.2">
      <c r="A1190" t="str">
        <f>Controls_Raw!A1190</f>
        <v>CTRL-1186</v>
      </c>
      <c r="B1190" t="str">
        <f>IF(COUNTIF(Controls_Raw!$A$5:$A$1504,A1190)&gt;1,"Duplicate","OK")</f>
        <v>OK</v>
      </c>
      <c r="C1190" t="str">
        <f>IF(LEN(TRIM(Controls_Raw!I1190))=0,"Missing","OK")</f>
        <v>OK</v>
      </c>
      <c r="D1190" t="str">
        <f>IF(LEN(TRIM(Controls_Raw!N1190))=0,"Missing","OK")</f>
        <v>OK</v>
      </c>
      <c r="E1190" t="str">
        <f>IF(OR(Controls_Raw!G1190="USA",Controls_Raw!G1190="UK"),"Standardize","OK")</f>
        <v>OK</v>
      </c>
      <c r="F1190" t="str">
        <f>IF(Controls_Raw!E1190&lt;&gt;TRIM(Controls_Raw!E1190),"Trim","OK")</f>
        <v>OK</v>
      </c>
      <c r="G1190" t="str">
        <f>IF(AND(Controls_Raw!L1190&lt;DATE(2026,9,30),Controls_Raw!M1190&lt;&gt;"Completed"),"Overdue","OK")</f>
        <v>Overdue</v>
      </c>
      <c r="H1190" t="str">
        <f>IF(AND(Controls_Raw!Q1190&lt;DATE(2026,9,30),Controls_Raw!R1190&lt;&gt;"Completed",Controls_Raw!R1190&lt;&gt;"Not Required"),"Overdue","OK")</f>
        <v>OK</v>
      </c>
      <c r="I1190" t="str">
        <f t="shared" si="18"/>
        <v>Issue</v>
      </c>
    </row>
    <row r="1191" spans="1:9" x14ac:dyDescent="0.2">
      <c r="A1191" t="str">
        <f>Controls_Raw!A1191</f>
        <v>CTRL-1187</v>
      </c>
      <c r="B1191" t="str">
        <f>IF(COUNTIF(Controls_Raw!$A$5:$A$1504,A1191)&gt;1,"Duplicate","OK")</f>
        <v>OK</v>
      </c>
      <c r="C1191" t="str">
        <f>IF(LEN(TRIM(Controls_Raw!I1191))=0,"Missing","OK")</f>
        <v>OK</v>
      </c>
      <c r="D1191" t="str">
        <f>IF(LEN(TRIM(Controls_Raw!N1191))=0,"Missing","OK")</f>
        <v>OK</v>
      </c>
      <c r="E1191" t="str">
        <f>IF(OR(Controls_Raw!G1191="USA",Controls_Raw!G1191="UK"),"Standardize","OK")</f>
        <v>OK</v>
      </c>
      <c r="F1191" t="str">
        <f>IF(Controls_Raw!E1191&lt;&gt;TRIM(Controls_Raw!E1191),"Trim","OK")</f>
        <v>OK</v>
      </c>
      <c r="G1191" t="str">
        <f>IF(AND(Controls_Raw!L1191&lt;DATE(2026,9,30),Controls_Raw!M1191&lt;&gt;"Completed"),"Overdue","OK")</f>
        <v>Overdue</v>
      </c>
      <c r="H1191" t="str">
        <f>IF(AND(Controls_Raw!Q1191&lt;DATE(2026,9,30),Controls_Raw!R1191&lt;&gt;"Completed",Controls_Raw!R1191&lt;&gt;"Not Required"),"Overdue","OK")</f>
        <v>OK</v>
      </c>
      <c r="I1191" t="str">
        <f t="shared" si="18"/>
        <v>Issue</v>
      </c>
    </row>
    <row r="1192" spans="1:9" x14ac:dyDescent="0.2">
      <c r="A1192" t="str">
        <f>Controls_Raw!A1192</f>
        <v>CTRL-1188</v>
      </c>
      <c r="B1192" t="str">
        <f>IF(COUNTIF(Controls_Raw!$A$5:$A$1504,A1192)&gt;1,"Duplicate","OK")</f>
        <v>OK</v>
      </c>
      <c r="C1192" t="str">
        <f>IF(LEN(TRIM(Controls_Raw!I1192))=0,"Missing","OK")</f>
        <v>OK</v>
      </c>
      <c r="D1192" t="str">
        <f>IF(LEN(TRIM(Controls_Raw!N1192))=0,"Missing","OK")</f>
        <v>OK</v>
      </c>
      <c r="E1192" t="str">
        <f>IF(OR(Controls_Raw!G1192="USA",Controls_Raw!G1192="UK"),"Standardize","OK")</f>
        <v>OK</v>
      </c>
      <c r="F1192" t="str">
        <f>IF(Controls_Raw!E1192&lt;&gt;TRIM(Controls_Raw!E1192),"Trim","OK")</f>
        <v>OK</v>
      </c>
      <c r="G1192" t="str">
        <f>IF(AND(Controls_Raw!L1192&lt;DATE(2026,9,30),Controls_Raw!M1192&lt;&gt;"Completed"),"Overdue","OK")</f>
        <v>Overdue</v>
      </c>
      <c r="H1192" t="str">
        <f>IF(AND(Controls_Raw!Q1192&lt;DATE(2026,9,30),Controls_Raw!R1192&lt;&gt;"Completed",Controls_Raw!R1192&lt;&gt;"Not Required"),"Overdue","OK")</f>
        <v>OK</v>
      </c>
      <c r="I1192" t="str">
        <f t="shared" si="18"/>
        <v>Issue</v>
      </c>
    </row>
    <row r="1193" spans="1:9" x14ac:dyDescent="0.2">
      <c r="A1193" t="str">
        <f>Controls_Raw!A1193</f>
        <v>CTRL-1189</v>
      </c>
      <c r="B1193" t="str">
        <f>IF(COUNTIF(Controls_Raw!$A$5:$A$1504,A1193)&gt;1,"Duplicate","OK")</f>
        <v>OK</v>
      </c>
      <c r="C1193" t="str">
        <f>IF(LEN(TRIM(Controls_Raw!I1193))=0,"Missing","OK")</f>
        <v>OK</v>
      </c>
      <c r="D1193" t="str">
        <f>IF(LEN(TRIM(Controls_Raw!N1193))=0,"Missing","OK")</f>
        <v>OK</v>
      </c>
      <c r="E1193" t="str">
        <f>IF(OR(Controls_Raw!G1193="USA",Controls_Raw!G1193="UK"),"Standardize","OK")</f>
        <v>OK</v>
      </c>
      <c r="F1193" t="str">
        <f>IF(Controls_Raw!E1193&lt;&gt;TRIM(Controls_Raw!E1193),"Trim","OK")</f>
        <v>OK</v>
      </c>
      <c r="G1193" t="str">
        <f>IF(AND(Controls_Raw!L1193&lt;DATE(2026,9,30),Controls_Raw!M1193&lt;&gt;"Completed"),"Overdue","OK")</f>
        <v>Overdue</v>
      </c>
      <c r="H1193" t="str">
        <f>IF(AND(Controls_Raw!Q1193&lt;DATE(2026,9,30),Controls_Raw!R1193&lt;&gt;"Completed",Controls_Raw!R1193&lt;&gt;"Not Required"),"Overdue","OK")</f>
        <v>OK</v>
      </c>
      <c r="I1193" t="str">
        <f t="shared" si="18"/>
        <v>Issue</v>
      </c>
    </row>
    <row r="1194" spans="1:9" x14ac:dyDescent="0.2">
      <c r="A1194" t="str">
        <f>Controls_Raw!A1194</f>
        <v>CTRL-1190</v>
      </c>
      <c r="B1194" t="str">
        <f>IF(COUNTIF(Controls_Raw!$A$5:$A$1504,A1194)&gt;1,"Duplicate","OK")</f>
        <v>OK</v>
      </c>
      <c r="C1194" t="str">
        <f>IF(LEN(TRIM(Controls_Raw!I1194))=0,"Missing","OK")</f>
        <v>OK</v>
      </c>
      <c r="D1194" t="str">
        <f>IF(LEN(TRIM(Controls_Raw!N1194))=0,"Missing","OK")</f>
        <v>OK</v>
      </c>
      <c r="E1194" t="str">
        <f>IF(OR(Controls_Raw!G1194="USA",Controls_Raw!G1194="UK"),"Standardize","OK")</f>
        <v>OK</v>
      </c>
      <c r="F1194" t="str">
        <f>IF(Controls_Raw!E1194&lt;&gt;TRIM(Controls_Raw!E1194),"Trim","OK")</f>
        <v>OK</v>
      </c>
      <c r="G1194" t="str">
        <f>IF(AND(Controls_Raw!L1194&lt;DATE(2026,9,30),Controls_Raw!M1194&lt;&gt;"Completed"),"Overdue","OK")</f>
        <v>Overdue</v>
      </c>
      <c r="H1194" t="str">
        <f>IF(AND(Controls_Raw!Q1194&lt;DATE(2026,9,30),Controls_Raw!R1194&lt;&gt;"Completed",Controls_Raw!R1194&lt;&gt;"Not Required"),"Overdue","OK")</f>
        <v>OK</v>
      </c>
      <c r="I1194" t="str">
        <f t="shared" si="18"/>
        <v>Issue</v>
      </c>
    </row>
    <row r="1195" spans="1:9" x14ac:dyDescent="0.2">
      <c r="A1195" t="str">
        <f>Controls_Raw!A1195</f>
        <v>CTRL-1191</v>
      </c>
      <c r="B1195" t="str">
        <f>IF(COUNTIF(Controls_Raw!$A$5:$A$1504,A1195)&gt;1,"Duplicate","OK")</f>
        <v>OK</v>
      </c>
      <c r="C1195" t="str">
        <f>IF(LEN(TRIM(Controls_Raw!I1195))=0,"Missing","OK")</f>
        <v>OK</v>
      </c>
      <c r="D1195" t="str">
        <f>IF(LEN(TRIM(Controls_Raw!N1195))=0,"Missing","OK")</f>
        <v>OK</v>
      </c>
      <c r="E1195" t="str">
        <f>IF(OR(Controls_Raw!G1195="USA",Controls_Raw!G1195="UK"),"Standardize","OK")</f>
        <v>OK</v>
      </c>
      <c r="F1195" t="str">
        <f>IF(Controls_Raw!E1195&lt;&gt;TRIM(Controls_Raw!E1195),"Trim","OK")</f>
        <v>OK</v>
      </c>
      <c r="G1195" t="str">
        <f>IF(AND(Controls_Raw!L1195&lt;DATE(2026,9,30),Controls_Raw!M1195&lt;&gt;"Completed"),"Overdue","OK")</f>
        <v>OK</v>
      </c>
      <c r="H1195" t="str">
        <f>IF(AND(Controls_Raw!Q1195&lt;DATE(2026,9,30),Controls_Raw!R1195&lt;&gt;"Completed",Controls_Raw!R1195&lt;&gt;"Not Required"),"Overdue","OK")</f>
        <v>OK</v>
      </c>
      <c r="I1195" t="str">
        <f t="shared" si="18"/>
        <v>Pass</v>
      </c>
    </row>
    <row r="1196" spans="1:9" x14ac:dyDescent="0.2">
      <c r="A1196" t="str">
        <f>Controls_Raw!A1196</f>
        <v>CTRL-1192</v>
      </c>
      <c r="B1196" t="str">
        <f>IF(COUNTIF(Controls_Raw!$A$5:$A$1504,A1196)&gt;1,"Duplicate","OK")</f>
        <v>OK</v>
      </c>
      <c r="C1196" t="str">
        <f>IF(LEN(TRIM(Controls_Raw!I1196))=0,"Missing","OK")</f>
        <v>OK</v>
      </c>
      <c r="D1196" t="str">
        <f>IF(LEN(TRIM(Controls_Raw!N1196))=0,"Missing","OK")</f>
        <v>OK</v>
      </c>
      <c r="E1196" t="str">
        <f>IF(OR(Controls_Raw!G1196="USA",Controls_Raw!G1196="UK"),"Standardize","OK")</f>
        <v>OK</v>
      </c>
      <c r="F1196" t="str">
        <f>IF(Controls_Raw!E1196&lt;&gt;TRIM(Controls_Raw!E1196),"Trim","OK")</f>
        <v>OK</v>
      </c>
      <c r="G1196" t="str">
        <f>IF(AND(Controls_Raw!L1196&lt;DATE(2026,9,30),Controls_Raw!M1196&lt;&gt;"Completed"),"Overdue","OK")</f>
        <v>OK</v>
      </c>
      <c r="H1196" t="str">
        <f>IF(AND(Controls_Raw!Q1196&lt;DATE(2026,9,30),Controls_Raw!R1196&lt;&gt;"Completed",Controls_Raw!R1196&lt;&gt;"Not Required"),"Overdue","OK")</f>
        <v>OK</v>
      </c>
      <c r="I1196" t="str">
        <f t="shared" si="18"/>
        <v>Pass</v>
      </c>
    </row>
    <row r="1197" spans="1:9" x14ac:dyDescent="0.2">
      <c r="A1197" t="str">
        <f>Controls_Raw!A1197</f>
        <v>CTRL-1193</v>
      </c>
      <c r="B1197" t="str">
        <f>IF(COUNTIF(Controls_Raw!$A$5:$A$1504,A1197)&gt;1,"Duplicate","OK")</f>
        <v>OK</v>
      </c>
      <c r="C1197" t="str">
        <f>IF(LEN(TRIM(Controls_Raw!I1197))=0,"Missing","OK")</f>
        <v>OK</v>
      </c>
      <c r="D1197" t="str">
        <f>IF(LEN(TRIM(Controls_Raw!N1197))=0,"Missing","OK")</f>
        <v>OK</v>
      </c>
      <c r="E1197" t="str">
        <f>IF(OR(Controls_Raw!G1197="USA",Controls_Raw!G1197="UK"),"Standardize","OK")</f>
        <v>OK</v>
      </c>
      <c r="F1197" t="str">
        <f>IF(Controls_Raw!E1197&lt;&gt;TRIM(Controls_Raw!E1197),"Trim","OK")</f>
        <v>OK</v>
      </c>
      <c r="G1197" t="str">
        <f>IF(AND(Controls_Raw!L1197&lt;DATE(2026,9,30),Controls_Raw!M1197&lt;&gt;"Completed"),"Overdue","OK")</f>
        <v>OK</v>
      </c>
      <c r="H1197" t="str">
        <f>IF(AND(Controls_Raw!Q1197&lt;DATE(2026,9,30),Controls_Raw!R1197&lt;&gt;"Completed",Controls_Raw!R1197&lt;&gt;"Not Required"),"Overdue","OK")</f>
        <v>OK</v>
      </c>
      <c r="I1197" t="str">
        <f t="shared" si="18"/>
        <v>Pass</v>
      </c>
    </row>
    <row r="1198" spans="1:9" x14ac:dyDescent="0.2">
      <c r="A1198" t="str">
        <f>Controls_Raw!A1198</f>
        <v>CTRL-1194</v>
      </c>
      <c r="B1198" t="str">
        <f>IF(COUNTIF(Controls_Raw!$A$5:$A$1504,A1198)&gt;1,"Duplicate","OK")</f>
        <v>OK</v>
      </c>
      <c r="C1198" t="str">
        <f>IF(LEN(TRIM(Controls_Raw!I1198))=0,"Missing","OK")</f>
        <v>OK</v>
      </c>
      <c r="D1198" t="str">
        <f>IF(LEN(TRIM(Controls_Raw!N1198))=0,"Missing","OK")</f>
        <v>OK</v>
      </c>
      <c r="E1198" t="str">
        <f>IF(OR(Controls_Raw!G1198="USA",Controls_Raw!G1198="UK"),"Standardize","OK")</f>
        <v>OK</v>
      </c>
      <c r="F1198" t="str">
        <f>IF(Controls_Raw!E1198&lt;&gt;TRIM(Controls_Raw!E1198),"Trim","OK")</f>
        <v>OK</v>
      </c>
      <c r="G1198" t="str">
        <f>IF(AND(Controls_Raw!L1198&lt;DATE(2026,9,30),Controls_Raw!M1198&lt;&gt;"Completed"),"Overdue","OK")</f>
        <v>OK</v>
      </c>
      <c r="H1198" t="str">
        <f>IF(AND(Controls_Raw!Q1198&lt;DATE(2026,9,30),Controls_Raw!R1198&lt;&gt;"Completed",Controls_Raw!R1198&lt;&gt;"Not Required"),"Overdue","OK")</f>
        <v>OK</v>
      </c>
      <c r="I1198" t="str">
        <f t="shared" si="18"/>
        <v>Pass</v>
      </c>
    </row>
    <row r="1199" spans="1:9" x14ac:dyDescent="0.2">
      <c r="A1199" t="str">
        <f>Controls_Raw!A1199</f>
        <v>CTRL-1195</v>
      </c>
      <c r="B1199" t="str">
        <f>IF(COUNTIF(Controls_Raw!$A$5:$A$1504,A1199)&gt;1,"Duplicate","OK")</f>
        <v>OK</v>
      </c>
      <c r="C1199" t="str">
        <f>IF(LEN(TRIM(Controls_Raw!I1199))=0,"Missing","OK")</f>
        <v>OK</v>
      </c>
      <c r="D1199" t="str">
        <f>IF(LEN(TRIM(Controls_Raw!N1199))=0,"Missing","OK")</f>
        <v>OK</v>
      </c>
      <c r="E1199" t="str">
        <f>IF(OR(Controls_Raw!G1199="USA",Controls_Raw!G1199="UK"),"Standardize","OK")</f>
        <v>OK</v>
      </c>
      <c r="F1199" t="str">
        <f>IF(Controls_Raw!E1199&lt;&gt;TRIM(Controls_Raw!E1199),"Trim","OK")</f>
        <v>OK</v>
      </c>
      <c r="G1199" t="str">
        <f>IF(AND(Controls_Raw!L1199&lt;DATE(2026,9,30),Controls_Raw!M1199&lt;&gt;"Completed"),"Overdue","OK")</f>
        <v>Overdue</v>
      </c>
      <c r="H1199" t="str">
        <f>IF(AND(Controls_Raw!Q1199&lt;DATE(2026,9,30),Controls_Raw!R1199&lt;&gt;"Completed",Controls_Raw!R1199&lt;&gt;"Not Required"),"Overdue","OK")</f>
        <v>OK</v>
      </c>
      <c r="I1199" t="str">
        <f t="shared" si="18"/>
        <v>Issue</v>
      </c>
    </row>
    <row r="1200" spans="1:9" x14ac:dyDescent="0.2">
      <c r="A1200" t="str">
        <f>Controls_Raw!A1200</f>
        <v>CTRL-1196</v>
      </c>
      <c r="B1200" t="str">
        <f>IF(COUNTIF(Controls_Raw!$A$5:$A$1504,A1200)&gt;1,"Duplicate","OK")</f>
        <v>OK</v>
      </c>
      <c r="C1200" t="str">
        <f>IF(LEN(TRIM(Controls_Raw!I1200))=0,"Missing","OK")</f>
        <v>OK</v>
      </c>
      <c r="D1200" t="str">
        <f>IF(LEN(TRIM(Controls_Raw!N1200))=0,"Missing","OK")</f>
        <v>OK</v>
      </c>
      <c r="E1200" t="str">
        <f>IF(OR(Controls_Raw!G1200="USA",Controls_Raw!G1200="UK"),"Standardize","OK")</f>
        <v>OK</v>
      </c>
      <c r="F1200" t="str">
        <f>IF(Controls_Raw!E1200&lt;&gt;TRIM(Controls_Raw!E1200),"Trim","OK")</f>
        <v>OK</v>
      </c>
      <c r="G1200" t="str">
        <f>IF(AND(Controls_Raw!L1200&lt;DATE(2026,9,30),Controls_Raw!M1200&lt;&gt;"Completed"),"Overdue","OK")</f>
        <v>OK</v>
      </c>
      <c r="H1200" t="str">
        <f>IF(AND(Controls_Raw!Q1200&lt;DATE(2026,9,30),Controls_Raw!R1200&lt;&gt;"Completed",Controls_Raw!R1200&lt;&gt;"Not Required"),"Overdue","OK")</f>
        <v>OK</v>
      </c>
      <c r="I1200" t="str">
        <f t="shared" si="18"/>
        <v>Pass</v>
      </c>
    </row>
    <row r="1201" spans="1:9" x14ac:dyDescent="0.2">
      <c r="A1201" t="str">
        <f>Controls_Raw!A1201</f>
        <v>CTRL-1197</v>
      </c>
      <c r="B1201" t="str">
        <f>IF(COUNTIF(Controls_Raw!$A$5:$A$1504,A1201)&gt;1,"Duplicate","OK")</f>
        <v>OK</v>
      </c>
      <c r="C1201" t="str">
        <f>IF(LEN(TRIM(Controls_Raw!I1201))=0,"Missing","OK")</f>
        <v>OK</v>
      </c>
      <c r="D1201" t="str">
        <f>IF(LEN(TRIM(Controls_Raw!N1201))=0,"Missing","OK")</f>
        <v>OK</v>
      </c>
      <c r="E1201" t="str">
        <f>IF(OR(Controls_Raw!G1201="USA",Controls_Raw!G1201="UK"),"Standardize","OK")</f>
        <v>OK</v>
      </c>
      <c r="F1201" t="str">
        <f>IF(Controls_Raw!E1201&lt;&gt;TRIM(Controls_Raw!E1201),"Trim","OK")</f>
        <v>OK</v>
      </c>
      <c r="G1201" t="str">
        <f>IF(AND(Controls_Raw!L1201&lt;DATE(2026,9,30),Controls_Raw!M1201&lt;&gt;"Completed"),"Overdue","OK")</f>
        <v>Overdue</v>
      </c>
      <c r="H1201" t="str">
        <f>IF(AND(Controls_Raw!Q1201&lt;DATE(2026,9,30),Controls_Raw!R1201&lt;&gt;"Completed",Controls_Raw!R1201&lt;&gt;"Not Required"),"Overdue","OK")</f>
        <v>Overdue</v>
      </c>
      <c r="I1201" t="str">
        <f t="shared" si="18"/>
        <v>Issue</v>
      </c>
    </row>
    <row r="1202" spans="1:9" x14ac:dyDescent="0.2">
      <c r="A1202" t="str">
        <f>Controls_Raw!A1202</f>
        <v>CTRL-1198</v>
      </c>
      <c r="B1202" t="str">
        <f>IF(COUNTIF(Controls_Raw!$A$5:$A$1504,A1202)&gt;1,"Duplicate","OK")</f>
        <v>OK</v>
      </c>
      <c r="C1202" t="str">
        <f>IF(LEN(TRIM(Controls_Raw!I1202))=0,"Missing","OK")</f>
        <v>OK</v>
      </c>
      <c r="D1202" t="str">
        <f>IF(LEN(TRIM(Controls_Raw!N1202))=0,"Missing","OK")</f>
        <v>OK</v>
      </c>
      <c r="E1202" t="str">
        <f>IF(OR(Controls_Raw!G1202="USA",Controls_Raw!G1202="UK"),"Standardize","OK")</f>
        <v>OK</v>
      </c>
      <c r="F1202" t="str">
        <f>IF(Controls_Raw!E1202&lt;&gt;TRIM(Controls_Raw!E1202),"Trim","OK")</f>
        <v>OK</v>
      </c>
      <c r="G1202" t="str">
        <f>IF(AND(Controls_Raw!L1202&lt;DATE(2026,9,30),Controls_Raw!M1202&lt;&gt;"Completed"),"Overdue","OK")</f>
        <v>Overdue</v>
      </c>
      <c r="H1202" t="str">
        <f>IF(AND(Controls_Raw!Q1202&lt;DATE(2026,9,30),Controls_Raw!R1202&lt;&gt;"Completed",Controls_Raw!R1202&lt;&gt;"Not Required"),"Overdue","OK")</f>
        <v>OK</v>
      </c>
      <c r="I1202" t="str">
        <f t="shared" si="18"/>
        <v>Issue</v>
      </c>
    </row>
    <row r="1203" spans="1:9" x14ac:dyDescent="0.2">
      <c r="A1203" t="str">
        <f>Controls_Raw!A1203</f>
        <v>CTRL-1199</v>
      </c>
      <c r="B1203" t="str">
        <f>IF(COUNTIF(Controls_Raw!$A$5:$A$1504,A1203)&gt;1,"Duplicate","OK")</f>
        <v>OK</v>
      </c>
      <c r="C1203" t="str">
        <f>IF(LEN(TRIM(Controls_Raw!I1203))=0,"Missing","OK")</f>
        <v>OK</v>
      </c>
      <c r="D1203" t="str">
        <f>IF(LEN(TRIM(Controls_Raw!N1203))=0,"Missing","OK")</f>
        <v>OK</v>
      </c>
      <c r="E1203" t="str">
        <f>IF(OR(Controls_Raw!G1203="USA",Controls_Raw!G1203="UK"),"Standardize","OK")</f>
        <v>OK</v>
      </c>
      <c r="F1203" t="str">
        <f>IF(Controls_Raw!E1203&lt;&gt;TRIM(Controls_Raw!E1203),"Trim","OK")</f>
        <v>OK</v>
      </c>
      <c r="G1203" t="str">
        <f>IF(AND(Controls_Raw!L1203&lt;DATE(2026,9,30),Controls_Raw!M1203&lt;&gt;"Completed"),"Overdue","OK")</f>
        <v>OK</v>
      </c>
      <c r="H1203" t="str">
        <f>IF(AND(Controls_Raw!Q1203&lt;DATE(2026,9,30),Controls_Raw!R1203&lt;&gt;"Completed",Controls_Raw!R1203&lt;&gt;"Not Required"),"Overdue","OK")</f>
        <v>Overdue</v>
      </c>
      <c r="I1203" t="str">
        <f t="shared" si="18"/>
        <v>Issue</v>
      </c>
    </row>
    <row r="1204" spans="1:9" x14ac:dyDescent="0.2">
      <c r="A1204" t="str">
        <f>Controls_Raw!A1204</f>
        <v>CTRL-1200</v>
      </c>
      <c r="B1204" t="str">
        <f>IF(COUNTIF(Controls_Raw!$A$5:$A$1504,A1204)&gt;1,"Duplicate","OK")</f>
        <v>OK</v>
      </c>
      <c r="C1204" t="str">
        <f>IF(LEN(TRIM(Controls_Raw!I1204))=0,"Missing","OK")</f>
        <v>OK</v>
      </c>
      <c r="D1204" t="str">
        <f>IF(LEN(TRIM(Controls_Raw!N1204))=0,"Missing","OK")</f>
        <v>OK</v>
      </c>
      <c r="E1204" t="str">
        <f>IF(OR(Controls_Raw!G1204="USA",Controls_Raw!G1204="UK"),"Standardize","OK")</f>
        <v>OK</v>
      </c>
      <c r="F1204" t="str">
        <f>IF(Controls_Raw!E1204&lt;&gt;TRIM(Controls_Raw!E1204),"Trim","OK")</f>
        <v>OK</v>
      </c>
      <c r="G1204" t="str">
        <f>IF(AND(Controls_Raw!L1204&lt;DATE(2026,9,30),Controls_Raw!M1204&lt;&gt;"Completed"),"Overdue","OK")</f>
        <v>Overdue</v>
      </c>
      <c r="H1204" t="str">
        <f>IF(AND(Controls_Raw!Q1204&lt;DATE(2026,9,30),Controls_Raw!R1204&lt;&gt;"Completed",Controls_Raw!R1204&lt;&gt;"Not Required"),"Overdue","OK")</f>
        <v>Overdue</v>
      </c>
      <c r="I1204" t="str">
        <f t="shared" si="18"/>
        <v>Issue</v>
      </c>
    </row>
    <row r="1205" spans="1:9" x14ac:dyDescent="0.2">
      <c r="A1205" t="str">
        <f>Controls_Raw!A1205</f>
        <v>CTRL-1201</v>
      </c>
      <c r="B1205" t="str">
        <f>IF(COUNTIF(Controls_Raw!$A$5:$A$1504,A1205)&gt;1,"Duplicate","OK")</f>
        <v>OK</v>
      </c>
      <c r="C1205" t="str">
        <f>IF(LEN(TRIM(Controls_Raw!I1205))=0,"Missing","OK")</f>
        <v>OK</v>
      </c>
      <c r="D1205" t="str">
        <f>IF(LEN(TRIM(Controls_Raw!N1205))=0,"Missing","OK")</f>
        <v>OK</v>
      </c>
      <c r="E1205" t="str">
        <f>IF(OR(Controls_Raw!G1205="USA",Controls_Raw!G1205="UK"),"Standardize","OK")</f>
        <v>OK</v>
      </c>
      <c r="F1205" t="str">
        <f>IF(Controls_Raw!E1205&lt;&gt;TRIM(Controls_Raw!E1205),"Trim","OK")</f>
        <v>OK</v>
      </c>
      <c r="G1205" t="str">
        <f>IF(AND(Controls_Raw!L1205&lt;DATE(2026,9,30),Controls_Raw!M1205&lt;&gt;"Completed"),"Overdue","OK")</f>
        <v>OK</v>
      </c>
      <c r="H1205" t="str">
        <f>IF(AND(Controls_Raw!Q1205&lt;DATE(2026,9,30),Controls_Raw!R1205&lt;&gt;"Completed",Controls_Raw!R1205&lt;&gt;"Not Required"),"Overdue","OK")</f>
        <v>Overdue</v>
      </c>
      <c r="I1205" t="str">
        <f t="shared" si="18"/>
        <v>Issue</v>
      </c>
    </row>
    <row r="1206" spans="1:9" x14ac:dyDescent="0.2">
      <c r="A1206" t="str">
        <f>Controls_Raw!A1206</f>
        <v>CTRL-1202</v>
      </c>
      <c r="B1206" t="str">
        <f>IF(COUNTIF(Controls_Raw!$A$5:$A$1504,A1206)&gt;1,"Duplicate","OK")</f>
        <v>OK</v>
      </c>
      <c r="C1206" t="str">
        <f>IF(LEN(TRIM(Controls_Raw!I1206))=0,"Missing","OK")</f>
        <v>OK</v>
      </c>
      <c r="D1206" t="str">
        <f>IF(LEN(TRIM(Controls_Raw!N1206))=0,"Missing","OK")</f>
        <v>OK</v>
      </c>
      <c r="E1206" t="str">
        <f>IF(OR(Controls_Raw!G1206="USA",Controls_Raw!G1206="UK"),"Standardize","OK")</f>
        <v>OK</v>
      </c>
      <c r="F1206" t="str">
        <f>IF(Controls_Raw!E1206&lt;&gt;TRIM(Controls_Raw!E1206),"Trim","OK")</f>
        <v>OK</v>
      </c>
      <c r="G1206" t="str">
        <f>IF(AND(Controls_Raw!L1206&lt;DATE(2026,9,30),Controls_Raw!M1206&lt;&gt;"Completed"),"Overdue","OK")</f>
        <v>OK</v>
      </c>
      <c r="H1206" t="str">
        <f>IF(AND(Controls_Raw!Q1206&lt;DATE(2026,9,30),Controls_Raw!R1206&lt;&gt;"Completed",Controls_Raw!R1206&lt;&gt;"Not Required"),"Overdue","OK")</f>
        <v>Overdue</v>
      </c>
      <c r="I1206" t="str">
        <f t="shared" si="18"/>
        <v>Issue</v>
      </c>
    </row>
    <row r="1207" spans="1:9" x14ac:dyDescent="0.2">
      <c r="A1207" t="str">
        <f>Controls_Raw!A1207</f>
        <v>CTRL-1203</v>
      </c>
      <c r="B1207" t="str">
        <f>IF(COUNTIF(Controls_Raw!$A$5:$A$1504,A1207)&gt;1,"Duplicate","OK")</f>
        <v>OK</v>
      </c>
      <c r="C1207" t="str">
        <f>IF(LEN(TRIM(Controls_Raw!I1207))=0,"Missing","OK")</f>
        <v>OK</v>
      </c>
      <c r="D1207" t="str">
        <f>IF(LEN(TRIM(Controls_Raw!N1207))=0,"Missing","OK")</f>
        <v>OK</v>
      </c>
      <c r="E1207" t="str">
        <f>IF(OR(Controls_Raw!G1207="USA",Controls_Raw!G1207="UK"),"Standardize","OK")</f>
        <v>OK</v>
      </c>
      <c r="F1207" t="str">
        <f>IF(Controls_Raw!E1207&lt;&gt;TRIM(Controls_Raw!E1207),"Trim","OK")</f>
        <v>OK</v>
      </c>
      <c r="G1207" t="str">
        <f>IF(AND(Controls_Raw!L1207&lt;DATE(2026,9,30),Controls_Raw!M1207&lt;&gt;"Completed"),"Overdue","OK")</f>
        <v>Overdue</v>
      </c>
      <c r="H1207" t="str">
        <f>IF(AND(Controls_Raw!Q1207&lt;DATE(2026,9,30),Controls_Raw!R1207&lt;&gt;"Completed",Controls_Raw!R1207&lt;&gt;"Not Required"),"Overdue","OK")</f>
        <v>OK</v>
      </c>
      <c r="I1207" t="str">
        <f t="shared" si="18"/>
        <v>Issue</v>
      </c>
    </row>
    <row r="1208" spans="1:9" x14ac:dyDescent="0.2">
      <c r="A1208" t="str">
        <f>Controls_Raw!A1208</f>
        <v>CTRL-1204</v>
      </c>
      <c r="B1208" t="str">
        <f>IF(COUNTIF(Controls_Raw!$A$5:$A$1504,A1208)&gt;1,"Duplicate","OK")</f>
        <v>OK</v>
      </c>
      <c r="C1208" t="str">
        <f>IF(LEN(TRIM(Controls_Raw!I1208))=0,"Missing","OK")</f>
        <v>OK</v>
      </c>
      <c r="D1208" t="str">
        <f>IF(LEN(TRIM(Controls_Raw!N1208))=0,"Missing","OK")</f>
        <v>OK</v>
      </c>
      <c r="E1208" t="str">
        <f>IF(OR(Controls_Raw!G1208="USA",Controls_Raw!G1208="UK"),"Standardize","OK")</f>
        <v>OK</v>
      </c>
      <c r="F1208" t="str">
        <f>IF(Controls_Raw!E1208&lt;&gt;TRIM(Controls_Raw!E1208),"Trim","OK")</f>
        <v>OK</v>
      </c>
      <c r="G1208" t="str">
        <f>IF(AND(Controls_Raw!L1208&lt;DATE(2026,9,30),Controls_Raw!M1208&lt;&gt;"Completed"),"Overdue","OK")</f>
        <v>Overdue</v>
      </c>
      <c r="H1208" t="str">
        <f>IF(AND(Controls_Raw!Q1208&lt;DATE(2026,9,30),Controls_Raw!R1208&lt;&gt;"Completed",Controls_Raw!R1208&lt;&gt;"Not Required"),"Overdue","OK")</f>
        <v>OK</v>
      </c>
      <c r="I1208" t="str">
        <f t="shared" si="18"/>
        <v>Issue</v>
      </c>
    </row>
    <row r="1209" spans="1:9" x14ac:dyDescent="0.2">
      <c r="A1209" t="str">
        <f>Controls_Raw!A1209</f>
        <v>CTRL-1205</v>
      </c>
      <c r="B1209" t="str">
        <f>IF(COUNTIF(Controls_Raw!$A$5:$A$1504,A1209)&gt;1,"Duplicate","OK")</f>
        <v>OK</v>
      </c>
      <c r="C1209" t="str">
        <f>IF(LEN(TRIM(Controls_Raw!I1209))=0,"Missing","OK")</f>
        <v>OK</v>
      </c>
      <c r="D1209" t="str">
        <f>IF(LEN(TRIM(Controls_Raw!N1209))=0,"Missing","OK")</f>
        <v>OK</v>
      </c>
      <c r="E1209" t="str">
        <f>IF(OR(Controls_Raw!G1209="USA",Controls_Raw!G1209="UK"),"Standardize","OK")</f>
        <v>OK</v>
      </c>
      <c r="F1209" t="str">
        <f>IF(Controls_Raw!E1209&lt;&gt;TRIM(Controls_Raw!E1209),"Trim","OK")</f>
        <v>OK</v>
      </c>
      <c r="G1209" t="str">
        <f>IF(AND(Controls_Raw!L1209&lt;DATE(2026,9,30),Controls_Raw!M1209&lt;&gt;"Completed"),"Overdue","OK")</f>
        <v>OK</v>
      </c>
      <c r="H1209" t="str">
        <f>IF(AND(Controls_Raw!Q1209&lt;DATE(2026,9,30),Controls_Raw!R1209&lt;&gt;"Completed",Controls_Raw!R1209&lt;&gt;"Not Required"),"Overdue","OK")</f>
        <v>OK</v>
      </c>
      <c r="I1209" t="str">
        <f t="shared" si="18"/>
        <v>Pass</v>
      </c>
    </row>
    <row r="1210" spans="1:9" x14ac:dyDescent="0.2">
      <c r="A1210" t="str">
        <f>Controls_Raw!A1210</f>
        <v>CTRL-1206</v>
      </c>
      <c r="B1210" t="str">
        <f>IF(COUNTIF(Controls_Raw!$A$5:$A$1504,A1210)&gt;1,"Duplicate","OK")</f>
        <v>OK</v>
      </c>
      <c r="C1210" t="str">
        <f>IF(LEN(TRIM(Controls_Raw!I1210))=0,"Missing","OK")</f>
        <v>OK</v>
      </c>
      <c r="D1210" t="str">
        <f>IF(LEN(TRIM(Controls_Raw!N1210))=0,"Missing","OK")</f>
        <v>OK</v>
      </c>
      <c r="E1210" t="str">
        <f>IF(OR(Controls_Raw!G1210="USA",Controls_Raw!G1210="UK"),"Standardize","OK")</f>
        <v>OK</v>
      </c>
      <c r="F1210" t="str">
        <f>IF(Controls_Raw!E1210&lt;&gt;TRIM(Controls_Raw!E1210),"Trim","OK")</f>
        <v>OK</v>
      </c>
      <c r="G1210" t="str">
        <f>IF(AND(Controls_Raw!L1210&lt;DATE(2026,9,30),Controls_Raw!M1210&lt;&gt;"Completed"),"Overdue","OK")</f>
        <v>Overdue</v>
      </c>
      <c r="H1210" t="str">
        <f>IF(AND(Controls_Raw!Q1210&lt;DATE(2026,9,30),Controls_Raw!R1210&lt;&gt;"Completed",Controls_Raw!R1210&lt;&gt;"Not Required"),"Overdue","OK")</f>
        <v>Overdue</v>
      </c>
      <c r="I1210" t="str">
        <f t="shared" si="18"/>
        <v>Issue</v>
      </c>
    </row>
    <row r="1211" spans="1:9" x14ac:dyDescent="0.2">
      <c r="A1211" t="str">
        <f>Controls_Raw!A1211</f>
        <v>CTRL-1207</v>
      </c>
      <c r="B1211" t="str">
        <f>IF(COUNTIF(Controls_Raw!$A$5:$A$1504,A1211)&gt;1,"Duplicate","OK")</f>
        <v>OK</v>
      </c>
      <c r="C1211" t="str">
        <f>IF(LEN(TRIM(Controls_Raw!I1211))=0,"Missing","OK")</f>
        <v>OK</v>
      </c>
      <c r="D1211" t="str">
        <f>IF(LEN(TRIM(Controls_Raw!N1211))=0,"Missing","OK")</f>
        <v>OK</v>
      </c>
      <c r="E1211" t="str">
        <f>IF(OR(Controls_Raw!G1211="USA",Controls_Raw!G1211="UK"),"Standardize","OK")</f>
        <v>OK</v>
      </c>
      <c r="F1211" t="str">
        <f>IF(Controls_Raw!E1211&lt;&gt;TRIM(Controls_Raw!E1211),"Trim","OK")</f>
        <v>OK</v>
      </c>
      <c r="G1211" t="str">
        <f>IF(AND(Controls_Raw!L1211&lt;DATE(2026,9,30),Controls_Raw!M1211&lt;&gt;"Completed"),"Overdue","OK")</f>
        <v>OK</v>
      </c>
      <c r="H1211" t="str">
        <f>IF(AND(Controls_Raw!Q1211&lt;DATE(2026,9,30),Controls_Raw!R1211&lt;&gt;"Completed",Controls_Raw!R1211&lt;&gt;"Not Required"),"Overdue","OK")</f>
        <v>Overdue</v>
      </c>
      <c r="I1211" t="str">
        <f t="shared" si="18"/>
        <v>Issue</v>
      </c>
    </row>
    <row r="1212" spans="1:9" x14ac:dyDescent="0.2">
      <c r="A1212" t="str">
        <f>Controls_Raw!A1212</f>
        <v>CTRL-1208</v>
      </c>
      <c r="B1212" t="str">
        <f>IF(COUNTIF(Controls_Raw!$A$5:$A$1504,A1212)&gt;1,"Duplicate","OK")</f>
        <v>OK</v>
      </c>
      <c r="C1212" t="str">
        <f>IF(LEN(TRIM(Controls_Raw!I1212))=0,"Missing","OK")</f>
        <v>OK</v>
      </c>
      <c r="D1212" t="str">
        <f>IF(LEN(TRIM(Controls_Raw!N1212))=0,"Missing","OK")</f>
        <v>OK</v>
      </c>
      <c r="E1212" t="str">
        <f>IF(OR(Controls_Raw!G1212="USA",Controls_Raw!G1212="UK"),"Standardize","OK")</f>
        <v>OK</v>
      </c>
      <c r="F1212" t="str">
        <f>IF(Controls_Raw!E1212&lt;&gt;TRIM(Controls_Raw!E1212),"Trim","OK")</f>
        <v>OK</v>
      </c>
      <c r="G1212" t="str">
        <f>IF(AND(Controls_Raw!L1212&lt;DATE(2026,9,30),Controls_Raw!M1212&lt;&gt;"Completed"),"Overdue","OK")</f>
        <v>OK</v>
      </c>
      <c r="H1212" t="str">
        <f>IF(AND(Controls_Raw!Q1212&lt;DATE(2026,9,30),Controls_Raw!R1212&lt;&gt;"Completed",Controls_Raw!R1212&lt;&gt;"Not Required"),"Overdue","OK")</f>
        <v>OK</v>
      </c>
      <c r="I1212" t="str">
        <f t="shared" si="18"/>
        <v>Pass</v>
      </c>
    </row>
    <row r="1213" spans="1:9" x14ac:dyDescent="0.2">
      <c r="A1213" t="str">
        <f>Controls_Raw!A1213</f>
        <v>CTRL-1209</v>
      </c>
      <c r="B1213" t="str">
        <f>IF(COUNTIF(Controls_Raw!$A$5:$A$1504,A1213)&gt;1,"Duplicate","OK")</f>
        <v>OK</v>
      </c>
      <c r="C1213" t="str">
        <f>IF(LEN(TRIM(Controls_Raw!I1213))=0,"Missing","OK")</f>
        <v>OK</v>
      </c>
      <c r="D1213" t="str">
        <f>IF(LEN(TRIM(Controls_Raw!N1213))=0,"Missing","OK")</f>
        <v>OK</v>
      </c>
      <c r="E1213" t="str">
        <f>IF(OR(Controls_Raw!G1213="USA",Controls_Raw!G1213="UK"),"Standardize","OK")</f>
        <v>OK</v>
      </c>
      <c r="F1213" t="str">
        <f>IF(Controls_Raw!E1213&lt;&gt;TRIM(Controls_Raw!E1213),"Trim","OK")</f>
        <v>OK</v>
      </c>
      <c r="G1213" t="str">
        <f>IF(AND(Controls_Raw!L1213&lt;DATE(2026,9,30),Controls_Raw!M1213&lt;&gt;"Completed"),"Overdue","OK")</f>
        <v>OK</v>
      </c>
      <c r="H1213" t="str">
        <f>IF(AND(Controls_Raw!Q1213&lt;DATE(2026,9,30),Controls_Raw!R1213&lt;&gt;"Completed",Controls_Raw!R1213&lt;&gt;"Not Required"),"Overdue","OK")</f>
        <v>OK</v>
      </c>
      <c r="I1213" t="str">
        <f t="shared" si="18"/>
        <v>Pass</v>
      </c>
    </row>
    <row r="1214" spans="1:9" x14ac:dyDescent="0.2">
      <c r="A1214" t="str">
        <f>Controls_Raw!A1214</f>
        <v>CTRL-1210</v>
      </c>
      <c r="B1214" t="str">
        <f>IF(COUNTIF(Controls_Raw!$A$5:$A$1504,A1214)&gt;1,"Duplicate","OK")</f>
        <v>OK</v>
      </c>
      <c r="C1214" t="str">
        <f>IF(LEN(TRIM(Controls_Raw!I1214))=0,"Missing","OK")</f>
        <v>OK</v>
      </c>
      <c r="D1214" t="str">
        <f>IF(LEN(TRIM(Controls_Raw!N1214))=0,"Missing","OK")</f>
        <v>OK</v>
      </c>
      <c r="E1214" t="str">
        <f>IF(OR(Controls_Raw!G1214="USA",Controls_Raw!G1214="UK"),"Standardize","OK")</f>
        <v>OK</v>
      </c>
      <c r="F1214" t="str">
        <f>IF(Controls_Raw!E1214&lt;&gt;TRIM(Controls_Raw!E1214),"Trim","OK")</f>
        <v>OK</v>
      </c>
      <c r="G1214" t="str">
        <f>IF(AND(Controls_Raw!L1214&lt;DATE(2026,9,30),Controls_Raw!M1214&lt;&gt;"Completed"),"Overdue","OK")</f>
        <v>Overdue</v>
      </c>
      <c r="H1214" t="str">
        <f>IF(AND(Controls_Raw!Q1214&lt;DATE(2026,9,30),Controls_Raw!R1214&lt;&gt;"Completed",Controls_Raw!R1214&lt;&gt;"Not Required"),"Overdue","OK")</f>
        <v>OK</v>
      </c>
      <c r="I1214" t="str">
        <f t="shared" si="18"/>
        <v>Issue</v>
      </c>
    </row>
    <row r="1215" spans="1:9" x14ac:dyDescent="0.2">
      <c r="A1215" t="str">
        <f>Controls_Raw!A1215</f>
        <v>CTRL-1211</v>
      </c>
      <c r="B1215" t="str">
        <f>IF(COUNTIF(Controls_Raw!$A$5:$A$1504,A1215)&gt;1,"Duplicate","OK")</f>
        <v>OK</v>
      </c>
      <c r="C1215" t="str">
        <f>IF(LEN(TRIM(Controls_Raw!I1215))=0,"Missing","OK")</f>
        <v>OK</v>
      </c>
      <c r="D1215" t="str">
        <f>IF(LEN(TRIM(Controls_Raw!N1215))=0,"Missing","OK")</f>
        <v>OK</v>
      </c>
      <c r="E1215" t="str">
        <f>IF(OR(Controls_Raw!G1215="USA",Controls_Raw!G1215="UK"),"Standardize","OK")</f>
        <v>OK</v>
      </c>
      <c r="F1215" t="str">
        <f>IF(Controls_Raw!E1215&lt;&gt;TRIM(Controls_Raw!E1215),"Trim","OK")</f>
        <v>OK</v>
      </c>
      <c r="G1215" t="str">
        <f>IF(AND(Controls_Raw!L1215&lt;DATE(2026,9,30),Controls_Raw!M1215&lt;&gt;"Completed"),"Overdue","OK")</f>
        <v>OK</v>
      </c>
      <c r="H1215" t="str">
        <f>IF(AND(Controls_Raw!Q1215&lt;DATE(2026,9,30),Controls_Raw!R1215&lt;&gt;"Completed",Controls_Raw!R1215&lt;&gt;"Not Required"),"Overdue","OK")</f>
        <v>OK</v>
      </c>
      <c r="I1215" t="str">
        <f t="shared" si="18"/>
        <v>Pass</v>
      </c>
    </row>
    <row r="1216" spans="1:9" x14ac:dyDescent="0.2">
      <c r="A1216" t="str">
        <f>Controls_Raw!A1216</f>
        <v>CTRL-1212</v>
      </c>
      <c r="B1216" t="str">
        <f>IF(COUNTIF(Controls_Raw!$A$5:$A$1504,A1216)&gt;1,"Duplicate","OK")</f>
        <v>OK</v>
      </c>
      <c r="C1216" t="str">
        <f>IF(LEN(TRIM(Controls_Raw!I1216))=0,"Missing","OK")</f>
        <v>OK</v>
      </c>
      <c r="D1216" t="str">
        <f>IF(LEN(TRIM(Controls_Raw!N1216))=0,"Missing","OK")</f>
        <v>OK</v>
      </c>
      <c r="E1216" t="str">
        <f>IF(OR(Controls_Raw!G1216="USA",Controls_Raw!G1216="UK"),"Standardize","OK")</f>
        <v>OK</v>
      </c>
      <c r="F1216" t="str">
        <f>IF(Controls_Raw!E1216&lt;&gt;TRIM(Controls_Raw!E1216),"Trim","OK")</f>
        <v>OK</v>
      </c>
      <c r="G1216" t="str">
        <f>IF(AND(Controls_Raw!L1216&lt;DATE(2026,9,30),Controls_Raw!M1216&lt;&gt;"Completed"),"Overdue","OK")</f>
        <v>Overdue</v>
      </c>
      <c r="H1216" t="str">
        <f>IF(AND(Controls_Raw!Q1216&lt;DATE(2026,9,30),Controls_Raw!R1216&lt;&gt;"Completed",Controls_Raw!R1216&lt;&gt;"Not Required"),"Overdue","OK")</f>
        <v>OK</v>
      </c>
      <c r="I1216" t="str">
        <f t="shared" si="18"/>
        <v>Issue</v>
      </c>
    </row>
    <row r="1217" spans="1:9" x14ac:dyDescent="0.2">
      <c r="A1217" t="str">
        <f>Controls_Raw!A1217</f>
        <v>CTRL-1213</v>
      </c>
      <c r="B1217" t="str">
        <f>IF(COUNTIF(Controls_Raw!$A$5:$A$1504,A1217)&gt;1,"Duplicate","OK")</f>
        <v>OK</v>
      </c>
      <c r="C1217" t="str">
        <f>IF(LEN(TRIM(Controls_Raw!I1217))=0,"Missing","OK")</f>
        <v>OK</v>
      </c>
      <c r="D1217" t="str">
        <f>IF(LEN(TRIM(Controls_Raw!N1217))=0,"Missing","OK")</f>
        <v>OK</v>
      </c>
      <c r="E1217" t="str">
        <f>IF(OR(Controls_Raw!G1217="USA",Controls_Raw!G1217="UK"),"Standardize","OK")</f>
        <v>OK</v>
      </c>
      <c r="F1217" t="str">
        <f>IF(Controls_Raw!E1217&lt;&gt;TRIM(Controls_Raw!E1217),"Trim","OK")</f>
        <v>OK</v>
      </c>
      <c r="G1217" t="str">
        <f>IF(AND(Controls_Raw!L1217&lt;DATE(2026,9,30),Controls_Raw!M1217&lt;&gt;"Completed"),"Overdue","OK")</f>
        <v>OK</v>
      </c>
      <c r="H1217" t="str">
        <f>IF(AND(Controls_Raw!Q1217&lt;DATE(2026,9,30),Controls_Raw!R1217&lt;&gt;"Completed",Controls_Raw!R1217&lt;&gt;"Not Required"),"Overdue","OK")</f>
        <v>OK</v>
      </c>
      <c r="I1217" t="str">
        <f t="shared" si="18"/>
        <v>Pass</v>
      </c>
    </row>
    <row r="1218" spans="1:9" x14ac:dyDescent="0.2">
      <c r="A1218" t="str">
        <f>Controls_Raw!A1218</f>
        <v>CTRL-1214</v>
      </c>
      <c r="B1218" t="str">
        <f>IF(COUNTIF(Controls_Raw!$A$5:$A$1504,A1218)&gt;1,"Duplicate","OK")</f>
        <v>OK</v>
      </c>
      <c r="C1218" t="str">
        <f>IF(LEN(TRIM(Controls_Raw!I1218))=0,"Missing","OK")</f>
        <v>OK</v>
      </c>
      <c r="D1218" t="str">
        <f>IF(LEN(TRIM(Controls_Raw!N1218))=0,"Missing","OK")</f>
        <v>OK</v>
      </c>
      <c r="E1218" t="str">
        <f>IF(OR(Controls_Raw!G1218="USA",Controls_Raw!G1218="UK"),"Standardize","OK")</f>
        <v>OK</v>
      </c>
      <c r="F1218" t="str">
        <f>IF(Controls_Raw!E1218&lt;&gt;TRIM(Controls_Raw!E1218),"Trim","OK")</f>
        <v>OK</v>
      </c>
      <c r="G1218" t="str">
        <f>IF(AND(Controls_Raw!L1218&lt;DATE(2026,9,30),Controls_Raw!M1218&lt;&gt;"Completed"),"Overdue","OK")</f>
        <v>OK</v>
      </c>
      <c r="H1218" t="str">
        <f>IF(AND(Controls_Raw!Q1218&lt;DATE(2026,9,30),Controls_Raw!R1218&lt;&gt;"Completed",Controls_Raw!R1218&lt;&gt;"Not Required"),"Overdue","OK")</f>
        <v>OK</v>
      </c>
      <c r="I1218" t="str">
        <f t="shared" si="18"/>
        <v>Pass</v>
      </c>
    </row>
    <row r="1219" spans="1:9" x14ac:dyDescent="0.2">
      <c r="A1219" t="str">
        <f>Controls_Raw!A1219</f>
        <v>CTRL-1215</v>
      </c>
      <c r="B1219" t="str">
        <f>IF(COUNTIF(Controls_Raw!$A$5:$A$1504,A1219)&gt;1,"Duplicate","OK")</f>
        <v>OK</v>
      </c>
      <c r="C1219" t="str">
        <f>IF(LEN(TRIM(Controls_Raw!I1219))=0,"Missing","OK")</f>
        <v>OK</v>
      </c>
      <c r="D1219" t="str">
        <f>IF(LEN(TRIM(Controls_Raw!N1219))=0,"Missing","OK")</f>
        <v>OK</v>
      </c>
      <c r="E1219" t="str">
        <f>IF(OR(Controls_Raw!G1219="USA",Controls_Raw!G1219="UK"),"Standardize","OK")</f>
        <v>OK</v>
      </c>
      <c r="F1219" t="str">
        <f>IF(Controls_Raw!E1219&lt;&gt;TRIM(Controls_Raw!E1219),"Trim","OK")</f>
        <v>OK</v>
      </c>
      <c r="G1219" t="str">
        <f>IF(AND(Controls_Raw!L1219&lt;DATE(2026,9,30),Controls_Raw!M1219&lt;&gt;"Completed"),"Overdue","OK")</f>
        <v>OK</v>
      </c>
      <c r="H1219" t="str">
        <f>IF(AND(Controls_Raw!Q1219&lt;DATE(2026,9,30),Controls_Raw!R1219&lt;&gt;"Completed",Controls_Raw!R1219&lt;&gt;"Not Required"),"Overdue","OK")</f>
        <v>OK</v>
      </c>
      <c r="I1219" t="str">
        <f t="shared" si="18"/>
        <v>Pass</v>
      </c>
    </row>
    <row r="1220" spans="1:9" x14ac:dyDescent="0.2">
      <c r="A1220" t="str">
        <f>Controls_Raw!A1220</f>
        <v>CTRL-1216</v>
      </c>
      <c r="B1220" t="str">
        <f>IF(COUNTIF(Controls_Raw!$A$5:$A$1504,A1220)&gt;1,"Duplicate","OK")</f>
        <v>OK</v>
      </c>
      <c r="C1220" t="str">
        <f>IF(LEN(TRIM(Controls_Raw!I1220))=0,"Missing","OK")</f>
        <v>OK</v>
      </c>
      <c r="D1220" t="str">
        <f>IF(LEN(TRIM(Controls_Raw!N1220))=0,"Missing","OK")</f>
        <v>OK</v>
      </c>
      <c r="E1220" t="str">
        <f>IF(OR(Controls_Raw!G1220="USA",Controls_Raw!G1220="UK"),"Standardize","OK")</f>
        <v>OK</v>
      </c>
      <c r="F1220" t="str">
        <f>IF(Controls_Raw!E1220&lt;&gt;TRIM(Controls_Raw!E1220),"Trim","OK")</f>
        <v>OK</v>
      </c>
      <c r="G1220" t="str">
        <f>IF(AND(Controls_Raw!L1220&lt;DATE(2026,9,30),Controls_Raw!M1220&lt;&gt;"Completed"),"Overdue","OK")</f>
        <v>Overdue</v>
      </c>
      <c r="H1220" t="str">
        <f>IF(AND(Controls_Raw!Q1220&lt;DATE(2026,9,30),Controls_Raw!R1220&lt;&gt;"Completed",Controls_Raw!R1220&lt;&gt;"Not Required"),"Overdue","OK")</f>
        <v>OK</v>
      </c>
      <c r="I1220" t="str">
        <f t="shared" si="18"/>
        <v>Issue</v>
      </c>
    </row>
    <row r="1221" spans="1:9" x14ac:dyDescent="0.2">
      <c r="A1221" t="str">
        <f>Controls_Raw!A1221</f>
        <v>CTRL-1217</v>
      </c>
      <c r="B1221" t="str">
        <f>IF(COUNTIF(Controls_Raw!$A$5:$A$1504,A1221)&gt;1,"Duplicate","OK")</f>
        <v>OK</v>
      </c>
      <c r="C1221" t="str">
        <f>IF(LEN(TRIM(Controls_Raw!I1221))=0,"Missing","OK")</f>
        <v>OK</v>
      </c>
      <c r="D1221" t="str">
        <f>IF(LEN(TRIM(Controls_Raw!N1221))=0,"Missing","OK")</f>
        <v>OK</v>
      </c>
      <c r="E1221" t="str">
        <f>IF(OR(Controls_Raw!G1221="USA",Controls_Raw!G1221="UK"),"Standardize","OK")</f>
        <v>OK</v>
      </c>
      <c r="F1221" t="str">
        <f>IF(Controls_Raw!E1221&lt;&gt;TRIM(Controls_Raw!E1221),"Trim","OK")</f>
        <v>OK</v>
      </c>
      <c r="G1221" t="str">
        <f>IF(AND(Controls_Raw!L1221&lt;DATE(2026,9,30),Controls_Raw!M1221&lt;&gt;"Completed"),"Overdue","OK")</f>
        <v>OK</v>
      </c>
      <c r="H1221" t="str">
        <f>IF(AND(Controls_Raw!Q1221&lt;DATE(2026,9,30),Controls_Raw!R1221&lt;&gt;"Completed",Controls_Raw!R1221&lt;&gt;"Not Required"),"Overdue","OK")</f>
        <v>OK</v>
      </c>
      <c r="I1221" t="str">
        <f t="shared" ref="I1221:I1284" si="19">IF(COUNTIF(B1221:H1221,"&lt;&gt;OK")&gt;0,"Issue","Pass")</f>
        <v>Pass</v>
      </c>
    </row>
    <row r="1222" spans="1:9" x14ac:dyDescent="0.2">
      <c r="A1222" t="str">
        <f>Controls_Raw!A1222</f>
        <v>CTRL-1218</v>
      </c>
      <c r="B1222" t="str">
        <f>IF(COUNTIF(Controls_Raw!$A$5:$A$1504,A1222)&gt;1,"Duplicate","OK")</f>
        <v>OK</v>
      </c>
      <c r="C1222" t="str">
        <f>IF(LEN(TRIM(Controls_Raw!I1222))=0,"Missing","OK")</f>
        <v>OK</v>
      </c>
      <c r="D1222" t="str">
        <f>IF(LEN(TRIM(Controls_Raw!N1222))=0,"Missing","OK")</f>
        <v>OK</v>
      </c>
      <c r="E1222" t="str">
        <f>IF(OR(Controls_Raw!G1222="USA",Controls_Raw!G1222="UK"),"Standardize","OK")</f>
        <v>OK</v>
      </c>
      <c r="F1222" t="str">
        <f>IF(Controls_Raw!E1222&lt;&gt;TRIM(Controls_Raw!E1222),"Trim","OK")</f>
        <v>OK</v>
      </c>
      <c r="G1222" t="str">
        <f>IF(AND(Controls_Raw!L1222&lt;DATE(2026,9,30),Controls_Raw!M1222&lt;&gt;"Completed"),"Overdue","OK")</f>
        <v>OK</v>
      </c>
      <c r="H1222" t="str">
        <f>IF(AND(Controls_Raw!Q1222&lt;DATE(2026,9,30),Controls_Raw!R1222&lt;&gt;"Completed",Controls_Raw!R1222&lt;&gt;"Not Required"),"Overdue","OK")</f>
        <v>Overdue</v>
      </c>
      <c r="I1222" t="str">
        <f t="shared" si="19"/>
        <v>Issue</v>
      </c>
    </row>
    <row r="1223" spans="1:9" x14ac:dyDescent="0.2">
      <c r="A1223" t="str">
        <f>Controls_Raw!A1223</f>
        <v>CTRL-1219</v>
      </c>
      <c r="B1223" t="str">
        <f>IF(COUNTIF(Controls_Raw!$A$5:$A$1504,A1223)&gt;1,"Duplicate","OK")</f>
        <v>OK</v>
      </c>
      <c r="C1223" t="str">
        <f>IF(LEN(TRIM(Controls_Raw!I1223))=0,"Missing","OK")</f>
        <v>OK</v>
      </c>
      <c r="D1223" t="str">
        <f>IF(LEN(TRIM(Controls_Raw!N1223))=0,"Missing","OK")</f>
        <v>OK</v>
      </c>
      <c r="E1223" t="str">
        <f>IF(OR(Controls_Raw!G1223="USA",Controls_Raw!G1223="UK"),"Standardize","OK")</f>
        <v>OK</v>
      </c>
      <c r="F1223" t="str">
        <f>IF(Controls_Raw!E1223&lt;&gt;TRIM(Controls_Raw!E1223),"Trim","OK")</f>
        <v>OK</v>
      </c>
      <c r="G1223" t="str">
        <f>IF(AND(Controls_Raw!L1223&lt;DATE(2026,9,30),Controls_Raw!M1223&lt;&gt;"Completed"),"Overdue","OK")</f>
        <v>OK</v>
      </c>
      <c r="H1223" t="str">
        <f>IF(AND(Controls_Raw!Q1223&lt;DATE(2026,9,30),Controls_Raw!R1223&lt;&gt;"Completed",Controls_Raw!R1223&lt;&gt;"Not Required"),"Overdue","OK")</f>
        <v>Overdue</v>
      </c>
      <c r="I1223" t="str">
        <f t="shared" si="19"/>
        <v>Issue</v>
      </c>
    </row>
    <row r="1224" spans="1:9" x14ac:dyDescent="0.2">
      <c r="A1224" t="str">
        <f>Controls_Raw!A1224</f>
        <v>CTRL-1220</v>
      </c>
      <c r="B1224" t="str">
        <f>IF(COUNTIF(Controls_Raw!$A$5:$A$1504,A1224)&gt;1,"Duplicate","OK")</f>
        <v>OK</v>
      </c>
      <c r="C1224" t="str">
        <f>IF(LEN(TRIM(Controls_Raw!I1224))=0,"Missing","OK")</f>
        <v>OK</v>
      </c>
      <c r="D1224" t="str">
        <f>IF(LEN(TRIM(Controls_Raw!N1224))=0,"Missing","OK")</f>
        <v>OK</v>
      </c>
      <c r="E1224" t="str">
        <f>IF(OR(Controls_Raw!G1224="USA",Controls_Raw!G1224="UK"),"Standardize","OK")</f>
        <v>Standardize</v>
      </c>
      <c r="F1224" t="str">
        <f>IF(Controls_Raw!E1224&lt;&gt;TRIM(Controls_Raw!E1224),"Trim","OK")</f>
        <v>OK</v>
      </c>
      <c r="G1224" t="str">
        <f>IF(AND(Controls_Raw!L1224&lt;DATE(2026,9,30),Controls_Raw!M1224&lt;&gt;"Completed"),"Overdue","OK")</f>
        <v>Overdue</v>
      </c>
      <c r="H1224" t="str">
        <f>IF(AND(Controls_Raw!Q1224&lt;DATE(2026,9,30),Controls_Raw!R1224&lt;&gt;"Completed",Controls_Raw!R1224&lt;&gt;"Not Required"),"Overdue","OK")</f>
        <v>OK</v>
      </c>
      <c r="I1224" t="str">
        <f t="shared" si="19"/>
        <v>Issue</v>
      </c>
    </row>
    <row r="1225" spans="1:9" x14ac:dyDescent="0.2">
      <c r="A1225" t="str">
        <f>Controls_Raw!A1225</f>
        <v>CTRL-1221</v>
      </c>
      <c r="B1225" t="str">
        <f>IF(COUNTIF(Controls_Raw!$A$5:$A$1504,A1225)&gt;1,"Duplicate","OK")</f>
        <v>OK</v>
      </c>
      <c r="C1225" t="str">
        <f>IF(LEN(TRIM(Controls_Raw!I1225))=0,"Missing","OK")</f>
        <v>OK</v>
      </c>
      <c r="D1225" t="str">
        <f>IF(LEN(TRIM(Controls_Raw!N1225))=0,"Missing","OK")</f>
        <v>OK</v>
      </c>
      <c r="E1225" t="str">
        <f>IF(OR(Controls_Raw!G1225="USA",Controls_Raw!G1225="UK"),"Standardize","OK")</f>
        <v>OK</v>
      </c>
      <c r="F1225" t="str">
        <f>IF(Controls_Raw!E1225&lt;&gt;TRIM(Controls_Raw!E1225),"Trim","OK")</f>
        <v>OK</v>
      </c>
      <c r="G1225" t="str">
        <f>IF(AND(Controls_Raw!L1225&lt;DATE(2026,9,30),Controls_Raw!M1225&lt;&gt;"Completed"),"Overdue","OK")</f>
        <v>Overdue</v>
      </c>
      <c r="H1225" t="str">
        <f>IF(AND(Controls_Raw!Q1225&lt;DATE(2026,9,30),Controls_Raw!R1225&lt;&gt;"Completed",Controls_Raw!R1225&lt;&gt;"Not Required"),"Overdue","OK")</f>
        <v>OK</v>
      </c>
      <c r="I1225" t="str">
        <f t="shared" si="19"/>
        <v>Issue</v>
      </c>
    </row>
    <row r="1226" spans="1:9" x14ac:dyDescent="0.2">
      <c r="A1226" t="str">
        <f>Controls_Raw!A1226</f>
        <v>CTRL-1222</v>
      </c>
      <c r="B1226" t="str">
        <f>IF(COUNTIF(Controls_Raw!$A$5:$A$1504,A1226)&gt;1,"Duplicate","OK")</f>
        <v>OK</v>
      </c>
      <c r="C1226" t="str">
        <f>IF(LEN(TRIM(Controls_Raw!I1226))=0,"Missing","OK")</f>
        <v>OK</v>
      </c>
      <c r="D1226" t="str">
        <f>IF(LEN(TRIM(Controls_Raw!N1226))=0,"Missing","OK")</f>
        <v>OK</v>
      </c>
      <c r="E1226" t="str">
        <f>IF(OR(Controls_Raw!G1226="USA",Controls_Raw!G1226="UK"),"Standardize","OK")</f>
        <v>OK</v>
      </c>
      <c r="F1226" t="str">
        <f>IF(Controls_Raw!E1226&lt;&gt;TRIM(Controls_Raw!E1226),"Trim","OK")</f>
        <v>OK</v>
      </c>
      <c r="G1226" t="str">
        <f>IF(AND(Controls_Raw!L1226&lt;DATE(2026,9,30),Controls_Raw!M1226&lt;&gt;"Completed"),"Overdue","OK")</f>
        <v>OK</v>
      </c>
      <c r="H1226" t="str">
        <f>IF(AND(Controls_Raw!Q1226&lt;DATE(2026,9,30),Controls_Raw!R1226&lt;&gt;"Completed",Controls_Raw!R1226&lt;&gt;"Not Required"),"Overdue","OK")</f>
        <v>OK</v>
      </c>
      <c r="I1226" t="str">
        <f t="shared" si="19"/>
        <v>Pass</v>
      </c>
    </row>
    <row r="1227" spans="1:9" x14ac:dyDescent="0.2">
      <c r="A1227" t="str">
        <f>Controls_Raw!A1227</f>
        <v>CTRL-1223</v>
      </c>
      <c r="B1227" t="str">
        <f>IF(COUNTIF(Controls_Raw!$A$5:$A$1504,A1227)&gt;1,"Duplicate","OK")</f>
        <v>OK</v>
      </c>
      <c r="C1227" t="str">
        <f>IF(LEN(TRIM(Controls_Raw!I1227))=0,"Missing","OK")</f>
        <v>Missing</v>
      </c>
      <c r="D1227" t="str">
        <f>IF(LEN(TRIM(Controls_Raw!N1227))=0,"Missing","OK")</f>
        <v>OK</v>
      </c>
      <c r="E1227" t="str">
        <f>IF(OR(Controls_Raw!G1227="USA",Controls_Raw!G1227="UK"),"Standardize","OK")</f>
        <v>OK</v>
      </c>
      <c r="F1227" t="str">
        <f>IF(Controls_Raw!E1227&lt;&gt;TRIM(Controls_Raw!E1227),"Trim","OK")</f>
        <v>OK</v>
      </c>
      <c r="G1227" t="str">
        <f>IF(AND(Controls_Raw!L1227&lt;DATE(2026,9,30),Controls_Raw!M1227&lt;&gt;"Completed"),"Overdue","OK")</f>
        <v>Overdue</v>
      </c>
      <c r="H1227" t="str">
        <f>IF(AND(Controls_Raw!Q1227&lt;DATE(2026,9,30),Controls_Raw!R1227&lt;&gt;"Completed",Controls_Raw!R1227&lt;&gt;"Not Required"),"Overdue","OK")</f>
        <v>Overdue</v>
      </c>
      <c r="I1227" t="str">
        <f t="shared" si="19"/>
        <v>Issue</v>
      </c>
    </row>
    <row r="1228" spans="1:9" x14ac:dyDescent="0.2">
      <c r="A1228" t="str">
        <f>Controls_Raw!A1228</f>
        <v>CTRL-1224</v>
      </c>
      <c r="B1228" t="str">
        <f>IF(COUNTIF(Controls_Raw!$A$5:$A$1504,A1228)&gt;1,"Duplicate","OK")</f>
        <v>OK</v>
      </c>
      <c r="C1228" t="str">
        <f>IF(LEN(TRIM(Controls_Raw!I1228))=0,"Missing","OK")</f>
        <v>OK</v>
      </c>
      <c r="D1228" t="str">
        <f>IF(LEN(TRIM(Controls_Raw!N1228))=0,"Missing","OK")</f>
        <v>OK</v>
      </c>
      <c r="E1228" t="str">
        <f>IF(OR(Controls_Raw!G1228="USA",Controls_Raw!G1228="UK"),"Standardize","OK")</f>
        <v>OK</v>
      </c>
      <c r="F1228" t="str">
        <f>IF(Controls_Raw!E1228&lt;&gt;TRIM(Controls_Raw!E1228),"Trim","OK")</f>
        <v>OK</v>
      </c>
      <c r="G1228" t="str">
        <f>IF(AND(Controls_Raw!L1228&lt;DATE(2026,9,30),Controls_Raw!M1228&lt;&gt;"Completed"),"Overdue","OK")</f>
        <v>Overdue</v>
      </c>
      <c r="H1228" t="str">
        <f>IF(AND(Controls_Raw!Q1228&lt;DATE(2026,9,30),Controls_Raw!R1228&lt;&gt;"Completed",Controls_Raw!R1228&lt;&gt;"Not Required"),"Overdue","OK")</f>
        <v>Overdue</v>
      </c>
      <c r="I1228" t="str">
        <f t="shared" si="19"/>
        <v>Issue</v>
      </c>
    </row>
    <row r="1229" spans="1:9" x14ac:dyDescent="0.2">
      <c r="A1229" t="str">
        <f>Controls_Raw!A1229</f>
        <v>CTRL-1225</v>
      </c>
      <c r="B1229" t="str">
        <f>IF(COUNTIF(Controls_Raw!$A$5:$A$1504,A1229)&gt;1,"Duplicate","OK")</f>
        <v>OK</v>
      </c>
      <c r="C1229" t="str">
        <f>IF(LEN(TRIM(Controls_Raw!I1229))=0,"Missing","OK")</f>
        <v>OK</v>
      </c>
      <c r="D1229" t="str">
        <f>IF(LEN(TRIM(Controls_Raw!N1229))=0,"Missing","OK")</f>
        <v>OK</v>
      </c>
      <c r="E1229" t="str">
        <f>IF(OR(Controls_Raw!G1229="USA",Controls_Raw!G1229="UK"),"Standardize","OK")</f>
        <v>OK</v>
      </c>
      <c r="F1229" t="str">
        <f>IF(Controls_Raw!E1229&lt;&gt;TRIM(Controls_Raw!E1229),"Trim","OK")</f>
        <v>OK</v>
      </c>
      <c r="G1229" t="str">
        <f>IF(AND(Controls_Raw!L1229&lt;DATE(2026,9,30),Controls_Raw!M1229&lt;&gt;"Completed"),"Overdue","OK")</f>
        <v>Overdue</v>
      </c>
      <c r="H1229" t="str">
        <f>IF(AND(Controls_Raw!Q1229&lt;DATE(2026,9,30),Controls_Raw!R1229&lt;&gt;"Completed",Controls_Raw!R1229&lt;&gt;"Not Required"),"Overdue","OK")</f>
        <v>Overdue</v>
      </c>
      <c r="I1229" t="str">
        <f t="shared" si="19"/>
        <v>Issue</v>
      </c>
    </row>
    <row r="1230" spans="1:9" x14ac:dyDescent="0.2">
      <c r="A1230" t="str">
        <f>Controls_Raw!A1230</f>
        <v>CTRL-1226</v>
      </c>
      <c r="B1230" t="str">
        <f>IF(COUNTIF(Controls_Raw!$A$5:$A$1504,A1230)&gt;1,"Duplicate","OK")</f>
        <v>OK</v>
      </c>
      <c r="C1230" t="str">
        <f>IF(LEN(TRIM(Controls_Raw!I1230))=0,"Missing","OK")</f>
        <v>OK</v>
      </c>
      <c r="D1230" t="str">
        <f>IF(LEN(TRIM(Controls_Raw!N1230))=0,"Missing","OK")</f>
        <v>OK</v>
      </c>
      <c r="E1230" t="str">
        <f>IF(OR(Controls_Raw!G1230="USA",Controls_Raw!G1230="UK"),"Standardize","OK")</f>
        <v>OK</v>
      </c>
      <c r="F1230" t="str">
        <f>IF(Controls_Raw!E1230&lt;&gt;TRIM(Controls_Raw!E1230),"Trim","OK")</f>
        <v>OK</v>
      </c>
      <c r="G1230" t="str">
        <f>IF(AND(Controls_Raw!L1230&lt;DATE(2026,9,30),Controls_Raw!M1230&lt;&gt;"Completed"),"Overdue","OK")</f>
        <v>Overdue</v>
      </c>
      <c r="H1230" t="str">
        <f>IF(AND(Controls_Raw!Q1230&lt;DATE(2026,9,30),Controls_Raw!R1230&lt;&gt;"Completed",Controls_Raw!R1230&lt;&gt;"Not Required"),"Overdue","OK")</f>
        <v>OK</v>
      </c>
      <c r="I1230" t="str">
        <f t="shared" si="19"/>
        <v>Issue</v>
      </c>
    </row>
    <row r="1231" spans="1:9" x14ac:dyDescent="0.2">
      <c r="A1231" t="str">
        <f>Controls_Raw!A1231</f>
        <v>CTRL-1227</v>
      </c>
      <c r="B1231" t="str">
        <f>IF(COUNTIF(Controls_Raw!$A$5:$A$1504,A1231)&gt;1,"Duplicate","OK")</f>
        <v>OK</v>
      </c>
      <c r="C1231" t="str">
        <f>IF(LEN(TRIM(Controls_Raw!I1231))=0,"Missing","OK")</f>
        <v>OK</v>
      </c>
      <c r="D1231" t="str">
        <f>IF(LEN(TRIM(Controls_Raw!N1231))=0,"Missing","OK")</f>
        <v>OK</v>
      </c>
      <c r="E1231" t="str">
        <f>IF(OR(Controls_Raw!G1231="USA",Controls_Raw!G1231="UK"),"Standardize","OK")</f>
        <v>OK</v>
      </c>
      <c r="F1231" t="str">
        <f>IF(Controls_Raw!E1231&lt;&gt;TRIM(Controls_Raw!E1231),"Trim","OK")</f>
        <v>OK</v>
      </c>
      <c r="G1231" t="str">
        <f>IF(AND(Controls_Raw!L1231&lt;DATE(2026,9,30),Controls_Raw!M1231&lt;&gt;"Completed"),"Overdue","OK")</f>
        <v>Overdue</v>
      </c>
      <c r="H1231" t="str">
        <f>IF(AND(Controls_Raw!Q1231&lt;DATE(2026,9,30),Controls_Raw!R1231&lt;&gt;"Completed",Controls_Raw!R1231&lt;&gt;"Not Required"),"Overdue","OK")</f>
        <v>OK</v>
      </c>
      <c r="I1231" t="str">
        <f t="shared" si="19"/>
        <v>Issue</v>
      </c>
    </row>
    <row r="1232" spans="1:9" x14ac:dyDescent="0.2">
      <c r="A1232" t="str">
        <f>Controls_Raw!A1232</f>
        <v>CTRL-1228</v>
      </c>
      <c r="B1232" t="str">
        <f>IF(COUNTIF(Controls_Raw!$A$5:$A$1504,A1232)&gt;1,"Duplicate","OK")</f>
        <v>OK</v>
      </c>
      <c r="C1232" t="str">
        <f>IF(LEN(TRIM(Controls_Raw!I1232))=0,"Missing","OK")</f>
        <v>OK</v>
      </c>
      <c r="D1232" t="str">
        <f>IF(LEN(TRIM(Controls_Raw!N1232))=0,"Missing","OK")</f>
        <v>OK</v>
      </c>
      <c r="E1232" t="str">
        <f>IF(OR(Controls_Raw!G1232="USA",Controls_Raw!G1232="UK"),"Standardize","OK")</f>
        <v>OK</v>
      </c>
      <c r="F1232" t="str">
        <f>IF(Controls_Raw!E1232&lt;&gt;TRIM(Controls_Raw!E1232),"Trim","OK")</f>
        <v>OK</v>
      </c>
      <c r="G1232" t="str">
        <f>IF(AND(Controls_Raw!L1232&lt;DATE(2026,9,30),Controls_Raw!M1232&lt;&gt;"Completed"),"Overdue","OK")</f>
        <v>Overdue</v>
      </c>
      <c r="H1232" t="str">
        <f>IF(AND(Controls_Raw!Q1232&lt;DATE(2026,9,30),Controls_Raw!R1232&lt;&gt;"Completed",Controls_Raw!R1232&lt;&gt;"Not Required"),"Overdue","OK")</f>
        <v>OK</v>
      </c>
      <c r="I1232" t="str">
        <f t="shared" si="19"/>
        <v>Issue</v>
      </c>
    </row>
    <row r="1233" spans="1:9" x14ac:dyDescent="0.2">
      <c r="A1233" t="str">
        <f>Controls_Raw!A1233</f>
        <v>CTRL-1229</v>
      </c>
      <c r="B1233" t="str">
        <f>IF(COUNTIF(Controls_Raw!$A$5:$A$1504,A1233)&gt;1,"Duplicate","OK")</f>
        <v>OK</v>
      </c>
      <c r="C1233" t="str">
        <f>IF(LEN(TRIM(Controls_Raw!I1233))=0,"Missing","OK")</f>
        <v>OK</v>
      </c>
      <c r="D1233" t="str">
        <f>IF(LEN(TRIM(Controls_Raw!N1233))=0,"Missing","OK")</f>
        <v>OK</v>
      </c>
      <c r="E1233" t="str">
        <f>IF(OR(Controls_Raw!G1233="USA",Controls_Raw!G1233="UK"),"Standardize","OK")</f>
        <v>OK</v>
      </c>
      <c r="F1233" t="str">
        <f>IF(Controls_Raw!E1233&lt;&gt;TRIM(Controls_Raw!E1233),"Trim","OK")</f>
        <v>OK</v>
      </c>
      <c r="G1233" t="str">
        <f>IF(AND(Controls_Raw!L1233&lt;DATE(2026,9,30),Controls_Raw!M1233&lt;&gt;"Completed"),"Overdue","OK")</f>
        <v>Overdue</v>
      </c>
      <c r="H1233" t="str">
        <f>IF(AND(Controls_Raw!Q1233&lt;DATE(2026,9,30),Controls_Raw!R1233&lt;&gt;"Completed",Controls_Raw!R1233&lt;&gt;"Not Required"),"Overdue","OK")</f>
        <v>OK</v>
      </c>
      <c r="I1233" t="str">
        <f t="shared" si="19"/>
        <v>Issue</v>
      </c>
    </row>
    <row r="1234" spans="1:9" x14ac:dyDescent="0.2">
      <c r="A1234" t="str">
        <f>Controls_Raw!A1234</f>
        <v>CTRL-1230</v>
      </c>
      <c r="B1234" t="str">
        <f>IF(COUNTIF(Controls_Raw!$A$5:$A$1504,A1234)&gt;1,"Duplicate","OK")</f>
        <v>OK</v>
      </c>
      <c r="C1234" t="str">
        <f>IF(LEN(TRIM(Controls_Raw!I1234))=0,"Missing","OK")</f>
        <v>OK</v>
      </c>
      <c r="D1234" t="str">
        <f>IF(LEN(TRIM(Controls_Raw!N1234))=0,"Missing","OK")</f>
        <v>OK</v>
      </c>
      <c r="E1234" t="str">
        <f>IF(OR(Controls_Raw!G1234="USA",Controls_Raw!G1234="UK"),"Standardize","OK")</f>
        <v>OK</v>
      </c>
      <c r="F1234" t="str">
        <f>IF(Controls_Raw!E1234&lt;&gt;TRIM(Controls_Raw!E1234),"Trim","OK")</f>
        <v>OK</v>
      </c>
      <c r="G1234" t="str">
        <f>IF(AND(Controls_Raw!L1234&lt;DATE(2026,9,30),Controls_Raw!M1234&lt;&gt;"Completed"),"Overdue","OK")</f>
        <v>Overdue</v>
      </c>
      <c r="H1234" t="str">
        <f>IF(AND(Controls_Raw!Q1234&lt;DATE(2026,9,30),Controls_Raw!R1234&lt;&gt;"Completed",Controls_Raw!R1234&lt;&gt;"Not Required"),"Overdue","OK")</f>
        <v>Overdue</v>
      </c>
      <c r="I1234" t="str">
        <f t="shared" si="19"/>
        <v>Issue</v>
      </c>
    </row>
    <row r="1235" spans="1:9" x14ac:dyDescent="0.2">
      <c r="A1235" t="str">
        <f>Controls_Raw!A1235</f>
        <v>CTRL-1231</v>
      </c>
      <c r="B1235" t="str">
        <f>IF(COUNTIF(Controls_Raw!$A$5:$A$1504,A1235)&gt;1,"Duplicate","OK")</f>
        <v>OK</v>
      </c>
      <c r="C1235" t="str">
        <f>IF(LEN(TRIM(Controls_Raw!I1235))=0,"Missing","OK")</f>
        <v>OK</v>
      </c>
      <c r="D1235" t="str">
        <f>IF(LEN(TRIM(Controls_Raw!N1235))=0,"Missing","OK")</f>
        <v>OK</v>
      </c>
      <c r="E1235" t="str">
        <f>IF(OR(Controls_Raw!G1235="USA",Controls_Raw!G1235="UK"),"Standardize","OK")</f>
        <v>OK</v>
      </c>
      <c r="F1235" t="str">
        <f>IF(Controls_Raw!E1235&lt;&gt;TRIM(Controls_Raw!E1235),"Trim","OK")</f>
        <v>OK</v>
      </c>
      <c r="G1235" t="str">
        <f>IF(AND(Controls_Raw!L1235&lt;DATE(2026,9,30),Controls_Raw!M1235&lt;&gt;"Completed"),"Overdue","OK")</f>
        <v>OK</v>
      </c>
      <c r="H1235" t="str">
        <f>IF(AND(Controls_Raw!Q1235&lt;DATE(2026,9,30),Controls_Raw!R1235&lt;&gt;"Completed",Controls_Raw!R1235&lt;&gt;"Not Required"),"Overdue","OK")</f>
        <v>Overdue</v>
      </c>
      <c r="I1235" t="str">
        <f t="shared" si="19"/>
        <v>Issue</v>
      </c>
    </row>
    <row r="1236" spans="1:9" x14ac:dyDescent="0.2">
      <c r="A1236" t="str">
        <f>Controls_Raw!A1236</f>
        <v>CTRL-1232</v>
      </c>
      <c r="B1236" t="str">
        <f>IF(COUNTIF(Controls_Raw!$A$5:$A$1504,A1236)&gt;1,"Duplicate","OK")</f>
        <v>OK</v>
      </c>
      <c r="C1236" t="str">
        <f>IF(LEN(TRIM(Controls_Raw!I1236))=0,"Missing","OK")</f>
        <v>OK</v>
      </c>
      <c r="D1236" t="str">
        <f>IF(LEN(TRIM(Controls_Raw!N1236))=0,"Missing","OK")</f>
        <v>OK</v>
      </c>
      <c r="E1236" t="str">
        <f>IF(OR(Controls_Raw!G1236="USA",Controls_Raw!G1236="UK"),"Standardize","OK")</f>
        <v>OK</v>
      </c>
      <c r="F1236" t="str">
        <f>IF(Controls_Raw!E1236&lt;&gt;TRIM(Controls_Raw!E1236),"Trim","OK")</f>
        <v>OK</v>
      </c>
      <c r="G1236" t="str">
        <f>IF(AND(Controls_Raw!L1236&lt;DATE(2026,9,30),Controls_Raw!M1236&lt;&gt;"Completed"),"Overdue","OK")</f>
        <v>OK</v>
      </c>
      <c r="H1236" t="str">
        <f>IF(AND(Controls_Raw!Q1236&lt;DATE(2026,9,30),Controls_Raw!R1236&lt;&gt;"Completed",Controls_Raw!R1236&lt;&gt;"Not Required"),"Overdue","OK")</f>
        <v>OK</v>
      </c>
      <c r="I1236" t="str">
        <f t="shared" si="19"/>
        <v>Pass</v>
      </c>
    </row>
    <row r="1237" spans="1:9" x14ac:dyDescent="0.2">
      <c r="A1237" t="str">
        <f>Controls_Raw!A1237</f>
        <v>CTRL-1233</v>
      </c>
      <c r="B1237" t="str">
        <f>IF(COUNTIF(Controls_Raw!$A$5:$A$1504,A1237)&gt;1,"Duplicate","OK")</f>
        <v>OK</v>
      </c>
      <c r="C1237" t="str">
        <f>IF(LEN(TRIM(Controls_Raw!I1237))=0,"Missing","OK")</f>
        <v>OK</v>
      </c>
      <c r="D1237" t="str">
        <f>IF(LEN(TRIM(Controls_Raw!N1237))=0,"Missing","OK")</f>
        <v>OK</v>
      </c>
      <c r="E1237" t="str">
        <f>IF(OR(Controls_Raw!G1237="USA",Controls_Raw!G1237="UK"),"Standardize","OK")</f>
        <v>OK</v>
      </c>
      <c r="F1237" t="str">
        <f>IF(Controls_Raw!E1237&lt;&gt;TRIM(Controls_Raw!E1237),"Trim","OK")</f>
        <v>OK</v>
      </c>
      <c r="G1237" t="str">
        <f>IF(AND(Controls_Raw!L1237&lt;DATE(2026,9,30),Controls_Raw!M1237&lt;&gt;"Completed"),"Overdue","OK")</f>
        <v>OK</v>
      </c>
      <c r="H1237" t="str">
        <f>IF(AND(Controls_Raw!Q1237&lt;DATE(2026,9,30),Controls_Raw!R1237&lt;&gt;"Completed",Controls_Raw!R1237&lt;&gt;"Not Required"),"Overdue","OK")</f>
        <v>OK</v>
      </c>
      <c r="I1237" t="str">
        <f t="shared" si="19"/>
        <v>Pass</v>
      </c>
    </row>
    <row r="1238" spans="1:9" x14ac:dyDescent="0.2">
      <c r="A1238" t="str">
        <f>Controls_Raw!A1238</f>
        <v>CTRL-1234</v>
      </c>
      <c r="B1238" t="str">
        <f>IF(COUNTIF(Controls_Raw!$A$5:$A$1504,A1238)&gt;1,"Duplicate","OK")</f>
        <v>OK</v>
      </c>
      <c r="C1238" t="str">
        <f>IF(LEN(TRIM(Controls_Raw!I1238))=0,"Missing","OK")</f>
        <v>OK</v>
      </c>
      <c r="D1238" t="str">
        <f>IF(LEN(TRIM(Controls_Raw!N1238))=0,"Missing","OK")</f>
        <v>OK</v>
      </c>
      <c r="E1238" t="str">
        <f>IF(OR(Controls_Raw!G1238="USA",Controls_Raw!G1238="UK"),"Standardize","OK")</f>
        <v>OK</v>
      </c>
      <c r="F1238" t="str">
        <f>IF(Controls_Raw!E1238&lt;&gt;TRIM(Controls_Raw!E1238),"Trim","OK")</f>
        <v>OK</v>
      </c>
      <c r="G1238" t="str">
        <f>IF(AND(Controls_Raw!L1238&lt;DATE(2026,9,30),Controls_Raw!M1238&lt;&gt;"Completed"),"Overdue","OK")</f>
        <v>OK</v>
      </c>
      <c r="H1238" t="str">
        <f>IF(AND(Controls_Raw!Q1238&lt;DATE(2026,9,30),Controls_Raw!R1238&lt;&gt;"Completed",Controls_Raw!R1238&lt;&gt;"Not Required"),"Overdue","OK")</f>
        <v>OK</v>
      </c>
      <c r="I1238" t="str">
        <f t="shared" si="19"/>
        <v>Pass</v>
      </c>
    </row>
    <row r="1239" spans="1:9" x14ac:dyDescent="0.2">
      <c r="A1239" t="str">
        <f>Controls_Raw!A1239</f>
        <v>CTRL-1235</v>
      </c>
      <c r="B1239" t="str">
        <f>IF(COUNTIF(Controls_Raw!$A$5:$A$1504,A1239)&gt;1,"Duplicate","OK")</f>
        <v>OK</v>
      </c>
      <c r="C1239" t="str">
        <f>IF(LEN(TRIM(Controls_Raw!I1239))=0,"Missing","OK")</f>
        <v>OK</v>
      </c>
      <c r="D1239" t="str">
        <f>IF(LEN(TRIM(Controls_Raw!N1239))=0,"Missing","OK")</f>
        <v>OK</v>
      </c>
      <c r="E1239" t="str">
        <f>IF(OR(Controls_Raw!G1239="USA",Controls_Raw!G1239="UK"),"Standardize","OK")</f>
        <v>OK</v>
      </c>
      <c r="F1239" t="str">
        <f>IF(Controls_Raw!E1239&lt;&gt;TRIM(Controls_Raw!E1239),"Trim","OK")</f>
        <v>OK</v>
      </c>
      <c r="G1239" t="str">
        <f>IF(AND(Controls_Raw!L1239&lt;DATE(2026,9,30),Controls_Raw!M1239&lt;&gt;"Completed"),"Overdue","OK")</f>
        <v>Overdue</v>
      </c>
      <c r="H1239" t="str">
        <f>IF(AND(Controls_Raw!Q1239&lt;DATE(2026,9,30),Controls_Raw!R1239&lt;&gt;"Completed",Controls_Raw!R1239&lt;&gt;"Not Required"),"Overdue","OK")</f>
        <v>OK</v>
      </c>
      <c r="I1239" t="str">
        <f t="shared" si="19"/>
        <v>Issue</v>
      </c>
    </row>
    <row r="1240" spans="1:9" x14ac:dyDescent="0.2">
      <c r="A1240" t="str">
        <f>Controls_Raw!A1240</f>
        <v>CTRL-1236</v>
      </c>
      <c r="B1240" t="str">
        <f>IF(COUNTIF(Controls_Raw!$A$5:$A$1504,A1240)&gt;1,"Duplicate","OK")</f>
        <v>OK</v>
      </c>
      <c r="C1240" t="str">
        <f>IF(LEN(TRIM(Controls_Raw!I1240))=0,"Missing","OK")</f>
        <v>OK</v>
      </c>
      <c r="D1240" t="str">
        <f>IF(LEN(TRIM(Controls_Raw!N1240))=0,"Missing","OK")</f>
        <v>OK</v>
      </c>
      <c r="E1240" t="str">
        <f>IF(OR(Controls_Raw!G1240="USA",Controls_Raw!G1240="UK"),"Standardize","OK")</f>
        <v>OK</v>
      </c>
      <c r="F1240" t="str">
        <f>IF(Controls_Raw!E1240&lt;&gt;TRIM(Controls_Raw!E1240),"Trim","OK")</f>
        <v>OK</v>
      </c>
      <c r="G1240" t="str">
        <f>IF(AND(Controls_Raw!L1240&lt;DATE(2026,9,30),Controls_Raw!M1240&lt;&gt;"Completed"),"Overdue","OK")</f>
        <v>Overdue</v>
      </c>
      <c r="H1240" t="str">
        <f>IF(AND(Controls_Raw!Q1240&lt;DATE(2026,9,30),Controls_Raw!R1240&lt;&gt;"Completed",Controls_Raw!R1240&lt;&gt;"Not Required"),"Overdue","OK")</f>
        <v>Overdue</v>
      </c>
      <c r="I1240" t="str">
        <f t="shared" si="19"/>
        <v>Issue</v>
      </c>
    </row>
    <row r="1241" spans="1:9" x14ac:dyDescent="0.2">
      <c r="A1241" t="str">
        <f>Controls_Raw!A1241</f>
        <v>CTRL-1237</v>
      </c>
      <c r="B1241" t="str">
        <f>IF(COUNTIF(Controls_Raw!$A$5:$A$1504,A1241)&gt;1,"Duplicate","OK")</f>
        <v>OK</v>
      </c>
      <c r="C1241" t="str">
        <f>IF(LEN(TRIM(Controls_Raw!I1241))=0,"Missing","OK")</f>
        <v>OK</v>
      </c>
      <c r="D1241" t="str">
        <f>IF(LEN(TRIM(Controls_Raw!N1241))=0,"Missing","OK")</f>
        <v>OK</v>
      </c>
      <c r="E1241" t="str">
        <f>IF(OR(Controls_Raw!G1241="USA",Controls_Raw!G1241="UK"),"Standardize","OK")</f>
        <v>OK</v>
      </c>
      <c r="F1241" t="str">
        <f>IF(Controls_Raw!E1241&lt;&gt;TRIM(Controls_Raw!E1241),"Trim","OK")</f>
        <v>OK</v>
      </c>
      <c r="G1241" t="str">
        <f>IF(AND(Controls_Raw!L1241&lt;DATE(2026,9,30),Controls_Raw!M1241&lt;&gt;"Completed"),"Overdue","OK")</f>
        <v>OK</v>
      </c>
      <c r="H1241" t="str">
        <f>IF(AND(Controls_Raw!Q1241&lt;DATE(2026,9,30),Controls_Raw!R1241&lt;&gt;"Completed",Controls_Raw!R1241&lt;&gt;"Not Required"),"Overdue","OK")</f>
        <v>OK</v>
      </c>
      <c r="I1241" t="str">
        <f t="shared" si="19"/>
        <v>Pass</v>
      </c>
    </row>
    <row r="1242" spans="1:9" x14ac:dyDescent="0.2">
      <c r="A1242" t="str">
        <f>Controls_Raw!A1242</f>
        <v>CTRL-1238</v>
      </c>
      <c r="B1242" t="str">
        <f>IF(COUNTIF(Controls_Raw!$A$5:$A$1504,A1242)&gt;1,"Duplicate","OK")</f>
        <v>OK</v>
      </c>
      <c r="C1242" t="str">
        <f>IF(LEN(TRIM(Controls_Raw!I1242))=0,"Missing","OK")</f>
        <v>OK</v>
      </c>
      <c r="D1242" t="str">
        <f>IF(LEN(TRIM(Controls_Raw!N1242))=0,"Missing","OK")</f>
        <v>OK</v>
      </c>
      <c r="E1242" t="str">
        <f>IF(OR(Controls_Raw!G1242="USA",Controls_Raw!G1242="UK"),"Standardize","OK")</f>
        <v>OK</v>
      </c>
      <c r="F1242" t="str">
        <f>IF(Controls_Raw!E1242&lt;&gt;TRIM(Controls_Raw!E1242),"Trim","OK")</f>
        <v>OK</v>
      </c>
      <c r="G1242" t="str">
        <f>IF(AND(Controls_Raw!L1242&lt;DATE(2026,9,30),Controls_Raw!M1242&lt;&gt;"Completed"),"Overdue","OK")</f>
        <v>OK</v>
      </c>
      <c r="H1242" t="str">
        <f>IF(AND(Controls_Raw!Q1242&lt;DATE(2026,9,30),Controls_Raw!R1242&lt;&gt;"Completed",Controls_Raw!R1242&lt;&gt;"Not Required"),"Overdue","OK")</f>
        <v>OK</v>
      </c>
      <c r="I1242" t="str">
        <f t="shared" si="19"/>
        <v>Pass</v>
      </c>
    </row>
    <row r="1243" spans="1:9" x14ac:dyDescent="0.2">
      <c r="A1243" t="str">
        <f>Controls_Raw!A1243</f>
        <v>CTRL-1239</v>
      </c>
      <c r="B1243" t="str">
        <f>IF(COUNTIF(Controls_Raw!$A$5:$A$1504,A1243)&gt;1,"Duplicate","OK")</f>
        <v>OK</v>
      </c>
      <c r="C1243" t="str">
        <f>IF(LEN(TRIM(Controls_Raw!I1243))=0,"Missing","OK")</f>
        <v>OK</v>
      </c>
      <c r="D1243" t="str">
        <f>IF(LEN(TRIM(Controls_Raw!N1243))=0,"Missing","OK")</f>
        <v>OK</v>
      </c>
      <c r="E1243" t="str">
        <f>IF(OR(Controls_Raw!G1243="USA",Controls_Raw!G1243="UK"),"Standardize","OK")</f>
        <v>OK</v>
      </c>
      <c r="F1243" t="str">
        <f>IF(Controls_Raw!E1243&lt;&gt;TRIM(Controls_Raw!E1243),"Trim","OK")</f>
        <v>OK</v>
      </c>
      <c r="G1243" t="str">
        <f>IF(AND(Controls_Raw!L1243&lt;DATE(2026,9,30),Controls_Raw!M1243&lt;&gt;"Completed"),"Overdue","OK")</f>
        <v>Overdue</v>
      </c>
      <c r="H1243" t="str">
        <f>IF(AND(Controls_Raw!Q1243&lt;DATE(2026,9,30),Controls_Raw!R1243&lt;&gt;"Completed",Controls_Raw!R1243&lt;&gt;"Not Required"),"Overdue","OK")</f>
        <v>Overdue</v>
      </c>
      <c r="I1243" t="str">
        <f t="shared" si="19"/>
        <v>Issue</v>
      </c>
    </row>
    <row r="1244" spans="1:9" x14ac:dyDescent="0.2">
      <c r="A1244" t="str">
        <f>Controls_Raw!A1244</f>
        <v>CTRL-1240</v>
      </c>
      <c r="B1244" t="str">
        <f>IF(COUNTIF(Controls_Raw!$A$5:$A$1504,A1244)&gt;1,"Duplicate","OK")</f>
        <v>OK</v>
      </c>
      <c r="C1244" t="str">
        <f>IF(LEN(TRIM(Controls_Raw!I1244))=0,"Missing","OK")</f>
        <v>OK</v>
      </c>
      <c r="D1244" t="str">
        <f>IF(LEN(TRIM(Controls_Raw!N1244))=0,"Missing","OK")</f>
        <v>OK</v>
      </c>
      <c r="E1244" t="str">
        <f>IF(OR(Controls_Raw!G1244="USA",Controls_Raw!G1244="UK"),"Standardize","OK")</f>
        <v>OK</v>
      </c>
      <c r="F1244" t="str">
        <f>IF(Controls_Raw!E1244&lt;&gt;TRIM(Controls_Raw!E1244),"Trim","OK")</f>
        <v>OK</v>
      </c>
      <c r="G1244" t="str">
        <f>IF(AND(Controls_Raw!L1244&lt;DATE(2026,9,30),Controls_Raw!M1244&lt;&gt;"Completed"),"Overdue","OK")</f>
        <v>Overdue</v>
      </c>
      <c r="H1244" t="str">
        <f>IF(AND(Controls_Raw!Q1244&lt;DATE(2026,9,30),Controls_Raw!R1244&lt;&gt;"Completed",Controls_Raw!R1244&lt;&gt;"Not Required"),"Overdue","OK")</f>
        <v>OK</v>
      </c>
      <c r="I1244" t="str">
        <f t="shared" si="19"/>
        <v>Issue</v>
      </c>
    </row>
    <row r="1245" spans="1:9" x14ac:dyDescent="0.2">
      <c r="A1245" t="str">
        <f>Controls_Raw!A1245</f>
        <v>CTRL-1241</v>
      </c>
      <c r="B1245" t="str">
        <f>IF(COUNTIF(Controls_Raw!$A$5:$A$1504,A1245)&gt;1,"Duplicate","OK")</f>
        <v>OK</v>
      </c>
      <c r="C1245" t="str">
        <f>IF(LEN(TRIM(Controls_Raw!I1245))=0,"Missing","OK")</f>
        <v>OK</v>
      </c>
      <c r="D1245" t="str">
        <f>IF(LEN(TRIM(Controls_Raw!N1245))=0,"Missing","OK")</f>
        <v>OK</v>
      </c>
      <c r="E1245" t="str">
        <f>IF(OR(Controls_Raw!G1245="USA",Controls_Raw!G1245="UK"),"Standardize","OK")</f>
        <v>OK</v>
      </c>
      <c r="F1245" t="str">
        <f>IF(Controls_Raw!E1245&lt;&gt;TRIM(Controls_Raw!E1245),"Trim","OK")</f>
        <v>OK</v>
      </c>
      <c r="G1245" t="str">
        <f>IF(AND(Controls_Raw!L1245&lt;DATE(2026,9,30),Controls_Raw!M1245&lt;&gt;"Completed"),"Overdue","OK")</f>
        <v>Overdue</v>
      </c>
      <c r="H1245" t="str">
        <f>IF(AND(Controls_Raw!Q1245&lt;DATE(2026,9,30),Controls_Raw!R1245&lt;&gt;"Completed",Controls_Raw!R1245&lt;&gt;"Not Required"),"Overdue","OK")</f>
        <v>OK</v>
      </c>
      <c r="I1245" t="str">
        <f t="shared" si="19"/>
        <v>Issue</v>
      </c>
    </row>
    <row r="1246" spans="1:9" x14ac:dyDescent="0.2">
      <c r="A1246" t="str">
        <f>Controls_Raw!A1246</f>
        <v>CTRL-1242</v>
      </c>
      <c r="B1246" t="str">
        <f>IF(COUNTIF(Controls_Raw!$A$5:$A$1504,A1246)&gt;1,"Duplicate","OK")</f>
        <v>OK</v>
      </c>
      <c r="C1246" t="str">
        <f>IF(LEN(TRIM(Controls_Raw!I1246))=0,"Missing","OK")</f>
        <v>OK</v>
      </c>
      <c r="D1246" t="str">
        <f>IF(LEN(TRIM(Controls_Raw!N1246))=0,"Missing","OK")</f>
        <v>OK</v>
      </c>
      <c r="E1246" t="str">
        <f>IF(OR(Controls_Raw!G1246="USA",Controls_Raw!G1246="UK"),"Standardize","OK")</f>
        <v>OK</v>
      </c>
      <c r="F1246" t="str">
        <f>IF(Controls_Raw!E1246&lt;&gt;TRIM(Controls_Raw!E1246),"Trim","OK")</f>
        <v>Trim</v>
      </c>
      <c r="G1246" t="str">
        <f>IF(AND(Controls_Raw!L1246&lt;DATE(2026,9,30),Controls_Raw!M1246&lt;&gt;"Completed"),"Overdue","OK")</f>
        <v>OK</v>
      </c>
      <c r="H1246" t="str">
        <f>IF(AND(Controls_Raw!Q1246&lt;DATE(2026,9,30),Controls_Raw!R1246&lt;&gt;"Completed",Controls_Raw!R1246&lt;&gt;"Not Required"),"Overdue","OK")</f>
        <v>OK</v>
      </c>
      <c r="I1246" t="str">
        <f t="shared" si="19"/>
        <v>Issue</v>
      </c>
    </row>
    <row r="1247" spans="1:9" x14ac:dyDescent="0.2">
      <c r="A1247" t="str">
        <f>Controls_Raw!A1247</f>
        <v>CTRL-1243</v>
      </c>
      <c r="B1247" t="str">
        <f>IF(COUNTIF(Controls_Raw!$A$5:$A$1504,A1247)&gt;1,"Duplicate","OK")</f>
        <v>OK</v>
      </c>
      <c r="C1247" t="str">
        <f>IF(LEN(TRIM(Controls_Raw!I1247))=0,"Missing","OK")</f>
        <v>OK</v>
      </c>
      <c r="D1247" t="str">
        <f>IF(LEN(TRIM(Controls_Raw!N1247))=0,"Missing","OK")</f>
        <v>OK</v>
      </c>
      <c r="E1247" t="str">
        <f>IF(OR(Controls_Raw!G1247="USA",Controls_Raw!G1247="UK"),"Standardize","OK")</f>
        <v>OK</v>
      </c>
      <c r="F1247" t="str">
        <f>IF(Controls_Raw!E1247&lt;&gt;TRIM(Controls_Raw!E1247),"Trim","OK")</f>
        <v>OK</v>
      </c>
      <c r="G1247" t="str">
        <f>IF(AND(Controls_Raw!L1247&lt;DATE(2026,9,30),Controls_Raw!M1247&lt;&gt;"Completed"),"Overdue","OK")</f>
        <v>OK</v>
      </c>
      <c r="H1247" t="str">
        <f>IF(AND(Controls_Raw!Q1247&lt;DATE(2026,9,30),Controls_Raw!R1247&lt;&gt;"Completed",Controls_Raw!R1247&lt;&gt;"Not Required"),"Overdue","OK")</f>
        <v>OK</v>
      </c>
      <c r="I1247" t="str">
        <f t="shared" si="19"/>
        <v>Pass</v>
      </c>
    </row>
    <row r="1248" spans="1:9" x14ac:dyDescent="0.2">
      <c r="A1248" t="str">
        <f>Controls_Raw!A1248</f>
        <v>CTRL-1244</v>
      </c>
      <c r="B1248" t="str">
        <f>IF(COUNTIF(Controls_Raw!$A$5:$A$1504,A1248)&gt;1,"Duplicate","OK")</f>
        <v>OK</v>
      </c>
      <c r="C1248" t="str">
        <f>IF(LEN(TRIM(Controls_Raw!I1248))=0,"Missing","OK")</f>
        <v>OK</v>
      </c>
      <c r="D1248" t="str">
        <f>IF(LEN(TRIM(Controls_Raw!N1248))=0,"Missing","OK")</f>
        <v>OK</v>
      </c>
      <c r="E1248" t="str">
        <f>IF(OR(Controls_Raw!G1248="USA",Controls_Raw!G1248="UK"),"Standardize","OK")</f>
        <v>OK</v>
      </c>
      <c r="F1248" t="str">
        <f>IF(Controls_Raw!E1248&lt;&gt;TRIM(Controls_Raw!E1248),"Trim","OK")</f>
        <v>OK</v>
      </c>
      <c r="G1248" t="str">
        <f>IF(AND(Controls_Raw!L1248&lt;DATE(2026,9,30),Controls_Raw!M1248&lt;&gt;"Completed"),"Overdue","OK")</f>
        <v>OK</v>
      </c>
      <c r="H1248" t="str">
        <f>IF(AND(Controls_Raw!Q1248&lt;DATE(2026,9,30),Controls_Raw!R1248&lt;&gt;"Completed",Controls_Raw!R1248&lt;&gt;"Not Required"),"Overdue","OK")</f>
        <v>OK</v>
      </c>
      <c r="I1248" t="str">
        <f t="shared" si="19"/>
        <v>Pass</v>
      </c>
    </row>
    <row r="1249" spans="1:9" x14ac:dyDescent="0.2">
      <c r="A1249" t="str">
        <f>Controls_Raw!A1249</f>
        <v>CTRL-1245</v>
      </c>
      <c r="B1249" t="str">
        <f>IF(COUNTIF(Controls_Raw!$A$5:$A$1504,A1249)&gt;1,"Duplicate","OK")</f>
        <v>OK</v>
      </c>
      <c r="C1249" t="str">
        <f>IF(LEN(TRIM(Controls_Raw!I1249))=0,"Missing","OK")</f>
        <v>OK</v>
      </c>
      <c r="D1249" t="str">
        <f>IF(LEN(TRIM(Controls_Raw!N1249))=0,"Missing","OK")</f>
        <v>OK</v>
      </c>
      <c r="E1249" t="str">
        <f>IF(OR(Controls_Raw!G1249="USA",Controls_Raw!G1249="UK"),"Standardize","OK")</f>
        <v>OK</v>
      </c>
      <c r="F1249" t="str">
        <f>IF(Controls_Raw!E1249&lt;&gt;TRIM(Controls_Raw!E1249),"Trim","OK")</f>
        <v>OK</v>
      </c>
      <c r="G1249" t="str">
        <f>IF(AND(Controls_Raw!L1249&lt;DATE(2026,9,30),Controls_Raw!M1249&lt;&gt;"Completed"),"Overdue","OK")</f>
        <v>Overdue</v>
      </c>
      <c r="H1249" t="str">
        <f>IF(AND(Controls_Raw!Q1249&lt;DATE(2026,9,30),Controls_Raw!R1249&lt;&gt;"Completed",Controls_Raw!R1249&lt;&gt;"Not Required"),"Overdue","OK")</f>
        <v>Overdue</v>
      </c>
      <c r="I1249" t="str">
        <f t="shared" si="19"/>
        <v>Issue</v>
      </c>
    </row>
    <row r="1250" spans="1:9" x14ac:dyDescent="0.2">
      <c r="A1250" t="str">
        <f>Controls_Raw!A1250</f>
        <v>CTRL-1246</v>
      </c>
      <c r="B1250" t="str">
        <f>IF(COUNTIF(Controls_Raw!$A$5:$A$1504,A1250)&gt;1,"Duplicate","OK")</f>
        <v>OK</v>
      </c>
      <c r="C1250" t="str">
        <f>IF(LEN(TRIM(Controls_Raw!I1250))=0,"Missing","OK")</f>
        <v>OK</v>
      </c>
      <c r="D1250" t="str">
        <f>IF(LEN(TRIM(Controls_Raw!N1250))=0,"Missing","OK")</f>
        <v>Missing</v>
      </c>
      <c r="E1250" t="str">
        <f>IF(OR(Controls_Raw!G1250="USA",Controls_Raw!G1250="UK"),"Standardize","OK")</f>
        <v>OK</v>
      </c>
      <c r="F1250" t="str">
        <f>IF(Controls_Raw!E1250&lt;&gt;TRIM(Controls_Raw!E1250),"Trim","OK")</f>
        <v>OK</v>
      </c>
      <c r="G1250" t="str">
        <f>IF(AND(Controls_Raw!L1250&lt;DATE(2026,9,30),Controls_Raw!M1250&lt;&gt;"Completed"),"Overdue","OK")</f>
        <v>Overdue</v>
      </c>
      <c r="H1250" t="str">
        <f>IF(AND(Controls_Raw!Q1250&lt;DATE(2026,9,30),Controls_Raw!R1250&lt;&gt;"Completed",Controls_Raw!R1250&lt;&gt;"Not Required"),"Overdue","OK")</f>
        <v>OK</v>
      </c>
      <c r="I1250" t="str">
        <f t="shared" si="19"/>
        <v>Issue</v>
      </c>
    </row>
    <row r="1251" spans="1:9" x14ac:dyDescent="0.2">
      <c r="A1251" t="str">
        <f>Controls_Raw!A1251</f>
        <v>CTRL-1247</v>
      </c>
      <c r="B1251" t="str">
        <f>IF(COUNTIF(Controls_Raw!$A$5:$A$1504,A1251)&gt;1,"Duplicate","OK")</f>
        <v>OK</v>
      </c>
      <c r="C1251" t="str">
        <f>IF(LEN(TRIM(Controls_Raw!I1251))=0,"Missing","OK")</f>
        <v>OK</v>
      </c>
      <c r="D1251" t="str">
        <f>IF(LEN(TRIM(Controls_Raw!N1251))=0,"Missing","OK")</f>
        <v>OK</v>
      </c>
      <c r="E1251" t="str">
        <f>IF(OR(Controls_Raw!G1251="USA",Controls_Raw!G1251="UK"),"Standardize","OK")</f>
        <v>OK</v>
      </c>
      <c r="F1251" t="str">
        <f>IF(Controls_Raw!E1251&lt;&gt;TRIM(Controls_Raw!E1251),"Trim","OK")</f>
        <v>OK</v>
      </c>
      <c r="G1251" t="str">
        <f>IF(AND(Controls_Raw!L1251&lt;DATE(2026,9,30),Controls_Raw!M1251&lt;&gt;"Completed"),"Overdue","OK")</f>
        <v>Overdue</v>
      </c>
      <c r="H1251" t="str">
        <f>IF(AND(Controls_Raw!Q1251&lt;DATE(2026,9,30),Controls_Raw!R1251&lt;&gt;"Completed",Controls_Raw!R1251&lt;&gt;"Not Required"),"Overdue","OK")</f>
        <v>Overdue</v>
      </c>
      <c r="I1251" t="str">
        <f t="shared" si="19"/>
        <v>Issue</v>
      </c>
    </row>
    <row r="1252" spans="1:9" x14ac:dyDescent="0.2">
      <c r="A1252" t="str">
        <f>Controls_Raw!A1252</f>
        <v>CTRL-1248</v>
      </c>
      <c r="B1252" t="str">
        <f>IF(COUNTIF(Controls_Raw!$A$5:$A$1504,A1252)&gt;1,"Duplicate","OK")</f>
        <v>OK</v>
      </c>
      <c r="C1252" t="str">
        <f>IF(LEN(TRIM(Controls_Raw!I1252))=0,"Missing","OK")</f>
        <v>OK</v>
      </c>
      <c r="D1252" t="str">
        <f>IF(LEN(TRIM(Controls_Raw!N1252))=0,"Missing","OK")</f>
        <v>OK</v>
      </c>
      <c r="E1252" t="str">
        <f>IF(OR(Controls_Raw!G1252="USA",Controls_Raw!G1252="UK"),"Standardize","OK")</f>
        <v>OK</v>
      </c>
      <c r="F1252" t="str">
        <f>IF(Controls_Raw!E1252&lt;&gt;TRIM(Controls_Raw!E1252),"Trim","OK")</f>
        <v>OK</v>
      </c>
      <c r="G1252" t="str">
        <f>IF(AND(Controls_Raw!L1252&lt;DATE(2026,9,30),Controls_Raw!M1252&lt;&gt;"Completed"),"Overdue","OK")</f>
        <v>OK</v>
      </c>
      <c r="H1252" t="str">
        <f>IF(AND(Controls_Raw!Q1252&lt;DATE(2026,9,30),Controls_Raw!R1252&lt;&gt;"Completed",Controls_Raw!R1252&lt;&gt;"Not Required"),"Overdue","OK")</f>
        <v>OK</v>
      </c>
      <c r="I1252" t="str">
        <f t="shared" si="19"/>
        <v>Pass</v>
      </c>
    </row>
    <row r="1253" spans="1:9" x14ac:dyDescent="0.2">
      <c r="A1253" t="str">
        <f>Controls_Raw!A1253</f>
        <v>CTRL-1249</v>
      </c>
      <c r="B1253" t="str">
        <f>IF(COUNTIF(Controls_Raw!$A$5:$A$1504,A1253)&gt;1,"Duplicate","OK")</f>
        <v>OK</v>
      </c>
      <c r="C1253" t="str">
        <f>IF(LEN(TRIM(Controls_Raw!I1253))=0,"Missing","OK")</f>
        <v>OK</v>
      </c>
      <c r="D1253" t="str">
        <f>IF(LEN(TRIM(Controls_Raw!N1253))=0,"Missing","OK")</f>
        <v>OK</v>
      </c>
      <c r="E1253" t="str">
        <f>IF(OR(Controls_Raw!G1253="USA",Controls_Raw!G1253="UK"),"Standardize","OK")</f>
        <v>OK</v>
      </c>
      <c r="F1253" t="str">
        <f>IF(Controls_Raw!E1253&lt;&gt;TRIM(Controls_Raw!E1253),"Trim","OK")</f>
        <v>OK</v>
      </c>
      <c r="G1253" t="str">
        <f>IF(AND(Controls_Raw!L1253&lt;DATE(2026,9,30),Controls_Raw!M1253&lt;&gt;"Completed"),"Overdue","OK")</f>
        <v>OK</v>
      </c>
      <c r="H1253" t="str">
        <f>IF(AND(Controls_Raw!Q1253&lt;DATE(2026,9,30),Controls_Raw!R1253&lt;&gt;"Completed",Controls_Raw!R1253&lt;&gt;"Not Required"),"Overdue","OK")</f>
        <v>OK</v>
      </c>
      <c r="I1253" t="str">
        <f t="shared" si="19"/>
        <v>Pass</v>
      </c>
    </row>
    <row r="1254" spans="1:9" x14ac:dyDescent="0.2">
      <c r="A1254" t="str">
        <f>Controls_Raw!A1254</f>
        <v>CTRL-1250</v>
      </c>
      <c r="B1254" t="str">
        <f>IF(COUNTIF(Controls_Raw!$A$5:$A$1504,A1254)&gt;1,"Duplicate","OK")</f>
        <v>OK</v>
      </c>
      <c r="C1254" t="str">
        <f>IF(LEN(TRIM(Controls_Raw!I1254))=0,"Missing","OK")</f>
        <v>OK</v>
      </c>
      <c r="D1254" t="str">
        <f>IF(LEN(TRIM(Controls_Raw!N1254))=0,"Missing","OK")</f>
        <v>OK</v>
      </c>
      <c r="E1254" t="str">
        <f>IF(OR(Controls_Raw!G1254="USA",Controls_Raw!G1254="UK"),"Standardize","OK")</f>
        <v>OK</v>
      </c>
      <c r="F1254" t="str">
        <f>IF(Controls_Raw!E1254&lt;&gt;TRIM(Controls_Raw!E1254),"Trim","OK")</f>
        <v>OK</v>
      </c>
      <c r="G1254" t="str">
        <f>IF(AND(Controls_Raw!L1254&lt;DATE(2026,9,30),Controls_Raw!M1254&lt;&gt;"Completed"),"Overdue","OK")</f>
        <v>Overdue</v>
      </c>
      <c r="H1254" t="str">
        <f>IF(AND(Controls_Raw!Q1254&lt;DATE(2026,9,30),Controls_Raw!R1254&lt;&gt;"Completed",Controls_Raw!R1254&lt;&gt;"Not Required"),"Overdue","OK")</f>
        <v>OK</v>
      </c>
      <c r="I1254" t="str">
        <f t="shared" si="19"/>
        <v>Issue</v>
      </c>
    </row>
    <row r="1255" spans="1:9" x14ac:dyDescent="0.2">
      <c r="A1255" t="str">
        <f>Controls_Raw!A1255</f>
        <v>CTRL-1251</v>
      </c>
      <c r="B1255" t="str">
        <f>IF(COUNTIF(Controls_Raw!$A$5:$A$1504,A1255)&gt;1,"Duplicate","OK")</f>
        <v>OK</v>
      </c>
      <c r="C1255" t="str">
        <f>IF(LEN(TRIM(Controls_Raw!I1255))=0,"Missing","OK")</f>
        <v>OK</v>
      </c>
      <c r="D1255" t="str">
        <f>IF(LEN(TRIM(Controls_Raw!N1255))=0,"Missing","OK")</f>
        <v>OK</v>
      </c>
      <c r="E1255" t="str">
        <f>IF(OR(Controls_Raw!G1255="USA",Controls_Raw!G1255="UK"),"Standardize","OK")</f>
        <v>OK</v>
      </c>
      <c r="F1255" t="str">
        <f>IF(Controls_Raw!E1255&lt;&gt;TRIM(Controls_Raw!E1255),"Trim","OK")</f>
        <v>OK</v>
      </c>
      <c r="G1255" t="str">
        <f>IF(AND(Controls_Raw!L1255&lt;DATE(2026,9,30),Controls_Raw!M1255&lt;&gt;"Completed"),"Overdue","OK")</f>
        <v>OK</v>
      </c>
      <c r="H1255" t="str">
        <f>IF(AND(Controls_Raw!Q1255&lt;DATE(2026,9,30),Controls_Raw!R1255&lt;&gt;"Completed",Controls_Raw!R1255&lt;&gt;"Not Required"),"Overdue","OK")</f>
        <v>OK</v>
      </c>
      <c r="I1255" t="str">
        <f t="shared" si="19"/>
        <v>Pass</v>
      </c>
    </row>
    <row r="1256" spans="1:9" x14ac:dyDescent="0.2">
      <c r="A1256" t="str">
        <f>Controls_Raw!A1256</f>
        <v>CTRL-1252</v>
      </c>
      <c r="B1256" t="str">
        <f>IF(COUNTIF(Controls_Raw!$A$5:$A$1504,A1256)&gt;1,"Duplicate","OK")</f>
        <v>OK</v>
      </c>
      <c r="C1256" t="str">
        <f>IF(LEN(TRIM(Controls_Raw!I1256))=0,"Missing","OK")</f>
        <v>OK</v>
      </c>
      <c r="D1256" t="str">
        <f>IF(LEN(TRIM(Controls_Raw!N1256))=0,"Missing","OK")</f>
        <v>OK</v>
      </c>
      <c r="E1256" t="str">
        <f>IF(OR(Controls_Raw!G1256="USA",Controls_Raw!G1256="UK"),"Standardize","OK")</f>
        <v>OK</v>
      </c>
      <c r="F1256" t="str">
        <f>IF(Controls_Raw!E1256&lt;&gt;TRIM(Controls_Raw!E1256),"Trim","OK")</f>
        <v>OK</v>
      </c>
      <c r="G1256" t="str">
        <f>IF(AND(Controls_Raw!L1256&lt;DATE(2026,9,30),Controls_Raw!M1256&lt;&gt;"Completed"),"Overdue","OK")</f>
        <v>OK</v>
      </c>
      <c r="H1256" t="str">
        <f>IF(AND(Controls_Raw!Q1256&lt;DATE(2026,9,30),Controls_Raw!R1256&lt;&gt;"Completed",Controls_Raw!R1256&lt;&gt;"Not Required"),"Overdue","OK")</f>
        <v>OK</v>
      </c>
      <c r="I1256" t="str">
        <f t="shared" si="19"/>
        <v>Pass</v>
      </c>
    </row>
    <row r="1257" spans="1:9" x14ac:dyDescent="0.2">
      <c r="A1257" t="str">
        <f>Controls_Raw!A1257</f>
        <v>CTRL-1253</v>
      </c>
      <c r="B1257" t="str">
        <f>IF(COUNTIF(Controls_Raw!$A$5:$A$1504,A1257)&gt;1,"Duplicate","OK")</f>
        <v>OK</v>
      </c>
      <c r="C1257" t="str">
        <f>IF(LEN(TRIM(Controls_Raw!I1257))=0,"Missing","OK")</f>
        <v>OK</v>
      </c>
      <c r="D1257" t="str">
        <f>IF(LEN(TRIM(Controls_Raw!N1257))=0,"Missing","OK")</f>
        <v>OK</v>
      </c>
      <c r="E1257" t="str">
        <f>IF(OR(Controls_Raw!G1257="USA",Controls_Raw!G1257="UK"),"Standardize","OK")</f>
        <v>OK</v>
      </c>
      <c r="F1257" t="str">
        <f>IF(Controls_Raw!E1257&lt;&gt;TRIM(Controls_Raw!E1257),"Trim","OK")</f>
        <v>OK</v>
      </c>
      <c r="G1257" t="str">
        <f>IF(AND(Controls_Raw!L1257&lt;DATE(2026,9,30),Controls_Raw!M1257&lt;&gt;"Completed"),"Overdue","OK")</f>
        <v>Overdue</v>
      </c>
      <c r="H1257" t="str">
        <f>IF(AND(Controls_Raw!Q1257&lt;DATE(2026,9,30),Controls_Raw!R1257&lt;&gt;"Completed",Controls_Raw!R1257&lt;&gt;"Not Required"),"Overdue","OK")</f>
        <v>Overdue</v>
      </c>
      <c r="I1257" t="str">
        <f t="shared" si="19"/>
        <v>Issue</v>
      </c>
    </row>
    <row r="1258" spans="1:9" x14ac:dyDescent="0.2">
      <c r="A1258" t="str">
        <f>Controls_Raw!A1258</f>
        <v>CTRL-1254</v>
      </c>
      <c r="B1258" t="str">
        <f>IF(COUNTIF(Controls_Raw!$A$5:$A$1504,A1258)&gt;1,"Duplicate","OK")</f>
        <v>OK</v>
      </c>
      <c r="C1258" t="str">
        <f>IF(LEN(TRIM(Controls_Raw!I1258))=0,"Missing","OK")</f>
        <v>OK</v>
      </c>
      <c r="D1258" t="str">
        <f>IF(LEN(TRIM(Controls_Raw!N1258))=0,"Missing","OK")</f>
        <v>OK</v>
      </c>
      <c r="E1258" t="str">
        <f>IF(OR(Controls_Raw!G1258="USA",Controls_Raw!G1258="UK"),"Standardize","OK")</f>
        <v>OK</v>
      </c>
      <c r="F1258" t="str">
        <f>IF(Controls_Raw!E1258&lt;&gt;TRIM(Controls_Raw!E1258),"Trim","OK")</f>
        <v>OK</v>
      </c>
      <c r="G1258" t="str">
        <f>IF(AND(Controls_Raw!L1258&lt;DATE(2026,9,30),Controls_Raw!M1258&lt;&gt;"Completed"),"Overdue","OK")</f>
        <v>Overdue</v>
      </c>
      <c r="H1258" t="str">
        <f>IF(AND(Controls_Raw!Q1258&lt;DATE(2026,9,30),Controls_Raw!R1258&lt;&gt;"Completed",Controls_Raw!R1258&lt;&gt;"Not Required"),"Overdue","OK")</f>
        <v>Overdue</v>
      </c>
      <c r="I1258" t="str">
        <f t="shared" si="19"/>
        <v>Issue</v>
      </c>
    </row>
    <row r="1259" spans="1:9" x14ac:dyDescent="0.2">
      <c r="A1259" t="str">
        <f>Controls_Raw!A1259</f>
        <v>CTRL-1255</v>
      </c>
      <c r="B1259" t="str">
        <f>IF(COUNTIF(Controls_Raw!$A$5:$A$1504,A1259)&gt;1,"Duplicate","OK")</f>
        <v>OK</v>
      </c>
      <c r="C1259" t="str">
        <f>IF(LEN(TRIM(Controls_Raw!I1259))=0,"Missing","OK")</f>
        <v>OK</v>
      </c>
      <c r="D1259" t="str">
        <f>IF(LEN(TRIM(Controls_Raw!N1259))=0,"Missing","OK")</f>
        <v>OK</v>
      </c>
      <c r="E1259" t="str">
        <f>IF(OR(Controls_Raw!G1259="USA",Controls_Raw!G1259="UK"),"Standardize","OK")</f>
        <v>OK</v>
      </c>
      <c r="F1259" t="str">
        <f>IF(Controls_Raw!E1259&lt;&gt;TRIM(Controls_Raw!E1259),"Trim","OK")</f>
        <v>OK</v>
      </c>
      <c r="G1259" t="str">
        <f>IF(AND(Controls_Raw!L1259&lt;DATE(2026,9,30),Controls_Raw!M1259&lt;&gt;"Completed"),"Overdue","OK")</f>
        <v>Overdue</v>
      </c>
      <c r="H1259" t="str">
        <f>IF(AND(Controls_Raw!Q1259&lt;DATE(2026,9,30),Controls_Raw!R1259&lt;&gt;"Completed",Controls_Raw!R1259&lt;&gt;"Not Required"),"Overdue","OK")</f>
        <v>Overdue</v>
      </c>
      <c r="I1259" t="str">
        <f t="shared" si="19"/>
        <v>Issue</v>
      </c>
    </row>
    <row r="1260" spans="1:9" x14ac:dyDescent="0.2">
      <c r="A1260" t="str">
        <f>Controls_Raw!A1260</f>
        <v>CTRL-1256</v>
      </c>
      <c r="B1260" t="str">
        <f>IF(COUNTIF(Controls_Raw!$A$5:$A$1504,A1260)&gt;1,"Duplicate","OK")</f>
        <v>OK</v>
      </c>
      <c r="C1260" t="str">
        <f>IF(LEN(TRIM(Controls_Raw!I1260))=0,"Missing","OK")</f>
        <v>OK</v>
      </c>
      <c r="D1260" t="str">
        <f>IF(LEN(TRIM(Controls_Raw!N1260))=0,"Missing","OK")</f>
        <v>OK</v>
      </c>
      <c r="E1260" t="str">
        <f>IF(OR(Controls_Raw!G1260="USA",Controls_Raw!G1260="UK"),"Standardize","OK")</f>
        <v>OK</v>
      </c>
      <c r="F1260" t="str">
        <f>IF(Controls_Raw!E1260&lt;&gt;TRIM(Controls_Raw!E1260),"Trim","OK")</f>
        <v>OK</v>
      </c>
      <c r="G1260" t="str">
        <f>IF(AND(Controls_Raw!L1260&lt;DATE(2026,9,30),Controls_Raw!M1260&lt;&gt;"Completed"),"Overdue","OK")</f>
        <v>OK</v>
      </c>
      <c r="H1260" t="str">
        <f>IF(AND(Controls_Raw!Q1260&lt;DATE(2026,9,30),Controls_Raw!R1260&lt;&gt;"Completed",Controls_Raw!R1260&lt;&gt;"Not Required"),"Overdue","OK")</f>
        <v>OK</v>
      </c>
      <c r="I1260" t="str">
        <f t="shared" si="19"/>
        <v>Pass</v>
      </c>
    </row>
    <row r="1261" spans="1:9" x14ac:dyDescent="0.2">
      <c r="A1261" t="str">
        <f>Controls_Raw!A1261</f>
        <v>CTRL-1257</v>
      </c>
      <c r="B1261" t="str">
        <f>IF(COUNTIF(Controls_Raw!$A$5:$A$1504,A1261)&gt;1,"Duplicate","OK")</f>
        <v>OK</v>
      </c>
      <c r="C1261" t="str">
        <f>IF(LEN(TRIM(Controls_Raw!I1261))=0,"Missing","OK")</f>
        <v>OK</v>
      </c>
      <c r="D1261" t="str">
        <f>IF(LEN(TRIM(Controls_Raw!N1261))=0,"Missing","OK")</f>
        <v>OK</v>
      </c>
      <c r="E1261" t="str">
        <f>IF(OR(Controls_Raw!G1261="USA",Controls_Raw!G1261="UK"),"Standardize","OK")</f>
        <v>OK</v>
      </c>
      <c r="F1261" t="str">
        <f>IF(Controls_Raw!E1261&lt;&gt;TRIM(Controls_Raw!E1261),"Trim","OK")</f>
        <v>OK</v>
      </c>
      <c r="G1261" t="str">
        <f>IF(AND(Controls_Raw!L1261&lt;DATE(2026,9,30),Controls_Raw!M1261&lt;&gt;"Completed"),"Overdue","OK")</f>
        <v>OK</v>
      </c>
      <c r="H1261" t="str">
        <f>IF(AND(Controls_Raw!Q1261&lt;DATE(2026,9,30),Controls_Raw!R1261&lt;&gt;"Completed",Controls_Raw!R1261&lt;&gt;"Not Required"),"Overdue","OK")</f>
        <v>Overdue</v>
      </c>
      <c r="I1261" t="str">
        <f t="shared" si="19"/>
        <v>Issue</v>
      </c>
    </row>
    <row r="1262" spans="1:9" x14ac:dyDescent="0.2">
      <c r="A1262" t="str">
        <f>Controls_Raw!A1262</f>
        <v>CTRL-1258</v>
      </c>
      <c r="B1262" t="str">
        <f>IF(COUNTIF(Controls_Raw!$A$5:$A$1504,A1262)&gt;1,"Duplicate","OK")</f>
        <v>OK</v>
      </c>
      <c r="C1262" t="str">
        <f>IF(LEN(TRIM(Controls_Raw!I1262))=0,"Missing","OK")</f>
        <v>OK</v>
      </c>
      <c r="D1262" t="str">
        <f>IF(LEN(TRIM(Controls_Raw!N1262))=0,"Missing","OK")</f>
        <v>OK</v>
      </c>
      <c r="E1262" t="str">
        <f>IF(OR(Controls_Raw!G1262="USA",Controls_Raw!G1262="UK"),"Standardize","OK")</f>
        <v>OK</v>
      </c>
      <c r="F1262" t="str">
        <f>IF(Controls_Raw!E1262&lt;&gt;TRIM(Controls_Raw!E1262),"Trim","OK")</f>
        <v>OK</v>
      </c>
      <c r="G1262" t="str">
        <f>IF(AND(Controls_Raw!L1262&lt;DATE(2026,9,30),Controls_Raw!M1262&lt;&gt;"Completed"),"Overdue","OK")</f>
        <v>Overdue</v>
      </c>
      <c r="H1262" t="str">
        <f>IF(AND(Controls_Raw!Q1262&lt;DATE(2026,9,30),Controls_Raw!R1262&lt;&gt;"Completed",Controls_Raw!R1262&lt;&gt;"Not Required"),"Overdue","OK")</f>
        <v>OK</v>
      </c>
      <c r="I1262" t="str">
        <f t="shared" si="19"/>
        <v>Issue</v>
      </c>
    </row>
    <row r="1263" spans="1:9" x14ac:dyDescent="0.2">
      <c r="A1263" t="str">
        <f>Controls_Raw!A1263</f>
        <v>CTRL-1259</v>
      </c>
      <c r="B1263" t="str">
        <f>IF(COUNTIF(Controls_Raw!$A$5:$A$1504,A1263)&gt;1,"Duplicate","OK")</f>
        <v>OK</v>
      </c>
      <c r="C1263" t="str">
        <f>IF(LEN(TRIM(Controls_Raw!I1263))=0,"Missing","OK")</f>
        <v>OK</v>
      </c>
      <c r="D1263" t="str">
        <f>IF(LEN(TRIM(Controls_Raw!N1263))=0,"Missing","OK")</f>
        <v>OK</v>
      </c>
      <c r="E1263" t="str">
        <f>IF(OR(Controls_Raw!G1263="USA",Controls_Raw!G1263="UK"),"Standardize","OK")</f>
        <v>OK</v>
      </c>
      <c r="F1263" t="str">
        <f>IF(Controls_Raw!E1263&lt;&gt;TRIM(Controls_Raw!E1263),"Trim","OK")</f>
        <v>OK</v>
      </c>
      <c r="G1263" t="str">
        <f>IF(AND(Controls_Raw!L1263&lt;DATE(2026,9,30),Controls_Raw!M1263&lt;&gt;"Completed"),"Overdue","OK")</f>
        <v>OK</v>
      </c>
      <c r="H1263" t="str">
        <f>IF(AND(Controls_Raw!Q1263&lt;DATE(2026,9,30),Controls_Raw!R1263&lt;&gt;"Completed",Controls_Raw!R1263&lt;&gt;"Not Required"),"Overdue","OK")</f>
        <v>OK</v>
      </c>
      <c r="I1263" t="str">
        <f t="shared" si="19"/>
        <v>Pass</v>
      </c>
    </row>
    <row r="1264" spans="1:9" x14ac:dyDescent="0.2">
      <c r="A1264" t="str">
        <f>Controls_Raw!A1264</f>
        <v>CTRL-1260</v>
      </c>
      <c r="B1264" t="str">
        <f>IF(COUNTIF(Controls_Raw!$A$5:$A$1504,A1264)&gt;1,"Duplicate","OK")</f>
        <v>OK</v>
      </c>
      <c r="C1264" t="str">
        <f>IF(LEN(TRIM(Controls_Raw!I1264))=0,"Missing","OK")</f>
        <v>OK</v>
      </c>
      <c r="D1264" t="str">
        <f>IF(LEN(TRIM(Controls_Raw!N1264))=0,"Missing","OK")</f>
        <v>OK</v>
      </c>
      <c r="E1264" t="str">
        <f>IF(OR(Controls_Raw!G1264="USA",Controls_Raw!G1264="UK"),"Standardize","OK")</f>
        <v>OK</v>
      </c>
      <c r="F1264" t="str">
        <f>IF(Controls_Raw!E1264&lt;&gt;TRIM(Controls_Raw!E1264),"Trim","OK")</f>
        <v>OK</v>
      </c>
      <c r="G1264" t="str">
        <f>IF(AND(Controls_Raw!L1264&lt;DATE(2026,9,30),Controls_Raw!M1264&lt;&gt;"Completed"),"Overdue","OK")</f>
        <v>OK</v>
      </c>
      <c r="H1264" t="str">
        <f>IF(AND(Controls_Raw!Q1264&lt;DATE(2026,9,30),Controls_Raw!R1264&lt;&gt;"Completed",Controls_Raw!R1264&lt;&gt;"Not Required"),"Overdue","OK")</f>
        <v>OK</v>
      </c>
      <c r="I1264" t="str">
        <f t="shared" si="19"/>
        <v>Pass</v>
      </c>
    </row>
    <row r="1265" spans="1:9" x14ac:dyDescent="0.2">
      <c r="A1265" t="str">
        <f>Controls_Raw!A1265</f>
        <v>CTRL-1261</v>
      </c>
      <c r="B1265" t="str">
        <f>IF(COUNTIF(Controls_Raw!$A$5:$A$1504,A1265)&gt;1,"Duplicate","OK")</f>
        <v>OK</v>
      </c>
      <c r="C1265" t="str">
        <f>IF(LEN(TRIM(Controls_Raw!I1265))=0,"Missing","OK")</f>
        <v>OK</v>
      </c>
      <c r="D1265" t="str">
        <f>IF(LEN(TRIM(Controls_Raw!N1265))=0,"Missing","OK")</f>
        <v>OK</v>
      </c>
      <c r="E1265" t="str">
        <f>IF(OR(Controls_Raw!G1265="USA",Controls_Raw!G1265="UK"),"Standardize","OK")</f>
        <v>OK</v>
      </c>
      <c r="F1265" t="str">
        <f>IF(Controls_Raw!E1265&lt;&gt;TRIM(Controls_Raw!E1265),"Trim","OK")</f>
        <v>OK</v>
      </c>
      <c r="G1265" t="str">
        <f>IF(AND(Controls_Raw!L1265&lt;DATE(2026,9,30),Controls_Raw!M1265&lt;&gt;"Completed"),"Overdue","OK")</f>
        <v>OK</v>
      </c>
      <c r="H1265" t="str">
        <f>IF(AND(Controls_Raw!Q1265&lt;DATE(2026,9,30),Controls_Raw!R1265&lt;&gt;"Completed",Controls_Raw!R1265&lt;&gt;"Not Required"),"Overdue","OK")</f>
        <v>Overdue</v>
      </c>
      <c r="I1265" t="str">
        <f t="shared" si="19"/>
        <v>Issue</v>
      </c>
    </row>
    <row r="1266" spans="1:9" x14ac:dyDescent="0.2">
      <c r="A1266" t="str">
        <f>Controls_Raw!A1266</f>
        <v>CTRL-1262</v>
      </c>
      <c r="B1266" t="str">
        <f>IF(COUNTIF(Controls_Raw!$A$5:$A$1504,A1266)&gt;1,"Duplicate","OK")</f>
        <v>OK</v>
      </c>
      <c r="C1266" t="str">
        <f>IF(LEN(TRIM(Controls_Raw!I1266))=0,"Missing","OK")</f>
        <v>OK</v>
      </c>
      <c r="D1266" t="str">
        <f>IF(LEN(TRIM(Controls_Raw!N1266))=0,"Missing","OK")</f>
        <v>OK</v>
      </c>
      <c r="E1266" t="str">
        <f>IF(OR(Controls_Raw!G1266="USA",Controls_Raw!G1266="UK"),"Standardize","OK")</f>
        <v>OK</v>
      </c>
      <c r="F1266" t="str">
        <f>IF(Controls_Raw!E1266&lt;&gt;TRIM(Controls_Raw!E1266),"Trim","OK")</f>
        <v>OK</v>
      </c>
      <c r="G1266" t="str">
        <f>IF(AND(Controls_Raw!L1266&lt;DATE(2026,9,30),Controls_Raw!M1266&lt;&gt;"Completed"),"Overdue","OK")</f>
        <v>OK</v>
      </c>
      <c r="H1266" t="str">
        <f>IF(AND(Controls_Raw!Q1266&lt;DATE(2026,9,30),Controls_Raw!R1266&lt;&gt;"Completed",Controls_Raw!R1266&lt;&gt;"Not Required"),"Overdue","OK")</f>
        <v>OK</v>
      </c>
      <c r="I1266" t="str">
        <f t="shared" si="19"/>
        <v>Pass</v>
      </c>
    </row>
    <row r="1267" spans="1:9" x14ac:dyDescent="0.2">
      <c r="A1267" t="str">
        <f>Controls_Raw!A1267</f>
        <v>CTRL-1263</v>
      </c>
      <c r="B1267" t="str">
        <f>IF(COUNTIF(Controls_Raw!$A$5:$A$1504,A1267)&gt;1,"Duplicate","OK")</f>
        <v>OK</v>
      </c>
      <c r="C1267" t="str">
        <f>IF(LEN(TRIM(Controls_Raw!I1267))=0,"Missing","OK")</f>
        <v>OK</v>
      </c>
      <c r="D1267" t="str">
        <f>IF(LEN(TRIM(Controls_Raw!N1267))=0,"Missing","OK")</f>
        <v>OK</v>
      </c>
      <c r="E1267" t="str">
        <f>IF(OR(Controls_Raw!G1267="USA",Controls_Raw!G1267="UK"),"Standardize","OK")</f>
        <v>OK</v>
      </c>
      <c r="F1267" t="str">
        <f>IF(Controls_Raw!E1267&lt;&gt;TRIM(Controls_Raw!E1267),"Trim","OK")</f>
        <v>OK</v>
      </c>
      <c r="G1267" t="str">
        <f>IF(AND(Controls_Raw!L1267&lt;DATE(2026,9,30),Controls_Raw!M1267&lt;&gt;"Completed"),"Overdue","OK")</f>
        <v>OK</v>
      </c>
      <c r="H1267" t="str">
        <f>IF(AND(Controls_Raw!Q1267&lt;DATE(2026,9,30),Controls_Raw!R1267&lt;&gt;"Completed",Controls_Raw!R1267&lt;&gt;"Not Required"),"Overdue","OK")</f>
        <v>OK</v>
      </c>
      <c r="I1267" t="str">
        <f t="shared" si="19"/>
        <v>Pass</v>
      </c>
    </row>
    <row r="1268" spans="1:9" x14ac:dyDescent="0.2">
      <c r="A1268" t="str">
        <f>Controls_Raw!A1268</f>
        <v>CTRL-1264</v>
      </c>
      <c r="B1268" t="str">
        <f>IF(COUNTIF(Controls_Raw!$A$5:$A$1504,A1268)&gt;1,"Duplicate","OK")</f>
        <v>OK</v>
      </c>
      <c r="C1268" t="str">
        <f>IF(LEN(TRIM(Controls_Raw!I1268))=0,"Missing","OK")</f>
        <v>OK</v>
      </c>
      <c r="D1268" t="str">
        <f>IF(LEN(TRIM(Controls_Raw!N1268))=0,"Missing","OK")</f>
        <v>OK</v>
      </c>
      <c r="E1268" t="str">
        <f>IF(OR(Controls_Raw!G1268="USA",Controls_Raw!G1268="UK"),"Standardize","OK")</f>
        <v>OK</v>
      </c>
      <c r="F1268" t="str">
        <f>IF(Controls_Raw!E1268&lt;&gt;TRIM(Controls_Raw!E1268),"Trim","OK")</f>
        <v>OK</v>
      </c>
      <c r="G1268" t="str">
        <f>IF(AND(Controls_Raw!L1268&lt;DATE(2026,9,30),Controls_Raw!M1268&lt;&gt;"Completed"),"Overdue","OK")</f>
        <v>OK</v>
      </c>
      <c r="H1268" t="str">
        <f>IF(AND(Controls_Raw!Q1268&lt;DATE(2026,9,30),Controls_Raw!R1268&lt;&gt;"Completed",Controls_Raw!R1268&lt;&gt;"Not Required"),"Overdue","OK")</f>
        <v>OK</v>
      </c>
      <c r="I1268" t="str">
        <f t="shared" si="19"/>
        <v>Pass</v>
      </c>
    </row>
    <row r="1269" spans="1:9" x14ac:dyDescent="0.2">
      <c r="A1269" t="str">
        <f>Controls_Raw!A1269</f>
        <v>CTRL-1265</v>
      </c>
      <c r="B1269" t="str">
        <f>IF(COUNTIF(Controls_Raw!$A$5:$A$1504,A1269)&gt;1,"Duplicate","OK")</f>
        <v>OK</v>
      </c>
      <c r="C1269" t="str">
        <f>IF(LEN(TRIM(Controls_Raw!I1269))=0,"Missing","OK")</f>
        <v>OK</v>
      </c>
      <c r="D1269" t="str">
        <f>IF(LEN(TRIM(Controls_Raw!N1269))=0,"Missing","OK")</f>
        <v>OK</v>
      </c>
      <c r="E1269" t="str">
        <f>IF(OR(Controls_Raw!G1269="USA",Controls_Raw!G1269="UK"),"Standardize","OK")</f>
        <v>OK</v>
      </c>
      <c r="F1269" t="str">
        <f>IF(Controls_Raw!E1269&lt;&gt;TRIM(Controls_Raw!E1269),"Trim","OK")</f>
        <v>OK</v>
      </c>
      <c r="G1269" t="str">
        <f>IF(AND(Controls_Raw!L1269&lt;DATE(2026,9,30),Controls_Raw!M1269&lt;&gt;"Completed"),"Overdue","OK")</f>
        <v>Overdue</v>
      </c>
      <c r="H1269" t="str">
        <f>IF(AND(Controls_Raw!Q1269&lt;DATE(2026,9,30),Controls_Raw!R1269&lt;&gt;"Completed",Controls_Raw!R1269&lt;&gt;"Not Required"),"Overdue","OK")</f>
        <v>OK</v>
      </c>
      <c r="I1269" t="str">
        <f t="shared" si="19"/>
        <v>Issue</v>
      </c>
    </row>
    <row r="1270" spans="1:9" x14ac:dyDescent="0.2">
      <c r="A1270" t="str">
        <f>Controls_Raw!A1270</f>
        <v>CTRL-1266</v>
      </c>
      <c r="B1270" t="str">
        <f>IF(COUNTIF(Controls_Raw!$A$5:$A$1504,A1270)&gt;1,"Duplicate","OK")</f>
        <v>OK</v>
      </c>
      <c r="C1270" t="str">
        <f>IF(LEN(TRIM(Controls_Raw!I1270))=0,"Missing","OK")</f>
        <v>OK</v>
      </c>
      <c r="D1270" t="str">
        <f>IF(LEN(TRIM(Controls_Raw!N1270))=0,"Missing","OK")</f>
        <v>OK</v>
      </c>
      <c r="E1270" t="str">
        <f>IF(OR(Controls_Raw!G1270="USA",Controls_Raw!G1270="UK"),"Standardize","OK")</f>
        <v>OK</v>
      </c>
      <c r="F1270" t="str">
        <f>IF(Controls_Raw!E1270&lt;&gt;TRIM(Controls_Raw!E1270),"Trim","OK")</f>
        <v>OK</v>
      </c>
      <c r="G1270" t="str">
        <f>IF(AND(Controls_Raw!L1270&lt;DATE(2026,9,30),Controls_Raw!M1270&lt;&gt;"Completed"),"Overdue","OK")</f>
        <v>Overdue</v>
      </c>
      <c r="H1270" t="str">
        <f>IF(AND(Controls_Raw!Q1270&lt;DATE(2026,9,30),Controls_Raw!R1270&lt;&gt;"Completed",Controls_Raw!R1270&lt;&gt;"Not Required"),"Overdue","OK")</f>
        <v>Overdue</v>
      </c>
      <c r="I1270" t="str">
        <f t="shared" si="19"/>
        <v>Issue</v>
      </c>
    </row>
    <row r="1271" spans="1:9" x14ac:dyDescent="0.2">
      <c r="A1271" t="str">
        <f>Controls_Raw!A1271</f>
        <v>CTRL-1267</v>
      </c>
      <c r="B1271" t="str">
        <f>IF(COUNTIF(Controls_Raw!$A$5:$A$1504,A1271)&gt;1,"Duplicate","OK")</f>
        <v>OK</v>
      </c>
      <c r="C1271" t="str">
        <f>IF(LEN(TRIM(Controls_Raw!I1271))=0,"Missing","OK")</f>
        <v>OK</v>
      </c>
      <c r="D1271" t="str">
        <f>IF(LEN(TRIM(Controls_Raw!N1271))=0,"Missing","OK")</f>
        <v>OK</v>
      </c>
      <c r="E1271" t="str">
        <f>IF(OR(Controls_Raw!G1271="USA",Controls_Raw!G1271="UK"),"Standardize","OK")</f>
        <v>OK</v>
      </c>
      <c r="F1271" t="str">
        <f>IF(Controls_Raw!E1271&lt;&gt;TRIM(Controls_Raw!E1271),"Trim","OK")</f>
        <v>OK</v>
      </c>
      <c r="G1271" t="str">
        <f>IF(AND(Controls_Raw!L1271&lt;DATE(2026,9,30),Controls_Raw!M1271&lt;&gt;"Completed"),"Overdue","OK")</f>
        <v>OK</v>
      </c>
      <c r="H1271" t="str">
        <f>IF(AND(Controls_Raw!Q1271&lt;DATE(2026,9,30),Controls_Raw!R1271&lt;&gt;"Completed",Controls_Raw!R1271&lt;&gt;"Not Required"),"Overdue","OK")</f>
        <v>OK</v>
      </c>
      <c r="I1271" t="str">
        <f t="shared" si="19"/>
        <v>Pass</v>
      </c>
    </row>
    <row r="1272" spans="1:9" x14ac:dyDescent="0.2">
      <c r="A1272" t="str">
        <f>Controls_Raw!A1272</f>
        <v>CTRL-1268</v>
      </c>
      <c r="B1272" t="str">
        <f>IF(COUNTIF(Controls_Raw!$A$5:$A$1504,A1272)&gt;1,"Duplicate","OK")</f>
        <v>OK</v>
      </c>
      <c r="C1272" t="str">
        <f>IF(LEN(TRIM(Controls_Raw!I1272))=0,"Missing","OK")</f>
        <v>OK</v>
      </c>
      <c r="D1272" t="str">
        <f>IF(LEN(TRIM(Controls_Raw!N1272))=0,"Missing","OK")</f>
        <v>OK</v>
      </c>
      <c r="E1272" t="str">
        <f>IF(OR(Controls_Raw!G1272="USA",Controls_Raw!G1272="UK"),"Standardize","OK")</f>
        <v>OK</v>
      </c>
      <c r="F1272" t="str">
        <f>IF(Controls_Raw!E1272&lt;&gt;TRIM(Controls_Raw!E1272),"Trim","OK")</f>
        <v>OK</v>
      </c>
      <c r="G1272" t="str">
        <f>IF(AND(Controls_Raw!L1272&lt;DATE(2026,9,30),Controls_Raw!M1272&lt;&gt;"Completed"),"Overdue","OK")</f>
        <v>OK</v>
      </c>
      <c r="H1272" t="str">
        <f>IF(AND(Controls_Raw!Q1272&lt;DATE(2026,9,30),Controls_Raw!R1272&lt;&gt;"Completed",Controls_Raw!R1272&lt;&gt;"Not Required"),"Overdue","OK")</f>
        <v>OK</v>
      </c>
      <c r="I1272" t="str">
        <f t="shared" si="19"/>
        <v>Pass</v>
      </c>
    </row>
    <row r="1273" spans="1:9" x14ac:dyDescent="0.2">
      <c r="A1273" t="str">
        <f>Controls_Raw!A1273</f>
        <v>CTRL-1269</v>
      </c>
      <c r="B1273" t="str">
        <f>IF(COUNTIF(Controls_Raw!$A$5:$A$1504,A1273)&gt;1,"Duplicate","OK")</f>
        <v>OK</v>
      </c>
      <c r="C1273" t="str">
        <f>IF(LEN(TRIM(Controls_Raw!I1273))=0,"Missing","OK")</f>
        <v>OK</v>
      </c>
      <c r="D1273" t="str">
        <f>IF(LEN(TRIM(Controls_Raw!N1273))=0,"Missing","OK")</f>
        <v>OK</v>
      </c>
      <c r="E1273" t="str">
        <f>IF(OR(Controls_Raw!G1273="USA",Controls_Raw!G1273="UK"),"Standardize","OK")</f>
        <v>OK</v>
      </c>
      <c r="F1273" t="str">
        <f>IF(Controls_Raw!E1273&lt;&gt;TRIM(Controls_Raw!E1273),"Trim","OK")</f>
        <v>OK</v>
      </c>
      <c r="G1273" t="str">
        <f>IF(AND(Controls_Raw!L1273&lt;DATE(2026,9,30),Controls_Raw!M1273&lt;&gt;"Completed"),"Overdue","OK")</f>
        <v>Overdue</v>
      </c>
      <c r="H1273" t="str">
        <f>IF(AND(Controls_Raw!Q1273&lt;DATE(2026,9,30),Controls_Raw!R1273&lt;&gt;"Completed",Controls_Raw!R1273&lt;&gt;"Not Required"),"Overdue","OK")</f>
        <v>OK</v>
      </c>
      <c r="I1273" t="str">
        <f t="shared" si="19"/>
        <v>Issue</v>
      </c>
    </row>
    <row r="1274" spans="1:9" x14ac:dyDescent="0.2">
      <c r="A1274" t="str">
        <f>Controls_Raw!A1274</f>
        <v>CTRL-1270</v>
      </c>
      <c r="B1274" t="str">
        <f>IF(COUNTIF(Controls_Raw!$A$5:$A$1504,A1274)&gt;1,"Duplicate","OK")</f>
        <v>OK</v>
      </c>
      <c r="C1274" t="str">
        <f>IF(LEN(TRIM(Controls_Raw!I1274))=0,"Missing","OK")</f>
        <v>Missing</v>
      </c>
      <c r="D1274" t="str">
        <f>IF(LEN(TRIM(Controls_Raw!N1274))=0,"Missing","OK")</f>
        <v>OK</v>
      </c>
      <c r="E1274" t="str">
        <f>IF(OR(Controls_Raw!G1274="USA",Controls_Raw!G1274="UK"),"Standardize","OK")</f>
        <v>OK</v>
      </c>
      <c r="F1274" t="str">
        <f>IF(Controls_Raw!E1274&lt;&gt;TRIM(Controls_Raw!E1274),"Trim","OK")</f>
        <v>OK</v>
      </c>
      <c r="G1274" t="str">
        <f>IF(AND(Controls_Raw!L1274&lt;DATE(2026,9,30),Controls_Raw!M1274&lt;&gt;"Completed"),"Overdue","OK")</f>
        <v>OK</v>
      </c>
      <c r="H1274" t="str">
        <f>IF(AND(Controls_Raw!Q1274&lt;DATE(2026,9,30),Controls_Raw!R1274&lt;&gt;"Completed",Controls_Raw!R1274&lt;&gt;"Not Required"),"Overdue","OK")</f>
        <v>OK</v>
      </c>
      <c r="I1274" t="str">
        <f t="shared" si="19"/>
        <v>Issue</v>
      </c>
    </row>
    <row r="1275" spans="1:9" x14ac:dyDescent="0.2">
      <c r="A1275" t="str">
        <f>Controls_Raw!A1275</f>
        <v>CTRL-1271</v>
      </c>
      <c r="B1275" t="str">
        <f>IF(COUNTIF(Controls_Raw!$A$5:$A$1504,A1275)&gt;1,"Duplicate","OK")</f>
        <v>OK</v>
      </c>
      <c r="C1275" t="str">
        <f>IF(LEN(TRIM(Controls_Raw!I1275))=0,"Missing","OK")</f>
        <v>OK</v>
      </c>
      <c r="D1275" t="str">
        <f>IF(LEN(TRIM(Controls_Raw!N1275))=0,"Missing","OK")</f>
        <v>OK</v>
      </c>
      <c r="E1275" t="str">
        <f>IF(OR(Controls_Raw!G1275="USA",Controls_Raw!G1275="UK"),"Standardize","OK")</f>
        <v>OK</v>
      </c>
      <c r="F1275" t="str">
        <f>IF(Controls_Raw!E1275&lt;&gt;TRIM(Controls_Raw!E1275),"Trim","OK")</f>
        <v>OK</v>
      </c>
      <c r="G1275" t="str">
        <f>IF(AND(Controls_Raw!L1275&lt;DATE(2026,9,30),Controls_Raw!M1275&lt;&gt;"Completed"),"Overdue","OK")</f>
        <v>OK</v>
      </c>
      <c r="H1275" t="str">
        <f>IF(AND(Controls_Raw!Q1275&lt;DATE(2026,9,30),Controls_Raw!R1275&lt;&gt;"Completed",Controls_Raw!R1275&lt;&gt;"Not Required"),"Overdue","OK")</f>
        <v>Overdue</v>
      </c>
      <c r="I1275" t="str">
        <f t="shared" si="19"/>
        <v>Issue</v>
      </c>
    </row>
    <row r="1276" spans="1:9" x14ac:dyDescent="0.2">
      <c r="A1276" t="str">
        <f>Controls_Raw!A1276</f>
        <v>CTRL-1272</v>
      </c>
      <c r="B1276" t="str">
        <f>IF(COUNTIF(Controls_Raw!$A$5:$A$1504,A1276)&gt;1,"Duplicate","OK")</f>
        <v>OK</v>
      </c>
      <c r="C1276" t="str">
        <f>IF(LEN(TRIM(Controls_Raw!I1276))=0,"Missing","OK")</f>
        <v>OK</v>
      </c>
      <c r="D1276" t="str">
        <f>IF(LEN(TRIM(Controls_Raw!N1276))=0,"Missing","OK")</f>
        <v>OK</v>
      </c>
      <c r="E1276" t="str">
        <f>IF(OR(Controls_Raw!G1276="USA",Controls_Raw!G1276="UK"),"Standardize","OK")</f>
        <v>OK</v>
      </c>
      <c r="F1276" t="str">
        <f>IF(Controls_Raw!E1276&lt;&gt;TRIM(Controls_Raw!E1276),"Trim","OK")</f>
        <v>OK</v>
      </c>
      <c r="G1276" t="str">
        <f>IF(AND(Controls_Raw!L1276&lt;DATE(2026,9,30),Controls_Raw!M1276&lt;&gt;"Completed"),"Overdue","OK")</f>
        <v>OK</v>
      </c>
      <c r="H1276" t="str">
        <f>IF(AND(Controls_Raw!Q1276&lt;DATE(2026,9,30),Controls_Raw!R1276&lt;&gt;"Completed",Controls_Raw!R1276&lt;&gt;"Not Required"),"Overdue","OK")</f>
        <v>OK</v>
      </c>
      <c r="I1276" t="str">
        <f t="shared" si="19"/>
        <v>Pass</v>
      </c>
    </row>
    <row r="1277" spans="1:9" x14ac:dyDescent="0.2">
      <c r="A1277" t="str">
        <f>Controls_Raw!A1277</f>
        <v>CTRL-1273</v>
      </c>
      <c r="B1277" t="str">
        <f>IF(COUNTIF(Controls_Raw!$A$5:$A$1504,A1277)&gt;1,"Duplicate","OK")</f>
        <v>OK</v>
      </c>
      <c r="C1277" t="str">
        <f>IF(LEN(TRIM(Controls_Raw!I1277))=0,"Missing","OK")</f>
        <v>OK</v>
      </c>
      <c r="D1277" t="str">
        <f>IF(LEN(TRIM(Controls_Raw!N1277))=0,"Missing","OK")</f>
        <v>OK</v>
      </c>
      <c r="E1277" t="str">
        <f>IF(OR(Controls_Raw!G1277="USA",Controls_Raw!G1277="UK"),"Standardize","OK")</f>
        <v>OK</v>
      </c>
      <c r="F1277" t="str">
        <f>IF(Controls_Raw!E1277&lt;&gt;TRIM(Controls_Raw!E1277),"Trim","OK")</f>
        <v>OK</v>
      </c>
      <c r="G1277" t="str">
        <f>IF(AND(Controls_Raw!L1277&lt;DATE(2026,9,30),Controls_Raw!M1277&lt;&gt;"Completed"),"Overdue","OK")</f>
        <v>Overdue</v>
      </c>
      <c r="H1277" t="str">
        <f>IF(AND(Controls_Raw!Q1277&lt;DATE(2026,9,30),Controls_Raw!R1277&lt;&gt;"Completed",Controls_Raw!R1277&lt;&gt;"Not Required"),"Overdue","OK")</f>
        <v>OK</v>
      </c>
      <c r="I1277" t="str">
        <f t="shared" si="19"/>
        <v>Issue</v>
      </c>
    </row>
    <row r="1278" spans="1:9" x14ac:dyDescent="0.2">
      <c r="A1278" t="str">
        <f>Controls_Raw!A1278</f>
        <v>CTRL-1274</v>
      </c>
      <c r="B1278" t="str">
        <f>IF(COUNTIF(Controls_Raw!$A$5:$A$1504,A1278)&gt;1,"Duplicate","OK")</f>
        <v>OK</v>
      </c>
      <c r="C1278" t="str">
        <f>IF(LEN(TRIM(Controls_Raw!I1278))=0,"Missing","OK")</f>
        <v>OK</v>
      </c>
      <c r="D1278" t="str">
        <f>IF(LEN(TRIM(Controls_Raw!N1278))=0,"Missing","OK")</f>
        <v>OK</v>
      </c>
      <c r="E1278" t="str">
        <f>IF(OR(Controls_Raw!G1278="USA",Controls_Raw!G1278="UK"),"Standardize","OK")</f>
        <v>OK</v>
      </c>
      <c r="F1278" t="str">
        <f>IF(Controls_Raw!E1278&lt;&gt;TRIM(Controls_Raw!E1278),"Trim","OK")</f>
        <v>OK</v>
      </c>
      <c r="G1278" t="str">
        <f>IF(AND(Controls_Raw!L1278&lt;DATE(2026,9,30),Controls_Raw!M1278&lt;&gt;"Completed"),"Overdue","OK")</f>
        <v>Overdue</v>
      </c>
      <c r="H1278" t="str">
        <f>IF(AND(Controls_Raw!Q1278&lt;DATE(2026,9,30),Controls_Raw!R1278&lt;&gt;"Completed",Controls_Raw!R1278&lt;&gt;"Not Required"),"Overdue","OK")</f>
        <v>OK</v>
      </c>
      <c r="I1278" t="str">
        <f t="shared" si="19"/>
        <v>Issue</v>
      </c>
    </row>
    <row r="1279" spans="1:9" x14ac:dyDescent="0.2">
      <c r="A1279" t="str">
        <f>Controls_Raw!A1279</f>
        <v>CTRL-1275</v>
      </c>
      <c r="B1279" t="str">
        <f>IF(COUNTIF(Controls_Raw!$A$5:$A$1504,A1279)&gt;1,"Duplicate","OK")</f>
        <v>OK</v>
      </c>
      <c r="C1279" t="str">
        <f>IF(LEN(TRIM(Controls_Raw!I1279))=0,"Missing","OK")</f>
        <v>OK</v>
      </c>
      <c r="D1279" t="str">
        <f>IF(LEN(TRIM(Controls_Raw!N1279))=0,"Missing","OK")</f>
        <v>OK</v>
      </c>
      <c r="E1279" t="str">
        <f>IF(OR(Controls_Raw!G1279="USA",Controls_Raw!G1279="UK"),"Standardize","OK")</f>
        <v>OK</v>
      </c>
      <c r="F1279" t="str">
        <f>IF(Controls_Raw!E1279&lt;&gt;TRIM(Controls_Raw!E1279),"Trim","OK")</f>
        <v>OK</v>
      </c>
      <c r="G1279" t="str">
        <f>IF(AND(Controls_Raw!L1279&lt;DATE(2026,9,30),Controls_Raw!M1279&lt;&gt;"Completed"),"Overdue","OK")</f>
        <v>Overdue</v>
      </c>
      <c r="H1279" t="str">
        <f>IF(AND(Controls_Raw!Q1279&lt;DATE(2026,9,30),Controls_Raw!R1279&lt;&gt;"Completed",Controls_Raw!R1279&lt;&gt;"Not Required"),"Overdue","OK")</f>
        <v>OK</v>
      </c>
      <c r="I1279" t="str">
        <f t="shared" si="19"/>
        <v>Issue</v>
      </c>
    </row>
    <row r="1280" spans="1:9" x14ac:dyDescent="0.2">
      <c r="A1280" t="str">
        <f>Controls_Raw!A1280</f>
        <v>CTRL-1276</v>
      </c>
      <c r="B1280" t="str">
        <f>IF(COUNTIF(Controls_Raw!$A$5:$A$1504,A1280)&gt;1,"Duplicate","OK")</f>
        <v>OK</v>
      </c>
      <c r="C1280" t="str">
        <f>IF(LEN(TRIM(Controls_Raw!I1280))=0,"Missing","OK")</f>
        <v>OK</v>
      </c>
      <c r="D1280" t="str">
        <f>IF(LEN(TRIM(Controls_Raw!N1280))=0,"Missing","OK")</f>
        <v>OK</v>
      </c>
      <c r="E1280" t="str">
        <f>IF(OR(Controls_Raw!G1280="USA",Controls_Raw!G1280="UK"),"Standardize","OK")</f>
        <v>OK</v>
      </c>
      <c r="F1280" t="str">
        <f>IF(Controls_Raw!E1280&lt;&gt;TRIM(Controls_Raw!E1280),"Trim","OK")</f>
        <v>OK</v>
      </c>
      <c r="G1280" t="str">
        <f>IF(AND(Controls_Raw!L1280&lt;DATE(2026,9,30),Controls_Raw!M1280&lt;&gt;"Completed"),"Overdue","OK")</f>
        <v>OK</v>
      </c>
      <c r="H1280" t="str">
        <f>IF(AND(Controls_Raw!Q1280&lt;DATE(2026,9,30),Controls_Raw!R1280&lt;&gt;"Completed",Controls_Raw!R1280&lt;&gt;"Not Required"),"Overdue","OK")</f>
        <v>OK</v>
      </c>
      <c r="I1280" t="str">
        <f t="shared" si="19"/>
        <v>Pass</v>
      </c>
    </row>
    <row r="1281" spans="1:9" x14ac:dyDescent="0.2">
      <c r="A1281" t="str">
        <f>Controls_Raw!A1281</f>
        <v>CTRL-1277</v>
      </c>
      <c r="B1281" t="str">
        <f>IF(COUNTIF(Controls_Raw!$A$5:$A$1504,A1281)&gt;1,"Duplicate","OK")</f>
        <v>OK</v>
      </c>
      <c r="C1281" t="str">
        <f>IF(LEN(TRIM(Controls_Raw!I1281))=0,"Missing","OK")</f>
        <v>OK</v>
      </c>
      <c r="D1281" t="str">
        <f>IF(LEN(TRIM(Controls_Raw!N1281))=0,"Missing","OK")</f>
        <v>OK</v>
      </c>
      <c r="E1281" t="str">
        <f>IF(OR(Controls_Raw!G1281="USA",Controls_Raw!G1281="UK"),"Standardize","OK")</f>
        <v>OK</v>
      </c>
      <c r="F1281" t="str">
        <f>IF(Controls_Raw!E1281&lt;&gt;TRIM(Controls_Raw!E1281),"Trim","OK")</f>
        <v>OK</v>
      </c>
      <c r="G1281" t="str">
        <f>IF(AND(Controls_Raw!L1281&lt;DATE(2026,9,30),Controls_Raw!M1281&lt;&gt;"Completed"),"Overdue","OK")</f>
        <v>Overdue</v>
      </c>
      <c r="H1281" t="str">
        <f>IF(AND(Controls_Raw!Q1281&lt;DATE(2026,9,30),Controls_Raw!R1281&lt;&gt;"Completed",Controls_Raw!R1281&lt;&gt;"Not Required"),"Overdue","OK")</f>
        <v>OK</v>
      </c>
      <c r="I1281" t="str">
        <f t="shared" si="19"/>
        <v>Issue</v>
      </c>
    </row>
    <row r="1282" spans="1:9" x14ac:dyDescent="0.2">
      <c r="A1282" t="str">
        <f>Controls_Raw!A1282</f>
        <v>CTRL-1278</v>
      </c>
      <c r="B1282" t="str">
        <f>IF(COUNTIF(Controls_Raw!$A$5:$A$1504,A1282)&gt;1,"Duplicate","OK")</f>
        <v>OK</v>
      </c>
      <c r="C1282" t="str">
        <f>IF(LEN(TRIM(Controls_Raw!I1282))=0,"Missing","OK")</f>
        <v>OK</v>
      </c>
      <c r="D1282" t="str">
        <f>IF(LEN(TRIM(Controls_Raw!N1282))=0,"Missing","OK")</f>
        <v>OK</v>
      </c>
      <c r="E1282" t="str">
        <f>IF(OR(Controls_Raw!G1282="USA",Controls_Raw!G1282="UK"),"Standardize","OK")</f>
        <v>OK</v>
      </c>
      <c r="F1282" t="str">
        <f>IF(Controls_Raw!E1282&lt;&gt;TRIM(Controls_Raw!E1282),"Trim","OK")</f>
        <v>OK</v>
      </c>
      <c r="G1282" t="str">
        <f>IF(AND(Controls_Raw!L1282&lt;DATE(2026,9,30),Controls_Raw!M1282&lt;&gt;"Completed"),"Overdue","OK")</f>
        <v>OK</v>
      </c>
      <c r="H1282" t="str">
        <f>IF(AND(Controls_Raw!Q1282&lt;DATE(2026,9,30),Controls_Raw!R1282&lt;&gt;"Completed",Controls_Raw!R1282&lt;&gt;"Not Required"),"Overdue","OK")</f>
        <v>Overdue</v>
      </c>
      <c r="I1282" t="str">
        <f t="shared" si="19"/>
        <v>Issue</v>
      </c>
    </row>
    <row r="1283" spans="1:9" x14ac:dyDescent="0.2">
      <c r="A1283" t="str">
        <f>Controls_Raw!A1283</f>
        <v>CTRL-1279</v>
      </c>
      <c r="B1283" t="str">
        <f>IF(COUNTIF(Controls_Raw!$A$5:$A$1504,A1283)&gt;1,"Duplicate","OK")</f>
        <v>OK</v>
      </c>
      <c r="C1283" t="str">
        <f>IF(LEN(TRIM(Controls_Raw!I1283))=0,"Missing","OK")</f>
        <v>OK</v>
      </c>
      <c r="D1283" t="str">
        <f>IF(LEN(TRIM(Controls_Raw!N1283))=0,"Missing","OK")</f>
        <v>OK</v>
      </c>
      <c r="E1283" t="str">
        <f>IF(OR(Controls_Raw!G1283="USA",Controls_Raw!G1283="UK"),"Standardize","OK")</f>
        <v>OK</v>
      </c>
      <c r="F1283" t="str">
        <f>IF(Controls_Raw!E1283&lt;&gt;TRIM(Controls_Raw!E1283),"Trim","OK")</f>
        <v>OK</v>
      </c>
      <c r="G1283" t="str">
        <f>IF(AND(Controls_Raw!L1283&lt;DATE(2026,9,30),Controls_Raw!M1283&lt;&gt;"Completed"),"Overdue","OK")</f>
        <v>Overdue</v>
      </c>
      <c r="H1283" t="str">
        <f>IF(AND(Controls_Raw!Q1283&lt;DATE(2026,9,30),Controls_Raw!R1283&lt;&gt;"Completed",Controls_Raw!R1283&lt;&gt;"Not Required"),"Overdue","OK")</f>
        <v>Overdue</v>
      </c>
      <c r="I1283" t="str">
        <f t="shared" si="19"/>
        <v>Issue</v>
      </c>
    </row>
    <row r="1284" spans="1:9" x14ac:dyDescent="0.2">
      <c r="A1284" t="str">
        <f>Controls_Raw!A1284</f>
        <v>CTRL-1280</v>
      </c>
      <c r="B1284" t="str">
        <f>IF(COUNTIF(Controls_Raw!$A$5:$A$1504,A1284)&gt;1,"Duplicate","OK")</f>
        <v>OK</v>
      </c>
      <c r="C1284" t="str">
        <f>IF(LEN(TRIM(Controls_Raw!I1284))=0,"Missing","OK")</f>
        <v>OK</v>
      </c>
      <c r="D1284" t="str">
        <f>IF(LEN(TRIM(Controls_Raw!N1284))=0,"Missing","OK")</f>
        <v>OK</v>
      </c>
      <c r="E1284" t="str">
        <f>IF(OR(Controls_Raw!G1284="USA",Controls_Raw!G1284="UK"),"Standardize","OK")</f>
        <v>OK</v>
      </c>
      <c r="F1284" t="str">
        <f>IF(Controls_Raw!E1284&lt;&gt;TRIM(Controls_Raw!E1284),"Trim","OK")</f>
        <v>OK</v>
      </c>
      <c r="G1284" t="str">
        <f>IF(AND(Controls_Raw!L1284&lt;DATE(2026,9,30),Controls_Raw!M1284&lt;&gt;"Completed"),"Overdue","OK")</f>
        <v>Overdue</v>
      </c>
      <c r="H1284" t="str">
        <f>IF(AND(Controls_Raw!Q1284&lt;DATE(2026,9,30),Controls_Raw!R1284&lt;&gt;"Completed",Controls_Raw!R1284&lt;&gt;"Not Required"),"Overdue","OK")</f>
        <v>OK</v>
      </c>
      <c r="I1284" t="str">
        <f t="shared" si="19"/>
        <v>Issue</v>
      </c>
    </row>
    <row r="1285" spans="1:9" x14ac:dyDescent="0.2">
      <c r="A1285" t="str">
        <f>Controls_Raw!A1285</f>
        <v>CTRL-1281</v>
      </c>
      <c r="B1285" t="str">
        <f>IF(COUNTIF(Controls_Raw!$A$5:$A$1504,A1285)&gt;1,"Duplicate","OK")</f>
        <v>OK</v>
      </c>
      <c r="C1285" t="str">
        <f>IF(LEN(TRIM(Controls_Raw!I1285))=0,"Missing","OK")</f>
        <v>OK</v>
      </c>
      <c r="D1285" t="str">
        <f>IF(LEN(TRIM(Controls_Raw!N1285))=0,"Missing","OK")</f>
        <v>OK</v>
      </c>
      <c r="E1285" t="str">
        <f>IF(OR(Controls_Raw!G1285="USA",Controls_Raw!G1285="UK"),"Standardize","OK")</f>
        <v>OK</v>
      </c>
      <c r="F1285" t="str">
        <f>IF(Controls_Raw!E1285&lt;&gt;TRIM(Controls_Raw!E1285),"Trim","OK")</f>
        <v>OK</v>
      </c>
      <c r="G1285" t="str">
        <f>IF(AND(Controls_Raw!L1285&lt;DATE(2026,9,30),Controls_Raw!M1285&lt;&gt;"Completed"),"Overdue","OK")</f>
        <v>Overdue</v>
      </c>
      <c r="H1285" t="str">
        <f>IF(AND(Controls_Raw!Q1285&lt;DATE(2026,9,30),Controls_Raw!R1285&lt;&gt;"Completed",Controls_Raw!R1285&lt;&gt;"Not Required"),"Overdue","OK")</f>
        <v>OK</v>
      </c>
      <c r="I1285" t="str">
        <f t="shared" ref="I1285:I1348" si="20">IF(COUNTIF(B1285:H1285,"&lt;&gt;OK")&gt;0,"Issue","Pass")</f>
        <v>Issue</v>
      </c>
    </row>
    <row r="1286" spans="1:9" x14ac:dyDescent="0.2">
      <c r="A1286" t="str">
        <f>Controls_Raw!A1286</f>
        <v>CTRL-1282</v>
      </c>
      <c r="B1286" t="str">
        <f>IF(COUNTIF(Controls_Raw!$A$5:$A$1504,A1286)&gt;1,"Duplicate","OK")</f>
        <v>OK</v>
      </c>
      <c r="C1286" t="str">
        <f>IF(LEN(TRIM(Controls_Raw!I1286))=0,"Missing","OK")</f>
        <v>OK</v>
      </c>
      <c r="D1286" t="str">
        <f>IF(LEN(TRIM(Controls_Raw!N1286))=0,"Missing","OK")</f>
        <v>OK</v>
      </c>
      <c r="E1286" t="str">
        <f>IF(OR(Controls_Raw!G1286="USA",Controls_Raw!G1286="UK"),"Standardize","OK")</f>
        <v>OK</v>
      </c>
      <c r="F1286" t="str">
        <f>IF(Controls_Raw!E1286&lt;&gt;TRIM(Controls_Raw!E1286),"Trim","OK")</f>
        <v>OK</v>
      </c>
      <c r="G1286" t="str">
        <f>IF(AND(Controls_Raw!L1286&lt;DATE(2026,9,30),Controls_Raw!M1286&lt;&gt;"Completed"),"Overdue","OK")</f>
        <v>Overdue</v>
      </c>
      <c r="H1286" t="str">
        <f>IF(AND(Controls_Raw!Q1286&lt;DATE(2026,9,30),Controls_Raw!R1286&lt;&gt;"Completed",Controls_Raw!R1286&lt;&gt;"Not Required"),"Overdue","OK")</f>
        <v>Overdue</v>
      </c>
      <c r="I1286" t="str">
        <f t="shared" si="20"/>
        <v>Issue</v>
      </c>
    </row>
    <row r="1287" spans="1:9" x14ac:dyDescent="0.2">
      <c r="A1287" t="str">
        <f>Controls_Raw!A1287</f>
        <v>CTRL-1283</v>
      </c>
      <c r="B1287" t="str">
        <f>IF(COUNTIF(Controls_Raw!$A$5:$A$1504,A1287)&gt;1,"Duplicate","OK")</f>
        <v>OK</v>
      </c>
      <c r="C1287" t="str">
        <f>IF(LEN(TRIM(Controls_Raw!I1287))=0,"Missing","OK")</f>
        <v>OK</v>
      </c>
      <c r="D1287" t="str">
        <f>IF(LEN(TRIM(Controls_Raw!N1287))=0,"Missing","OK")</f>
        <v>OK</v>
      </c>
      <c r="E1287" t="str">
        <f>IF(OR(Controls_Raw!G1287="USA",Controls_Raw!G1287="UK"),"Standardize","OK")</f>
        <v>OK</v>
      </c>
      <c r="F1287" t="str">
        <f>IF(Controls_Raw!E1287&lt;&gt;TRIM(Controls_Raw!E1287),"Trim","OK")</f>
        <v>OK</v>
      </c>
      <c r="G1287" t="str">
        <f>IF(AND(Controls_Raw!L1287&lt;DATE(2026,9,30),Controls_Raw!M1287&lt;&gt;"Completed"),"Overdue","OK")</f>
        <v>OK</v>
      </c>
      <c r="H1287" t="str">
        <f>IF(AND(Controls_Raw!Q1287&lt;DATE(2026,9,30),Controls_Raw!R1287&lt;&gt;"Completed",Controls_Raw!R1287&lt;&gt;"Not Required"),"Overdue","OK")</f>
        <v>OK</v>
      </c>
      <c r="I1287" t="str">
        <f t="shared" si="20"/>
        <v>Pass</v>
      </c>
    </row>
    <row r="1288" spans="1:9" x14ac:dyDescent="0.2">
      <c r="A1288" t="str">
        <f>Controls_Raw!A1288</f>
        <v>CTRL-1284</v>
      </c>
      <c r="B1288" t="str">
        <f>IF(COUNTIF(Controls_Raw!$A$5:$A$1504,A1288)&gt;1,"Duplicate","OK")</f>
        <v>OK</v>
      </c>
      <c r="C1288" t="str">
        <f>IF(LEN(TRIM(Controls_Raw!I1288))=0,"Missing","OK")</f>
        <v>OK</v>
      </c>
      <c r="D1288" t="str">
        <f>IF(LEN(TRIM(Controls_Raw!N1288))=0,"Missing","OK")</f>
        <v>OK</v>
      </c>
      <c r="E1288" t="str">
        <f>IF(OR(Controls_Raw!G1288="USA",Controls_Raw!G1288="UK"),"Standardize","OK")</f>
        <v>OK</v>
      </c>
      <c r="F1288" t="str">
        <f>IF(Controls_Raw!E1288&lt;&gt;TRIM(Controls_Raw!E1288),"Trim","OK")</f>
        <v>OK</v>
      </c>
      <c r="G1288" t="str">
        <f>IF(AND(Controls_Raw!L1288&lt;DATE(2026,9,30),Controls_Raw!M1288&lt;&gt;"Completed"),"Overdue","OK")</f>
        <v>Overdue</v>
      </c>
      <c r="H1288" t="str">
        <f>IF(AND(Controls_Raw!Q1288&lt;DATE(2026,9,30),Controls_Raw!R1288&lt;&gt;"Completed",Controls_Raw!R1288&lt;&gt;"Not Required"),"Overdue","OK")</f>
        <v>OK</v>
      </c>
      <c r="I1288" t="str">
        <f t="shared" si="20"/>
        <v>Issue</v>
      </c>
    </row>
    <row r="1289" spans="1:9" x14ac:dyDescent="0.2">
      <c r="A1289" t="str">
        <f>Controls_Raw!A1289</f>
        <v>CTRL-1285</v>
      </c>
      <c r="B1289" t="str">
        <f>IF(COUNTIF(Controls_Raw!$A$5:$A$1504,A1289)&gt;1,"Duplicate","OK")</f>
        <v>OK</v>
      </c>
      <c r="C1289" t="str">
        <f>IF(LEN(TRIM(Controls_Raw!I1289))=0,"Missing","OK")</f>
        <v>OK</v>
      </c>
      <c r="D1289" t="str">
        <f>IF(LEN(TRIM(Controls_Raw!N1289))=0,"Missing","OK")</f>
        <v>OK</v>
      </c>
      <c r="E1289" t="str">
        <f>IF(OR(Controls_Raw!G1289="USA",Controls_Raw!G1289="UK"),"Standardize","OK")</f>
        <v>OK</v>
      </c>
      <c r="F1289" t="str">
        <f>IF(Controls_Raw!E1289&lt;&gt;TRIM(Controls_Raw!E1289),"Trim","OK")</f>
        <v>OK</v>
      </c>
      <c r="G1289" t="str">
        <f>IF(AND(Controls_Raw!L1289&lt;DATE(2026,9,30),Controls_Raw!M1289&lt;&gt;"Completed"),"Overdue","OK")</f>
        <v>OK</v>
      </c>
      <c r="H1289" t="str">
        <f>IF(AND(Controls_Raw!Q1289&lt;DATE(2026,9,30),Controls_Raw!R1289&lt;&gt;"Completed",Controls_Raw!R1289&lt;&gt;"Not Required"),"Overdue","OK")</f>
        <v>OK</v>
      </c>
      <c r="I1289" t="str">
        <f t="shared" si="20"/>
        <v>Pass</v>
      </c>
    </row>
    <row r="1290" spans="1:9" x14ac:dyDescent="0.2">
      <c r="A1290" t="str">
        <f>Controls_Raw!A1290</f>
        <v>CTRL-1286</v>
      </c>
      <c r="B1290" t="str">
        <f>IF(COUNTIF(Controls_Raw!$A$5:$A$1504,A1290)&gt;1,"Duplicate","OK")</f>
        <v>OK</v>
      </c>
      <c r="C1290" t="str">
        <f>IF(LEN(TRIM(Controls_Raw!I1290))=0,"Missing","OK")</f>
        <v>OK</v>
      </c>
      <c r="D1290" t="str">
        <f>IF(LEN(TRIM(Controls_Raw!N1290))=0,"Missing","OK")</f>
        <v>OK</v>
      </c>
      <c r="E1290" t="str">
        <f>IF(OR(Controls_Raw!G1290="USA",Controls_Raw!G1290="UK"),"Standardize","OK")</f>
        <v>OK</v>
      </c>
      <c r="F1290" t="str">
        <f>IF(Controls_Raw!E1290&lt;&gt;TRIM(Controls_Raw!E1290),"Trim","OK")</f>
        <v>OK</v>
      </c>
      <c r="G1290" t="str">
        <f>IF(AND(Controls_Raw!L1290&lt;DATE(2026,9,30),Controls_Raw!M1290&lt;&gt;"Completed"),"Overdue","OK")</f>
        <v>OK</v>
      </c>
      <c r="H1290" t="str">
        <f>IF(AND(Controls_Raw!Q1290&lt;DATE(2026,9,30),Controls_Raw!R1290&lt;&gt;"Completed",Controls_Raw!R1290&lt;&gt;"Not Required"),"Overdue","OK")</f>
        <v>OK</v>
      </c>
      <c r="I1290" t="str">
        <f t="shared" si="20"/>
        <v>Pass</v>
      </c>
    </row>
    <row r="1291" spans="1:9" x14ac:dyDescent="0.2">
      <c r="A1291" t="str">
        <f>Controls_Raw!A1291</f>
        <v>CTRL-1287</v>
      </c>
      <c r="B1291" t="str">
        <f>IF(COUNTIF(Controls_Raw!$A$5:$A$1504,A1291)&gt;1,"Duplicate","OK")</f>
        <v>OK</v>
      </c>
      <c r="C1291" t="str">
        <f>IF(LEN(TRIM(Controls_Raw!I1291))=0,"Missing","OK")</f>
        <v>OK</v>
      </c>
      <c r="D1291" t="str">
        <f>IF(LEN(TRIM(Controls_Raw!N1291))=0,"Missing","OK")</f>
        <v>OK</v>
      </c>
      <c r="E1291" t="str">
        <f>IF(OR(Controls_Raw!G1291="USA",Controls_Raw!G1291="UK"),"Standardize","OK")</f>
        <v>OK</v>
      </c>
      <c r="F1291" t="str">
        <f>IF(Controls_Raw!E1291&lt;&gt;TRIM(Controls_Raw!E1291),"Trim","OK")</f>
        <v>OK</v>
      </c>
      <c r="G1291" t="str">
        <f>IF(AND(Controls_Raw!L1291&lt;DATE(2026,9,30),Controls_Raw!M1291&lt;&gt;"Completed"),"Overdue","OK")</f>
        <v>Overdue</v>
      </c>
      <c r="H1291" t="str">
        <f>IF(AND(Controls_Raw!Q1291&lt;DATE(2026,9,30),Controls_Raw!R1291&lt;&gt;"Completed",Controls_Raw!R1291&lt;&gt;"Not Required"),"Overdue","OK")</f>
        <v>OK</v>
      </c>
      <c r="I1291" t="str">
        <f t="shared" si="20"/>
        <v>Issue</v>
      </c>
    </row>
    <row r="1292" spans="1:9" x14ac:dyDescent="0.2">
      <c r="A1292" t="str">
        <f>Controls_Raw!A1292</f>
        <v>CTRL-1288</v>
      </c>
      <c r="B1292" t="str">
        <f>IF(COUNTIF(Controls_Raw!$A$5:$A$1504,A1292)&gt;1,"Duplicate","OK")</f>
        <v>OK</v>
      </c>
      <c r="C1292" t="str">
        <f>IF(LEN(TRIM(Controls_Raw!I1292))=0,"Missing","OK")</f>
        <v>OK</v>
      </c>
      <c r="D1292" t="str">
        <f>IF(LEN(TRIM(Controls_Raw!N1292))=0,"Missing","OK")</f>
        <v>OK</v>
      </c>
      <c r="E1292" t="str">
        <f>IF(OR(Controls_Raw!G1292="USA",Controls_Raw!G1292="UK"),"Standardize","OK")</f>
        <v>OK</v>
      </c>
      <c r="F1292" t="str">
        <f>IF(Controls_Raw!E1292&lt;&gt;TRIM(Controls_Raw!E1292),"Trim","OK")</f>
        <v>OK</v>
      </c>
      <c r="G1292" t="str">
        <f>IF(AND(Controls_Raw!L1292&lt;DATE(2026,9,30),Controls_Raw!M1292&lt;&gt;"Completed"),"Overdue","OK")</f>
        <v>OK</v>
      </c>
      <c r="H1292" t="str">
        <f>IF(AND(Controls_Raw!Q1292&lt;DATE(2026,9,30),Controls_Raw!R1292&lt;&gt;"Completed",Controls_Raw!R1292&lt;&gt;"Not Required"),"Overdue","OK")</f>
        <v>OK</v>
      </c>
      <c r="I1292" t="str">
        <f t="shared" si="20"/>
        <v>Pass</v>
      </c>
    </row>
    <row r="1293" spans="1:9" x14ac:dyDescent="0.2">
      <c r="A1293" t="str">
        <f>Controls_Raw!A1293</f>
        <v>CTRL-1289</v>
      </c>
      <c r="B1293" t="str">
        <f>IF(COUNTIF(Controls_Raw!$A$5:$A$1504,A1293)&gt;1,"Duplicate","OK")</f>
        <v>OK</v>
      </c>
      <c r="C1293" t="str">
        <f>IF(LEN(TRIM(Controls_Raw!I1293))=0,"Missing","OK")</f>
        <v>OK</v>
      </c>
      <c r="D1293" t="str">
        <f>IF(LEN(TRIM(Controls_Raw!N1293))=0,"Missing","OK")</f>
        <v>OK</v>
      </c>
      <c r="E1293" t="str">
        <f>IF(OR(Controls_Raw!G1293="USA",Controls_Raw!G1293="UK"),"Standardize","OK")</f>
        <v>OK</v>
      </c>
      <c r="F1293" t="str">
        <f>IF(Controls_Raw!E1293&lt;&gt;TRIM(Controls_Raw!E1293),"Trim","OK")</f>
        <v>OK</v>
      </c>
      <c r="G1293" t="str">
        <f>IF(AND(Controls_Raw!L1293&lt;DATE(2026,9,30),Controls_Raw!M1293&lt;&gt;"Completed"),"Overdue","OK")</f>
        <v>Overdue</v>
      </c>
      <c r="H1293" t="str">
        <f>IF(AND(Controls_Raw!Q1293&lt;DATE(2026,9,30),Controls_Raw!R1293&lt;&gt;"Completed",Controls_Raw!R1293&lt;&gt;"Not Required"),"Overdue","OK")</f>
        <v>OK</v>
      </c>
      <c r="I1293" t="str">
        <f t="shared" si="20"/>
        <v>Issue</v>
      </c>
    </row>
    <row r="1294" spans="1:9" x14ac:dyDescent="0.2">
      <c r="A1294" t="str">
        <f>Controls_Raw!A1294</f>
        <v>CTRL-1290</v>
      </c>
      <c r="B1294" t="str">
        <f>IF(COUNTIF(Controls_Raw!$A$5:$A$1504,A1294)&gt;1,"Duplicate","OK")</f>
        <v>OK</v>
      </c>
      <c r="C1294" t="str">
        <f>IF(LEN(TRIM(Controls_Raw!I1294))=0,"Missing","OK")</f>
        <v>OK</v>
      </c>
      <c r="D1294" t="str">
        <f>IF(LEN(TRIM(Controls_Raw!N1294))=0,"Missing","OK")</f>
        <v>OK</v>
      </c>
      <c r="E1294" t="str">
        <f>IF(OR(Controls_Raw!G1294="USA",Controls_Raw!G1294="UK"),"Standardize","OK")</f>
        <v>OK</v>
      </c>
      <c r="F1294" t="str">
        <f>IF(Controls_Raw!E1294&lt;&gt;TRIM(Controls_Raw!E1294),"Trim","OK")</f>
        <v>OK</v>
      </c>
      <c r="G1294" t="str">
        <f>IF(AND(Controls_Raw!L1294&lt;DATE(2026,9,30),Controls_Raw!M1294&lt;&gt;"Completed"),"Overdue","OK")</f>
        <v>Overdue</v>
      </c>
      <c r="H1294" t="str">
        <f>IF(AND(Controls_Raw!Q1294&lt;DATE(2026,9,30),Controls_Raw!R1294&lt;&gt;"Completed",Controls_Raw!R1294&lt;&gt;"Not Required"),"Overdue","OK")</f>
        <v>OK</v>
      </c>
      <c r="I1294" t="str">
        <f t="shared" si="20"/>
        <v>Issue</v>
      </c>
    </row>
    <row r="1295" spans="1:9" x14ac:dyDescent="0.2">
      <c r="A1295" t="str">
        <f>Controls_Raw!A1295</f>
        <v>CTRL-1291</v>
      </c>
      <c r="B1295" t="str">
        <f>IF(COUNTIF(Controls_Raw!$A$5:$A$1504,A1295)&gt;1,"Duplicate","OK")</f>
        <v>OK</v>
      </c>
      <c r="C1295" t="str">
        <f>IF(LEN(TRIM(Controls_Raw!I1295))=0,"Missing","OK")</f>
        <v>OK</v>
      </c>
      <c r="D1295" t="str">
        <f>IF(LEN(TRIM(Controls_Raw!N1295))=0,"Missing","OK")</f>
        <v>OK</v>
      </c>
      <c r="E1295" t="str">
        <f>IF(OR(Controls_Raw!G1295="USA",Controls_Raw!G1295="UK"),"Standardize","OK")</f>
        <v>OK</v>
      </c>
      <c r="F1295" t="str">
        <f>IF(Controls_Raw!E1295&lt;&gt;TRIM(Controls_Raw!E1295),"Trim","OK")</f>
        <v>OK</v>
      </c>
      <c r="G1295" t="str">
        <f>IF(AND(Controls_Raw!L1295&lt;DATE(2026,9,30),Controls_Raw!M1295&lt;&gt;"Completed"),"Overdue","OK")</f>
        <v>Overdue</v>
      </c>
      <c r="H1295" t="str">
        <f>IF(AND(Controls_Raw!Q1295&lt;DATE(2026,9,30),Controls_Raw!R1295&lt;&gt;"Completed",Controls_Raw!R1295&lt;&gt;"Not Required"),"Overdue","OK")</f>
        <v>OK</v>
      </c>
      <c r="I1295" t="str">
        <f t="shared" si="20"/>
        <v>Issue</v>
      </c>
    </row>
    <row r="1296" spans="1:9" x14ac:dyDescent="0.2">
      <c r="A1296" t="str">
        <f>Controls_Raw!A1296</f>
        <v>CTRL-1292</v>
      </c>
      <c r="B1296" t="str">
        <f>IF(COUNTIF(Controls_Raw!$A$5:$A$1504,A1296)&gt;1,"Duplicate","OK")</f>
        <v>OK</v>
      </c>
      <c r="C1296" t="str">
        <f>IF(LEN(TRIM(Controls_Raw!I1296))=0,"Missing","OK")</f>
        <v>OK</v>
      </c>
      <c r="D1296" t="str">
        <f>IF(LEN(TRIM(Controls_Raw!N1296))=0,"Missing","OK")</f>
        <v>OK</v>
      </c>
      <c r="E1296" t="str">
        <f>IF(OR(Controls_Raw!G1296="USA",Controls_Raw!G1296="UK"),"Standardize","OK")</f>
        <v>OK</v>
      </c>
      <c r="F1296" t="str">
        <f>IF(Controls_Raw!E1296&lt;&gt;TRIM(Controls_Raw!E1296),"Trim","OK")</f>
        <v>OK</v>
      </c>
      <c r="G1296" t="str">
        <f>IF(AND(Controls_Raw!L1296&lt;DATE(2026,9,30),Controls_Raw!M1296&lt;&gt;"Completed"),"Overdue","OK")</f>
        <v>OK</v>
      </c>
      <c r="H1296" t="str">
        <f>IF(AND(Controls_Raw!Q1296&lt;DATE(2026,9,30),Controls_Raw!R1296&lt;&gt;"Completed",Controls_Raw!R1296&lt;&gt;"Not Required"),"Overdue","OK")</f>
        <v>OK</v>
      </c>
      <c r="I1296" t="str">
        <f t="shared" si="20"/>
        <v>Pass</v>
      </c>
    </row>
    <row r="1297" spans="1:9" x14ac:dyDescent="0.2">
      <c r="A1297" t="str">
        <f>Controls_Raw!A1297</f>
        <v>CTRL-1293</v>
      </c>
      <c r="B1297" t="str">
        <f>IF(COUNTIF(Controls_Raw!$A$5:$A$1504,A1297)&gt;1,"Duplicate","OK")</f>
        <v>OK</v>
      </c>
      <c r="C1297" t="str">
        <f>IF(LEN(TRIM(Controls_Raw!I1297))=0,"Missing","OK")</f>
        <v>OK</v>
      </c>
      <c r="D1297" t="str">
        <f>IF(LEN(TRIM(Controls_Raw!N1297))=0,"Missing","OK")</f>
        <v>OK</v>
      </c>
      <c r="E1297" t="str">
        <f>IF(OR(Controls_Raw!G1297="USA",Controls_Raw!G1297="UK"),"Standardize","OK")</f>
        <v>OK</v>
      </c>
      <c r="F1297" t="str">
        <f>IF(Controls_Raw!E1297&lt;&gt;TRIM(Controls_Raw!E1297),"Trim","OK")</f>
        <v>OK</v>
      </c>
      <c r="G1297" t="str">
        <f>IF(AND(Controls_Raw!L1297&lt;DATE(2026,9,30),Controls_Raw!M1297&lt;&gt;"Completed"),"Overdue","OK")</f>
        <v>Overdue</v>
      </c>
      <c r="H1297" t="str">
        <f>IF(AND(Controls_Raw!Q1297&lt;DATE(2026,9,30),Controls_Raw!R1297&lt;&gt;"Completed",Controls_Raw!R1297&lt;&gt;"Not Required"),"Overdue","OK")</f>
        <v>Overdue</v>
      </c>
      <c r="I1297" t="str">
        <f t="shared" si="20"/>
        <v>Issue</v>
      </c>
    </row>
    <row r="1298" spans="1:9" x14ac:dyDescent="0.2">
      <c r="A1298" t="str">
        <f>Controls_Raw!A1298</f>
        <v>CTRL-1294</v>
      </c>
      <c r="B1298" t="str">
        <f>IF(COUNTIF(Controls_Raw!$A$5:$A$1504,A1298)&gt;1,"Duplicate","OK")</f>
        <v>OK</v>
      </c>
      <c r="C1298" t="str">
        <f>IF(LEN(TRIM(Controls_Raw!I1298))=0,"Missing","OK")</f>
        <v>OK</v>
      </c>
      <c r="D1298" t="str">
        <f>IF(LEN(TRIM(Controls_Raw!N1298))=0,"Missing","OK")</f>
        <v>OK</v>
      </c>
      <c r="E1298" t="str">
        <f>IF(OR(Controls_Raw!G1298="USA",Controls_Raw!G1298="UK"),"Standardize","OK")</f>
        <v>OK</v>
      </c>
      <c r="F1298" t="str">
        <f>IF(Controls_Raw!E1298&lt;&gt;TRIM(Controls_Raw!E1298),"Trim","OK")</f>
        <v>OK</v>
      </c>
      <c r="G1298" t="str">
        <f>IF(AND(Controls_Raw!L1298&lt;DATE(2026,9,30),Controls_Raw!M1298&lt;&gt;"Completed"),"Overdue","OK")</f>
        <v>OK</v>
      </c>
      <c r="H1298" t="str">
        <f>IF(AND(Controls_Raw!Q1298&lt;DATE(2026,9,30),Controls_Raw!R1298&lt;&gt;"Completed",Controls_Raw!R1298&lt;&gt;"Not Required"),"Overdue","OK")</f>
        <v>OK</v>
      </c>
      <c r="I1298" t="str">
        <f t="shared" si="20"/>
        <v>Pass</v>
      </c>
    </row>
    <row r="1299" spans="1:9" x14ac:dyDescent="0.2">
      <c r="A1299" t="str">
        <f>Controls_Raw!A1299</f>
        <v>CTRL-1295</v>
      </c>
      <c r="B1299" t="str">
        <f>IF(COUNTIF(Controls_Raw!$A$5:$A$1504,A1299)&gt;1,"Duplicate","OK")</f>
        <v>OK</v>
      </c>
      <c r="C1299" t="str">
        <f>IF(LEN(TRIM(Controls_Raw!I1299))=0,"Missing","OK")</f>
        <v>OK</v>
      </c>
      <c r="D1299" t="str">
        <f>IF(LEN(TRIM(Controls_Raw!N1299))=0,"Missing","OK")</f>
        <v>OK</v>
      </c>
      <c r="E1299" t="str">
        <f>IF(OR(Controls_Raw!G1299="USA",Controls_Raw!G1299="UK"),"Standardize","OK")</f>
        <v>OK</v>
      </c>
      <c r="F1299" t="str">
        <f>IF(Controls_Raw!E1299&lt;&gt;TRIM(Controls_Raw!E1299),"Trim","OK")</f>
        <v>OK</v>
      </c>
      <c r="G1299" t="str">
        <f>IF(AND(Controls_Raw!L1299&lt;DATE(2026,9,30),Controls_Raw!M1299&lt;&gt;"Completed"),"Overdue","OK")</f>
        <v>OK</v>
      </c>
      <c r="H1299" t="str">
        <f>IF(AND(Controls_Raw!Q1299&lt;DATE(2026,9,30),Controls_Raw!R1299&lt;&gt;"Completed",Controls_Raw!R1299&lt;&gt;"Not Required"),"Overdue","OK")</f>
        <v>OK</v>
      </c>
      <c r="I1299" t="str">
        <f t="shared" si="20"/>
        <v>Pass</v>
      </c>
    </row>
    <row r="1300" spans="1:9" x14ac:dyDescent="0.2">
      <c r="A1300" t="str">
        <f>Controls_Raw!A1300</f>
        <v>CTRL-1296</v>
      </c>
      <c r="B1300" t="str">
        <f>IF(COUNTIF(Controls_Raw!$A$5:$A$1504,A1300)&gt;1,"Duplicate","OK")</f>
        <v>OK</v>
      </c>
      <c r="C1300" t="str">
        <f>IF(LEN(TRIM(Controls_Raw!I1300))=0,"Missing","OK")</f>
        <v>OK</v>
      </c>
      <c r="D1300" t="str">
        <f>IF(LEN(TRIM(Controls_Raw!N1300))=0,"Missing","OK")</f>
        <v>OK</v>
      </c>
      <c r="E1300" t="str">
        <f>IF(OR(Controls_Raw!G1300="USA",Controls_Raw!G1300="UK"),"Standardize","OK")</f>
        <v>OK</v>
      </c>
      <c r="F1300" t="str">
        <f>IF(Controls_Raw!E1300&lt;&gt;TRIM(Controls_Raw!E1300),"Trim","OK")</f>
        <v>OK</v>
      </c>
      <c r="G1300" t="str">
        <f>IF(AND(Controls_Raw!L1300&lt;DATE(2026,9,30),Controls_Raw!M1300&lt;&gt;"Completed"),"Overdue","OK")</f>
        <v>Overdue</v>
      </c>
      <c r="H1300" t="str">
        <f>IF(AND(Controls_Raw!Q1300&lt;DATE(2026,9,30),Controls_Raw!R1300&lt;&gt;"Completed",Controls_Raw!R1300&lt;&gt;"Not Required"),"Overdue","OK")</f>
        <v>OK</v>
      </c>
      <c r="I1300" t="str">
        <f t="shared" si="20"/>
        <v>Issue</v>
      </c>
    </row>
    <row r="1301" spans="1:9" x14ac:dyDescent="0.2">
      <c r="A1301" t="str">
        <f>Controls_Raw!A1301</f>
        <v>CTRL-1297</v>
      </c>
      <c r="B1301" t="str">
        <f>IF(COUNTIF(Controls_Raw!$A$5:$A$1504,A1301)&gt;1,"Duplicate","OK")</f>
        <v>OK</v>
      </c>
      <c r="C1301" t="str">
        <f>IF(LEN(TRIM(Controls_Raw!I1301))=0,"Missing","OK")</f>
        <v>OK</v>
      </c>
      <c r="D1301" t="str">
        <f>IF(LEN(TRIM(Controls_Raw!N1301))=0,"Missing","OK")</f>
        <v>OK</v>
      </c>
      <c r="E1301" t="str">
        <f>IF(OR(Controls_Raw!G1301="USA",Controls_Raw!G1301="UK"),"Standardize","OK")</f>
        <v>OK</v>
      </c>
      <c r="F1301" t="str">
        <f>IF(Controls_Raw!E1301&lt;&gt;TRIM(Controls_Raw!E1301),"Trim","OK")</f>
        <v>OK</v>
      </c>
      <c r="G1301" t="str">
        <f>IF(AND(Controls_Raw!L1301&lt;DATE(2026,9,30),Controls_Raw!M1301&lt;&gt;"Completed"),"Overdue","OK")</f>
        <v>Overdue</v>
      </c>
      <c r="H1301" t="str">
        <f>IF(AND(Controls_Raw!Q1301&lt;DATE(2026,9,30),Controls_Raw!R1301&lt;&gt;"Completed",Controls_Raw!R1301&lt;&gt;"Not Required"),"Overdue","OK")</f>
        <v>Overdue</v>
      </c>
      <c r="I1301" t="str">
        <f t="shared" si="20"/>
        <v>Issue</v>
      </c>
    </row>
    <row r="1302" spans="1:9" x14ac:dyDescent="0.2">
      <c r="A1302" t="str">
        <f>Controls_Raw!A1302</f>
        <v>CTRL-1298</v>
      </c>
      <c r="B1302" t="str">
        <f>IF(COUNTIF(Controls_Raw!$A$5:$A$1504,A1302)&gt;1,"Duplicate","OK")</f>
        <v>OK</v>
      </c>
      <c r="C1302" t="str">
        <f>IF(LEN(TRIM(Controls_Raw!I1302))=0,"Missing","OK")</f>
        <v>OK</v>
      </c>
      <c r="D1302" t="str">
        <f>IF(LEN(TRIM(Controls_Raw!N1302))=0,"Missing","OK")</f>
        <v>OK</v>
      </c>
      <c r="E1302" t="str">
        <f>IF(OR(Controls_Raw!G1302="USA",Controls_Raw!G1302="UK"),"Standardize","OK")</f>
        <v>OK</v>
      </c>
      <c r="F1302" t="str">
        <f>IF(Controls_Raw!E1302&lt;&gt;TRIM(Controls_Raw!E1302),"Trim","OK")</f>
        <v>OK</v>
      </c>
      <c r="G1302" t="str">
        <f>IF(AND(Controls_Raw!L1302&lt;DATE(2026,9,30),Controls_Raw!M1302&lt;&gt;"Completed"),"Overdue","OK")</f>
        <v>OK</v>
      </c>
      <c r="H1302" t="str">
        <f>IF(AND(Controls_Raw!Q1302&lt;DATE(2026,9,30),Controls_Raw!R1302&lt;&gt;"Completed",Controls_Raw!R1302&lt;&gt;"Not Required"),"Overdue","OK")</f>
        <v>OK</v>
      </c>
      <c r="I1302" t="str">
        <f t="shared" si="20"/>
        <v>Pass</v>
      </c>
    </row>
    <row r="1303" spans="1:9" x14ac:dyDescent="0.2">
      <c r="A1303" t="str">
        <f>Controls_Raw!A1303</f>
        <v>CTRL-1299</v>
      </c>
      <c r="B1303" t="str">
        <f>IF(COUNTIF(Controls_Raw!$A$5:$A$1504,A1303)&gt;1,"Duplicate","OK")</f>
        <v>OK</v>
      </c>
      <c r="C1303" t="str">
        <f>IF(LEN(TRIM(Controls_Raw!I1303))=0,"Missing","OK")</f>
        <v>OK</v>
      </c>
      <c r="D1303" t="str">
        <f>IF(LEN(TRIM(Controls_Raw!N1303))=0,"Missing","OK")</f>
        <v>OK</v>
      </c>
      <c r="E1303" t="str">
        <f>IF(OR(Controls_Raw!G1303="USA",Controls_Raw!G1303="UK"),"Standardize","OK")</f>
        <v>OK</v>
      </c>
      <c r="F1303" t="str">
        <f>IF(Controls_Raw!E1303&lt;&gt;TRIM(Controls_Raw!E1303),"Trim","OK")</f>
        <v>OK</v>
      </c>
      <c r="G1303" t="str">
        <f>IF(AND(Controls_Raw!L1303&lt;DATE(2026,9,30),Controls_Raw!M1303&lt;&gt;"Completed"),"Overdue","OK")</f>
        <v>Overdue</v>
      </c>
      <c r="H1303" t="str">
        <f>IF(AND(Controls_Raw!Q1303&lt;DATE(2026,9,30),Controls_Raw!R1303&lt;&gt;"Completed",Controls_Raw!R1303&lt;&gt;"Not Required"),"Overdue","OK")</f>
        <v>OK</v>
      </c>
      <c r="I1303" t="str">
        <f t="shared" si="20"/>
        <v>Issue</v>
      </c>
    </row>
    <row r="1304" spans="1:9" x14ac:dyDescent="0.2">
      <c r="A1304" t="str">
        <f>Controls_Raw!A1304</f>
        <v>CTRL-1300</v>
      </c>
      <c r="B1304" t="str">
        <f>IF(COUNTIF(Controls_Raw!$A$5:$A$1504,A1304)&gt;1,"Duplicate","OK")</f>
        <v>OK</v>
      </c>
      <c r="C1304" t="str">
        <f>IF(LEN(TRIM(Controls_Raw!I1304))=0,"Missing","OK")</f>
        <v>OK</v>
      </c>
      <c r="D1304" t="str">
        <f>IF(LEN(TRIM(Controls_Raw!N1304))=0,"Missing","OK")</f>
        <v>OK</v>
      </c>
      <c r="E1304" t="str">
        <f>IF(OR(Controls_Raw!G1304="USA",Controls_Raw!G1304="UK"),"Standardize","OK")</f>
        <v>OK</v>
      </c>
      <c r="F1304" t="str">
        <f>IF(Controls_Raw!E1304&lt;&gt;TRIM(Controls_Raw!E1304),"Trim","OK")</f>
        <v>OK</v>
      </c>
      <c r="G1304" t="str">
        <f>IF(AND(Controls_Raw!L1304&lt;DATE(2026,9,30),Controls_Raw!M1304&lt;&gt;"Completed"),"Overdue","OK")</f>
        <v>Overdue</v>
      </c>
      <c r="H1304" t="str">
        <f>IF(AND(Controls_Raw!Q1304&lt;DATE(2026,9,30),Controls_Raw!R1304&lt;&gt;"Completed",Controls_Raw!R1304&lt;&gt;"Not Required"),"Overdue","OK")</f>
        <v>OK</v>
      </c>
      <c r="I1304" t="str">
        <f t="shared" si="20"/>
        <v>Issue</v>
      </c>
    </row>
    <row r="1305" spans="1:9" x14ac:dyDescent="0.2">
      <c r="A1305" t="str">
        <f>Controls_Raw!A1305</f>
        <v>CTRL-1301</v>
      </c>
      <c r="B1305" t="str">
        <f>IF(COUNTIF(Controls_Raw!$A$5:$A$1504,A1305)&gt;1,"Duplicate","OK")</f>
        <v>OK</v>
      </c>
      <c r="C1305" t="str">
        <f>IF(LEN(TRIM(Controls_Raw!I1305))=0,"Missing","OK")</f>
        <v>OK</v>
      </c>
      <c r="D1305" t="str">
        <f>IF(LEN(TRIM(Controls_Raw!N1305))=0,"Missing","OK")</f>
        <v>OK</v>
      </c>
      <c r="E1305" t="str">
        <f>IF(OR(Controls_Raw!G1305="USA",Controls_Raw!G1305="UK"),"Standardize","OK")</f>
        <v>OK</v>
      </c>
      <c r="F1305" t="str">
        <f>IF(Controls_Raw!E1305&lt;&gt;TRIM(Controls_Raw!E1305),"Trim","OK")</f>
        <v>OK</v>
      </c>
      <c r="G1305" t="str">
        <f>IF(AND(Controls_Raw!L1305&lt;DATE(2026,9,30),Controls_Raw!M1305&lt;&gt;"Completed"),"Overdue","OK")</f>
        <v>Overdue</v>
      </c>
      <c r="H1305" t="str">
        <f>IF(AND(Controls_Raw!Q1305&lt;DATE(2026,9,30),Controls_Raw!R1305&lt;&gt;"Completed",Controls_Raw!R1305&lt;&gt;"Not Required"),"Overdue","OK")</f>
        <v>Overdue</v>
      </c>
      <c r="I1305" t="str">
        <f t="shared" si="20"/>
        <v>Issue</v>
      </c>
    </row>
    <row r="1306" spans="1:9" x14ac:dyDescent="0.2">
      <c r="A1306" t="str">
        <f>Controls_Raw!A1306</f>
        <v>CTRL-1302</v>
      </c>
      <c r="B1306" t="str">
        <f>IF(COUNTIF(Controls_Raw!$A$5:$A$1504,A1306)&gt;1,"Duplicate","OK")</f>
        <v>OK</v>
      </c>
      <c r="C1306" t="str">
        <f>IF(LEN(TRIM(Controls_Raw!I1306))=0,"Missing","OK")</f>
        <v>OK</v>
      </c>
      <c r="D1306" t="str">
        <f>IF(LEN(TRIM(Controls_Raw!N1306))=0,"Missing","OK")</f>
        <v>OK</v>
      </c>
      <c r="E1306" t="str">
        <f>IF(OR(Controls_Raw!G1306="USA",Controls_Raw!G1306="UK"),"Standardize","OK")</f>
        <v>OK</v>
      </c>
      <c r="F1306" t="str">
        <f>IF(Controls_Raw!E1306&lt;&gt;TRIM(Controls_Raw!E1306),"Trim","OK")</f>
        <v>OK</v>
      </c>
      <c r="G1306" t="str">
        <f>IF(AND(Controls_Raw!L1306&lt;DATE(2026,9,30),Controls_Raw!M1306&lt;&gt;"Completed"),"Overdue","OK")</f>
        <v>OK</v>
      </c>
      <c r="H1306" t="str">
        <f>IF(AND(Controls_Raw!Q1306&lt;DATE(2026,9,30),Controls_Raw!R1306&lt;&gt;"Completed",Controls_Raw!R1306&lt;&gt;"Not Required"),"Overdue","OK")</f>
        <v>OK</v>
      </c>
      <c r="I1306" t="str">
        <f t="shared" si="20"/>
        <v>Pass</v>
      </c>
    </row>
    <row r="1307" spans="1:9" x14ac:dyDescent="0.2">
      <c r="A1307" t="str">
        <f>Controls_Raw!A1307</f>
        <v>CTRL-1303</v>
      </c>
      <c r="B1307" t="str">
        <f>IF(COUNTIF(Controls_Raw!$A$5:$A$1504,A1307)&gt;1,"Duplicate","OK")</f>
        <v>OK</v>
      </c>
      <c r="C1307" t="str">
        <f>IF(LEN(TRIM(Controls_Raw!I1307))=0,"Missing","OK")</f>
        <v>OK</v>
      </c>
      <c r="D1307" t="str">
        <f>IF(LEN(TRIM(Controls_Raw!N1307))=0,"Missing","OK")</f>
        <v>OK</v>
      </c>
      <c r="E1307" t="str">
        <f>IF(OR(Controls_Raw!G1307="USA",Controls_Raw!G1307="UK"),"Standardize","OK")</f>
        <v>OK</v>
      </c>
      <c r="F1307" t="str">
        <f>IF(Controls_Raw!E1307&lt;&gt;TRIM(Controls_Raw!E1307),"Trim","OK")</f>
        <v>OK</v>
      </c>
      <c r="G1307" t="str">
        <f>IF(AND(Controls_Raw!L1307&lt;DATE(2026,9,30),Controls_Raw!M1307&lt;&gt;"Completed"),"Overdue","OK")</f>
        <v>Overdue</v>
      </c>
      <c r="H1307" t="str">
        <f>IF(AND(Controls_Raw!Q1307&lt;DATE(2026,9,30),Controls_Raw!R1307&lt;&gt;"Completed",Controls_Raw!R1307&lt;&gt;"Not Required"),"Overdue","OK")</f>
        <v>OK</v>
      </c>
      <c r="I1307" t="str">
        <f t="shared" si="20"/>
        <v>Issue</v>
      </c>
    </row>
    <row r="1308" spans="1:9" x14ac:dyDescent="0.2">
      <c r="A1308" t="str">
        <f>Controls_Raw!A1308</f>
        <v>CTRL-1304</v>
      </c>
      <c r="B1308" t="str">
        <f>IF(COUNTIF(Controls_Raw!$A$5:$A$1504,A1308)&gt;1,"Duplicate","OK")</f>
        <v>OK</v>
      </c>
      <c r="C1308" t="str">
        <f>IF(LEN(TRIM(Controls_Raw!I1308))=0,"Missing","OK")</f>
        <v>OK</v>
      </c>
      <c r="D1308" t="str">
        <f>IF(LEN(TRIM(Controls_Raw!N1308))=0,"Missing","OK")</f>
        <v>OK</v>
      </c>
      <c r="E1308" t="str">
        <f>IF(OR(Controls_Raw!G1308="USA",Controls_Raw!G1308="UK"),"Standardize","OK")</f>
        <v>OK</v>
      </c>
      <c r="F1308" t="str">
        <f>IF(Controls_Raw!E1308&lt;&gt;TRIM(Controls_Raw!E1308),"Trim","OK")</f>
        <v>OK</v>
      </c>
      <c r="G1308" t="str">
        <f>IF(AND(Controls_Raw!L1308&lt;DATE(2026,9,30),Controls_Raw!M1308&lt;&gt;"Completed"),"Overdue","OK")</f>
        <v>Overdue</v>
      </c>
      <c r="H1308" t="str">
        <f>IF(AND(Controls_Raw!Q1308&lt;DATE(2026,9,30),Controls_Raw!R1308&lt;&gt;"Completed",Controls_Raw!R1308&lt;&gt;"Not Required"),"Overdue","OK")</f>
        <v>Overdue</v>
      </c>
      <c r="I1308" t="str">
        <f t="shared" si="20"/>
        <v>Issue</v>
      </c>
    </row>
    <row r="1309" spans="1:9" x14ac:dyDescent="0.2">
      <c r="A1309" t="str">
        <f>Controls_Raw!A1309</f>
        <v>CTRL-1305</v>
      </c>
      <c r="B1309" t="str">
        <f>IF(COUNTIF(Controls_Raw!$A$5:$A$1504,A1309)&gt;1,"Duplicate","OK")</f>
        <v>OK</v>
      </c>
      <c r="C1309" t="str">
        <f>IF(LEN(TRIM(Controls_Raw!I1309))=0,"Missing","OK")</f>
        <v>OK</v>
      </c>
      <c r="D1309" t="str">
        <f>IF(LEN(TRIM(Controls_Raw!N1309))=0,"Missing","OK")</f>
        <v>OK</v>
      </c>
      <c r="E1309" t="str">
        <f>IF(OR(Controls_Raw!G1309="USA",Controls_Raw!G1309="UK"),"Standardize","OK")</f>
        <v>OK</v>
      </c>
      <c r="F1309" t="str">
        <f>IF(Controls_Raw!E1309&lt;&gt;TRIM(Controls_Raw!E1309),"Trim","OK")</f>
        <v>OK</v>
      </c>
      <c r="G1309" t="str">
        <f>IF(AND(Controls_Raw!L1309&lt;DATE(2026,9,30),Controls_Raw!M1309&lt;&gt;"Completed"),"Overdue","OK")</f>
        <v>Overdue</v>
      </c>
      <c r="H1309" t="str">
        <f>IF(AND(Controls_Raw!Q1309&lt;DATE(2026,9,30),Controls_Raw!R1309&lt;&gt;"Completed",Controls_Raw!R1309&lt;&gt;"Not Required"),"Overdue","OK")</f>
        <v>Overdue</v>
      </c>
      <c r="I1309" t="str">
        <f t="shared" si="20"/>
        <v>Issue</v>
      </c>
    </row>
    <row r="1310" spans="1:9" x14ac:dyDescent="0.2">
      <c r="A1310" t="str">
        <f>Controls_Raw!A1310</f>
        <v>CTRL-1306</v>
      </c>
      <c r="B1310" t="str">
        <f>IF(COUNTIF(Controls_Raw!$A$5:$A$1504,A1310)&gt;1,"Duplicate","OK")</f>
        <v>OK</v>
      </c>
      <c r="C1310" t="str">
        <f>IF(LEN(TRIM(Controls_Raw!I1310))=0,"Missing","OK")</f>
        <v>OK</v>
      </c>
      <c r="D1310" t="str">
        <f>IF(LEN(TRIM(Controls_Raw!N1310))=0,"Missing","OK")</f>
        <v>OK</v>
      </c>
      <c r="E1310" t="str">
        <f>IF(OR(Controls_Raw!G1310="USA",Controls_Raw!G1310="UK"),"Standardize","OK")</f>
        <v>OK</v>
      </c>
      <c r="F1310" t="str">
        <f>IF(Controls_Raw!E1310&lt;&gt;TRIM(Controls_Raw!E1310),"Trim","OK")</f>
        <v>OK</v>
      </c>
      <c r="G1310" t="str">
        <f>IF(AND(Controls_Raw!L1310&lt;DATE(2026,9,30),Controls_Raw!M1310&lt;&gt;"Completed"),"Overdue","OK")</f>
        <v>OK</v>
      </c>
      <c r="H1310" t="str">
        <f>IF(AND(Controls_Raw!Q1310&lt;DATE(2026,9,30),Controls_Raw!R1310&lt;&gt;"Completed",Controls_Raw!R1310&lt;&gt;"Not Required"),"Overdue","OK")</f>
        <v>OK</v>
      </c>
      <c r="I1310" t="str">
        <f t="shared" si="20"/>
        <v>Pass</v>
      </c>
    </row>
    <row r="1311" spans="1:9" x14ac:dyDescent="0.2">
      <c r="A1311" t="str">
        <f>Controls_Raw!A1311</f>
        <v>CTRL-1307</v>
      </c>
      <c r="B1311" t="str">
        <f>IF(COUNTIF(Controls_Raw!$A$5:$A$1504,A1311)&gt;1,"Duplicate","OK")</f>
        <v>OK</v>
      </c>
      <c r="C1311" t="str">
        <f>IF(LEN(TRIM(Controls_Raw!I1311))=0,"Missing","OK")</f>
        <v>OK</v>
      </c>
      <c r="D1311" t="str">
        <f>IF(LEN(TRIM(Controls_Raw!N1311))=0,"Missing","OK")</f>
        <v>OK</v>
      </c>
      <c r="E1311" t="str">
        <f>IF(OR(Controls_Raw!G1311="USA",Controls_Raw!G1311="UK"),"Standardize","OK")</f>
        <v>OK</v>
      </c>
      <c r="F1311" t="str">
        <f>IF(Controls_Raw!E1311&lt;&gt;TRIM(Controls_Raw!E1311),"Trim","OK")</f>
        <v>OK</v>
      </c>
      <c r="G1311" t="str">
        <f>IF(AND(Controls_Raw!L1311&lt;DATE(2026,9,30),Controls_Raw!M1311&lt;&gt;"Completed"),"Overdue","OK")</f>
        <v>Overdue</v>
      </c>
      <c r="H1311" t="str">
        <f>IF(AND(Controls_Raw!Q1311&lt;DATE(2026,9,30),Controls_Raw!R1311&lt;&gt;"Completed",Controls_Raw!R1311&lt;&gt;"Not Required"),"Overdue","OK")</f>
        <v>OK</v>
      </c>
      <c r="I1311" t="str">
        <f t="shared" si="20"/>
        <v>Issue</v>
      </c>
    </row>
    <row r="1312" spans="1:9" x14ac:dyDescent="0.2">
      <c r="A1312" t="str">
        <f>Controls_Raw!A1312</f>
        <v>CTRL-1308</v>
      </c>
      <c r="B1312" t="str">
        <f>IF(COUNTIF(Controls_Raw!$A$5:$A$1504,A1312)&gt;1,"Duplicate","OK")</f>
        <v>OK</v>
      </c>
      <c r="C1312" t="str">
        <f>IF(LEN(TRIM(Controls_Raw!I1312))=0,"Missing","OK")</f>
        <v>OK</v>
      </c>
      <c r="D1312" t="str">
        <f>IF(LEN(TRIM(Controls_Raw!N1312))=0,"Missing","OK")</f>
        <v>OK</v>
      </c>
      <c r="E1312" t="str">
        <f>IF(OR(Controls_Raw!G1312="USA",Controls_Raw!G1312="UK"),"Standardize","OK")</f>
        <v>OK</v>
      </c>
      <c r="F1312" t="str">
        <f>IF(Controls_Raw!E1312&lt;&gt;TRIM(Controls_Raw!E1312),"Trim","OK")</f>
        <v>OK</v>
      </c>
      <c r="G1312" t="str">
        <f>IF(AND(Controls_Raw!L1312&lt;DATE(2026,9,30),Controls_Raw!M1312&lt;&gt;"Completed"),"Overdue","OK")</f>
        <v>Overdue</v>
      </c>
      <c r="H1312" t="str">
        <f>IF(AND(Controls_Raw!Q1312&lt;DATE(2026,9,30),Controls_Raw!R1312&lt;&gt;"Completed",Controls_Raw!R1312&lt;&gt;"Not Required"),"Overdue","OK")</f>
        <v>Overdue</v>
      </c>
      <c r="I1312" t="str">
        <f t="shared" si="20"/>
        <v>Issue</v>
      </c>
    </row>
    <row r="1313" spans="1:9" x14ac:dyDescent="0.2">
      <c r="A1313" t="str">
        <f>Controls_Raw!A1313</f>
        <v>CTRL-1309</v>
      </c>
      <c r="B1313" t="str">
        <f>IF(COUNTIF(Controls_Raw!$A$5:$A$1504,A1313)&gt;1,"Duplicate","OK")</f>
        <v>OK</v>
      </c>
      <c r="C1313" t="str">
        <f>IF(LEN(TRIM(Controls_Raw!I1313))=0,"Missing","OK")</f>
        <v>OK</v>
      </c>
      <c r="D1313" t="str">
        <f>IF(LEN(TRIM(Controls_Raw!N1313))=0,"Missing","OK")</f>
        <v>OK</v>
      </c>
      <c r="E1313" t="str">
        <f>IF(OR(Controls_Raw!G1313="USA",Controls_Raw!G1313="UK"),"Standardize","OK")</f>
        <v>OK</v>
      </c>
      <c r="F1313" t="str">
        <f>IF(Controls_Raw!E1313&lt;&gt;TRIM(Controls_Raw!E1313),"Trim","OK")</f>
        <v>OK</v>
      </c>
      <c r="G1313" t="str">
        <f>IF(AND(Controls_Raw!L1313&lt;DATE(2026,9,30),Controls_Raw!M1313&lt;&gt;"Completed"),"Overdue","OK")</f>
        <v>Overdue</v>
      </c>
      <c r="H1313" t="str">
        <f>IF(AND(Controls_Raw!Q1313&lt;DATE(2026,9,30),Controls_Raw!R1313&lt;&gt;"Completed",Controls_Raw!R1313&lt;&gt;"Not Required"),"Overdue","OK")</f>
        <v>OK</v>
      </c>
      <c r="I1313" t="str">
        <f t="shared" si="20"/>
        <v>Issue</v>
      </c>
    </row>
    <row r="1314" spans="1:9" x14ac:dyDescent="0.2">
      <c r="A1314" t="str">
        <f>Controls_Raw!A1314</f>
        <v>CTRL-1310</v>
      </c>
      <c r="B1314" t="str">
        <f>IF(COUNTIF(Controls_Raw!$A$5:$A$1504,A1314)&gt;1,"Duplicate","OK")</f>
        <v>OK</v>
      </c>
      <c r="C1314" t="str">
        <f>IF(LEN(TRIM(Controls_Raw!I1314))=0,"Missing","OK")</f>
        <v>OK</v>
      </c>
      <c r="D1314" t="str">
        <f>IF(LEN(TRIM(Controls_Raw!N1314))=0,"Missing","OK")</f>
        <v>OK</v>
      </c>
      <c r="E1314" t="str">
        <f>IF(OR(Controls_Raw!G1314="USA",Controls_Raw!G1314="UK"),"Standardize","OK")</f>
        <v>OK</v>
      </c>
      <c r="F1314" t="str">
        <f>IF(Controls_Raw!E1314&lt;&gt;TRIM(Controls_Raw!E1314),"Trim","OK")</f>
        <v>OK</v>
      </c>
      <c r="G1314" t="str">
        <f>IF(AND(Controls_Raw!L1314&lt;DATE(2026,9,30),Controls_Raw!M1314&lt;&gt;"Completed"),"Overdue","OK")</f>
        <v>Overdue</v>
      </c>
      <c r="H1314" t="str">
        <f>IF(AND(Controls_Raw!Q1314&lt;DATE(2026,9,30),Controls_Raw!R1314&lt;&gt;"Completed",Controls_Raw!R1314&lt;&gt;"Not Required"),"Overdue","OK")</f>
        <v>Overdue</v>
      </c>
      <c r="I1314" t="str">
        <f t="shared" si="20"/>
        <v>Issue</v>
      </c>
    </row>
    <row r="1315" spans="1:9" x14ac:dyDescent="0.2">
      <c r="A1315" t="str">
        <f>Controls_Raw!A1315</f>
        <v>CTRL-1311</v>
      </c>
      <c r="B1315" t="str">
        <f>IF(COUNTIF(Controls_Raw!$A$5:$A$1504,A1315)&gt;1,"Duplicate","OK")</f>
        <v>OK</v>
      </c>
      <c r="C1315" t="str">
        <f>IF(LEN(TRIM(Controls_Raw!I1315))=0,"Missing","OK")</f>
        <v>OK</v>
      </c>
      <c r="D1315" t="str">
        <f>IF(LEN(TRIM(Controls_Raw!N1315))=0,"Missing","OK")</f>
        <v>OK</v>
      </c>
      <c r="E1315" t="str">
        <f>IF(OR(Controls_Raw!G1315="USA",Controls_Raw!G1315="UK"),"Standardize","OK")</f>
        <v>OK</v>
      </c>
      <c r="F1315" t="str">
        <f>IF(Controls_Raw!E1315&lt;&gt;TRIM(Controls_Raw!E1315),"Trim","OK")</f>
        <v>OK</v>
      </c>
      <c r="G1315" t="str">
        <f>IF(AND(Controls_Raw!L1315&lt;DATE(2026,9,30),Controls_Raw!M1315&lt;&gt;"Completed"),"Overdue","OK")</f>
        <v>Overdue</v>
      </c>
      <c r="H1315" t="str">
        <f>IF(AND(Controls_Raw!Q1315&lt;DATE(2026,9,30),Controls_Raw!R1315&lt;&gt;"Completed",Controls_Raw!R1315&lt;&gt;"Not Required"),"Overdue","OK")</f>
        <v>OK</v>
      </c>
      <c r="I1315" t="str">
        <f t="shared" si="20"/>
        <v>Issue</v>
      </c>
    </row>
    <row r="1316" spans="1:9" x14ac:dyDescent="0.2">
      <c r="A1316" t="str">
        <f>Controls_Raw!A1316</f>
        <v>CTRL-1312</v>
      </c>
      <c r="B1316" t="str">
        <f>IF(COUNTIF(Controls_Raw!$A$5:$A$1504,A1316)&gt;1,"Duplicate","OK")</f>
        <v>OK</v>
      </c>
      <c r="C1316" t="str">
        <f>IF(LEN(TRIM(Controls_Raw!I1316))=0,"Missing","OK")</f>
        <v>OK</v>
      </c>
      <c r="D1316" t="str">
        <f>IF(LEN(TRIM(Controls_Raw!N1316))=0,"Missing","OK")</f>
        <v>OK</v>
      </c>
      <c r="E1316" t="str">
        <f>IF(OR(Controls_Raw!G1316="USA",Controls_Raw!G1316="UK"),"Standardize","OK")</f>
        <v>OK</v>
      </c>
      <c r="F1316" t="str">
        <f>IF(Controls_Raw!E1316&lt;&gt;TRIM(Controls_Raw!E1316),"Trim","OK")</f>
        <v>OK</v>
      </c>
      <c r="G1316" t="str">
        <f>IF(AND(Controls_Raw!L1316&lt;DATE(2026,9,30),Controls_Raw!M1316&lt;&gt;"Completed"),"Overdue","OK")</f>
        <v>Overdue</v>
      </c>
      <c r="H1316" t="str">
        <f>IF(AND(Controls_Raw!Q1316&lt;DATE(2026,9,30),Controls_Raw!R1316&lt;&gt;"Completed",Controls_Raw!R1316&lt;&gt;"Not Required"),"Overdue","OK")</f>
        <v>OK</v>
      </c>
      <c r="I1316" t="str">
        <f t="shared" si="20"/>
        <v>Issue</v>
      </c>
    </row>
    <row r="1317" spans="1:9" x14ac:dyDescent="0.2">
      <c r="A1317" t="str">
        <f>Controls_Raw!A1317</f>
        <v>CTRL-1313</v>
      </c>
      <c r="B1317" t="str">
        <f>IF(COUNTIF(Controls_Raw!$A$5:$A$1504,A1317)&gt;1,"Duplicate","OK")</f>
        <v>OK</v>
      </c>
      <c r="C1317" t="str">
        <f>IF(LEN(TRIM(Controls_Raw!I1317))=0,"Missing","OK")</f>
        <v>OK</v>
      </c>
      <c r="D1317" t="str">
        <f>IF(LEN(TRIM(Controls_Raw!N1317))=0,"Missing","OK")</f>
        <v>OK</v>
      </c>
      <c r="E1317" t="str">
        <f>IF(OR(Controls_Raw!G1317="USA",Controls_Raw!G1317="UK"),"Standardize","OK")</f>
        <v>OK</v>
      </c>
      <c r="F1317" t="str">
        <f>IF(Controls_Raw!E1317&lt;&gt;TRIM(Controls_Raw!E1317),"Trim","OK")</f>
        <v>OK</v>
      </c>
      <c r="G1317" t="str">
        <f>IF(AND(Controls_Raw!L1317&lt;DATE(2026,9,30),Controls_Raw!M1317&lt;&gt;"Completed"),"Overdue","OK")</f>
        <v>OK</v>
      </c>
      <c r="H1317" t="str">
        <f>IF(AND(Controls_Raw!Q1317&lt;DATE(2026,9,30),Controls_Raw!R1317&lt;&gt;"Completed",Controls_Raw!R1317&lt;&gt;"Not Required"),"Overdue","OK")</f>
        <v>OK</v>
      </c>
      <c r="I1317" t="str">
        <f t="shared" si="20"/>
        <v>Pass</v>
      </c>
    </row>
    <row r="1318" spans="1:9" x14ac:dyDescent="0.2">
      <c r="A1318" t="str">
        <f>Controls_Raw!A1318</f>
        <v>CTRL-1314</v>
      </c>
      <c r="B1318" t="str">
        <f>IF(COUNTIF(Controls_Raw!$A$5:$A$1504,A1318)&gt;1,"Duplicate","OK")</f>
        <v>OK</v>
      </c>
      <c r="C1318" t="str">
        <f>IF(LEN(TRIM(Controls_Raw!I1318))=0,"Missing","OK")</f>
        <v>OK</v>
      </c>
      <c r="D1318" t="str">
        <f>IF(LEN(TRIM(Controls_Raw!N1318))=0,"Missing","OK")</f>
        <v>OK</v>
      </c>
      <c r="E1318" t="str">
        <f>IF(OR(Controls_Raw!G1318="USA",Controls_Raw!G1318="UK"),"Standardize","OK")</f>
        <v>OK</v>
      </c>
      <c r="F1318" t="str">
        <f>IF(Controls_Raw!E1318&lt;&gt;TRIM(Controls_Raw!E1318),"Trim","OK")</f>
        <v>OK</v>
      </c>
      <c r="G1318" t="str">
        <f>IF(AND(Controls_Raw!L1318&lt;DATE(2026,9,30),Controls_Raw!M1318&lt;&gt;"Completed"),"Overdue","OK")</f>
        <v>OK</v>
      </c>
      <c r="H1318" t="str">
        <f>IF(AND(Controls_Raw!Q1318&lt;DATE(2026,9,30),Controls_Raw!R1318&lt;&gt;"Completed",Controls_Raw!R1318&lt;&gt;"Not Required"),"Overdue","OK")</f>
        <v>OK</v>
      </c>
      <c r="I1318" t="str">
        <f t="shared" si="20"/>
        <v>Pass</v>
      </c>
    </row>
    <row r="1319" spans="1:9" x14ac:dyDescent="0.2">
      <c r="A1319" t="str">
        <f>Controls_Raw!A1319</f>
        <v>CTRL-1315</v>
      </c>
      <c r="B1319" t="str">
        <f>IF(COUNTIF(Controls_Raw!$A$5:$A$1504,A1319)&gt;1,"Duplicate","OK")</f>
        <v>OK</v>
      </c>
      <c r="C1319" t="str">
        <f>IF(LEN(TRIM(Controls_Raw!I1319))=0,"Missing","OK")</f>
        <v>OK</v>
      </c>
      <c r="D1319" t="str">
        <f>IF(LEN(TRIM(Controls_Raw!N1319))=0,"Missing","OK")</f>
        <v>OK</v>
      </c>
      <c r="E1319" t="str">
        <f>IF(OR(Controls_Raw!G1319="USA",Controls_Raw!G1319="UK"),"Standardize","OK")</f>
        <v>OK</v>
      </c>
      <c r="F1319" t="str">
        <f>IF(Controls_Raw!E1319&lt;&gt;TRIM(Controls_Raw!E1319),"Trim","OK")</f>
        <v>Trim</v>
      </c>
      <c r="G1319" t="str">
        <f>IF(AND(Controls_Raw!L1319&lt;DATE(2026,9,30),Controls_Raw!M1319&lt;&gt;"Completed"),"Overdue","OK")</f>
        <v>OK</v>
      </c>
      <c r="H1319" t="str">
        <f>IF(AND(Controls_Raw!Q1319&lt;DATE(2026,9,30),Controls_Raw!R1319&lt;&gt;"Completed",Controls_Raw!R1319&lt;&gt;"Not Required"),"Overdue","OK")</f>
        <v>OK</v>
      </c>
      <c r="I1319" t="str">
        <f t="shared" si="20"/>
        <v>Issue</v>
      </c>
    </row>
    <row r="1320" spans="1:9" x14ac:dyDescent="0.2">
      <c r="A1320" t="str">
        <f>Controls_Raw!A1320</f>
        <v>CTRL-1316</v>
      </c>
      <c r="B1320" t="str">
        <f>IF(COUNTIF(Controls_Raw!$A$5:$A$1504,A1320)&gt;1,"Duplicate","OK")</f>
        <v>OK</v>
      </c>
      <c r="C1320" t="str">
        <f>IF(LEN(TRIM(Controls_Raw!I1320))=0,"Missing","OK")</f>
        <v>OK</v>
      </c>
      <c r="D1320" t="str">
        <f>IF(LEN(TRIM(Controls_Raw!N1320))=0,"Missing","OK")</f>
        <v>OK</v>
      </c>
      <c r="E1320" t="str">
        <f>IF(OR(Controls_Raw!G1320="USA",Controls_Raw!G1320="UK"),"Standardize","OK")</f>
        <v>OK</v>
      </c>
      <c r="F1320" t="str">
        <f>IF(Controls_Raw!E1320&lt;&gt;TRIM(Controls_Raw!E1320),"Trim","OK")</f>
        <v>OK</v>
      </c>
      <c r="G1320" t="str">
        <f>IF(AND(Controls_Raw!L1320&lt;DATE(2026,9,30),Controls_Raw!M1320&lt;&gt;"Completed"),"Overdue","OK")</f>
        <v>Overdue</v>
      </c>
      <c r="H1320" t="str">
        <f>IF(AND(Controls_Raw!Q1320&lt;DATE(2026,9,30),Controls_Raw!R1320&lt;&gt;"Completed",Controls_Raw!R1320&lt;&gt;"Not Required"),"Overdue","OK")</f>
        <v>OK</v>
      </c>
      <c r="I1320" t="str">
        <f t="shared" si="20"/>
        <v>Issue</v>
      </c>
    </row>
    <row r="1321" spans="1:9" x14ac:dyDescent="0.2">
      <c r="A1321" t="str">
        <f>Controls_Raw!A1321</f>
        <v>CTRL-1317</v>
      </c>
      <c r="B1321" t="str">
        <f>IF(COUNTIF(Controls_Raw!$A$5:$A$1504,A1321)&gt;1,"Duplicate","OK")</f>
        <v>OK</v>
      </c>
      <c r="C1321" t="str">
        <f>IF(LEN(TRIM(Controls_Raw!I1321))=0,"Missing","OK")</f>
        <v>Missing</v>
      </c>
      <c r="D1321" t="str">
        <f>IF(LEN(TRIM(Controls_Raw!N1321))=0,"Missing","OK")</f>
        <v>OK</v>
      </c>
      <c r="E1321" t="str">
        <f>IF(OR(Controls_Raw!G1321="USA",Controls_Raw!G1321="UK"),"Standardize","OK")</f>
        <v>OK</v>
      </c>
      <c r="F1321" t="str">
        <f>IF(Controls_Raw!E1321&lt;&gt;TRIM(Controls_Raw!E1321),"Trim","OK")</f>
        <v>OK</v>
      </c>
      <c r="G1321" t="str">
        <f>IF(AND(Controls_Raw!L1321&lt;DATE(2026,9,30),Controls_Raw!M1321&lt;&gt;"Completed"),"Overdue","OK")</f>
        <v>Overdue</v>
      </c>
      <c r="H1321" t="str">
        <f>IF(AND(Controls_Raw!Q1321&lt;DATE(2026,9,30),Controls_Raw!R1321&lt;&gt;"Completed",Controls_Raw!R1321&lt;&gt;"Not Required"),"Overdue","OK")</f>
        <v>Overdue</v>
      </c>
      <c r="I1321" t="str">
        <f t="shared" si="20"/>
        <v>Issue</v>
      </c>
    </row>
    <row r="1322" spans="1:9" x14ac:dyDescent="0.2">
      <c r="A1322" t="str">
        <f>Controls_Raw!A1322</f>
        <v>CTRL-1318</v>
      </c>
      <c r="B1322" t="str">
        <f>IF(COUNTIF(Controls_Raw!$A$5:$A$1504,A1322)&gt;1,"Duplicate","OK")</f>
        <v>OK</v>
      </c>
      <c r="C1322" t="str">
        <f>IF(LEN(TRIM(Controls_Raw!I1322))=0,"Missing","OK")</f>
        <v>OK</v>
      </c>
      <c r="D1322" t="str">
        <f>IF(LEN(TRIM(Controls_Raw!N1322))=0,"Missing","OK")</f>
        <v>OK</v>
      </c>
      <c r="E1322" t="str">
        <f>IF(OR(Controls_Raw!G1322="USA",Controls_Raw!G1322="UK"),"Standardize","OK")</f>
        <v>OK</v>
      </c>
      <c r="F1322" t="str">
        <f>IF(Controls_Raw!E1322&lt;&gt;TRIM(Controls_Raw!E1322),"Trim","OK")</f>
        <v>OK</v>
      </c>
      <c r="G1322" t="str">
        <f>IF(AND(Controls_Raw!L1322&lt;DATE(2026,9,30),Controls_Raw!M1322&lt;&gt;"Completed"),"Overdue","OK")</f>
        <v>OK</v>
      </c>
      <c r="H1322" t="str">
        <f>IF(AND(Controls_Raw!Q1322&lt;DATE(2026,9,30),Controls_Raw!R1322&lt;&gt;"Completed",Controls_Raw!R1322&lt;&gt;"Not Required"),"Overdue","OK")</f>
        <v>OK</v>
      </c>
      <c r="I1322" t="str">
        <f t="shared" si="20"/>
        <v>Pass</v>
      </c>
    </row>
    <row r="1323" spans="1:9" x14ac:dyDescent="0.2">
      <c r="A1323" t="str">
        <f>Controls_Raw!A1323</f>
        <v>CTRL-1319</v>
      </c>
      <c r="B1323" t="str">
        <f>IF(COUNTIF(Controls_Raw!$A$5:$A$1504,A1323)&gt;1,"Duplicate","OK")</f>
        <v>OK</v>
      </c>
      <c r="C1323" t="str">
        <f>IF(LEN(TRIM(Controls_Raw!I1323))=0,"Missing","OK")</f>
        <v>OK</v>
      </c>
      <c r="D1323" t="str">
        <f>IF(LEN(TRIM(Controls_Raw!N1323))=0,"Missing","OK")</f>
        <v>OK</v>
      </c>
      <c r="E1323" t="str">
        <f>IF(OR(Controls_Raw!G1323="USA",Controls_Raw!G1323="UK"),"Standardize","OK")</f>
        <v>OK</v>
      </c>
      <c r="F1323" t="str">
        <f>IF(Controls_Raw!E1323&lt;&gt;TRIM(Controls_Raw!E1323),"Trim","OK")</f>
        <v>OK</v>
      </c>
      <c r="G1323" t="str">
        <f>IF(AND(Controls_Raw!L1323&lt;DATE(2026,9,30),Controls_Raw!M1323&lt;&gt;"Completed"),"Overdue","OK")</f>
        <v>Overdue</v>
      </c>
      <c r="H1323" t="str">
        <f>IF(AND(Controls_Raw!Q1323&lt;DATE(2026,9,30),Controls_Raw!R1323&lt;&gt;"Completed",Controls_Raw!R1323&lt;&gt;"Not Required"),"Overdue","OK")</f>
        <v>Overdue</v>
      </c>
      <c r="I1323" t="str">
        <f t="shared" si="20"/>
        <v>Issue</v>
      </c>
    </row>
    <row r="1324" spans="1:9" x14ac:dyDescent="0.2">
      <c r="A1324" t="str">
        <f>Controls_Raw!A1324</f>
        <v>CTRL-1320</v>
      </c>
      <c r="B1324" t="str">
        <f>IF(COUNTIF(Controls_Raw!$A$5:$A$1504,A1324)&gt;1,"Duplicate","OK")</f>
        <v>OK</v>
      </c>
      <c r="C1324" t="str">
        <f>IF(LEN(TRIM(Controls_Raw!I1324))=0,"Missing","OK")</f>
        <v>OK</v>
      </c>
      <c r="D1324" t="str">
        <f>IF(LEN(TRIM(Controls_Raw!N1324))=0,"Missing","OK")</f>
        <v>OK</v>
      </c>
      <c r="E1324" t="str">
        <f>IF(OR(Controls_Raw!G1324="USA",Controls_Raw!G1324="UK"),"Standardize","OK")</f>
        <v>OK</v>
      </c>
      <c r="F1324" t="str">
        <f>IF(Controls_Raw!E1324&lt;&gt;TRIM(Controls_Raw!E1324),"Trim","OK")</f>
        <v>OK</v>
      </c>
      <c r="G1324" t="str">
        <f>IF(AND(Controls_Raw!L1324&lt;DATE(2026,9,30),Controls_Raw!M1324&lt;&gt;"Completed"),"Overdue","OK")</f>
        <v>Overdue</v>
      </c>
      <c r="H1324" t="str">
        <f>IF(AND(Controls_Raw!Q1324&lt;DATE(2026,9,30),Controls_Raw!R1324&lt;&gt;"Completed",Controls_Raw!R1324&lt;&gt;"Not Required"),"Overdue","OK")</f>
        <v>OK</v>
      </c>
      <c r="I1324" t="str">
        <f t="shared" si="20"/>
        <v>Issue</v>
      </c>
    </row>
    <row r="1325" spans="1:9" x14ac:dyDescent="0.2">
      <c r="A1325" t="str">
        <f>Controls_Raw!A1325</f>
        <v>CTRL-1321</v>
      </c>
      <c r="B1325" t="str">
        <f>IF(COUNTIF(Controls_Raw!$A$5:$A$1504,A1325)&gt;1,"Duplicate","OK")</f>
        <v>OK</v>
      </c>
      <c r="C1325" t="str">
        <f>IF(LEN(TRIM(Controls_Raw!I1325))=0,"Missing","OK")</f>
        <v>OK</v>
      </c>
      <c r="D1325" t="str">
        <f>IF(LEN(TRIM(Controls_Raw!N1325))=0,"Missing","OK")</f>
        <v>OK</v>
      </c>
      <c r="E1325" t="str">
        <f>IF(OR(Controls_Raw!G1325="USA",Controls_Raw!G1325="UK"),"Standardize","OK")</f>
        <v>OK</v>
      </c>
      <c r="F1325" t="str">
        <f>IF(Controls_Raw!E1325&lt;&gt;TRIM(Controls_Raw!E1325),"Trim","OK")</f>
        <v>OK</v>
      </c>
      <c r="G1325" t="str">
        <f>IF(AND(Controls_Raw!L1325&lt;DATE(2026,9,30),Controls_Raw!M1325&lt;&gt;"Completed"),"Overdue","OK")</f>
        <v>OK</v>
      </c>
      <c r="H1325" t="str">
        <f>IF(AND(Controls_Raw!Q1325&lt;DATE(2026,9,30),Controls_Raw!R1325&lt;&gt;"Completed",Controls_Raw!R1325&lt;&gt;"Not Required"),"Overdue","OK")</f>
        <v>Overdue</v>
      </c>
      <c r="I1325" t="str">
        <f t="shared" si="20"/>
        <v>Issue</v>
      </c>
    </row>
    <row r="1326" spans="1:9" x14ac:dyDescent="0.2">
      <c r="A1326" t="str">
        <f>Controls_Raw!A1326</f>
        <v>CTRL-1322</v>
      </c>
      <c r="B1326" t="str">
        <f>IF(COUNTIF(Controls_Raw!$A$5:$A$1504,A1326)&gt;1,"Duplicate","OK")</f>
        <v>OK</v>
      </c>
      <c r="C1326" t="str">
        <f>IF(LEN(TRIM(Controls_Raw!I1326))=0,"Missing","OK")</f>
        <v>OK</v>
      </c>
      <c r="D1326" t="str">
        <f>IF(LEN(TRIM(Controls_Raw!N1326))=0,"Missing","OK")</f>
        <v>OK</v>
      </c>
      <c r="E1326" t="str">
        <f>IF(OR(Controls_Raw!G1326="USA",Controls_Raw!G1326="UK"),"Standardize","OK")</f>
        <v>OK</v>
      </c>
      <c r="F1326" t="str">
        <f>IF(Controls_Raw!E1326&lt;&gt;TRIM(Controls_Raw!E1326),"Trim","OK")</f>
        <v>OK</v>
      </c>
      <c r="G1326" t="str">
        <f>IF(AND(Controls_Raw!L1326&lt;DATE(2026,9,30),Controls_Raw!M1326&lt;&gt;"Completed"),"Overdue","OK")</f>
        <v>Overdue</v>
      </c>
      <c r="H1326" t="str">
        <f>IF(AND(Controls_Raw!Q1326&lt;DATE(2026,9,30),Controls_Raw!R1326&lt;&gt;"Completed",Controls_Raw!R1326&lt;&gt;"Not Required"),"Overdue","OK")</f>
        <v>OK</v>
      </c>
      <c r="I1326" t="str">
        <f t="shared" si="20"/>
        <v>Issue</v>
      </c>
    </row>
    <row r="1327" spans="1:9" x14ac:dyDescent="0.2">
      <c r="A1327" t="str">
        <f>Controls_Raw!A1327</f>
        <v>CTRL-1323</v>
      </c>
      <c r="B1327" t="str">
        <f>IF(COUNTIF(Controls_Raw!$A$5:$A$1504,A1327)&gt;1,"Duplicate","OK")</f>
        <v>OK</v>
      </c>
      <c r="C1327" t="str">
        <f>IF(LEN(TRIM(Controls_Raw!I1327))=0,"Missing","OK")</f>
        <v>OK</v>
      </c>
      <c r="D1327" t="str">
        <f>IF(LEN(TRIM(Controls_Raw!N1327))=0,"Missing","OK")</f>
        <v>OK</v>
      </c>
      <c r="E1327" t="str">
        <f>IF(OR(Controls_Raw!G1327="USA",Controls_Raw!G1327="UK"),"Standardize","OK")</f>
        <v>OK</v>
      </c>
      <c r="F1327" t="str">
        <f>IF(Controls_Raw!E1327&lt;&gt;TRIM(Controls_Raw!E1327),"Trim","OK")</f>
        <v>OK</v>
      </c>
      <c r="G1327" t="str">
        <f>IF(AND(Controls_Raw!L1327&lt;DATE(2026,9,30),Controls_Raw!M1327&lt;&gt;"Completed"),"Overdue","OK")</f>
        <v>OK</v>
      </c>
      <c r="H1327" t="str">
        <f>IF(AND(Controls_Raw!Q1327&lt;DATE(2026,9,30),Controls_Raw!R1327&lt;&gt;"Completed",Controls_Raw!R1327&lt;&gt;"Not Required"),"Overdue","OK")</f>
        <v>OK</v>
      </c>
      <c r="I1327" t="str">
        <f t="shared" si="20"/>
        <v>Pass</v>
      </c>
    </row>
    <row r="1328" spans="1:9" x14ac:dyDescent="0.2">
      <c r="A1328" t="str">
        <f>Controls_Raw!A1328</f>
        <v>CTRL-1324</v>
      </c>
      <c r="B1328" t="str">
        <f>IF(COUNTIF(Controls_Raw!$A$5:$A$1504,A1328)&gt;1,"Duplicate","OK")</f>
        <v>OK</v>
      </c>
      <c r="C1328" t="str">
        <f>IF(LEN(TRIM(Controls_Raw!I1328))=0,"Missing","OK")</f>
        <v>OK</v>
      </c>
      <c r="D1328" t="str">
        <f>IF(LEN(TRIM(Controls_Raw!N1328))=0,"Missing","OK")</f>
        <v>OK</v>
      </c>
      <c r="E1328" t="str">
        <f>IF(OR(Controls_Raw!G1328="USA",Controls_Raw!G1328="UK"),"Standardize","OK")</f>
        <v>OK</v>
      </c>
      <c r="F1328" t="str">
        <f>IF(Controls_Raw!E1328&lt;&gt;TRIM(Controls_Raw!E1328),"Trim","OK")</f>
        <v>OK</v>
      </c>
      <c r="G1328" t="str">
        <f>IF(AND(Controls_Raw!L1328&lt;DATE(2026,9,30),Controls_Raw!M1328&lt;&gt;"Completed"),"Overdue","OK")</f>
        <v>OK</v>
      </c>
      <c r="H1328" t="str">
        <f>IF(AND(Controls_Raw!Q1328&lt;DATE(2026,9,30),Controls_Raw!R1328&lt;&gt;"Completed",Controls_Raw!R1328&lt;&gt;"Not Required"),"Overdue","OK")</f>
        <v>OK</v>
      </c>
      <c r="I1328" t="str">
        <f t="shared" si="20"/>
        <v>Pass</v>
      </c>
    </row>
    <row r="1329" spans="1:9" x14ac:dyDescent="0.2">
      <c r="A1329" t="str">
        <f>Controls_Raw!A1329</f>
        <v>CTRL-1325</v>
      </c>
      <c r="B1329" t="str">
        <f>IF(COUNTIF(Controls_Raw!$A$5:$A$1504,A1329)&gt;1,"Duplicate","OK")</f>
        <v>OK</v>
      </c>
      <c r="C1329" t="str">
        <f>IF(LEN(TRIM(Controls_Raw!I1329))=0,"Missing","OK")</f>
        <v>OK</v>
      </c>
      <c r="D1329" t="str">
        <f>IF(LEN(TRIM(Controls_Raw!N1329))=0,"Missing","OK")</f>
        <v>OK</v>
      </c>
      <c r="E1329" t="str">
        <f>IF(OR(Controls_Raw!G1329="USA",Controls_Raw!G1329="UK"),"Standardize","OK")</f>
        <v>OK</v>
      </c>
      <c r="F1329" t="str">
        <f>IF(Controls_Raw!E1329&lt;&gt;TRIM(Controls_Raw!E1329),"Trim","OK")</f>
        <v>OK</v>
      </c>
      <c r="G1329" t="str">
        <f>IF(AND(Controls_Raw!L1329&lt;DATE(2026,9,30),Controls_Raw!M1329&lt;&gt;"Completed"),"Overdue","OK")</f>
        <v>Overdue</v>
      </c>
      <c r="H1329" t="str">
        <f>IF(AND(Controls_Raw!Q1329&lt;DATE(2026,9,30),Controls_Raw!R1329&lt;&gt;"Completed",Controls_Raw!R1329&lt;&gt;"Not Required"),"Overdue","OK")</f>
        <v>OK</v>
      </c>
      <c r="I1329" t="str">
        <f t="shared" si="20"/>
        <v>Issue</v>
      </c>
    </row>
    <row r="1330" spans="1:9" x14ac:dyDescent="0.2">
      <c r="A1330" t="str">
        <f>Controls_Raw!A1330</f>
        <v>CTRL-1326</v>
      </c>
      <c r="B1330" t="str">
        <f>IF(COUNTIF(Controls_Raw!$A$5:$A$1504,A1330)&gt;1,"Duplicate","OK")</f>
        <v>OK</v>
      </c>
      <c r="C1330" t="str">
        <f>IF(LEN(TRIM(Controls_Raw!I1330))=0,"Missing","OK")</f>
        <v>OK</v>
      </c>
      <c r="D1330" t="str">
        <f>IF(LEN(TRIM(Controls_Raw!N1330))=0,"Missing","OK")</f>
        <v>OK</v>
      </c>
      <c r="E1330" t="str">
        <f>IF(OR(Controls_Raw!G1330="USA",Controls_Raw!G1330="UK"),"Standardize","OK")</f>
        <v>Standardize</v>
      </c>
      <c r="F1330" t="str">
        <f>IF(Controls_Raw!E1330&lt;&gt;TRIM(Controls_Raw!E1330),"Trim","OK")</f>
        <v>OK</v>
      </c>
      <c r="G1330" t="str">
        <f>IF(AND(Controls_Raw!L1330&lt;DATE(2026,9,30),Controls_Raw!M1330&lt;&gt;"Completed"),"Overdue","OK")</f>
        <v>OK</v>
      </c>
      <c r="H1330" t="str">
        <f>IF(AND(Controls_Raw!Q1330&lt;DATE(2026,9,30),Controls_Raw!R1330&lt;&gt;"Completed",Controls_Raw!R1330&lt;&gt;"Not Required"),"Overdue","OK")</f>
        <v>OK</v>
      </c>
      <c r="I1330" t="str">
        <f t="shared" si="20"/>
        <v>Issue</v>
      </c>
    </row>
    <row r="1331" spans="1:9" x14ac:dyDescent="0.2">
      <c r="A1331" t="str">
        <f>Controls_Raw!A1331</f>
        <v>CTRL-1327</v>
      </c>
      <c r="B1331" t="str">
        <f>IF(COUNTIF(Controls_Raw!$A$5:$A$1504,A1331)&gt;1,"Duplicate","OK")</f>
        <v>OK</v>
      </c>
      <c r="C1331" t="str">
        <f>IF(LEN(TRIM(Controls_Raw!I1331))=0,"Missing","OK")</f>
        <v>OK</v>
      </c>
      <c r="D1331" t="str">
        <f>IF(LEN(TRIM(Controls_Raw!N1331))=0,"Missing","OK")</f>
        <v>OK</v>
      </c>
      <c r="E1331" t="str">
        <f>IF(OR(Controls_Raw!G1331="USA",Controls_Raw!G1331="UK"),"Standardize","OK")</f>
        <v>OK</v>
      </c>
      <c r="F1331" t="str">
        <f>IF(Controls_Raw!E1331&lt;&gt;TRIM(Controls_Raw!E1331),"Trim","OK")</f>
        <v>OK</v>
      </c>
      <c r="G1331" t="str">
        <f>IF(AND(Controls_Raw!L1331&lt;DATE(2026,9,30),Controls_Raw!M1331&lt;&gt;"Completed"),"Overdue","OK")</f>
        <v>Overdue</v>
      </c>
      <c r="H1331" t="str">
        <f>IF(AND(Controls_Raw!Q1331&lt;DATE(2026,9,30),Controls_Raw!R1331&lt;&gt;"Completed",Controls_Raw!R1331&lt;&gt;"Not Required"),"Overdue","OK")</f>
        <v>OK</v>
      </c>
      <c r="I1331" t="str">
        <f t="shared" si="20"/>
        <v>Issue</v>
      </c>
    </row>
    <row r="1332" spans="1:9" x14ac:dyDescent="0.2">
      <c r="A1332" t="str">
        <f>Controls_Raw!A1332</f>
        <v>CTRL-1328</v>
      </c>
      <c r="B1332" t="str">
        <f>IF(COUNTIF(Controls_Raw!$A$5:$A$1504,A1332)&gt;1,"Duplicate","OK")</f>
        <v>OK</v>
      </c>
      <c r="C1332" t="str">
        <f>IF(LEN(TRIM(Controls_Raw!I1332))=0,"Missing","OK")</f>
        <v>OK</v>
      </c>
      <c r="D1332" t="str">
        <f>IF(LEN(TRIM(Controls_Raw!N1332))=0,"Missing","OK")</f>
        <v>OK</v>
      </c>
      <c r="E1332" t="str">
        <f>IF(OR(Controls_Raw!G1332="USA",Controls_Raw!G1332="UK"),"Standardize","OK")</f>
        <v>OK</v>
      </c>
      <c r="F1332" t="str">
        <f>IF(Controls_Raw!E1332&lt;&gt;TRIM(Controls_Raw!E1332),"Trim","OK")</f>
        <v>OK</v>
      </c>
      <c r="G1332" t="str">
        <f>IF(AND(Controls_Raw!L1332&lt;DATE(2026,9,30),Controls_Raw!M1332&lt;&gt;"Completed"),"Overdue","OK")</f>
        <v>OK</v>
      </c>
      <c r="H1332" t="str">
        <f>IF(AND(Controls_Raw!Q1332&lt;DATE(2026,9,30),Controls_Raw!R1332&lt;&gt;"Completed",Controls_Raw!R1332&lt;&gt;"Not Required"),"Overdue","OK")</f>
        <v>OK</v>
      </c>
      <c r="I1332" t="str">
        <f t="shared" si="20"/>
        <v>Pass</v>
      </c>
    </row>
    <row r="1333" spans="1:9" x14ac:dyDescent="0.2">
      <c r="A1333" t="str">
        <f>Controls_Raw!A1333</f>
        <v>CTRL-1329</v>
      </c>
      <c r="B1333" t="str">
        <f>IF(COUNTIF(Controls_Raw!$A$5:$A$1504,A1333)&gt;1,"Duplicate","OK")</f>
        <v>OK</v>
      </c>
      <c r="C1333" t="str">
        <f>IF(LEN(TRIM(Controls_Raw!I1333))=0,"Missing","OK")</f>
        <v>OK</v>
      </c>
      <c r="D1333" t="str">
        <f>IF(LEN(TRIM(Controls_Raw!N1333))=0,"Missing","OK")</f>
        <v>Missing</v>
      </c>
      <c r="E1333" t="str">
        <f>IF(OR(Controls_Raw!G1333="USA",Controls_Raw!G1333="UK"),"Standardize","OK")</f>
        <v>OK</v>
      </c>
      <c r="F1333" t="str">
        <f>IF(Controls_Raw!E1333&lt;&gt;TRIM(Controls_Raw!E1333),"Trim","OK")</f>
        <v>OK</v>
      </c>
      <c r="G1333" t="str">
        <f>IF(AND(Controls_Raw!L1333&lt;DATE(2026,9,30),Controls_Raw!M1333&lt;&gt;"Completed"),"Overdue","OK")</f>
        <v>OK</v>
      </c>
      <c r="H1333" t="str">
        <f>IF(AND(Controls_Raw!Q1333&lt;DATE(2026,9,30),Controls_Raw!R1333&lt;&gt;"Completed",Controls_Raw!R1333&lt;&gt;"Not Required"),"Overdue","OK")</f>
        <v>OK</v>
      </c>
      <c r="I1333" t="str">
        <f t="shared" si="20"/>
        <v>Issue</v>
      </c>
    </row>
    <row r="1334" spans="1:9" x14ac:dyDescent="0.2">
      <c r="A1334" t="str">
        <f>Controls_Raw!A1334</f>
        <v>CTRL-1330</v>
      </c>
      <c r="B1334" t="str">
        <f>IF(COUNTIF(Controls_Raw!$A$5:$A$1504,A1334)&gt;1,"Duplicate","OK")</f>
        <v>OK</v>
      </c>
      <c r="C1334" t="str">
        <f>IF(LEN(TRIM(Controls_Raw!I1334))=0,"Missing","OK")</f>
        <v>OK</v>
      </c>
      <c r="D1334" t="str">
        <f>IF(LEN(TRIM(Controls_Raw!N1334))=0,"Missing","OK")</f>
        <v>OK</v>
      </c>
      <c r="E1334" t="str">
        <f>IF(OR(Controls_Raw!G1334="USA",Controls_Raw!G1334="UK"),"Standardize","OK")</f>
        <v>OK</v>
      </c>
      <c r="F1334" t="str">
        <f>IF(Controls_Raw!E1334&lt;&gt;TRIM(Controls_Raw!E1334),"Trim","OK")</f>
        <v>OK</v>
      </c>
      <c r="G1334" t="str">
        <f>IF(AND(Controls_Raw!L1334&lt;DATE(2026,9,30),Controls_Raw!M1334&lt;&gt;"Completed"),"Overdue","OK")</f>
        <v>Overdue</v>
      </c>
      <c r="H1334" t="str">
        <f>IF(AND(Controls_Raw!Q1334&lt;DATE(2026,9,30),Controls_Raw!R1334&lt;&gt;"Completed",Controls_Raw!R1334&lt;&gt;"Not Required"),"Overdue","OK")</f>
        <v>OK</v>
      </c>
      <c r="I1334" t="str">
        <f t="shared" si="20"/>
        <v>Issue</v>
      </c>
    </row>
    <row r="1335" spans="1:9" x14ac:dyDescent="0.2">
      <c r="A1335" t="str">
        <f>Controls_Raw!A1335</f>
        <v>CTRL-1331</v>
      </c>
      <c r="B1335" t="str">
        <f>IF(COUNTIF(Controls_Raw!$A$5:$A$1504,A1335)&gt;1,"Duplicate","OK")</f>
        <v>OK</v>
      </c>
      <c r="C1335" t="str">
        <f>IF(LEN(TRIM(Controls_Raw!I1335))=0,"Missing","OK")</f>
        <v>OK</v>
      </c>
      <c r="D1335" t="str">
        <f>IF(LEN(TRIM(Controls_Raw!N1335))=0,"Missing","OK")</f>
        <v>OK</v>
      </c>
      <c r="E1335" t="str">
        <f>IF(OR(Controls_Raw!G1335="USA",Controls_Raw!G1335="UK"),"Standardize","OK")</f>
        <v>OK</v>
      </c>
      <c r="F1335" t="str">
        <f>IF(Controls_Raw!E1335&lt;&gt;TRIM(Controls_Raw!E1335),"Trim","OK")</f>
        <v>OK</v>
      </c>
      <c r="G1335" t="str">
        <f>IF(AND(Controls_Raw!L1335&lt;DATE(2026,9,30),Controls_Raw!M1335&lt;&gt;"Completed"),"Overdue","OK")</f>
        <v>OK</v>
      </c>
      <c r="H1335" t="str">
        <f>IF(AND(Controls_Raw!Q1335&lt;DATE(2026,9,30),Controls_Raw!R1335&lt;&gt;"Completed",Controls_Raw!R1335&lt;&gt;"Not Required"),"Overdue","OK")</f>
        <v>OK</v>
      </c>
      <c r="I1335" t="str">
        <f t="shared" si="20"/>
        <v>Pass</v>
      </c>
    </row>
    <row r="1336" spans="1:9" x14ac:dyDescent="0.2">
      <c r="A1336" t="str">
        <f>Controls_Raw!A1336</f>
        <v>CTRL-1332</v>
      </c>
      <c r="B1336" t="str">
        <f>IF(COUNTIF(Controls_Raw!$A$5:$A$1504,A1336)&gt;1,"Duplicate","OK")</f>
        <v>OK</v>
      </c>
      <c r="C1336" t="str">
        <f>IF(LEN(TRIM(Controls_Raw!I1336))=0,"Missing","OK")</f>
        <v>OK</v>
      </c>
      <c r="D1336" t="str">
        <f>IF(LEN(TRIM(Controls_Raw!N1336))=0,"Missing","OK")</f>
        <v>OK</v>
      </c>
      <c r="E1336" t="str">
        <f>IF(OR(Controls_Raw!G1336="USA",Controls_Raw!G1336="UK"),"Standardize","OK")</f>
        <v>OK</v>
      </c>
      <c r="F1336" t="str">
        <f>IF(Controls_Raw!E1336&lt;&gt;TRIM(Controls_Raw!E1336),"Trim","OK")</f>
        <v>OK</v>
      </c>
      <c r="G1336" t="str">
        <f>IF(AND(Controls_Raw!L1336&lt;DATE(2026,9,30),Controls_Raw!M1336&lt;&gt;"Completed"),"Overdue","OK")</f>
        <v>OK</v>
      </c>
      <c r="H1336" t="str">
        <f>IF(AND(Controls_Raw!Q1336&lt;DATE(2026,9,30),Controls_Raw!R1336&lt;&gt;"Completed",Controls_Raw!R1336&lt;&gt;"Not Required"),"Overdue","OK")</f>
        <v>OK</v>
      </c>
      <c r="I1336" t="str">
        <f t="shared" si="20"/>
        <v>Pass</v>
      </c>
    </row>
    <row r="1337" spans="1:9" x14ac:dyDescent="0.2">
      <c r="A1337" t="str">
        <f>Controls_Raw!A1337</f>
        <v>CTRL-1333</v>
      </c>
      <c r="B1337" t="str">
        <f>IF(COUNTIF(Controls_Raw!$A$5:$A$1504,A1337)&gt;1,"Duplicate","OK")</f>
        <v>OK</v>
      </c>
      <c r="C1337" t="str">
        <f>IF(LEN(TRIM(Controls_Raw!I1337))=0,"Missing","OK")</f>
        <v>OK</v>
      </c>
      <c r="D1337" t="str">
        <f>IF(LEN(TRIM(Controls_Raw!N1337))=0,"Missing","OK")</f>
        <v>OK</v>
      </c>
      <c r="E1337" t="str">
        <f>IF(OR(Controls_Raw!G1337="USA",Controls_Raw!G1337="UK"),"Standardize","OK")</f>
        <v>OK</v>
      </c>
      <c r="F1337" t="str">
        <f>IF(Controls_Raw!E1337&lt;&gt;TRIM(Controls_Raw!E1337),"Trim","OK")</f>
        <v>OK</v>
      </c>
      <c r="G1337" t="str">
        <f>IF(AND(Controls_Raw!L1337&lt;DATE(2026,9,30),Controls_Raw!M1337&lt;&gt;"Completed"),"Overdue","OK")</f>
        <v>Overdue</v>
      </c>
      <c r="H1337" t="str">
        <f>IF(AND(Controls_Raw!Q1337&lt;DATE(2026,9,30),Controls_Raw!R1337&lt;&gt;"Completed",Controls_Raw!R1337&lt;&gt;"Not Required"),"Overdue","OK")</f>
        <v>OK</v>
      </c>
      <c r="I1337" t="str">
        <f t="shared" si="20"/>
        <v>Issue</v>
      </c>
    </row>
    <row r="1338" spans="1:9" x14ac:dyDescent="0.2">
      <c r="A1338" t="str">
        <f>Controls_Raw!A1338</f>
        <v>CTRL-1334</v>
      </c>
      <c r="B1338" t="str">
        <f>IF(COUNTIF(Controls_Raw!$A$5:$A$1504,A1338)&gt;1,"Duplicate","OK")</f>
        <v>OK</v>
      </c>
      <c r="C1338" t="str">
        <f>IF(LEN(TRIM(Controls_Raw!I1338))=0,"Missing","OK")</f>
        <v>OK</v>
      </c>
      <c r="D1338" t="str">
        <f>IF(LEN(TRIM(Controls_Raw!N1338))=0,"Missing","OK")</f>
        <v>OK</v>
      </c>
      <c r="E1338" t="str">
        <f>IF(OR(Controls_Raw!G1338="USA",Controls_Raw!G1338="UK"),"Standardize","OK")</f>
        <v>OK</v>
      </c>
      <c r="F1338" t="str">
        <f>IF(Controls_Raw!E1338&lt;&gt;TRIM(Controls_Raw!E1338),"Trim","OK")</f>
        <v>OK</v>
      </c>
      <c r="G1338" t="str">
        <f>IF(AND(Controls_Raw!L1338&lt;DATE(2026,9,30),Controls_Raw!M1338&lt;&gt;"Completed"),"Overdue","OK")</f>
        <v>Overdue</v>
      </c>
      <c r="H1338" t="str">
        <f>IF(AND(Controls_Raw!Q1338&lt;DATE(2026,9,30),Controls_Raw!R1338&lt;&gt;"Completed",Controls_Raw!R1338&lt;&gt;"Not Required"),"Overdue","OK")</f>
        <v>OK</v>
      </c>
      <c r="I1338" t="str">
        <f t="shared" si="20"/>
        <v>Issue</v>
      </c>
    </row>
    <row r="1339" spans="1:9" x14ac:dyDescent="0.2">
      <c r="A1339" t="str">
        <f>Controls_Raw!A1339</f>
        <v>CTRL-1335</v>
      </c>
      <c r="B1339" t="str">
        <f>IF(COUNTIF(Controls_Raw!$A$5:$A$1504,A1339)&gt;1,"Duplicate","OK")</f>
        <v>OK</v>
      </c>
      <c r="C1339" t="str">
        <f>IF(LEN(TRIM(Controls_Raw!I1339))=0,"Missing","OK")</f>
        <v>OK</v>
      </c>
      <c r="D1339" t="str">
        <f>IF(LEN(TRIM(Controls_Raw!N1339))=0,"Missing","OK")</f>
        <v>OK</v>
      </c>
      <c r="E1339" t="str">
        <f>IF(OR(Controls_Raw!G1339="USA",Controls_Raw!G1339="UK"),"Standardize","OK")</f>
        <v>OK</v>
      </c>
      <c r="F1339" t="str">
        <f>IF(Controls_Raw!E1339&lt;&gt;TRIM(Controls_Raw!E1339),"Trim","OK")</f>
        <v>OK</v>
      </c>
      <c r="G1339" t="str">
        <f>IF(AND(Controls_Raw!L1339&lt;DATE(2026,9,30),Controls_Raw!M1339&lt;&gt;"Completed"),"Overdue","OK")</f>
        <v>Overdue</v>
      </c>
      <c r="H1339" t="str">
        <f>IF(AND(Controls_Raw!Q1339&lt;DATE(2026,9,30),Controls_Raw!R1339&lt;&gt;"Completed",Controls_Raw!R1339&lt;&gt;"Not Required"),"Overdue","OK")</f>
        <v>Overdue</v>
      </c>
      <c r="I1339" t="str">
        <f t="shared" si="20"/>
        <v>Issue</v>
      </c>
    </row>
    <row r="1340" spans="1:9" x14ac:dyDescent="0.2">
      <c r="A1340" t="str">
        <f>Controls_Raw!A1340</f>
        <v>CTRL-1336</v>
      </c>
      <c r="B1340" t="str">
        <f>IF(COUNTIF(Controls_Raw!$A$5:$A$1504,A1340)&gt;1,"Duplicate","OK")</f>
        <v>OK</v>
      </c>
      <c r="C1340" t="str">
        <f>IF(LEN(TRIM(Controls_Raw!I1340))=0,"Missing","OK")</f>
        <v>OK</v>
      </c>
      <c r="D1340" t="str">
        <f>IF(LEN(TRIM(Controls_Raw!N1340))=0,"Missing","OK")</f>
        <v>OK</v>
      </c>
      <c r="E1340" t="str">
        <f>IF(OR(Controls_Raw!G1340="USA",Controls_Raw!G1340="UK"),"Standardize","OK")</f>
        <v>OK</v>
      </c>
      <c r="F1340" t="str">
        <f>IF(Controls_Raw!E1340&lt;&gt;TRIM(Controls_Raw!E1340),"Trim","OK")</f>
        <v>OK</v>
      </c>
      <c r="G1340" t="str">
        <f>IF(AND(Controls_Raw!L1340&lt;DATE(2026,9,30),Controls_Raw!M1340&lt;&gt;"Completed"),"Overdue","OK")</f>
        <v>Overdue</v>
      </c>
      <c r="H1340" t="str">
        <f>IF(AND(Controls_Raw!Q1340&lt;DATE(2026,9,30),Controls_Raw!R1340&lt;&gt;"Completed",Controls_Raw!R1340&lt;&gt;"Not Required"),"Overdue","OK")</f>
        <v>OK</v>
      </c>
      <c r="I1340" t="str">
        <f t="shared" si="20"/>
        <v>Issue</v>
      </c>
    </row>
    <row r="1341" spans="1:9" x14ac:dyDescent="0.2">
      <c r="A1341" t="str">
        <f>Controls_Raw!A1341</f>
        <v>CTRL-1337</v>
      </c>
      <c r="B1341" t="str">
        <f>IF(COUNTIF(Controls_Raw!$A$5:$A$1504,A1341)&gt;1,"Duplicate","OK")</f>
        <v>OK</v>
      </c>
      <c r="C1341" t="str">
        <f>IF(LEN(TRIM(Controls_Raw!I1341))=0,"Missing","OK")</f>
        <v>OK</v>
      </c>
      <c r="D1341" t="str">
        <f>IF(LEN(TRIM(Controls_Raw!N1341))=0,"Missing","OK")</f>
        <v>OK</v>
      </c>
      <c r="E1341" t="str">
        <f>IF(OR(Controls_Raw!G1341="USA",Controls_Raw!G1341="UK"),"Standardize","OK")</f>
        <v>OK</v>
      </c>
      <c r="F1341" t="str">
        <f>IF(Controls_Raw!E1341&lt;&gt;TRIM(Controls_Raw!E1341),"Trim","OK")</f>
        <v>OK</v>
      </c>
      <c r="G1341" t="str">
        <f>IF(AND(Controls_Raw!L1341&lt;DATE(2026,9,30),Controls_Raw!M1341&lt;&gt;"Completed"),"Overdue","OK")</f>
        <v>OK</v>
      </c>
      <c r="H1341" t="str">
        <f>IF(AND(Controls_Raw!Q1341&lt;DATE(2026,9,30),Controls_Raw!R1341&lt;&gt;"Completed",Controls_Raw!R1341&lt;&gt;"Not Required"),"Overdue","OK")</f>
        <v>OK</v>
      </c>
      <c r="I1341" t="str">
        <f t="shared" si="20"/>
        <v>Pass</v>
      </c>
    </row>
    <row r="1342" spans="1:9" x14ac:dyDescent="0.2">
      <c r="A1342" t="str">
        <f>Controls_Raw!A1342</f>
        <v>CTRL-1338</v>
      </c>
      <c r="B1342" t="str">
        <f>IF(COUNTIF(Controls_Raw!$A$5:$A$1504,A1342)&gt;1,"Duplicate","OK")</f>
        <v>OK</v>
      </c>
      <c r="C1342" t="str">
        <f>IF(LEN(TRIM(Controls_Raw!I1342))=0,"Missing","OK")</f>
        <v>OK</v>
      </c>
      <c r="D1342" t="str">
        <f>IF(LEN(TRIM(Controls_Raw!N1342))=0,"Missing","OK")</f>
        <v>OK</v>
      </c>
      <c r="E1342" t="str">
        <f>IF(OR(Controls_Raw!G1342="USA",Controls_Raw!G1342="UK"),"Standardize","OK")</f>
        <v>OK</v>
      </c>
      <c r="F1342" t="str">
        <f>IF(Controls_Raw!E1342&lt;&gt;TRIM(Controls_Raw!E1342),"Trim","OK")</f>
        <v>OK</v>
      </c>
      <c r="G1342" t="str">
        <f>IF(AND(Controls_Raw!L1342&lt;DATE(2026,9,30),Controls_Raw!M1342&lt;&gt;"Completed"),"Overdue","OK")</f>
        <v>OK</v>
      </c>
      <c r="H1342" t="str">
        <f>IF(AND(Controls_Raw!Q1342&lt;DATE(2026,9,30),Controls_Raw!R1342&lt;&gt;"Completed",Controls_Raw!R1342&lt;&gt;"Not Required"),"Overdue","OK")</f>
        <v>OK</v>
      </c>
      <c r="I1342" t="str">
        <f t="shared" si="20"/>
        <v>Pass</v>
      </c>
    </row>
    <row r="1343" spans="1:9" x14ac:dyDescent="0.2">
      <c r="A1343" t="str">
        <f>Controls_Raw!A1343</f>
        <v>CTRL-1339</v>
      </c>
      <c r="B1343" t="str">
        <f>IF(COUNTIF(Controls_Raw!$A$5:$A$1504,A1343)&gt;1,"Duplicate","OK")</f>
        <v>OK</v>
      </c>
      <c r="C1343" t="str">
        <f>IF(LEN(TRIM(Controls_Raw!I1343))=0,"Missing","OK")</f>
        <v>OK</v>
      </c>
      <c r="D1343" t="str">
        <f>IF(LEN(TRIM(Controls_Raw!N1343))=0,"Missing","OK")</f>
        <v>OK</v>
      </c>
      <c r="E1343" t="str">
        <f>IF(OR(Controls_Raw!G1343="USA",Controls_Raw!G1343="UK"),"Standardize","OK")</f>
        <v>OK</v>
      </c>
      <c r="F1343" t="str">
        <f>IF(Controls_Raw!E1343&lt;&gt;TRIM(Controls_Raw!E1343),"Trim","OK")</f>
        <v>OK</v>
      </c>
      <c r="G1343" t="str">
        <f>IF(AND(Controls_Raw!L1343&lt;DATE(2026,9,30),Controls_Raw!M1343&lt;&gt;"Completed"),"Overdue","OK")</f>
        <v>OK</v>
      </c>
      <c r="H1343" t="str">
        <f>IF(AND(Controls_Raw!Q1343&lt;DATE(2026,9,30),Controls_Raw!R1343&lt;&gt;"Completed",Controls_Raw!R1343&lt;&gt;"Not Required"),"Overdue","OK")</f>
        <v>OK</v>
      </c>
      <c r="I1343" t="str">
        <f t="shared" si="20"/>
        <v>Pass</v>
      </c>
    </row>
    <row r="1344" spans="1:9" x14ac:dyDescent="0.2">
      <c r="A1344" t="str">
        <f>Controls_Raw!A1344</f>
        <v>CTRL-1340</v>
      </c>
      <c r="B1344" t="str">
        <f>IF(COUNTIF(Controls_Raw!$A$5:$A$1504,A1344)&gt;1,"Duplicate","OK")</f>
        <v>OK</v>
      </c>
      <c r="C1344" t="str">
        <f>IF(LEN(TRIM(Controls_Raw!I1344))=0,"Missing","OK")</f>
        <v>OK</v>
      </c>
      <c r="D1344" t="str">
        <f>IF(LEN(TRIM(Controls_Raw!N1344))=0,"Missing","OK")</f>
        <v>OK</v>
      </c>
      <c r="E1344" t="str">
        <f>IF(OR(Controls_Raw!G1344="USA",Controls_Raw!G1344="UK"),"Standardize","OK")</f>
        <v>OK</v>
      </c>
      <c r="F1344" t="str">
        <f>IF(Controls_Raw!E1344&lt;&gt;TRIM(Controls_Raw!E1344),"Trim","OK")</f>
        <v>OK</v>
      </c>
      <c r="G1344" t="str">
        <f>IF(AND(Controls_Raw!L1344&lt;DATE(2026,9,30),Controls_Raw!M1344&lt;&gt;"Completed"),"Overdue","OK")</f>
        <v>Overdue</v>
      </c>
      <c r="H1344" t="str">
        <f>IF(AND(Controls_Raw!Q1344&lt;DATE(2026,9,30),Controls_Raw!R1344&lt;&gt;"Completed",Controls_Raw!R1344&lt;&gt;"Not Required"),"Overdue","OK")</f>
        <v>Overdue</v>
      </c>
      <c r="I1344" t="str">
        <f t="shared" si="20"/>
        <v>Issue</v>
      </c>
    </row>
    <row r="1345" spans="1:9" x14ac:dyDescent="0.2">
      <c r="A1345" t="str">
        <f>Controls_Raw!A1345</f>
        <v>CTRL-1341</v>
      </c>
      <c r="B1345" t="str">
        <f>IF(COUNTIF(Controls_Raw!$A$5:$A$1504,A1345)&gt;1,"Duplicate","OK")</f>
        <v>OK</v>
      </c>
      <c r="C1345" t="str">
        <f>IF(LEN(TRIM(Controls_Raw!I1345))=0,"Missing","OK")</f>
        <v>OK</v>
      </c>
      <c r="D1345" t="str">
        <f>IF(LEN(TRIM(Controls_Raw!N1345))=0,"Missing","OK")</f>
        <v>OK</v>
      </c>
      <c r="E1345" t="str">
        <f>IF(OR(Controls_Raw!G1345="USA",Controls_Raw!G1345="UK"),"Standardize","OK")</f>
        <v>OK</v>
      </c>
      <c r="F1345" t="str">
        <f>IF(Controls_Raw!E1345&lt;&gt;TRIM(Controls_Raw!E1345),"Trim","OK")</f>
        <v>OK</v>
      </c>
      <c r="G1345" t="str">
        <f>IF(AND(Controls_Raw!L1345&lt;DATE(2026,9,30),Controls_Raw!M1345&lt;&gt;"Completed"),"Overdue","OK")</f>
        <v>Overdue</v>
      </c>
      <c r="H1345" t="str">
        <f>IF(AND(Controls_Raw!Q1345&lt;DATE(2026,9,30),Controls_Raw!R1345&lt;&gt;"Completed",Controls_Raw!R1345&lt;&gt;"Not Required"),"Overdue","OK")</f>
        <v>OK</v>
      </c>
      <c r="I1345" t="str">
        <f t="shared" si="20"/>
        <v>Issue</v>
      </c>
    </row>
    <row r="1346" spans="1:9" x14ac:dyDescent="0.2">
      <c r="A1346" t="str">
        <f>Controls_Raw!A1346</f>
        <v>CTRL-1342</v>
      </c>
      <c r="B1346" t="str">
        <f>IF(COUNTIF(Controls_Raw!$A$5:$A$1504,A1346)&gt;1,"Duplicate","OK")</f>
        <v>OK</v>
      </c>
      <c r="C1346" t="str">
        <f>IF(LEN(TRIM(Controls_Raw!I1346))=0,"Missing","OK")</f>
        <v>OK</v>
      </c>
      <c r="D1346" t="str">
        <f>IF(LEN(TRIM(Controls_Raw!N1346))=0,"Missing","OK")</f>
        <v>OK</v>
      </c>
      <c r="E1346" t="str">
        <f>IF(OR(Controls_Raw!G1346="USA",Controls_Raw!G1346="UK"),"Standardize","OK")</f>
        <v>OK</v>
      </c>
      <c r="F1346" t="str">
        <f>IF(Controls_Raw!E1346&lt;&gt;TRIM(Controls_Raw!E1346),"Trim","OK")</f>
        <v>OK</v>
      </c>
      <c r="G1346" t="str">
        <f>IF(AND(Controls_Raw!L1346&lt;DATE(2026,9,30),Controls_Raw!M1346&lt;&gt;"Completed"),"Overdue","OK")</f>
        <v>OK</v>
      </c>
      <c r="H1346" t="str">
        <f>IF(AND(Controls_Raw!Q1346&lt;DATE(2026,9,30),Controls_Raw!R1346&lt;&gt;"Completed",Controls_Raw!R1346&lt;&gt;"Not Required"),"Overdue","OK")</f>
        <v>Overdue</v>
      </c>
      <c r="I1346" t="str">
        <f t="shared" si="20"/>
        <v>Issue</v>
      </c>
    </row>
    <row r="1347" spans="1:9" x14ac:dyDescent="0.2">
      <c r="A1347" t="str">
        <f>Controls_Raw!A1347</f>
        <v>CTRL-1343</v>
      </c>
      <c r="B1347" t="str">
        <f>IF(COUNTIF(Controls_Raw!$A$5:$A$1504,A1347)&gt;1,"Duplicate","OK")</f>
        <v>OK</v>
      </c>
      <c r="C1347" t="str">
        <f>IF(LEN(TRIM(Controls_Raw!I1347))=0,"Missing","OK")</f>
        <v>OK</v>
      </c>
      <c r="D1347" t="str">
        <f>IF(LEN(TRIM(Controls_Raw!N1347))=0,"Missing","OK")</f>
        <v>OK</v>
      </c>
      <c r="E1347" t="str">
        <f>IF(OR(Controls_Raw!G1347="USA",Controls_Raw!G1347="UK"),"Standardize","OK")</f>
        <v>OK</v>
      </c>
      <c r="F1347" t="str">
        <f>IF(Controls_Raw!E1347&lt;&gt;TRIM(Controls_Raw!E1347),"Trim","OK")</f>
        <v>OK</v>
      </c>
      <c r="G1347" t="str">
        <f>IF(AND(Controls_Raw!L1347&lt;DATE(2026,9,30),Controls_Raw!M1347&lt;&gt;"Completed"),"Overdue","OK")</f>
        <v>Overdue</v>
      </c>
      <c r="H1347" t="str">
        <f>IF(AND(Controls_Raw!Q1347&lt;DATE(2026,9,30),Controls_Raw!R1347&lt;&gt;"Completed",Controls_Raw!R1347&lt;&gt;"Not Required"),"Overdue","OK")</f>
        <v>OK</v>
      </c>
      <c r="I1347" t="str">
        <f t="shared" si="20"/>
        <v>Issue</v>
      </c>
    </row>
    <row r="1348" spans="1:9" x14ac:dyDescent="0.2">
      <c r="A1348" t="str">
        <f>Controls_Raw!A1348</f>
        <v>CTRL-1344</v>
      </c>
      <c r="B1348" t="str">
        <f>IF(COUNTIF(Controls_Raw!$A$5:$A$1504,A1348)&gt;1,"Duplicate","OK")</f>
        <v>OK</v>
      </c>
      <c r="C1348" t="str">
        <f>IF(LEN(TRIM(Controls_Raw!I1348))=0,"Missing","OK")</f>
        <v>OK</v>
      </c>
      <c r="D1348" t="str">
        <f>IF(LEN(TRIM(Controls_Raw!N1348))=0,"Missing","OK")</f>
        <v>OK</v>
      </c>
      <c r="E1348" t="str">
        <f>IF(OR(Controls_Raw!G1348="USA",Controls_Raw!G1348="UK"),"Standardize","OK")</f>
        <v>OK</v>
      </c>
      <c r="F1348" t="str">
        <f>IF(Controls_Raw!E1348&lt;&gt;TRIM(Controls_Raw!E1348),"Trim","OK")</f>
        <v>OK</v>
      </c>
      <c r="G1348" t="str">
        <f>IF(AND(Controls_Raw!L1348&lt;DATE(2026,9,30),Controls_Raw!M1348&lt;&gt;"Completed"),"Overdue","OK")</f>
        <v>OK</v>
      </c>
      <c r="H1348" t="str">
        <f>IF(AND(Controls_Raw!Q1348&lt;DATE(2026,9,30),Controls_Raw!R1348&lt;&gt;"Completed",Controls_Raw!R1348&lt;&gt;"Not Required"),"Overdue","OK")</f>
        <v>Overdue</v>
      </c>
      <c r="I1348" t="str">
        <f t="shared" si="20"/>
        <v>Issue</v>
      </c>
    </row>
    <row r="1349" spans="1:9" x14ac:dyDescent="0.2">
      <c r="A1349" t="str">
        <f>Controls_Raw!A1349</f>
        <v>CTRL-1345</v>
      </c>
      <c r="B1349" t="str">
        <f>IF(COUNTIF(Controls_Raw!$A$5:$A$1504,A1349)&gt;1,"Duplicate","OK")</f>
        <v>OK</v>
      </c>
      <c r="C1349" t="str">
        <f>IF(LEN(TRIM(Controls_Raw!I1349))=0,"Missing","OK")</f>
        <v>OK</v>
      </c>
      <c r="D1349" t="str">
        <f>IF(LEN(TRIM(Controls_Raw!N1349))=0,"Missing","OK")</f>
        <v>OK</v>
      </c>
      <c r="E1349" t="str">
        <f>IF(OR(Controls_Raw!G1349="USA",Controls_Raw!G1349="UK"),"Standardize","OK")</f>
        <v>OK</v>
      </c>
      <c r="F1349" t="str">
        <f>IF(Controls_Raw!E1349&lt;&gt;TRIM(Controls_Raw!E1349),"Trim","OK")</f>
        <v>OK</v>
      </c>
      <c r="G1349" t="str">
        <f>IF(AND(Controls_Raw!L1349&lt;DATE(2026,9,30),Controls_Raw!M1349&lt;&gt;"Completed"),"Overdue","OK")</f>
        <v>OK</v>
      </c>
      <c r="H1349" t="str">
        <f>IF(AND(Controls_Raw!Q1349&lt;DATE(2026,9,30),Controls_Raw!R1349&lt;&gt;"Completed",Controls_Raw!R1349&lt;&gt;"Not Required"),"Overdue","OK")</f>
        <v>OK</v>
      </c>
      <c r="I1349" t="str">
        <f t="shared" ref="I1349:I1412" si="21">IF(COUNTIF(B1349:H1349,"&lt;&gt;OK")&gt;0,"Issue","Pass")</f>
        <v>Pass</v>
      </c>
    </row>
    <row r="1350" spans="1:9" x14ac:dyDescent="0.2">
      <c r="A1350" t="str">
        <f>Controls_Raw!A1350</f>
        <v>CTRL-1346</v>
      </c>
      <c r="B1350" t="str">
        <f>IF(COUNTIF(Controls_Raw!$A$5:$A$1504,A1350)&gt;1,"Duplicate","OK")</f>
        <v>OK</v>
      </c>
      <c r="C1350" t="str">
        <f>IF(LEN(TRIM(Controls_Raw!I1350))=0,"Missing","OK")</f>
        <v>OK</v>
      </c>
      <c r="D1350" t="str">
        <f>IF(LEN(TRIM(Controls_Raw!N1350))=0,"Missing","OK")</f>
        <v>OK</v>
      </c>
      <c r="E1350" t="str">
        <f>IF(OR(Controls_Raw!G1350="USA",Controls_Raw!G1350="UK"),"Standardize","OK")</f>
        <v>OK</v>
      </c>
      <c r="F1350" t="str">
        <f>IF(Controls_Raw!E1350&lt;&gt;TRIM(Controls_Raw!E1350),"Trim","OK")</f>
        <v>OK</v>
      </c>
      <c r="G1350" t="str">
        <f>IF(AND(Controls_Raw!L1350&lt;DATE(2026,9,30),Controls_Raw!M1350&lt;&gt;"Completed"),"Overdue","OK")</f>
        <v>Overdue</v>
      </c>
      <c r="H1350" t="str">
        <f>IF(AND(Controls_Raw!Q1350&lt;DATE(2026,9,30),Controls_Raw!R1350&lt;&gt;"Completed",Controls_Raw!R1350&lt;&gt;"Not Required"),"Overdue","OK")</f>
        <v>OK</v>
      </c>
      <c r="I1350" t="str">
        <f t="shared" si="21"/>
        <v>Issue</v>
      </c>
    </row>
    <row r="1351" spans="1:9" x14ac:dyDescent="0.2">
      <c r="A1351" t="str">
        <f>Controls_Raw!A1351</f>
        <v>CTRL-1347</v>
      </c>
      <c r="B1351" t="str">
        <f>IF(COUNTIF(Controls_Raw!$A$5:$A$1504,A1351)&gt;1,"Duplicate","OK")</f>
        <v>OK</v>
      </c>
      <c r="C1351" t="str">
        <f>IF(LEN(TRIM(Controls_Raw!I1351))=0,"Missing","OK")</f>
        <v>OK</v>
      </c>
      <c r="D1351" t="str">
        <f>IF(LEN(TRIM(Controls_Raw!N1351))=0,"Missing","OK")</f>
        <v>OK</v>
      </c>
      <c r="E1351" t="str">
        <f>IF(OR(Controls_Raw!G1351="USA",Controls_Raw!G1351="UK"),"Standardize","OK")</f>
        <v>OK</v>
      </c>
      <c r="F1351" t="str">
        <f>IF(Controls_Raw!E1351&lt;&gt;TRIM(Controls_Raw!E1351),"Trim","OK")</f>
        <v>OK</v>
      </c>
      <c r="G1351" t="str">
        <f>IF(AND(Controls_Raw!L1351&lt;DATE(2026,9,30),Controls_Raw!M1351&lt;&gt;"Completed"),"Overdue","OK")</f>
        <v>OK</v>
      </c>
      <c r="H1351" t="str">
        <f>IF(AND(Controls_Raw!Q1351&lt;DATE(2026,9,30),Controls_Raw!R1351&lt;&gt;"Completed",Controls_Raw!R1351&lt;&gt;"Not Required"),"Overdue","OK")</f>
        <v>Overdue</v>
      </c>
      <c r="I1351" t="str">
        <f t="shared" si="21"/>
        <v>Issue</v>
      </c>
    </row>
    <row r="1352" spans="1:9" x14ac:dyDescent="0.2">
      <c r="A1352" t="str">
        <f>Controls_Raw!A1352</f>
        <v>CTRL-1348</v>
      </c>
      <c r="B1352" t="str">
        <f>IF(COUNTIF(Controls_Raw!$A$5:$A$1504,A1352)&gt;1,"Duplicate","OK")</f>
        <v>OK</v>
      </c>
      <c r="C1352" t="str">
        <f>IF(LEN(TRIM(Controls_Raw!I1352))=0,"Missing","OK")</f>
        <v>OK</v>
      </c>
      <c r="D1352" t="str">
        <f>IF(LEN(TRIM(Controls_Raw!N1352))=0,"Missing","OK")</f>
        <v>OK</v>
      </c>
      <c r="E1352" t="str">
        <f>IF(OR(Controls_Raw!G1352="USA",Controls_Raw!G1352="UK"),"Standardize","OK")</f>
        <v>OK</v>
      </c>
      <c r="F1352" t="str">
        <f>IF(Controls_Raw!E1352&lt;&gt;TRIM(Controls_Raw!E1352),"Trim","OK")</f>
        <v>OK</v>
      </c>
      <c r="G1352" t="str">
        <f>IF(AND(Controls_Raw!L1352&lt;DATE(2026,9,30),Controls_Raw!M1352&lt;&gt;"Completed"),"Overdue","OK")</f>
        <v>Overdue</v>
      </c>
      <c r="H1352" t="str">
        <f>IF(AND(Controls_Raw!Q1352&lt;DATE(2026,9,30),Controls_Raw!R1352&lt;&gt;"Completed",Controls_Raw!R1352&lt;&gt;"Not Required"),"Overdue","OK")</f>
        <v>OK</v>
      </c>
      <c r="I1352" t="str">
        <f t="shared" si="21"/>
        <v>Issue</v>
      </c>
    </row>
    <row r="1353" spans="1:9" x14ac:dyDescent="0.2">
      <c r="A1353" t="str">
        <f>Controls_Raw!A1353</f>
        <v>CTRL-1349</v>
      </c>
      <c r="B1353" t="str">
        <f>IF(COUNTIF(Controls_Raw!$A$5:$A$1504,A1353)&gt;1,"Duplicate","OK")</f>
        <v>OK</v>
      </c>
      <c r="C1353" t="str">
        <f>IF(LEN(TRIM(Controls_Raw!I1353))=0,"Missing","OK")</f>
        <v>OK</v>
      </c>
      <c r="D1353" t="str">
        <f>IF(LEN(TRIM(Controls_Raw!N1353))=0,"Missing","OK")</f>
        <v>OK</v>
      </c>
      <c r="E1353" t="str">
        <f>IF(OR(Controls_Raw!G1353="USA",Controls_Raw!G1353="UK"),"Standardize","OK")</f>
        <v>OK</v>
      </c>
      <c r="F1353" t="str">
        <f>IF(Controls_Raw!E1353&lt;&gt;TRIM(Controls_Raw!E1353),"Trim","OK")</f>
        <v>OK</v>
      </c>
      <c r="G1353" t="str">
        <f>IF(AND(Controls_Raw!L1353&lt;DATE(2026,9,30),Controls_Raw!M1353&lt;&gt;"Completed"),"Overdue","OK")</f>
        <v>OK</v>
      </c>
      <c r="H1353" t="str">
        <f>IF(AND(Controls_Raw!Q1353&lt;DATE(2026,9,30),Controls_Raw!R1353&lt;&gt;"Completed",Controls_Raw!R1353&lt;&gt;"Not Required"),"Overdue","OK")</f>
        <v>OK</v>
      </c>
      <c r="I1353" t="str">
        <f t="shared" si="21"/>
        <v>Pass</v>
      </c>
    </row>
    <row r="1354" spans="1:9" x14ac:dyDescent="0.2">
      <c r="A1354" t="str">
        <f>Controls_Raw!A1354</f>
        <v>CTRL-1350</v>
      </c>
      <c r="B1354" t="str">
        <f>IF(COUNTIF(Controls_Raw!$A$5:$A$1504,A1354)&gt;1,"Duplicate","OK")</f>
        <v>OK</v>
      </c>
      <c r="C1354" t="str">
        <f>IF(LEN(TRIM(Controls_Raw!I1354))=0,"Missing","OK")</f>
        <v>OK</v>
      </c>
      <c r="D1354" t="str">
        <f>IF(LEN(TRIM(Controls_Raw!N1354))=0,"Missing","OK")</f>
        <v>OK</v>
      </c>
      <c r="E1354" t="str">
        <f>IF(OR(Controls_Raw!G1354="USA",Controls_Raw!G1354="UK"),"Standardize","OK")</f>
        <v>OK</v>
      </c>
      <c r="F1354" t="str">
        <f>IF(Controls_Raw!E1354&lt;&gt;TRIM(Controls_Raw!E1354),"Trim","OK")</f>
        <v>OK</v>
      </c>
      <c r="G1354" t="str">
        <f>IF(AND(Controls_Raw!L1354&lt;DATE(2026,9,30),Controls_Raw!M1354&lt;&gt;"Completed"),"Overdue","OK")</f>
        <v>OK</v>
      </c>
      <c r="H1354" t="str">
        <f>IF(AND(Controls_Raw!Q1354&lt;DATE(2026,9,30),Controls_Raw!R1354&lt;&gt;"Completed",Controls_Raw!R1354&lt;&gt;"Not Required"),"Overdue","OK")</f>
        <v>Overdue</v>
      </c>
      <c r="I1354" t="str">
        <f t="shared" si="21"/>
        <v>Issue</v>
      </c>
    </row>
    <row r="1355" spans="1:9" x14ac:dyDescent="0.2">
      <c r="A1355" t="str">
        <f>Controls_Raw!A1355</f>
        <v>CTRL-1351</v>
      </c>
      <c r="B1355" t="str">
        <f>IF(COUNTIF(Controls_Raw!$A$5:$A$1504,A1355)&gt;1,"Duplicate","OK")</f>
        <v>OK</v>
      </c>
      <c r="C1355" t="str">
        <f>IF(LEN(TRIM(Controls_Raw!I1355))=0,"Missing","OK")</f>
        <v>OK</v>
      </c>
      <c r="D1355" t="str">
        <f>IF(LEN(TRIM(Controls_Raw!N1355))=0,"Missing","OK")</f>
        <v>OK</v>
      </c>
      <c r="E1355" t="str">
        <f>IF(OR(Controls_Raw!G1355="USA",Controls_Raw!G1355="UK"),"Standardize","OK")</f>
        <v>OK</v>
      </c>
      <c r="F1355" t="str">
        <f>IF(Controls_Raw!E1355&lt;&gt;TRIM(Controls_Raw!E1355),"Trim","OK")</f>
        <v>OK</v>
      </c>
      <c r="G1355" t="str">
        <f>IF(AND(Controls_Raw!L1355&lt;DATE(2026,9,30),Controls_Raw!M1355&lt;&gt;"Completed"),"Overdue","OK")</f>
        <v>Overdue</v>
      </c>
      <c r="H1355" t="str">
        <f>IF(AND(Controls_Raw!Q1355&lt;DATE(2026,9,30),Controls_Raw!R1355&lt;&gt;"Completed",Controls_Raw!R1355&lt;&gt;"Not Required"),"Overdue","OK")</f>
        <v>Overdue</v>
      </c>
      <c r="I1355" t="str">
        <f t="shared" si="21"/>
        <v>Issue</v>
      </c>
    </row>
    <row r="1356" spans="1:9" x14ac:dyDescent="0.2">
      <c r="A1356" t="str">
        <f>Controls_Raw!A1356</f>
        <v>CTRL-1352</v>
      </c>
      <c r="B1356" t="str">
        <f>IF(COUNTIF(Controls_Raw!$A$5:$A$1504,A1356)&gt;1,"Duplicate","OK")</f>
        <v>OK</v>
      </c>
      <c r="C1356" t="str">
        <f>IF(LEN(TRIM(Controls_Raw!I1356))=0,"Missing","OK")</f>
        <v>OK</v>
      </c>
      <c r="D1356" t="str">
        <f>IF(LEN(TRIM(Controls_Raw!N1356))=0,"Missing","OK")</f>
        <v>OK</v>
      </c>
      <c r="E1356" t="str">
        <f>IF(OR(Controls_Raw!G1356="USA",Controls_Raw!G1356="UK"),"Standardize","OK")</f>
        <v>OK</v>
      </c>
      <c r="F1356" t="str">
        <f>IF(Controls_Raw!E1356&lt;&gt;TRIM(Controls_Raw!E1356),"Trim","OK")</f>
        <v>OK</v>
      </c>
      <c r="G1356" t="str">
        <f>IF(AND(Controls_Raw!L1356&lt;DATE(2026,9,30),Controls_Raw!M1356&lt;&gt;"Completed"),"Overdue","OK")</f>
        <v>Overdue</v>
      </c>
      <c r="H1356" t="str">
        <f>IF(AND(Controls_Raw!Q1356&lt;DATE(2026,9,30),Controls_Raw!R1356&lt;&gt;"Completed",Controls_Raw!R1356&lt;&gt;"Not Required"),"Overdue","OK")</f>
        <v>OK</v>
      </c>
      <c r="I1356" t="str">
        <f t="shared" si="21"/>
        <v>Issue</v>
      </c>
    </row>
    <row r="1357" spans="1:9" x14ac:dyDescent="0.2">
      <c r="A1357" t="str">
        <f>Controls_Raw!A1357</f>
        <v>CTRL-1353</v>
      </c>
      <c r="B1357" t="str">
        <f>IF(COUNTIF(Controls_Raw!$A$5:$A$1504,A1357)&gt;1,"Duplicate","OK")</f>
        <v>OK</v>
      </c>
      <c r="C1357" t="str">
        <f>IF(LEN(TRIM(Controls_Raw!I1357))=0,"Missing","OK")</f>
        <v>OK</v>
      </c>
      <c r="D1357" t="str">
        <f>IF(LEN(TRIM(Controls_Raw!N1357))=0,"Missing","OK")</f>
        <v>OK</v>
      </c>
      <c r="E1357" t="str">
        <f>IF(OR(Controls_Raw!G1357="USA",Controls_Raw!G1357="UK"),"Standardize","OK")</f>
        <v>OK</v>
      </c>
      <c r="F1357" t="str">
        <f>IF(Controls_Raw!E1357&lt;&gt;TRIM(Controls_Raw!E1357),"Trim","OK")</f>
        <v>OK</v>
      </c>
      <c r="G1357" t="str">
        <f>IF(AND(Controls_Raw!L1357&lt;DATE(2026,9,30),Controls_Raw!M1357&lt;&gt;"Completed"),"Overdue","OK")</f>
        <v>Overdue</v>
      </c>
      <c r="H1357" t="str">
        <f>IF(AND(Controls_Raw!Q1357&lt;DATE(2026,9,30),Controls_Raw!R1357&lt;&gt;"Completed",Controls_Raw!R1357&lt;&gt;"Not Required"),"Overdue","OK")</f>
        <v>OK</v>
      </c>
      <c r="I1357" t="str">
        <f t="shared" si="21"/>
        <v>Issue</v>
      </c>
    </row>
    <row r="1358" spans="1:9" x14ac:dyDescent="0.2">
      <c r="A1358" t="str">
        <f>Controls_Raw!A1358</f>
        <v>CTRL-1354</v>
      </c>
      <c r="B1358" t="str">
        <f>IF(COUNTIF(Controls_Raw!$A$5:$A$1504,A1358)&gt;1,"Duplicate","OK")</f>
        <v>OK</v>
      </c>
      <c r="C1358" t="str">
        <f>IF(LEN(TRIM(Controls_Raw!I1358))=0,"Missing","OK")</f>
        <v>OK</v>
      </c>
      <c r="D1358" t="str">
        <f>IF(LEN(TRIM(Controls_Raw!N1358))=0,"Missing","OK")</f>
        <v>OK</v>
      </c>
      <c r="E1358" t="str">
        <f>IF(OR(Controls_Raw!G1358="USA",Controls_Raw!G1358="UK"),"Standardize","OK")</f>
        <v>OK</v>
      </c>
      <c r="F1358" t="str">
        <f>IF(Controls_Raw!E1358&lt;&gt;TRIM(Controls_Raw!E1358),"Trim","OK")</f>
        <v>OK</v>
      </c>
      <c r="G1358" t="str">
        <f>IF(AND(Controls_Raw!L1358&lt;DATE(2026,9,30),Controls_Raw!M1358&lt;&gt;"Completed"),"Overdue","OK")</f>
        <v>Overdue</v>
      </c>
      <c r="H1358" t="str">
        <f>IF(AND(Controls_Raw!Q1358&lt;DATE(2026,9,30),Controls_Raw!R1358&lt;&gt;"Completed",Controls_Raw!R1358&lt;&gt;"Not Required"),"Overdue","OK")</f>
        <v>Overdue</v>
      </c>
      <c r="I1358" t="str">
        <f t="shared" si="21"/>
        <v>Issue</v>
      </c>
    </row>
    <row r="1359" spans="1:9" x14ac:dyDescent="0.2">
      <c r="A1359" t="str">
        <f>Controls_Raw!A1359</f>
        <v>CTRL-1355</v>
      </c>
      <c r="B1359" t="str">
        <f>IF(COUNTIF(Controls_Raw!$A$5:$A$1504,A1359)&gt;1,"Duplicate","OK")</f>
        <v>OK</v>
      </c>
      <c r="C1359" t="str">
        <f>IF(LEN(TRIM(Controls_Raw!I1359))=0,"Missing","OK")</f>
        <v>OK</v>
      </c>
      <c r="D1359" t="str">
        <f>IF(LEN(TRIM(Controls_Raw!N1359))=0,"Missing","OK")</f>
        <v>OK</v>
      </c>
      <c r="E1359" t="str">
        <f>IF(OR(Controls_Raw!G1359="USA",Controls_Raw!G1359="UK"),"Standardize","OK")</f>
        <v>OK</v>
      </c>
      <c r="F1359" t="str">
        <f>IF(Controls_Raw!E1359&lt;&gt;TRIM(Controls_Raw!E1359),"Trim","OK")</f>
        <v>OK</v>
      </c>
      <c r="G1359" t="str">
        <f>IF(AND(Controls_Raw!L1359&lt;DATE(2026,9,30),Controls_Raw!M1359&lt;&gt;"Completed"),"Overdue","OK")</f>
        <v>OK</v>
      </c>
      <c r="H1359" t="str">
        <f>IF(AND(Controls_Raw!Q1359&lt;DATE(2026,9,30),Controls_Raw!R1359&lt;&gt;"Completed",Controls_Raw!R1359&lt;&gt;"Not Required"),"Overdue","OK")</f>
        <v>OK</v>
      </c>
      <c r="I1359" t="str">
        <f t="shared" si="21"/>
        <v>Pass</v>
      </c>
    </row>
    <row r="1360" spans="1:9" x14ac:dyDescent="0.2">
      <c r="A1360" t="str">
        <f>Controls_Raw!A1360</f>
        <v>CTRL-1356</v>
      </c>
      <c r="B1360" t="str">
        <f>IF(COUNTIF(Controls_Raw!$A$5:$A$1504,A1360)&gt;1,"Duplicate","OK")</f>
        <v>OK</v>
      </c>
      <c r="C1360" t="str">
        <f>IF(LEN(TRIM(Controls_Raw!I1360))=0,"Missing","OK")</f>
        <v>OK</v>
      </c>
      <c r="D1360" t="str">
        <f>IF(LEN(TRIM(Controls_Raw!N1360))=0,"Missing","OK")</f>
        <v>OK</v>
      </c>
      <c r="E1360" t="str">
        <f>IF(OR(Controls_Raw!G1360="USA",Controls_Raw!G1360="UK"),"Standardize","OK")</f>
        <v>OK</v>
      </c>
      <c r="F1360" t="str">
        <f>IF(Controls_Raw!E1360&lt;&gt;TRIM(Controls_Raw!E1360),"Trim","OK")</f>
        <v>OK</v>
      </c>
      <c r="G1360" t="str">
        <f>IF(AND(Controls_Raw!L1360&lt;DATE(2026,9,30),Controls_Raw!M1360&lt;&gt;"Completed"),"Overdue","OK")</f>
        <v>Overdue</v>
      </c>
      <c r="H1360" t="str">
        <f>IF(AND(Controls_Raw!Q1360&lt;DATE(2026,9,30),Controls_Raw!R1360&lt;&gt;"Completed",Controls_Raw!R1360&lt;&gt;"Not Required"),"Overdue","OK")</f>
        <v>Overdue</v>
      </c>
      <c r="I1360" t="str">
        <f t="shared" si="21"/>
        <v>Issue</v>
      </c>
    </row>
    <row r="1361" spans="1:9" x14ac:dyDescent="0.2">
      <c r="A1361" t="str">
        <f>Controls_Raw!A1361</f>
        <v>CTRL-1357</v>
      </c>
      <c r="B1361" t="str">
        <f>IF(COUNTIF(Controls_Raw!$A$5:$A$1504,A1361)&gt;1,"Duplicate","OK")</f>
        <v>OK</v>
      </c>
      <c r="C1361" t="str">
        <f>IF(LEN(TRIM(Controls_Raw!I1361))=0,"Missing","OK")</f>
        <v>OK</v>
      </c>
      <c r="D1361" t="str">
        <f>IF(LEN(TRIM(Controls_Raw!N1361))=0,"Missing","OK")</f>
        <v>OK</v>
      </c>
      <c r="E1361" t="str">
        <f>IF(OR(Controls_Raw!G1361="USA",Controls_Raw!G1361="UK"),"Standardize","OK")</f>
        <v>OK</v>
      </c>
      <c r="F1361" t="str">
        <f>IF(Controls_Raw!E1361&lt;&gt;TRIM(Controls_Raw!E1361),"Trim","OK")</f>
        <v>OK</v>
      </c>
      <c r="G1361" t="str">
        <f>IF(AND(Controls_Raw!L1361&lt;DATE(2026,9,30),Controls_Raw!M1361&lt;&gt;"Completed"),"Overdue","OK")</f>
        <v>Overdue</v>
      </c>
      <c r="H1361" t="str">
        <f>IF(AND(Controls_Raw!Q1361&lt;DATE(2026,9,30),Controls_Raw!R1361&lt;&gt;"Completed",Controls_Raw!R1361&lt;&gt;"Not Required"),"Overdue","OK")</f>
        <v>Overdue</v>
      </c>
      <c r="I1361" t="str">
        <f t="shared" si="21"/>
        <v>Issue</v>
      </c>
    </row>
    <row r="1362" spans="1:9" x14ac:dyDescent="0.2">
      <c r="A1362" t="str">
        <f>Controls_Raw!A1362</f>
        <v>CTRL-1358</v>
      </c>
      <c r="B1362" t="str">
        <f>IF(COUNTIF(Controls_Raw!$A$5:$A$1504,A1362)&gt;1,"Duplicate","OK")</f>
        <v>OK</v>
      </c>
      <c r="C1362" t="str">
        <f>IF(LEN(TRIM(Controls_Raw!I1362))=0,"Missing","OK")</f>
        <v>OK</v>
      </c>
      <c r="D1362" t="str">
        <f>IF(LEN(TRIM(Controls_Raw!N1362))=0,"Missing","OK")</f>
        <v>OK</v>
      </c>
      <c r="E1362" t="str">
        <f>IF(OR(Controls_Raw!G1362="USA",Controls_Raw!G1362="UK"),"Standardize","OK")</f>
        <v>OK</v>
      </c>
      <c r="F1362" t="str">
        <f>IF(Controls_Raw!E1362&lt;&gt;TRIM(Controls_Raw!E1362),"Trim","OK")</f>
        <v>OK</v>
      </c>
      <c r="G1362" t="str">
        <f>IF(AND(Controls_Raw!L1362&lt;DATE(2026,9,30),Controls_Raw!M1362&lt;&gt;"Completed"),"Overdue","OK")</f>
        <v>Overdue</v>
      </c>
      <c r="H1362" t="str">
        <f>IF(AND(Controls_Raw!Q1362&lt;DATE(2026,9,30),Controls_Raw!R1362&lt;&gt;"Completed",Controls_Raw!R1362&lt;&gt;"Not Required"),"Overdue","OK")</f>
        <v>OK</v>
      </c>
      <c r="I1362" t="str">
        <f t="shared" si="21"/>
        <v>Issue</v>
      </c>
    </row>
    <row r="1363" spans="1:9" x14ac:dyDescent="0.2">
      <c r="A1363" t="str">
        <f>Controls_Raw!A1363</f>
        <v>CTRL-1359</v>
      </c>
      <c r="B1363" t="str">
        <f>IF(COUNTIF(Controls_Raw!$A$5:$A$1504,A1363)&gt;1,"Duplicate","OK")</f>
        <v>OK</v>
      </c>
      <c r="C1363" t="str">
        <f>IF(LEN(TRIM(Controls_Raw!I1363))=0,"Missing","OK")</f>
        <v>OK</v>
      </c>
      <c r="D1363" t="str">
        <f>IF(LEN(TRIM(Controls_Raw!N1363))=0,"Missing","OK")</f>
        <v>OK</v>
      </c>
      <c r="E1363" t="str">
        <f>IF(OR(Controls_Raw!G1363="USA",Controls_Raw!G1363="UK"),"Standardize","OK")</f>
        <v>OK</v>
      </c>
      <c r="F1363" t="str">
        <f>IF(Controls_Raw!E1363&lt;&gt;TRIM(Controls_Raw!E1363),"Trim","OK")</f>
        <v>OK</v>
      </c>
      <c r="G1363" t="str">
        <f>IF(AND(Controls_Raw!L1363&lt;DATE(2026,9,30),Controls_Raw!M1363&lt;&gt;"Completed"),"Overdue","OK")</f>
        <v>OK</v>
      </c>
      <c r="H1363" t="str">
        <f>IF(AND(Controls_Raw!Q1363&lt;DATE(2026,9,30),Controls_Raw!R1363&lt;&gt;"Completed",Controls_Raw!R1363&lt;&gt;"Not Required"),"Overdue","OK")</f>
        <v>OK</v>
      </c>
      <c r="I1363" t="str">
        <f t="shared" si="21"/>
        <v>Pass</v>
      </c>
    </row>
    <row r="1364" spans="1:9" x14ac:dyDescent="0.2">
      <c r="A1364" t="str">
        <f>Controls_Raw!A1364</f>
        <v>CTRL-1360</v>
      </c>
      <c r="B1364" t="str">
        <f>IF(COUNTIF(Controls_Raw!$A$5:$A$1504,A1364)&gt;1,"Duplicate","OK")</f>
        <v>OK</v>
      </c>
      <c r="C1364" t="str">
        <f>IF(LEN(TRIM(Controls_Raw!I1364))=0,"Missing","OK")</f>
        <v>OK</v>
      </c>
      <c r="D1364" t="str">
        <f>IF(LEN(TRIM(Controls_Raw!N1364))=0,"Missing","OK")</f>
        <v>OK</v>
      </c>
      <c r="E1364" t="str">
        <f>IF(OR(Controls_Raw!G1364="USA",Controls_Raw!G1364="UK"),"Standardize","OK")</f>
        <v>OK</v>
      </c>
      <c r="F1364" t="str">
        <f>IF(Controls_Raw!E1364&lt;&gt;TRIM(Controls_Raw!E1364),"Trim","OK")</f>
        <v>OK</v>
      </c>
      <c r="G1364" t="str">
        <f>IF(AND(Controls_Raw!L1364&lt;DATE(2026,9,30),Controls_Raw!M1364&lt;&gt;"Completed"),"Overdue","OK")</f>
        <v>Overdue</v>
      </c>
      <c r="H1364" t="str">
        <f>IF(AND(Controls_Raw!Q1364&lt;DATE(2026,9,30),Controls_Raw!R1364&lt;&gt;"Completed",Controls_Raw!R1364&lt;&gt;"Not Required"),"Overdue","OK")</f>
        <v>OK</v>
      </c>
      <c r="I1364" t="str">
        <f t="shared" si="21"/>
        <v>Issue</v>
      </c>
    </row>
    <row r="1365" spans="1:9" x14ac:dyDescent="0.2">
      <c r="A1365" t="str">
        <f>Controls_Raw!A1365</f>
        <v>CTRL-1361</v>
      </c>
      <c r="B1365" t="str">
        <f>IF(COUNTIF(Controls_Raw!$A$5:$A$1504,A1365)&gt;1,"Duplicate","OK")</f>
        <v>OK</v>
      </c>
      <c r="C1365" t="str">
        <f>IF(LEN(TRIM(Controls_Raw!I1365))=0,"Missing","OK")</f>
        <v>OK</v>
      </c>
      <c r="D1365" t="str">
        <f>IF(LEN(TRIM(Controls_Raw!N1365))=0,"Missing","OK")</f>
        <v>OK</v>
      </c>
      <c r="E1365" t="str">
        <f>IF(OR(Controls_Raw!G1365="USA",Controls_Raw!G1365="UK"),"Standardize","OK")</f>
        <v>OK</v>
      </c>
      <c r="F1365" t="str">
        <f>IF(Controls_Raw!E1365&lt;&gt;TRIM(Controls_Raw!E1365),"Trim","OK")</f>
        <v>OK</v>
      </c>
      <c r="G1365" t="str">
        <f>IF(AND(Controls_Raw!L1365&lt;DATE(2026,9,30),Controls_Raw!M1365&lt;&gt;"Completed"),"Overdue","OK")</f>
        <v>OK</v>
      </c>
      <c r="H1365" t="str">
        <f>IF(AND(Controls_Raw!Q1365&lt;DATE(2026,9,30),Controls_Raw!R1365&lt;&gt;"Completed",Controls_Raw!R1365&lt;&gt;"Not Required"),"Overdue","OK")</f>
        <v>OK</v>
      </c>
      <c r="I1365" t="str">
        <f t="shared" si="21"/>
        <v>Pass</v>
      </c>
    </row>
    <row r="1366" spans="1:9" x14ac:dyDescent="0.2">
      <c r="A1366" t="str">
        <f>Controls_Raw!A1366</f>
        <v>CTRL-1362</v>
      </c>
      <c r="B1366" t="str">
        <f>IF(COUNTIF(Controls_Raw!$A$5:$A$1504,A1366)&gt;1,"Duplicate","OK")</f>
        <v>OK</v>
      </c>
      <c r="C1366" t="str">
        <f>IF(LEN(TRIM(Controls_Raw!I1366))=0,"Missing","OK")</f>
        <v>OK</v>
      </c>
      <c r="D1366" t="str">
        <f>IF(LEN(TRIM(Controls_Raw!N1366))=0,"Missing","OK")</f>
        <v>OK</v>
      </c>
      <c r="E1366" t="str">
        <f>IF(OR(Controls_Raw!G1366="USA",Controls_Raw!G1366="UK"),"Standardize","OK")</f>
        <v>OK</v>
      </c>
      <c r="F1366" t="str">
        <f>IF(Controls_Raw!E1366&lt;&gt;TRIM(Controls_Raw!E1366),"Trim","OK")</f>
        <v>OK</v>
      </c>
      <c r="G1366" t="str">
        <f>IF(AND(Controls_Raw!L1366&lt;DATE(2026,9,30),Controls_Raw!M1366&lt;&gt;"Completed"),"Overdue","OK")</f>
        <v>Overdue</v>
      </c>
      <c r="H1366" t="str">
        <f>IF(AND(Controls_Raw!Q1366&lt;DATE(2026,9,30),Controls_Raw!R1366&lt;&gt;"Completed",Controls_Raw!R1366&lt;&gt;"Not Required"),"Overdue","OK")</f>
        <v>OK</v>
      </c>
      <c r="I1366" t="str">
        <f t="shared" si="21"/>
        <v>Issue</v>
      </c>
    </row>
    <row r="1367" spans="1:9" x14ac:dyDescent="0.2">
      <c r="A1367" t="str">
        <f>Controls_Raw!A1367</f>
        <v>CTRL-1363</v>
      </c>
      <c r="B1367" t="str">
        <f>IF(COUNTIF(Controls_Raw!$A$5:$A$1504,A1367)&gt;1,"Duplicate","OK")</f>
        <v>OK</v>
      </c>
      <c r="C1367" t="str">
        <f>IF(LEN(TRIM(Controls_Raw!I1367))=0,"Missing","OK")</f>
        <v>OK</v>
      </c>
      <c r="D1367" t="str">
        <f>IF(LEN(TRIM(Controls_Raw!N1367))=0,"Missing","OK")</f>
        <v>OK</v>
      </c>
      <c r="E1367" t="str">
        <f>IF(OR(Controls_Raw!G1367="USA",Controls_Raw!G1367="UK"),"Standardize","OK")</f>
        <v>OK</v>
      </c>
      <c r="F1367" t="str">
        <f>IF(Controls_Raw!E1367&lt;&gt;TRIM(Controls_Raw!E1367),"Trim","OK")</f>
        <v>OK</v>
      </c>
      <c r="G1367" t="str">
        <f>IF(AND(Controls_Raw!L1367&lt;DATE(2026,9,30),Controls_Raw!M1367&lt;&gt;"Completed"),"Overdue","OK")</f>
        <v>OK</v>
      </c>
      <c r="H1367" t="str">
        <f>IF(AND(Controls_Raw!Q1367&lt;DATE(2026,9,30),Controls_Raw!R1367&lt;&gt;"Completed",Controls_Raw!R1367&lt;&gt;"Not Required"),"Overdue","OK")</f>
        <v>OK</v>
      </c>
      <c r="I1367" t="str">
        <f t="shared" si="21"/>
        <v>Pass</v>
      </c>
    </row>
    <row r="1368" spans="1:9" x14ac:dyDescent="0.2">
      <c r="A1368" t="str">
        <f>Controls_Raw!A1368</f>
        <v>CTRL-1364</v>
      </c>
      <c r="B1368" t="str">
        <f>IF(COUNTIF(Controls_Raw!$A$5:$A$1504,A1368)&gt;1,"Duplicate","OK")</f>
        <v>OK</v>
      </c>
      <c r="C1368" t="str">
        <f>IF(LEN(TRIM(Controls_Raw!I1368))=0,"Missing","OK")</f>
        <v>Missing</v>
      </c>
      <c r="D1368" t="str">
        <f>IF(LEN(TRIM(Controls_Raw!N1368))=0,"Missing","OK")</f>
        <v>OK</v>
      </c>
      <c r="E1368" t="str">
        <f>IF(OR(Controls_Raw!G1368="USA",Controls_Raw!G1368="UK"),"Standardize","OK")</f>
        <v>OK</v>
      </c>
      <c r="F1368" t="str">
        <f>IF(Controls_Raw!E1368&lt;&gt;TRIM(Controls_Raw!E1368),"Trim","OK")</f>
        <v>OK</v>
      </c>
      <c r="G1368" t="str">
        <f>IF(AND(Controls_Raw!L1368&lt;DATE(2026,9,30),Controls_Raw!M1368&lt;&gt;"Completed"),"Overdue","OK")</f>
        <v>Overdue</v>
      </c>
      <c r="H1368" t="str">
        <f>IF(AND(Controls_Raw!Q1368&lt;DATE(2026,9,30),Controls_Raw!R1368&lt;&gt;"Completed",Controls_Raw!R1368&lt;&gt;"Not Required"),"Overdue","OK")</f>
        <v>OK</v>
      </c>
      <c r="I1368" t="str">
        <f t="shared" si="21"/>
        <v>Issue</v>
      </c>
    </row>
    <row r="1369" spans="1:9" x14ac:dyDescent="0.2">
      <c r="A1369" t="str">
        <f>Controls_Raw!A1369</f>
        <v>CTRL-1365</v>
      </c>
      <c r="B1369" t="str">
        <f>IF(COUNTIF(Controls_Raw!$A$5:$A$1504,A1369)&gt;1,"Duplicate","OK")</f>
        <v>OK</v>
      </c>
      <c r="C1369" t="str">
        <f>IF(LEN(TRIM(Controls_Raw!I1369))=0,"Missing","OK")</f>
        <v>OK</v>
      </c>
      <c r="D1369" t="str">
        <f>IF(LEN(TRIM(Controls_Raw!N1369))=0,"Missing","OK")</f>
        <v>OK</v>
      </c>
      <c r="E1369" t="str">
        <f>IF(OR(Controls_Raw!G1369="USA",Controls_Raw!G1369="UK"),"Standardize","OK")</f>
        <v>OK</v>
      </c>
      <c r="F1369" t="str">
        <f>IF(Controls_Raw!E1369&lt;&gt;TRIM(Controls_Raw!E1369),"Trim","OK")</f>
        <v>OK</v>
      </c>
      <c r="G1369" t="str">
        <f>IF(AND(Controls_Raw!L1369&lt;DATE(2026,9,30),Controls_Raw!M1369&lt;&gt;"Completed"),"Overdue","OK")</f>
        <v>Overdue</v>
      </c>
      <c r="H1369" t="str">
        <f>IF(AND(Controls_Raw!Q1369&lt;DATE(2026,9,30),Controls_Raw!R1369&lt;&gt;"Completed",Controls_Raw!R1369&lt;&gt;"Not Required"),"Overdue","OK")</f>
        <v>OK</v>
      </c>
      <c r="I1369" t="str">
        <f t="shared" si="21"/>
        <v>Issue</v>
      </c>
    </row>
    <row r="1370" spans="1:9" x14ac:dyDescent="0.2">
      <c r="A1370" t="str">
        <f>Controls_Raw!A1370</f>
        <v>CTRL-1366</v>
      </c>
      <c r="B1370" t="str">
        <f>IF(COUNTIF(Controls_Raw!$A$5:$A$1504,A1370)&gt;1,"Duplicate","OK")</f>
        <v>OK</v>
      </c>
      <c r="C1370" t="str">
        <f>IF(LEN(TRIM(Controls_Raw!I1370))=0,"Missing","OK")</f>
        <v>OK</v>
      </c>
      <c r="D1370" t="str">
        <f>IF(LEN(TRIM(Controls_Raw!N1370))=0,"Missing","OK")</f>
        <v>OK</v>
      </c>
      <c r="E1370" t="str">
        <f>IF(OR(Controls_Raw!G1370="USA",Controls_Raw!G1370="UK"),"Standardize","OK")</f>
        <v>OK</v>
      </c>
      <c r="F1370" t="str">
        <f>IF(Controls_Raw!E1370&lt;&gt;TRIM(Controls_Raw!E1370),"Trim","OK")</f>
        <v>OK</v>
      </c>
      <c r="G1370" t="str">
        <f>IF(AND(Controls_Raw!L1370&lt;DATE(2026,9,30),Controls_Raw!M1370&lt;&gt;"Completed"),"Overdue","OK")</f>
        <v>Overdue</v>
      </c>
      <c r="H1370" t="str">
        <f>IF(AND(Controls_Raw!Q1370&lt;DATE(2026,9,30),Controls_Raw!R1370&lt;&gt;"Completed",Controls_Raw!R1370&lt;&gt;"Not Required"),"Overdue","OK")</f>
        <v>Overdue</v>
      </c>
      <c r="I1370" t="str">
        <f t="shared" si="21"/>
        <v>Issue</v>
      </c>
    </row>
    <row r="1371" spans="1:9" x14ac:dyDescent="0.2">
      <c r="A1371" t="str">
        <f>Controls_Raw!A1371</f>
        <v>CTRL-1367</v>
      </c>
      <c r="B1371" t="str">
        <f>IF(COUNTIF(Controls_Raw!$A$5:$A$1504,A1371)&gt;1,"Duplicate","OK")</f>
        <v>OK</v>
      </c>
      <c r="C1371" t="str">
        <f>IF(LEN(TRIM(Controls_Raw!I1371))=0,"Missing","OK")</f>
        <v>OK</v>
      </c>
      <c r="D1371" t="str">
        <f>IF(LEN(TRIM(Controls_Raw!N1371))=0,"Missing","OK")</f>
        <v>OK</v>
      </c>
      <c r="E1371" t="str">
        <f>IF(OR(Controls_Raw!G1371="USA",Controls_Raw!G1371="UK"),"Standardize","OK")</f>
        <v>OK</v>
      </c>
      <c r="F1371" t="str">
        <f>IF(Controls_Raw!E1371&lt;&gt;TRIM(Controls_Raw!E1371),"Trim","OK")</f>
        <v>OK</v>
      </c>
      <c r="G1371" t="str">
        <f>IF(AND(Controls_Raw!L1371&lt;DATE(2026,9,30),Controls_Raw!M1371&lt;&gt;"Completed"),"Overdue","OK")</f>
        <v>OK</v>
      </c>
      <c r="H1371" t="str">
        <f>IF(AND(Controls_Raw!Q1371&lt;DATE(2026,9,30),Controls_Raw!R1371&lt;&gt;"Completed",Controls_Raw!R1371&lt;&gt;"Not Required"),"Overdue","OK")</f>
        <v>Overdue</v>
      </c>
      <c r="I1371" t="str">
        <f t="shared" si="21"/>
        <v>Issue</v>
      </c>
    </row>
    <row r="1372" spans="1:9" x14ac:dyDescent="0.2">
      <c r="A1372" t="str">
        <f>Controls_Raw!A1372</f>
        <v>CTRL-1368</v>
      </c>
      <c r="B1372" t="str">
        <f>IF(COUNTIF(Controls_Raw!$A$5:$A$1504,A1372)&gt;1,"Duplicate","OK")</f>
        <v>OK</v>
      </c>
      <c r="C1372" t="str">
        <f>IF(LEN(TRIM(Controls_Raw!I1372))=0,"Missing","OK")</f>
        <v>OK</v>
      </c>
      <c r="D1372" t="str">
        <f>IF(LEN(TRIM(Controls_Raw!N1372))=0,"Missing","OK")</f>
        <v>OK</v>
      </c>
      <c r="E1372" t="str">
        <f>IF(OR(Controls_Raw!G1372="USA",Controls_Raw!G1372="UK"),"Standardize","OK")</f>
        <v>OK</v>
      </c>
      <c r="F1372" t="str">
        <f>IF(Controls_Raw!E1372&lt;&gt;TRIM(Controls_Raw!E1372),"Trim","OK")</f>
        <v>OK</v>
      </c>
      <c r="G1372" t="str">
        <f>IF(AND(Controls_Raw!L1372&lt;DATE(2026,9,30),Controls_Raw!M1372&lt;&gt;"Completed"),"Overdue","OK")</f>
        <v>Overdue</v>
      </c>
      <c r="H1372" t="str">
        <f>IF(AND(Controls_Raw!Q1372&lt;DATE(2026,9,30),Controls_Raw!R1372&lt;&gt;"Completed",Controls_Raw!R1372&lt;&gt;"Not Required"),"Overdue","OK")</f>
        <v>OK</v>
      </c>
      <c r="I1372" t="str">
        <f t="shared" si="21"/>
        <v>Issue</v>
      </c>
    </row>
    <row r="1373" spans="1:9" x14ac:dyDescent="0.2">
      <c r="A1373" t="str">
        <f>Controls_Raw!A1373</f>
        <v>CTRL-1369</v>
      </c>
      <c r="B1373" t="str">
        <f>IF(COUNTIF(Controls_Raw!$A$5:$A$1504,A1373)&gt;1,"Duplicate","OK")</f>
        <v>OK</v>
      </c>
      <c r="C1373" t="str">
        <f>IF(LEN(TRIM(Controls_Raw!I1373))=0,"Missing","OK")</f>
        <v>OK</v>
      </c>
      <c r="D1373" t="str">
        <f>IF(LEN(TRIM(Controls_Raw!N1373))=0,"Missing","OK")</f>
        <v>OK</v>
      </c>
      <c r="E1373" t="str">
        <f>IF(OR(Controls_Raw!G1373="USA",Controls_Raw!G1373="UK"),"Standardize","OK")</f>
        <v>OK</v>
      </c>
      <c r="F1373" t="str">
        <f>IF(Controls_Raw!E1373&lt;&gt;TRIM(Controls_Raw!E1373),"Trim","OK")</f>
        <v>OK</v>
      </c>
      <c r="G1373" t="str">
        <f>IF(AND(Controls_Raw!L1373&lt;DATE(2026,9,30),Controls_Raw!M1373&lt;&gt;"Completed"),"Overdue","OK")</f>
        <v>Overdue</v>
      </c>
      <c r="H1373" t="str">
        <f>IF(AND(Controls_Raw!Q1373&lt;DATE(2026,9,30),Controls_Raw!R1373&lt;&gt;"Completed",Controls_Raw!R1373&lt;&gt;"Not Required"),"Overdue","OK")</f>
        <v>OK</v>
      </c>
      <c r="I1373" t="str">
        <f t="shared" si="21"/>
        <v>Issue</v>
      </c>
    </row>
    <row r="1374" spans="1:9" x14ac:dyDescent="0.2">
      <c r="A1374" t="str">
        <f>Controls_Raw!A1374</f>
        <v>CTRL-1370</v>
      </c>
      <c r="B1374" t="str">
        <f>IF(COUNTIF(Controls_Raw!$A$5:$A$1504,A1374)&gt;1,"Duplicate","OK")</f>
        <v>OK</v>
      </c>
      <c r="C1374" t="str">
        <f>IF(LEN(TRIM(Controls_Raw!I1374))=0,"Missing","OK")</f>
        <v>OK</v>
      </c>
      <c r="D1374" t="str">
        <f>IF(LEN(TRIM(Controls_Raw!N1374))=0,"Missing","OK")</f>
        <v>OK</v>
      </c>
      <c r="E1374" t="str">
        <f>IF(OR(Controls_Raw!G1374="USA",Controls_Raw!G1374="UK"),"Standardize","OK")</f>
        <v>OK</v>
      </c>
      <c r="F1374" t="str">
        <f>IF(Controls_Raw!E1374&lt;&gt;TRIM(Controls_Raw!E1374),"Trim","OK")</f>
        <v>OK</v>
      </c>
      <c r="G1374" t="str">
        <f>IF(AND(Controls_Raw!L1374&lt;DATE(2026,9,30),Controls_Raw!M1374&lt;&gt;"Completed"),"Overdue","OK")</f>
        <v>Overdue</v>
      </c>
      <c r="H1374" t="str">
        <f>IF(AND(Controls_Raw!Q1374&lt;DATE(2026,9,30),Controls_Raw!R1374&lt;&gt;"Completed",Controls_Raw!R1374&lt;&gt;"Not Required"),"Overdue","OK")</f>
        <v>OK</v>
      </c>
      <c r="I1374" t="str">
        <f t="shared" si="21"/>
        <v>Issue</v>
      </c>
    </row>
    <row r="1375" spans="1:9" x14ac:dyDescent="0.2">
      <c r="A1375" t="str">
        <f>Controls_Raw!A1375</f>
        <v>CTRL-1371</v>
      </c>
      <c r="B1375" t="str">
        <f>IF(COUNTIF(Controls_Raw!$A$5:$A$1504,A1375)&gt;1,"Duplicate","OK")</f>
        <v>OK</v>
      </c>
      <c r="C1375" t="str">
        <f>IF(LEN(TRIM(Controls_Raw!I1375))=0,"Missing","OK")</f>
        <v>OK</v>
      </c>
      <c r="D1375" t="str">
        <f>IF(LEN(TRIM(Controls_Raw!N1375))=0,"Missing","OK")</f>
        <v>OK</v>
      </c>
      <c r="E1375" t="str">
        <f>IF(OR(Controls_Raw!G1375="USA",Controls_Raw!G1375="UK"),"Standardize","OK")</f>
        <v>OK</v>
      </c>
      <c r="F1375" t="str">
        <f>IF(Controls_Raw!E1375&lt;&gt;TRIM(Controls_Raw!E1375),"Trim","OK")</f>
        <v>OK</v>
      </c>
      <c r="G1375" t="str">
        <f>IF(AND(Controls_Raw!L1375&lt;DATE(2026,9,30),Controls_Raw!M1375&lt;&gt;"Completed"),"Overdue","OK")</f>
        <v>OK</v>
      </c>
      <c r="H1375" t="str">
        <f>IF(AND(Controls_Raw!Q1375&lt;DATE(2026,9,30),Controls_Raw!R1375&lt;&gt;"Completed",Controls_Raw!R1375&lt;&gt;"Not Required"),"Overdue","OK")</f>
        <v>OK</v>
      </c>
      <c r="I1375" t="str">
        <f t="shared" si="21"/>
        <v>Pass</v>
      </c>
    </row>
    <row r="1376" spans="1:9" x14ac:dyDescent="0.2">
      <c r="A1376" t="str">
        <f>Controls_Raw!A1376</f>
        <v>CTRL-1372</v>
      </c>
      <c r="B1376" t="str">
        <f>IF(COUNTIF(Controls_Raw!$A$5:$A$1504,A1376)&gt;1,"Duplicate","OK")</f>
        <v>OK</v>
      </c>
      <c r="C1376" t="str">
        <f>IF(LEN(TRIM(Controls_Raw!I1376))=0,"Missing","OK")</f>
        <v>OK</v>
      </c>
      <c r="D1376" t="str">
        <f>IF(LEN(TRIM(Controls_Raw!N1376))=0,"Missing","OK")</f>
        <v>OK</v>
      </c>
      <c r="E1376" t="str">
        <f>IF(OR(Controls_Raw!G1376="USA",Controls_Raw!G1376="UK"),"Standardize","OK")</f>
        <v>OK</v>
      </c>
      <c r="F1376" t="str">
        <f>IF(Controls_Raw!E1376&lt;&gt;TRIM(Controls_Raw!E1376),"Trim","OK")</f>
        <v>OK</v>
      </c>
      <c r="G1376" t="str">
        <f>IF(AND(Controls_Raw!L1376&lt;DATE(2026,9,30),Controls_Raw!M1376&lt;&gt;"Completed"),"Overdue","OK")</f>
        <v>Overdue</v>
      </c>
      <c r="H1376" t="str">
        <f>IF(AND(Controls_Raw!Q1376&lt;DATE(2026,9,30),Controls_Raw!R1376&lt;&gt;"Completed",Controls_Raw!R1376&lt;&gt;"Not Required"),"Overdue","OK")</f>
        <v>OK</v>
      </c>
      <c r="I1376" t="str">
        <f t="shared" si="21"/>
        <v>Issue</v>
      </c>
    </row>
    <row r="1377" spans="1:9" x14ac:dyDescent="0.2">
      <c r="A1377" t="str">
        <f>Controls_Raw!A1377</f>
        <v>CTRL-1373</v>
      </c>
      <c r="B1377" t="str">
        <f>IF(COUNTIF(Controls_Raw!$A$5:$A$1504,A1377)&gt;1,"Duplicate","OK")</f>
        <v>OK</v>
      </c>
      <c r="C1377" t="str">
        <f>IF(LEN(TRIM(Controls_Raw!I1377))=0,"Missing","OK")</f>
        <v>OK</v>
      </c>
      <c r="D1377" t="str">
        <f>IF(LEN(TRIM(Controls_Raw!N1377))=0,"Missing","OK")</f>
        <v>OK</v>
      </c>
      <c r="E1377" t="str">
        <f>IF(OR(Controls_Raw!G1377="USA",Controls_Raw!G1377="UK"),"Standardize","OK")</f>
        <v>OK</v>
      </c>
      <c r="F1377" t="str">
        <f>IF(Controls_Raw!E1377&lt;&gt;TRIM(Controls_Raw!E1377),"Trim","OK")</f>
        <v>OK</v>
      </c>
      <c r="G1377" t="str">
        <f>IF(AND(Controls_Raw!L1377&lt;DATE(2026,9,30),Controls_Raw!M1377&lt;&gt;"Completed"),"Overdue","OK")</f>
        <v>Overdue</v>
      </c>
      <c r="H1377" t="str">
        <f>IF(AND(Controls_Raw!Q1377&lt;DATE(2026,9,30),Controls_Raw!R1377&lt;&gt;"Completed",Controls_Raw!R1377&lt;&gt;"Not Required"),"Overdue","OK")</f>
        <v>OK</v>
      </c>
      <c r="I1377" t="str">
        <f t="shared" si="21"/>
        <v>Issue</v>
      </c>
    </row>
    <row r="1378" spans="1:9" x14ac:dyDescent="0.2">
      <c r="A1378" t="str">
        <f>Controls_Raw!A1378</f>
        <v>CTRL-1374</v>
      </c>
      <c r="B1378" t="str">
        <f>IF(COUNTIF(Controls_Raw!$A$5:$A$1504,A1378)&gt;1,"Duplicate","OK")</f>
        <v>OK</v>
      </c>
      <c r="C1378" t="str">
        <f>IF(LEN(TRIM(Controls_Raw!I1378))=0,"Missing","OK")</f>
        <v>OK</v>
      </c>
      <c r="D1378" t="str">
        <f>IF(LEN(TRIM(Controls_Raw!N1378))=0,"Missing","OK")</f>
        <v>OK</v>
      </c>
      <c r="E1378" t="str">
        <f>IF(OR(Controls_Raw!G1378="USA",Controls_Raw!G1378="UK"),"Standardize","OK")</f>
        <v>OK</v>
      </c>
      <c r="F1378" t="str">
        <f>IF(Controls_Raw!E1378&lt;&gt;TRIM(Controls_Raw!E1378),"Trim","OK")</f>
        <v>OK</v>
      </c>
      <c r="G1378" t="str">
        <f>IF(AND(Controls_Raw!L1378&lt;DATE(2026,9,30),Controls_Raw!M1378&lt;&gt;"Completed"),"Overdue","OK")</f>
        <v>OK</v>
      </c>
      <c r="H1378" t="str">
        <f>IF(AND(Controls_Raw!Q1378&lt;DATE(2026,9,30),Controls_Raw!R1378&lt;&gt;"Completed",Controls_Raw!R1378&lt;&gt;"Not Required"),"Overdue","OK")</f>
        <v>Overdue</v>
      </c>
      <c r="I1378" t="str">
        <f t="shared" si="21"/>
        <v>Issue</v>
      </c>
    </row>
    <row r="1379" spans="1:9" x14ac:dyDescent="0.2">
      <c r="A1379" t="str">
        <f>Controls_Raw!A1379</f>
        <v>CTRL-1375</v>
      </c>
      <c r="B1379" t="str">
        <f>IF(COUNTIF(Controls_Raw!$A$5:$A$1504,A1379)&gt;1,"Duplicate","OK")</f>
        <v>OK</v>
      </c>
      <c r="C1379" t="str">
        <f>IF(LEN(TRIM(Controls_Raw!I1379))=0,"Missing","OK")</f>
        <v>OK</v>
      </c>
      <c r="D1379" t="str">
        <f>IF(LEN(TRIM(Controls_Raw!N1379))=0,"Missing","OK")</f>
        <v>OK</v>
      </c>
      <c r="E1379" t="str">
        <f>IF(OR(Controls_Raw!G1379="USA",Controls_Raw!G1379="UK"),"Standardize","OK")</f>
        <v>OK</v>
      </c>
      <c r="F1379" t="str">
        <f>IF(Controls_Raw!E1379&lt;&gt;TRIM(Controls_Raw!E1379),"Trim","OK")</f>
        <v>OK</v>
      </c>
      <c r="G1379" t="str">
        <f>IF(AND(Controls_Raw!L1379&lt;DATE(2026,9,30),Controls_Raw!M1379&lt;&gt;"Completed"),"Overdue","OK")</f>
        <v>OK</v>
      </c>
      <c r="H1379" t="str">
        <f>IF(AND(Controls_Raw!Q1379&lt;DATE(2026,9,30),Controls_Raw!R1379&lt;&gt;"Completed",Controls_Raw!R1379&lt;&gt;"Not Required"),"Overdue","OK")</f>
        <v>OK</v>
      </c>
      <c r="I1379" t="str">
        <f t="shared" si="21"/>
        <v>Pass</v>
      </c>
    </row>
    <row r="1380" spans="1:9" x14ac:dyDescent="0.2">
      <c r="A1380" t="str">
        <f>Controls_Raw!A1380</f>
        <v>CTRL-1376</v>
      </c>
      <c r="B1380" t="str">
        <f>IF(COUNTIF(Controls_Raw!$A$5:$A$1504,A1380)&gt;1,"Duplicate","OK")</f>
        <v>OK</v>
      </c>
      <c r="C1380" t="str">
        <f>IF(LEN(TRIM(Controls_Raw!I1380))=0,"Missing","OK")</f>
        <v>OK</v>
      </c>
      <c r="D1380" t="str">
        <f>IF(LEN(TRIM(Controls_Raw!N1380))=0,"Missing","OK")</f>
        <v>OK</v>
      </c>
      <c r="E1380" t="str">
        <f>IF(OR(Controls_Raw!G1380="USA",Controls_Raw!G1380="UK"),"Standardize","OK")</f>
        <v>OK</v>
      </c>
      <c r="F1380" t="str">
        <f>IF(Controls_Raw!E1380&lt;&gt;TRIM(Controls_Raw!E1380),"Trim","OK")</f>
        <v>OK</v>
      </c>
      <c r="G1380" t="str">
        <f>IF(AND(Controls_Raw!L1380&lt;DATE(2026,9,30),Controls_Raw!M1380&lt;&gt;"Completed"),"Overdue","OK")</f>
        <v>Overdue</v>
      </c>
      <c r="H1380" t="str">
        <f>IF(AND(Controls_Raw!Q1380&lt;DATE(2026,9,30),Controls_Raw!R1380&lt;&gt;"Completed",Controls_Raw!R1380&lt;&gt;"Not Required"),"Overdue","OK")</f>
        <v>OK</v>
      </c>
      <c r="I1380" t="str">
        <f t="shared" si="21"/>
        <v>Issue</v>
      </c>
    </row>
    <row r="1381" spans="1:9" x14ac:dyDescent="0.2">
      <c r="A1381" t="str">
        <f>Controls_Raw!A1381</f>
        <v>CTRL-1377</v>
      </c>
      <c r="B1381" t="str">
        <f>IF(COUNTIF(Controls_Raw!$A$5:$A$1504,A1381)&gt;1,"Duplicate","OK")</f>
        <v>OK</v>
      </c>
      <c r="C1381" t="str">
        <f>IF(LEN(TRIM(Controls_Raw!I1381))=0,"Missing","OK")</f>
        <v>OK</v>
      </c>
      <c r="D1381" t="str">
        <f>IF(LEN(TRIM(Controls_Raw!N1381))=0,"Missing","OK")</f>
        <v>OK</v>
      </c>
      <c r="E1381" t="str">
        <f>IF(OR(Controls_Raw!G1381="USA",Controls_Raw!G1381="UK"),"Standardize","OK")</f>
        <v>OK</v>
      </c>
      <c r="F1381" t="str">
        <f>IF(Controls_Raw!E1381&lt;&gt;TRIM(Controls_Raw!E1381),"Trim","OK")</f>
        <v>OK</v>
      </c>
      <c r="G1381" t="str">
        <f>IF(AND(Controls_Raw!L1381&lt;DATE(2026,9,30),Controls_Raw!M1381&lt;&gt;"Completed"),"Overdue","OK")</f>
        <v>OK</v>
      </c>
      <c r="H1381" t="str">
        <f>IF(AND(Controls_Raw!Q1381&lt;DATE(2026,9,30),Controls_Raw!R1381&lt;&gt;"Completed",Controls_Raw!R1381&lt;&gt;"Not Required"),"Overdue","OK")</f>
        <v>OK</v>
      </c>
      <c r="I1381" t="str">
        <f t="shared" si="21"/>
        <v>Pass</v>
      </c>
    </row>
    <row r="1382" spans="1:9" x14ac:dyDescent="0.2">
      <c r="A1382" t="str">
        <f>Controls_Raw!A1382</f>
        <v>CTRL-1378</v>
      </c>
      <c r="B1382" t="str">
        <f>IF(COUNTIF(Controls_Raw!$A$5:$A$1504,A1382)&gt;1,"Duplicate","OK")</f>
        <v>OK</v>
      </c>
      <c r="C1382" t="str">
        <f>IF(LEN(TRIM(Controls_Raw!I1382))=0,"Missing","OK")</f>
        <v>OK</v>
      </c>
      <c r="D1382" t="str">
        <f>IF(LEN(TRIM(Controls_Raw!N1382))=0,"Missing","OK")</f>
        <v>OK</v>
      </c>
      <c r="E1382" t="str">
        <f>IF(OR(Controls_Raw!G1382="USA",Controls_Raw!G1382="UK"),"Standardize","OK")</f>
        <v>OK</v>
      </c>
      <c r="F1382" t="str">
        <f>IF(Controls_Raw!E1382&lt;&gt;TRIM(Controls_Raw!E1382),"Trim","OK")</f>
        <v>OK</v>
      </c>
      <c r="G1382" t="str">
        <f>IF(AND(Controls_Raw!L1382&lt;DATE(2026,9,30),Controls_Raw!M1382&lt;&gt;"Completed"),"Overdue","OK")</f>
        <v>OK</v>
      </c>
      <c r="H1382" t="str">
        <f>IF(AND(Controls_Raw!Q1382&lt;DATE(2026,9,30),Controls_Raw!R1382&lt;&gt;"Completed",Controls_Raw!R1382&lt;&gt;"Not Required"),"Overdue","OK")</f>
        <v>Overdue</v>
      </c>
      <c r="I1382" t="str">
        <f t="shared" si="21"/>
        <v>Issue</v>
      </c>
    </row>
    <row r="1383" spans="1:9" x14ac:dyDescent="0.2">
      <c r="A1383" t="str">
        <f>Controls_Raw!A1383</f>
        <v>CTRL-1379</v>
      </c>
      <c r="B1383" t="str">
        <f>IF(COUNTIF(Controls_Raw!$A$5:$A$1504,A1383)&gt;1,"Duplicate","OK")</f>
        <v>OK</v>
      </c>
      <c r="C1383" t="str">
        <f>IF(LEN(TRIM(Controls_Raw!I1383))=0,"Missing","OK")</f>
        <v>OK</v>
      </c>
      <c r="D1383" t="str">
        <f>IF(LEN(TRIM(Controls_Raw!N1383))=0,"Missing","OK")</f>
        <v>OK</v>
      </c>
      <c r="E1383" t="str">
        <f>IF(OR(Controls_Raw!G1383="USA",Controls_Raw!G1383="UK"),"Standardize","OK")</f>
        <v>Standardize</v>
      </c>
      <c r="F1383" t="str">
        <f>IF(Controls_Raw!E1383&lt;&gt;TRIM(Controls_Raw!E1383),"Trim","OK")</f>
        <v>OK</v>
      </c>
      <c r="G1383" t="str">
        <f>IF(AND(Controls_Raw!L1383&lt;DATE(2026,9,30),Controls_Raw!M1383&lt;&gt;"Completed"),"Overdue","OK")</f>
        <v>OK</v>
      </c>
      <c r="H1383" t="str">
        <f>IF(AND(Controls_Raw!Q1383&lt;DATE(2026,9,30),Controls_Raw!R1383&lt;&gt;"Completed",Controls_Raw!R1383&lt;&gt;"Not Required"),"Overdue","OK")</f>
        <v>Overdue</v>
      </c>
      <c r="I1383" t="str">
        <f t="shared" si="21"/>
        <v>Issue</v>
      </c>
    </row>
    <row r="1384" spans="1:9" x14ac:dyDescent="0.2">
      <c r="A1384" t="str">
        <f>Controls_Raw!A1384</f>
        <v>CTRL-1380</v>
      </c>
      <c r="B1384" t="str">
        <f>IF(COUNTIF(Controls_Raw!$A$5:$A$1504,A1384)&gt;1,"Duplicate","OK")</f>
        <v>OK</v>
      </c>
      <c r="C1384" t="str">
        <f>IF(LEN(TRIM(Controls_Raw!I1384))=0,"Missing","OK")</f>
        <v>OK</v>
      </c>
      <c r="D1384" t="str">
        <f>IF(LEN(TRIM(Controls_Raw!N1384))=0,"Missing","OK")</f>
        <v>OK</v>
      </c>
      <c r="E1384" t="str">
        <f>IF(OR(Controls_Raw!G1384="USA",Controls_Raw!G1384="UK"),"Standardize","OK")</f>
        <v>OK</v>
      </c>
      <c r="F1384" t="str">
        <f>IF(Controls_Raw!E1384&lt;&gt;TRIM(Controls_Raw!E1384),"Trim","OK")</f>
        <v>OK</v>
      </c>
      <c r="G1384" t="str">
        <f>IF(AND(Controls_Raw!L1384&lt;DATE(2026,9,30),Controls_Raw!M1384&lt;&gt;"Completed"),"Overdue","OK")</f>
        <v>OK</v>
      </c>
      <c r="H1384" t="str">
        <f>IF(AND(Controls_Raw!Q1384&lt;DATE(2026,9,30),Controls_Raw!R1384&lt;&gt;"Completed",Controls_Raw!R1384&lt;&gt;"Not Required"),"Overdue","OK")</f>
        <v>OK</v>
      </c>
      <c r="I1384" t="str">
        <f t="shared" si="21"/>
        <v>Pass</v>
      </c>
    </row>
    <row r="1385" spans="1:9" x14ac:dyDescent="0.2">
      <c r="A1385" t="str">
        <f>Controls_Raw!A1385</f>
        <v>CTRL-1381</v>
      </c>
      <c r="B1385" t="str">
        <f>IF(COUNTIF(Controls_Raw!$A$5:$A$1504,A1385)&gt;1,"Duplicate","OK")</f>
        <v>OK</v>
      </c>
      <c r="C1385" t="str">
        <f>IF(LEN(TRIM(Controls_Raw!I1385))=0,"Missing","OK")</f>
        <v>OK</v>
      </c>
      <c r="D1385" t="str">
        <f>IF(LEN(TRIM(Controls_Raw!N1385))=0,"Missing","OK")</f>
        <v>OK</v>
      </c>
      <c r="E1385" t="str">
        <f>IF(OR(Controls_Raw!G1385="USA",Controls_Raw!G1385="UK"),"Standardize","OK")</f>
        <v>OK</v>
      </c>
      <c r="F1385" t="str">
        <f>IF(Controls_Raw!E1385&lt;&gt;TRIM(Controls_Raw!E1385),"Trim","OK")</f>
        <v>OK</v>
      </c>
      <c r="G1385" t="str">
        <f>IF(AND(Controls_Raw!L1385&lt;DATE(2026,9,30),Controls_Raw!M1385&lt;&gt;"Completed"),"Overdue","OK")</f>
        <v>Overdue</v>
      </c>
      <c r="H1385" t="str">
        <f>IF(AND(Controls_Raw!Q1385&lt;DATE(2026,9,30),Controls_Raw!R1385&lt;&gt;"Completed",Controls_Raw!R1385&lt;&gt;"Not Required"),"Overdue","OK")</f>
        <v>OK</v>
      </c>
      <c r="I1385" t="str">
        <f t="shared" si="21"/>
        <v>Issue</v>
      </c>
    </row>
    <row r="1386" spans="1:9" x14ac:dyDescent="0.2">
      <c r="A1386" t="str">
        <f>Controls_Raw!A1386</f>
        <v>CTRL-1382</v>
      </c>
      <c r="B1386" t="str">
        <f>IF(COUNTIF(Controls_Raw!$A$5:$A$1504,A1386)&gt;1,"Duplicate","OK")</f>
        <v>OK</v>
      </c>
      <c r="C1386" t="str">
        <f>IF(LEN(TRIM(Controls_Raw!I1386))=0,"Missing","OK")</f>
        <v>OK</v>
      </c>
      <c r="D1386" t="str">
        <f>IF(LEN(TRIM(Controls_Raw!N1386))=0,"Missing","OK")</f>
        <v>OK</v>
      </c>
      <c r="E1386" t="str">
        <f>IF(OR(Controls_Raw!G1386="USA",Controls_Raw!G1386="UK"),"Standardize","OK")</f>
        <v>OK</v>
      </c>
      <c r="F1386" t="str">
        <f>IF(Controls_Raw!E1386&lt;&gt;TRIM(Controls_Raw!E1386),"Trim","OK")</f>
        <v>OK</v>
      </c>
      <c r="G1386" t="str">
        <f>IF(AND(Controls_Raw!L1386&lt;DATE(2026,9,30),Controls_Raw!M1386&lt;&gt;"Completed"),"Overdue","OK")</f>
        <v>Overdue</v>
      </c>
      <c r="H1386" t="str">
        <f>IF(AND(Controls_Raw!Q1386&lt;DATE(2026,9,30),Controls_Raw!R1386&lt;&gt;"Completed",Controls_Raw!R1386&lt;&gt;"Not Required"),"Overdue","OK")</f>
        <v>OK</v>
      </c>
      <c r="I1386" t="str">
        <f t="shared" si="21"/>
        <v>Issue</v>
      </c>
    </row>
    <row r="1387" spans="1:9" x14ac:dyDescent="0.2">
      <c r="A1387" t="str">
        <f>Controls_Raw!A1387</f>
        <v>CTRL-1383</v>
      </c>
      <c r="B1387" t="str">
        <f>IF(COUNTIF(Controls_Raw!$A$5:$A$1504,A1387)&gt;1,"Duplicate","OK")</f>
        <v>OK</v>
      </c>
      <c r="C1387" t="str">
        <f>IF(LEN(TRIM(Controls_Raw!I1387))=0,"Missing","OK")</f>
        <v>OK</v>
      </c>
      <c r="D1387" t="str">
        <f>IF(LEN(TRIM(Controls_Raw!N1387))=0,"Missing","OK")</f>
        <v>OK</v>
      </c>
      <c r="E1387" t="str">
        <f>IF(OR(Controls_Raw!G1387="USA",Controls_Raw!G1387="UK"),"Standardize","OK")</f>
        <v>OK</v>
      </c>
      <c r="F1387" t="str">
        <f>IF(Controls_Raw!E1387&lt;&gt;TRIM(Controls_Raw!E1387),"Trim","OK")</f>
        <v>OK</v>
      </c>
      <c r="G1387" t="str">
        <f>IF(AND(Controls_Raw!L1387&lt;DATE(2026,9,30),Controls_Raw!M1387&lt;&gt;"Completed"),"Overdue","OK")</f>
        <v>Overdue</v>
      </c>
      <c r="H1387" t="str">
        <f>IF(AND(Controls_Raw!Q1387&lt;DATE(2026,9,30),Controls_Raw!R1387&lt;&gt;"Completed",Controls_Raw!R1387&lt;&gt;"Not Required"),"Overdue","OK")</f>
        <v>OK</v>
      </c>
      <c r="I1387" t="str">
        <f t="shared" si="21"/>
        <v>Issue</v>
      </c>
    </row>
    <row r="1388" spans="1:9" x14ac:dyDescent="0.2">
      <c r="A1388" t="str">
        <f>Controls_Raw!A1388</f>
        <v>CTRL-1384</v>
      </c>
      <c r="B1388" t="str">
        <f>IF(COUNTIF(Controls_Raw!$A$5:$A$1504,A1388)&gt;1,"Duplicate","OK")</f>
        <v>OK</v>
      </c>
      <c r="C1388" t="str">
        <f>IF(LEN(TRIM(Controls_Raw!I1388))=0,"Missing","OK")</f>
        <v>OK</v>
      </c>
      <c r="D1388" t="str">
        <f>IF(LEN(TRIM(Controls_Raw!N1388))=0,"Missing","OK")</f>
        <v>OK</v>
      </c>
      <c r="E1388" t="str">
        <f>IF(OR(Controls_Raw!G1388="USA",Controls_Raw!G1388="UK"),"Standardize","OK")</f>
        <v>OK</v>
      </c>
      <c r="F1388" t="str">
        <f>IF(Controls_Raw!E1388&lt;&gt;TRIM(Controls_Raw!E1388),"Trim","OK")</f>
        <v>OK</v>
      </c>
      <c r="G1388" t="str">
        <f>IF(AND(Controls_Raw!L1388&lt;DATE(2026,9,30),Controls_Raw!M1388&lt;&gt;"Completed"),"Overdue","OK")</f>
        <v>Overdue</v>
      </c>
      <c r="H1388" t="str">
        <f>IF(AND(Controls_Raw!Q1388&lt;DATE(2026,9,30),Controls_Raw!R1388&lt;&gt;"Completed",Controls_Raw!R1388&lt;&gt;"Not Required"),"Overdue","OK")</f>
        <v>OK</v>
      </c>
      <c r="I1388" t="str">
        <f t="shared" si="21"/>
        <v>Issue</v>
      </c>
    </row>
    <row r="1389" spans="1:9" x14ac:dyDescent="0.2">
      <c r="A1389" t="str">
        <f>Controls_Raw!A1389</f>
        <v>CTRL-1385</v>
      </c>
      <c r="B1389" t="str">
        <f>IF(COUNTIF(Controls_Raw!$A$5:$A$1504,A1389)&gt;1,"Duplicate","OK")</f>
        <v>OK</v>
      </c>
      <c r="C1389" t="str">
        <f>IF(LEN(TRIM(Controls_Raw!I1389))=0,"Missing","OK")</f>
        <v>OK</v>
      </c>
      <c r="D1389" t="str">
        <f>IF(LEN(TRIM(Controls_Raw!N1389))=0,"Missing","OK")</f>
        <v>OK</v>
      </c>
      <c r="E1389" t="str">
        <f>IF(OR(Controls_Raw!G1389="USA",Controls_Raw!G1389="UK"),"Standardize","OK")</f>
        <v>OK</v>
      </c>
      <c r="F1389" t="str">
        <f>IF(Controls_Raw!E1389&lt;&gt;TRIM(Controls_Raw!E1389),"Trim","OK")</f>
        <v>OK</v>
      </c>
      <c r="G1389" t="str">
        <f>IF(AND(Controls_Raw!L1389&lt;DATE(2026,9,30),Controls_Raw!M1389&lt;&gt;"Completed"),"Overdue","OK")</f>
        <v>OK</v>
      </c>
      <c r="H1389" t="str">
        <f>IF(AND(Controls_Raw!Q1389&lt;DATE(2026,9,30),Controls_Raw!R1389&lt;&gt;"Completed",Controls_Raw!R1389&lt;&gt;"Not Required"),"Overdue","OK")</f>
        <v>Overdue</v>
      </c>
      <c r="I1389" t="str">
        <f t="shared" si="21"/>
        <v>Issue</v>
      </c>
    </row>
    <row r="1390" spans="1:9" x14ac:dyDescent="0.2">
      <c r="A1390" t="str">
        <f>Controls_Raw!A1390</f>
        <v>CTRL-1386</v>
      </c>
      <c r="B1390" t="str">
        <f>IF(COUNTIF(Controls_Raw!$A$5:$A$1504,A1390)&gt;1,"Duplicate","OK")</f>
        <v>OK</v>
      </c>
      <c r="C1390" t="str">
        <f>IF(LEN(TRIM(Controls_Raw!I1390))=0,"Missing","OK")</f>
        <v>OK</v>
      </c>
      <c r="D1390" t="str">
        <f>IF(LEN(TRIM(Controls_Raw!N1390))=0,"Missing","OK")</f>
        <v>OK</v>
      </c>
      <c r="E1390" t="str">
        <f>IF(OR(Controls_Raw!G1390="USA",Controls_Raw!G1390="UK"),"Standardize","OK")</f>
        <v>OK</v>
      </c>
      <c r="F1390" t="str">
        <f>IF(Controls_Raw!E1390&lt;&gt;TRIM(Controls_Raw!E1390),"Trim","OK")</f>
        <v>OK</v>
      </c>
      <c r="G1390" t="str">
        <f>IF(AND(Controls_Raw!L1390&lt;DATE(2026,9,30),Controls_Raw!M1390&lt;&gt;"Completed"),"Overdue","OK")</f>
        <v>Overdue</v>
      </c>
      <c r="H1390" t="str">
        <f>IF(AND(Controls_Raw!Q1390&lt;DATE(2026,9,30),Controls_Raw!R1390&lt;&gt;"Completed",Controls_Raw!R1390&lt;&gt;"Not Required"),"Overdue","OK")</f>
        <v>OK</v>
      </c>
      <c r="I1390" t="str">
        <f t="shared" si="21"/>
        <v>Issue</v>
      </c>
    </row>
    <row r="1391" spans="1:9" x14ac:dyDescent="0.2">
      <c r="A1391" t="str">
        <f>Controls_Raw!A1391</f>
        <v>CTRL-1387</v>
      </c>
      <c r="B1391" t="str">
        <f>IF(COUNTIF(Controls_Raw!$A$5:$A$1504,A1391)&gt;1,"Duplicate","OK")</f>
        <v>OK</v>
      </c>
      <c r="C1391" t="str">
        <f>IF(LEN(TRIM(Controls_Raw!I1391))=0,"Missing","OK")</f>
        <v>OK</v>
      </c>
      <c r="D1391" t="str">
        <f>IF(LEN(TRIM(Controls_Raw!N1391))=0,"Missing","OK")</f>
        <v>OK</v>
      </c>
      <c r="E1391" t="str">
        <f>IF(OR(Controls_Raw!G1391="USA",Controls_Raw!G1391="UK"),"Standardize","OK")</f>
        <v>OK</v>
      </c>
      <c r="F1391" t="str">
        <f>IF(Controls_Raw!E1391&lt;&gt;TRIM(Controls_Raw!E1391),"Trim","OK")</f>
        <v>OK</v>
      </c>
      <c r="G1391" t="str">
        <f>IF(AND(Controls_Raw!L1391&lt;DATE(2026,9,30),Controls_Raw!M1391&lt;&gt;"Completed"),"Overdue","OK")</f>
        <v>OK</v>
      </c>
      <c r="H1391" t="str">
        <f>IF(AND(Controls_Raw!Q1391&lt;DATE(2026,9,30),Controls_Raw!R1391&lt;&gt;"Completed",Controls_Raw!R1391&lt;&gt;"Not Required"),"Overdue","OK")</f>
        <v>OK</v>
      </c>
      <c r="I1391" t="str">
        <f t="shared" si="21"/>
        <v>Pass</v>
      </c>
    </row>
    <row r="1392" spans="1:9" x14ac:dyDescent="0.2">
      <c r="A1392" t="str">
        <f>Controls_Raw!A1392</f>
        <v>CTRL-1388</v>
      </c>
      <c r="B1392" t="str">
        <f>IF(COUNTIF(Controls_Raw!$A$5:$A$1504,A1392)&gt;1,"Duplicate","OK")</f>
        <v>OK</v>
      </c>
      <c r="C1392" t="str">
        <f>IF(LEN(TRIM(Controls_Raw!I1392))=0,"Missing","OK")</f>
        <v>OK</v>
      </c>
      <c r="D1392" t="str">
        <f>IF(LEN(TRIM(Controls_Raw!N1392))=0,"Missing","OK")</f>
        <v>OK</v>
      </c>
      <c r="E1392" t="str">
        <f>IF(OR(Controls_Raw!G1392="USA",Controls_Raw!G1392="UK"),"Standardize","OK")</f>
        <v>OK</v>
      </c>
      <c r="F1392" t="str">
        <f>IF(Controls_Raw!E1392&lt;&gt;TRIM(Controls_Raw!E1392),"Trim","OK")</f>
        <v>Trim</v>
      </c>
      <c r="G1392" t="str">
        <f>IF(AND(Controls_Raw!L1392&lt;DATE(2026,9,30),Controls_Raw!M1392&lt;&gt;"Completed"),"Overdue","OK")</f>
        <v>Overdue</v>
      </c>
      <c r="H1392" t="str">
        <f>IF(AND(Controls_Raw!Q1392&lt;DATE(2026,9,30),Controls_Raw!R1392&lt;&gt;"Completed",Controls_Raw!R1392&lt;&gt;"Not Required"),"Overdue","OK")</f>
        <v>OK</v>
      </c>
      <c r="I1392" t="str">
        <f t="shared" si="21"/>
        <v>Issue</v>
      </c>
    </row>
    <row r="1393" spans="1:9" x14ac:dyDescent="0.2">
      <c r="A1393" t="str">
        <f>Controls_Raw!A1393</f>
        <v>CTRL-1389</v>
      </c>
      <c r="B1393" t="str">
        <f>IF(COUNTIF(Controls_Raw!$A$5:$A$1504,A1393)&gt;1,"Duplicate","OK")</f>
        <v>OK</v>
      </c>
      <c r="C1393" t="str">
        <f>IF(LEN(TRIM(Controls_Raw!I1393))=0,"Missing","OK")</f>
        <v>OK</v>
      </c>
      <c r="D1393" t="str">
        <f>IF(LEN(TRIM(Controls_Raw!N1393))=0,"Missing","OK")</f>
        <v>OK</v>
      </c>
      <c r="E1393" t="str">
        <f>IF(OR(Controls_Raw!G1393="USA",Controls_Raw!G1393="UK"),"Standardize","OK")</f>
        <v>OK</v>
      </c>
      <c r="F1393" t="str">
        <f>IF(Controls_Raw!E1393&lt;&gt;TRIM(Controls_Raw!E1393),"Trim","OK")</f>
        <v>OK</v>
      </c>
      <c r="G1393" t="str">
        <f>IF(AND(Controls_Raw!L1393&lt;DATE(2026,9,30),Controls_Raw!M1393&lt;&gt;"Completed"),"Overdue","OK")</f>
        <v>Overdue</v>
      </c>
      <c r="H1393" t="str">
        <f>IF(AND(Controls_Raw!Q1393&lt;DATE(2026,9,30),Controls_Raw!R1393&lt;&gt;"Completed",Controls_Raw!R1393&lt;&gt;"Not Required"),"Overdue","OK")</f>
        <v>OK</v>
      </c>
      <c r="I1393" t="str">
        <f t="shared" si="21"/>
        <v>Issue</v>
      </c>
    </row>
    <row r="1394" spans="1:9" x14ac:dyDescent="0.2">
      <c r="A1394" t="str">
        <f>Controls_Raw!A1394</f>
        <v>CTRL-1390</v>
      </c>
      <c r="B1394" t="str">
        <f>IF(COUNTIF(Controls_Raw!$A$5:$A$1504,A1394)&gt;1,"Duplicate","OK")</f>
        <v>OK</v>
      </c>
      <c r="C1394" t="str">
        <f>IF(LEN(TRIM(Controls_Raw!I1394))=0,"Missing","OK")</f>
        <v>OK</v>
      </c>
      <c r="D1394" t="str">
        <f>IF(LEN(TRIM(Controls_Raw!N1394))=0,"Missing","OK")</f>
        <v>OK</v>
      </c>
      <c r="E1394" t="str">
        <f>IF(OR(Controls_Raw!G1394="USA",Controls_Raw!G1394="UK"),"Standardize","OK")</f>
        <v>OK</v>
      </c>
      <c r="F1394" t="str">
        <f>IF(Controls_Raw!E1394&lt;&gt;TRIM(Controls_Raw!E1394),"Trim","OK")</f>
        <v>OK</v>
      </c>
      <c r="G1394" t="str">
        <f>IF(AND(Controls_Raw!L1394&lt;DATE(2026,9,30),Controls_Raw!M1394&lt;&gt;"Completed"),"Overdue","OK")</f>
        <v>Overdue</v>
      </c>
      <c r="H1394" t="str">
        <f>IF(AND(Controls_Raw!Q1394&lt;DATE(2026,9,30),Controls_Raw!R1394&lt;&gt;"Completed",Controls_Raw!R1394&lt;&gt;"Not Required"),"Overdue","OK")</f>
        <v>OK</v>
      </c>
      <c r="I1394" t="str">
        <f t="shared" si="21"/>
        <v>Issue</v>
      </c>
    </row>
    <row r="1395" spans="1:9" x14ac:dyDescent="0.2">
      <c r="A1395" t="str">
        <f>Controls_Raw!A1395</f>
        <v>CTRL-1391</v>
      </c>
      <c r="B1395" t="str">
        <f>IF(COUNTIF(Controls_Raw!$A$5:$A$1504,A1395)&gt;1,"Duplicate","OK")</f>
        <v>OK</v>
      </c>
      <c r="C1395" t="str">
        <f>IF(LEN(TRIM(Controls_Raw!I1395))=0,"Missing","OK")</f>
        <v>OK</v>
      </c>
      <c r="D1395" t="str">
        <f>IF(LEN(TRIM(Controls_Raw!N1395))=0,"Missing","OK")</f>
        <v>OK</v>
      </c>
      <c r="E1395" t="str">
        <f>IF(OR(Controls_Raw!G1395="USA",Controls_Raw!G1395="UK"),"Standardize","OK")</f>
        <v>OK</v>
      </c>
      <c r="F1395" t="str">
        <f>IF(Controls_Raw!E1395&lt;&gt;TRIM(Controls_Raw!E1395),"Trim","OK")</f>
        <v>OK</v>
      </c>
      <c r="G1395" t="str">
        <f>IF(AND(Controls_Raw!L1395&lt;DATE(2026,9,30),Controls_Raw!M1395&lt;&gt;"Completed"),"Overdue","OK")</f>
        <v>OK</v>
      </c>
      <c r="H1395" t="str">
        <f>IF(AND(Controls_Raw!Q1395&lt;DATE(2026,9,30),Controls_Raw!R1395&lt;&gt;"Completed",Controls_Raw!R1395&lt;&gt;"Not Required"),"Overdue","OK")</f>
        <v>Overdue</v>
      </c>
      <c r="I1395" t="str">
        <f t="shared" si="21"/>
        <v>Issue</v>
      </c>
    </row>
    <row r="1396" spans="1:9" x14ac:dyDescent="0.2">
      <c r="A1396" t="str">
        <f>Controls_Raw!A1396</f>
        <v>CTRL-1392</v>
      </c>
      <c r="B1396" t="str">
        <f>IF(COUNTIF(Controls_Raw!$A$5:$A$1504,A1396)&gt;1,"Duplicate","OK")</f>
        <v>OK</v>
      </c>
      <c r="C1396" t="str">
        <f>IF(LEN(TRIM(Controls_Raw!I1396))=0,"Missing","OK")</f>
        <v>OK</v>
      </c>
      <c r="D1396" t="str">
        <f>IF(LEN(TRIM(Controls_Raw!N1396))=0,"Missing","OK")</f>
        <v>OK</v>
      </c>
      <c r="E1396" t="str">
        <f>IF(OR(Controls_Raw!G1396="USA",Controls_Raw!G1396="UK"),"Standardize","OK")</f>
        <v>OK</v>
      </c>
      <c r="F1396" t="str">
        <f>IF(Controls_Raw!E1396&lt;&gt;TRIM(Controls_Raw!E1396),"Trim","OK")</f>
        <v>OK</v>
      </c>
      <c r="G1396" t="str">
        <f>IF(AND(Controls_Raw!L1396&lt;DATE(2026,9,30),Controls_Raw!M1396&lt;&gt;"Completed"),"Overdue","OK")</f>
        <v>Overdue</v>
      </c>
      <c r="H1396" t="str">
        <f>IF(AND(Controls_Raw!Q1396&lt;DATE(2026,9,30),Controls_Raw!R1396&lt;&gt;"Completed",Controls_Raw!R1396&lt;&gt;"Not Required"),"Overdue","OK")</f>
        <v>OK</v>
      </c>
      <c r="I1396" t="str">
        <f t="shared" si="21"/>
        <v>Issue</v>
      </c>
    </row>
    <row r="1397" spans="1:9" x14ac:dyDescent="0.2">
      <c r="A1397" t="str">
        <f>Controls_Raw!A1397</f>
        <v>CTRL-1393</v>
      </c>
      <c r="B1397" t="str">
        <f>IF(COUNTIF(Controls_Raw!$A$5:$A$1504,A1397)&gt;1,"Duplicate","OK")</f>
        <v>OK</v>
      </c>
      <c r="C1397" t="str">
        <f>IF(LEN(TRIM(Controls_Raw!I1397))=0,"Missing","OK")</f>
        <v>OK</v>
      </c>
      <c r="D1397" t="str">
        <f>IF(LEN(TRIM(Controls_Raw!N1397))=0,"Missing","OK")</f>
        <v>OK</v>
      </c>
      <c r="E1397" t="str">
        <f>IF(OR(Controls_Raw!G1397="USA",Controls_Raw!G1397="UK"),"Standardize","OK")</f>
        <v>OK</v>
      </c>
      <c r="F1397" t="str">
        <f>IF(Controls_Raw!E1397&lt;&gt;TRIM(Controls_Raw!E1397),"Trim","OK")</f>
        <v>OK</v>
      </c>
      <c r="G1397" t="str">
        <f>IF(AND(Controls_Raw!L1397&lt;DATE(2026,9,30),Controls_Raw!M1397&lt;&gt;"Completed"),"Overdue","OK")</f>
        <v>Overdue</v>
      </c>
      <c r="H1397" t="str">
        <f>IF(AND(Controls_Raw!Q1397&lt;DATE(2026,9,30),Controls_Raw!R1397&lt;&gt;"Completed",Controls_Raw!R1397&lt;&gt;"Not Required"),"Overdue","OK")</f>
        <v>OK</v>
      </c>
      <c r="I1397" t="str">
        <f t="shared" si="21"/>
        <v>Issue</v>
      </c>
    </row>
    <row r="1398" spans="1:9" x14ac:dyDescent="0.2">
      <c r="A1398" t="str">
        <f>Controls_Raw!A1398</f>
        <v>CTRL-1394</v>
      </c>
      <c r="B1398" t="str">
        <f>IF(COUNTIF(Controls_Raw!$A$5:$A$1504,A1398)&gt;1,"Duplicate","OK")</f>
        <v>OK</v>
      </c>
      <c r="C1398" t="str">
        <f>IF(LEN(TRIM(Controls_Raw!I1398))=0,"Missing","OK")</f>
        <v>OK</v>
      </c>
      <c r="D1398" t="str">
        <f>IF(LEN(TRIM(Controls_Raw!N1398))=0,"Missing","OK")</f>
        <v>OK</v>
      </c>
      <c r="E1398" t="str">
        <f>IF(OR(Controls_Raw!G1398="USA",Controls_Raw!G1398="UK"),"Standardize","OK")</f>
        <v>OK</v>
      </c>
      <c r="F1398" t="str">
        <f>IF(Controls_Raw!E1398&lt;&gt;TRIM(Controls_Raw!E1398),"Trim","OK")</f>
        <v>OK</v>
      </c>
      <c r="G1398" t="str">
        <f>IF(AND(Controls_Raw!L1398&lt;DATE(2026,9,30),Controls_Raw!M1398&lt;&gt;"Completed"),"Overdue","OK")</f>
        <v>OK</v>
      </c>
      <c r="H1398" t="str">
        <f>IF(AND(Controls_Raw!Q1398&lt;DATE(2026,9,30),Controls_Raw!R1398&lt;&gt;"Completed",Controls_Raw!R1398&lt;&gt;"Not Required"),"Overdue","OK")</f>
        <v>OK</v>
      </c>
      <c r="I1398" t="str">
        <f t="shared" si="21"/>
        <v>Pass</v>
      </c>
    </row>
    <row r="1399" spans="1:9" x14ac:dyDescent="0.2">
      <c r="A1399" t="str">
        <f>Controls_Raw!A1399</f>
        <v>CTRL-1395</v>
      </c>
      <c r="B1399" t="str">
        <f>IF(COUNTIF(Controls_Raw!$A$5:$A$1504,A1399)&gt;1,"Duplicate","OK")</f>
        <v>OK</v>
      </c>
      <c r="C1399" t="str">
        <f>IF(LEN(TRIM(Controls_Raw!I1399))=0,"Missing","OK")</f>
        <v>OK</v>
      </c>
      <c r="D1399" t="str">
        <f>IF(LEN(TRIM(Controls_Raw!N1399))=0,"Missing","OK")</f>
        <v>OK</v>
      </c>
      <c r="E1399" t="str">
        <f>IF(OR(Controls_Raw!G1399="USA",Controls_Raw!G1399="UK"),"Standardize","OK")</f>
        <v>OK</v>
      </c>
      <c r="F1399" t="str">
        <f>IF(Controls_Raw!E1399&lt;&gt;TRIM(Controls_Raw!E1399),"Trim","OK")</f>
        <v>OK</v>
      </c>
      <c r="G1399" t="str">
        <f>IF(AND(Controls_Raw!L1399&lt;DATE(2026,9,30),Controls_Raw!M1399&lt;&gt;"Completed"),"Overdue","OK")</f>
        <v>OK</v>
      </c>
      <c r="H1399" t="str">
        <f>IF(AND(Controls_Raw!Q1399&lt;DATE(2026,9,30),Controls_Raw!R1399&lt;&gt;"Completed",Controls_Raw!R1399&lt;&gt;"Not Required"),"Overdue","OK")</f>
        <v>OK</v>
      </c>
      <c r="I1399" t="str">
        <f t="shared" si="21"/>
        <v>Pass</v>
      </c>
    </row>
    <row r="1400" spans="1:9" x14ac:dyDescent="0.2">
      <c r="A1400" t="str">
        <f>Controls_Raw!A1400</f>
        <v>CTRL-1396</v>
      </c>
      <c r="B1400" t="str">
        <f>IF(COUNTIF(Controls_Raw!$A$5:$A$1504,A1400)&gt;1,"Duplicate","OK")</f>
        <v>OK</v>
      </c>
      <c r="C1400" t="str">
        <f>IF(LEN(TRIM(Controls_Raw!I1400))=0,"Missing","OK")</f>
        <v>OK</v>
      </c>
      <c r="D1400" t="str">
        <f>IF(LEN(TRIM(Controls_Raw!N1400))=0,"Missing","OK")</f>
        <v>OK</v>
      </c>
      <c r="E1400" t="str">
        <f>IF(OR(Controls_Raw!G1400="USA",Controls_Raw!G1400="UK"),"Standardize","OK")</f>
        <v>OK</v>
      </c>
      <c r="F1400" t="str">
        <f>IF(Controls_Raw!E1400&lt;&gt;TRIM(Controls_Raw!E1400),"Trim","OK")</f>
        <v>OK</v>
      </c>
      <c r="G1400" t="str">
        <f>IF(AND(Controls_Raw!L1400&lt;DATE(2026,9,30),Controls_Raw!M1400&lt;&gt;"Completed"),"Overdue","OK")</f>
        <v>Overdue</v>
      </c>
      <c r="H1400" t="str">
        <f>IF(AND(Controls_Raw!Q1400&lt;DATE(2026,9,30),Controls_Raw!R1400&lt;&gt;"Completed",Controls_Raw!R1400&lt;&gt;"Not Required"),"Overdue","OK")</f>
        <v>OK</v>
      </c>
      <c r="I1400" t="str">
        <f t="shared" si="21"/>
        <v>Issue</v>
      </c>
    </row>
    <row r="1401" spans="1:9" x14ac:dyDescent="0.2">
      <c r="A1401" t="str">
        <f>Controls_Raw!A1401</f>
        <v>CTRL-1397</v>
      </c>
      <c r="B1401" t="str">
        <f>IF(COUNTIF(Controls_Raw!$A$5:$A$1504,A1401)&gt;1,"Duplicate","OK")</f>
        <v>OK</v>
      </c>
      <c r="C1401" t="str">
        <f>IF(LEN(TRIM(Controls_Raw!I1401))=0,"Missing","OK")</f>
        <v>OK</v>
      </c>
      <c r="D1401" t="str">
        <f>IF(LEN(TRIM(Controls_Raw!N1401))=0,"Missing","OK")</f>
        <v>OK</v>
      </c>
      <c r="E1401" t="str">
        <f>IF(OR(Controls_Raw!G1401="USA",Controls_Raw!G1401="UK"),"Standardize","OK")</f>
        <v>OK</v>
      </c>
      <c r="F1401" t="str">
        <f>IF(Controls_Raw!E1401&lt;&gt;TRIM(Controls_Raw!E1401),"Trim","OK")</f>
        <v>OK</v>
      </c>
      <c r="G1401" t="str">
        <f>IF(AND(Controls_Raw!L1401&lt;DATE(2026,9,30),Controls_Raw!M1401&lt;&gt;"Completed"),"Overdue","OK")</f>
        <v>OK</v>
      </c>
      <c r="H1401" t="str">
        <f>IF(AND(Controls_Raw!Q1401&lt;DATE(2026,9,30),Controls_Raw!R1401&lt;&gt;"Completed",Controls_Raw!R1401&lt;&gt;"Not Required"),"Overdue","OK")</f>
        <v>OK</v>
      </c>
      <c r="I1401" t="str">
        <f t="shared" si="21"/>
        <v>Pass</v>
      </c>
    </row>
    <row r="1402" spans="1:9" x14ac:dyDescent="0.2">
      <c r="A1402" t="str">
        <f>Controls_Raw!A1402</f>
        <v>CTRL-1398</v>
      </c>
      <c r="B1402" t="str">
        <f>IF(COUNTIF(Controls_Raw!$A$5:$A$1504,A1402)&gt;1,"Duplicate","OK")</f>
        <v>OK</v>
      </c>
      <c r="C1402" t="str">
        <f>IF(LEN(TRIM(Controls_Raw!I1402))=0,"Missing","OK")</f>
        <v>OK</v>
      </c>
      <c r="D1402" t="str">
        <f>IF(LEN(TRIM(Controls_Raw!N1402))=0,"Missing","OK")</f>
        <v>OK</v>
      </c>
      <c r="E1402" t="str">
        <f>IF(OR(Controls_Raw!G1402="USA",Controls_Raw!G1402="UK"),"Standardize","OK")</f>
        <v>OK</v>
      </c>
      <c r="F1402" t="str">
        <f>IF(Controls_Raw!E1402&lt;&gt;TRIM(Controls_Raw!E1402),"Trim","OK")</f>
        <v>OK</v>
      </c>
      <c r="G1402" t="str">
        <f>IF(AND(Controls_Raw!L1402&lt;DATE(2026,9,30),Controls_Raw!M1402&lt;&gt;"Completed"),"Overdue","OK")</f>
        <v>OK</v>
      </c>
      <c r="H1402" t="str">
        <f>IF(AND(Controls_Raw!Q1402&lt;DATE(2026,9,30),Controls_Raw!R1402&lt;&gt;"Completed",Controls_Raw!R1402&lt;&gt;"Not Required"),"Overdue","OK")</f>
        <v>Overdue</v>
      </c>
      <c r="I1402" t="str">
        <f t="shared" si="21"/>
        <v>Issue</v>
      </c>
    </row>
    <row r="1403" spans="1:9" x14ac:dyDescent="0.2">
      <c r="A1403" t="str">
        <f>Controls_Raw!A1403</f>
        <v>CTRL-1399</v>
      </c>
      <c r="B1403" t="str">
        <f>IF(COUNTIF(Controls_Raw!$A$5:$A$1504,A1403)&gt;1,"Duplicate","OK")</f>
        <v>OK</v>
      </c>
      <c r="C1403" t="str">
        <f>IF(LEN(TRIM(Controls_Raw!I1403))=0,"Missing","OK")</f>
        <v>OK</v>
      </c>
      <c r="D1403" t="str">
        <f>IF(LEN(TRIM(Controls_Raw!N1403))=0,"Missing","OK")</f>
        <v>OK</v>
      </c>
      <c r="E1403" t="str">
        <f>IF(OR(Controls_Raw!G1403="USA",Controls_Raw!G1403="UK"),"Standardize","OK")</f>
        <v>OK</v>
      </c>
      <c r="F1403" t="str">
        <f>IF(Controls_Raw!E1403&lt;&gt;TRIM(Controls_Raw!E1403),"Trim","OK")</f>
        <v>OK</v>
      </c>
      <c r="G1403" t="str">
        <f>IF(AND(Controls_Raw!L1403&lt;DATE(2026,9,30),Controls_Raw!M1403&lt;&gt;"Completed"),"Overdue","OK")</f>
        <v>OK</v>
      </c>
      <c r="H1403" t="str">
        <f>IF(AND(Controls_Raw!Q1403&lt;DATE(2026,9,30),Controls_Raw!R1403&lt;&gt;"Completed",Controls_Raw!R1403&lt;&gt;"Not Required"),"Overdue","OK")</f>
        <v>OK</v>
      </c>
      <c r="I1403" t="str">
        <f t="shared" si="21"/>
        <v>Pass</v>
      </c>
    </row>
    <row r="1404" spans="1:9" x14ac:dyDescent="0.2">
      <c r="A1404" t="str">
        <f>Controls_Raw!A1404</f>
        <v>CTRL-1400</v>
      </c>
      <c r="B1404" t="str">
        <f>IF(COUNTIF(Controls_Raw!$A$5:$A$1504,A1404)&gt;1,"Duplicate","OK")</f>
        <v>OK</v>
      </c>
      <c r="C1404" t="str">
        <f>IF(LEN(TRIM(Controls_Raw!I1404))=0,"Missing","OK")</f>
        <v>OK</v>
      </c>
      <c r="D1404" t="str">
        <f>IF(LEN(TRIM(Controls_Raw!N1404))=0,"Missing","OK")</f>
        <v>OK</v>
      </c>
      <c r="E1404" t="str">
        <f>IF(OR(Controls_Raw!G1404="USA",Controls_Raw!G1404="UK"),"Standardize","OK")</f>
        <v>OK</v>
      </c>
      <c r="F1404" t="str">
        <f>IF(Controls_Raw!E1404&lt;&gt;TRIM(Controls_Raw!E1404),"Trim","OK")</f>
        <v>OK</v>
      </c>
      <c r="G1404" t="str">
        <f>IF(AND(Controls_Raw!L1404&lt;DATE(2026,9,30),Controls_Raw!M1404&lt;&gt;"Completed"),"Overdue","OK")</f>
        <v>OK</v>
      </c>
      <c r="H1404" t="str">
        <f>IF(AND(Controls_Raw!Q1404&lt;DATE(2026,9,30),Controls_Raw!R1404&lt;&gt;"Completed",Controls_Raw!R1404&lt;&gt;"Not Required"),"Overdue","OK")</f>
        <v>OK</v>
      </c>
      <c r="I1404" t="str">
        <f t="shared" si="21"/>
        <v>Pass</v>
      </c>
    </row>
    <row r="1405" spans="1:9" x14ac:dyDescent="0.2">
      <c r="A1405" t="str">
        <f>Controls_Raw!A1405</f>
        <v>CTRL-1401</v>
      </c>
      <c r="B1405" t="str">
        <f>IF(COUNTIF(Controls_Raw!$A$5:$A$1504,A1405)&gt;1,"Duplicate","OK")</f>
        <v>OK</v>
      </c>
      <c r="C1405" t="str">
        <f>IF(LEN(TRIM(Controls_Raw!I1405))=0,"Missing","OK")</f>
        <v>OK</v>
      </c>
      <c r="D1405" t="str">
        <f>IF(LEN(TRIM(Controls_Raw!N1405))=0,"Missing","OK")</f>
        <v>OK</v>
      </c>
      <c r="E1405" t="str">
        <f>IF(OR(Controls_Raw!G1405="USA",Controls_Raw!G1405="UK"),"Standardize","OK")</f>
        <v>OK</v>
      </c>
      <c r="F1405" t="str">
        <f>IF(Controls_Raw!E1405&lt;&gt;TRIM(Controls_Raw!E1405),"Trim","OK")</f>
        <v>OK</v>
      </c>
      <c r="G1405" t="str">
        <f>IF(AND(Controls_Raw!L1405&lt;DATE(2026,9,30),Controls_Raw!M1405&lt;&gt;"Completed"),"Overdue","OK")</f>
        <v>OK</v>
      </c>
      <c r="H1405" t="str">
        <f>IF(AND(Controls_Raw!Q1405&lt;DATE(2026,9,30),Controls_Raw!R1405&lt;&gt;"Completed",Controls_Raw!R1405&lt;&gt;"Not Required"),"Overdue","OK")</f>
        <v>Overdue</v>
      </c>
      <c r="I1405" t="str">
        <f t="shared" si="21"/>
        <v>Issue</v>
      </c>
    </row>
    <row r="1406" spans="1:9" x14ac:dyDescent="0.2">
      <c r="A1406" t="str">
        <f>Controls_Raw!A1406</f>
        <v>CTRL-1402</v>
      </c>
      <c r="B1406" t="str">
        <f>IF(COUNTIF(Controls_Raw!$A$5:$A$1504,A1406)&gt;1,"Duplicate","OK")</f>
        <v>OK</v>
      </c>
      <c r="C1406" t="str">
        <f>IF(LEN(TRIM(Controls_Raw!I1406))=0,"Missing","OK")</f>
        <v>OK</v>
      </c>
      <c r="D1406" t="str">
        <f>IF(LEN(TRIM(Controls_Raw!N1406))=0,"Missing","OK")</f>
        <v>OK</v>
      </c>
      <c r="E1406" t="str">
        <f>IF(OR(Controls_Raw!G1406="USA",Controls_Raw!G1406="UK"),"Standardize","OK")</f>
        <v>OK</v>
      </c>
      <c r="F1406" t="str">
        <f>IF(Controls_Raw!E1406&lt;&gt;TRIM(Controls_Raw!E1406),"Trim","OK")</f>
        <v>OK</v>
      </c>
      <c r="G1406" t="str">
        <f>IF(AND(Controls_Raw!L1406&lt;DATE(2026,9,30),Controls_Raw!M1406&lt;&gt;"Completed"),"Overdue","OK")</f>
        <v>Overdue</v>
      </c>
      <c r="H1406" t="str">
        <f>IF(AND(Controls_Raw!Q1406&lt;DATE(2026,9,30),Controls_Raw!R1406&lt;&gt;"Completed",Controls_Raw!R1406&lt;&gt;"Not Required"),"Overdue","OK")</f>
        <v>OK</v>
      </c>
      <c r="I1406" t="str">
        <f t="shared" si="21"/>
        <v>Issue</v>
      </c>
    </row>
    <row r="1407" spans="1:9" x14ac:dyDescent="0.2">
      <c r="A1407" t="str">
        <f>Controls_Raw!A1407</f>
        <v>CTRL-1403</v>
      </c>
      <c r="B1407" t="str">
        <f>IF(COUNTIF(Controls_Raw!$A$5:$A$1504,A1407)&gt;1,"Duplicate","OK")</f>
        <v>OK</v>
      </c>
      <c r="C1407" t="str">
        <f>IF(LEN(TRIM(Controls_Raw!I1407))=0,"Missing","OK")</f>
        <v>OK</v>
      </c>
      <c r="D1407" t="str">
        <f>IF(LEN(TRIM(Controls_Raw!N1407))=0,"Missing","OK")</f>
        <v>OK</v>
      </c>
      <c r="E1407" t="str">
        <f>IF(OR(Controls_Raw!G1407="USA",Controls_Raw!G1407="UK"),"Standardize","OK")</f>
        <v>OK</v>
      </c>
      <c r="F1407" t="str">
        <f>IF(Controls_Raw!E1407&lt;&gt;TRIM(Controls_Raw!E1407),"Trim","OK")</f>
        <v>OK</v>
      </c>
      <c r="G1407" t="str">
        <f>IF(AND(Controls_Raw!L1407&lt;DATE(2026,9,30),Controls_Raw!M1407&lt;&gt;"Completed"),"Overdue","OK")</f>
        <v>OK</v>
      </c>
      <c r="H1407" t="str">
        <f>IF(AND(Controls_Raw!Q1407&lt;DATE(2026,9,30),Controls_Raw!R1407&lt;&gt;"Completed",Controls_Raw!R1407&lt;&gt;"Not Required"),"Overdue","OK")</f>
        <v>OK</v>
      </c>
      <c r="I1407" t="str">
        <f t="shared" si="21"/>
        <v>Pass</v>
      </c>
    </row>
    <row r="1408" spans="1:9" x14ac:dyDescent="0.2">
      <c r="A1408" t="str">
        <f>Controls_Raw!A1408</f>
        <v>CTRL-1404</v>
      </c>
      <c r="B1408" t="str">
        <f>IF(COUNTIF(Controls_Raw!$A$5:$A$1504,A1408)&gt;1,"Duplicate","OK")</f>
        <v>OK</v>
      </c>
      <c r="C1408" t="str">
        <f>IF(LEN(TRIM(Controls_Raw!I1408))=0,"Missing","OK")</f>
        <v>OK</v>
      </c>
      <c r="D1408" t="str">
        <f>IF(LEN(TRIM(Controls_Raw!N1408))=0,"Missing","OK")</f>
        <v>OK</v>
      </c>
      <c r="E1408" t="str">
        <f>IF(OR(Controls_Raw!G1408="USA",Controls_Raw!G1408="UK"),"Standardize","OK")</f>
        <v>OK</v>
      </c>
      <c r="F1408" t="str">
        <f>IF(Controls_Raw!E1408&lt;&gt;TRIM(Controls_Raw!E1408),"Trim","OK")</f>
        <v>OK</v>
      </c>
      <c r="G1408" t="str">
        <f>IF(AND(Controls_Raw!L1408&lt;DATE(2026,9,30),Controls_Raw!M1408&lt;&gt;"Completed"),"Overdue","OK")</f>
        <v>Overdue</v>
      </c>
      <c r="H1408" t="str">
        <f>IF(AND(Controls_Raw!Q1408&lt;DATE(2026,9,30),Controls_Raw!R1408&lt;&gt;"Completed",Controls_Raw!R1408&lt;&gt;"Not Required"),"Overdue","OK")</f>
        <v>Overdue</v>
      </c>
      <c r="I1408" t="str">
        <f t="shared" si="21"/>
        <v>Issue</v>
      </c>
    </row>
    <row r="1409" spans="1:9" x14ac:dyDescent="0.2">
      <c r="A1409" t="str">
        <f>Controls_Raw!A1409</f>
        <v>CTRL-1405</v>
      </c>
      <c r="B1409" t="str">
        <f>IF(COUNTIF(Controls_Raw!$A$5:$A$1504,A1409)&gt;1,"Duplicate","OK")</f>
        <v>OK</v>
      </c>
      <c r="C1409" t="str">
        <f>IF(LEN(TRIM(Controls_Raw!I1409))=0,"Missing","OK")</f>
        <v>OK</v>
      </c>
      <c r="D1409" t="str">
        <f>IF(LEN(TRIM(Controls_Raw!N1409))=0,"Missing","OK")</f>
        <v>OK</v>
      </c>
      <c r="E1409" t="str">
        <f>IF(OR(Controls_Raw!G1409="USA",Controls_Raw!G1409="UK"),"Standardize","OK")</f>
        <v>OK</v>
      </c>
      <c r="F1409" t="str">
        <f>IF(Controls_Raw!E1409&lt;&gt;TRIM(Controls_Raw!E1409),"Trim","OK")</f>
        <v>OK</v>
      </c>
      <c r="G1409" t="str">
        <f>IF(AND(Controls_Raw!L1409&lt;DATE(2026,9,30),Controls_Raw!M1409&lt;&gt;"Completed"),"Overdue","OK")</f>
        <v>Overdue</v>
      </c>
      <c r="H1409" t="str">
        <f>IF(AND(Controls_Raw!Q1409&lt;DATE(2026,9,30),Controls_Raw!R1409&lt;&gt;"Completed",Controls_Raw!R1409&lt;&gt;"Not Required"),"Overdue","OK")</f>
        <v>Overdue</v>
      </c>
      <c r="I1409" t="str">
        <f t="shared" si="21"/>
        <v>Issue</v>
      </c>
    </row>
    <row r="1410" spans="1:9" x14ac:dyDescent="0.2">
      <c r="A1410" t="str">
        <f>Controls_Raw!A1410</f>
        <v>CTRL-1406</v>
      </c>
      <c r="B1410" t="str">
        <f>IF(COUNTIF(Controls_Raw!$A$5:$A$1504,A1410)&gt;1,"Duplicate","OK")</f>
        <v>OK</v>
      </c>
      <c r="C1410" t="str">
        <f>IF(LEN(TRIM(Controls_Raw!I1410))=0,"Missing","OK")</f>
        <v>OK</v>
      </c>
      <c r="D1410" t="str">
        <f>IF(LEN(TRIM(Controls_Raw!N1410))=0,"Missing","OK")</f>
        <v>OK</v>
      </c>
      <c r="E1410" t="str">
        <f>IF(OR(Controls_Raw!G1410="USA",Controls_Raw!G1410="UK"),"Standardize","OK")</f>
        <v>OK</v>
      </c>
      <c r="F1410" t="str">
        <f>IF(Controls_Raw!E1410&lt;&gt;TRIM(Controls_Raw!E1410),"Trim","OK")</f>
        <v>OK</v>
      </c>
      <c r="G1410" t="str">
        <f>IF(AND(Controls_Raw!L1410&lt;DATE(2026,9,30),Controls_Raw!M1410&lt;&gt;"Completed"),"Overdue","OK")</f>
        <v>OK</v>
      </c>
      <c r="H1410" t="str">
        <f>IF(AND(Controls_Raw!Q1410&lt;DATE(2026,9,30),Controls_Raw!R1410&lt;&gt;"Completed",Controls_Raw!R1410&lt;&gt;"Not Required"),"Overdue","OK")</f>
        <v>Overdue</v>
      </c>
      <c r="I1410" t="str">
        <f t="shared" si="21"/>
        <v>Issue</v>
      </c>
    </row>
    <row r="1411" spans="1:9" x14ac:dyDescent="0.2">
      <c r="A1411" t="str">
        <f>Controls_Raw!A1411</f>
        <v>CTRL-1407</v>
      </c>
      <c r="B1411" t="str">
        <f>IF(COUNTIF(Controls_Raw!$A$5:$A$1504,A1411)&gt;1,"Duplicate","OK")</f>
        <v>OK</v>
      </c>
      <c r="C1411" t="str">
        <f>IF(LEN(TRIM(Controls_Raw!I1411))=0,"Missing","OK")</f>
        <v>OK</v>
      </c>
      <c r="D1411" t="str">
        <f>IF(LEN(TRIM(Controls_Raw!N1411))=0,"Missing","OK")</f>
        <v>OK</v>
      </c>
      <c r="E1411" t="str">
        <f>IF(OR(Controls_Raw!G1411="USA",Controls_Raw!G1411="UK"),"Standardize","OK")</f>
        <v>OK</v>
      </c>
      <c r="F1411" t="str">
        <f>IF(Controls_Raw!E1411&lt;&gt;TRIM(Controls_Raw!E1411),"Trim","OK")</f>
        <v>OK</v>
      </c>
      <c r="G1411" t="str">
        <f>IF(AND(Controls_Raw!L1411&lt;DATE(2026,9,30),Controls_Raw!M1411&lt;&gt;"Completed"),"Overdue","OK")</f>
        <v>Overdue</v>
      </c>
      <c r="H1411" t="str">
        <f>IF(AND(Controls_Raw!Q1411&lt;DATE(2026,9,30),Controls_Raw!R1411&lt;&gt;"Completed",Controls_Raw!R1411&lt;&gt;"Not Required"),"Overdue","OK")</f>
        <v>OK</v>
      </c>
      <c r="I1411" t="str">
        <f t="shared" si="21"/>
        <v>Issue</v>
      </c>
    </row>
    <row r="1412" spans="1:9" x14ac:dyDescent="0.2">
      <c r="A1412" t="str">
        <f>Controls_Raw!A1412</f>
        <v>CTRL-1408</v>
      </c>
      <c r="B1412" t="str">
        <f>IF(COUNTIF(Controls_Raw!$A$5:$A$1504,A1412)&gt;1,"Duplicate","OK")</f>
        <v>OK</v>
      </c>
      <c r="C1412" t="str">
        <f>IF(LEN(TRIM(Controls_Raw!I1412))=0,"Missing","OK")</f>
        <v>OK</v>
      </c>
      <c r="D1412" t="str">
        <f>IF(LEN(TRIM(Controls_Raw!N1412))=0,"Missing","OK")</f>
        <v>OK</v>
      </c>
      <c r="E1412" t="str">
        <f>IF(OR(Controls_Raw!G1412="USA",Controls_Raw!G1412="UK"),"Standardize","OK")</f>
        <v>OK</v>
      </c>
      <c r="F1412" t="str">
        <f>IF(Controls_Raw!E1412&lt;&gt;TRIM(Controls_Raw!E1412),"Trim","OK")</f>
        <v>OK</v>
      </c>
      <c r="G1412" t="str">
        <f>IF(AND(Controls_Raw!L1412&lt;DATE(2026,9,30),Controls_Raw!M1412&lt;&gt;"Completed"),"Overdue","OK")</f>
        <v>Overdue</v>
      </c>
      <c r="H1412" t="str">
        <f>IF(AND(Controls_Raw!Q1412&lt;DATE(2026,9,30),Controls_Raw!R1412&lt;&gt;"Completed",Controls_Raw!R1412&lt;&gt;"Not Required"),"Overdue","OK")</f>
        <v>Overdue</v>
      </c>
      <c r="I1412" t="str">
        <f t="shared" si="21"/>
        <v>Issue</v>
      </c>
    </row>
    <row r="1413" spans="1:9" x14ac:dyDescent="0.2">
      <c r="A1413" t="str">
        <f>Controls_Raw!A1413</f>
        <v>CTRL-1409</v>
      </c>
      <c r="B1413" t="str">
        <f>IF(COUNTIF(Controls_Raw!$A$5:$A$1504,A1413)&gt;1,"Duplicate","OK")</f>
        <v>OK</v>
      </c>
      <c r="C1413" t="str">
        <f>IF(LEN(TRIM(Controls_Raw!I1413))=0,"Missing","OK")</f>
        <v>OK</v>
      </c>
      <c r="D1413" t="str">
        <f>IF(LEN(TRIM(Controls_Raw!N1413))=0,"Missing","OK")</f>
        <v>OK</v>
      </c>
      <c r="E1413" t="str">
        <f>IF(OR(Controls_Raw!G1413="USA",Controls_Raw!G1413="UK"),"Standardize","OK")</f>
        <v>OK</v>
      </c>
      <c r="F1413" t="str">
        <f>IF(Controls_Raw!E1413&lt;&gt;TRIM(Controls_Raw!E1413),"Trim","OK")</f>
        <v>OK</v>
      </c>
      <c r="G1413" t="str">
        <f>IF(AND(Controls_Raw!L1413&lt;DATE(2026,9,30),Controls_Raw!M1413&lt;&gt;"Completed"),"Overdue","OK")</f>
        <v>Overdue</v>
      </c>
      <c r="H1413" t="str">
        <f>IF(AND(Controls_Raw!Q1413&lt;DATE(2026,9,30),Controls_Raw!R1413&lt;&gt;"Completed",Controls_Raw!R1413&lt;&gt;"Not Required"),"Overdue","OK")</f>
        <v>Overdue</v>
      </c>
      <c r="I1413" t="str">
        <f t="shared" ref="I1413:I1476" si="22">IF(COUNTIF(B1413:H1413,"&lt;&gt;OK")&gt;0,"Issue","Pass")</f>
        <v>Issue</v>
      </c>
    </row>
    <row r="1414" spans="1:9" x14ac:dyDescent="0.2">
      <c r="A1414" t="str">
        <f>Controls_Raw!A1414</f>
        <v>CTRL-1410</v>
      </c>
      <c r="B1414" t="str">
        <f>IF(COUNTIF(Controls_Raw!$A$5:$A$1504,A1414)&gt;1,"Duplicate","OK")</f>
        <v>OK</v>
      </c>
      <c r="C1414" t="str">
        <f>IF(LEN(TRIM(Controls_Raw!I1414))=0,"Missing","OK")</f>
        <v>OK</v>
      </c>
      <c r="D1414" t="str">
        <f>IF(LEN(TRIM(Controls_Raw!N1414))=0,"Missing","OK")</f>
        <v>OK</v>
      </c>
      <c r="E1414" t="str">
        <f>IF(OR(Controls_Raw!G1414="USA",Controls_Raw!G1414="UK"),"Standardize","OK")</f>
        <v>OK</v>
      </c>
      <c r="F1414" t="str">
        <f>IF(Controls_Raw!E1414&lt;&gt;TRIM(Controls_Raw!E1414),"Trim","OK")</f>
        <v>OK</v>
      </c>
      <c r="G1414" t="str">
        <f>IF(AND(Controls_Raw!L1414&lt;DATE(2026,9,30),Controls_Raw!M1414&lt;&gt;"Completed"),"Overdue","OK")</f>
        <v>Overdue</v>
      </c>
      <c r="H1414" t="str">
        <f>IF(AND(Controls_Raw!Q1414&lt;DATE(2026,9,30),Controls_Raw!R1414&lt;&gt;"Completed",Controls_Raw!R1414&lt;&gt;"Not Required"),"Overdue","OK")</f>
        <v>OK</v>
      </c>
      <c r="I1414" t="str">
        <f t="shared" si="22"/>
        <v>Issue</v>
      </c>
    </row>
    <row r="1415" spans="1:9" x14ac:dyDescent="0.2">
      <c r="A1415" t="str">
        <f>Controls_Raw!A1415</f>
        <v>CTRL-1411</v>
      </c>
      <c r="B1415" t="str">
        <f>IF(COUNTIF(Controls_Raw!$A$5:$A$1504,A1415)&gt;1,"Duplicate","OK")</f>
        <v>OK</v>
      </c>
      <c r="C1415" t="str">
        <f>IF(LEN(TRIM(Controls_Raw!I1415))=0,"Missing","OK")</f>
        <v>Missing</v>
      </c>
      <c r="D1415" t="str">
        <f>IF(LEN(TRIM(Controls_Raw!N1415))=0,"Missing","OK")</f>
        <v>OK</v>
      </c>
      <c r="E1415" t="str">
        <f>IF(OR(Controls_Raw!G1415="USA",Controls_Raw!G1415="UK"),"Standardize","OK")</f>
        <v>OK</v>
      </c>
      <c r="F1415" t="str">
        <f>IF(Controls_Raw!E1415&lt;&gt;TRIM(Controls_Raw!E1415),"Trim","OK")</f>
        <v>OK</v>
      </c>
      <c r="G1415" t="str">
        <f>IF(AND(Controls_Raw!L1415&lt;DATE(2026,9,30),Controls_Raw!M1415&lt;&gt;"Completed"),"Overdue","OK")</f>
        <v>OK</v>
      </c>
      <c r="H1415" t="str">
        <f>IF(AND(Controls_Raw!Q1415&lt;DATE(2026,9,30),Controls_Raw!R1415&lt;&gt;"Completed",Controls_Raw!R1415&lt;&gt;"Not Required"),"Overdue","OK")</f>
        <v>Overdue</v>
      </c>
      <c r="I1415" t="str">
        <f t="shared" si="22"/>
        <v>Issue</v>
      </c>
    </row>
    <row r="1416" spans="1:9" x14ac:dyDescent="0.2">
      <c r="A1416" t="str">
        <f>Controls_Raw!A1416</f>
        <v>CTRL-1412</v>
      </c>
      <c r="B1416" t="str">
        <f>IF(COUNTIF(Controls_Raw!$A$5:$A$1504,A1416)&gt;1,"Duplicate","OK")</f>
        <v>OK</v>
      </c>
      <c r="C1416" t="str">
        <f>IF(LEN(TRIM(Controls_Raw!I1416))=0,"Missing","OK")</f>
        <v>OK</v>
      </c>
      <c r="D1416" t="str">
        <f>IF(LEN(TRIM(Controls_Raw!N1416))=0,"Missing","OK")</f>
        <v>Missing</v>
      </c>
      <c r="E1416" t="str">
        <f>IF(OR(Controls_Raw!G1416="USA",Controls_Raw!G1416="UK"),"Standardize","OK")</f>
        <v>OK</v>
      </c>
      <c r="F1416" t="str">
        <f>IF(Controls_Raw!E1416&lt;&gt;TRIM(Controls_Raw!E1416),"Trim","OK")</f>
        <v>OK</v>
      </c>
      <c r="G1416" t="str">
        <f>IF(AND(Controls_Raw!L1416&lt;DATE(2026,9,30),Controls_Raw!M1416&lt;&gt;"Completed"),"Overdue","OK")</f>
        <v>Overdue</v>
      </c>
      <c r="H1416" t="str">
        <f>IF(AND(Controls_Raw!Q1416&lt;DATE(2026,9,30),Controls_Raw!R1416&lt;&gt;"Completed",Controls_Raw!R1416&lt;&gt;"Not Required"),"Overdue","OK")</f>
        <v>OK</v>
      </c>
      <c r="I1416" t="str">
        <f t="shared" si="22"/>
        <v>Issue</v>
      </c>
    </row>
    <row r="1417" spans="1:9" x14ac:dyDescent="0.2">
      <c r="A1417" t="str">
        <f>Controls_Raw!A1417</f>
        <v>CTRL-1413</v>
      </c>
      <c r="B1417" t="str">
        <f>IF(COUNTIF(Controls_Raw!$A$5:$A$1504,A1417)&gt;1,"Duplicate","OK")</f>
        <v>OK</v>
      </c>
      <c r="C1417" t="str">
        <f>IF(LEN(TRIM(Controls_Raw!I1417))=0,"Missing","OK")</f>
        <v>OK</v>
      </c>
      <c r="D1417" t="str">
        <f>IF(LEN(TRIM(Controls_Raw!N1417))=0,"Missing","OK")</f>
        <v>OK</v>
      </c>
      <c r="E1417" t="str">
        <f>IF(OR(Controls_Raw!G1417="USA",Controls_Raw!G1417="UK"),"Standardize","OK")</f>
        <v>OK</v>
      </c>
      <c r="F1417" t="str">
        <f>IF(Controls_Raw!E1417&lt;&gt;TRIM(Controls_Raw!E1417),"Trim","OK")</f>
        <v>OK</v>
      </c>
      <c r="G1417" t="str">
        <f>IF(AND(Controls_Raw!L1417&lt;DATE(2026,9,30),Controls_Raw!M1417&lt;&gt;"Completed"),"Overdue","OK")</f>
        <v>Overdue</v>
      </c>
      <c r="H1417" t="str">
        <f>IF(AND(Controls_Raw!Q1417&lt;DATE(2026,9,30),Controls_Raw!R1417&lt;&gt;"Completed",Controls_Raw!R1417&lt;&gt;"Not Required"),"Overdue","OK")</f>
        <v>OK</v>
      </c>
      <c r="I1417" t="str">
        <f t="shared" si="22"/>
        <v>Issue</v>
      </c>
    </row>
    <row r="1418" spans="1:9" x14ac:dyDescent="0.2">
      <c r="A1418" t="str">
        <f>Controls_Raw!A1418</f>
        <v>CTRL-1414</v>
      </c>
      <c r="B1418" t="str">
        <f>IF(COUNTIF(Controls_Raw!$A$5:$A$1504,A1418)&gt;1,"Duplicate","OK")</f>
        <v>OK</v>
      </c>
      <c r="C1418" t="str">
        <f>IF(LEN(TRIM(Controls_Raw!I1418))=0,"Missing","OK")</f>
        <v>OK</v>
      </c>
      <c r="D1418" t="str">
        <f>IF(LEN(TRIM(Controls_Raw!N1418))=0,"Missing","OK")</f>
        <v>OK</v>
      </c>
      <c r="E1418" t="str">
        <f>IF(OR(Controls_Raw!G1418="USA",Controls_Raw!G1418="UK"),"Standardize","OK")</f>
        <v>OK</v>
      </c>
      <c r="F1418" t="str">
        <f>IF(Controls_Raw!E1418&lt;&gt;TRIM(Controls_Raw!E1418),"Trim","OK")</f>
        <v>OK</v>
      </c>
      <c r="G1418" t="str">
        <f>IF(AND(Controls_Raw!L1418&lt;DATE(2026,9,30),Controls_Raw!M1418&lt;&gt;"Completed"),"Overdue","OK")</f>
        <v>Overdue</v>
      </c>
      <c r="H1418" t="str">
        <f>IF(AND(Controls_Raw!Q1418&lt;DATE(2026,9,30),Controls_Raw!R1418&lt;&gt;"Completed",Controls_Raw!R1418&lt;&gt;"Not Required"),"Overdue","OK")</f>
        <v>OK</v>
      </c>
      <c r="I1418" t="str">
        <f t="shared" si="22"/>
        <v>Issue</v>
      </c>
    </row>
    <row r="1419" spans="1:9" x14ac:dyDescent="0.2">
      <c r="A1419" t="str">
        <f>Controls_Raw!A1419</f>
        <v>CTRL-1415</v>
      </c>
      <c r="B1419" t="str">
        <f>IF(COUNTIF(Controls_Raw!$A$5:$A$1504,A1419)&gt;1,"Duplicate","OK")</f>
        <v>OK</v>
      </c>
      <c r="C1419" t="str">
        <f>IF(LEN(TRIM(Controls_Raw!I1419))=0,"Missing","OK")</f>
        <v>OK</v>
      </c>
      <c r="D1419" t="str">
        <f>IF(LEN(TRIM(Controls_Raw!N1419))=0,"Missing","OK")</f>
        <v>OK</v>
      </c>
      <c r="E1419" t="str">
        <f>IF(OR(Controls_Raw!G1419="USA",Controls_Raw!G1419="UK"),"Standardize","OK")</f>
        <v>OK</v>
      </c>
      <c r="F1419" t="str">
        <f>IF(Controls_Raw!E1419&lt;&gt;TRIM(Controls_Raw!E1419),"Trim","OK")</f>
        <v>OK</v>
      </c>
      <c r="G1419" t="str">
        <f>IF(AND(Controls_Raw!L1419&lt;DATE(2026,9,30),Controls_Raw!M1419&lt;&gt;"Completed"),"Overdue","OK")</f>
        <v>Overdue</v>
      </c>
      <c r="H1419" t="str">
        <f>IF(AND(Controls_Raw!Q1419&lt;DATE(2026,9,30),Controls_Raw!R1419&lt;&gt;"Completed",Controls_Raw!R1419&lt;&gt;"Not Required"),"Overdue","OK")</f>
        <v>OK</v>
      </c>
      <c r="I1419" t="str">
        <f t="shared" si="22"/>
        <v>Issue</v>
      </c>
    </row>
    <row r="1420" spans="1:9" x14ac:dyDescent="0.2">
      <c r="A1420" t="str">
        <f>Controls_Raw!A1420</f>
        <v>CTRL-1416</v>
      </c>
      <c r="B1420" t="str">
        <f>IF(COUNTIF(Controls_Raw!$A$5:$A$1504,A1420)&gt;1,"Duplicate","OK")</f>
        <v>OK</v>
      </c>
      <c r="C1420" t="str">
        <f>IF(LEN(TRIM(Controls_Raw!I1420))=0,"Missing","OK")</f>
        <v>OK</v>
      </c>
      <c r="D1420" t="str">
        <f>IF(LEN(TRIM(Controls_Raw!N1420))=0,"Missing","OK")</f>
        <v>OK</v>
      </c>
      <c r="E1420" t="str">
        <f>IF(OR(Controls_Raw!G1420="USA",Controls_Raw!G1420="UK"),"Standardize","OK")</f>
        <v>OK</v>
      </c>
      <c r="F1420" t="str">
        <f>IF(Controls_Raw!E1420&lt;&gt;TRIM(Controls_Raw!E1420),"Trim","OK")</f>
        <v>OK</v>
      </c>
      <c r="G1420" t="str">
        <f>IF(AND(Controls_Raw!L1420&lt;DATE(2026,9,30),Controls_Raw!M1420&lt;&gt;"Completed"),"Overdue","OK")</f>
        <v>Overdue</v>
      </c>
      <c r="H1420" t="str">
        <f>IF(AND(Controls_Raw!Q1420&lt;DATE(2026,9,30),Controls_Raw!R1420&lt;&gt;"Completed",Controls_Raw!R1420&lt;&gt;"Not Required"),"Overdue","OK")</f>
        <v>Overdue</v>
      </c>
      <c r="I1420" t="str">
        <f t="shared" si="22"/>
        <v>Issue</v>
      </c>
    </row>
    <row r="1421" spans="1:9" x14ac:dyDescent="0.2">
      <c r="A1421" t="str">
        <f>Controls_Raw!A1421</f>
        <v>CTRL-1417</v>
      </c>
      <c r="B1421" t="str">
        <f>IF(COUNTIF(Controls_Raw!$A$5:$A$1504,A1421)&gt;1,"Duplicate","OK")</f>
        <v>OK</v>
      </c>
      <c r="C1421" t="str">
        <f>IF(LEN(TRIM(Controls_Raw!I1421))=0,"Missing","OK")</f>
        <v>OK</v>
      </c>
      <c r="D1421" t="str">
        <f>IF(LEN(TRIM(Controls_Raw!N1421))=0,"Missing","OK")</f>
        <v>OK</v>
      </c>
      <c r="E1421" t="str">
        <f>IF(OR(Controls_Raw!G1421="USA",Controls_Raw!G1421="UK"),"Standardize","OK")</f>
        <v>OK</v>
      </c>
      <c r="F1421" t="str">
        <f>IF(Controls_Raw!E1421&lt;&gt;TRIM(Controls_Raw!E1421),"Trim","OK")</f>
        <v>OK</v>
      </c>
      <c r="G1421" t="str">
        <f>IF(AND(Controls_Raw!L1421&lt;DATE(2026,9,30),Controls_Raw!M1421&lt;&gt;"Completed"),"Overdue","OK")</f>
        <v>OK</v>
      </c>
      <c r="H1421" t="str">
        <f>IF(AND(Controls_Raw!Q1421&lt;DATE(2026,9,30),Controls_Raw!R1421&lt;&gt;"Completed",Controls_Raw!R1421&lt;&gt;"Not Required"),"Overdue","OK")</f>
        <v>Overdue</v>
      </c>
      <c r="I1421" t="str">
        <f t="shared" si="22"/>
        <v>Issue</v>
      </c>
    </row>
    <row r="1422" spans="1:9" x14ac:dyDescent="0.2">
      <c r="A1422" t="str">
        <f>Controls_Raw!A1422</f>
        <v>CTRL-1418</v>
      </c>
      <c r="B1422" t="str">
        <f>IF(COUNTIF(Controls_Raw!$A$5:$A$1504,A1422)&gt;1,"Duplicate","OK")</f>
        <v>OK</v>
      </c>
      <c r="C1422" t="str">
        <f>IF(LEN(TRIM(Controls_Raw!I1422))=0,"Missing","OK")</f>
        <v>OK</v>
      </c>
      <c r="D1422" t="str">
        <f>IF(LEN(TRIM(Controls_Raw!N1422))=0,"Missing","OK")</f>
        <v>OK</v>
      </c>
      <c r="E1422" t="str">
        <f>IF(OR(Controls_Raw!G1422="USA",Controls_Raw!G1422="UK"),"Standardize","OK")</f>
        <v>OK</v>
      </c>
      <c r="F1422" t="str">
        <f>IF(Controls_Raw!E1422&lt;&gt;TRIM(Controls_Raw!E1422),"Trim","OK")</f>
        <v>OK</v>
      </c>
      <c r="G1422" t="str">
        <f>IF(AND(Controls_Raw!L1422&lt;DATE(2026,9,30),Controls_Raw!M1422&lt;&gt;"Completed"),"Overdue","OK")</f>
        <v>Overdue</v>
      </c>
      <c r="H1422" t="str">
        <f>IF(AND(Controls_Raw!Q1422&lt;DATE(2026,9,30),Controls_Raw!R1422&lt;&gt;"Completed",Controls_Raw!R1422&lt;&gt;"Not Required"),"Overdue","OK")</f>
        <v>OK</v>
      </c>
      <c r="I1422" t="str">
        <f t="shared" si="22"/>
        <v>Issue</v>
      </c>
    </row>
    <row r="1423" spans="1:9" x14ac:dyDescent="0.2">
      <c r="A1423" t="str">
        <f>Controls_Raw!A1423</f>
        <v>CTRL-1419</v>
      </c>
      <c r="B1423" t="str">
        <f>IF(COUNTIF(Controls_Raw!$A$5:$A$1504,A1423)&gt;1,"Duplicate","OK")</f>
        <v>OK</v>
      </c>
      <c r="C1423" t="str">
        <f>IF(LEN(TRIM(Controls_Raw!I1423))=0,"Missing","OK")</f>
        <v>OK</v>
      </c>
      <c r="D1423" t="str">
        <f>IF(LEN(TRIM(Controls_Raw!N1423))=0,"Missing","OK")</f>
        <v>OK</v>
      </c>
      <c r="E1423" t="str">
        <f>IF(OR(Controls_Raw!G1423="USA",Controls_Raw!G1423="UK"),"Standardize","OK")</f>
        <v>OK</v>
      </c>
      <c r="F1423" t="str">
        <f>IF(Controls_Raw!E1423&lt;&gt;TRIM(Controls_Raw!E1423),"Trim","OK")</f>
        <v>OK</v>
      </c>
      <c r="G1423" t="str">
        <f>IF(AND(Controls_Raw!L1423&lt;DATE(2026,9,30),Controls_Raw!M1423&lt;&gt;"Completed"),"Overdue","OK")</f>
        <v>Overdue</v>
      </c>
      <c r="H1423" t="str">
        <f>IF(AND(Controls_Raw!Q1423&lt;DATE(2026,9,30),Controls_Raw!R1423&lt;&gt;"Completed",Controls_Raw!R1423&lt;&gt;"Not Required"),"Overdue","OK")</f>
        <v>OK</v>
      </c>
      <c r="I1423" t="str">
        <f t="shared" si="22"/>
        <v>Issue</v>
      </c>
    </row>
    <row r="1424" spans="1:9" x14ac:dyDescent="0.2">
      <c r="A1424" t="str">
        <f>Controls_Raw!A1424</f>
        <v>CTRL-1420</v>
      </c>
      <c r="B1424" t="str">
        <f>IF(COUNTIF(Controls_Raw!$A$5:$A$1504,A1424)&gt;1,"Duplicate","OK")</f>
        <v>OK</v>
      </c>
      <c r="C1424" t="str">
        <f>IF(LEN(TRIM(Controls_Raw!I1424))=0,"Missing","OK")</f>
        <v>OK</v>
      </c>
      <c r="D1424" t="str">
        <f>IF(LEN(TRIM(Controls_Raw!N1424))=0,"Missing","OK")</f>
        <v>OK</v>
      </c>
      <c r="E1424" t="str">
        <f>IF(OR(Controls_Raw!G1424="USA",Controls_Raw!G1424="UK"),"Standardize","OK")</f>
        <v>OK</v>
      </c>
      <c r="F1424" t="str">
        <f>IF(Controls_Raw!E1424&lt;&gt;TRIM(Controls_Raw!E1424),"Trim","OK")</f>
        <v>OK</v>
      </c>
      <c r="G1424" t="str">
        <f>IF(AND(Controls_Raw!L1424&lt;DATE(2026,9,30),Controls_Raw!M1424&lt;&gt;"Completed"),"Overdue","OK")</f>
        <v>Overdue</v>
      </c>
      <c r="H1424" t="str">
        <f>IF(AND(Controls_Raw!Q1424&lt;DATE(2026,9,30),Controls_Raw!R1424&lt;&gt;"Completed",Controls_Raw!R1424&lt;&gt;"Not Required"),"Overdue","OK")</f>
        <v>OK</v>
      </c>
      <c r="I1424" t="str">
        <f t="shared" si="22"/>
        <v>Issue</v>
      </c>
    </row>
    <row r="1425" spans="1:9" x14ac:dyDescent="0.2">
      <c r="A1425" t="str">
        <f>Controls_Raw!A1425</f>
        <v>CTRL-1421</v>
      </c>
      <c r="B1425" t="str">
        <f>IF(COUNTIF(Controls_Raw!$A$5:$A$1504,A1425)&gt;1,"Duplicate","OK")</f>
        <v>OK</v>
      </c>
      <c r="C1425" t="str">
        <f>IF(LEN(TRIM(Controls_Raw!I1425))=0,"Missing","OK")</f>
        <v>OK</v>
      </c>
      <c r="D1425" t="str">
        <f>IF(LEN(TRIM(Controls_Raw!N1425))=0,"Missing","OK")</f>
        <v>OK</v>
      </c>
      <c r="E1425" t="str">
        <f>IF(OR(Controls_Raw!G1425="USA",Controls_Raw!G1425="UK"),"Standardize","OK")</f>
        <v>OK</v>
      </c>
      <c r="F1425" t="str">
        <f>IF(Controls_Raw!E1425&lt;&gt;TRIM(Controls_Raw!E1425),"Trim","OK")</f>
        <v>OK</v>
      </c>
      <c r="G1425" t="str">
        <f>IF(AND(Controls_Raw!L1425&lt;DATE(2026,9,30),Controls_Raw!M1425&lt;&gt;"Completed"),"Overdue","OK")</f>
        <v>OK</v>
      </c>
      <c r="H1425" t="str">
        <f>IF(AND(Controls_Raw!Q1425&lt;DATE(2026,9,30),Controls_Raw!R1425&lt;&gt;"Completed",Controls_Raw!R1425&lt;&gt;"Not Required"),"Overdue","OK")</f>
        <v>Overdue</v>
      </c>
      <c r="I1425" t="str">
        <f t="shared" si="22"/>
        <v>Issue</v>
      </c>
    </row>
    <row r="1426" spans="1:9" x14ac:dyDescent="0.2">
      <c r="A1426" t="str">
        <f>Controls_Raw!A1426</f>
        <v>CTRL-1422</v>
      </c>
      <c r="B1426" t="str">
        <f>IF(COUNTIF(Controls_Raw!$A$5:$A$1504,A1426)&gt;1,"Duplicate","OK")</f>
        <v>OK</v>
      </c>
      <c r="C1426" t="str">
        <f>IF(LEN(TRIM(Controls_Raw!I1426))=0,"Missing","OK")</f>
        <v>OK</v>
      </c>
      <c r="D1426" t="str">
        <f>IF(LEN(TRIM(Controls_Raw!N1426))=0,"Missing","OK")</f>
        <v>OK</v>
      </c>
      <c r="E1426" t="str">
        <f>IF(OR(Controls_Raw!G1426="USA",Controls_Raw!G1426="UK"),"Standardize","OK")</f>
        <v>OK</v>
      </c>
      <c r="F1426" t="str">
        <f>IF(Controls_Raw!E1426&lt;&gt;TRIM(Controls_Raw!E1426),"Trim","OK")</f>
        <v>OK</v>
      </c>
      <c r="G1426" t="str">
        <f>IF(AND(Controls_Raw!L1426&lt;DATE(2026,9,30),Controls_Raw!M1426&lt;&gt;"Completed"),"Overdue","OK")</f>
        <v>OK</v>
      </c>
      <c r="H1426" t="str">
        <f>IF(AND(Controls_Raw!Q1426&lt;DATE(2026,9,30),Controls_Raw!R1426&lt;&gt;"Completed",Controls_Raw!R1426&lt;&gt;"Not Required"),"Overdue","OK")</f>
        <v>OK</v>
      </c>
      <c r="I1426" t="str">
        <f t="shared" si="22"/>
        <v>Pass</v>
      </c>
    </row>
    <row r="1427" spans="1:9" x14ac:dyDescent="0.2">
      <c r="A1427" t="str">
        <f>Controls_Raw!A1427</f>
        <v>CTRL-1423</v>
      </c>
      <c r="B1427" t="str">
        <f>IF(COUNTIF(Controls_Raw!$A$5:$A$1504,A1427)&gt;1,"Duplicate","OK")</f>
        <v>OK</v>
      </c>
      <c r="C1427" t="str">
        <f>IF(LEN(TRIM(Controls_Raw!I1427))=0,"Missing","OK")</f>
        <v>OK</v>
      </c>
      <c r="D1427" t="str">
        <f>IF(LEN(TRIM(Controls_Raw!N1427))=0,"Missing","OK")</f>
        <v>OK</v>
      </c>
      <c r="E1427" t="str">
        <f>IF(OR(Controls_Raw!G1427="USA",Controls_Raw!G1427="UK"),"Standardize","OK")</f>
        <v>OK</v>
      </c>
      <c r="F1427" t="str">
        <f>IF(Controls_Raw!E1427&lt;&gt;TRIM(Controls_Raw!E1427),"Trim","OK")</f>
        <v>OK</v>
      </c>
      <c r="G1427" t="str">
        <f>IF(AND(Controls_Raw!L1427&lt;DATE(2026,9,30),Controls_Raw!M1427&lt;&gt;"Completed"),"Overdue","OK")</f>
        <v>Overdue</v>
      </c>
      <c r="H1427" t="str">
        <f>IF(AND(Controls_Raw!Q1427&lt;DATE(2026,9,30),Controls_Raw!R1427&lt;&gt;"Completed",Controls_Raw!R1427&lt;&gt;"Not Required"),"Overdue","OK")</f>
        <v>OK</v>
      </c>
      <c r="I1427" t="str">
        <f t="shared" si="22"/>
        <v>Issue</v>
      </c>
    </row>
    <row r="1428" spans="1:9" x14ac:dyDescent="0.2">
      <c r="A1428" t="str">
        <f>Controls_Raw!A1428</f>
        <v>CTRL-1424</v>
      </c>
      <c r="B1428" t="str">
        <f>IF(COUNTIF(Controls_Raw!$A$5:$A$1504,A1428)&gt;1,"Duplicate","OK")</f>
        <v>OK</v>
      </c>
      <c r="C1428" t="str">
        <f>IF(LEN(TRIM(Controls_Raw!I1428))=0,"Missing","OK")</f>
        <v>OK</v>
      </c>
      <c r="D1428" t="str">
        <f>IF(LEN(TRIM(Controls_Raw!N1428))=0,"Missing","OK")</f>
        <v>OK</v>
      </c>
      <c r="E1428" t="str">
        <f>IF(OR(Controls_Raw!G1428="USA",Controls_Raw!G1428="UK"),"Standardize","OK")</f>
        <v>OK</v>
      </c>
      <c r="F1428" t="str">
        <f>IF(Controls_Raw!E1428&lt;&gt;TRIM(Controls_Raw!E1428),"Trim","OK")</f>
        <v>OK</v>
      </c>
      <c r="G1428" t="str">
        <f>IF(AND(Controls_Raw!L1428&lt;DATE(2026,9,30),Controls_Raw!M1428&lt;&gt;"Completed"),"Overdue","OK")</f>
        <v>OK</v>
      </c>
      <c r="H1428" t="str">
        <f>IF(AND(Controls_Raw!Q1428&lt;DATE(2026,9,30),Controls_Raw!R1428&lt;&gt;"Completed",Controls_Raw!R1428&lt;&gt;"Not Required"),"Overdue","OK")</f>
        <v>OK</v>
      </c>
      <c r="I1428" t="str">
        <f t="shared" si="22"/>
        <v>Pass</v>
      </c>
    </row>
    <row r="1429" spans="1:9" x14ac:dyDescent="0.2">
      <c r="A1429" t="str">
        <f>Controls_Raw!A1429</f>
        <v>CTRL-1425</v>
      </c>
      <c r="B1429" t="str">
        <f>IF(COUNTIF(Controls_Raw!$A$5:$A$1504,A1429)&gt;1,"Duplicate","OK")</f>
        <v>OK</v>
      </c>
      <c r="C1429" t="str">
        <f>IF(LEN(TRIM(Controls_Raw!I1429))=0,"Missing","OK")</f>
        <v>OK</v>
      </c>
      <c r="D1429" t="str">
        <f>IF(LEN(TRIM(Controls_Raw!N1429))=0,"Missing","OK")</f>
        <v>OK</v>
      </c>
      <c r="E1429" t="str">
        <f>IF(OR(Controls_Raw!G1429="USA",Controls_Raw!G1429="UK"),"Standardize","OK")</f>
        <v>OK</v>
      </c>
      <c r="F1429" t="str">
        <f>IF(Controls_Raw!E1429&lt;&gt;TRIM(Controls_Raw!E1429),"Trim","OK")</f>
        <v>OK</v>
      </c>
      <c r="G1429" t="str">
        <f>IF(AND(Controls_Raw!L1429&lt;DATE(2026,9,30),Controls_Raw!M1429&lt;&gt;"Completed"),"Overdue","OK")</f>
        <v>OK</v>
      </c>
      <c r="H1429" t="str">
        <f>IF(AND(Controls_Raw!Q1429&lt;DATE(2026,9,30),Controls_Raw!R1429&lt;&gt;"Completed",Controls_Raw!R1429&lt;&gt;"Not Required"),"Overdue","OK")</f>
        <v>Overdue</v>
      </c>
      <c r="I1429" t="str">
        <f t="shared" si="22"/>
        <v>Issue</v>
      </c>
    </row>
    <row r="1430" spans="1:9" x14ac:dyDescent="0.2">
      <c r="A1430" t="str">
        <f>Controls_Raw!A1430</f>
        <v>CTRL-1426</v>
      </c>
      <c r="B1430" t="str">
        <f>IF(COUNTIF(Controls_Raw!$A$5:$A$1504,A1430)&gt;1,"Duplicate","OK")</f>
        <v>OK</v>
      </c>
      <c r="C1430" t="str">
        <f>IF(LEN(TRIM(Controls_Raw!I1430))=0,"Missing","OK")</f>
        <v>OK</v>
      </c>
      <c r="D1430" t="str">
        <f>IF(LEN(TRIM(Controls_Raw!N1430))=0,"Missing","OK")</f>
        <v>OK</v>
      </c>
      <c r="E1430" t="str">
        <f>IF(OR(Controls_Raw!G1430="USA",Controls_Raw!G1430="UK"),"Standardize","OK")</f>
        <v>OK</v>
      </c>
      <c r="F1430" t="str">
        <f>IF(Controls_Raw!E1430&lt;&gt;TRIM(Controls_Raw!E1430),"Trim","OK")</f>
        <v>OK</v>
      </c>
      <c r="G1430" t="str">
        <f>IF(AND(Controls_Raw!L1430&lt;DATE(2026,9,30),Controls_Raw!M1430&lt;&gt;"Completed"),"Overdue","OK")</f>
        <v>Overdue</v>
      </c>
      <c r="H1430" t="str">
        <f>IF(AND(Controls_Raw!Q1430&lt;DATE(2026,9,30),Controls_Raw!R1430&lt;&gt;"Completed",Controls_Raw!R1430&lt;&gt;"Not Required"),"Overdue","OK")</f>
        <v>OK</v>
      </c>
      <c r="I1430" t="str">
        <f t="shared" si="22"/>
        <v>Issue</v>
      </c>
    </row>
    <row r="1431" spans="1:9" x14ac:dyDescent="0.2">
      <c r="A1431" t="str">
        <f>Controls_Raw!A1431</f>
        <v>CTRL-1427</v>
      </c>
      <c r="B1431" t="str">
        <f>IF(COUNTIF(Controls_Raw!$A$5:$A$1504,A1431)&gt;1,"Duplicate","OK")</f>
        <v>OK</v>
      </c>
      <c r="C1431" t="str">
        <f>IF(LEN(TRIM(Controls_Raw!I1431))=0,"Missing","OK")</f>
        <v>OK</v>
      </c>
      <c r="D1431" t="str">
        <f>IF(LEN(TRIM(Controls_Raw!N1431))=0,"Missing","OK")</f>
        <v>OK</v>
      </c>
      <c r="E1431" t="str">
        <f>IF(OR(Controls_Raw!G1431="USA",Controls_Raw!G1431="UK"),"Standardize","OK")</f>
        <v>OK</v>
      </c>
      <c r="F1431" t="str">
        <f>IF(Controls_Raw!E1431&lt;&gt;TRIM(Controls_Raw!E1431),"Trim","OK")</f>
        <v>OK</v>
      </c>
      <c r="G1431" t="str">
        <f>IF(AND(Controls_Raw!L1431&lt;DATE(2026,9,30),Controls_Raw!M1431&lt;&gt;"Completed"),"Overdue","OK")</f>
        <v>OK</v>
      </c>
      <c r="H1431" t="str">
        <f>IF(AND(Controls_Raw!Q1431&lt;DATE(2026,9,30),Controls_Raw!R1431&lt;&gt;"Completed",Controls_Raw!R1431&lt;&gt;"Not Required"),"Overdue","OK")</f>
        <v>Overdue</v>
      </c>
      <c r="I1431" t="str">
        <f t="shared" si="22"/>
        <v>Issue</v>
      </c>
    </row>
    <row r="1432" spans="1:9" x14ac:dyDescent="0.2">
      <c r="A1432" t="str">
        <f>Controls_Raw!A1432</f>
        <v>CTRL-1428</v>
      </c>
      <c r="B1432" t="str">
        <f>IF(COUNTIF(Controls_Raw!$A$5:$A$1504,A1432)&gt;1,"Duplicate","OK")</f>
        <v>OK</v>
      </c>
      <c r="C1432" t="str">
        <f>IF(LEN(TRIM(Controls_Raw!I1432))=0,"Missing","OK")</f>
        <v>OK</v>
      </c>
      <c r="D1432" t="str">
        <f>IF(LEN(TRIM(Controls_Raw!N1432))=0,"Missing","OK")</f>
        <v>OK</v>
      </c>
      <c r="E1432" t="str">
        <f>IF(OR(Controls_Raw!G1432="USA",Controls_Raw!G1432="UK"),"Standardize","OK")</f>
        <v>OK</v>
      </c>
      <c r="F1432" t="str">
        <f>IF(Controls_Raw!E1432&lt;&gt;TRIM(Controls_Raw!E1432),"Trim","OK")</f>
        <v>OK</v>
      </c>
      <c r="G1432" t="str">
        <f>IF(AND(Controls_Raw!L1432&lt;DATE(2026,9,30),Controls_Raw!M1432&lt;&gt;"Completed"),"Overdue","OK")</f>
        <v>Overdue</v>
      </c>
      <c r="H1432" t="str">
        <f>IF(AND(Controls_Raw!Q1432&lt;DATE(2026,9,30),Controls_Raw!R1432&lt;&gt;"Completed",Controls_Raw!R1432&lt;&gt;"Not Required"),"Overdue","OK")</f>
        <v>Overdue</v>
      </c>
      <c r="I1432" t="str">
        <f t="shared" si="22"/>
        <v>Issue</v>
      </c>
    </row>
    <row r="1433" spans="1:9" x14ac:dyDescent="0.2">
      <c r="A1433" t="str">
        <f>Controls_Raw!A1433</f>
        <v>CTRL-1429</v>
      </c>
      <c r="B1433" t="str">
        <f>IF(COUNTIF(Controls_Raw!$A$5:$A$1504,A1433)&gt;1,"Duplicate","OK")</f>
        <v>OK</v>
      </c>
      <c r="C1433" t="str">
        <f>IF(LEN(TRIM(Controls_Raw!I1433))=0,"Missing","OK")</f>
        <v>OK</v>
      </c>
      <c r="D1433" t="str">
        <f>IF(LEN(TRIM(Controls_Raw!N1433))=0,"Missing","OK")</f>
        <v>OK</v>
      </c>
      <c r="E1433" t="str">
        <f>IF(OR(Controls_Raw!G1433="USA",Controls_Raw!G1433="UK"),"Standardize","OK")</f>
        <v>OK</v>
      </c>
      <c r="F1433" t="str">
        <f>IF(Controls_Raw!E1433&lt;&gt;TRIM(Controls_Raw!E1433),"Trim","OK")</f>
        <v>OK</v>
      </c>
      <c r="G1433" t="str">
        <f>IF(AND(Controls_Raw!L1433&lt;DATE(2026,9,30),Controls_Raw!M1433&lt;&gt;"Completed"),"Overdue","OK")</f>
        <v>Overdue</v>
      </c>
      <c r="H1433" t="str">
        <f>IF(AND(Controls_Raw!Q1433&lt;DATE(2026,9,30),Controls_Raw!R1433&lt;&gt;"Completed",Controls_Raw!R1433&lt;&gt;"Not Required"),"Overdue","OK")</f>
        <v>OK</v>
      </c>
      <c r="I1433" t="str">
        <f t="shared" si="22"/>
        <v>Issue</v>
      </c>
    </row>
    <row r="1434" spans="1:9" x14ac:dyDescent="0.2">
      <c r="A1434" t="str">
        <f>Controls_Raw!A1434</f>
        <v>CTRL-1430</v>
      </c>
      <c r="B1434" t="str">
        <f>IF(COUNTIF(Controls_Raw!$A$5:$A$1504,A1434)&gt;1,"Duplicate","OK")</f>
        <v>OK</v>
      </c>
      <c r="C1434" t="str">
        <f>IF(LEN(TRIM(Controls_Raw!I1434))=0,"Missing","OK")</f>
        <v>OK</v>
      </c>
      <c r="D1434" t="str">
        <f>IF(LEN(TRIM(Controls_Raw!N1434))=0,"Missing","OK")</f>
        <v>OK</v>
      </c>
      <c r="E1434" t="str">
        <f>IF(OR(Controls_Raw!G1434="USA",Controls_Raw!G1434="UK"),"Standardize","OK")</f>
        <v>OK</v>
      </c>
      <c r="F1434" t="str">
        <f>IF(Controls_Raw!E1434&lt;&gt;TRIM(Controls_Raw!E1434),"Trim","OK")</f>
        <v>OK</v>
      </c>
      <c r="G1434" t="str">
        <f>IF(AND(Controls_Raw!L1434&lt;DATE(2026,9,30),Controls_Raw!M1434&lt;&gt;"Completed"),"Overdue","OK")</f>
        <v>Overdue</v>
      </c>
      <c r="H1434" t="str">
        <f>IF(AND(Controls_Raw!Q1434&lt;DATE(2026,9,30),Controls_Raw!R1434&lt;&gt;"Completed",Controls_Raw!R1434&lt;&gt;"Not Required"),"Overdue","OK")</f>
        <v>OK</v>
      </c>
      <c r="I1434" t="str">
        <f t="shared" si="22"/>
        <v>Issue</v>
      </c>
    </row>
    <row r="1435" spans="1:9" x14ac:dyDescent="0.2">
      <c r="A1435" t="str">
        <f>Controls_Raw!A1435</f>
        <v>CTRL-1431</v>
      </c>
      <c r="B1435" t="str">
        <f>IF(COUNTIF(Controls_Raw!$A$5:$A$1504,A1435)&gt;1,"Duplicate","OK")</f>
        <v>OK</v>
      </c>
      <c r="C1435" t="str">
        <f>IF(LEN(TRIM(Controls_Raw!I1435))=0,"Missing","OK")</f>
        <v>OK</v>
      </c>
      <c r="D1435" t="str">
        <f>IF(LEN(TRIM(Controls_Raw!N1435))=0,"Missing","OK")</f>
        <v>OK</v>
      </c>
      <c r="E1435" t="str">
        <f>IF(OR(Controls_Raw!G1435="USA",Controls_Raw!G1435="UK"),"Standardize","OK")</f>
        <v>OK</v>
      </c>
      <c r="F1435" t="str">
        <f>IF(Controls_Raw!E1435&lt;&gt;TRIM(Controls_Raw!E1435),"Trim","OK")</f>
        <v>OK</v>
      </c>
      <c r="G1435" t="str">
        <f>IF(AND(Controls_Raw!L1435&lt;DATE(2026,9,30),Controls_Raw!M1435&lt;&gt;"Completed"),"Overdue","OK")</f>
        <v>Overdue</v>
      </c>
      <c r="H1435" t="str">
        <f>IF(AND(Controls_Raw!Q1435&lt;DATE(2026,9,30),Controls_Raw!R1435&lt;&gt;"Completed",Controls_Raw!R1435&lt;&gt;"Not Required"),"Overdue","OK")</f>
        <v>Overdue</v>
      </c>
      <c r="I1435" t="str">
        <f t="shared" si="22"/>
        <v>Issue</v>
      </c>
    </row>
    <row r="1436" spans="1:9" x14ac:dyDescent="0.2">
      <c r="A1436" t="str">
        <f>Controls_Raw!A1436</f>
        <v>CTRL-1432</v>
      </c>
      <c r="B1436" t="str">
        <f>IF(COUNTIF(Controls_Raw!$A$5:$A$1504,A1436)&gt;1,"Duplicate","OK")</f>
        <v>OK</v>
      </c>
      <c r="C1436" t="str">
        <f>IF(LEN(TRIM(Controls_Raw!I1436))=0,"Missing","OK")</f>
        <v>OK</v>
      </c>
      <c r="D1436" t="str">
        <f>IF(LEN(TRIM(Controls_Raw!N1436))=0,"Missing","OK")</f>
        <v>OK</v>
      </c>
      <c r="E1436" t="str">
        <f>IF(OR(Controls_Raw!G1436="USA",Controls_Raw!G1436="UK"),"Standardize","OK")</f>
        <v>OK</v>
      </c>
      <c r="F1436" t="str">
        <f>IF(Controls_Raw!E1436&lt;&gt;TRIM(Controls_Raw!E1436),"Trim","OK")</f>
        <v>OK</v>
      </c>
      <c r="G1436" t="str">
        <f>IF(AND(Controls_Raw!L1436&lt;DATE(2026,9,30),Controls_Raw!M1436&lt;&gt;"Completed"),"Overdue","OK")</f>
        <v>Overdue</v>
      </c>
      <c r="H1436" t="str">
        <f>IF(AND(Controls_Raw!Q1436&lt;DATE(2026,9,30),Controls_Raw!R1436&lt;&gt;"Completed",Controls_Raw!R1436&lt;&gt;"Not Required"),"Overdue","OK")</f>
        <v>OK</v>
      </c>
      <c r="I1436" t="str">
        <f t="shared" si="22"/>
        <v>Issue</v>
      </c>
    </row>
    <row r="1437" spans="1:9" x14ac:dyDescent="0.2">
      <c r="A1437" t="str">
        <f>Controls_Raw!A1437</f>
        <v>CTRL-1433</v>
      </c>
      <c r="B1437" t="str">
        <f>IF(COUNTIF(Controls_Raw!$A$5:$A$1504,A1437)&gt;1,"Duplicate","OK")</f>
        <v>OK</v>
      </c>
      <c r="C1437" t="str">
        <f>IF(LEN(TRIM(Controls_Raw!I1437))=0,"Missing","OK")</f>
        <v>OK</v>
      </c>
      <c r="D1437" t="str">
        <f>IF(LEN(TRIM(Controls_Raw!N1437))=0,"Missing","OK")</f>
        <v>OK</v>
      </c>
      <c r="E1437" t="str">
        <f>IF(OR(Controls_Raw!G1437="USA",Controls_Raw!G1437="UK"),"Standardize","OK")</f>
        <v>OK</v>
      </c>
      <c r="F1437" t="str">
        <f>IF(Controls_Raw!E1437&lt;&gt;TRIM(Controls_Raw!E1437),"Trim","OK")</f>
        <v>OK</v>
      </c>
      <c r="G1437" t="str">
        <f>IF(AND(Controls_Raw!L1437&lt;DATE(2026,9,30),Controls_Raw!M1437&lt;&gt;"Completed"),"Overdue","OK")</f>
        <v>Overdue</v>
      </c>
      <c r="H1437" t="str">
        <f>IF(AND(Controls_Raw!Q1437&lt;DATE(2026,9,30),Controls_Raw!R1437&lt;&gt;"Completed",Controls_Raw!R1437&lt;&gt;"Not Required"),"Overdue","OK")</f>
        <v>OK</v>
      </c>
      <c r="I1437" t="str">
        <f t="shared" si="22"/>
        <v>Issue</v>
      </c>
    </row>
    <row r="1438" spans="1:9" x14ac:dyDescent="0.2">
      <c r="A1438" t="str">
        <f>Controls_Raw!A1438</f>
        <v>CTRL-1434</v>
      </c>
      <c r="B1438" t="str">
        <f>IF(COUNTIF(Controls_Raw!$A$5:$A$1504,A1438)&gt;1,"Duplicate","OK")</f>
        <v>OK</v>
      </c>
      <c r="C1438" t="str">
        <f>IF(LEN(TRIM(Controls_Raw!I1438))=0,"Missing","OK")</f>
        <v>OK</v>
      </c>
      <c r="D1438" t="str">
        <f>IF(LEN(TRIM(Controls_Raw!N1438))=0,"Missing","OK")</f>
        <v>OK</v>
      </c>
      <c r="E1438" t="str">
        <f>IF(OR(Controls_Raw!G1438="USA",Controls_Raw!G1438="UK"),"Standardize","OK")</f>
        <v>OK</v>
      </c>
      <c r="F1438" t="str">
        <f>IF(Controls_Raw!E1438&lt;&gt;TRIM(Controls_Raw!E1438),"Trim","OK")</f>
        <v>OK</v>
      </c>
      <c r="G1438" t="str">
        <f>IF(AND(Controls_Raw!L1438&lt;DATE(2026,9,30),Controls_Raw!M1438&lt;&gt;"Completed"),"Overdue","OK")</f>
        <v>OK</v>
      </c>
      <c r="H1438" t="str">
        <f>IF(AND(Controls_Raw!Q1438&lt;DATE(2026,9,30),Controls_Raw!R1438&lt;&gt;"Completed",Controls_Raw!R1438&lt;&gt;"Not Required"),"Overdue","OK")</f>
        <v>Overdue</v>
      </c>
      <c r="I1438" t="str">
        <f t="shared" si="22"/>
        <v>Issue</v>
      </c>
    </row>
    <row r="1439" spans="1:9" x14ac:dyDescent="0.2">
      <c r="A1439" t="str">
        <f>Controls_Raw!A1439</f>
        <v>CTRL-1435</v>
      </c>
      <c r="B1439" t="str">
        <f>IF(COUNTIF(Controls_Raw!$A$5:$A$1504,A1439)&gt;1,"Duplicate","OK")</f>
        <v>OK</v>
      </c>
      <c r="C1439" t="str">
        <f>IF(LEN(TRIM(Controls_Raw!I1439))=0,"Missing","OK")</f>
        <v>OK</v>
      </c>
      <c r="D1439" t="str">
        <f>IF(LEN(TRIM(Controls_Raw!N1439))=0,"Missing","OK")</f>
        <v>OK</v>
      </c>
      <c r="E1439" t="str">
        <f>IF(OR(Controls_Raw!G1439="USA",Controls_Raw!G1439="UK"),"Standardize","OK")</f>
        <v>OK</v>
      </c>
      <c r="F1439" t="str">
        <f>IF(Controls_Raw!E1439&lt;&gt;TRIM(Controls_Raw!E1439),"Trim","OK")</f>
        <v>OK</v>
      </c>
      <c r="G1439" t="str">
        <f>IF(AND(Controls_Raw!L1439&lt;DATE(2026,9,30),Controls_Raw!M1439&lt;&gt;"Completed"),"Overdue","OK")</f>
        <v>Overdue</v>
      </c>
      <c r="H1439" t="str">
        <f>IF(AND(Controls_Raw!Q1439&lt;DATE(2026,9,30),Controls_Raw!R1439&lt;&gt;"Completed",Controls_Raw!R1439&lt;&gt;"Not Required"),"Overdue","OK")</f>
        <v>OK</v>
      </c>
      <c r="I1439" t="str">
        <f t="shared" si="22"/>
        <v>Issue</v>
      </c>
    </row>
    <row r="1440" spans="1:9" x14ac:dyDescent="0.2">
      <c r="A1440" t="str">
        <f>Controls_Raw!A1440</f>
        <v>CTRL-1436</v>
      </c>
      <c r="B1440" t="str">
        <f>IF(COUNTIF(Controls_Raw!$A$5:$A$1504,A1440)&gt;1,"Duplicate","OK")</f>
        <v>OK</v>
      </c>
      <c r="C1440" t="str">
        <f>IF(LEN(TRIM(Controls_Raw!I1440))=0,"Missing","OK")</f>
        <v>OK</v>
      </c>
      <c r="D1440" t="str">
        <f>IF(LEN(TRIM(Controls_Raw!N1440))=0,"Missing","OK")</f>
        <v>OK</v>
      </c>
      <c r="E1440" t="str">
        <f>IF(OR(Controls_Raw!G1440="USA",Controls_Raw!G1440="UK"),"Standardize","OK")</f>
        <v>Standardize</v>
      </c>
      <c r="F1440" t="str">
        <f>IF(Controls_Raw!E1440&lt;&gt;TRIM(Controls_Raw!E1440),"Trim","OK")</f>
        <v>OK</v>
      </c>
      <c r="G1440" t="str">
        <f>IF(AND(Controls_Raw!L1440&lt;DATE(2026,9,30),Controls_Raw!M1440&lt;&gt;"Completed"),"Overdue","OK")</f>
        <v>Overdue</v>
      </c>
      <c r="H1440" t="str">
        <f>IF(AND(Controls_Raw!Q1440&lt;DATE(2026,9,30),Controls_Raw!R1440&lt;&gt;"Completed",Controls_Raw!R1440&lt;&gt;"Not Required"),"Overdue","OK")</f>
        <v>OK</v>
      </c>
      <c r="I1440" t="str">
        <f t="shared" si="22"/>
        <v>Issue</v>
      </c>
    </row>
    <row r="1441" spans="1:9" x14ac:dyDescent="0.2">
      <c r="A1441" t="str">
        <f>Controls_Raw!A1441</f>
        <v>CTRL-1437</v>
      </c>
      <c r="B1441" t="str">
        <f>IF(COUNTIF(Controls_Raw!$A$5:$A$1504,A1441)&gt;1,"Duplicate","OK")</f>
        <v>OK</v>
      </c>
      <c r="C1441" t="str">
        <f>IF(LEN(TRIM(Controls_Raw!I1441))=0,"Missing","OK")</f>
        <v>OK</v>
      </c>
      <c r="D1441" t="str">
        <f>IF(LEN(TRIM(Controls_Raw!N1441))=0,"Missing","OK")</f>
        <v>OK</v>
      </c>
      <c r="E1441" t="str">
        <f>IF(OR(Controls_Raw!G1441="USA",Controls_Raw!G1441="UK"),"Standardize","OK")</f>
        <v>OK</v>
      </c>
      <c r="F1441" t="str">
        <f>IF(Controls_Raw!E1441&lt;&gt;TRIM(Controls_Raw!E1441),"Trim","OK")</f>
        <v>OK</v>
      </c>
      <c r="G1441" t="str">
        <f>IF(AND(Controls_Raw!L1441&lt;DATE(2026,9,30),Controls_Raw!M1441&lt;&gt;"Completed"),"Overdue","OK")</f>
        <v>OK</v>
      </c>
      <c r="H1441" t="str">
        <f>IF(AND(Controls_Raw!Q1441&lt;DATE(2026,9,30),Controls_Raw!R1441&lt;&gt;"Completed",Controls_Raw!R1441&lt;&gt;"Not Required"),"Overdue","OK")</f>
        <v>OK</v>
      </c>
      <c r="I1441" t="str">
        <f t="shared" si="22"/>
        <v>Pass</v>
      </c>
    </row>
    <row r="1442" spans="1:9" x14ac:dyDescent="0.2">
      <c r="A1442" t="str">
        <f>Controls_Raw!A1442</f>
        <v>CTRL-1438</v>
      </c>
      <c r="B1442" t="str">
        <f>IF(COUNTIF(Controls_Raw!$A$5:$A$1504,A1442)&gt;1,"Duplicate","OK")</f>
        <v>OK</v>
      </c>
      <c r="C1442" t="str">
        <f>IF(LEN(TRIM(Controls_Raw!I1442))=0,"Missing","OK")</f>
        <v>OK</v>
      </c>
      <c r="D1442" t="str">
        <f>IF(LEN(TRIM(Controls_Raw!N1442))=0,"Missing","OK")</f>
        <v>OK</v>
      </c>
      <c r="E1442" t="str">
        <f>IF(OR(Controls_Raw!G1442="USA",Controls_Raw!G1442="UK"),"Standardize","OK")</f>
        <v>OK</v>
      </c>
      <c r="F1442" t="str">
        <f>IF(Controls_Raw!E1442&lt;&gt;TRIM(Controls_Raw!E1442),"Trim","OK")</f>
        <v>OK</v>
      </c>
      <c r="G1442" t="str">
        <f>IF(AND(Controls_Raw!L1442&lt;DATE(2026,9,30),Controls_Raw!M1442&lt;&gt;"Completed"),"Overdue","OK")</f>
        <v>Overdue</v>
      </c>
      <c r="H1442" t="str">
        <f>IF(AND(Controls_Raw!Q1442&lt;DATE(2026,9,30),Controls_Raw!R1442&lt;&gt;"Completed",Controls_Raw!R1442&lt;&gt;"Not Required"),"Overdue","OK")</f>
        <v>OK</v>
      </c>
      <c r="I1442" t="str">
        <f t="shared" si="22"/>
        <v>Issue</v>
      </c>
    </row>
    <row r="1443" spans="1:9" x14ac:dyDescent="0.2">
      <c r="A1443" t="str">
        <f>Controls_Raw!A1443</f>
        <v>CTRL-1439</v>
      </c>
      <c r="B1443" t="str">
        <f>IF(COUNTIF(Controls_Raw!$A$5:$A$1504,A1443)&gt;1,"Duplicate","OK")</f>
        <v>OK</v>
      </c>
      <c r="C1443" t="str">
        <f>IF(LEN(TRIM(Controls_Raw!I1443))=0,"Missing","OK")</f>
        <v>OK</v>
      </c>
      <c r="D1443" t="str">
        <f>IF(LEN(TRIM(Controls_Raw!N1443))=0,"Missing","OK")</f>
        <v>OK</v>
      </c>
      <c r="E1443" t="str">
        <f>IF(OR(Controls_Raw!G1443="USA",Controls_Raw!G1443="UK"),"Standardize","OK")</f>
        <v>OK</v>
      </c>
      <c r="F1443" t="str">
        <f>IF(Controls_Raw!E1443&lt;&gt;TRIM(Controls_Raw!E1443),"Trim","OK")</f>
        <v>OK</v>
      </c>
      <c r="G1443" t="str">
        <f>IF(AND(Controls_Raw!L1443&lt;DATE(2026,9,30),Controls_Raw!M1443&lt;&gt;"Completed"),"Overdue","OK")</f>
        <v>OK</v>
      </c>
      <c r="H1443" t="str">
        <f>IF(AND(Controls_Raw!Q1443&lt;DATE(2026,9,30),Controls_Raw!R1443&lt;&gt;"Completed",Controls_Raw!R1443&lt;&gt;"Not Required"),"Overdue","OK")</f>
        <v>OK</v>
      </c>
      <c r="I1443" t="str">
        <f t="shared" si="22"/>
        <v>Pass</v>
      </c>
    </row>
    <row r="1444" spans="1:9" x14ac:dyDescent="0.2">
      <c r="A1444" t="str">
        <f>Controls_Raw!A1444</f>
        <v>CTRL-1440</v>
      </c>
      <c r="B1444" t="str">
        <f>IF(COUNTIF(Controls_Raw!$A$5:$A$1504,A1444)&gt;1,"Duplicate","OK")</f>
        <v>OK</v>
      </c>
      <c r="C1444" t="str">
        <f>IF(LEN(TRIM(Controls_Raw!I1444))=0,"Missing","OK")</f>
        <v>OK</v>
      </c>
      <c r="D1444" t="str">
        <f>IF(LEN(TRIM(Controls_Raw!N1444))=0,"Missing","OK")</f>
        <v>OK</v>
      </c>
      <c r="E1444" t="str">
        <f>IF(OR(Controls_Raw!G1444="USA",Controls_Raw!G1444="UK"),"Standardize","OK")</f>
        <v>OK</v>
      </c>
      <c r="F1444" t="str">
        <f>IF(Controls_Raw!E1444&lt;&gt;TRIM(Controls_Raw!E1444),"Trim","OK")</f>
        <v>OK</v>
      </c>
      <c r="G1444" t="str">
        <f>IF(AND(Controls_Raw!L1444&lt;DATE(2026,9,30),Controls_Raw!M1444&lt;&gt;"Completed"),"Overdue","OK")</f>
        <v>Overdue</v>
      </c>
      <c r="H1444" t="str">
        <f>IF(AND(Controls_Raw!Q1444&lt;DATE(2026,9,30),Controls_Raw!R1444&lt;&gt;"Completed",Controls_Raw!R1444&lt;&gt;"Not Required"),"Overdue","OK")</f>
        <v>OK</v>
      </c>
      <c r="I1444" t="str">
        <f t="shared" si="22"/>
        <v>Issue</v>
      </c>
    </row>
    <row r="1445" spans="1:9" x14ac:dyDescent="0.2">
      <c r="A1445" t="str">
        <f>Controls_Raw!A1445</f>
        <v>CTRL-1441</v>
      </c>
      <c r="B1445" t="str">
        <f>IF(COUNTIF(Controls_Raw!$A$5:$A$1504,A1445)&gt;1,"Duplicate","OK")</f>
        <v>OK</v>
      </c>
      <c r="C1445" t="str">
        <f>IF(LEN(TRIM(Controls_Raw!I1445))=0,"Missing","OK")</f>
        <v>OK</v>
      </c>
      <c r="D1445" t="str">
        <f>IF(LEN(TRIM(Controls_Raw!N1445))=0,"Missing","OK")</f>
        <v>OK</v>
      </c>
      <c r="E1445" t="str">
        <f>IF(OR(Controls_Raw!G1445="USA",Controls_Raw!G1445="UK"),"Standardize","OK")</f>
        <v>OK</v>
      </c>
      <c r="F1445" t="str">
        <f>IF(Controls_Raw!E1445&lt;&gt;TRIM(Controls_Raw!E1445),"Trim","OK")</f>
        <v>OK</v>
      </c>
      <c r="G1445" t="str">
        <f>IF(AND(Controls_Raw!L1445&lt;DATE(2026,9,30),Controls_Raw!M1445&lt;&gt;"Completed"),"Overdue","OK")</f>
        <v>OK</v>
      </c>
      <c r="H1445" t="str">
        <f>IF(AND(Controls_Raw!Q1445&lt;DATE(2026,9,30),Controls_Raw!R1445&lt;&gt;"Completed",Controls_Raw!R1445&lt;&gt;"Not Required"),"Overdue","OK")</f>
        <v>OK</v>
      </c>
      <c r="I1445" t="str">
        <f t="shared" si="22"/>
        <v>Pass</v>
      </c>
    </row>
    <row r="1446" spans="1:9" x14ac:dyDescent="0.2">
      <c r="A1446" t="str">
        <f>Controls_Raw!A1446</f>
        <v>CTRL-1442</v>
      </c>
      <c r="B1446" t="str">
        <f>IF(COUNTIF(Controls_Raw!$A$5:$A$1504,A1446)&gt;1,"Duplicate","OK")</f>
        <v>OK</v>
      </c>
      <c r="C1446" t="str">
        <f>IF(LEN(TRIM(Controls_Raw!I1446))=0,"Missing","OK")</f>
        <v>OK</v>
      </c>
      <c r="D1446" t="str">
        <f>IF(LEN(TRIM(Controls_Raw!N1446))=0,"Missing","OK")</f>
        <v>OK</v>
      </c>
      <c r="E1446" t="str">
        <f>IF(OR(Controls_Raw!G1446="USA",Controls_Raw!G1446="UK"),"Standardize","OK")</f>
        <v>OK</v>
      </c>
      <c r="F1446" t="str">
        <f>IF(Controls_Raw!E1446&lt;&gt;TRIM(Controls_Raw!E1446),"Trim","OK")</f>
        <v>OK</v>
      </c>
      <c r="G1446" t="str">
        <f>IF(AND(Controls_Raw!L1446&lt;DATE(2026,9,30),Controls_Raw!M1446&lt;&gt;"Completed"),"Overdue","OK")</f>
        <v>Overdue</v>
      </c>
      <c r="H1446" t="str">
        <f>IF(AND(Controls_Raw!Q1446&lt;DATE(2026,9,30),Controls_Raw!R1446&lt;&gt;"Completed",Controls_Raw!R1446&lt;&gt;"Not Required"),"Overdue","OK")</f>
        <v>OK</v>
      </c>
      <c r="I1446" t="str">
        <f t="shared" si="22"/>
        <v>Issue</v>
      </c>
    </row>
    <row r="1447" spans="1:9" x14ac:dyDescent="0.2">
      <c r="A1447" t="str">
        <f>Controls_Raw!A1447</f>
        <v>CTRL-1443</v>
      </c>
      <c r="B1447" t="str">
        <f>IF(COUNTIF(Controls_Raw!$A$5:$A$1504,A1447)&gt;1,"Duplicate","OK")</f>
        <v>OK</v>
      </c>
      <c r="C1447" t="str">
        <f>IF(LEN(TRIM(Controls_Raw!I1447))=0,"Missing","OK")</f>
        <v>OK</v>
      </c>
      <c r="D1447" t="str">
        <f>IF(LEN(TRIM(Controls_Raw!N1447))=0,"Missing","OK")</f>
        <v>OK</v>
      </c>
      <c r="E1447" t="str">
        <f>IF(OR(Controls_Raw!G1447="USA",Controls_Raw!G1447="UK"),"Standardize","OK")</f>
        <v>OK</v>
      </c>
      <c r="F1447" t="str">
        <f>IF(Controls_Raw!E1447&lt;&gt;TRIM(Controls_Raw!E1447),"Trim","OK")</f>
        <v>OK</v>
      </c>
      <c r="G1447" t="str">
        <f>IF(AND(Controls_Raw!L1447&lt;DATE(2026,9,30),Controls_Raw!M1447&lt;&gt;"Completed"),"Overdue","OK")</f>
        <v>OK</v>
      </c>
      <c r="H1447" t="str">
        <f>IF(AND(Controls_Raw!Q1447&lt;DATE(2026,9,30),Controls_Raw!R1447&lt;&gt;"Completed",Controls_Raw!R1447&lt;&gt;"Not Required"),"Overdue","OK")</f>
        <v>OK</v>
      </c>
      <c r="I1447" t="str">
        <f t="shared" si="22"/>
        <v>Pass</v>
      </c>
    </row>
    <row r="1448" spans="1:9" x14ac:dyDescent="0.2">
      <c r="A1448" t="str">
        <f>Controls_Raw!A1448</f>
        <v>CTRL-1444</v>
      </c>
      <c r="B1448" t="str">
        <f>IF(COUNTIF(Controls_Raw!$A$5:$A$1504,A1448)&gt;1,"Duplicate","OK")</f>
        <v>OK</v>
      </c>
      <c r="C1448" t="str">
        <f>IF(LEN(TRIM(Controls_Raw!I1448))=0,"Missing","OK")</f>
        <v>OK</v>
      </c>
      <c r="D1448" t="str">
        <f>IF(LEN(TRIM(Controls_Raw!N1448))=0,"Missing","OK")</f>
        <v>OK</v>
      </c>
      <c r="E1448" t="str">
        <f>IF(OR(Controls_Raw!G1448="USA",Controls_Raw!G1448="UK"),"Standardize","OK")</f>
        <v>OK</v>
      </c>
      <c r="F1448" t="str">
        <f>IF(Controls_Raw!E1448&lt;&gt;TRIM(Controls_Raw!E1448),"Trim","OK")</f>
        <v>OK</v>
      </c>
      <c r="G1448" t="str">
        <f>IF(AND(Controls_Raw!L1448&lt;DATE(2026,9,30),Controls_Raw!M1448&lt;&gt;"Completed"),"Overdue","OK")</f>
        <v>Overdue</v>
      </c>
      <c r="H1448" t="str">
        <f>IF(AND(Controls_Raw!Q1448&lt;DATE(2026,9,30),Controls_Raw!R1448&lt;&gt;"Completed",Controls_Raw!R1448&lt;&gt;"Not Required"),"Overdue","OK")</f>
        <v>OK</v>
      </c>
      <c r="I1448" t="str">
        <f t="shared" si="22"/>
        <v>Issue</v>
      </c>
    </row>
    <row r="1449" spans="1:9" x14ac:dyDescent="0.2">
      <c r="A1449" t="str">
        <f>Controls_Raw!A1449</f>
        <v>CTRL-1445</v>
      </c>
      <c r="B1449" t="str">
        <f>IF(COUNTIF(Controls_Raw!$A$5:$A$1504,A1449)&gt;1,"Duplicate","OK")</f>
        <v>OK</v>
      </c>
      <c r="C1449" t="str">
        <f>IF(LEN(TRIM(Controls_Raw!I1449))=0,"Missing","OK")</f>
        <v>OK</v>
      </c>
      <c r="D1449" t="str">
        <f>IF(LEN(TRIM(Controls_Raw!N1449))=0,"Missing","OK")</f>
        <v>OK</v>
      </c>
      <c r="E1449" t="str">
        <f>IF(OR(Controls_Raw!G1449="USA",Controls_Raw!G1449="UK"),"Standardize","OK")</f>
        <v>OK</v>
      </c>
      <c r="F1449" t="str">
        <f>IF(Controls_Raw!E1449&lt;&gt;TRIM(Controls_Raw!E1449),"Trim","OK")</f>
        <v>OK</v>
      </c>
      <c r="G1449" t="str">
        <f>IF(AND(Controls_Raw!L1449&lt;DATE(2026,9,30),Controls_Raw!M1449&lt;&gt;"Completed"),"Overdue","OK")</f>
        <v>Overdue</v>
      </c>
      <c r="H1449" t="str">
        <f>IF(AND(Controls_Raw!Q1449&lt;DATE(2026,9,30),Controls_Raw!R1449&lt;&gt;"Completed",Controls_Raw!R1449&lt;&gt;"Not Required"),"Overdue","OK")</f>
        <v>OK</v>
      </c>
      <c r="I1449" t="str">
        <f t="shared" si="22"/>
        <v>Issue</v>
      </c>
    </row>
    <row r="1450" spans="1:9" x14ac:dyDescent="0.2">
      <c r="A1450" t="str">
        <f>Controls_Raw!A1450</f>
        <v>CTRL-1446</v>
      </c>
      <c r="B1450" t="str">
        <f>IF(COUNTIF(Controls_Raw!$A$5:$A$1504,A1450)&gt;1,"Duplicate","OK")</f>
        <v>OK</v>
      </c>
      <c r="C1450" t="str">
        <f>IF(LEN(TRIM(Controls_Raw!I1450))=0,"Missing","OK")</f>
        <v>OK</v>
      </c>
      <c r="D1450" t="str">
        <f>IF(LEN(TRIM(Controls_Raw!N1450))=0,"Missing","OK")</f>
        <v>OK</v>
      </c>
      <c r="E1450" t="str">
        <f>IF(OR(Controls_Raw!G1450="USA",Controls_Raw!G1450="UK"),"Standardize","OK")</f>
        <v>OK</v>
      </c>
      <c r="F1450" t="str">
        <f>IF(Controls_Raw!E1450&lt;&gt;TRIM(Controls_Raw!E1450),"Trim","OK")</f>
        <v>OK</v>
      </c>
      <c r="G1450" t="str">
        <f>IF(AND(Controls_Raw!L1450&lt;DATE(2026,9,30),Controls_Raw!M1450&lt;&gt;"Completed"),"Overdue","OK")</f>
        <v>Overdue</v>
      </c>
      <c r="H1450" t="str">
        <f>IF(AND(Controls_Raw!Q1450&lt;DATE(2026,9,30),Controls_Raw!R1450&lt;&gt;"Completed",Controls_Raw!R1450&lt;&gt;"Not Required"),"Overdue","OK")</f>
        <v>OK</v>
      </c>
      <c r="I1450" t="str">
        <f t="shared" si="22"/>
        <v>Issue</v>
      </c>
    </row>
    <row r="1451" spans="1:9" x14ac:dyDescent="0.2">
      <c r="A1451" t="str">
        <f>Controls_Raw!A1451</f>
        <v>CTRL-1447</v>
      </c>
      <c r="B1451" t="str">
        <f>IF(COUNTIF(Controls_Raw!$A$5:$A$1504,A1451)&gt;1,"Duplicate","OK")</f>
        <v>OK</v>
      </c>
      <c r="C1451" t="str">
        <f>IF(LEN(TRIM(Controls_Raw!I1451))=0,"Missing","OK")</f>
        <v>OK</v>
      </c>
      <c r="D1451" t="str">
        <f>IF(LEN(TRIM(Controls_Raw!N1451))=0,"Missing","OK")</f>
        <v>OK</v>
      </c>
      <c r="E1451" t="str">
        <f>IF(OR(Controls_Raw!G1451="USA",Controls_Raw!G1451="UK"),"Standardize","OK")</f>
        <v>OK</v>
      </c>
      <c r="F1451" t="str">
        <f>IF(Controls_Raw!E1451&lt;&gt;TRIM(Controls_Raw!E1451),"Trim","OK")</f>
        <v>OK</v>
      </c>
      <c r="G1451" t="str">
        <f>IF(AND(Controls_Raw!L1451&lt;DATE(2026,9,30),Controls_Raw!M1451&lt;&gt;"Completed"),"Overdue","OK")</f>
        <v>Overdue</v>
      </c>
      <c r="H1451" t="str">
        <f>IF(AND(Controls_Raw!Q1451&lt;DATE(2026,9,30),Controls_Raw!R1451&lt;&gt;"Completed",Controls_Raw!R1451&lt;&gt;"Not Required"),"Overdue","OK")</f>
        <v>OK</v>
      </c>
      <c r="I1451" t="str">
        <f t="shared" si="22"/>
        <v>Issue</v>
      </c>
    </row>
    <row r="1452" spans="1:9" x14ac:dyDescent="0.2">
      <c r="A1452" t="str">
        <f>Controls_Raw!A1452</f>
        <v>CTRL-1448</v>
      </c>
      <c r="B1452" t="str">
        <f>IF(COUNTIF(Controls_Raw!$A$5:$A$1504,A1452)&gt;1,"Duplicate","OK")</f>
        <v>OK</v>
      </c>
      <c r="C1452" t="str">
        <f>IF(LEN(TRIM(Controls_Raw!I1452))=0,"Missing","OK")</f>
        <v>OK</v>
      </c>
      <c r="D1452" t="str">
        <f>IF(LEN(TRIM(Controls_Raw!N1452))=0,"Missing","OK")</f>
        <v>OK</v>
      </c>
      <c r="E1452" t="str">
        <f>IF(OR(Controls_Raw!G1452="USA",Controls_Raw!G1452="UK"),"Standardize","OK")</f>
        <v>OK</v>
      </c>
      <c r="F1452" t="str">
        <f>IF(Controls_Raw!E1452&lt;&gt;TRIM(Controls_Raw!E1452),"Trim","OK")</f>
        <v>OK</v>
      </c>
      <c r="G1452" t="str">
        <f>IF(AND(Controls_Raw!L1452&lt;DATE(2026,9,30),Controls_Raw!M1452&lt;&gt;"Completed"),"Overdue","OK")</f>
        <v>Overdue</v>
      </c>
      <c r="H1452" t="str">
        <f>IF(AND(Controls_Raw!Q1452&lt;DATE(2026,9,30),Controls_Raw!R1452&lt;&gt;"Completed",Controls_Raw!R1452&lt;&gt;"Not Required"),"Overdue","OK")</f>
        <v>Overdue</v>
      </c>
      <c r="I1452" t="str">
        <f t="shared" si="22"/>
        <v>Issue</v>
      </c>
    </row>
    <row r="1453" spans="1:9" x14ac:dyDescent="0.2">
      <c r="A1453" t="str">
        <f>Controls_Raw!A1453</f>
        <v>CTRL-1449</v>
      </c>
      <c r="B1453" t="str">
        <f>IF(COUNTIF(Controls_Raw!$A$5:$A$1504,A1453)&gt;1,"Duplicate","OK")</f>
        <v>OK</v>
      </c>
      <c r="C1453" t="str">
        <f>IF(LEN(TRIM(Controls_Raw!I1453))=0,"Missing","OK")</f>
        <v>OK</v>
      </c>
      <c r="D1453" t="str">
        <f>IF(LEN(TRIM(Controls_Raw!N1453))=0,"Missing","OK")</f>
        <v>OK</v>
      </c>
      <c r="E1453" t="str">
        <f>IF(OR(Controls_Raw!G1453="USA",Controls_Raw!G1453="UK"),"Standardize","OK")</f>
        <v>OK</v>
      </c>
      <c r="F1453" t="str">
        <f>IF(Controls_Raw!E1453&lt;&gt;TRIM(Controls_Raw!E1453),"Trim","OK")</f>
        <v>OK</v>
      </c>
      <c r="G1453" t="str">
        <f>IF(AND(Controls_Raw!L1453&lt;DATE(2026,9,30),Controls_Raw!M1453&lt;&gt;"Completed"),"Overdue","OK")</f>
        <v>Overdue</v>
      </c>
      <c r="H1453" t="str">
        <f>IF(AND(Controls_Raw!Q1453&lt;DATE(2026,9,30),Controls_Raw!R1453&lt;&gt;"Completed",Controls_Raw!R1453&lt;&gt;"Not Required"),"Overdue","OK")</f>
        <v>OK</v>
      </c>
      <c r="I1453" t="str">
        <f t="shared" si="22"/>
        <v>Issue</v>
      </c>
    </row>
    <row r="1454" spans="1:9" x14ac:dyDescent="0.2">
      <c r="A1454" t="str">
        <f>Controls_Raw!A1454</f>
        <v>CTRL-1450</v>
      </c>
      <c r="B1454" t="str">
        <f>IF(COUNTIF(Controls_Raw!$A$5:$A$1504,A1454)&gt;1,"Duplicate","OK")</f>
        <v>OK</v>
      </c>
      <c r="C1454" t="str">
        <f>IF(LEN(TRIM(Controls_Raw!I1454))=0,"Missing","OK")</f>
        <v>OK</v>
      </c>
      <c r="D1454" t="str">
        <f>IF(LEN(TRIM(Controls_Raw!N1454))=0,"Missing","OK")</f>
        <v>OK</v>
      </c>
      <c r="E1454" t="str">
        <f>IF(OR(Controls_Raw!G1454="USA",Controls_Raw!G1454="UK"),"Standardize","OK")</f>
        <v>OK</v>
      </c>
      <c r="F1454" t="str">
        <f>IF(Controls_Raw!E1454&lt;&gt;TRIM(Controls_Raw!E1454),"Trim","OK")</f>
        <v>OK</v>
      </c>
      <c r="G1454" t="str">
        <f>IF(AND(Controls_Raw!L1454&lt;DATE(2026,9,30),Controls_Raw!M1454&lt;&gt;"Completed"),"Overdue","OK")</f>
        <v>Overdue</v>
      </c>
      <c r="H1454" t="str">
        <f>IF(AND(Controls_Raw!Q1454&lt;DATE(2026,9,30),Controls_Raw!R1454&lt;&gt;"Completed",Controls_Raw!R1454&lt;&gt;"Not Required"),"Overdue","OK")</f>
        <v>OK</v>
      </c>
      <c r="I1454" t="str">
        <f t="shared" si="22"/>
        <v>Issue</v>
      </c>
    </row>
    <row r="1455" spans="1:9" x14ac:dyDescent="0.2">
      <c r="A1455" t="str">
        <f>Controls_Raw!A1455</f>
        <v>CTRL-1451</v>
      </c>
      <c r="B1455" t="str">
        <f>IF(COUNTIF(Controls_Raw!$A$5:$A$1504,A1455)&gt;1,"Duplicate","OK")</f>
        <v>OK</v>
      </c>
      <c r="C1455" t="str">
        <f>IF(LEN(TRIM(Controls_Raw!I1455))=0,"Missing","OK")</f>
        <v>OK</v>
      </c>
      <c r="D1455" t="str">
        <f>IF(LEN(TRIM(Controls_Raw!N1455))=0,"Missing","OK")</f>
        <v>OK</v>
      </c>
      <c r="E1455" t="str">
        <f>IF(OR(Controls_Raw!G1455="USA",Controls_Raw!G1455="UK"),"Standardize","OK")</f>
        <v>OK</v>
      </c>
      <c r="F1455" t="str">
        <f>IF(Controls_Raw!E1455&lt;&gt;TRIM(Controls_Raw!E1455),"Trim","OK")</f>
        <v>OK</v>
      </c>
      <c r="G1455" t="str">
        <f>IF(AND(Controls_Raw!L1455&lt;DATE(2026,9,30),Controls_Raw!M1455&lt;&gt;"Completed"),"Overdue","OK")</f>
        <v>Overdue</v>
      </c>
      <c r="H1455" t="str">
        <f>IF(AND(Controls_Raw!Q1455&lt;DATE(2026,9,30),Controls_Raw!R1455&lt;&gt;"Completed",Controls_Raw!R1455&lt;&gt;"Not Required"),"Overdue","OK")</f>
        <v>Overdue</v>
      </c>
      <c r="I1455" t="str">
        <f t="shared" si="22"/>
        <v>Issue</v>
      </c>
    </row>
    <row r="1456" spans="1:9" x14ac:dyDescent="0.2">
      <c r="A1456" t="str">
        <f>Controls_Raw!A1456</f>
        <v>CTRL-1452</v>
      </c>
      <c r="B1456" t="str">
        <f>IF(COUNTIF(Controls_Raw!$A$5:$A$1504,A1456)&gt;1,"Duplicate","OK")</f>
        <v>OK</v>
      </c>
      <c r="C1456" t="str">
        <f>IF(LEN(TRIM(Controls_Raw!I1456))=0,"Missing","OK")</f>
        <v>OK</v>
      </c>
      <c r="D1456" t="str">
        <f>IF(LEN(TRIM(Controls_Raw!N1456))=0,"Missing","OK")</f>
        <v>OK</v>
      </c>
      <c r="E1456" t="str">
        <f>IF(OR(Controls_Raw!G1456="USA",Controls_Raw!G1456="UK"),"Standardize","OK")</f>
        <v>OK</v>
      </c>
      <c r="F1456" t="str">
        <f>IF(Controls_Raw!E1456&lt;&gt;TRIM(Controls_Raw!E1456),"Trim","OK")</f>
        <v>OK</v>
      </c>
      <c r="G1456" t="str">
        <f>IF(AND(Controls_Raw!L1456&lt;DATE(2026,9,30),Controls_Raw!M1456&lt;&gt;"Completed"),"Overdue","OK")</f>
        <v>OK</v>
      </c>
      <c r="H1456" t="str">
        <f>IF(AND(Controls_Raw!Q1456&lt;DATE(2026,9,30),Controls_Raw!R1456&lt;&gt;"Completed",Controls_Raw!R1456&lt;&gt;"Not Required"),"Overdue","OK")</f>
        <v>OK</v>
      </c>
      <c r="I1456" t="str">
        <f t="shared" si="22"/>
        <v>Pass</v>
      </c>
    </row>
    <row r="1457" spans="1:9" x14ac:dyDescent="0.2">
      <c r="A1457" t="str">
        <f>Controls_Raw!A1457</f>
        <v>CTRL-1453</v>
      </c>
      <c r="B1457" t="str">
        <f>IF(COUNTIF(Controls_Raw!$A$5:$A$1504,A1457)&gt;1,"Duplicate","OK")</f>
        <v>OK</v>
      </c>
      <c r="C1457" t="str">
        <f>IF(LEN(TRIM(Controls_Raw!I1457))=0,"Missing","OK")</f>
        <v>OK</v>
      </c>
      <c r="D1457" t="str">
        <f>IF(LEN(TRIM(Controls_Raw!N1457))=0,"Missing","OK")</f>
        <v>OK</v>
      </c>
      <c r="E1457" t="str">
        <f>IF(OR(Controls_Raw!G1457="USA",Controls_Raw!G1457="UK"),"Standardize","OK")</f>
        <v>OK</v>
      </c>
      <c r="F1457" t="str">
        <f>IF(Controls_Raw!E1457&lt;&gt;TRIM(Controls_Raw!E1457),"Trim","OK")</f>
        <v>OK</v>
      </c>
      <c r="G1457" t="str">
        <f>IF(AND(Controls_Raw!L1457&lt;DATE(2026,9,30),Controls_Raw!M1457&lt;&gt;"Completed"),"Overdue","OK")</f>
        <v>Overdue</v>
      </c>
      <c r="H1457" t="str">
        <f>IF(AND(Controls_Raw!Q1457&lt;DATE(2026,9,30),Controls_Raw!R1457&lt;&gt;"Completed",Controls_Raw!R1457&lt;&gt;"Not Required"),"Overdue","OK")</f>
        <v>Overdue</v>
      </c>
      <c r="I1457" t="str">
        <f t="shared" si="22"/>
        <v>Issue</v>
      </c>
    </row>
    <row r="1458" spans="1:9" x14ac:dyDescent="0.2">
      <c r="A1458" t="str">
        <f>Controls_Raw!A1458</f>
        <v>CTRL-1454</v>
      </c>
      <c r="B1458" t="str">
        <f>IF(COUNTIF(Controls_Raw!$A$5:$A$1504,A1458)&gt;1,"Duplicate","OK")</f>
        <v>OK</v>
      </c>
      <c r="C1458" t="str">
        <f>IF(LEN(TRIM(Controls_Raw!I1458))=0,"Missing","OK")</f>
        <v>OK</v>
      </c>
      <c r="D1458" t="str">
        <f>IF(LEN(TRIM(Controls_Raw!N1458))=0,"Missing","OK")</f>
        <v>OK</v>
      </c>
      <c r="E1458" t="str">
        <f>IF(OR(Controls_Raw!G1458="USA",Controls_Raw!G1458="UK"),"Standardize","OK")</f>
        <v>OK</v>
      </c>
      <c r="F1458" t="str">
        <f>IF(Controls_Raw!E1458&lt;&gt;TRIM(Controls_Raw!E1458),"Trim","OK")</f>
        <v>OK</v>
      </c>
      <c r="G1458" t="str">
        <f>IF(AND(Controls_Raw!L1458&lt;DATE(2026,9,30),Controls_Raw!M1458&lt;&gt;"Completed"),"Overdue","OK")</f>
        <v>OK</v>
      </c>
      <c r="H1458" t="str">
        <f>IF(AND(Controls_Raw!Q1458&lt;DATE(2026,9,30),Controls_Raw!R1458&lt;&gt;"Completed",Controls_Raw!R1458&lt;&gt;"Not Required"),"Overdue","OK")</f>
        <v>OK</v>
      </c>
      <c r="I1458" t="str">
        <f t="shared" si="22"/>
        <v>Pass</v>
      </c>
    </row>
    <row r="1459" spans="1:9" x14ac:dyDescent="0.2">
      <c r="A1459" t="str">
        <f>Controls_Raw!A1459</f>
        <v>CTRL-1455</v>
      </c>
      <c r="B1459" t="str">
        <f>IF(COUNTIF(Controls_Raw!$A$5:$A$1504,A1459)&gt;1,"Duplicate","OK")</f>
        <v>OK</v>
      </c>
      <c r="C1459" t="str">
        <f>IF(LEN(TRIM(Controls_Raw!I1459))=0,"Missing","OK")</f>
        <v>OK</v>
      </c>
      <c r="D1459" t="str">
        <f>IF(LEN(TRIM(Controls_Raw!N1459))=0,"Missing","OK")</f>
        <v>OK</v>
      </c>
      <c r="E1459" t="str">
        <f>IF(OR(Controls_Raw!G1459="USA",Controls_Raw!G1459="UK"),"Standardize","OK")</f>
        <v>OK</v>
      </c>
      <c r="F1459" t="str">
        <f>IF(Controls_Raw!E1459&lt;&gt;TRIM(Controls_Raw!E1459),"Trim","OK")</f>
        <v>OK</v>
      </c>
      <c r="G1459" t="str">
        <f>IF(AND(Controls_Raw!L1459&lt;DATE(2026,9,30),Controls_Raw!M1459&lt;&gt;"Completed"),"Overdue","OK")</f>
        <v>Overdue</v>
      </c>
      <c r="H1459" t="str">
        <f>IF(AND(Controls_Raw!Q1459&lt;DATE(2026,9,30),Controls_Raw!R1459&lt;&gt;"Completed",Controls_Raw!R1459&lt;&gt;"Not Required"),"Overdue","OK")</f>
        <v>OK</v>
      </c>
      <c r="I1459" t="str">
        <f t="shared" si="22"/>
        <v>Issue</v>
      </c>
    </row>
    <row r="1460" spans="1:9" x14ac:dyDescent="0.2">
      <c r="A1460" t="str">
        <f>Controls_Raw!A1460</f>
        <v>CTRL-1456</v>
      </c>
      <c r="B1460" t="str">
        <f>IF(COUNTIF(Controls_Raw!$A$5:$A$1504,A1460)&gt;1,"Duplicate","OK")</f>
        <v>OK</v>
      </c>
      <c r="C1460" t="str">
        <f>IF(LEN(TRIM(Controls_Raw!I1460))=0,"Missing","OK")</f>
        <v>OK</v>
      </c>
      <c r="D1460" t="str">
        <f>IF(LEN(TRIM(Controls_Raw!N1460))=0,"Missing","OK")</f>
        <v>OK</v>
      </c>
      <c r="E1460" t="str">
        <f>IF(OR(Controls_Raw!G1460="USA",Controls_Raw!G1460="UK"),"Standardize","OK")</f>
        <v>OK</v>
      </c>
      <c r="F1460" t="str">
        <f>IF(Controls_Raw!E1460&lt;&gt;TRIM(Controls_Raw!E1460),"Trim","OK")</f>
        <v>OK</v>
      </c>
      <c r="G1460" t="str">
        <f>IF(AND(Controls_Raw!L1460&lt;DATE(2026,9,30),Controls_Raw!M1460&lt;&gt;"Completed"),"Overdue","OK")</f>
        <v>Overdue</v>
      </c>
      <c r="H1460" t="str">
        <f>IF(AND(Controls_Raw!Q1460&lt;DATE(2026,9,30),Controls_Raw!R1460&lt;&gt;"Completed",Controls_Raw!R1460&lt;&gt;"Not Required"),"Overdue","OK")</f>
        <v>OK</v>
      </c>
      <c r="I1460" t="str">
        <f t="shared" si="22"/>
        <v>Issue</v>
      </c>
    </row>
    <row r="1461" spans="1:9" x14ac:dyDescent="0.2">
      <c r="A1461" t="str">
        <f>Controls_Raw!A1461</f>
        <v>CTRL-1457</v>
      </c>
      <c r="B1461" t="str">
        <f>IF(COUNTIF(Controls_Raw!$A$5:$A$1504,A1461)&gt;1,"Duplicate","OK")</f>
        <v>OK</v>
      </c>
      <c r="C1461" t="str">
        <f>IF(LEN(TRIM(Controls_Raw!I1461))=0,"Missing","OK")</f>
        <v>OK</v>
      </c>
      <c r="D1461" t="str">
        <f>IF(LEN(TRIM(Controls_Raw!N1461))=0,"Missing","OK")</f>
        <v>OK</v>
      </c>
      <c r="E1461" t="str">
        <f>IF(OR(Controls_Raw!G1461="USA",Controls_Raw!G1461="UK"),"Standardize","OK")</f>
        <v>OK</v>
      </c>
      <c r="F1461" t="str">
        <f>IF(Controls_Raw!E1461&lt;&gt;TRIM(Controls_Raw!E1461),"Trim","OK")</f>
        <v>OK</v>
      </c>
      <c r="G1461" t="str">
        <f>IF(AND(Controls_Raw!L1461&lt;DATE(2026,9,30),Controls_Raw!M1461&lt;&gt;"Completed"),"Overdue","OK")</f>
        <v>OK</v>
      </c>
      <c r="H1461" t="str">
        <f>IF(AND(Controls_Raw!Q1461&lt;DATE(2026,9,30),Controls_Raw!R1461&lt;&gt;"Completed",Controls_Raw!R1461&lt;&gt;"Not Required"),"Overdue","OK")</f>
        <v>OK</v>
      </c>
      <c r="I1461" t="str">
        <f t="shared" si="22"/>
        <v>Pass</v>
      </c>
    </row>
    <row r="1462" spans="1:9" x14ac:dyDescent="0.2">
      <c r="A1462" t="str">
        <f>Controls_Raw!A1462</f>
        <v>CTRL-1458</v>
      </c>
      <c r="B1462" t="str">
        <f>IF(COUNTIF(Controls_Raw!$A$5:$A$1504,A1462)&gt;1,"Duplicate","OK")</f>
        <v>OK</v>
      </c>
      <c r="C1462" t="str">
        <f>IF(LEN(TRIM(Controls_Raw!I1462))=0,"Missing","OK")</f>
        <v>Missing</v>
      </c>
      <c r="D1462" t="str">
        <f>IF(LEN(TRIM(Controls_Raw!N1462))=0,"Missing","OK")</f>
        <v>OK</v>
      </c>
      <c r="E1462" t="str">
        <f>IF(OR(Controls_Raw!G1462="USA",Controls_Raw!G1462="UK"),"Standardize","OK")</f>
        <v>OK</v>
      </c>
      <c r="F1462" t="str">
        <f>IF(Controls_Raw!E1462&lt;&gt;TRIM(Controls_Raw!E1462),"Trim","OK")</f>
        <v>OK</v>
      </c>
      <c r="G1462" t="str">
        <f>IF(AND(Controls_Raw!L1462&lt;DATE(2026,9,30),Controls_Raw!M1462&lt;&gt;"Completed"),"Overdue","OK")</f>
        <v>Overdue</v>
      </c>
      <c r="H1462" t="str">
        <f>IF(AND(Controls_Raw!Q1462&lt;DATE(2026,9,30),Controls_Raw!R1462&lt;&gt;"Completed",Controls_Raw!R1462&lt;&gt;"Not Required"),"Overdue","OK")</f>
        <v>OK</v>
      </c>
      <c r="I1462" t="str">
        <f t="shared" si="22"/>
        <v>Issue</v>
      </c>
    </row>
    <row r="1463" spans="1:9" x14ac:dyDescent="0.2">
      <c r="A1463" t="str">
        <f>Controls_Raw!A1463</f>
        <v>CTRL-1459</v>
      </c>
      <c r="B1463" t="str">
        <f>IF(COUNTIF(Controls_Raw!$A$5:$A$1504,A1463)&gt;1,"Duplicate","OK")</f>
        <v>OK</v>
      </c>
      <c r="C1463" t="str">
        <f>IF(LEN(TRIM(Controls_Raw!I1463))=0,"Missing","OK")</f>
        <v>OK</v>
      </c>
      <c r="D1463" t="str">
        <f>IF(LEN(TRIM(Controls_Raw!N1463))=0,"Missing","OK")</f>
        <v>OK</v>
      </c>
      <c r="E1463" t="str">
        <f>IF(OR(Controls_Raw!G1463="USA",Controls_Raw!G1463="UK"),"Standardize","OK")</f>
        <v>OK</v>
      </c>
      <c r="F1463" t="str">
        <f>IF(Controls_Raw!E1463&lt;&gt;TRIM(Controls_Raw!E1463),"Trim","OK")</f>
        <v>OK</v>
      </c>
      <c r="G1463" t="str">
        <f>IF(AND(Controls_Raw!L1463&lt;DATE(2026,9,30),Controls_Raw!M1463&lt;&gt;"Completed"),"Overdue","OK")</f>
        <v>Overdue</v>
      </c>
      <c r="H1463" t="str">
        <f>IF(AND(Controls_Raw!Q1463&lt;DATE(2026,9,30),Controls_Raw!R1463&lt;&gt;"Completed",Controls_Raw!R1463&lt;&gt;"Not Required"),"Overdue","OK")</f>
        <v>OK</v>
      </c>
      <c r="I1463" t="str">
        <f t="shared" si="22"/>
        <v>Issue</v>
      </c>
    </row>
    <row r="1464" spans="1:9" x14ac:dyDescent="0.2">
      <c r="A1464" t="str">
        <f>Controls_Raw!A1464</f>
        <v>CTRL-1460</v>
      </c>
      <c r="B1464" t="str">
        <f>IF(COUNTIF(Controls_Raw!$A$5:$A$1504,A1464)&gt;1,"Duplicate","OK")</f>
        <v>OK</v>
      </c>
      <c r="C1464" t="str">
        <f>IF(LEN(TRIM(Controls_Raw!I1464))=0,"Missing","OK")</f>
        <v>OK</v>
      </c>
      <c r="D1464" t="str">
        <f>IF(LEN(TRIM(Controls_Raw!N1464))=0,"Missing","OK")</f>
        <v>OK</v>
      </c>
      <c r="E1464" t="str">
        <f>IF(OR(Controls_Raw!G1464="USA",Controls_Raw!G1464="UK"),"Standardize","OK")</f>
        <v>OK</v>
      </c>
      <c r="F1464" t="str">
        <f>IF(Controls_Raw!E1464&lt;&gt;TRIM(Controls_Raw!E1464),"Trim","OK")</f>
        <v>OK</v>
      </c>
      <c r="G1464" t="str">
        <f>IF(AND(Controls_Raw!L1464&lt;DATE(2026,9,30),Controls_Raw!M1464&lt;&gt;"Completed"),"Overdue","OK")</f>
        <v>OK</v>
      </c>
      <c r="H1464" t="str">
        <f>IF(AND(Controls_Raw!Q1464&lt;DATE(2026,9,30),Controls_Raw!R1464&lt;&gt;"Completed",Controls_Raw!R1464&lt;&gt;"Not Required"),"Overdue","OK")</f>
        <v>OK</v>
      </c>
      <c r="I1464" t="str">
        <f t="shared" si="22"/>
        <v>Pass</v>
      </c>
    </row>
    <row r="1465" spans="1:9" x14ac:dyDescent="0.2">
      <c r="A1465" t="str">
        <f>Controls_Raw!A1465</f>
        <v>CTRL-1461</v>
      </c>
      <c r="B1465" t="str">
        <f>IF(COUNTIF(Controls_Raw!$A$5:$A$1504,A1465)&gt;1,"Duplicate","OK")</f>
        <v>OK</v>
      </c>
      <c r="C1465" t="str">
        <f>IF(LEN(TRIM(Controls_Raw!I1465))=0,"Missing","OK")</f>
        <v>OK</v>
      </c>
      <c r="D1465" t="str">
        <f>IF(LEN(TRIM(Controls_Raw!N1465))=0,"Missing","OK")</f>
        <v>OK</v>
      </c>
      <c r="E1465" t="str">
        <f>IF(OR(Controls_Raw!G1465="USA",Controls_Raw!G1465="UK"),"Standardize","OK")</f>
        <v>OK</v>
      </c>
      <c r="F1465" t="str">
        <f>IF(Controls_Raw!E1465&lt;&gt;TRIM(Controls_Raw!E1465),"Trim","OK")</f>
        <v>Trim</v>
      </c>
      <c r="G1465" t="str">
        <f>IF(AND(Controls_Raw!L1465&lt;DATE(2026,9,30),Controls_Raw!M1465&lt;&gt;"Completed"),"Overdue","OK")</f>
        <v>Overdue</v>
      </c>
      <c r="H1465" t="str">
        <f>IF(AND(Controls_Raw!Q1465&lt;DATE(2026,9,30),Controls_Raw!R1465&lt;&gt;"Completed",Controls_Raw!R1465&lt;&gt;"Not Required"),"Overdue","OK")</f>
        <v>Overdue</v>
      </c>
      <c r="I1465" t="str">
        <f t="shared" si="22"/>
        <v>Issue</v>
      </c>
    </row>
    <row r="1466" spans="1:9" x14ac:dyDescent="0.2">
      <c r="A1466" t="str">
        <f>Controls_Raw!A1466</f>
        <v>CTRL-1462</v>
      </c>
      <c r="B1466" t="str">
        <f>IF(COUNTIF(Controls_Raw!$A$5:$A$1504,A1466)&gt;1,"Duplicate","OK")</f>
        <v>OK</v>
      </c>
      <c r="C1466" t="str">
        <f>IF(LEN(TRIM(Controls_Raw!I1466))=0,"Missing","OK")</f>
        <v>OK</v>
      </c>
      <c r="D1466" t="str">
        <f>IF(LEN(TRIM(Controls_Raw!N1466))=0,"Missing","OK")</f>
        <v>OK</v>
      </c>
      <c r="E1466" t="str">
        <f>IF(OR(Controls_Raw!G1466="USA",Controls_Raw!G1466="UK"),"Standardize","OK")</f>
        <v>OK</v>
      </c>
      <c r="F1466" t="str">
        <f>IF(Controls_Raw!E1466&lt;&gt;TRIM(Controls_Raw!E1466),"Trim","OK")</f>
        <v>OK</v>
      </c>
      <c r="G1466" t="str">
        <f>IF(AND(Controls_Raw!L1466&lt;DATE(2026,9,30),Controls_Raw!M1466&lt;&gt;"Completed"),"Overdue","OK")</f>
        <v>Overdue</v>
      </c>
      <c r="H1466" t="str">
        <f>IF(AND(Controls_Raw!Q1466&lt;DATE(2026,9,30),Controls_Raw!R1466&lt;&gt;"Completed",Controls_Raw!R1466&lt;&gt;"Not Required"),"Overdue","OK")</f>
        <v>OK</v>
      </c>
      <c r="I1466" t="str">
        <f t="shared" si="22"/>
        <v>Issue</v>
      </c>
    </row>
    <row r="1467" spans="1:9" x14ac:dyDescent="0.2">
      <c r="A1467" t="str">
        <f>Controls_Raw!A1467</f>
        <v>CTRL-1463</v>
      </c>
      <c r="B1467" t="str">
        <f>IF(COUNTIF(Controls_Raw!$A$5:$A$1504,A1467)&gt;1,"Duplicate","OK")</f>
        <v>OK</v>
      </c>
      <c r="C1467" t="str">
        <f>IF(LEN(TRIM(Controls_Raw!I1467))=0,"Missing","OK")</f>
        <v>OK</v>
      </c>
      <c r="D1467" t="str">
        <f>IF(LEN(TRIM(Controls_Raw!N1467))=0,"Missing","OK")</f>
        <v>OK</v>
      </c>
      <c r="E1467" t="str">
        <f>IF(OR(Controls_Raw!G1467="USA",Controls_Raw!G1467="UK"),"Standardize","OK")</f>
        <v>OK</v>
      </c>
      <c r="F1467" t="str">
        <f>IF(Controls_Raw!E1467&lt;&gt;TRIM(Controls_Raw!E1467),"Trim","OK")</f>
        <v>OK</v>
      </c>
      <c r="G1467" t="str">
        <f>IF(AND(Controls_Raw!L1467&lt;DATE(2026,9,30),Controls_Raw!M1467&lt;&gt;"Completed"),"Overdue","OK")</f>
        <v>Overdue</v>
      </c>
      <c r="H1467" t="str">
        <f>IF(AND(Controls_Raw!Q1467&lt;DATE(2026,9,30),Controls_Raw!R1467&lt;&gt;"Completed",Controls_Raw!R1467&lt;&gt;"Not Required"),"Overdue","OK")</f>
        <v>OK</v>
      </c>
      <c r="I1467" t="str">
        <f t="shared" si="22"/>
        <v>Issue</v>
      </c>
    </row>
    <row r="1468" spans="1:9" x14ac:dyDescent="0.2">
      <c r="A1468" t="str">
        <f>Controls_Raw!A1468</f>
        <v>CTRL-1464</v>
      </c>
      <c r="B1468" t="str">
        <f>IF(COUNTIF(Controls_Raw!$A$5:$A$1504,A1468)&gt;1,"Duplicate","OK")</f>
        <v>OK</v>
      </c>
      <c r="C1468" t="str">
        <f>IF(LEN(TRIM(Controls_Raw!I1468))=0,"Missing","OK")</f>
        <v>OK</v>
      </c>
      <c r="D1468" t="str">
        <f>IF(LEN(TRIM(Controls_Raw!N1468))=0,"Missing","OK")</f>
        <v>OK</v>
      </c>
      <c r="E1468" t="str">
        <f>IF(OR(Controls_Raw!G1468="USA",Controls_Raw!G1468="UK"),"Standardize","OK")</f>
        <v>OK</v>
      </c>
      <c r="F1468" t="str">
        <f>IF(Controls_Raw!E1468&lt;&gt;TRIM(Controls_Raw!E1468),"Trim","OK")</f>
        <v>OK</v>
      </c>
      <c r="G1468" t="str">
        <f>IF(AND(Controls_Raw!L1468&lt;DATE(2026,9,30),Controls_Raw!M1468&lt;&gt;"Completed"),"Overdue","OK")</f>
        <v>Overdue</v>
      </c>
      <c r="H1468" t="str">
        <f>IF(AND(Controls_Raw!Q1468&lt;DATE(2026,9,30),Controls_Raw!R1468&lt;&gt;"Completed",Controls_Raw!R1468&lt;&gt;"Not Required"),"Overdue","OK")</f>
        <v>OK</v>
      </c>
      <c r="I1468" t="str">
        <f t="shared" si="22"/>
        <v>Issue</v>
      </c>
    </row>
    <row r="1469" spans="1:9" x14ac:dyDescent="0.2">
      <c r="A1469" t="str">
        <f>Controls_Raw!A1469</f>
        <v>CTRL-1465</v>
      </c>
      <c r="B1469" t="str">
        <f>IF(COUNTIF(Controls_Raw!$A$5:$A$1504,A1469)&gt;1,"Duplicate","OK")</f>
        <v>OK</v>
      </c>
      <c r="C1469" t="str">
        <f>IF(LEN(TRIM(Controls_Raw!I1469))=0,"Missing","OK")</f>
        <v>OK</v>
      </c>
      <c r="D1469" t="str">
        <f>IF(LEN(TRIM(Controls_Raw!N1469))=0,"Missing","OK")</f>
        <v>OK</v>
      </c>
      <c r="E1469" t="str">
        <f>IF(OR(Controls_Raw!G1469="USA",Controls_Raw!G1469="UK"),"Standardize","OK")</f>
        <v>OK</v>
      </c>
      <c r="F1469" t="str">
        <f>IF(Controls_Raw!E1469&lt;&gt;TRIM(Controls_Raw!E1469),"Trim","OK")</f>
        <v>OK</v>
      </c>
      <c r="G1469" t="str">
        <f>IF(AND(Controls_Raw!L1469&lt;DATE(2026,9,30),Controls_Raw!M1469&lt;&gt;"Completed"),"Overdue","OK")</f>
        <v>Overdue</v>
      </c>
      <c r="H1469" t="str">
        <f>IF(AND(Controls_Raw!Q1469&lt;DATE(2026,9,30),Controls_Raw!R1469&lt;&gt;"Completed",Controls_Raw!R1469&lt;&gt;"Not Required"),"Overdue","OK")</f>
        <v>OK</v>
      </c>
      <c r="I1469" t="str">
        <f t="shared" si="22"/>
        <v>Issue</v>
      </c>
    </row>
    <row r="1470" spans="1:9" x14ac:dyDescent="0.2">
      <c r="A1470" t="str">
        <f>Controls_Raw!A1470</f>
        <v>CTRL-1466</v>
      </c>
      <c r="B1470" t="str">
        <f>IF(COUNTIF(Controls_Raw!$A$5:$A$1504,A1470)&gt;1,"Duplicate","OK")</f>
        <v>OK</v>
      </c>
      <c r="C1470" t="str">
        <f>IF(LEN(TRIM(Controls_Raw!I1470))=0,"Missing","OK")</f>
        <v>OK</v>
      </c>
      <c r="D1470" t="str">
        <f>IF(LEN(TRIM(Controls_Raw!N1470))=0,"Missing","OK")</f>
        <v>OK</v>
      </c>
      <c r="E1470" t="str">
        <f>IF(OR(Controls_Raw!G1470="USA",Controls_Raw!G1470="UK"),"Standardize","OK")</f>
        <v>OK</v>
      </c>
      <c r="F1470" t="str">
        <f>IF(Controls_Raw!E1470&lt;&gt;TRIM(Controls_Raw!E1470),"Trim","OK")</f>
        <v>OK</v>
      </c>
      <c r="G1470" t="str">
        <f>IF(AND(Controls_Raw!L1470&lt;DATE(2026,9,30),Controls_Raw!M1470&lt;&gt;"Completed"),"Overdue","OK")</f>
        <v>OK</v>
      </c>
      <c r="H1470" t="str">
        <f>IF(AND(Controls_Raw!Q1470&lt;DATE(2026,9,30),Controls_Raw!R1470&lt;&gt;"Completed",Controls_Raw!R1470&lt;&gt;"Not Required"),"Overdue","OK")</f>
        <v>OK</v>
      </c>
      <c r="I1470" t="str">
        <f t="shared" si="22"/>
        <v>Pass</v>
      </c>
    </row>
    <row r="1471" spans="1:9" x14ac:dyDescent="0.2">
      <c r="A1471" t="str">
        <f>Controls_Raw!A1471</f>
        <v>CTRL-1467</v>
      </c>
      <c r="B1471" t="str">
        <f>IF(COUNTIF(Controls_Raw!$A$5:$A$1504,A1471)&gt;1,"Duplicate","OK")</f>
        <v>OK</v>
      </c>
      <c r="C1471" t="str">
        <f>IF(LEN(TRIM(Controls_Raw!I1471))=0,"Missing","OK")</f>
        <v>OK</v>
      </c>
      <c r="D1471" t="str">
        <f>IF(LEN(TRIM(Controls_Raw!N1471))=0,"Missing","OK")</f>
        <v>OK</v>
      </c>
      <c r="E1471" t="str">
        <f>IF(OR(Controls_Raw!G1471="USA",Controls_Raw!G1471="UK"),"Standardize","OK")</f>
        <v>OK</v>
      </c>
      <c r="F1471" t="str">
        <f>IF(Controls_Raw!E1471&lt;&gt;TRIM(Controls_Raw!E1471),"Trim","OK")</f>
        <v>OK</v>
      </c>
      <c r="G1471" t="str">
        <f>IF(AND(Controls_Raw!L1471&lt;DATE(2026,9,30),Controls_Raw!M1471&lt;&gt;"Completed"),"Overdue","OK")</f>
        <v>OK</v>
      </c>
      <c r="H1471" t="str">
        <f>IF(AND(Controls_Raw!Q1471&lt;DATE(2026,9,30),Controls_Raw!R1471&lt;&gt;"Completed",Controls_Raw!R1471&lt;&gt;"Not Required"),"Overdue","OK")</f>
        <v>OK</v>
      </c>
      <c r="I1471" t="str">
        <f t="shared" si="22"/>
        <v>Pass</v>
      </c>
    </row>
    <row r="1472" spans="1:9" x14ac:dyDescent="0.2">
      <c r="A1472" t="str">
        <f>Controls_Raw!A1472</f>
        <v>CTRL-1468</v>
      </c>
      <c r="B1472" t="str">
        <f>IF(COUNTIF(Controls_Raw!$A$5:$A$1504,A1472)&gt;1,"Duplicate","OK")</f>
        <v>OK</v>
      </c>
      <c r="C1472" t="str">
        <f>IF(LEN(TRIM(Controls_Raw!I1472))=0,"Missing","OK")</f>
        <v>OK</v>
      </c>
      <c r="D1472" t="str">
        <f>IF(LEN(TRIM(Controls_Raw!N1472))=0,"Missing","OK")</f>
        <v>OK</v>
      </c>
      <c r="E1472" t="str">
        <f>IF(OR(Controls_Raw!G1472="USA",Controls_Raw!G1472="UK"),"Standardize","OK")</f>
        <v>OK</v>
      </c>
      <c r="F1472" t="str">
        <f>IF(Controls_Raw!E1472&lt;&gt;TRIM(Controls_Raw!E1472),"Trim","OK")</f>
        <v>OK</v>
      </c>
      <c r="G1472" t="str">
        <f>IF(AND(Controls_Raw!L1472&lt;DATE(2026,9,30),Controls_Raw!M1472&lt;&gt;"Completed"),"Overdue","OK")</f>
        <v>Overdue</v>
      </c>
      <c r="H1472" t="str">
        <f>IF(AND(Controls_Raw!Q1472&lt;DATE(2026,9,30),Controls_Raw!R1472&lt;&gt;"Completed",Controls_Raw!R1472&lt;&gt;"Not Required"),"Overdue","OK")</f>
        <v>OK</v>
      </c>
      <c r="I1472" t="str">
        <f t="shared" si="22"/>
        <v>Issue</v>
      </c>
    </row>
    <row r="1473" spans="1:9" x14ac:dyDescent="0.2">
      <c r="A1473" t="str">
        <f>Controls_Raw!A1473</f>
        <v>CTRL-1469</v>
      </c>
      <c r="B1473" t="str">
        <f>IF(COUNTIF(Controls_Raw!$A$5:$A$1504,A1473)&gt;1,"Duplicate","OK")</f>
        <v>OK</v>
      </c>
      <c r="C1473" t="str">
        <f>IF(LEN(TRIM(Controls_Raw!I1473))=0,"Missing","OK")</f>
        <v>OK</v>
      </c>
      <c r="D1473" t="str">
        <f>IF(LEN(TRIM(Controls_Raw!N1473))=0,"Missing","OK")</f>
        <v>OK</v>
      </c>
      <c r="E1473" t="str">
        <f>IF(OR(Controls_Raw!G1473="USA",Controls_Raw!G1473="UK"),"Standardize","OK")</f>
        <v>OK</v>
      </c>
      <c r="F1473" t="str">
        <f>IF(Controls_Raw!E1473&lt;&gt;TRIM(Controls_Raw!E1473),"Trim","OK")</f>
        <v>OK</v>
      </c>
      <c r="G1473" t="str">
        <f>IF(AND(Controls_Raw!L1473&lt;DATE(2026,9,30),Controls_Raw!M1473&lt;&gt;"Completed"),"Overdue","OK")</f>
        <v>Overdue</v>
      </c>
      <c r="H1473" t="str">
        <f>IF(AND(Controls_Raw!Q1473&lt;DATE(2026,9,30),Controls_Raw!R1473&lt;&gt;"Completed",Controls_Raw!R1473&lt;&gt;"Not Required"),"Overdue","OK")</f>
        <v>OK</v>
      </c>
      <c r="I1473" t="str">
        <f t="shared" si="22"/>
        <v>Issue</v>
      </c>
    </row>
    <row r="1474" spans="1:9" x14ac:dyDescent="0.2">
      <c r="A1474" t="str">
        <f>Controls_Raw!A1474</f>
        <v>CTRL-1470</v>
      </c>
      <c r="B1474" t="str">
        <f>IF(COUNTIF(Controls_Raw!$A$5:$A$1504,A1474)&gt;1,"Duplicate","OK")</f>
        <v>OK</v>
      </c>
      <c r="C1474" t="str">
        <f>IF(LEN(TRIM(Controls_Raw!I1474))=0,"Missing","OK")</f>
        <v>OK</v>
      </c>
      <c r="D1474" t="str">
        <f>IF(LEN(TRIM(Controls_Raw!N1474))=0,"Missing","OK")</f>
        <v>OK</v>
      </c>
      <c r="E1474" t="str">
        <f>IF(OR(Controls_Raw!G1474="USA",Controls_Raw!G1474="UK"),"Standardize","OK")</f>
        <v>OK</v>
      </c>
      <c r="F1474" t="str">
        <f>IF(Controls_Raw!E1474&lt;&gt;TRIM(Controls_Raw!E1474),"Trim","OK")</f>
        <v>OK</v>
      </c>
      <c r="G1474" t="str">
        <f>IF(AND(Controls_Raw!L1474&lt;DATE(2026,9,30),Controls_Raw!M1474&lt;&gt;"Completed"),"Overdue","OK")</f>
        <v>Overdue</v>
      </c>
      <c r="H1474" t="str">
        <f>IF(AND(Controls_Raw!Q1474&lt;DATE(2026,9,30),Controls_Raw!R1474&lt;&gt;"Completed",Controls_Raw!R1474&lt;&gt;"Not Required"),"Overdue","OK")</f>
        <v>OK</v>
      </c>
      <c r="I1474" t="str">
        <f t="shared" si="22"/>
        <v>Issue</v>
      </c>
    </row>
    <row r="1475" spans="1:9" x14ac:dyDescent="0.2">
      <c r="A1475" t="str">
        <f>Controls_Raw!A1475</f>
        <v>CTRL-1471</v>
      </c>
      <c r="B1475" t="str">
        <f>IF(COUNTIF(Controls_Raw!$A$5:$A$1504,A1475)&gt;1,"Duplicate","OK")</f>
        <v>OK</v>
      </c>
      <c r="C1475" t="str">
        <f>IF(LEN(TRIM(Controls_Raw!I1475))=0,"Missing","OK")</f>
        <v>OK</v>
      </c>
      <c r="D1475" t="str">
        <f>IF(LEN(TRIM(Controls_Raw!N1475))=0,"Missing","OK")</f>
        <v>OK</v>
      </c>
      <c r="E1475" t="str">
        <f>IF(OR(Controls_Raw!G1475="USA",Controls_Raw!G1475="UK"),"Standardize","OK")</f>
        <v>OK</v>
      </c>
      <c r="F1475" t="str">
        <f>IF(Controls_Raw!E1475&lt;&gt;TRIM(Controls_Raw!E1475),"Trim","OK")</f>
        <v>OK</v>
      </c>
      <c r="G1475" t="str">
        <f>IF(AND(Controls_Raw!L1475&lt;DATE(2026,9,30),Controls_Raw!M1475&lt;&gt;"Completed"),"Overdue","OK")</f>
        <v>Overdue</v>
      </c>
      <c r="H1475" t="str">
        <f>IF(AND(Controls_Raw!Q1475&lt;DATE(2026,9,30),Controls_Raw!R1475&lt;&gt;"Completed",Controls_Raw!R1475&lt;&gt;"Not Required"),"Overdue","OK")</f>
        <v>OK</v>
      </c>
      <c r="I1475" t="str">
        <f t="shared" si="22"/>
        <v>Issue</v>
      </c>
    </row>
    <row r="1476" spans="1:9" x14ac:dyDescent="0.2">
      <c r="A1476" t="str">
        <f>Controls_Raw!A1476</f>
        <v>CTRL-1472</v>
      </c>
      <c r="B1476" t="str">
        <f>IF(COUNTIF(Controls_Raw!$A$5:$A$1504,A1476)&gt;1,"Duplicate","OK")</f>
        <v>OK</v>
      </c>
      <c r="C1476" t="str">
        <f>IF(LEN(TRIM(Controls_Raw!I1476))=0,"Missing","OK")</f>
        <v>OK</v>
      </c>
      <c r="D1476" t="str">
        <f>IF(LEN(TRIM(Controls_Raw!N1476))=0,"Missing","OK")</f>
        <v>OK</v>
      </c>
      <c r="E1476" t="str">
        <f>IF(OR(Controls_Raw!G1476="USA",Controls_Raw!G1476="UK"),"Standardize","OK")</f>
        <v>OK</v>
      </c>
      <c r="F1476" t="str">
        <f>IF(Controls_Raw!E1476&lt;&gt;TRIM(Controls_Raw!E1476),"Trim","OK")</f>
        <v>OK</v>
      </c>
      <c r="G1476" t="str">
        <f>IF(AND(Controls_Raw!L1476&lt;DATE(2026,9,30),Controls_Raw!M1476&lt;&gt;"Completed"),"Overdue","OK")</f>
        <v>Overdue</v>
      </c>
      <c r="H1476" t="str">
        <f>IF(AND(Controls_Raw!Q1476&lt;DATE(2026,9,30),Controls_Raw!R1476&lt;&gt;"Completed",Controls_Raw!R1476&lt;&gt;"Not Required"),"Overdue","OK")</f>
        <v>Overdue</v>
      </c>
      <c r="I1476" t="str">
        <f t="shared" si="22"/>
        <v>Issue</v>
      </c>
    </row>
    <row r="1477" spans="1:9" x14ac:dyDescent="0.2">
      <c r="A1477" t="str">
        <f>Controls_Raw!A1477</f>
        <v>CTRL-1473</v>
      </c>
      <c r="B1477" t="str">
        <f>IF(COUNTIF(Controls_Raw!$A$5:$A$1504,A1477)&gt;1,"Duplicate","OK")</f>
        <v>OK</v>
      </c>
      <c r="C1477" t="str">
        <f>IF(LEN(TRIM(Controls_Raw!I1477))=0,"Missing","OK")</f>
        <v>OK</v>
      </c>
      <c r="D1477" t="str">
        <f>IF(LEN(TRIM(Controls_Raw!N1477))=0,"Missing","OK")</f>
        <v>OK</v>
      </c>
      <c r="E1477" t="str">
        <f>IF(OR(Controls_Raw!G1477="USA",Controls_Raw!G1477="UK"),"Standardize","OK")</f>
        <v>OK</v>
      </c>
      <c r="F1477" t="str">
        <f>IF(Controls_Raw!E1477&lt;&gt;TRIM(Controls_Raw!E1477),"Trim","OK")</f>
        <v>OK</v>
      </c>
      <c r="G1477" t="str">
        <f>IF(AND(Controls_Raw!L1477&lt;DATE(2026,9,30),Controls_Raw!M1477&lt;&gt;"Completed"),"Overdue","OK")</f>
        <v>OK</v>
      </c>
      <c r="H1477" t="str">
        <f>IF(AND(Controls_Raw!Q1477&lt;DATE(2026,9,30),Controls_Raw!R1477&lt;&gt;"Completed",Controls_Raw!R1477&lt;&gt;"Not Required"),"Overdue","OK")</f>
        <v>Overdue</v>
      </c>
      <c r="I1477" t="str">
        <f t="shared" ref="I1477:I1504" si="23">IF(COUNTIF(B1477:H1477,"&lt;&gt;OK")&gt;0,"Issue","Pass")</f>
        <v>Issue</v>
      </c>
    </row>
    <row r="1478" spans="1:9" x14ac:dyDescent="0.2">
      <c r="A1478" t="str">
        <f>Controls_Raw!A1478</f>
        <v>CTRL-1474</v>
      </c>
      <c r="B1478" t="str">
        <f>IF(COUNTIF(Controls_Raw!$A$5:$A$1504,A1478)&gt;1,"Duplicate","OK")</f>
        <v>OK</v>
      </c>
      <c r="C1478" t="str">
        <f>IF(LEN(TRIM(Controls_Raw!I1478))=0,"Missing","OK")</f>
        <v>OK</v>
      </c>
      <c r="D1478" t="str">
        <f>IF(LEN(TRIM(Controls_Raw!N1478))=0,"Missing","OK")</f>
        <v>OK</v>
      </c>
      <c r="E1478" t="str">
        <f>IF(OR(Controls_Raw!G1478="USA",Controls_Raw!G1478="UK"),"Standardize","OK")</f>
        <v>OK</v>
      </c>
      <c r="F1478" t="str">
        <f>IF(Controls_Raw!E1478&lt;&gt;TRIM(Controls_Raw!E1478),"Trim","OK")</f>
        <v>OK</v>
      </c>
      <c r="G1478" t="str">
        <f>IF(AND(Controls_Raw!L1478&lt;DATE(2026,9,30),Controls_Raw!M1478&lt;&gt;"Completed"),"Overdue","OK")</f>
        <v>Overdue</v>
      </c>
      <c r="H1478" t="str">
        <f>IF(AND(Controls_Raw!Q1478&lt;DATE(2026,9,30),Controls_Raw!R1478&lt;&gt;"Completed",Controls_Raw!R1478&lt;&gt;"Not Required"),"Overdue","OK")</f>
        <v>Overdue</v>
      </c>
      <c r="I1478" t="str">
        <f t="shared" si="23"/>
        <v>Issue</v>
      </c>
    </row>
    <row r="1479" spans="1:9" x14ac:dyDescent="0.2">
      <c r="A1479" t="str">
        <f>Controls_Raw!A1479</f>
        <v>CTRL-1475</v>
      </c>
      <c r="B1479" t="str">
        <f>IF(COUNTIF(Controls_Raw!$A$5:$A$1504,A1479)&gt;1,"Duplicate","OK")</f>
        <v>OK</v>
      </c>
      <c r="C1479" t="str">
        <f>IF(LEN(TRIM(Controls_Raw!I1479))=0,"Missing","OK")</f>
        <v>OK</v>
      </c>
      <c r="D1479" t="str">
        <f>IF(LEN(TRIM(Controls_Raw!N1479))=0,"Missing","OK")</f>
        <v>OK</v>
      </c>
      <c r="E1479" t="str">
        <f>IF(OR(Controls_Raw!G1479="USA",Controls_Raw!G1479="UK"),"Standardize","OK")</f>
        <v>OK</v>
      </c>
      <c r="F1479" t="str">
        <f>IF(Controls_Raw!E1479&lt;&gt;TRIM(Controls_Raw!E1479),"Trim","OK")</f>
        <v>OK</v>
      </c>
      <c r="G1479" t="str">
        <f>IF(AND(Controls_Raw!L1479&lt;DATE(2026,9,30),Controls_Raw!M1479&lt;&gt;"Completed"),"Overdue","OK")</f>
        <v>Overdue</v>
      </c>
      <c r="H1479" t="str">
        <f>IF(AND(Controls_Raw!Q1479&lt;DATE(2026,9,30),Controls_Raw!R1479&lt;&gt;"Completed",Controls_Raw!R1479&lt;&gt;"Not Required"),"Overdue","OK")</f>
        <v>OK</v>
      </c>
      <c r="I1479" t="str">
        <f t="shared" si="23"/>
        <v>Issue</v>
      </c>
    </row>
    <row r="1480" spans="1:9" x14ac:dyDescent="0.2">
      <c r="A1480" t="str">
        <f>Controls_Raw!A1480</f>
        <v>CTRL-1476</v>
      </c>
      <c r="B1480" t="str">
        <f>IF(COUNTIF(Controls_Raw!$A$5:$A$1504,A1480)&gt;1,"Duplicate","OK")</f>
        <v>OK</v>
      </c>
      <c r="C1480" t="str">
        <f>IF(LEN(TRIM(Controls_Raw!I1480))=0,"Missing","OK")</f>
        <v>OK</v>
      </c>
      <c r="D1480" t="str">
        <f>IF(LEN(TRIM(Controls_Raw!N1480))=0,"Missing","OK")</f>
        <v>OK</v>
      </c>
      <c r="E1480" t="str">
        <f>IF(OR(Controls_Raw!G1480="USA",Controls_Raw!G1480="UK"),"Standardize","OK")</f>
        <v>OK</v>
      </c>
      <c r="F1480" t="str">
        <f>IF(Controls_Raw!E1480&lt;&gt;TRIM(Controls_Raw!E1480),"Trim","OK")</f>
        <v>OK</v>
      </c>
      <c r="G1480" t="str">
        <f>IF(AND(Controls_Raw!L1480&lt;DATE(2026,9,30),Controls_Raw!M1480&lt;&gt;"Completed"),"Overdue","OK")</f>
        <v>Overdue</v>
      </c>
      <c r="H1480" t="str">
        <f>IF(AND(Controls_Raw!Q1480&lt;DATE(2026,9,30),Controls_Raw!R1480&lt;&gt;"Completed",Controls_Raw!R1480&lt;&gt;"Not Required"),"Overdue","OK")</f>
        <v>OK</v>
      </c>
      <c r="I1480" t="str">
        <f t="shared" si="23"/>
        <v>Issue</v>
      </c>
    </row>
    <row r="1481" spans="1:9" x14ac:dyDescent="0.2">
      <c r="A1481" t="str">
        <f>Controls_Raw!A1481</f>
        <v>CTRL-1477</v>
      </c>
      <c r="B1481" t="str">
        <f>IF(COUNTIF(Controls_Raw!$A$5:$A$1504,A1481)&gt;1,"Duplicate","OK")</f>
        <v>OK</v>
      </c>
      <c r="C1481" t="str">
        <f>IF(LEN(TRIM(Controls_Raw!I1481))=0,"Missing","OK")</f>
        <v>OK</v>
      </c>
      <c r="D1481" t="str">
        <f>IF(LEN(TRIM(Controls_Raw!N1481))=0,"Missing","OK")</f>
        <v>OK</v>
      </c>
      <c r="E1481" t="str">
        <f>IF(OR(Controls_Raw!G1481="USA",Controls_Raw!G1481="UK"),"Standardize","OK")</f>
        <v>OK</v>
      </c>
      <c r="F1481" t="str">
        <f>IF(Controls_Raw!E1481&lt;&gt;TRIM(Controls_Raw!E1481),"Trim","OK")</f>
        <v>OK</v>
      </c>
      <c r="G1481" t="str">
        <f>IF(AND(Controls_Raw!L1481&lt;DATE(2026,9,30),Controls_Raw!M1481&lt;&gt;"Completed"),"Overdue","OK")</f>
        <v>Overdue</v>
      </c>
      <c r="H1481" t="str">
        <f>IF(AND(Controls_Raw!Q1481&lt;DATE(2026,9,30),Controls_Raw!R1481&lt;&gt;"Completed",Controls_Raw!R1481&lt;&gt;"Not Required"),"Overdue","OK")</f>
        <v>OK</v>
      </c>
      <c r="I1481" t="str">
        <f t="shared" si="23"/>
        <v>Issue</v>
      </c>
    </row>
    <row r="1482" spans="1:9" x14ac:dyDescent="0.2">
      <c r="A1482" t="str">
        <f>Controls_Raw!A1482</f>
        <v>CTRL-1478</v>
      </c>
      <c r="B1482" t="str">
        <f>IF(COUNTIF(Controls_Raw!$A$5:$A$1504,A1482)&gt;1,"Duplicate","OK")</f>
        <v>OK</v>
      </c>
      <c r="C1482" t="str">
        <f>IF(LEN(TRIM(Controls_Raw!I1482))=0,"Missing","OK")</f>
        <v>OK</v>
      </c>
      <c r="D1482" t="str">
        <f>IF(LEN(TRIM(Controls_Raw!N1482))=0,"Missing","OK")</f>
        <v>OK</v>
      </c>
      <c r="E1482" t="str">
        <f>IF(OR(Controls_Raw!G1482="USA",Controls_Raw!G1482="UK"),"Standardize","OK")</f>
        <v>OK</v>
      </c>
      <c r="F1482" t="str">
        <f>IF(Controls_Raw!E1482&lt;&gt;TRIM(Controls_Raw!E1482),"Trim","OK")</f>
        <v>OK</v>
      </c>
      <c r="G1482" t="str">
        <f>IF(AND(Controls_Raw!L1482&lt;DATE(2026,9,30),Controls_Raw!M1482&lt;&gt;"Completed"),"Overdue","OK")</f>
        <v>Overdue</v>
      </c>
      <c r="H1482" t="str">
        <f>IF(AND(Controls_Raw!Q1482&lt;DATE(2026,9,30),Controls_Raw!R1482&lt;&gt;"Completed",Controls_Raw!R1482&lt;&gt;"Not Required"),"Overdue","OK")</f>
        <v>OK</v>
      </c>
      <c r="I1482" t="str">
        <f t="shared" si="23"/>
        <v>Issue</v>
      </c>
    </row>
    <row r="1483" spans="1:9" x14ac:dyDescent="0.2">
      <c r="A1483" t="str">
        <f>Controls_Raw!A1483</f>
        <v>CTRL-1479</v>
      </c>
      <c r="B1483" t="str">
        <f>IF(COUNTIF(Controls_Raw!$A$5:$A$1504,A1483)&gt;1,"Duplicate","OK")</f>
        <v>OK</v>
      </c>
      <c r="C1483" t="str">
        <f>IF(LEN(TRIM(Controls_Raw!I1483))=0,"Missing","OK")</f>
        <v>OK</v>
      </c>
      <c r="D1483" t="str">
        <f>IF(LEN(TRIM(Controls_Raw!N1483))=0,"Missing","OK")</f>
        <v>OK</v>
      </c>
      <c r="E1483" t="str">
        <f>IF(OR(Controls_Raw!G1483="USA",Controls_Raw!G1483="UK"),"Standardize","OK")</f>
        <v>OK</v>
      </c>
      <c r="F1483" t="str">
        <f>IF(Controls_Raw!E1483&lt;&gt;TRIM(Controls_Raw!E1483),"Trim","OK")</f>
        <v>OK</v>
      </c>
      <c r="G1483" t="str">
        <f>IF(AND(Controls_Raw!L1483&lt;DATE(2026,9,30),Controls_Raw!M1483&lt;&gt;"Completed"),"Overdue","OK")</f>
        <v>Overdue</v>
      </c>
      <c r="H1483" t="str">
        <f>IF(AND(Controls_Raw!Q1483&lt;DATE(2026,9,30),Controls_Raw!R1483&lt;&gt;"Completed",Controls_Raw!R1483&lt;&gt;"Not Required"),"Overdue","OK")</f>
        <v>Overdue</v>
      </c>
      <c r="I1483" t="str">
        <f t="shared" si="23"/>
        <v>Issue</v>
      </c>
    </row>
    <row r="1484" spans="1:9" x14ac:dyDescent="0.2">
      <c r="A1484" t="str">
        <f>Controls_Raw!A1484</f>
        <v>CTRL-1480</v>
      </c>
      <c r="B1484" t="str">
        <f>IF(COUNTIF(Controls_Raw!$A$5:$A$1504,A1484)&gt;1,"Duplicate","OK")</f>
        <v>OK</v>
      </c>
      <c r="C1484" t="str">
        <f>IF(LEN(TRIM(Controls_Raw!I1484))=0,"Missing","OK")</f>
        <v>OK</v>
      </c>
      <c r="D1484" t="str">
        <f>IF(LEN(TRIM(Controls_Raw!N1484))=0,"Missing","OK")</f>
        <v>OK</v>
      </c>
      <c r="E1484" t="str">
        <f>IF(OR(Controls_Raw!G1484="USA",Controls_Raw!G1484="UK"),"Standardize","OK")</f>
        <v>OK</v>
      </c>
      <c r="F1484" t="str">
        <f>IF(Controls_Raw!E1484&lt;&gt;TRIM(Controls_Raw!E1484),"Trim","OK")</f>
        <v>OK</v>
      </c>
      <c r="G1484" t="str">
        <f>IF(AND(Controls_Raw!L1484&lt;DATE(2026,9,30),Controls_Raw!M1484&lt;&gt;"Completed"),"Overdue","OK")</f>
        <v>OK</v>
      </c>
      <c r="H1484" t="str">
        <f>IF(AND(Controls_Raw!Q1484&lt;DATE(2026,9,30),Controls_Raw!R1484&lt;&gt;"Completed",Controls_Raw!R1484&lt;&gt;"Not Required"),"Overdue","OK")</f>
        <v>OK</v>
      </c>
      <c r="I1484" t="str">
        <f t="shared" si="23"/>
        <v>Pass</v>
      </c>
    </row>
    <row r="1485" spans="1:9" x14ac:dyDescent="0.2">
      <c r="A1485" t="str">
        <f>Controls_Raw!A1485</f>
        <v>CTRL-1481</v>
      </c>
      <c r="B1485" t="str">
        <f>IF(COUNTIF(Controls_Raw!$A$5:$A$1504,A1485)&gt;1,"Duplicate","OK")</f>
        <v>OK</v>
      </c>
      <c r="C1485" t="str">
        <f>IF(LEN(TRIM(Controls_Raw!I1485))=0,"Missing","OK")</f>
        <v>OK</v>
      </c>
      <c r="D1485" t="str">
        <f>IF(LEN(TRIM(Controls_Raw!N1485))=0,"Missing","OK")</f>
        <v>OK</v>
      </c>
      <c r="E1485" t="str">
        <f>IF(OR(Controls_Raw!G1485="USA",Controls_Raw!G1485="UK"),"Standardize","OK")</f>
        <v>OK</v>
      </c>
      <c r="F1485" t="str">
        <f>IF(Controls_Raw!E1485&lt;&gt;TRIM(Controls_Raw!E1485),"Trim","OK")</f>
        <v>OK</v>
      </c>
      <c r="G1485" t="str">
        <f>IF(AND(Controls_Raw!L1485&lt;DATE(2026,9,30),Controls_Raw!M1485&lt;&gt;"Completed"),"Overdue","OK")</f>
        <v>Overdue</v>
      </c>
      <c r="H1485" t="str">
        <f>IF(AND(Controls_Raw!Q1485&lt;DATE(2026,9,30),Controls_Raw!R1485&lt;&gt;"Completed",Controls_Raw!R1485&lt;&gt;"Not Required"),"Overdue","OK")</f>
        <v>OK</v>
      </c>
      <c r="I1485" t="str">
        <f t="shared" si="23"/>
        <v>Issue</v>
      </c>
    </row>
    <row r="1486" spans="1:9" x14ac:dyDescent="0.2">
      <c r="A1486" t="str">
        <f>Controls_Raw!A1486</f>
        <v>CTRL-1482</v>
      </c>
      <c r="B1486" t="str">
        <f>IF(COUNTIF(Controls_Raw!$A$5:$A$1504,A1486)&gt;1,"Duplicate","OK")</f>
        <v>OK</v>
      </c>
      <c r="C1486" t="str">
        <f>IF(LEN(TRIM(Controls_Raw!I1486))=0,"Missing","OK")</f>
        <v>OK</v>
      </c>
      <c r="D1486" t="str">
        <f>IF(LEN(TRIM(Controls_Raw!N1486))=0,"Missing","OK")</f>
        <v>OK</v>
      </c>
      <c r="E1486" t="str">
        <f>IF(OR(Controls_Raw!G1486="USA",Controls_Raw!G1486="UK"),"Standardize","OK")</f>
        <v>OK</v>
      </c>
      <c r="F1486" t="str">
        <f>IF(Controls_Raw!E1486&lt;&gt;TRIM(Controls_Raw!E1486),"Trim","OK")</f>
        <v>OK</v>
      </c>
      <c r="G1486" t="str">
        <f>IF(AND(Controls_Raw!L1486&lt;DATE(2026,9,30),Controls_Raw!M1486&lt;&gt;"Completed"),"Overdue","OK")</f>
        <v>OK</v>
      </c>
      <c r="H1486" t="str">
        <f>IF(AND(Controls_Raw!Q1486&lt;DATE(2026,9,30),Controls_Raw!R1486&lt;&gt;"Completed",Controls_Raw!R1486&lt;&gt;"Not Required"),"Overdue","OK")</f>
        <v>OK</v>
      </c>
      <c r="I1486" t="str">
        <f t="shared" si="23"/>
        <v>Pass</v>
      </c>
    </row>
    <row r="1487" spans="1:9" x14ac:dyDescent="0.2">
      <c r="A1487" t="str">
        <f>Controls_Raw!A1487</f>
        <v>CTRL-1483</v>
      </c>
      <c r="B1487" t="str">
        <f>IF(COUNTIF(Controls_Raw!$A$5:$A$1504,A1487)&gt;1,"Duplicate","OK")</f>
        <v>OK</v>
      </c>
      <c r="C1487" t="str">
        <f>IF(LEN(TRIM(Controls_Raw!I1487))=0,"Missing","OK")</f>
        <v>OK</v>
      </c>
      <c r="D1487" t="str">
        <f>IF(LEN(TRIM(Controls_Raw!N1487))=0,"Missing","OK")</f>
        <v>OK</v>
      </c>
      <c r="E1487" t="str">
        <f>IF(OR(Controls_Raw!G1487="USA",Controls_Raw!G1487="UK"),"Standardize","OK")</f>
        <v>OK</v>
      </c>
      <c r="F1487" t="str">
        <f>IF(Controls_Raw!E1487&lt;&gt;TRIM(Controls_Raw!E1487),"Trim","OK")</f>
        <v>OK</v>
      </c>
      <c r="G1487" t="str">
        <f>IF(AND(Controls_Raw!L1487&lt;DATE(2026,9,30),Controls_Raw!M1487&lt;&gt;"Completed"),"Overdue","OK")</f>
        <v>Overdue</v>
      </c>
      <c r="H1487" t="str">
        <f>IF(AND(Controls_Raw!Q1487&lt;DATE(2026,9,30),Controls_Raw!R1487&lt;&gt;"Completed",Controls_Raw!R1487&lt;&gt;"Not Required"),"Overdue","OK")</f>
        <v>Overdue</v>
      </c>
      <c r="I1487" t="str">
        <f t="shared" si="23"/>
        <v>Issue</v>
      </c>
    </row>
    <row r="1488" spans="1:9" x14ac:dyDescent="0.2">
      <c r="A1488" t="str">
        <f>Controls_Raw!A1488</f>
        <v>CTRL-1484</v>
      </c>
      <c r="B1488" t="str">
        <f>IF(COUNTIF(Controls_Raw!$A$5:$A$1504,A1488)&gt;1,"Duplicate","OK")</f>
        <v>OK</v>
      </c>
      <c r="C1488" t="str">
        <f>IF(LEN(TRIM(Controls_Raw!I1488))=0,"Missing","OK")</f>
        <v>OK</v>
      </c>
      <c r="D1488" t="str">
        <f>IF(LEN(TRIM(Controls_Raw!N1488))=0,"Missing","OK")</f>
        <v>OK</v>
      </c>
      <c r="E1488" t="str">
        <f>IF(OR(Controls_Raw!G1488="USA",Controls_Raw!G1488="UK"),"Standardize","OK")</f>
        <v>OK</v>
      </c>
      <c r="F1488" t="str">
        <f>IF(Controls_Raw!E1488&lt;&gt;TRIM(Controls_Raw!E1488),"Trim","OK")</f>
        <v>OK</v>
      </c>
      <c r="G1488" t="str">
        <f>IF(AND(Controls_Raw!L1488&lt;DATE(2026,9,30),Controls_Raw!M1488&lt;&gt;"Completed"),"Overdue","OK")</f>
        <v>OK</v>
      </c>
      <c r="H1488" t="str">
        <f>IF(AND(Controls_Raw!Q1488&lt;DATE(2026,9,30),Controls_Raw!R1488&lt;&gt;"Completed",Controls_Raw!R1488&lt;&gt;"Not Required"),"Overdue","OK")</f>
        <v>OK</v>
      </c>
      <c r="I1488" t="str">
        <f t="shared" si="23"/>
        <v>Pass</v>
      </c>
    </row>
    <row r="1489" spans="1:9" x14ac:dyDescent="0.2">
      <c r="A1489" t="str">
        <f>Controls_Raw!A1489</f>
        <v>CTRL-1485</v>
      </c>
      <c r="B1489" t="str">
        <f>IF(COUNTIF(Controls_Raw!$A$5:$A$1504,A1489)&gt;1,"Duplicate","OK")</f>
        <v>OK</v>
      </c>
      <c r="C1489" t="str">
        <f>IF(LEN(TRIM(Controls_Raw!I1489))=0,"Missing","OK")</f>
        <v>OK</v>
      </c>
      <c r="D1489" t="str">
        <f>IF(LEN(TRIM(Controls_Raw!N1489))=0,"Missing","OK")</f>
        <v>OK</v>
      </c>
      <c r="E1489" t="str">
        <f>IF(OR(Controls_Raw!G1489="USA",Controls_Raw!G1489="UK"),"Standardize","OK")</f>
        <v>OK</v>
      </c>
      <c r="F1489" t="str">
        <f>IF(Controls_Raw!E1489&lt;&gt;TRIM(Controls_Raw!E1489),"Trim","OK")</f>
        <v>OK</v>
      </c>
      <c r="G1489" t="str">
        <f>IF(AND(Controls_Raw!L1489&lt;DATE(2026,9,30),Controls_Raw!M1489&lt;&gt;"Completed"),"Overdue","OK")</f>
        <v>OK</v>
      </c>
      <c r="H1489" t="str">
        <f>IF(AND(Controls_Raw!Q1489&lt;DATE(2026,9,30),Controls_Raw!R1489&lt;&gt;"Completed",Controls_Raw!R1489&lt;&gt;"Not Required"),"Overdue","OK")</f>
        <v>OK</v>
      </c>
      <c r="I1489" t="str">
        <f t="shared" si="23"/>
        <v>Pass</v>
      </c>
    </row>
    <row r="1490" spans="1:9" x14ac:dyDescent="0.2">
      <c r="A1490" t="str">
        <f>Controls_Raw!A1490</f>
        <v>CTRL-1486</v>
      </c>
      <c r="B1490" t="str">
        <f>IF(COUNTIF(Controls_Raw!$A$5:$A$1504,A1490)&gt;1,"Duplicate","OK")</f>
        <v>OK</v>
      </c>
      <c r="C1490" t="str">
        <f>IF(LEN(TRIM(Controls_Raw!I1490))=0,"Missing","OK")</f>
        <v>OK</v>
      </c>
      <c r="D1490" t="str">
        <f>IF(LEN(TRIM(Controls_Raw!N1490))=0,"Missing","OK")</f>
        <v>OK</v>
      </c>
      <c r="E1490" t="str">
        <f>IF(OR(Controls_Raw!G1490="USA",Controls_Raw!G1490="UK"),"Standardize","OK")</f>
        <v>OK</v>
      </c>
      <c r="F1490" t="str">
        <f>IF(Controls_Raw!E1490&lt;&gt;TRIM(Controls_Raw!E1490),"Trim","OK")</f>
        <v>OK</v>
      </c>
      <c r="G1490" t="str">
        <f>IF(AND(Controls_Raw!L1490&lt;DATE(2026,9,30),Controls_Raw!M1490&lt;&gt;"Completed"),"Overdue","OK")</f>
        <v>OK</v>
      </c>
      <c r="H1490" t="str">
        <f>IF(AND(Controls_Raw!Q1490&lt;DATE(2026,9,30),Controls_Raw!R1490&lt;&gt;"Completed",Controls_Raw!R1490&lt;&gt;"Not Required"),"Overdue","OK")</f>
        <v>OK</v>
      </c>
      <c r="I1490" t="str">
        <f t="shared" si="23"/>
        <v>Pass</v>
      </c>
    </row>
    <row r="1491" spans="1:9" x14ac:dyDescent="0.2">
      <c r="A1491" t="str">
        <f>Controls_Raw!A1491</f>
        <v>CTRL-1487</v>
      </c>
      <c r="B1491" t="str">
        <f>IF(COUNTIF(Controls_Raw!$A$5:$A$1504,A1491)&gt;1,"Duplicate","OK")</f>
        <v>OK</v>
      </c>
      <c r="C1491" t="str">
        <f>IF(LEN(TRIM(Controls_Raw!I1491))=0,"Missing","OK")</f>
        <v>OK</v>
      </c>
      <c r="D1491" t="str">
        <f>IF(LEN(TRIM(Controls_Raw!N1491))=0,"Missing","OK")</f>
        <v>OK</v>
      </c>
      <c r="E1491" t="str">
        <f>IF(OR(Controls_Raw!G1491="USA",Controls_Raw!G1491="UK"),"Standardize","OK")</f>
        <v>OK</v>
      </c>
      <c r="F1491" t="str">
        <f>IF(Controls_Raw!E1491&lt;&gt;TRIM(Controls_Raw!E1491),"Trim","OK")</f>
        <v>OK</v>
      </c>
      <c r="G1491" t="str">
        <f>IF(AND(Controls_Raw!L1491&lt;DATE(2026,9,30),Controls_Raw!M1491&lt;&gt;"Completed"),"Overdue","OK")</f>
        <v>Overdue</v>
      </c>
      <c r="H1491" t="str">
        <f>IF(AND(Controls_Raw!Q1491&lt;DATE(2026,9,30),Controls_Raw!R1491&lt;&gt;"Completed",Controls_Raw!R1491&lt;&gt;"Not Required"),"Overdue","OK")</f>
        <v>Overdue</v>
      </c>
      <c r="I1491" t="str">
        <f t="shared" si="23"/>
        <v>Issue</v>
      </c>
    </row>
    <row r="1492" spans="1:9" x14ac:dyDescent="0.2">
      <c r="A1492" t="str">
        <f>Controls_Raw!A1492</f>
        <v>CTRL-1488</v>
      </c>
      <c r="B1492" t="str">
        <f>IF(COUNTIF(Controls_Raw!$A$5:$A$1504,A1492)&gt;1,"Duplicate","OK")</f>
        <v>OK</v>
      </c>
      <c r="C1492" t="str">
        <f>IF(LEN(TRIM(Controls_Raw!I1492))=0,"Missing","OK")</f>
        <v>OK</v>
      </c>
      <c r="D1492" t="str">
        <f>IF(LEN(TRIM(Controls_Raw!N1492))=0,"Missing","OK")</f>
        <v>OK</v>
      </c>
      <c r="E1492" t="str">
        <f>IF(OR(Controls_Raw!G1492="USA",Controls_Raw!G1492="UK"),"Standardize","OK")</f>
        <v>OK</v>
      </c>
      <c r="F1492" t="str">
        <f>IF(Controls_Raw!E1492&lt;&gt;TRIM(Controls_Raw!E1492),"Trim","OK")</f>
        <v>OK</v>
      </c>
      <c r="G1492" t="str">
        <f>IF(AND(Controls_Raw!L1492&lt;DATE(2026,9,30),Controls_Raw!M1492&lt;&gt;"Completed"),"Overdue","OK")</f>
        <v>Overdue</v>
      </c>
      <c r="H1492" t="str">
        <f>IF(AND(Controls_Raw!Q1492&lt;DATE(2026,9,30),Controls_Raw!R1492&lt;&gt;"Completed",Controls_Raw!R1492&lt;&gt;"Not Required"),"Overdue","OK")</f>
        <v>OK</v>
      </c>
      <c r="I1492" t="str">
        <f t="shared" si="23"/>
        <v>Issue</v>
      </c>
    </row>
    <row r="1493" spans="1:9" x14ac:dyDescent="0.2">
      <c r="A1493" t="str">
        <f>Controls_Raw!A1493</f>
        <v>CTRL-1489</v>
      </c>
      <c r="B1493" t="str">
        <f>IF(COUNTIF(Controls_Raw!$A$5:$A$1504,A1493)&gt;1,"Duplicate","OK")</f>
        <v>OK</v>
      </c>
      <c r="C1493" t="str">
        <f>IF(LEN(TRIM(Controls_Raw!I1493))=0,"Missing","OK")</f>
        <v>OK</v>
      </c>
      <c r="D1493" t="str">
        <f>IF(LEN(TRIM(Controls_Raw!N1493))=0,"Missing","OK")</f>
        <v>OK</v>
      </c>
      <c r="E1493" t="str">
        <f>IF(OR(Controls_Raw!G1493="USA",Controls_Raw!G1493="UK"),"Standardize","OK")</f>
        <v>OK</v>
      </c>
      <c r="F1493" t="str">
        <f>IF(Controls_Raw!E1493&lt;&gt;TRIM(Controls_Raw!E1493),"Trim","OK")</f>
        <v>OK</v>
      </c>
      <c r="G1493" t="str">
        <f>IF(AND(Controls_Raw!L1493&lt;DATE(2026,9,30),Controls_Raw!M1493&lt;&gt;"Completed"),"Overdue","OK")</f>
        <v>OK</v>
      </c>
      <c r="H1493" t="str">
        <f>IF(AND(Controls_Raw!Q1493&lt;DATE(2026,9,30),Controls_Raw!R1493&lt;&gt;"Completed",Controls_Raw!R1493&lt;&gt;"Not Required"),"Overdue","OK")</f>
        <v>OK</v>
      </c>
      <c r="I1493" t="str">
        <f t="shared" si="23"/>
        <v>Pass</v>
      </c>
    </row>
    <row r="1494" spans="1:9" x14ac:dyDescent="0.2">
      <c r="A1494" t="str">
        <f>Controls_Raw!A1494</f>
        <v>CTRL-1490</v>
      </c>
      <c r="B1494" t="str">
        <f>IF(COUNTIF(Controls_Raw!$A$5:$A$1504,A1494)&gt;1,"Duplicate","OK")</f>
        <v>OK</v>
      </c>
      <c r="C1494" t="str">
        <f>IF(LEN(TRIM(Controls_Raw!I1494))=0,"Missing","OK")</f>
        <v>OK</v>
      </c>
      <c r="D1494" t="str">
        <f>IF(LEN(TRIM(Controls_Raw!N1494))=0,"Missing","OK")</f>
        <v>OK</v>
      </c>
      <c r="E1494" t="str">
        <f>IF(OR(Controls_Raw!G1494="USA",Controls_Raw!G1494="UK"),"Standardize","OK")</f>
        <v>OK</v>
      </c>
      <c r="F1494" t="str">
        <f>IF(Controls_Raw!E1494&lt;&gt;TRIM(Controls_Raw!E1494),"Trim","OK")</f>
        <v>OK</v>
      </c>
      <c r="G1494" t="str">
        <f>IF(AND(Controls_Raw!L1494&lt;DATE(2026,9,30),Controls_Raw!M1494&lt;&gt;"Completed"),"Overdue","OK")</f>
        <v>Overdue</v>
      </c>
      <c r="H1494" t="str">
        <f>IF(AND(Controls_Raw!Q1494&lt;DATE(2026,9,30),Controls_Raw!R1494&lt;&gt;"Completed",Controls_Raw!R1494&lt;&gt;"Not Required"),"Overdue","OK")</f>
        <v>Overdue</v>
      </c>
      <c r="I1494" t="str">
        <f t="shared" si="23"/>
        <v>Issue</v>
      </c>
    </row>
    <row r="1495" spans="1:9" x14ac:dyDescent="0.2">
      <c r="A1495" t="str">
        <f>Controls_Raw!A1495</f>
        <v>CTRL-1491</v>
      </c>
      <c r="B1495" t="str">
        <f>IF(COUNTIF(Controls_Raw!$A$5:$A$1504,A1495)&gt;1,"Duplicate","OK")</f>
        <v>OK</v>
      </c>
      <c r="C1495" t="str">
        <f>IF(LEN(TRIM(Controls_Raw!I1495))=0,"Missing","OK")</f>
        <v>OK</v>
      </c>
      <c r="D1495" t="str">
        <f>IF(LEN(TRIM(Controls_Raw!N1495))=0,"Missing","OK")</f>
        <v>OK</v>
      </c>
      <c r="E1495" t="str">
        <f>IF(OR(Controls_Raw!G1495="USA",Controls_Raw!G1495="UK"),"Standardize","OK")</f>
        <v>OK</v>
      </c>
      <c r="F1495" t="str">
        <f>IF(Controls_Raw!E1495&lt;&gt;TRIM(Controls_Raw!E1495),"Trim","OK")</f>
        <v>OK</v>
      </c>
      <c r="G1495" t="str">
        <f>IF(AND(Controls_Raw!L1495&lt;DATE(2026,9,30),Controls_Raw!M1495&lt;&gt;"Completed"),"Overdue","OK")</f>
        <v>OK</v>
      </c>
      <c r="H1495" t="str">
        <f>IF(AND(Controls_Raw!Q1495&lt;DATE(2026,9,30),Controls_Raw!R1495&lt;&gt;"Completed",Controls_Raw!R1495&lt;&gt;"Not Required"),"Overdue","OK")</f>
        <v>Overdue</v>
      </c>
      <c r="I1495" t="str">
        <f t="shared" si="23"/>
        <v>Issue</v>
      </c>
    </row>
    <row r="1496" spans="1:9" x14ac:dyDescent="0.2">
      <c r="A1496" t="str">
        <f>Controls_Raw!A1496</f>
        <v>CTRL-1492</v>
      </c>
      <c r="B1496" t="str">
        <f>IF(COUNTIF(Controls_Raw!$A$5:$A$1504,A1496)&gt;1,"Duplicate","OK")</f>
        <v>OK</v>
      </c>
      <c r="C1496" t="str">
        <f>IF(LEN(TRIM(Controls_Raw!I1496))=0,"Missing","OK")</f>
        <v>OK</v>
      </c>
      <c r="D1496" t="str">
        <f>IF(LEN(TRIM(Controls_Raw!N1496))=0,"Missing","OK")</f>
        <v>OK</v>
      </c>
      <c r="E1496" t="str">
        <f>IF(OR(Controls_Raw!G1496="USA",Controls_Raw!G1496="UK"),"Standardize","OK")</f>
        <v>OK</v>
      </c>
      <c r="F1496" t="str">
        <f>IF(Controls_Raw!E1496&lt;&gt;TRIM(Controls_Raw!E1496),"Trim","OK")</f>
        <v>OK</v>
      </c>
      <c r="G1496" t="str">
        <f>IF(AND(Controls_Raw!L1496&lt;DATE(2026,9,30),Controls_Raw!M1496&lt;&gt;"Completed"),"Overdue","OK")</f>
        <v>Overdue</v>
      </c>
      <c r="H1496" t="str">
        <f>IF(AND(Controls_Raw!Q1496&lt;DATE(2026,9,30),Controls_Raw!R1496&lt;&gt;"Completed",Controls_Raw!R1496&lt;&gt;"Not Required"),"Overdue","OK")</f>
        <v>Overdue</v>
      </c>
      <c r="I1496" t="str">
        <f t="shared" si="23"/>
        <v>Issue</v>
      </c>
    </row>
    <row r="1497" spans="1:9" x14ac:dyDescent="0.2">
      <c r="A1497" t="str">
        <f>Controls_Raw!A1497</f>
        <v>CTRL-1493</v>
      </c>
      <c r="B1497" t="str">
        <f>IF(COUNTIF(Controls_Raw!$A$5:$A$1504,A1497)&gt;1,"Duplicate","OK")</f>
        <v>OK</v>
      </c>
      <c r="C1497" t="str">
        <f>IF(LEN(TRIM(Controls_Raw!I1497))=0,"Missing","OK")</f>
        <v>OK</v>
      </c>
      <c r="D1497" t="str">
        <f>IF(LEN(TRIM(Controls_Raw!N1497))=0,"Missing","OK")</f>
        <v>OK</v>
      </c>
      <c r="E1497" t="str">
        <f>IF(OR(Controls_Raw!G1497="USA",Controls_Raw!G1497="UK"),"Standardize","OK")</f>
        <v>OK</v>
      </c>
      <c r="F1497" t="str">
        <f>IF(Controls_Raw!E1497&lt;&gt;TRIM(Controls_Raw!E1497),"Trim","OK")</f>
        <v>OK</v>
      </c>
      <c r="G1497" t="str">
        <f>IF(AND(Controls_Raw!L1497&lt;DATE(2026,9,30),Controls_Raw!M1497&lt;&gt;"Completed"),"Overdue","OK")</f>
        <v>OK</v>
      </c>
      <c r="H1497" t="str">
        <f>IF(AND(Controls_Raw!Q1497&lt;DATE(2026,9,30),Controls_Raw!R1497&lt;&gt;"Completed",Controls_Raw!R1497&lt;&gt;"Not Required"),"Overdue","OK")</f>
        <v>OK</v>
      </c>
      <c r="I1497" t="str">
        <f t="shared" si="23"/>
        <v>Pass</v>
      </c>
    </row>
    <row r="1498" spans="1:9" x14ac:dyDescent="0.2">
      <c r="A1498" t="str">
        <f>Controls_Raw!A1498</f>
        <v>CTRL-1494</v>
      </c>
      <c r="B1498" t="str">
        <f>IF(COUNTIF(Controls_Raw!$A$5:$A$1504,A1498)&gt;1,"Duplicate","OK")</f>
        <v>OK</v>
      </c>
      <c r="C1498" t="str">
        <f>IF(LEN(TRIM(Controls_Raw!I1498))=0,"Missing","OK")</f>
        <v>OK</v>
      </c>
      <c r="D1498" t="str">
        <f>IF(LEN(TRIM(Controls_Raw!N1498))=0,"Missing","OK")</f>
        <v>OK</v>
      </c>
      <c r="E1498" t="str">
        <f>IF(OR(Controls_Raw!G1498="USA",Controls_Raw!G1498="UK"),"Standardize","OK")</f>
        <v>OK</v>
      </c>
      <c r="F1498" t="str">
        <f>IF(Controls_Raw!E1498&lt;&gt;TRIM(Controls_Raw!E1498),"Trim","OK")</f>
        <v>OK</v>
      </c>
      <c r="G1498" t="str">
        <f>IF(AND(Controls_Raw!L1498&lt;DATE(2026,9,30),Controls_Raw!M1498&lt;&gt;"Completed"),"Overdue","OK")</f>
        <v>OK</v>
      </c>
      <c r="H1498" t="str">
        <f>IF(AND(Controls_Raw!Q1498&lt;DATE(2026,9,30),Controls_Raw!R1498&lt;&gt;"Completed",Controls_Raw!R1498&lt;&gt;"Not Required"),"Overdue","OK")</f>
        <v>OK</v>
      </c>
      <c r="I1498" t="str">
        <f t="shared" si="23"/>
        <v>Pass</v>
      </c>
    </row>
    <row r="1499" spans="1:9" x14ac:dyDescent="0.2">
      <c r="A1499" t="str">
        <f>Controls_Raw!A1499</f>
        <v>CTRL-1495</v>
      </c>
      <c r="B1499" t="str">
        <f>IF(COUNTIF(Controls_Raw!$A$5:$A$1504,A1499)&gt;1,"Duplicate","OK")</f>
        <v>OK</v>
      </c>
      <c r="C1499" t="str">
        <f>IF(LEN(TRIM(Controls_Raw!I1499))=0,"Missing","OK")</f>
        <v>OK</v>
      </c>
      <c r="D1499" t="str">
        <f>IF(LEN(TRIM(Controls_Raw!N1499))=0,"Missing","OK")</f>
        <v>Missing</v>
      </c>
      <c r="E1499" t="str">
        <f>IF(OR(Controls_Raw!G1499="USA",Controls_Raw!G1499="UK"),"Standardize","OK")</f>
        <v>OK</v>
      </c>
      <c r="F1499" t="str">
        <f>IF(Controls_Raw!E1499&lt;&gt;TRIM(Controls_Raw!E1499),"Trim","OK")</f>
        <v>OK</v>
      </c>
      <c r="G1499" t="str">
        <f>IF(AND(Controls_Raw!L1499&lt;DATE(2026,9,30),Controls_Raw!M1499&lt;&gt;"Completed"),"Overdue","OK")</f>
        <v>Overdue</v>
      </c>
      <c r="H1499" t="str">
        <f>IF(AND(Controls_Raw!Q1499&lt;DATE(2026,9,30),Controls_Raw!R1499&lt;&gt;"Completed",Controls_Raw!R1499&lt;&gt;"Not Required"),"Overdue","OK")</f>
        <v>Overdue</v>
      </c>
      <c r="I1499" t="str">
        <f t="shared" si="23"/>
        <v>Issue</v>
      </c>
    </row>
    <row r="1500" spans="1:9" x14ac:dyDescent="0.2">
      <c r="A1500" t="str">
        <f>Controls_Raw!A1500</f>
        <v>CTRL-1496</v>
      </c>
      <c r="B1500" t="str">
        <f>IF(COUNTIF(Controls_Raw!$A$5:$A$1504,A1500)&gt;1,"Duplicate","OK")</f>
        <v>OK</v>
      </c>
      <c r="C1500" t="str">
        <f>IF(LEN(TRIM(Controls_Raw!I1500))=0,"Missing","OK")</f>
        <v>OK</v>
      </c>
      <c r="D1500" t="str">
        <f>IF(LEN(TRIM(Controls_Raw!N1500))=0,"Missing","OK")</f>
        <v>OK</v>
      </c>
      <c r="E1500" t="str">
        <f>IF(OR(Controls_Raw!G1500="USA",Controls_Raw!G1500="UK"),"Standardize","OK")</f>
        <v>OK</v>
      </c>
      <c r="F1500" t="str">
        <f>IF(Controls_Raw!E1500&lt;&gt;TRIM(Controls_Raw!E1500),"Trim","OK")</f>
        <v>OK</v>
      </c>
      <c r="G1500" t="str">
        <f>IF(AND(Controls_Raw!L1500&lt;DATE(2026,9,30),Controls_Raw!M1500&lt;&gt;"Completed"),"Overdue","OK")</f>
        <v>Overdue</v>
      </c>
      <c r="H1500" t="str">
        <f>IF(AND(Controls_Raw!Q1500&lt;DATE(2026,9,30),Controls_Raw!R1500&lt;&gt;"Completed",Controls_Raw!R1500&lt;&gt;"Not Required"),"Overdue","OK")</f>
        <v>OK</v>
      </c>
      <c r="I1500" t="str">
        <f t="shared" si="23"/>
        <v>Issue</v>
      </c>
    </row>
    <row r="1501" spans="1:9" x14ac:dyDescent="0.2">
      <c r="A1501" t="str">
        <f>Controls_Raw!A1501</f>
        <v>CTRL-1497</v>
      </c>
      <c r="B1501" t="str">
        <f>IF(COUNTIF(Controls_Raw!$A$5:$A$1504,A1501)&gt;1,"Duplicate","OK")</f>
        <v>OK</v>
      </c>
      <c r="C1501" t="str">
        <f>IF(LEN(TRIM(Controls_Raw!I1501))=0,"Missing","OK")</f>
        <v>OK</v>
      </c>
      <c r="D1501" t="str">
        <f>IF(LEN(TRIM(Controls_Raw!N1501))=0,"Missing","OK")</f>
        <v>OK</v>
      </c>
      <c r="E1501" t="str">
        <f>IF(OR(Controls_Raw!G1501="USA",Controls_Raw!G1501="UK"),"Standardize","OK")</f>
        <v>OK</v>
      </c>
      <c r="F1501" t="str">
        <f>IF(Controls_Raw!E1501&lt;&gt;TRIM(Controls_Raw!E1501),"Trim","OK")</f>
        <v>OK</v>
      </c>
      <c r="G1501" t="str">
        <f>IF(AND(Controls_Raw!L1501&lt;DATE(2026,9,30),Controls_Raw!M1501&lt;&gt;"Completed"),"Overdue","OK")</f>
        <v>OK</v>
      </c>
      <c r="H1501" t="str">
        <f>IF(AND(Controls_Raw!Q1501&lt;DATE(2026,9,30),Controls_Raw!R1501&lt;&gt;"Completed",Controls_Raw!R1501&lt;&gt;"Not Required"),"Overdue","OK")</f>
        <v>Overdue</v>
      </c>
      <c r="I1501" t="str">
        <f t="shared" si="23"/>
        <v>Issue</v>
      </c>
    </row>
    <row r="1502" spans="1:9" x14ac:dyDescent="0.2">
      <c r="A1502" t="str">
        <f>Controls_Raw!A1502</f>
        <v>CTRL-1498</v>
      </c>
      <c r="B1502" t="str">
        <f>IF(COUNTIF(Controls_Raw!$A$5:$A$1504,A1502)&gt;1,"Duplicate","OK")</f>
        <v>OK</v>
      </c>
      <c r="C1502" t="str">
        <f>IF(LEN(TRIM(Controls_Raw!I1502))=0,"Missing","OK")</f>
        <v>OK</v>
      </c>
      <c r="D1502" t="str">
        <f>IF(LEN(TRIM(Controls_Raw!N1502))=0,"Missing","OK")</f>
        <v>OK</v>
      </c>
      <c r="E1502" t="str">
        <f>IF(OR(Controls_Raw!G1502="USA",Controls_Raw!G1502="UK"),"Standardize","OK")</f>
        <v>OK</v>
      </c>
      <c r="F1502" t="str">
        <f>IF(Controls_Raw!E1502&lt;&gt;TRIM(Controls_Raw!E1502),"Trim","OK")</f>
        <v>OK</v>
      </c>
      <c r="G1502" t="str">
        <f>IF(AND(Controls_Raw!L1502&lt;DATE(2026,9,30),Controls_Raw!M1502&lt;&gt;"Completed"),"Overdue","OK")</f>
        <v>OK</v>
      </c>
      <c r="H1502" t="str">
        <f>IF(AND(Controls_Raw!Q1502&lt;DATE(2026,9,30),Controls_Raw!R1502&lt;&gt;"Completed",Controls_Raw!R1502&lt;&gt;"Not Required"),"Overdue","OK")</f>
        <v>Overdue</v>
      </c>
      <c r="I1502" t="str">
        <f t="shared" si="23"/>
        <v>Issue</v>
      </c>
    </row>
    <row r="1503" spans="1:9" x14ac:dyDescent="0.2">
      <c r="A1503" t="str">
        <f>Controls_Raw!A1503</f>
        <v>CTRL-1499</v>
      </c>
      <c r="B1503" t="str">
        <f>IF(COUNTIF(Controls_Raw!$A$5:$A$1504,A1503)&gt;1,"Duplicate","OK")</f>
        <v>OK</v>
      </c>
      <c r="C1503" t="str">
        <f>IF(LEN(TRIM(Controls_Raw!I1503))=0,"Missing","OK")</f>
        <v>OK</v>
      </c>
      <c r="D1503" t="str">
        <f>IF(LEN(TRIM(Controls_Raw!N1503))=0,"Missing","OK")</f>
        <v>OK</v>
      </c>
      <c r="E1503" t="str">
        <f>IF(OR(Controls_Raw!G1503="USA",Controls_Raw!G1503="UK"),"Standardize","OK")</f>
        <v>OK</v>
      </c>
      <c r="F1503" t="str">
        <f>IF(Controls_Raw!E1503&lt;&gt;TRIM(Controls_Raw!E1503),"Trim","OK")</f>
        <v>OK</v>
      </c>
      <c r="G1503" t="str">
        <f>IF(AND(Controls_Raw!L1503&lt;DATE(2026,9,30),Controls_Raw!M1503&lt;&gt;"Completed"),"Overdue","OK")</f>
        <v>Overdue</v>
      </c>
      <c r="H1503" t="str">
        <f>IF(AND(Controls_Raw!Q1503&lt;DATE(2026,9,30),Controls_Raw!R1503&lt;&gt;"Completed",Controls_Raw!R1503&lt;&gt;"Not Required"),"Overdue","OK")</f>
        <v>Overdue</v>
      </c>
      <c r="I1503" t="str">
        <f t="shared" si="23"/>
        <v>Issue</v>
      </c>
    </row>
    <row r="1504" spans="1:9" x14ac:dyDescent="0.2">
      <c r="A1504" t="str">
        <f>Controls_Raw!A1504</f>
        <v>CTRL-1500</v>
      </c>
      <c r="B1504" t="str">
        <f>IF(COUNTIF(Controls_Raw!$A$5:$A$1504,A1504)&gt;1,"Duplicate","OK")</f>
        <v>OK</v>
      </c>
      <c r="C1504" t="str">
        <f>IF(LEN(TRIM(Controls_Raw!I1504))=0,"Missing","OK")</f>
        <v>OK</v>
      </c>
      <c r="D1504" t="str">
        <f>IF(LEN(TRIM(Controls_Raw!N1504))=0,"Missing","OK")</f>
        <v>OK</v>
      </c>
      <c r="E1504" t="str">
        <f>IF(OR(Controls_Raw!G1504="USA",Controls_Raw!G1504="UK"),"Standardize","OK")</f>
        <v>OK</v>
      </c>
      <c r="F1504" t="str">
        <f>IF(Controls_Raw!E1504&lt;&gt;TRIM(Controls_Raw!E1504),"Trim","OK")</f>
        <v>OK</v>
      </c>
      <c r="G1504" t="str">
        <f>IF(AND(Controls_Raw!L1504&lt;DATE(2026,9,30),Controls_Raw!M1504&lt;&gt;"Completed"),"Overdue","OK")</f>
        <v>OK</v>
      </c>
      <c r="H1504" t="str">
        <f>IF(AND(Controls_Raw!Q1504&lt;DATE(2026,9,30),Controls_Raw!R1504&lt;&gt;"Completed",Controls_Raw!R1504&lt;&gt;"Not Required"),"Overdue","OK")</f>
        <v>OK</v>
      </c>
      <c r="I1504" t="str">
        <f t="shared" si="23"/>
        <v>Pass</v>
      </c>
    </row>
  </sheetData>
  <mergeCells count="1">
    <mergeCell ref="A1:I1"/>
  </mergeCells>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2"/>
  <sheetViews>
    <sheetView workbookViewId="0">
      <selection sqref="A1:L1"/>
    </sheetView>
  </sheetViews>
  <sheetFormatPr baseColWidth="10" defaultColWidth="8.83203125" defaultRowHeight="15" x14ac:dyDescent="0.2"/>
  <cols>
    <col min="1" max="1" width="25" customWidth="1"/>
    <col min="2" max="2" width="15" customWidth="1"/>
  </cols>
  <sheetData>
    <row r="1" spans="1:12" ht="28" customHeight="1" x14ac:dyDescent="0.2">
      <c r="A1" s="5" t="s">
        <v>3078</v>
      </c>
      <c r="B1" s="6"/>
      <c r="C1" s="6"/>
      <c r="D1" s="6"/>
      <c r="E1" s="6"/>
      <c r="F1" s="6"/>
      <c r="G1" s="6"/>
      <c r="H1" s="6"/>
      <c r="I1" s="6"/>
      <c r="J1" s="6"/>
      <c r="K1" s="6"/>
      <c r="L1" s="6"/>
    </row>
    <row r="4" spans="1:12" x14ac:dyDescent="0.2">
      <c r="A4" s="7" t="s">
        <v>3079</v>
      </c>
      <c r="B4" s="6"/>
      <c r="D4" s="7" t="s">
        <v>3080</v>
      </c>
      <c r="E4" s="6"/>
      <c r="G4" s="7" t="s">
        <v>3081</v>
      </c>
      <c r="H4" s="6"/>
      <c r="J4" s="7" t="s">
        <v>3082</v>
      </c>
      <c r="K4" s="6"/>
    </row>
    <row r="5" spans="1:12" x14ac:dyDescent="0.2">
      <c r="A5" s="8">
        <v>1500</v>
      </c>
      <c r="B5" s="6"/>
      <c r="D5" s="8">
        <v>443</v>
      </c>
      <c r="E5" s="6"/>
      <c r="G5" s="8">
        <v>878</v>
      </c>
      <c r="H5" s="6"/>
      <c r="J5" s="8">
        <v>32</v>
      </c>
      <c r="K5" s="6"/>
    </row>
    <row r="6" spans="1:12" x14ac:dyDescent="0.2">
      <c r="A6" s="6"/>
      <c r="B6" s="6"/>
      <c r="D6" s="6"/>
      <c r="E6" s="6"/>
      <c r="G6" s="6"/>
      <c r="H6" s="6"/>
      <c r="J6" s="6"/>
      <c r="K6" s="6"/>
    </row>
    <row r="9" spans="1:12" ht="16" x14ac:dyDescent="0.2">
      <c r="A9" s="3" t="s">
        <v>16</v>
      </c>
      <c r="B9" s="3" t="s">
        <v>3083</v>
      </c>
    </row>
    <row r="10" spans="1:12" x14ac:dyDescent="0.2">
      <c r="A10" t="s">
        <v>34</v>
      </c>
      <c r="B10">
        <v>485</v>
      </c>
    </row>
    <row r="11" spans="1:12" x14ac:dyDescent="0.2">
      <c r="A11" t="s">
        <v>45</v>
      </c>
      <c r="B11">
        <v>478</v>
      </c>
    </row>
    <row r="12" spans="1:12" x14ac:dyDescent="0.2">
      <c r="A12" t="s">
        <v>67</v>
      </c>
      <c r="B12">
        <v>537</v>
      </c>
    </row>
  </sheetData>
  <mergeCells count="9">
    <mergeCell ref="A4:B4"/>
    <mergeCell ref="G4:H4"/>
    <mergeCell ref="J4:K4"/>
    <mergeCell ref="A1:L1"/>
    <mergeCell ref="D5:E6"/>
    <mergeCell ref="A5:B6"/>
    <mergeCell ref="G5:H6"/>
    <mergeCell ref="D4:E4"/>
    <mergeCell ref="J5:K6"/>
  </mergeCell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2"/>
  <sheetViews>
    <sheetView workbookViewId="0">
      <selection sqref="A1:C1"/>
    </sheetView>
  </sheetViews>
  <sheetFormatPr baseColWidth="10" defaultColWidth="8.83203125" defaultRowHeight="15" x14ac:dyDescent="0.2"/>
  <cols>
    <col min="1" max="1" width="8" customWidth="1"/>
    <col min="2" max="2" width="24" customWidth="1"/>
    <col min="3" max="3" width="95" customWidth="1"/>
  </cols>
  <sheetData>
    <row r="1" spans="1:3" ht="28" customHeight="1" x14ac:dyDescent="0.2">
      <c r="A1" s="5" t="s">
        <v>3084</v>
      </c>
      <c r="B1" s="6"/>
      <c r="C1" s="6"/>
    </row>
    <row r="4" spans="1:3" ht="16" x14ac:dyDescent="0.2">
      <c r="A4" s="3" t="s">
        <v>3085</v>
      </c>
      <c r="B4" s="3" t="s">
        <v>3086</v>
      </c>
      <c r="C4" s="3" t="s">
        <v>3087</v>
      </c>
    </row>
    <row r="5" spans="1:3" x14ac:dyDescent="0.2">
      <c r="A5" t="s">
        <v>3088</v>
      </c>
      <c r="B5" t="s">
        <v>3089</v>
      </c>
      <c r="C5" t="s">
        <v>3090</v>
      </c>
    </row>
    <row r="6" spans="1:3" x14ac:dyDescent="0.2">
      <c r="A6" t="s">
        <v>3091</v>
      </c>
      <c r="B6" t="s">
        <v>3092</v>
      </c>
      <c r="C6" t="s">
        <v>3093</v>
      </c>
    </row>
    <row r="7" spans="1:3" x14ac:dyDescent="0.2">
      <c r="A7" t="s">
        <v>3094</v>
      </c>
      <c r="B7" t="s">
        <v>3095</v>
      </c>
      <c r="C7" t="s">
        <v>3096</v>
      </c>
    </row>
    <row r="8" spans="1:3" x14ac:dyDescent="0.2">
      <c r="A8" t="s">
        <v>3097</v>
      </c>
      <c r="B8" t="s">
        <v>3098</v>
      </c>
      <c r="C8" t="s">
        <v>3099</v>
      </c>
    </row>
    <row r="9" spans="1:3" x14ac:dyDescent="0.2">
      <c r="A9" t="s">
        <v>3100</v>
      </c>
      <c r="B9" t="s">
        <v>3101</v>
      </c>
      <c r="C9" t="s">
        <v>3102</v>
      </c>
    </row>
    <row r="10" spans="1:3" x14ac:dyDescent="0.2">
      <c r="A10" t="s">
        <v>3103</v>
      </c>
      <c r="B10" t="s">
        <v>3104</v>
      </c>
      <c r="C10" t="s">
        <v>3105</v>
      </c>
    </row>
    <row r="11" spans="1:3" x14ac:dyDescent="0.2">
      <c r="A11" t="s">
        <v>3106</v>
      </c>
      <c r="B11" t="s">
        <v>3107</v>
      </c>
      <c r="C11" t="s">
        <v>3108</v>
      </c>
    </row>
    <row r="12" spans="1:3" x14ac:dyDescent="0.2">
      <c r="A12" t="s">
        <v>3109</v>
      </c>
      <c r="B12" t="s">
        <v>3110</v>
      </c>
      <c r="C12" t="s">
        <v>3111</v>
      </c>
    </row>
  </sheetData>
  <mergeCells count="1">
    <mergeCell ref="A1:C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9"/>
  <sheetViews>
    <sheetView workbookViewId="0">
      <selection sqref="A1:C1"/>
    </sheetView>
  </sheetViews>
  <sheetFormatPr baseColWidth="10" defaultColWidth="8.83203125" defaultRowHeight="15" x14ac:dyDescent="0.2"/>
  <cols>
    <col min="1" max="1" width="25" customWidth="1"/>
    <col min="2" max="2" width="100" customWidth="1"/>
    <col min="3" max="3" width="24" customWidth="1"/>
  </cols>
  <sheetData>
    <row r="1" spans="1:3" ht="28" customHeight="1" x14ac:dyDescent="0.2">
      <c r="A1" s="5" t="s">
        <v>3112</v>
      </c>
      <c r="B1" s="6"/>
      <c r="C1" s="6"/>
    </row>
    <row r="4" spans="1:3" ht="16" x14ac:dyDescent="0.2">
      <c r="A4" s="3" t="s">
        <v>3113</v>
      </c>
      <c r="B4" s="3" t="s">
        <v>3114</v>
      </c>
      <c r="C4" s="3" t="s">
        <v>3115</v>
      </c>
    </row>
    <row r="5" spans="1:3" x14ac:dyDescent="0.2">
      <c r="A5" t="s">
        <v>3079</v>
      </c>
      <c r="B5" t="s">
        <v>3116</v>
      </c>
      <c r="C5" t="s">
        <v>3117</v>
      </c>
    </row>
    <row r="6" spans="1:3" x14ac:dyDescent="0.2">
      <c r="A6" t="s">
        <v>3118</v>
      </c>
      <c r="B6" t="s">
        <v>3119</v>
      </c>
      <c r="C6" t="s">
        <v>3117</v>
      </c>
    </row>
    <row r="7" spans="1:3" x14ac:dyDescent="0.2">
      <c r="A7" t="s">
        <v>3120</v>
      </c>
      <c r="B7" t="s">
        <v>3121</v>
      </c>
      <c r="C7" t="s">
        <v>3117</v>
      </c>
    </row>
    <row r="8" spans="1:3" x14ac:dyDescent="0.2">
      <c r="A8" t="s">
        <v>3122</v>
      </c>
      <c r="B8" t="s">
        <v>3123</v>
      </c>
      <c r="C8" t="s">
        <v>3117</v>
      </c>
    </row>
    <row r="9" spans="1:3" x14ac:dyDescent="0.2">
      <c r="A9" t="s">
        <v>3124</v>
      </c>
      <c r="B9" t="s">
        <v>3125</v>
      </c>
      <c r="C9" t="s">
        <v>3117</v>
      </c>
    </row>
  </sheetData>
  <mergeCells count="1">
    <mergeCell ref="A1:C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8"/>
  <sheetViews>
    <sheetView workbookViewId="0">
      <selection sqref="A1:D1"/>
    </sheetView>
  </sheetViews>
  <sheetFormatPr baseColWidth="10" defaultColWidth="8.83203125" defaultRowHeight="15" x14ac:dyDescent="0.2"/>
  <cols>
    <col min="1" max="1" width="35" customWidth="1"/>
    <col min="2" max="2" width="45" customWidth="1"/>
    <col min="3" max="3" width="85" customWidth="1"/>
    <col min="4" max="4" width="25" customWidth="1"/>
  </cols>
  <sheetData>
    <row r="1" spans="1:4" ht="28" customHeight="1" x14ac:dyDescent="0.2">
      <c r="A1" s="5" t="s">
        <v>3126</v>
      </c>
      <c r="B1" s="6"/>
      <c r="C1" s="6"/>
      <c r="D1" s="6"/>
    </row>
    <row r="4" spans="1:4" ht="16" x14ac:dyDescent="0.2">
      <c r="A4" s="3" t="s">
        <v>3127</v>
      </c>
      <c r="B4" s="3" t="s">
        <v>3128</v>
      </c>
      <c r="C4" s="3" t="s">
        <v>3129</v>
      </c>
      <c r="D4" s="3" t="s">
        <v>3130</v>
      </c>
    </row>
    <row r="5" spans="1:4" x14ac:dyDescent="0.2">
      <c r="A5" t="s">
        <v>3131</v>
      </c>
      <c r="B5" t="s">
        <v>3132</v>
      </c>
      <c r="C5" t="s">
        <v>3133</v>
      </c>
      <c r="D5" t="s">
        <v>3134</v>
      </c>
    </row>
    <row r="6" spans="1:4" x14ac:dyDescent="0.2">
      <c r="A6" t="s">
        <v>3135</v>
      </c>
      <c r="B6" t="s">
        <v>3136</v>
      </c>
      <c r="C6" t="s">
        <v>3137</v>
      </c>
      <c r="D6" t="s">
        <v>3138</v>
      </c>
    </row>
    <row r="7" spans="1:4" x14ac:dyDescent="0.2">
      <c r="A7" t="s">
        <v>3139</v>
      </c>
      <c r="B7" t="s">
        <v>3140</v>
      </c>
      <c r="C7" t="s">
        <v>3141</v>
      </c>
      <c r="D7" t="s">
        <v>3142</v>
      </c>
    </row>
    <row r="8" spans="1:4" x14ac:dyDescent="0.2">
      <c r="A8" t="s">
        <v>3143</v>
      </c>
      <c r="B8" t="s">
        <v>3144</v>
      </c>
      <c r="C8" t="s">
        <v>3145</v>
      </c>
      <c r="D8" t="s">
        <v>3142</v>
      </c>
    </row>
  </sheetData>
  <mergeCells count="1">
    <mergeCell ref="A1:D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61D87B-E617-674F-81FA-95DD88060A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PQ_Analysis</vt:lpstr>
      <vt:lpstr>PQ_Regional_Analysis</vt:lpstr>
      <vt:lpstr>PQ_Issue_Analysis</vt:lpstr>
      <vt:lpstr>PQ_Governance_Exceptions</vt:lpstr>
      <vt:lpstr>PQ_Cleaned_Controls</vt:lpstr>
      <vt:lpstr>Final_Dashboard</vt:lpstr>
      <vt:lpstr>Controls_Raw</vt:lpstr>
      <vt:lpstr>Cleaned_Controls</vt:lpstr>
      <vt:lpstr>Data_Quality</vt:lpstr>
      <vt:lpstr>Dashboard</vt:lpstr>
      <vt:lpstr>Power_Query_Steps</vt:lpstr>
      <vt:lpstr>PowerBI_Measures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Abdullah Malik</cp:lastModifiedBy>
  <dcterms:created xsi:type="dcterms:W3CDTF">2026-10-07T13:47:51Z</dcterms:created>
  <dcterms:modified xsi:type="dcterms:W3CDTF">2026-10-07T20:43:00Z</dcterms:modified>
</cp:coreProperties>
</file>